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gend" sheetId="1" state="visible" r:id="rId1"/>
    <sheet name="Assignments" sheetId="2" state="visible" r:id="rId2"/>
    <sheet name="Roles" sheetId="3" state="visible" r:id="rId3"/>
    <sheet name="Te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1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b val="1"/>
      <color rgb="00FFFFFF"/>
      <sz val="10"/>
    </font>
    <font>
      <name val="Arial"/>
      <b val="1"/>
      <i val="1"/>
      <sz val="10"/>
    </font>
    <font>
      <name val="Arial"/>
      <color rgb="000000FF"/>
      <sz val="10"/>
    </font>
    <font>
      <name val="Arial"/>
      <i val="1"/>
      <sz val="9"/>
    </font>
    <font>
      <name val="Arial"/>
      <i val="1"/>
      <color rgb="00808080"/>
      <sz val="9"/>
    </font>
    <font>
      <name val="Arial"/>
      <color rgb="00808080"/>
      <sz val="9"/>
    </font>
    <font>
      <name val="Arial"/>
      <sz val="10"/>
    </font>
    <font>
      <name val="Arial"/>
      <i val="1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FFF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3" borderId="1" pivotButton="0" quotePrefix="0" xfId="0"/>
    <xf numFmtId="0" fontId="6" fillId="0" borderId="0" pivotButton="0" quotePrefix="0" xfId="0"/>
    <xf numFmtId="0" fontId="7" fillId="0" borderId="0" pivotButton="0" quotePrefix="0" xfId="0"/>
    <xf numFmtId="2" fontId="8" fillId="0" borderId="0" pivotButton="0" quotePrefix="0" xfId="0"/>
    <xf numFmtId="0" fontId="9" fillId="0" borderId="1" pivotButton="0" quotePrefix="0" xfId="0"/>
    <xf numFmtId="0" fontId="9" fillId="4" borderId="1" pivotButton="0" quotePrefix="0" xfId="0"/>
    <xf numFmtId="2" fontId="9" fillId="0" borderId="1" pivotButton="0" quotePrefix="0" xfId="0"/>
    <xf numFmtId="2" fontId="9" fillId="4" borderId="1" pivotButton="0" quotePrefix="0" xfId="0"/>
    <xf numFmtId="164" fontId="0" fillId="0" borderId="0" pivotButton="0" quotePrefix="0" xfId="0"/>
    <xf numFmtId="2" fontId="0" fillId="0" borderId="0" pivotButton="0" quotePrefix="0" xfId="0"/>
    <xf numFmtId="0" fontId="9" fillId="4" borderId="0" pivotButton="0" quotePrefix="0" xfId="0"/>
    <xf numFmtId="0" fontId="9" fillId="5" borderId="1" pivotButton="0" quotePrefix="0" xfId="0"/>
    <xf numFmtId="2" fontId="9" fillId="5" borderId="1" pivotButton="0" quotePrefix="0" xfId="0"/>
    <xf numFmtId="0" fontId="9" fillId="5" borderId="0" pivotButton="0" quotePrefix="0" xfId="0"/>
    <xf numFmtId="0" fontId="5" fillId="0" borderId="1" pivotButton="0" quotePrefix="0" xfId="0"/>
    <xf numFmtId="2" fontId="5" fillId="0" borderId="1" pivotButton="0" quotePrefix="0" xfId="0"/>
    <xf numFmtId="0" fontId="9" fillId="0" borderId="1" applyAlignment="1" pivotButton="0" quotePrefix="0" xfId="0">
      <alignment vertical="top" wrapText="1"/>
    </xf>
    <xf numFmtId="0" fontId="10" fillId="0" borderId="0" pivotButton="0" quotePrefix="0" xfId="0"/>
    <xf numFmtId="2" fontId="5" fillId="5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8"/>
  <sheetViews>
    <sheetView showGridLines="0"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1" t="inlineStr">
        <is>
          <t>Role assignments — hitters</t>
        </is>
      </c>
    </row>
    <row r="2">
      <c r="A2" s="2" t="inlineStr"/>
    </row>
    <row r="3">
      <c r="A3" s="1" t="inlineStr">
        <is>
          <t>WHAT TO EDIT — the yellow cells on the Assignments sheet:</t>
        </is>
      </c>
    </row>
    <row r="4">
      <c r="A4" s="2" t="inlineStr">
        <is>
          <t xml:space="preserve">  * One probability per role column. They should sum to 1.00 for each player; the 'Role Prob Sum' column checks this.</t>
        </is>
      </c>
    </row>
    <row r="5">
      <c r="A5" s="2" t="inlineStr">
        <is>
          <t xml:space="preserve">  * Role Start — when the player takes the job (see the Timing table on the Roles sheet).</t>
        </is>
      </c>
    </row>
    <row r="6">
      <c r="A6" s="2" t="inlineStr">
        <is>
          <t xml:space="preserve">  * Availability — YOURS to set: the share of the season you expect him healthy and on an MLB roster. 1.00 = full year.</t>
        </is>
      </c>
    </row>
    <row r="7">
      <c r="A7" s="2" t="inlineStr">
        <is>
          <t xml:space="preserve">  * Exp Apps / IP/App (pitchers) — how often he is handed the ball, and how long he stays. His innings are the two multiplied, so for a pitcher AVAILABILITY IS EXP APPS: it is not a multiplier on this sheet and Durability stays 1.00 for him.</t>
        </is>
      </c>
    </row>
    <row r="8">
      <c r="A8" s="2" t="inlineStr">
        <is>
          <t xml:space="preserve">  * Durability — the model's, from his own games-played record against others in the same role. Centred on 1.00 and allowed to go above it: a player who misses nothing beats the league-average missed time his role's anchor was built from. Overwrite it if you disagree; Proj PA multiplies both.</t>
        </is>
      </c>
    </row>
    <row r="9">
      <c r="A9" s="2" t="inlineStr">
        <is>
          <t xml:space="preserve">  * Pos / Bats (or Throws) — needed for the typed-slot allocation and the platoon splits.</t>
        </is>
      </c>
    </row>
    <row r="10">
      <c r="A10" s="2" t="inlineStr"/>
    </row>
    <row r="11">
      <c r="A11" s="1" t="inlineStr">
        <is>
          <t>WHY PROBABILITIES AND NOT ONE ROLE:</t>
        </is>
      </c>
    </row>
    <row r="12">
      <c r="A12" s="2" t="inlineStr">
        <is>
          <t xml:space="preserve">  A player in a job battle is ~50% full-time / 30% platoon / 20% bench. Picking one label</t>
        </is>
      </c>
    </row>
    <row r="13">
      <c r="A13" s="2" t="inlineStr">
        <is>
          <t xml:space="preserve">  yields a plausible-looking PA figure that is the mean of a bimodal distribution — wrong in</t>
        </is>
      </c>
    </row>
    <row r="14">
      <c r="A14" s="2" t="inlineStr">
        <is>
          <t xml:space="preserve">  both worlds. Probabilities also give the model the variance, which is what season-long</t>
        </is>
      </c>
    </row>
    <row r="15">
      <c r="A15" s="2" t="inlineStr">
        <is>
          <t xml:space="preserve">  ranking and DFS leverage both want.</t>
        </is>
      </c>
    </row>
    <row r="16">
      <c r="A16" s="2" t="inlineStr"/>
    </row>
    <row r="17">
      <c r="A17" s="1" t="inlineStr">
        <is>
          <t>WHY ROLE START IS SEPARATE FROM THE ROLE:</t>
        </is>
      </c>
    </row>
    <row r="18">
      <c r="A18" s="2" t="inlineStr">
        <is>
          <t xml:space="preserve">  'Mid-season callup' conflates two things. A callup who becomes a full-timer and one who</t>
        </is>
      </c>
    </row>
    <row r="19">
      <c r="A19" s="2" t="inlineStr">
        <is>
          <t xml:space="preserve">  becomes a platoon bat have very different rate lines. Role x timing expresses both; one</t>
        </is>
      </c>
    </row>
    <row r="20">
      <c r="A20" s="2" t="inlineStr">
        <is>
          <t xml:space="preserve">  combined label cannot. It also means a mid-season callup and a player back from the IL in</t>
        </is>
      </c>
    </row>
    <row r="21">
      <c r="A21" s="2" t="inlineStr">
        <is>
          <t xml:space="preserve">  July are the same parameter.</t>
        </is>
      </c>
    </row>
    <row r="22">
      <c r="A22" s="2" t="inlineStr"/>
    </row>
    <row r="23">
      <c r="A23" s="1" t="inlineStr">
        <is>
          <t>WHY AVAILABILITY IS SEPARATE TOO:</t>
        </is>
      </c>
    </row>
    <row r="24">
      <c r="A24" s="2" t="inlineStr">
        <is>
          <t xml:space="preserve">  'Injured' is not a role. A full-time player who misses April is Full Time x 0.85, which no</t>
        </is>
      </c>
    </row>
    <row r="25">
      <c r="A25" s="2" t="inlineStr">
        <is>
          <t xml:space="preserve">  role label can say. A season-ending injury gives availability ~0, so the role collapses to</t>
        </is>
      </c>
    </row>
    <row r="26">
      <c r="A26" s="2" t="inlineStr">
        <is>
          <t xml:space="preserve">  the 1 PA floor — the existing rule, reached through the model rather than bolted on.</t>
        </is>
      </c>
    </row>
    <row r="27">
      <c r="A27" s="2" t="inlineStr"/>
    </row>
    <row r="28">
      <c r="A28" s="1" t="inlineStr">
        <is>
          <t>COLOUR KEY:</t>
        </is>
      </c>
    </row>
    <row r="29">
      <c r="A29" s="2" t="inlineStr">
        <is>
          <t xml:space="preserve">  Yellow = fill this in.   Blue text = a hardcoded anchor you may tune.   Black = formula.</t>
        </is>
      </c>
    </row>
    <row r="30">
      <c r="A30" s="2" t="inlineStr">
        <is>
          <t xml:space="preserve">  Green row = the example; delete it before use.</t>
        </is>
      </c>
    </row>
    <row r="31">
      <c r="A31" s="2" t="inlineStr"/>
    </row>
    <row r="32">
      <c r="A32" s="1" t="inlineStr">
        <is>
          <t>FREE AGENTS AND UNDER-PROJECTED TEAMS:</t>
        </is>
      </c>
    </row>
    <row r="33">
      <c r="A33" s="2" t="inlineStr">
        <is>
          <t xml:space="preserve">  Set Team to 'FA' for an unsigned player. He keeps a full rate line and can be given a role</t>
        </is>
      </c>
    </row>
    <row r="34">
      <c r="A34" s="2" t="inlineStr">
        <is>
          <t xml:space="preserve">  and playing time, and is excluded from every team aggregate. Then use the Teams sheet to</t>
        </is>
      </c>
    </row>
    <row r="35">
      <c r="A35" s="2" t="inlineStr">
        <is>
          <t xml:space="preserve">  reserve part of a club's budget for the signing you expect it to make, so that club is</t>
        </is>
      </c>
    </row>
    <row r="36">
      <c r="A36" s="2" t="inlineStr">
        <is>
          <t xml:space="preserve">  deliberately UNDER-projected instead of spreading those PA across the players on hand.</t>
        </is>
      </c>
    </row>
    <row r="37">
      <c r="A37" s="2" t="inlineStr"/>
    </row>
    <row r="38">
      <c r="A38" s="1" t="inlineStr">
        <is>
          <t>THE PROJECTION COLUMNS:</t>
        </is>
      </c>
    </row>
    <row r="39">
      <c r="A39" s="2" t="inlineStr">
        <is>
          <t xml:space="preserve">  Proj PA and the columns beside it are FORMULAS, so they update as you edit probabilities.</t>
        </is>
      </c>
    </row>
    <row r="40">
      <c r="A40" s="2" t="inlineStr">
        <is>
          <t xml:space="preserve">  They show blank until you open this file in Excel or LibreOffice, which computes them on</t>
        </is>
      </c>
    </row>
    <row r="41">
      <c r="A41" s="2" t="inlineStr">
        <is>
          <t xml:space="preserve">  open — openpyxl cannot write cached values alongside a formula. That is cosmetic: the</t>
        </is>
      </c>
    </row>
    <row r="42">
      <c r="A42" s="2" t="inlineStr">
        <is>
          <t xml:space="preserve">  pipeline reads the INPUT columns (role probabilities, Role Start, Availability) and recomputes</t>
        </is>
      </c>
    </row>
    <row r="43">
      <c r="A43" s="2" t="inlineStr">
        <is>
          <t xml:space="preserve">  the volumes itself, so a blank formula cell never reaches a projection.</t>
        </is>
      </c>
    </row>
    <row r="44">
      <c r="A44" s="2" t="inlineStr"/>
    </row>
    <row r="45">
      <c r="A45" s="1" t="inlineStr">
        <is>
          <t>CALIBRATION STATUS:</t>
        </is>
      </c>
    </row>
    <row r="46">
      <c r="A46" s="2" t="inlineStr">
        <is>
          <t xml:space="preserve">  Every anchor on the Roles sheet is a documented starting point, not a fitted value. Fit them</t>
        </is>
      </c>
    </row>
    <row r="47">
      <c r="A47" s="2" t="inlineStr">
        <is>
          <t xml:space="preserve">  from history (group real player-seasons by observed role) before trusting the levels. The</t>
        </is>
      </c>
    </row>
    <row r="48">
      <c r="A48" s="2" t="inlineStr">
        <is>
          <t xml:space="preserve">  cross-role ORDERING is more reliable than the absolute numbers.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89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28" customWidth="1" min="9" max="9"/>
    <col width="20" customWidth="1" min="10" max="10"/>
    <col width="11" customWidth="1" min="11" max="11"/>
    <col width="11" customWidth="1" min="12" max="12"/>
    <col width="11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46" customWidth="1" min="29" max="29"/>
  </cols>
  <sheetData>
    <row r="1" ht="46" customHeight="1">
      <c r="A1" s="3" t="inlineStr">
        <is>
          <t>PlayerId</t>
        </is>
      </c>
      <c r="B1" s="3" t="inlineStr">
        <is>
          <t>Name</t>
        </is>
      </c>
      <c r="C1" s="3" t="inlineStr">
        <is>
          <t>Team</t>
        </is>
      </c>
      <c r="D1" s="3" t="inlineStr">
        <is>
          <t>Age</t>
        </is>
      </c>
      <c r="E1" s="3" t="inlineStr">
        <is>
          <t>Bats</t>
        </is>
      </c>
      <c r="F1" s="3" t="inlineStr">
        <is>
          <t>Pos</t>
        </is>
      </c>
      <c r="G1" s="3" t="inlineStr">
        <is>
          <t>Last PA</t>
        </is>
      </c>
      <c r="H1" s="3" t="inlineStr">
        <is>
          <t>Career</t>
        </is>
      </c>
      <c r="I1" s="3" t="inlineStr">
        <is>
          <t>Suggested Role</t>
        </is>
      </c>
      <c r="J1" s="3" t="inlineStr">
        <is>
          <t>Role Start</t>
        </is>
      </c>
      <c r="K1" s="3" t="inlineStr">
        <is>
          <t>Role Share</t>
        </is>
      </c>
      <c r="L1" s="3" t="inlineStr">
        <is>
          <t>Availability</t>
        </is>
      </c>
      <c r="M1" s="3" t="inlineStr">
        <is>
          <t>Durability</t>
        </is>
      </c>
      <c r="N1" s="3" t="inlineStr">
        <is>
          <t>Full Time</t>
        </is>
      </c>
      <c r="O1" s="3" t="inlineStr">
        <is>
          <t>Everyday DH / 1B-DH</t>
        </is>
      </c>
      <c r="P1" s="3" t="inlineStr">
        <is>
          <t>Strong Side Platoon</t>
        </is>
      </c>
      <c r="Q1" s="3" t="inlineStr">
        <is>
          <t>Weak Side Platoon</t>
        </is>
      </c>
      <c r="R1" s="3" t="inlineStr">
        <is>
          <t>Catcher - Primary</t>
        </is>
      </c>
      <c r="S1" s="3" t="inlineStr">
        <is>
          <t>Catcher - Tandem</t>
        </is>
      </c>
      <c r="T1" s="3" t="inlineStr">
        <is>
          <t>Catcher - Backup</t>
        </is>
      </c>
      <c r="U1" s="3" t="inlineStr">
        <is>
          <t>Utility IF</t>
        </is>
      </c>
      <c r="V1" s="3" t="inlineStr">
        <is>
          <t>Utility OF / 4th OF</t>
        </is>
      </c>
      <c r="W1" s="3" t="inlineStr">
        <is>
          <t>Bench Bat</t>
        </is>
      </c>
      <c r="X1" s="3" t="inlineStr">
        <is>
          <t>Injury Replacement / 26th Man</t>
        </is>
      </c>
      <c r="Y1" s="3" t="inlineStr">
        <is>
          <t>Depth (no MLB PA)</t>
        </is>
      </c>
      <c r="Z1" s="3" t="inlineStr">
        <is>
          <t>Proj PA</t>
        </is>
      </c>
      <c r="AA1" s="3" t="inlineStr">
        <is>
          <t>Role Prob Sum</t>
        </is>
      </c>
      <c r="AB1" s="3" t="inlineStr">
        <is>
          <t>Proj vL Share</t>
        </is>
      </c>
      <c r="AC1" s="3" t="inlineStr">
        <is>
          <t>Notes</t>
        </is>
      </c>
    </row>
    <row r="2">
      <c r="A2" s="4" t="inlineStr">
        <is>
          <t>ANCHORS -&gt;</t>
        </is>
      </c>
      <c r="N2" s="5" t="n">
        <v>630</v>
      </c>
      <c r="O2" s="5" t="n">
        <v>600</v>
      </c>
      <c r="P2" s="5" t="n">
        <v>480</v>
      </c>
      <c r="Q2" s="5" t="n">
        <v>230</v>
      </c>
      <c r="R2" s="5" t="n">
        <v>500</v>
      </c>
      <c r="S2" s="5" t="n">
        <v>340</v>
      </c>
      <c r="T2" s="5" t="n">
        <v>180</v>
      </c>
      <c r="U2" s="5" t="n">
        <v>290</v>
      </c>
      <c r="V2" s="5" t="n">
        <v>300</v>
      </c>
      <c r="W2" s="5" t="n">
        <v>150</v>
      </c>
      <c r="X2" s="5" t="n">
        <v>90</v>
      </c>
      <c r="Y2" s="5" t="n">
        <v>1</v>
      </c>
      <c r="Z2" s="6" t="inlineStr">
        <is>
          <t>&lt;- PA per 162 G at full availability</t>
        </is>
      </c>
    </row>
    <row r="3" hidden="1" outlineLevel="1">
      <c r="A3" s="7" t="inlineStr">
        <is>
          <t>anchor:vl_lhb</t>
        </is>
      </c>
      <c r="N3" s="8" t="n">
        <v>0.26</v>
      </c>
      <c r="O3" s="8" t="n">
        <v>0.26</v>
      </c>
      <c r="P3" s="8" t="n">
        <v>0.12</v>
      </c>
      <c r="Q3" s="8" t="n">
        <v>0.08</v>
      </c>
      <c r="R3" s="8" t="n">
        <v>0.26</v>
      </c>
      <c r="S3" s="8" t="n">
        <v>0.22</v>
      </c>
      <c r="T3" s="8" t="n">
        <v>0.24</v>
      </c>
      <c r="U3" s="8" t="n">
        <v>0.26</v>
      </c>
      <c r="V3" s="8" t="n">
        <v>0.24</v>
      </c>
      <c r="W3" s="8" t="n">
        <v>0.22</v>
      </c>
      <c r="X3" s="8" t="n">
        <v>0.26</v>
      </c>
      <c r="Y3" s="8" t="n">
        <v>0.26</v>
      </c>
    </row>
    <row r="4" hidden="1" outlineLevel="1">
      <c r="A4" s="7" t="inlineStr">
        <is>
          <t>anchor:vl_rhb</t>
        </is>
      </c>
      <c r="N4" s="8" t="n">
        <v>0.29</v>
      </c>
      <c r="O4" s="8" t="n">
        <v>0.29</v>
      </c>
      <c r="P4" s="8" t="n">
        <v>0.45</v>
      </c>
      <c r="Q4" s="8" t="n">
        <v>0.68</v>
      </c>
      <c r="R4" s="8" t="n">
        <v>0.29</v>
      </c>
      <c r="S4" s="8" t="n">
        <v>0.38</v>
      </c>
      <c r="T4" s="8" t="n">
        <v>0.33</v>
      </c>
      <c r="U4" s="8" t="n">
        <v>0.31</v>
      </c>
      <c r="V4" s="8" t="n">
        <v>0.33</v>
      </c>
      <c r="W4" s="8" t="n">
        <v>0.36</v>
      </c>
      <c r="X4" s="8" t="n">
        <v>0.29</v>
      </c>
      <c r="Y4" s="8" t="n">
        <v>0.29</v>
      </c>
    </row>
    <row r="5">
      <c r="A5" s="9" t="n">
        <v>999999</v>
      </c>
      <c r="B5" s="9" t="inlineStr">
        <is>
          <t>EXAMPLE — delete this row</t>
        </is>
      </c>
      <c r="C5" s="9" t="inlineStr">
        <is>
          <t>FA</t>
        </is>
      </c>
      <c r="D5" s="9" t="n">
        <v>28</v>
      </c>
      <c r="E5" s="10" t="inlineStr">
        <is>
          <t>R</t>
        </is>
      </c>
      <c r="F5" s="10" t="inlineStr">
        <is>
          <t>2B</t>
        </is>
      </c>
      <c r="G5" s="9" t="n"/>
      <c r="H5" s="9" t="n"/>
      <c r="I5" s="9" t="inlineStr">
        <is>
          <t>Full Time</t>
        </is>
      </c>
      <c r="J5" s="10" t="inlineStr">
        <is>
          <t>Early Season (~May)</t>
        </is>
      </c>
      <c r="K5" s="11">
        <f>IFERROR(INDEX(Roles!$B$17:$B$20,MATCH(J5,Roles!$A$17:$A$20,0)),1)</f>
        <v/>
      </c>
      <c r="L5" s="12" t="n">
        <v>0.85</v>
      </c>
      <c r="M5" s="11" t="n">
        <v>0.92</v>
      </c>
      <c r="N5" s="12" t="n">
        <v>0.6</v>
      </c>
      <c r="O5" s="12" t="n"/>
      <c r="P5" s="12" t="n">
        <v>0.3</v>
      </c>
      <c r="Q5" s="12" t="n"/>
      <c r="R5" s="12" t="n"/>
      <c r="S5" s="12" t="n"/>
      <c r="T5" s="12" t="n"/>
      <c r="U5" s="12" t="n">
        <v>0.1</v>
      </c>
      <c r="V5" s="12" t="n"/>
      <c r="W5" s="12" t="n"/>
      <c r="X5" s="12" t="n"/>
      <c r="Y5" s="12" t="n"/>
      <c r="Z5" s="13">
        <f>SUMPRODUCT(N5:Y5,$N$2:$Y$2)*$K5*$L5*$M5</f>
        <v/>
      </c>
      <c r="AA5" s="14">
        <f>SUM(N5:Y5)</f>
        <v/>
      </c>
      <c r="AB5" s="14">
        <f>IFERROR(IF(UPPER($E5)="L",SUMPRODUCT(N5:Y5,$N$3:$Y$3,$N$2:$Y$2),SUMPRODUCT(N5:Y5,$N$4:$Y$4,$N$2:$Y$2))/(Z5/($K5*$L5*$M5)),"")</f>
        <v/>
      </c>
      <c r="AC5" s="15" t="inlineStr">
        <is>
          <t>Unsigned; job battle. 60% full-time / 30% strong-side platoon / 10% utility. Missed April, and his own games-played record runs a little short of his role's.</t>
        </is>
      </c>
    </row>
    <row r="6">
      <c r="A6" s="9" t="n">
        <v>592450</v>
      </c>
      <c r="B6" s="9" t="inlineStr">
        <is>
          <t>Aaron Judge</t>
        </is>
      </c>
      <c r="C6" s="9" t="inlineStr">
        <is>
          <t>NYY</t>
        </is>
      </c>
      <c r="D6" s="9" t="n">
        <v>35</v>
      </c>
      <c r="E6" s="16" t="inlineStr">
        <is>
          <t>R</t>
        </is>
      </c>
      <c r="F6" s="16" t="inlineStr">
        <is>
          <t>RF</t>
        </is>
      </c>
      <c r="G6" s="9" t="n">
        <v>285</v>
      </c>
      <c r="H6" s="9" t="n">
        <v>2822</v>
      </c>
      <c r="I6" s="9" t="inlineStr">
        <is>
          <t>Full Time</t>
        </is>
      </c>
      <c r="J6" s="16" t="inlineStr">
        <is>
          <t>Opening Day</t>
        </is>
      </c>
      <c r="K6" s="11">
        <f>IFERROR(INDEX(Roles!$B$17:$B$20,MATCH(J6,Roles!$A$17:$A$20,0)),1)</f>
        <v/>
      </c>
      <c r="L6" s="17" t="n">
        <v>1</v>
      </c>
      <c r="M6" s="11" t="n">
        <v>0.9355525951754416</v>
      </c>
      <c r="N6" s="17" t="n">
        <v>1</v>
      </c>
      <c r="O6" s="17" t="n"/>
      <c r="P6" s="17" t="n"/>
      <c r="Q6" s="17" t="n"/>
      <c r="R6" s="17" t="n"/>
      <c r="S6" s="17" t="n"/>
      <c r="T6" s="17" t="n"/>
      <c r="U6" s="17" t="n"/>
      <c r="V6" s="17" t="n"/>
      <c r="W6" s="17" t="n"/>
      <c r="X6" s="17" t="n"/>
      <c r="Y6" s="17" t="n"/>
      <c r="Z6" s="13">
        <f>SUMPRODUCT(N6:Y6,$N$2:$Y$2)*$K6*$L6*$M6</f>
        <v/>
      </c>
      <c r="AA6" s="14">
        <f>SUM(N6:Y6)</f>
        <v/>
      </c>
      <c r="AB6" s="14">
        <f>IFERROR(IF(UPPER($E6)="L",SUMPRODUCT(N6:Y6,$N$3:$Y$3,$N$2:$Y$2),SUMPRODUCT(N6:Y6,$N$4:$Y$4,$N$2:$Y$2))/(Z6/($K6*$L6*$M6)),"")</f>
        <v/>
      </c>
      <c r="AC6" s="18" t="n"/>
    </row>
    <row r="7">
      <c r="A7" s="9" t="n">
        <v>680664</v>
      </c>
      <c r="B7" s="9" t="inlineStr">
        <is>
          <t>Eduardo Valencia</t>
        </is>
      </c>
      <c r="C7" s="9" t="inlineStr">
        <is>
          <t>DET</t>
        </is>
      </c>
      <c r="D7" s="9" t="n">
        <v>27</v>
      </c>
      <c r="E7" s="16" t="inlineStr">
        <is>
          <t>R</t>
        </is>
      </c>
      <c r="F7" s="16" t="inlineStr">
        <is>
          <t>C</t>
        </is>
      </c>
      <c r="G7" s="9" t="n">
        <v>138</v>
      </c>
      <c r="H7" s="9" t="n">
        <v>138</v>
      </c>
      <c r="I7" s="9" t="inlineStr">
        <is>
          <t>Bench Bat</t>
        </is>
      </c>
      <c r="J7" s="16" t="inlineStr">
        <is>
          <t>Opening Day</t>
        </is>
      </c>
      <c r="K7" s="11">
        <f>IFERROR(INDEX(Roles!$B$17:$B$20,MATCH(J7,Roles!$A$17:$A$20,0)),1)</f>
        <v/>
      </c>
      <c r="L7" s="17" t="n">
        <v>1</v>
      </c>
      <c r="M7" s="11" t="n">
        <v>1</v>
      </c>
      <c r="N7" s="17" t="n"/>
      <c r="O7" s="17" t="n"/>
      <c r="P7" s="17" t="n"/>
      <c r="Q7" s="17" t="n"/>
      <c r="R7" s="17" t="n"/>
      <c r="S7" s="17" t="n"/>
      <c r="T7" s="17" t="n"/>
      <c r="U7" s="17" t="n">
        <v>0.4</v>
      </c>
      <c r="V7" s="17" t="n"/>
      <c r="W7" s="17" t="n">
        <v>0.6</v>
      </c>
      <c r="X7" s="17" t="n"/>
      <c r="Y7" s="17" t="n"/>
      <c r="Z7" s="13">
        <f>SUMPRODUCT(N7:Y7,$N$2:$Y$2)*$K7*$L7*$M7</f>
        <v/>
      </c>
      <c r="AA7" s="14">
        <f>SUM(N7:Y7)</f>
        <v/>
      </c>
      <c r="AB7" s="14">
        <f>IFERROR(IF(UPPER($E7)="L",SUMPRODUCT(N7:Y7,$N$3:$Y$3,$N$2:$Y$2),SUMPRODUCT(N7:Y7,$N$4:$Y$4,$N$2:$Y$2))/(Z7/($K7*$L7*$M7)),"")</f>
        <v/>
      </c>
      <c r="AC7" s="18" t="n"/>
    </row>
    <row r="8">
      <c r="A8" s="9" t="n">
        <v>691002</v>
      </c>
      <c r="B8" s="9" t="inlineStr">
        <is>
          <t>Yohandy Morales</t>
        </is>
      </c>
      <c r="C8" s="9" t="inlineStr">
        <is>
          <t>WSH</t>
        </is>
      </c>
      <c r="D8" s="9" t="n">
        <v>26</v>
      </c>
      <c r="E8" s="16" t="inlineStr">
        <is>
          <t>R</t>
        </is>
      </c>
      <c r="F8" s="16" t="inlineStr">
        <is>
          <t>1B</t>
        </is>
      </c>
      <c r="G8" s="9" t="n">
        <v>47</v>
      </c>
      <c r="H8" s="9" t="n">
        <v>47</v>
      </c>
      <c r="I8" s="9" t="inlineStr">
        <is>
          <t>Weak Side Platoon</t>
        </is>
      </c>
      <c r="J8" s="16" t="inlineStr">
        <is>
          <t>Opening Day</t>
        </is>
      </c>
      <c r="K8" s="11">
        <f>IFERROR(INDEX(Roles!$B$17:$B$20,MATCH(J8,Roles!$A$17:$A$20,0)),1)</f>
        <v/>
      </c>
      <c r="L8" s="17" t="n">
        <v>1</v>
      </c>
      <c r="M8" s="11" t="n">
        <v>1</v>
      </c>
      <c r="N8" s="17" t="n"/>
      <c r="O8" s="17" t="n"/>
      <c r="P8" s="17" t="n"/>
      <c r="Q8" s="17" t="n">
        <v>0.6</v>
      </c>
      <c r="R8" s="17" t="n"/>
      <c r="S8" s="17" t="n"/>
      <c r="T8" s="17" t="n"/>
      <c r="U8" s="17" t="n">
        <v>0.4</v>
      </c>
      <c r="V8" s="17" t="n"/>
      <c r="W8" s="17" t="n"/>
      <c r="X8" s="17" t="n"/>
      <c r="Y8" s="17" t="n"/>
      <c r="Z8" s="13">
        <f>SUMPRODUCT(N8:Y8,$N$2:$Y$2)*$K8*$L8*$M8</f>
        <v/>
      </c>
      <c r="AA8" s="14">
        <f>SUM(N8:Y8)</f>
        <v/>
      </c>
      <c r="AB8" s="14">
        <f>IFERROR(IF(UPPER($E8)="L",SUMPRODUCT(N8:Y8,$N$3:$Y$3,$N$2:$Y$2),SUMPRODUCT(N8:Y8,$N$4:$Y$4,$N$2:$Y$2))/(Z8/($K8*$L8*$M8)),"")</f>
        <v/>
      </c>
      <c r="AC8" s="18" t="n"/>
    </row>
    <row r="9">
      <c r="A9" s="9" t="n">
        <v>804668</v>
      </c>
      <c r="B9" s="9" t="inlineStr">
        <is>
          <t>Rafael Flores Jr.</t>
        </is>
      </c>
      <c r="C9" s="9" t="inlineStr">
        <is>
          <t>PIT</t>
        </is>
      </c>
      <c r="D9" s="9" t="n">
        <v>26</v>
      </c>
      <c r="E9" s="16" t="inlineStr">
        <is>
          <t>R</t>
        </is>
      </c>
      <c r="F9" s="16" t="inlineStr">
        <is>
          <t>C</t>
        </is>
      </c>
      <c r="G9" s="9" t="n">
        <v>163</v>
      </c>
      <c r="H9" s="9" t="n">
        <v>180</v>
      </c>
      <c r="I9" s="9" t="inlineStr">
        <is>
          <t>Catcher - Primary</t>
        </is>
      </c>
      <c r="J9" s="16" t="inlineStr">
        <is>
          <t>Opening Day</t>
        </is>
      </c>
      <c r="K9" s="11">
        <f>IFERROR(INDEX(Roles!$B$17:$B$20,MATCH(J9,Roles!$A$17:$A$20,0)),1)</f>
        <v/>
      </c>
      <c r="L9" s="17" t="n">
        <v>1</v>
      </c>
      <c r="M9" s="11" t="n">
        <v>1</v>
      </c>
      <c r="N9" s="17" t="n"/>
      <c r="O9" s="17" t="n"/>
      <c r="P9" s="17" t="n"/>
      <c r="Q9" s="17" t="n"/>
      <c r="R9" s="17" t="n">
        <v>0.75</v>
      </c>
      <c r="S9" s="17" t="n">
        <v>0.25</v>
      </c>
      <c r="T9" s="17" t="n"/>
      <c r="U9" s="17" t="n"/>
      <c r="V9" s="17" t="n"/>
      <c r="W9" s="17" t="n"/>
      <c r="X9" s="17" t="n"/>
      <c r="Y9" s="17" t="n"/>
      <c r="Z9" s="13">
        <f>SUMPRODUCT(N9:Y9,$N$2:$Y$2)*$K9*$L9*$M9</f>
        <v/>
      </c>
      <c r="AA9" s="14">
        <f>SUM(N9:Y9)</f>
        <v/>
      </c>
      <c r="AB9" s="14">
        <f>IFERROR(IF(UPPER($E9)="L",SUMPRODUCT(N9:Y9,$N$3:$Y$3,$N$2:$Y$2),SUMPRODUCT(N9:Y9,$N$4:$Y$4,$N$2:$Y$2))/(Z9/($K9*$L9*$M9)),"")</f>
        <v/>
      </c>
      <c r="AC9" s="18" t="n"/>
    </row>
    <row r="10">
      <c r="A10" s="9" t="n">
        <v>660271</v>
      </c>
      <c r="B10" s="9" t="inlineStr">
        <is>
          <t>Shohei Ohtani</t>
        </is>
      </c>
      <c r="C10" s="9" t="inlineStr">
        <is>
          <t>LAD</t>
        </is>
      </c>
      <c r="D10" s="9" t="n">
        <v>32</v>
      </c>
      <c r="E10" s="16" t="inlineStr">
        <is>
          <t>L</t>
        </is>
      </c>
      <c r="F10" s="16" t="inlineStr">
        <is>
          <t>P</t>
        </is>
      </c>
      <c r="G10" s="9" t="n">
        <v>618</v>
      </c>
      <c r="H10" s="9" t="n">
        <v>3341</v>
      </c>
      <c r="I10" s="9" t="inlineStr">
        <is>
          <t>Everyday DH / 1B-DH</t>
        </is>
      </c>
      <c r="J10" s="16" t="inlineStr">
        <is>
          <t>Opening Day</t>
        </is>
      </c>
      <c r="K10" s="11">
        <f>IFERROR(INDEX(Roles!$B$17:$B$20,MATCH(J10,Roles!$A$17:$A$20,0)),1)</f>
        <v/>
      </c>
      <c r="L10" s="17" t="n">
        <v>1</v>
      </c>
      <c r="M10" s="11" t="n">
        <v>1.115087234671716</v>
      </c>
      <c r="N10" s="17" t="n"/>
      <c r="O10" s="17" t="n">
        <v>1</v>
      </c>
      <c r="P10" s="17" t="n"/>
      <c r="Q10" s="17" t="n"/>
      <c r="R10" s="17" t="n"/>
      <c r="S10" s="17" t="n"/>
      <c r="T10" s="17" t="n"/>
      <c r="U10" s="17" t="n"/>
      <c r="V10" s="17" t="n"/>
      <c r="W10" s="17" t="n"/>
      <c r="X10" s="17" t="n"/>
      <c r="Y10" s="17" t="n"/>
      <c r="Z10" s="13">
        <f>SUMPRODUCT(N10:Y10,$N$2:$Y$2)*$K10*$L10*$M10</f>
        <v/>
      </c>
      <c r="AA10" s="14">
        <f>SUM(N10:Y10)</f>
        <v/>
      </c>
      <c r="AB10" s="14">
        <f>IFERROR(IF(UPPER($E10)="L",SUMPRODUCT(N10:Y10,$N$3:$Y$3,$N$2:$Y$2),SUMPRODUCT(N10:Y10,$N$4:$Y$4,$N$2:$Y$2))/(Z10/($K10*$L10*$M10)),"")</f>
        <v/>
      </c>
      <c r="AC10" s="18" t="n"/>
    </row>
    <row r="11">
      <c r="A11" s="9" t="n">
        <v>663728</v>
      </c>
      <c r="B11" s="9" t="inlineStr">
        <is>
          <t>Cal Raleigh</t>
        </is>
      </c>
      <c r="C11" s="9" t="inlineStr">
        <is>
          <t>SEA</t>
        </is>
      </c>
      <c r="D11" s="9" t="n">
        <v>30</v>
      </c>
      <c r="E11" s="16" t="inlineStr">
        <is>
          <t>S</t>
        </is>
      </c>
      <c r="F11" s="16" t="inlineStr">
        <is>
          <t>C</t>
        </is>
      </c>
      <c r="G11" s="9" t="n">
        <v>530</v>
      </c>
      <c r="H11" s="9" t="n">
        <v>2847</v>
      </c>
      <c r="I11" s="9" t="inlineStr">
        <is>
          <t>Catcher - Primary</t>
        </is>
      </c>
      <c r="J11" s="16" t="inlineStr">
        <is>
          <t>Opening Day</t>
        </is>
      </c>
      <c r="K11" s="11">
        <f>IFERROR(INDEX(Roles!$B$17:$B$20,MATCH(J11,Roles!$A$17:$A$20,0)),1)</f>
        <v/>
      </c>
      <c r="L11" s="17" t="n">
        <v>1</v>
      </c>
      <c r="M11" s="11" t="n">
        <v>1.15</v>
      </c>
      <c r="N11" s="17" t="n"/>
      <c r="O11" s="17" t="n"/>
      <c r="P11" s="17" t="n"/>
      <c r="Q11" s="17" t="n"/>
      <c r="R11" s="17" t="n">
        <v>1</v>
      </c>
      <c r="S11" s="17" t="n"/>
      <c r="T11" s="17" t="n"/>
      <c r="U11" s="17" t="n"/>
      <c r="V11" s="17" t="n"/>
      <c r="W11" s="17" t="n"/>
      <c r="X11" s="17" t="n"/>
      <c r="Y11" s="17" t="n"/>
      <c r="Z11" s="13">
        <f>SUMPRODUCT(N11:Y11,$N$2:$Y$2)*$K11*$L11*$M11</f>
        <v/>
      </c>
      <c r="AA11" s="14">
        <f>SUM(N11:Y11)</f>
        <v/>
      </c>
      <c r="AB11" s="14">
        <f>IFERROR(IF(UPPER($E11)="L",SUMPRODUCT(N11:Y11,$N$3:$Y$3,$N$2:$Y$2),SUMPRODUCT(N11:Y11,$N$4:$Y$4,$N$2:$Y$2))/(Z11/($K11*$L11*$M11)),"")</f>
        <v/>
      </c>
      <c r="AC11" s="18" t="n"/>
    </row>
    <row r="12">
      <c r="A12" s="9" t="n">
        <v>519317</v>
      </c>
      <c r="B12" s="9" t="inlineStr">
        <is>
          <t>Giancarlo Stanton</t>
        </is>
      </c>
      <c r="C12" s="9" t="inlineStr">
        <is>
          <t>NYY</t>
        </is>
      </c>
      <c r="D12" s="9" t="n">
        <v>37</v>
      </c>
      <c r="E12" s="16" t="inlineStr">
        <is>
          <t>R</t>
        </is>
      </c>
      <c r="F12" s="16" t="inlineStr">
        <is>
          <t>RF</t>
        </is>
      </c>
      <c r="G12" s="9" t="n">
        <v>96</v>
      </c>
      <c r="H12" s="9" t="n">
        <v>1703</v>
      </c>
      <c r="I12" s="9" t="inlineStr">
        <is>
          <t>Full Time</t>
        </is>
      </c>
      <c r="J12" s="16" t="inlineStr">
        <is>
          <t>Opening Day</t>
        </is>
      </c>
      <c r="K12" s="11">
        <f>IFERROR(INDEX(Roles!$B$17:$B$20,MATCH(J12,Roles!$A$17:$A$20,0)),1)</f>
        <v/>
      </c>
      <c r="L12" s="17" t="n">
        <v>1</v>
      </c>
      <c r="M12" s="11" t="n">
        <v>0.6406184713826646</v>
      </c>
      <c r="N12" s="17" t="n">
        <v>1</v>
      </c>
      <c r="O12" s="17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  <c r="Z12" s="13">
        <f>SUMPRODUCT(N12:Y12,$N$2:$Y$2)*$K12*$L12*$M12</f>
        <v/>
      </c>
      <c r="AA12" s="14">
        <f>SUM(N12:Y12)</f>
        <v/>
      </c>
      <c r="AB12" s="14">
        <f>IFERROR(IF(UPPER($E12)="L",SUMPRODUCT(N12:Y12,$N$3:$Y$3,$N$2:$Y$2),SUMPRODUCT(N12:Y12,$N$4:$Y$4,$N$2:$Y$2))/(Z12/($K12*$L12*$M12)),"")</f>
        <v/>
      </c>
      <c r="AC12" s="18" t="n"/>
    </row>
    <row r="13">
      <c r="A13" s="9" t="n">
        <v>656941</v>
      </c>
      <c r="B13" s="9" t="inlineStr">
        <is>
          <t>Kyle Schwarber</t>
        </is>
      </c>
      <c r="C13" s="9" t="inlineStr">
        <is>
          <t>PHI</t>
        </is>
      </c>
      <c r="D13" s="9" t="n">
        <v>34</v>
      </c>
      <c r="E13" s="16" t="inlineStr">
        <is>
          <t>L</t>
        </is>
      </c>
      <c r="F13" s="16" t="inlineStr">
        <is>
          <t>1B</t>
        </is>
      </c>
      <c r="G13" s="9" t="n">
        <v>701</v>
      </c>
      <c r="H13" s="9" t="n">
        <v>3506</v>
      </c>
      <c r="I13" s="9" t="inlineStr">
        <is>
          <t>Everyday DH / 1B-DH</t>
        </is>
      </c>
      <c r="J13" s="16" t="inlineStr">
        <is>
          <t>Opening Day</t>
        </is>
      </c>
      <c r="K13" s="11">
        <f>IFERROR(INDEX(Roles!$B$17:$B$20,MATCH(J13,Roles!$A$17:$A$20,0)),1)</f>
        <v/>
      </c>
      <c r="L13" s="17" t="n">
        <v>1</v>
      </c>
      <c r="M13" s="11" t="n">
        <v>1.15</v>
      </c>
      <c r="N13" s="17" t="n"/>
      <c r="O13" s="17" t="n">
        <v>1</v>
      </c>
      <c r="P13" s="17" t="n"/>
      <c r="Q13" s="17" t="n"/>
      <c r="R13" s="17" t="n"/>
      <c r="S13" s="17" t="n"/>
      <c r="T13" s="17" t="n"/>
      <c r="U13" s="17" t="n"/>
      <c r="V13" s="17" t="n"/>
      <c r="W13" s="17" t="n"/>
      <c r="X13" s="17" t="n"/>
      <c r="Y13" s="17" t="n"/>
      <c r="Z13" s="13">
        <f>SUMPRODUCT(N13:Y13,$N$2:$Y$2)*$K13*$L13*$M13</f>
        <v/>
      </c>
      <c r="AA13" s="14">
        <f>SUM(N13:Y13)</f>
        <v/>
      </c>
      <c r="AB13" s="14">
        <f>IFERROR(IF(UPPER($E13)="L",SUMPRODUCT(N13:Y13,$N$3:$Y$3,$N$2:$Y$2),SUMPRODUCT(N13:Y13,$N$4:$Y$4,$N$2:$Y$2))/(Z13/($K13*$L13*$M13)),"")</f>
        <v/>
      </c>
      <c r="AC13" s="18" t="n"/>
    </row>
    <row r="14">
      <c r="A14" s="9" t="n">
        <v>608596</v>
      </c>
      <c r="B14" s="9" t="inlineStr">
        <is>
          <t>Tom Murphy</t>
        </is>
      </c>
      <c r="C14" s="9" t="inlineStr">
        <is>
          <t>SF</t>
        </is>
      </c>
      <c r="D14" s="9" t="n">
        <v>36</v>
      </c>
      <c r="E14" s="16" t="inlineStr">
        <is>
          <t>R</t>
        </is>
      </c>
      <c r="F14" s="16" t="inlineStr">
        <is>
          <t>C</t>
        </is>
      </c>
      <c r="G14" s="9" t="n">
        <v>38</v>
      </c>
      <c r="H14" s="9" t="n">
        <v>239</v>
      </c>
      <c r="I14" s="9" t="inlineStr">
        <is>
          <t>Depth (no MLB PA)</t>
        </is>
      </c>
      <c r="J14" s="16" t="inlineStr">
        <is>
          <t>Opening Day</t>
        </is>
      </c>
      <c r="K14" s="11">
        <f>IFERROR(INDEX(Roles!$B$17:$B$20,MATCH(J14,Roles!$A$17:$A$20,0)),1)</f>
        <v/>
      </c>
      <c r="L14" s="17" t="n">
        <v>1</v>
      </c>
      <c r="M14" s="11" t="n">
        <v>1</v>
      </c>
      <c r="N14" s="17" t="n"/>
      <c r="O14" s="17" t="n"/>
      <c r="P14" s="17" t="n"/>
      <c r="Q14" s="17" t="n"/>
      <c r="R14" s="17" t="n"/>
      <c r="S14" s="17" t="n"/>
      <c r="T14" s="17" t="n"/>
      <c r="U14" s="17" t="n"/>
      <c r="V14" s="17" t="n"/>
      <c r="W14" s="17" t="n"/>
      <c r="X14" s="17" t="n"/>
      <c r="Y14" s="17" t="n">
        <v>1</v>
      </c>
      <c r="Z14" s="13">
        <f>SUMPRODUCT(N14:Y14,$N$2:$Y$2)*$K14*$L14*$M14</f>
        <v/>
      </c>
      <c r="AA14" s="14">
        <f>SUM(N14:Y14)</f>
        <v/>
      </c>
      <c r="AB14" s="14">
        <f>IFERROR(IF(UPPER($E14)="L",SUMPRODUCT(N14:Y14,$N$3:$Y$3,$N$2:$Y$2),SUMPRODUCT(N14:Y14,$N$4:$Y$4,$N$2:$Y$2))/(Z14/($K14*$L14*$M14)),"")</f>
        <v/>
      </c>
      <c r="AC14" s="18" t="n"/>
    </row>
    <row r="15">
      <c r="A15" s="9" t="n">
        <v>680837</v>
      </c>
      <c r="B15" s="9" t="inlineStr">
        <is>
          <t>Ryan Fitzgerald</t>
        </is>
      </c>
      <c r="C15" s="9" t="inlineStr">
        <is>
          <t>MIN</t>
        </is>
      </c>
      <c r="D15" s="9" t="n">
        <v>33</v>
      </c>
      <c r="E15" s="16" t="inlineStr">
        <is>
          <t>L</t>
        </is>
      </c>
      <c r="F15" s="16" t="inlineStr">
        <is>
          <t>SS</t>
        </is>
      </c>
      <c r="G15" s="9" t="n">
        <v>53</v>
      </c>
      <c r="H15" s="9" t="n">
        <v>53</v>
      </c>
      <c r="I15" s="9" t="inlineStr">
        <is>
          <t>Bench Bat</t>
        </is>
      </c>
      <c r="J15" s="16" t="inlineStr">
        <is>
          <t>Opening Day</t>
        </is>
      </c>
      <c r="K15" s="11">
        <f>IFERROR(INDEX(Roles!$B$17:$B$20,MATCH(J15,Roles!$A$17:$A$20,0)),1)</f>
        <v/>
      </c>
      <c r="L15" s="17" t="n">
        <v>1</v>
      </c>
      <c r="M15" s="11" t="n">
        <v>1</v>
      </c>
      <c r="N15" s="17" t="n"/>
      <c r="O15" s="17" t="n"/>
      <c r="P15" s="17" t="n"/>
      <c r="Q15" s="17" t="n"/>
      <c r="R15" s="17" t="n"/>
      <c r="S15" s="17" t="n"/>
      <c r="T15" s="17" t="n"/>
      <c r="U15" s="17" t="n"/>
      <c r="V15" s="17" t="n"/>
      <c r="W15" s="17" t="n">
        <v>1</v>
      </c>
      <c r="X15" s="17" t="n"/>
      <c r="Y15" s="17" t="n"/>
      <c r="Z15" s="13">
        <f>SUMPRODUCT(N15:Y15,$N$2:$Y$2)*$K15*$L15*$M15</f>
        <v/>
      </c>
      <c r="AA15" s="14">
        <f>SUM(N15:Y15)</f>
        <v/>
      </c>
      <c r="AB15" s="14">
        <f>IFERROR(IF(UPPER($E15)="L",SUMPRODUCT(N15:Y15,$N$3:$Y$3,$N$2:$Y$2),SUMPRODUCT(N15:Y15,$N$4:$Y$4,$N$2:$Y$2))/(Z15/($K15*$L15*$M15)),"")</f>
        <v/>
      </c>
      <c r="AC15" s="18" t="n"/>
    </row>
    <row r="16">
      <c r="A16" s="9" t="n">
        <v>665742</v>
      </c>
      <c r="B16" s="9" t="inlineStr">
        <is>
          <t>Juan Soto</t>
        </is>
      </c>
      <c r="C16" s="9" t="inlineStr">
        <is>
          <t>NYM</t>
        </is>
      </c>
      <c r="D16" s="9" t="n">
        <v>28</v>
      </c>
      <c r="E16" s="16" t="inlineStr">
        <is>
          <t>L</t>
        </is>
      </c>
      <c r="F16" s="16" t="inlineStr">
        <is>
          <t>LF</t>
        </is>
      </c>
      <c r="G16" s="9" t="n">
        <v>482</v>
      </c>
      <c r="H16" s="9" t="n">
        <v>3282</v>
      </c>
      <c r="I16" s="9" t="inlineStr">
        <is>
          <t>Full Time</t>
        </is>
      </c>
      <c r="J16" s="16" t="inlineStr">
        <is>
          <t>Opening Day</t>
        </is>
      </c>
      <c r="K16" s="11">
        <f>IFERROR(INDEX(Roles!$B$17:$B$20,MATCH(J16,Roles!$A$17:$A$20,0)),1)</f>
        <v/>
      </c>
      <c r="L16" s="17" t="n">
        <v>1</v>
      </c>
      <c r="M16" s="11" t="n">
        <v>1.057946006778208</v>
      </c>
      <c r="N16" s="17" t="n">
        <v>1</v>
      </c>
      <c r="O16" s="17" t="n"/>
      <c r="P16" s="17" t="n"/>
      <c r="Q16" s="17" t="n"/>
      <c r="R16" s="17" t="n"/>
      <c r="S16" s="17" t="n"/>
      <c r="T16" s="17" t="n"/>
      <c r="U16" s="17" t="n"/>
      <c r="V16" s="17" t="n"/>
      <c r="W16" s="17" t="n"/>
      <c r="X16" s="17" t="n"/>
      <c r="Y16" s="17" t="n"/>
      <c r="Z16" s="13">
        <f>SUMPRODUCT(N16:Y16,$N$2:$Y$2)*$K16*$L16*$M16</f>
        <v/>
      </c>
      <c r="AA16" s="14">
        <f>SUM(N16:Y16)</f>
        <v/>
      </c>
      <c r="AB16" s="14">
        <f>IFERROR(IF(UPPER($E16)="L",SUMPRODUCT(N16:Y16,$N$3:$Y$3,$N$2:$Y$2),SUMPRODUCT(N16:Y16,$N$4:$Y$4,$N$2:$Y$2))/(Z16/($K16*$L16*$M16)),"")</f>
        <v/>
      </c>
      <c r="AC16" s="18" t="n"/>
    </row>
    <row r="17">
      <c r="A17" s="9" t="n">
        <v>621439</v>
      </c>
      <c r="B17" s="9" t="inlineStr">
        <is>
          <t>Byron Buxton</t>
        </is>
      </c>
      <c r="C17" s="9" t="inlineStr">
        <is>
          <t>MIN</t>
        </is>
      </c>
      <c r="D17" s="9" t="n">
        <v>33</v>
      </c>
      <c r="E17" s="16" t="inlineStr">
        <is>
          <t>R</t>
        </is>
      </c>
      <c r="F17" s="16" t="inlineStr">
        <is>
          <t>CF</t>
        </is>
      </c>
      <c r="G17" s="9" t="n">
        <v>408</v>
      </c>
      <c r="H17" s="9" t="n">
        <v>2067</v>
      </c>
      <c r="I17" s="9" t="inlineStr">
        <is>
          <t>Full Time</t>
        </is>
      </c>
      <c r="J17" s="16" t="inlineStr">
        <is>
          <t>Opening Day</t>
        </is>
      </c>
      <c r="K17" s="11">
        <f>IFERROR(INDEX(Roles!$B$17:$B$20,MATCH(J17,Roles!$A$17:$A$20,0)),1)</f>
        <v/>
      </c>
      <c r="L17" s="17" t="n">
        <v>1</v>
      </c>
      <c r="M17" s="11" t="n">
        <v>0.9083540592637156</v>
      </c>
      <c r="N17" s="17" t="n">
        <v>1</v>
      </c>
      <c r="O17" s="17" t="n"/>
      <c r="P17" s="17" t="n"/>
      <c r="Q17" s="17" t="n"/>
      <c r="R17" s="17" t="n"/>
      <c r="S17" s="17" t="n"/>
      <c r="T17" s="17" t="n"/>
      <c r="U17" s="17" t="n"/>
      <c r="V17" s="17" t="n"/>
      <c r="W17" s="17" t="n"/>
      <c r="X17" s="17" t="n"/>
      <c r="Y17" s="17" t="n"/>
      <c r="Z17" s="13">
        <f>SUMPRODUCT(N17:Y17,$N$2:$Y$2)*$K17*$L17*$M17</f>
        <v/>
      </c>
      <c r="AA17" s="14">
        <f>SUM(N17:Y17)</f>
        <v/>
      </c>
      <c r="AB17" s="14">
        <f>IFERROR(IF(UPPER($E17)="L",SUMPRODUCT(N17:Y17,$N$3:$Y$3,$N$2:$Y$2),SUMPRODUCT(N17:Y17,$N$4:$Y$4,$N$2:$Y$2))/(Z17/($K17*$L17*$M17)),"")</f>
        <v/>
      </c>
      <c r="AC17" s="18" t="n"/>
    </row>
    <row r="18">
      <c r="A18" s="9" t="n">
        <v>808959</v>
      </c>
      <c r="B18" s="9" t="inlineStr">
        <is>
          <t>Munetaka Murakami</t>
        </is>
      </c>
      <c r="C18" s="9" t="inlineStr">
        <is>
          <t>CWS</t>
        </is>
      </c>
      <c r="D18" s="9" t="n">
        <v>27</v>
      </c>
      <c r="E18" s="16" t="inlineStr">
        <is>
          <t>L</t>
        </is>
      </c>
      <c r="F18" s="16" t="inlineStr">
        <is>
          <t>1B</t>
        </is>
      </c>
      <c r="G18" s="9" t="n">
        <v>553</v>
      </c>
      <c r="H18" s="9" t="n">
        <v>553</v>
      </c>
      <c r="I18" s="9" t="inlineStr">
        <is>
          <t>Full Time</t>
        </is>
      </c>
      <c r="J18" s="16" t="inlineStr">
        <is>
          <t>Opening Day</t>
        </is>
      </c>
      <c r="K18" s="11">
        <f>IFERROR(INDEX(Roles!$B$17:$B$20,MATCH(J18,Roles!$A$17:$A$20,0)),1)</f>
        <v/>
      </c>
      <c r="L18" s="17" t="n">
        <v>1</v>
      </c>
      <c r="M18" s="11" t="n">
        <v>0.9798688467561596</v>
      </c>
      <c r="N18" s="17" t="n">
        <v>1</v>
      </c>
      <c r="O18" s="17" t="n"/>
      <c r="P18" s="17" t="n"/>
      <c r="Q18" s="17" t="n"/>
      <c r="R18" s="17" t="n"/>
      <c r="S18" s="17" t="n"/>
      <c r="T18" s="17" t="n"/>
      <c r="U18" s="17" t="n"/>
      <c r="V18" s="17" t="n"/>
      <c r="W18" s="17" t="n"/>
      <c r="X18" s="17" t="n"/>
      <c r="Y18" s="17" t="n"/>
      <c r="Z18" s="13">
        <f>SUMPRODUCT(N18:Y18,$N$2:$Y$2)*$K18*$L18*$M18</f>
        <v/>
      </c>
      <c r="AA18" s="14">
        <f>SUM(N18:Y18)</f>
        <v/>
      </c>
      <c r="AB18" s="14">
        <f>IFERROR(IF(UPPER($E18)="L",SUMPRODUCT(N18:Y18,$N$3:$Y$3,$N$2:$Y$2),SUMPRODUCT(N18:Y18,$N$4:$Y$4,$N$2:$Y$2))/(Z18/($K18*$L18*$M18)),"")</f>
        <v/>
      </c>
      <c r="AC18" s="18" t="n"/>
    </row>
    <row r="19">
      <c r="A19" s="9" t="n">
        <v>695491</v>
      </c>
      <c r="B19" s="9" t="inlineStr">
        <is>
          <t>Joshua Báez</t>
        </is>
      </c>
      <c r="C19" s="9" t="inlineStr">
        <is>
          <t>STL</t>
        </is>
      </c>
      <c r="D19" s="9" t="n">
        <v>24</v>
      </c>
      <c r="E19" s="16" t="inlineStr">
        <is>
          <t>R</t>
        </is>
      </c>
      <c r="F19" s="16" t="inlineStr">
        <is>
          <t>LF</t>
        </is>
      </c>
      <c r="G19" s="9" t="n">
        <v>108</v>
      </c>
      <c r="H19" s="9" t="n">
        <v>108</v>
      </c>
      <c r="I19" s="9" t="inlineStr">
        <is>
          <t>Bench Bat</t>
        </is>
      </c>
      <c r="J19" s="16" t="inlineStr">
        <is>
          <t>Opening Day</t>
        </is>
      </c>
      <c r="K19" s="11">
        <f>IFERROR(INDEX(Roles!$B$17:$B$20,MATCH(J19,Roles!$A$17:$A$20,0)),1)</f>
        <v/>
      </c>
      <c r="L19" s="17" t="n">
        <v>1</v>
      </c>
      <c r="M19" s="11" t="n">
        <v>1</v>
      </c>
      <c r="N19" s="17" t="n"/>
      <c r="O19" s="17" t="n"/>
      <c r="P19" s="17" t="n"/>
      <c r="Q19" s="17" t="n"/>
      <c r="R19" s="17" t="n"/>
      <c r="S19" s="17" t="n"/>
      <c r="T19" s="17" t="n"/>
      <c r="U19" s="17" t="n"/>
      <c r="V19" s="17" t="n"/>
      <c r="W19" s="17" t="n">
        <v>0.85</v>
      </c>
      <c r="X19" s="17" t="n">
        <v>0.15</v>
      </c>
      <c r="Y19" s="17" t="n"/>
      <c r="Z19" s="13">
        <f>SUMPRODUCT(N19:Y19,$N$2:$Y$2)*$K19*$L19*$M19</f>
        <v/>
      </c>
      <c r="AA19" s="14">
        <f>SUM(N19:Y19)</f>
        <v/>
      </c>
      <c r="AB19" s="14">
        <f>IFERROR(IF(UPPER($E19)="L",SUMPRODUCT(N19:Y19,$N$3:$Y$3,$N$2:$Y$2),SUMPRODUCT(N19:Y19,$N$4:$Y$4,$N$2:$Y$2))/(Z19/($K19*$L19*$M19)),"")</f>
        <v/>
      </c>
      <c r="AC19" s="18" t="n"/>
    </row>
    <row r="20">
      <c r="A20" s="9" t="n">
        <v>624413</v>
      </c>
      <c r="B20" s="9" t="inlineStr">
        <is>
          <t>Pete Alonso</t>
        </is>
      </c>
      <c r="C20" s="9" t="inlineStr">
        <is>
          <t>BAL</t>
        </is>
      </c>
      <c r="D20" s="9" t="n">
        <v>32</v>
      </c>
      <c r="E20" s="16" t="inlineStr">
        <is>
          <t>R</t>
        </is>
      </c>
      <c r="F20" s="16" t="inlineStr">
        <is>
          <t>1B</t>
        </is>
      </c>
      <c r="G20" s="9" t="n">
        <v>700</v>
      </c>
      <c r="H20" s="9" t="n">
        <v>3447</v>
      </c>
      <c r="I20" s="9" t="inlineStr">
        <is>
          <t>Full Time</t>
        </is>
      </c>
      <c r="J20" s="16" t="inlineStr">
        <is>
          <t>Opening Day</t>
        </is>
      </c>
      <c r="K20" s="11">
        <f>IFERROR(INDEX(Roles!$B$17:$B$20,MATCH(J20,Roles!$A$17:$A$20,0)),1)</f>
        <v/>
      </c>
      <c r="L20" s="17" t="n">
        <v>1</v>
      </c>
      <c r="M20" s="11" t="n">
        <v>1.15</v>
      </c>
      <c r="N20" s="17" t="n">
        <v>1</v>
      </c>
      <c r="O20" s="17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  <c r="Z20" s="13">
        <f>SUMPRODUCT(N20:Y20,$N$2:$Y$2)*$K20*$L20*$M20</f>
        <v/>
      </c>
      <c r="AA20" s="14">
        <f>SUM(N20:Y20)</f>
        <v/>
      </c>
      <c r="AB20" s="14">
        <f>IFERROR(IF(UPPER($E20)="L",SUMPRODUCT(N20:Y20,$N$3:$Y$3,$N$2:$Y$2),SUMPRODUCT(N20:Y20,$N$4:$Y$4,$N$2:$Y$2))/(Z20/($K20*$L20*$M20)),"")</f>
        <v/>
      </c>
      <c r="AC20" s="18" t="n"/>
    </row>
    <row r="21">
      <c r="A21" s="9" t="n">
        <v>699013</v>
      </c>
      <c r="B21" s="9" t="inlineStr">
        <is>
          <t>Esmerlyn Valdez</t>
        </is>
      </c>
      <c r="C21" s="9" t="inlineStr">
        <is>
          <t>PIT</t>
        </is>
      </c>
      <c r="D21" s="9" t="n">
        <v>23</v>
      </c>
      <c r="E21" s="16" t="inlineStr">
        <is>
          <t>R</t>
        </is>
      </c>
      <c r="F21" s="16" t="inlineStr">
        <is>
          <t>RF</t>
        </is>
      </c>
      <c r="G21" s="9" t="n">
        <v>287</v>
      </c>
      <c r="H21" s="9" t="n">
        <v>287</v>
      </c>
      <c r="I21" s="9" t="inlineStr">
        <is>
          <t>Bench Bat</t>
        </is>
      </c>
      <c r="J21" s="16" t="inlineStr">
        <is>
          <t>Opening Day</t>
        </is>
      </c>
      <c r="K21" s="11">
        <f>IFERROR(INDEX(Roles!$B$17:$B$20,MATCH(J21,Roles!$A$17:$A$20,0)),1)</f>
        <v/>
      </c>
      <c r="L21" s="17" t="n">
        <v>1</v>
      </c>
      <c r="M21" s="11" t="n">
        <v>1</v>
      </c>
      <c r="N21" s="17" t="n">
        <v>0.4</v>
      </c>
      <c r="O21" s="17" t="n"/>
      <c r="P21" s="17" t="n"/>
      <c r="Q21" s="17" t="n"/>
      <c r="R21" s="17" t="n"/>
      <c r="S21" s="17" t="n"/>
      <c r="T21" s="17" t="n"/>
      <c r="U21" s="17" t="n"/>
      <c r="V21" s="17" t="n"/>
      <c r="W21" s="17" t="n">
        <v>0.6</v>
      </c>
      <c r="X21" s="17" t="n"/>
      <c r="Y21" s="17" t="n"/>
      <c r="Z21" s="13">
        <f>SUMPRODUCT(N21:Y21,$N$2:$Y$2)*$K21*$L21*$M21</f>
        <v/>
      </c>
      <c r="AA21" s="14">
        <f>SUM(N21:Y21)</f>
        <v/>
      </c>
      <c r="AB21" s="14">
        <f>IFERROR(IF(UPPER($E21)="L",SUMPRODUCT(N21:Y21,$N$3:$Y$3,$N$2:$Y$2),SUMPRODUCT(N21:Y21,$N$4:$Y$4,$N$2:$Y$2))/(Z21/($K21*$L21*$M21)),"")</f>
        <v/>
      </c>
      <c r="AC21" s="18" t="n"/>
    </row>
    <row r="22">
      <c r="A22" s="9" t="n">
        <v>621550</v>
      </c>
      <c r="B22" s="9" t="inlineStr">
        <is>
          <t>Patrick Wisdom</t>
        </is>
      </c>
      <c r="C22" s="9" t="inlineStr">
        <is>
          <t>SEA</t>
        </is>
      </c>
      <c r="D22" s="9" t="n">
        <v>35</v>
      </c>
      <c r="E22" s="16" t="inlineStr">
        <is>
          <t>R</t>
        </is>
      </c>
      <c r="F22" s="16" t="inlineStr">
        <is>
          <t>3B</t>
        </is>
      </c>
      <c r="G22" s="9" t="n">
        <v>50</v>
      </c>
      <c r="H22" s="9" t="n">
        <v>1060</v>
      </c>
      <c r="I22" s="9" t="inlineStr">
        <is>
          <t>Weak Side Platoon</t>
        </is>
      </c>
      <c r="J22" s="16" t="inlineStr">
        <is>
          <t>Opening Day</t>
        </is>
      </c>
      <c r="K22" s="11">
        <f>IFERROR(INDEX(Roles!$B$17:$B$20,MATCH(J22,Roles!$A$17:$A$20,0)),1)</f>
        <v/>
      </c>
      <c r="L22" s="17" t="n">
        <v>1</v>
      </c>
      <c r="M22" s="11" t="n">
        <v>1</v>
      </c>
      <c r="N22" s="17" t="n"/>
      <c r="O22" s="17" t="n"/>
      <c r="P22" s="17" t="n"/>
      <c r="Q22" s="17" t="n">
        <v>1</v>
      </c>
      <c r="R22" s="17" t="n"/>
      <c r="S22" s="17" t="n"/>
      <c r="T22" s="17" t="n"/>
      <c r="U22" s="17" t="n"/>
      <c r="V22" s="17" t="n"/>
      <c r="W22" s="17" t="n"/>
      <c r="X22" s="17" t="n"/>
      <c r="Y22" s="17" t="n"/>
      <c r="Z22" s="13">
        <f>SUMPRODUCT(N22:Y22,$N$2:$Y$2)*$K22*$L22*$M22</f>
        <v/>
      </c>
      <c r="AA22" s="14">
        <f>SUM(N22:Y22)</f>
        <v/>
      </c>
      <c r="AB22" s="14">
        <f>IFERROR(IF(UPPER($E22)="L",SUMPRODUCT(N22:Y22,$N$3:$Y$3,$N$2:$Y$2),SUMPRODUCT(N22:Y22,$N$4:$Y$4,$N$2:$Y$2))/(Z22/($K22*$L22*$M22)),"")</f>
        <v/>
      </c>
      <c r="AC22" s="18" t="n"/>
    </row>
    <row r="23">
      <c r="A23" s="9" t="n">
        <v>666703</v>
      </c>
      <c r="B23" s="9" t="inlineStr">
        <is>
          <t>Eguy Rosario</t>
        </is>
      </c>
      <c r="C23" s="9" t="inlineStr">
        <is>
          <t>SD</t>
        </is>
      </c>
      <c r="D23" s="9" t="n">
        <v>27</v>
      </c>
      <c r="E23" s="16" t="inlineStr">
        <is>
          <t>R</t>
        </is>
      </c>
      <c r="F23" s="16" t="inlineStr">
        <is>
          <t>3B</t>
        </is>
      </c>
      <c r="G23" s="9" t="n">
        <v>57</v>
      </c>
      <c r="H23" s="9" t="n">
        <v>100</v>
      </c>
      <c r="I23" s="9" t="inlineStr">
        <is>
          <t>Depth (no MLB PA)</t>
        </is>
      </c>
      <c r="J23" s="16" t="inlineStr">
        <is>
          <t>Opening Day</t>
        </is>
      </c>
      <c r="K23" s="11">
        <f>IFERROR(INDEX(Roles!$B$17:$B$20,MATCH(J23,Roles!$A$17:$A$20,0)),1)</f>
        <v/>
      </c>
      <c r="L23" s="17" t="n">
        <v>1</v>
      </c>
      <c r="M23" s="11" t="n">
        <v>1</v>
      </c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17" t="n"/>
      <c r="Y23" s="17" t="n">
        <v>1</v>
      </c>
      <c r="Z23" s="13">
        <f>SUMPRODUCT(N23:Y23,$N$2:$Y$2)*$K23*$L23*$M23</f>
        <v/>
      </c>
      <c r="AA23" s="14">
        <f>SUM(N23:Y23)</f>
        <v/>
      </c>
      <c r="AB23" s="14">
        <f>IFERROR(IF(UPPER($E23)="L",SUMPRODUCT(N23:Y23,$N$3:$Y$3,$N$2:$Y$2),SUMPRODUCT(N23:Y23,$N$4:$Y$4,$N$2:$Y$2))/(Z23/($K23*$L23*$M23)),"")</f>
        <v/>
      </c>
      <c r="AC23" s="18" t="n"/>
    </row>
    <row r="24">
      <c r="A24" s="9" t="n">
        <v>828599</v>
      </c>
      <c r="B24" s="9" t="inlineStr">
        <is>
          <t>Lucas Spence</t>
        </is>
      </c>
      <c r="C24" s="9" t="inlineStr">
        <is>
          <t>HOU</t>
        </is>
      </c>
      <c r="D24" s="9" t="n">
        <v>24</v>
      </c>
      <c r="E24" s="16" t="inlineStr">
        <is>
          <t>L</t>
        </is>
      </c>
      <c r="F24" s="16" t="inlineStr">
        <is>
          <t>CF</t>
        </is>
      </c>
      <c r="G24" s="9" t="n">
        <v>63</v>
      </c>
      <c r="H24" s="9" t="n">
        <v>63</v>
      </c>
      <c r="I24" s="9" t="inlineStr">
        <is>
          <t>Full Time</t>
        </is>
      </c>
      <c r="J24" s="16" t="inlineStr">
        <is>
          <t>Opening Day</t>
        </is>
      </c>
      <c r="K24" s="11">
        <f>IFERROR(INDEX(Roles!$B$17:$B$20,MATCH(J24,Roles!$A$17:$A$20,0)),1)</f>
        <v/>
      </c>
      <c r="L24" s="17" t="n">
        <v>1</v>
      </c>
      <c r="M24" s="11" t="n">
        <v>1</v>
      </c>
      <c r="N24" s="17" t="n">
        <v>0.6</v>
      </c>
      <c r="O24" s="17" t="n"/>
      <c r="P24" s="17" t="n"/>
      <c r="Q24" s="17" t="n"/>
      <c r="R24" s="17" t="n"/>
      <c r="S24" s="17" t="n"/>
      <c r="T24" s="17" t="n"/>
      <c r="U24" s="17" t="n"/>
      <c r="V24" s="17" t="n">
        <v>0.4</v>
      </c>
      <c r="W24" s="17" t="n"/>
      <c r="X24" s="17" t="n"/>
      <c r="Y24" s="17" t="n"/>
      <c r="Z24" s="13">
        <f>SUMPRODUCT(N24:Y24,$N$2:$Y$2)*$K24*$L24*$M24</f>
        <v/>
      </c>
      <c r="AA24" s="14">
        <f>SUM(N24:Y24)</f>
        <v/>
      </c>
      <c r="AB24" s="14">
        <f>IFERROR(IF(UPPER($E24)="L",SUMPRODUCT(N24:Y24,$N$3:$Y$3,$N$2:$Y$2),SUMPRODUCT(N24:Y24,$N$4:$Y$4,$N$2:$Y$2))/(Z24/($K24*$L24*$M24)),"")</f>
        <v/>
      </c>
      <c r="AC24" s="18" t="n"/>
    </row>
    <row r="25">
      <c r="A25" s="9" t="n">
        <v>608369</v>
      </c>
      <c r="B25" s="9" t="inlineStr">
        <is>
          <t>Corey Seager</t>
        </is>
      </c>
      <c r="C25" s="9" t="inlineStr">
        <is>
          <t>TEX</t>
        </is>
      </c>
      <c r="D25" s="9" t="n">
        <v>33</v>
      </c>
      <c r="E25" s="16" t="inlineStr">
        <is>
          <t>L</t>
        </is>
      </c>
      <c r="F25" s="16" t="inlineStr">
        <is>
          <t>SS</t>
        </is>
      </c>
      <c r="G25" s="9" t="n">
        <v>436</v>
      </c>
      <c r="H25" s="9" t="n">
        <v>2613</v>
      </c>
      <c r="I25" s="9" t="inlineStr">
        <is>
          <t>Full Time</t>
        </is>
      </c>
      <c r="J25" s="16" t="inlineStr">
        <is>
          <t>Opening Day</t>
        </is>
      </c>
      <c r="K25" s="11">
        <f>IFERROR(INDEX(Roles!$B$17:$B$20,MATCH(J25,Roles!$A$17:$A$20,0)),1)</f>
        <v/>
      </c>
      <c r="L25" s="17" t="n">
        <v>1</v>
      </c>
      <c r="M25" s="11" t="n">
        <v>0.91090392200544</v>
      </c>
      <c r="N25" s="17" t="n">
        <v>1</v>
      </c>
      <c r="O25" s="17" t="n"/>
      <c r="P25" s="17" t="n"/>
      <c r="Q25" s="17" t="n"/>
      <c r="R25" s="17" t="n"/>
      <c r="S25" s="17" t="n"/>
      <c r="T25" s="17" t="n"/>
      <c r="U25" s="17" t="n"/>
      <c r="V25" s="17" t="n"/>
      <c r="W25" s="17" t="n"/>
      <c r="X25" s="17" t="n"/>
      <c r="Y25" s="17" t="n"/>
      <c r="Z25" s="13">
        <f>SUMPRODUCT(N25:Y25,$N$2:$Y$2)*$K25*$L25*$M25</f>
        <v/>
      </c>
      <c r="AA25" s="14">
        <f>SUM(N25:Y25)</f>
        <v/>
      </c>
      <c r="AB25" s="14">
        <f>IFERROR(IF(UPPER($E25)="L",SUMPRODUCT(N25:Y25,$N$3:$Y$3,$N$2:$Y$2),SUMPRODUCT(N25:Y25,$N$4:$Y$4,$N$2:$Y$2))/(Z25/($K25*$L25*$M25)),"")</f>
        <v/>
      </c>
      <c r="AC25" s="18" t="n"/>
    </row>
    <row r="26">
      <c r="A26" s="9" t="n">
        <v>691406</v>
      </c>
      <c r="B26" s="9" t="inlineStr">
        <is>
          <t>Junior Caminero</t>
        </is>
      </c>
      <c r="C26" s="9" t="inlineStr">
        <is>
          <t>TB</t>
        </is>
      </c>
      <c r="D26" s="9" t="n">
        <v>23</v>
      </c>
      <c r="E26" s="16" t="inlineStr">
        <is>
          <t>R</t>
        </is>
      </c>
      <c r="F26" s="16" t="inlineStr">
        <is>
          <t>3B</t>
        </is>
      </c>
      <c r="G26" s="9" t="n">
        <v>702</v>
      </c>
      <c r="H26" s="9" t="n">
        <v>1568</v>
      </c>
      <c r="I26" s="9" t="inlineStr">
        <is>
          <t>Full Time</t>
        </is>
      </c>
      <c r="J26" s="16" t="inlineStr">
        <is>
          <t>Opening Day</t>
        </is>
      </c>
      <c r="K26" s="11">
        <f>IFERROR(INDEX(Roles!$B$17:$B$20,MATCH(J26,Roles!$A$17:$A$20,0)),1)</f>
        <v/>
      </c>
      <c r="L26" s="17" t="n">
        <v>1</v>
      </c>
      <c r="M26" s="11" t="n">
        <v>1.088544359678899</v>
      </c>
      <c r="N26" s="17" t="n">
        <v>1</v>
      </c>
      <c r="O26" s="17" t="n"/>
      <c r="P26" s="17" t="n"/>
      <c r="Q26" s="17" t="n"/>
      <c r="R26" s="17" t="n"/>
      <c r="S26" s="17" t="n"/>
      <c r="T26" s="17" t="n"/>
      <c r="U26" s="17" t="n"/>
      <c r="V26" s="17" t="n"/>
      <c r="W26" s="17" t="n"/>
      <c r="X26" s="17" t="n"/>
      <c r="Y26" s="17" t="n"/>
      <c r="Z26" s="13">
        <f>SUMPRODUCT(N26:Y26,$N$2:$Y$2)*$K26*$L26*$M26</f>
        <v/>
      </c>
      <c r="AA26" s="14">
        <f>SUM(N26:Y26)</f>
        <v/>
      </c>
      <c r="AB26" s="14">
        <f>IFERROR(IF(UPPER($E26)="L",SUMPRODUCT(N26:Y26,$N$3:$Y$3,$N$2:$Y$2),SUMPRODUCT(N26:Y26,$N$4:$Y$4,$N$2:$Y$2))/(Z26/($K26*$L26*$M26)),"")</f>
        <v/>
      </c>
      <c r="AC26" s="18" t="n"/>
    </row>
    <row r="27">
      <c r="A27" s="9" t="n">
        <v>670541</v>
      </c>
      <c r="B27" s="9" t="inlineStr">
        <is>
          <t>Yordan Alvarez</t>
        </is>
      </c>
      <c r="C27" s="9" t="inlineStr">
        <is>
          <t>HOU</t>
        </is>
      </c>
      <c r="D27" s="9" t="n">
        <v>30</v>
      </c>
      <c r="E27" s="16" t="inlineStr">
        <is>
          <t>L</t>
        </is>
      </c>
      <c r="F27" s="16" t="inlineStr">
        <is>
          <t>LF</t>
        </is>
      </c>
      <c r="G27" s="9" t="n">
        <v>692</v>
      </c>
      <c r="H27" s="9" t="n">
        <v>2583</v>
      </c>
      <c r="I27" s="9" t="inlineStr">
        <is>
          <t>Everyday DH / 1B-DH</t>
        </is>
      </c>
      <c r="J27" s="16" t="inlineStr">
        <is>
          <t>Opening Day</t>
        </is>
      </c>
      <c r="K27" s="11">
        <f>IFERROR(INDEX(Roles!$B$17:$B$20,MATCH(J27,Roles!$A$17:$A$20,0)),1)</f>
        <v/>
      </c>
      <c r="L27" s="17" t="n">
        <v>1</v>
      </c>
      <c r="M27" s="11" t="n">
        <v>0.9806384503195766</v>
      </c>
      <c r="N27" s="17" t="n"/>
      <c r="O27" s="17" t="n">
        <v>1</v>
      </c>
      <c r="P27" s="17" t="n"/>
      <c r="Q27" s="17" t="n"/>
      <c r="R27" s="17" t="n"/>
      <c r="S27" s="17" t="n"/>
      <c r="T27" s="17" t="n"/>
      <c r="U27" s="17" t="n"/>
      <c r="V27" s="17" t="n"/>
      <c r="W27" s="17" t="n"/>
      <c r="X27" s="17" t="n"/>
      <c r="Y27" s="17" t="n"/>
      <c r="Z27" s="13">
        <f>SUMPRODUCT(N27:Y27,$N$2:$Y$2)*$K27*$L27*$M27</f>
        <v/>
      </c>
      <c r="AA27" s="14">
        <f>SUM(N27:Y27)</f>
        <v/>
      </c>
      <c r="AB27" s="14">
        <f>IFERROR(IF(UPPER($E27)="L",SUMPRODUCT(N27:Y27,$N$3:$Y$3,$N$2:$Y$2),SUMPRODUCT(N27:Y27,$N$4:$Y$4,$N$2:$Y$2))/(Z27/($K27*$L27*$M27)),"")</f>
        <v/>
      </c>
      <c r="AC27" s="18" t="n"/>
    </row>
    <row r="28">
      <c r="A28" s="9" t="n">
        <v>696100</v>
      </c>
      <c r="B28" s="9" t="inlineStr">
        <is>
          <t>Hunter Goodman</t>
        </is>
      </c>
      <c r="C28" s="9" t="inlineStr">
        <is>
          <t>COL</t>
        </is>
      </c>
      <c r="D28" s="9" t="n">
        <v>27</v>
      </c>
      <c r="E28" s="16" t="inlineStr">
        <is>
          <t>R</t>
        </is>
      </c>
      <c r="F28" s="16" t="inlineStr">
        <is>
          <t>C</t>
        </is>
      </c>
      <c r="G28" s="9" t="n">
        <v>574</v>
      </c>
      <c r="H28" s="9" t="n">
        <v>1454</v>
      </c>
      <c r="I28" s="9" t="inlineStr">
        <is>
          <t>Catcher - Primary</t>
        </is>
      </c>
      <c r="J28" s="16" t="inlineStr">
        <is>
          <t>Opening Day</t>
        </is>
      </c>
      <c r="K28" s="11">
        <f>IFERROR(INDEX(Roles!$B$17:$B$20,MATCH(J28,Roles!$A$17:$A$20,0)),1)</f>
        <v/>
      </c>
      <c r="L28" s="17" t="n">
        <v>1</v>
      </c>
      <c r="M28" s="11" t="n">
        <v>1.099304585984614</v>
      </c>
      <c r="N28" s="17" t="n"/>
      <c r="O28" s="17" t="n"/>
      <c r="P28" s="17" t="n"/>
      <c r="Q28" s="17" t="n"/>
      <c r="R28" s="17" t="n">
        <v>1</v>
      </c>
      <c r="S28" s="17" t="n"/>
      <c r="T28" s="17" t="n"/>
      <c r="U28" s="17" t="n"/>
      <c r="V28" s="17" t="n"/>
      <c r="W28" s="17" t="n"/>
      <c r="X28" s="17" t="n"/>
      <c r="Y28" s="17" t="n"/>
      <c r="Z28" s="13">
        <f>SUMPRODUCT(N28:Y28,$N$2:$Y$2)*$K28*$L28*$M28</f>
        <v/>
      </c>
      <c r="AA28" s="14">
        <f>SUM(N28:Y28)</f>
        <v/>
      </c>
      <c r="AB28" s="14">
        <f>IFERROR(IF(UPPER($E28)="L",SUMPRODUCT(N28:Y28,$N$3:$Y$3,$N$2:$Y$2),SUMPRODUCT(N28:Y28,$N$4:$Y$4,$N$2:$Y$2))/(Z28/($K28*$L28*$M28)),"")</f>
        <v/>
      </c>
      <c r="AC28" s="18" t="n"/>
    </row>
    <row r="29">
      <c r="A29" s="9" t="n">
        <v>681481</v>
      </c>
      <c r="B29" s="9" t="inlineStr">
        <is>
          <t>Kerry Carpenter</t>
        </is>
      </c>
      <c r="C29" s="9" t="inlineStr">
        <is>
          <t>DET</t>
        </is>
      </c>
      <c r="D29" s="9" t="n">
        <v>29</v>
      </c>
      <c r="E29" s="16" t="inlineStr">
        <is>
          <t>L</t>
        </is>
      </c>
      <c r="F29" s="16" t="inlineStr">
        <is>
          <t>RF</t>
        </is>
      </c>
      <c r="G29" s="9" t="n">
        <v>259</v>
      </c>
      <c r="H29" s="9" t="n">
        <v>1591</v>
      </c>
      <c r="I29" s="9" t="inlineStr">
        <is>
          <t>Bench Bat</t>
        </is>
      </c>
      <c r="J29" s="16" t="inlineStr">
        <is>
          <t>Opening Day</t>
        </is>
      </c>
      <c r="K29" s="11">
        <f>IFERROR(INDEX(Roles!$B$17:$B$20,MATCH(J29,Roles!$A$17:$A$20,0)),1)</f>
        <v/>
      </c>
      <c r="L29" s="17" t="n">
        <v>1</v>
      </c>
      <c r="M29" s="11" t="n">
        <v>1.032838053830421</v>
      </c>
      <c r="N29" s="17" t="n"/>
      <c r="O29" s="17" t="n"/>
      <c r="P29" s="17" t="n"/>
      <c r="Q29" s="17" t="n"/>
      <c r="R29" s="17" t="n"/>
      <c r="S29" s="17" t="n"/>
      <c r="T29" s="17" t="n"/>
      <c r="U29" s="17" t="n"/>
      <c r="V29" s="17" t="n"/>
      <c r="W29" s="17" t="n">
        <v>0.85</v>
      </c>
      <c r="X29" s="17" t="n">
        <v>0.15</v>
      </c>
      <c r="Y29" s="17" t="n"/>
      <c r="Z29" s="13">
        <f>SUMPRODUCT(N29:Y29,$N$2:$Y$2)*$K29*$L29*$M29</f>
        <v/>
      </c>
      <c r="AA29" s="14">
        <f>SUM(N29:Y29)</f>
        <v/>
      </c>
      <c r="AB29" s="14">
        <f>IFERROR(IF(UPPER($E29)="L",SUMPRODUCT(N29:Y29,$N$3:$Y$3,$N$2:$Y$2),SUMPRODUCT(N29:Y29,$N$4:$Y$4,$N$2:$Y$2))/(Z29/($K29*$L29*$M29)),"")</f>
        <v/>
      </c>
      <c r="AC29" s="18" t="n"/>
    </row>
    <row r="30">
      <c r="A30" s="9" t="n">
        <v>695657</v>
      </c>
      <c r="B30" s="9" t="inlineStr">
        <is>
          <t>Colson Montgomery</t>
        </is>
      </c>
      <c r="C30" s="9" t="inlineStr">
        <is>
          <t>CWS</t>
        </is>
      </c>
      <c r="D30" s="9" t="n">
        <v>25</v>
      </c>
      <c r="E30" s="16" t="inlineStr">
        <is>
          <t>L</t>
        </is>
      </c>
      <c r="F30" s="16" t="inlineStr">
        <is>
          <t>SS</t>
        </is>
      </c>
      <c r="G30" s="9" t="n">
        <v>638</v>
      </c>
      <c r="H30" s="9" t="n">
        <v>922</v>
      </c>
      <c r="I30" s="9" t="inlineStr">
        <is>
          <t>Full Time</t>
        </is>
      </c>
      <c r="J30" s="16" t="inlineStr">
        <is>
          <t>Opening Day</t>
        </is>
      </c>
      <c r="K30" s="11">
        <f>IFERROR(INDEX(Roles!$B$17:$B$20,MATCH(J30,Roles!$A$17:$A$20,0)),1)</f>
        <v/>
      </c>
      <c r="L30" s="17" t="n">
        <v>1</v>
      </c>
      <c r="M30" s="11" t="n">
        <v>1.004762108566274</v>
      </c>
      <c r="N30" s="17" t="n">
        <v>1</v>
      </c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3">
        <f>SUMPRODUCT(N30:Y30,$N$2:$Y$2)*$K30*$L30*$M30</f>
        <v/>
      </c>
      <c r="AA30" s="14">
        <f>SUM(N30:Y30)</f>
        <v/>
      </c>
      <c r="AB30" s="14">
        <f>IFERROR(IF(UPPER($E30)="L",SUMPRODUCT(N30:Y30,$N$3:$Y$3,$N$2:$Y$2),SUMPRODUCT(N30:Y30,$N$4:$Y$4,$N$2:$Y$2))/(Z30/($K30*$L30*$M30)),"")</f>
        <v/>
      </c>
      <c r="AC30" s="18" t="n"/>
    </row>
    <row r="31">
      <c r="A31" s="9" t="n">
        <v>700250</v>
      </c>
      <c r="B31" s="9" t="inlineStr">
        <is>
          <t>Ben Rice</t>
        </is>
      </c>
      <c r="C31" s="9" t="inlineStr">
        <is>
          <t>NYY</t>
        </is>
      </c>
      <c r="D31" s="9" t="n">
        <v>28</v>
      </c>
      <c r="E31" s="16" t="inlineStr">
        <is>
          <t>L</t>
        </is>
      </c>
      <c r="F31" s="16" t="inlineStr">
        <is>
          <t>1B</t>
        </is>
      </c>
      <c r="G31" s="9" t="n">
        <v>667</v>
      </c>
      <c r="H31" s="9" t="n">
        <v>1375</v>
      </c>
      <c r="I31" s="9" t="inlineStr">
        <is>
          <t>Everyday DH / 1B-DH</t>
        </is>
      </c>
      <c r="J31" s="16" t="inlineStr">
        <is>
          <t>Opening Day</t>
        </is>
      </c>
      <c r="K31" s="11">
        <f>IFERROR(INDEX(Roles!$B$17:$B$20,MATCH(J31,Roles!$A$17:$A$20,0)),1)</f>
        <v/>
      </c>
      <c r="L31" s="17" t="n">
        <v>1</v>
      </c>
      <c r="M31" s="11" t="n">
        <v>1.02545471177029</v>
      </c>
      <c r="N31" s="17" t="n"/>
      <c r="O31" s="17" t="n">
        <v>1</v>
      </c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3">
        <f>SUMPRODUCT(N31:Y31,$N$2:$Y$2)*$K31*$L31*$M31</f>
        <v/>
      </c>
      <c r="AA31" s="14">
        <f>SUM(N31:Y31)</f>
        <v/>
      </c>
      <c r="AB31" s="14">
        <f>IFERROR(IF(UPPER($E31)="L",SUMPRODUCT(N31:Y31,$N$3:$Y$3,$N$2:$Y$2),SUMPRODUCT(N31:Y31,$N$4:$Y$4,$N$2:$Y$2))/(Z31/($K31*$L31*$M31)),"")</f>
        <v/>
      </c>
      <c r="AC31" s="18" t="n"/>
    </row>
    <row r="32">
      <c r="A32" s="9" t="n">
        <v>678577</v>
      </c>
      <c r="B32" s="9" t="inlineStr">
        <is>
          <t>Junior Perez</t>
        </is>
      </c>
      <c r="C32" s="9" t="inlineStr">
        <is>
          <t>CWS</t>
        </is>
      </c>
      <c r="D32" s="9" t="n">
        <v>25</v>
      </c>
      <c r="E32" s="16" t="inlineStr">
        <is>
          <t>R</t>
        </is>
      </c>
      <c r="F32" s="16" t="inlineStr">
        <is>
          <t>LF</t>
        </is>
      </c>
      <c r="G32" s="9" t="n">
        <v>36</v>
      </c>
      <c r="H32" s="9" t="n">
        <v>36</v>
      </c>
      <c r="I32" s="9" t="inlineStr">
        <is>
          <t>Injury Replacement / 26th Man</t>
        </is>
      </c>
      <c r="J32" s="16" t="inlineStr">
        <is>
          <t>Opening Day</t>
        </is>
      </c>
      <c r="K32" s="11">
        <f>IFERROR(INDEX(Roles!$B$17:$B$20,MATCH(J32,Roles!$A$17:$A$20,0)),1)</f>
        <v/>
      </c>
      <c r="L32" s="17" t="n">
        <v>1</v>
      </c>
      <c r="M32" s="11" t="n">
        <v>1</v>
      </c>
      <c r="N32" s="17" t="n"/>
      <c r="O32" s="17" t="n"/>
      <c r="P32" s="17" t="n"/>
      <c r="Q32" s="17" t="n"/>
      <c r="R32" s="17" t="n"/>
      <c r="S32" s="17" t="n"/>
      <c r="T32" s="17" t="n"/>
      <c r="U32" s="17" t="n"/>
      <c r="V32" s="17" t="n"/>
      <c r="W32" s="17" t="n"/>
      <c r="X32" s="17" t="n">
        <v>1</v>
      </c>
      <c r="Y32" s="17" t="n"/>
      <c r="Z32" s="13">
        <f>SUMPRODUCT(N32:Y32,$N$2:$Y$2)*$K32*$L32*$M32</f>
        <v/>
      </c>
      <c r="AA32" s="14">
        <f>SUM(N32:Y32)</f>
        <v/>
      </c>
      <c r="AB32" s="14">
        <f>IFERROR(IF(UPPER($E32)="L",SUMPRODUCT(N32:Y32,$N$3:$Y$3,$N$2:$Y$2),SUMPRODUCT(N32:Y32,$N$4:$Y$4,$N$2:$Y$2))/(Z32/($K32*$L32*$M32)),"")</f>
        <v/>
      </c>
      <c r="AC32" s="18" t="n"/>
    </row>
    <row r="33">
      <c r="A33" s="9" t="n">
        <v>805904</v>
      </c>
      <c r="B33" s="9" t="inlineStr">
        <is>
          <t>Zach Cole</t>
        </is>
      </c>
      <c r="C33" s="9" t="inlineStr">
        <is>
          <t>HOU</t>
        </is>
      </c>
      <c r="D33" s="9" t="n">
        <v>26</v>
      </c>
      <c r="E33" s="16" t="inlineStr">
        <is>
          <t>L</t>
        </is>
      </c>
      <c r="F33" s="16" t="inlineStr">
        <is>
          <t>LF</t>
        </is>
      </c>
      <c r="G33" s="9" t="n">
        <v>53</v>
      </c>
      <c r="H33" s="9" t="n">
        <v>105</v>
      </c>
      <c r="I33" s="9" t="inlineStr">
        <is>
          <t>Bench Bat</t>
        </is>
      </c>
      <c r="J33" s="16" t="inlineStr">
        <is>
          <t>Opening Day</t>
        </is>
      </c>
      <c r="K33" s="11">
        <f>IFERROR(INDEX(Roles!$B$17:$B$20,MATCH(J33,Roles!$A$17:$A$20,0)),1)</f>
        <v/>
      </c>
      <c r="L33" s="17" t="n">
        <v>1</v>
      </c>
      <c r="M33" s="11" t="n">
        <v>1</v>
      </c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>
        <v>1</v>
      </c>
      <c r="X33" s="17" t="n"/>
      <c r="Y33" s="17" t="n"/>
      <c r="Z33" s="13">
        <f>SUMPRODUCT(N33:Y33,$N$2:$Y$2)*$K33*$L33*$M33</f>
        <v/>
      </c>
      <c r="AA33" s="14">
        <f>SUM(N33:Y33)</f>
        <v/>
      </c>
      <c r="AB33" s="14">
        <f>IFERROR(IF(UPPER($E33)="L",SUMPRODUCT(N33:Y33,$N$3:$Y$3,$N$2:$Y$2),SUMPRODUCT(N33:Y33,$N$4:$Y$4,$N$2:$Y$2))/(Z33/($K33*$L33*$M33)),"")</f>
        <v/>
      </c>
      <c r="AC33" s="18" t="n"/>
    </row>
    <row r="34">
      <c r="A34" s="9" t="n">
        <v>553993</v>
      </c>
      <c r="B34" s="9" t="inlineStr">
        <is>
          <t>Eugenio Suárez</t>
        </is>
      </c>
      <c r="C34" s="9" t="inlineStr">
        <is>
          <t>CIN</t>
        </is>
      </c>
      <c r="D34" s="9" t="n">
        <v>35</v>
      </c>
      <c r="E34" s="16" t="inlineStr">
        <is>
          <t>R</t>
        </is>
      </c>
      <c r="F34" s="16" t="inlineStr">
        <is>
          <t>3B</t>
        </is>
      </c>
      <c r="G34" s="9" t="n">
        <v>498</v>
      </c>
      <c r="H34" s="9" t="n">
        <v>3118</v>
      </c>
      <c r="I34" s="9" t="inlineStr">
        <is>
          <t>Everyday DH / 1B-DH</t>
        </is>
      </c>
      <c r="J34" s="16" t="inlineStr">
        <is>
          <t>Opening Day</t>
        </is>
      </c>
      <c r="K34" s="11">
        <f>IFERROR(INDEX(Roles!$B$17:$B$20,MATCH(J34,Roles!$A$17:$A$20,0)),1)</f>
        <v/>
      </c>
      <c r="L34" s="17" t="n">
        <v>1</v>
      </c>
      <c r="M34" s="11" t="n">
        <v>1.093947488704399</v>
      </c>
      <c r="N34" s="17" t="n"/>
      <c r="O34" s="17" t="n">
        <v>1</v>
      </c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3">
        <f>SUMPRODUCT(N34:Y34,$N$2:$Y$2)*$K34*$L34*$M34</f>
        <v/>
      </c>
      <c r="AA34" s="14">
        <f>SUM(N34:Y34)</f>
        <v/>
      </c>
      <c r="AB34" s="14">
        <f>IFERROR(IF(UPPER($E34)="L",SUMPRODUCT(N34:Y34,$N$3:$Y$3,$N$2:$Y$2),SUMPRODUCT(N34:Y34,$N$4:$Y$4,$N$2:$Y$2))/(Z34/($K34*$L34*$M34)),"")</f>
        <v/>
      </c>
      <c r="AC34" s="18" t="n"/>
    </row>
    <row r="35">
      <c r="A35" s="9" t="n">
        <v>691718</v>
      </c>
      <c r="B35" s="9" t="inlineStr">
        <is>
          <t>Pete Crow-Armstrong</t>
        </is>
      </c>
      <c r="C35" s="9" t="inlineStr">
        <is>
          <t>CHC</t>
        </is>
      </c>
      <c r="D35" s="9" t="n">
        <v>25</v>
      </c>
      <c r="E35" s="16" t="inlineStr">
        <is>
          <t>L</t>
        </is>
      </c>
      <c r="F35" s="16" t="inlineStr">
        <is>
          <t>CF</t>
        </is>
      </c>
      <c r="G35" s="9" t="n">
        <v>726</v>
      </c>
      <c r="H35" s="9" t="n">
        <v>1802</v>
      </c>
      <c r="I35" s="9" t="inlineStr">
        <is>
          <t>Full Time</t>
        </is>
      </c>
      <c r="J35" s="16" t="inlineStr">
        <is>
          <t>Opening Day</t>
        </is>
      </c>
      <c r="K35" s="11">
        <f>IFERROR(INDEX(Roles!$B$17:$B$20,MATCH(J35,Roles!$A$17:$A$20,0)),1)</f>
        <v/>
      </c>
      <c r="L35" s="17" t="n">
        <v>1</v>
      </c>
      <c r="M35" s="11" t="n">
        <v>1.15</v>
      </c>
      <c r="N35" s="17" t="n">
        <v>1</v>
      </c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3">
        <f>SUMPRODUCT(N35:Y35,$N$2:$Y$2)*$K35*$L35*$M35</f>
        <v/>
      </c>
      <c r="AA35" s="14">
        <f>SUM(N35:Y35)</f>
        <v/>
      </c>
      <c r="AB35" s="14">
        <f>IFERROR(IF(UPPER($E35)="L",SUMPRODUCT(N35:Y35,$N$3:$Y$3,$N$2:$Y$2),SUMPRODUCT(N35:Y35,$N$4:$Y$4,$N$2:$Y$2))/(Z35/($K35*$L35*$M35)),"")</f>
        <v/>
      </c>
      <c r="AC35" s="18" t="n"/>
    </row>
    <row r="36">
      <c r="A36" s="9" t="n">
        <v>624414</v>
      </c>
      <c r="B36" s="9" t="inlineStr">
        <is>
          <t>Christian Arroyo</t>
        </is>
      </c>
      <c r="C36" s="9" t="inlineStr">
        <is>
          <t>BOS</t>
        </is>
      </c>
      <c r="D36" s="9" t="n">
        <v>32</v>
      </c>
      <c r="E36" s="16" t="inlineStr">
        <is>
          <t>R</t>
        </is>
      </c>
      <c r="F36" s="16" t="inlineStr">
        <is>
          <t>2B</t>
        </is>
      </c>
      <c r="G36" s="9" t="n">
        <v>206</v>
      </c>
      <c r="H36" s="9" t="n">
        <v>506</v>
      </c>
      <c r="I36" s="9" t="inlineStr">
        <is>
          <t>Depth (no MLB PA)</t>
        </is>
      </c>
      <c r="J36" s="16" t="inlineStr">
        <is>
          <t>Opening Day</t>
        </is>
      </c>
      <c r="K36" s="11">
        <f>IFERROR(INDEX(Roles!$B$17:$B$20,MATCH(J36,Roles!$A$17:$A$20,0)),1)</f>
        <v/>
      </c>
      <c r="L36" s="17" t="n">
        <v>1</v>
      </c>
      <c r="M36" s="11" t="n">
        <v>1</v>
      </c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>
        <v>1</v>
      </c>
      <c r="Z36" s="13">
        <f>SUMPRODUCT(N36:Y36,$N$2:$Y$2)*$K36*$L36*$M36</f>
        <v/>
      </c>
      <c r="AA36" s="14">
        <f>SUM(N36:Y36)</f>
        <v/>
      </c>
      <c r="AB36" s="14">
        <f>IFERROR(IF(UPPER($E36)="L",SUMPRODUCT(N36:Y36,$N$3:$Y$3,$N$2:$Y$2),SUMPRODUCT(N36:Y36,$N$4:$Y$4,$N$2:$Y$2))/(Z36/($K36*$L36*$M36)),"")</f>
        <v/>
      </c>
      <c r="AC36" s="18" t="n"/>
    </row>
    <row r="37">
      <c r="A37" s="9" t="n">
        <v>621311</v>
      </c>
      <c r="B37" s="9" t="inlineStr">
        <is>
          <t>David Dahl</t>
        </is>
      </c>
      <c r="C37" s="9" t="inlineStr">
        <is>
          <t>PHI</t>
        </is>
      </c>
      <c r="D37" s="9" t="n">
        <v>33</v>
      </c>
      <c r="E37" s="16" t="inlineStr">
        <is>
          <t>L</t>
        </is>
      </c>
      <c r="F37" s="16" t="inlineStr">
        <is>
          <t>LF</t>
        </is>
      </c>
      <c r="G37" s="9" t="n">
        <v>62</v>
      </c>
      <c r="H37" s="9" t="n">
        <v>71</v>
      </c>
      <c r="I37" s="9" t="inlineStr">
        <is>
          <t>Depth (no MLB PA)</t>
        </is>
      </c>
      <c r="J37" s="16" t="inlineStr">
        <is>
          <t>Opening Day</t>
        </is>
      </c>
      <c r="K37" s="11">
        <f>IFERROR(INDEX(Roles!$B$17:$B$20,MATCH(J37,Roles!$A$17:$A$20,0)),1)</f>
        <v/>
      </c>
      <c r="L37" s="17" t="n">
        <v>1</v>
      </c>
      <c r="M37" s="11" t="n">
        <v>1</v>
      </c>
      <c r="N37" s="17" t="n"/>
      <c r="O37" s="17" t="n"/>
      <c r="P37" s="17" t="n"/>
      <c r="Q37" s="17" t="n"/>
      <c r="R37" s="17" t="n"/>
      <c r="S37" s="17" t="n"/>
      <c r="T37" s="17" t="n"/>
      <c r="U37" s="17" t="n"/>
      <c r="V37" s="17" t="n"/>
      <c r="W37" s="17" t="n"/>
      <c r="X37" s="17" t="n"/>
      <c r="Y37" s="17" t="n">
        <v>1</v>
      </c>
      <c r="Z37" s="13">
        <f>SUMPRODUCT(N37:Y37,$N$2:$Y$2)*$K37*$L37*$M37</f>
        <v/>
      </c>
      <c r="AA37" s="14">
        <f>SUM(N37:Y37)</f>
        <v/>
      </c>
      <c r="AB37" s="14">
        <f>IFERROR(IF(UPPER($E37)="L",SUMPRODUCT(N37:Y37,$N$3:$Y$3,$N$2:$Y$2),SUMPRODUCT(N37:Y37,$N$4:$Y$4,$N$2:$Y$2))/(Z37/($K37*$L37*$M37)),"")</f>
        <v/>
      </c>
      <c r="AC37" s="18" t="n"/>
    </row>
    <row r="38">
      <c r="A38" s="9" t="n">
        <v>669398</v>
      </c>
      <c r="B38" s="9" t="inlineStr">
        <is>
          <t>Gage Workman</t>
        </is>
      </c>
      <c r="C38" s="9" t="inlineStr">
        <is>
          <t>SD</t>
        </is>
      </c>
      <c r="D38" s="9" t="n">
        <v>27</v>
      </c>
      <c r="E38" s="16" t="inlineStr">
        <is>
          <t>L</t>
        </is>
      </c>
      <c r="F38" s="16" t="inlineStr">
        <is>
          <t>3B</t>
        </is>
      </c>
      <c r="G38" s="9" t="n">
        <v>41</v>
      </c>
      <c r="H38" s="9" t="n">
        <v>58</v>
      </c>
      <c r="I38" s="9" t="inlineStr">
        <is>
          <t>Bench Bat</t>
        </is>
      </c>
      <c r="J38" s="16" t="inlineStr">
        <is>
          <t>Opening Day</t>
        </is>
      </c>
      <c r="K38" s="11">
        <f>IFERROR(INDEX(Roles!$B$17:$B$20,MATCH(J38,Roles!$A$17:$A$20,0)),1)</f>
        <v/>
      </c>
      <c r="L38" s="17" t="n">
        <v>1</v>
      </c>
      <c r="M38" s="11" t="n">
        <v>1</v>
      </c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>
        <v>1</v>
      </c>
      <c r="X38" s="17" t="n"/>
      <c r="Y38" s="17" t="n"/>
      <c r="Z38" s="13">
        <f>SUMPRODUCT(N38:Y38,$N$2:$Y$2)*$K38*$L38*$M38</f>
        <v/>
      </c>
      <c r="AA38" s="14">
        <f>SUM(N38:Y38)</f>
        <v/>
      </c>
      <c r="AB38" s="14">
        <f>IFERROR(IF(UPPER($E38)="L",SUMPRODUCT(N38:Y38,$N$3:$Y$3,$N$2:$Y$2),SUMPRODUCT(N38:Y38,$N$4:$Y$4,$N$2:$Y$2))/(Z38/($K38*$L38*$M38)),"")</f>
        <v/>
      </c>
      <c r="AC38" s="18" t="n"/>
    </row>
    <row r="39">
      <c r="A39" s="9" t="n">
        <v>672960</v>
      </c>
      <c r="B39" s="9" t="inlineStr">
        <is>
          <t>Kazuma Okamoto</t>
        </is>
      </c>
      <c r="C39" s="9" t="inlineStr">
        <is>
          <t>TOR</t>
        </is>
      </c>
      <c r="D39" s="9" t="n">
        <v>31</v>
      </c>
      <c r="E39" s="16" t="inlineStr">
        <is>
          <t>R</t>
        </is>
      </c>
      <c r="F39" s="16" t="inlineStr">
        <is>
          <t>3B</t>
        </is>
      </c>
      <c r="G39" s="9" t="n">
        <v>636</v>
      </c>
      <c r="H39" s="9" t="n">
        <v>636</v>
      </c>
      <c r="I39" s="9" t="inlineStr">
        <is>
          <t>Full Time</t>
        </is>
      </c>
      <c r="J39" s="16" t="inlineStr">
        <is>
          <t>Opening Day</t>
        </is>
      </c>
      <c r="K39" s="11">
        <f>IFERROR(INDEX(Roles!$B$17:$B$20,MATCH(J39,Roles!$A$17:$A$20,0)),1)</f>
        <v/>
      </c>
      <c r="L39" s="17" t="n">
        <v>1</v>
      </c>
      <c r="M39" s="11" t="n">
        <v>1.079030175600993</v>
      </c>
      <c r="N39" s="17" t="n">
        <v>1</v>
      </c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3">
        <f>SUMPRODUCT(N39:Y39,$N$2:$Y$2)*$K39*$L39*$M39</f>
        <v/>
      </c>
      <c r="AA39" s="14">
        <f>SUM(N39:Y39)</f>
        <v/>
      </c>
      <c r="AB39" s="14">
        <f>IFERROR(IF(UPPER($E39)="L",SUMPRODUCT(N39:Y39,$N$3:$Y$3,$N$2:$Y$2),SUMPRODUCT(N39:Y39,$N$4:$Y$4,$N$2:$Y$2))/(Z39/($K39*$L39*$M39)),"")</f>
        <v/>
      </c>
      <c r="AC39" s="18" t="n"/>
    </row>
    <row r="40">
      <c r="A40" s="9" t="n">
        <v>672359</v>
      </c>
      <c r="B40" s="9" t="inlineStr">
        <is>
          <t>Tirso Ornelas</t>
        </is>
      </c>
      <c r="C40" s="9" t="inlineStr">
        <is>
          <t>SD</t>
        </is>
      </c>
      <c r="D40" s="9" t="n">
        <v>27</v>
      </c>
      <c r="E40" s="16" t="inlineStr">
        <is>
          <t>L</t>
        </is>
      </c>
      <c r="F40" s="16" t="inlineStr">
        <is>
          <t>LF</t>
        </is>
      </c>
      <c r="G40" s="9" t="n">
        <v>16</v>
      </c>
      <c r="H40" s="9" t="n">
        <v>16</v>
      </c>
      <c r="I40" s="9" t="inlineStr">
        <is>
          <t>Depth (no MLB PA)</t>
        </is>
      </c>
      <c r="J40" s="16" t="inlineStr">
        <is>
          <t>Opening Day</t>
        </is>
      </c>
      <c r="K40" s="11">
        <f>IFERROR(INDEX(Roles!$B$17:$B$20,MATCH(J40,Roles!$A$17:$A$20,0)),1)</f>
        <v/>
      </c>
      <c r="L40" s="17" t="n">
        <v>1</v>
      </c>
      <c r="M40" s="11" t="n">
        <v>1</v>
      </c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>
        <v>1</v>
      </c>
      <c r="Z40" s="13">
        <f>SUMPRODUCT(N40:Y40,$N$2:$Y$2)*$K40*$L40*$M40</f>
        <v/>
      </c>
      <c r="AA40" s="14">
        <f>SUM(N40:Y40)</f>
        <v/>
      </c>
      <c r="AB40" s="14">
        <f>IFERROR(IF(UPPER($E40)="L",SUMPRODUCT(N40:Y40,$N$3:$Y$3,$N$2:$Y$2),SUMPRODUCT(N40:Y40,$N$4:$Y$4,$N$2:$Y$2))/(Z40/($K40*$L40*$M40)),"")</f>
        <v/>
      </c>
      <c r="AC40" s="18" t="n"/>
    </row>
    <row r="41">
      <c r="A41" s="9" t="n">
        <v>701762</v>
      </c>
      <c r="B41" s="9" t="inlineStr">
        <is>
          <t>Nick Kurtz</t>
        </is>
      </c>
      <c r="C41" s="9" t="inlineStr">
        <is>
          <t>OAK</t>
        </is>
      </c>
      <c r="D41" s="9" t="n">
        <v>24</v>
      </c>
      <c r="E41" s="16" t="inlineStr">
        <is>
          <t>L</t>
        </is>
      </c>
      <c r="F41" s="16" t="inlineStr">
        <is>
          <t>1B</t>
        </is>
      </c>
      <c r="G41" s="9" t="n">
        <v>434</v>
      </c>
      <c r="H41" s="9" t="n">
        <v>923</v>
      </c>
      <c r="I41" s="9" t="inlineStr">
        <is>
          <t>Full Time</t>
        </is>
      </c>
      <c r="J41" s="16" t="inlineStr">
        <is>
          <t>Opening Day</t>
        </is>
      </c>
      <c r="K41" s="11">
        <f>IFERROR(INDEX(Roles!$B$17:$B$20,MATCH(J41,Roles!$A$17:$A$20,0)),1)</f>
        <v/>
      </c>
      <c r="L41" s="17" t="n">
        <v>1</v>
      </c>
      <c r="M41" s="11" t="n">
        <v>0.915516912605924</v>
      </c>
      <c r="N41" s="17" t="n">
        <v>1</v>
      </c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3">
        <f>SUMPRODUCT(N41:Y41,$N$2:$Y$2)*$K41*$L41*$M41</f>
        <v/>
      </c>
      <c r="AA41" s="14">
        <f>SUM(N41:Y41)</f>
        <v/>
      </c>
      <c r="AB41" s="14">
        <f>IFERROR(IF(UPPER($E41)="L",SUMPRODUCT(N41:Y41,$N$3:$Y$3,$N$2:$Y$2),SUMPRODUCT(N41:Y41,$N$4:$Y$4,$N$2:$Y$2))/(Z41/($K41*$L41*$M41)),"")</f>
        <v/>
      </c>
      <c r="AC41" s="18" t="n"/>
    </row>
    <row r="42">
      <c r="A42" s="9" t="n">
        <v>683090</v>
      </c>
      <c r="B42" s="9" t="inlineStr">
        <is>
          <t>Matthew Lugo</t>
        </is>
      </c>
      <c r="C42" s="9" t="inlineStr">
        <is>
          <t>LAA</t>
        </is>
      </c>
      <c r="D42" s="9" t="n">
        <v>26</v>
      </c>
      <c r="E42" s="16" t="inlineStr">
        <is>
          <t>R</t>
        </is>
      </c>
      <c r="F42" s="16" t="inlineStr">
        <is>
          <t>LF</t>
        </is>
      </c>
      <c r="G42" s="9" t="n">
        <v>15</v>
      </c>
      <c r="H42" s="9" t="n">
        <v>85</v>
      </c>
      <c r="I42" s="9" t="inlineStr">
        <is>
          <t>Utility OF / 4th OF</t>
        </is>
      </c>
      <c r="J42" s="16" t="inlineStr">
        <is>
          <t>Opening Day</t>
        </is>
      </c>
      <c r="K42" s="11">
        <f>IFERROR(INDEX(Roles!$B$17:$B$20,MATCH(J42,Roles!$A$17:$A$20,0)),1)</f>
        <v/>
      </c>
      <c r="L42" s="17" t="n">
        <v>1</v>
      </c>
      <c r="M42" s="11" t="n">
        <v>1</v>
      </c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>
        <v>0.7</v>
      </c>
      <c r="W42" s="17" t="n">
        <v>0.3</v>
      </c>
      <c r="X42" s="17" t="n"/>
      <c r="Y42" s="17" t="n"/>
      <c r="Z42" s="13">
        <f>SUMPRODUCT(N42:Y42,$N$2:$Y$2)*$K42*$L42*$M42</f>
        <v/>
      </c>
      <c r="AA42" s="14">
        <f>SUM(N42:Y42)</f>
        <v/>
      </c>
      <c r="AB42" s="14">
        <f>IFERROR(IF(UPPER($E42)="L",SUMPRODUCT(N42:Y42,$N$3:$Y$3,$N$2:$Y$2),SUMPRODUCT(N42:Y42,$N$4:$Y$4,$N$2:$Y$2))/(Z42/($K42*$L42*$M42)),"")</f>
        <v/>
      </c>
      <c r="AC42" s="18" t="n"/>
    </row>
    <row r="43">
      <c r="A43" s="9" t="n">
        <v>669899</v>
      </c>
      <c r="B43" s="9" t="inlineStr">
        <is>
          <t>Ryan Ward</t>
        </is>
      </c>
      <c r="C43" s="9" t="inlineStr">
        <is>
          <t>LAD</t>
        </is>
      </c>
      <c r="D43" s="9" t="n">
        <v>29</v>
      </c>
      <c r="E43" s="16" t="inlineStr">
        <is>
          <t>L</t>
        </is>
      </c>
      <c r="F43" s="16" t="inlineStr">
        <is>
          <t>LF</t>
        </is>
      </c>
      <c r="G43" s="9" t="n">
        <v>60</v>
      </c>
      <c r="H43" s="9" t="n">
        <v>60</v>
      </c>
      <c r="I43" s="9" t="inlineStr">
        <is>
          <t>Bench Bat</t>
        </is>
      </c>
      <c r="J43" s="16" t="inlineStr">
        <is>
          <t>Opening Day</t>
        </is>
      </c>
      <c r="K43" s="11">
        <f>IFERROR(INDEX(Roles!$B$17:$B$20,MATCH(J43,Roles!$A$17:$A$20,0)),1)</f>
        <v/>
      </c>
      <c r="L43" s="17" t="n">
        <v>1</v>
      </c>
      <c r="M43" s="11" t="n">
        <v>1</v>
      </c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>
        <v>1</v>
      </c>
      <c r="X43" s="17" t="n"/>
      <c r="Y43" s="17" t="n"/>
      <c r="Z43" s="13">
        <f>SUMPRODUCT(N43:Y43,$N$2:$Y$2)*$K43*$L43*$M43</f>
        <v/>
      </c>
      <c r="AA43" s="14">
        <f>SUM(N43:Y43)</f>
        <v/>
      </c>
      <c r="AB43" s="14">
        <f>IFERROR(IF(UPPER($E43)="L",SUMPRODUCT(N43:Y43,$N$3:$Y$3,$N$2:$Y$2),SUMPRODUCT(N43:Y43,$N$4:$Y$4,$N$2:$Y$2))/(Z43/($K43*$L43*$M43)),"")</f>
        <v/>
      </c>
      <c r="AC43" s="18" t="n"/>
    </row>
    <row r="44">
      <c r="A44" s="9" t="n">
        <v>665155</v>
      </c>
      <c r="B44" s="9" t="inlineStr">
        <is>
          <t>Nick Maton</t>
        </is>
      </c>
      <c r="C44" s="9" t="inlineStr">
        <is>
          <t>CWS</t>
        </is>
      </c>
      <c r="D44" s="9" t="n">
        <v>30</v>
      </c>
      <c r="E44" s="16" t="inlineStr">
        <is>
          <t>L</t>
        </is>
      </c>
      <c r="F44" s="16" t="inlineStr">
        <is>
          <t>1B</t>
        </is>
      </c>
      <c r="G44" s="9" t="n">
        <v>63</v>
      </c>
      <c r="H44" s="9" t="n">
        <v>446</v>
      </c>
      <c r="I44" s="9" t="inlineStr">
        <is>
          <t>Bench Bat</t>
        </is>
      </c>
      <c r="J44" s="16" t="inlineStr">
        <is>
          <t>Opening Day</t>
        </is>
      </c>
      <c r="K44" s="11">
        <f>IFERROR(INDEX(Roles!$B$17:$B$20,MATCH(J44,Roles!$A$17:$A$20,0)),1)</f>
        <v/>
      </c>
      <c r="L44" s="17" t="n">
        <v>1</v>
      </c>
      <c r="M44" s="11" t="n">
        <v>1</v>
      </c>
      <c r="N44" s="17" t="n"/>
      <c r="O44" s="17" t="n"/>
      <c r="P44" s="17" t="n"/>
      <c r="Q44" s="17" t="n"/>
      <c r="R44" s="17" t="n"/>
      <c r="S44" s="17" t="n"/>
      <c r="T44" s="17" t="n"/>
      <c r="U44" s="17" t="n"/>
      <c r="V44" s="17" t="n"/>
      <c r="W44" s="17" t="n">
        <v>1</v>
      </c>
      <c r="X44" s="17" t="n"/>
      <c r="Y44" s="17" t="n"/>
      <c r="Z44" s="13">
        <f>SUMPRODUCT(N44:Y44,$N$2:$Y$2)*$K44*$L44*$M44</f>
        <v/>
      </c>
      <c r="AA44" s="14">
        <f>SUM(N44:Y44)</f>
        <v/>
      </c>
      <c r="AB44" s="14">
        <f>IFERROR(IF(UPPER($E44)="L",SUMPRODUCT(N44:Y44,$N$3:$Y$3,$N$2:$Y$2),SUMPRODUCT(N44:Y44,$N$4:$Y$4,$N$2:$Y$2))/(Z44/($K44*$L44*$M44)),"")</f>
        <v/>
      </c>
      <c r="AC44" s="18" t="n"/>
    </row>
    <row r="45">
      <c r="A45" s="9" t="n">
        <v>646240</v>
      </c>
      <c r="B45" s="9" t="inlineStr">
        <is>
          <t>Rafael Devers</t>
        </is>
      </c>
      <c r="C45" s="9" t="inlineStr">
        <is>
          <t>SF</t>
        </is>
      </c>
      <c r="D45" s="9" t="n">
        <v>30</v>
      </c>
      <c r="E45" s="16" t="inlineStr">
        <is>
          <t>L</t>
        </is>
      </c>
      <c r="F45" s="16" t="inlineStr">
        <is>
          <t>1B</t>
        </is>
      </c>
      <c r="G45" s="9" t="n">
        <v>633</v>
      </c>
      <c r="H45" s="9" t="n">
        <v>3233</v>
      </c>
      <c r="I45" s="9" t="inlineStr">
        <is>
          <t>Full Time</t>
        </is>
      </c>
      <c r="J45" s="16" t="inlineStr">
        <is>
          <t>Opening Day</t>
        </is>
      </c>
      <c r="K45" s="11">
        <f>IFERROR(INDEX(Roles!$B$17:$B$20,MATCH(J45,Roles!$A$17:$A$20,0)),1)</f>
        <v/>
      </c>
      <c r="L45" s="17" t="n">
        <v>1</v>
      </c>
      <c r="M45" s="11" t="n">
        <v>1.145491294244075</v>
      </c>
      <c r="N45" s="17" t="n">
        <v>1</v>
      </c>
      <c r="O45" s="17" t="n"/>
      <c r="P45" s="17" t="n"/>
      <c r="Q45" s="17" t="n"/>
      <c r="R45" s="17" t="n"/>
      <c r="S45" s="17" t="n"/>
      <c r="T45" s="17" t="n"/>
      <c r="U45" s="17" t="n"/>
      <c r="V45" s="17" t="n"/>
      <c r="W45" s="17" t="n"/>
      <c r="X45" s="17" t="n"/>
      <c r="Y45" s="17" t="n"/>
      <c r="Z45" s="13">
        <f>SUMPRODUCT(N45:Y45,$N$2:$Y$2)*$K45*$L45*$M45</f>
        <v/>
      </c>
      <c r="AA45" s="14">
        <f>SUM(N45:Y45)</f>
        <v/>
      </c>
      <c r="AB45" s="14">
        <f>IFERROR(IF(UPPER($E45)="L",SUMPRODUCT(N45:Y45,$N$3:$Y$3,$N$2:$Y$2),SUMPRODUCT(N45:Y45,$N$4:$Y$4,$N$2:$Y$2))/(Z45/($K45*$L45*$M45)),"")</f>
        <v/>
      </c>
      <c r="AC45" s="18" t="n"/>
    </row>
    <row r="46">
      <c r="A46" s="9" t="n">
        <v>660670</v>
      </c>
      <c r="B46" s="9" t="inlineStr">
        <is>
          <t>Ronald Acuña Jr.</t>
        </is>
      </c>
      <c r="C46" s="9" t="inlineStr">
        <is>
          <t>ATL</t>
        </is>
      </c>
      <c r="D46" s="9" t="n">
        <v>29</v>
      </c>
      <c r="E46" s="16" t="inlineStr">
        <is>
          <t>R</t>
        </is>
      </c>
      <c r="F46" s="16" t="inlineStr">
        <is>
          <t>RF</t>
        </is>
      </c>
      <c r="G46" s="9" t="n">
        <v>469</v>
      </c>
      <c r="H46" s="9" t="n">
        <v>2371</v>
      </c>
      <c r="I46" s="9" t="inlineStr">
        <is>
          <t>Full Time</t>
        </is>
      </c>
      <c r="J46" s="16" t="inlineStr">
        <is>
          <t>Opening Day</t>
        </is>
      </c>
      <c r="K46" s="11">
        <f>IFERROR(INDEX(Roles!$B$17:$B$20,MATCH(J46,Roles!$A$17:$A$20,0)),1)</f>
        <v/>
      </c>
      <c r="L46" s="17" t="n">
        <v>1</v>
      </c>
      <c r="M46" s="11" t="n">
        <v>0.8505571704512983</v>
      </c>
      <c r="N46" s="17" t="n">
        <v>1</v>
      </c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3">
        <f>SUMPRODUCT(N46:Y46,$N$2:$Y$2)*$K46*$L46*$M46</f>
        <v/>
      </c>
      <c r="AA46" s="14">
        <f>SUM(N46:Y46)</f>
        <v/>
      </c>
      <c r="AB46" s="14">
        <f>IFERROR(IF(UPPER($E46)="L",SUMPRODUCT(N46:Y46,$N$3:$Y$3,$N$2:$Y$2),SUMPRODUCT(N46:Y46,$N$4:$Y$4,$N$2:$Y$2))/(Z46/($K46*$L46*$M46)),"")</f>
        <v/>
      </c>
      <c r="AC46" s="18" t="n"/>
    </row>
    <row r="47">
      <c r="A47" s="9" t="n">
        <v>670223</v>
      </c>
      <c r="B47" s="9" t="inlineStr">
        <is>
          <t>Matt Mervis</t>
        </is>
      </c>
      <c r="C47" s="9" t="inlineStr">
        <is>
          <t>MIA</t>
        </is>
      </c>
      <c r="D47" s="9" t="n">
        <v>29</v>
      </c>
      <c r="E47" s="16" t="inlineStr">
        <is>
          <t>L</t>
        </is>
      </c>
      <c r="F47" s="16" t="inlineStr">
        <is>
          <t>1B</t>
        </is>
      </c>
      <c r="G47" s="9" t="n">
        <v>134</v>
      </c>
      <c r="H47" s="9" t="n">
        <v>261</v>
      </c>
      <c r="I47" s="9" t="inlineStr">
        <is>
          <t>Bench Bat</t>
        </is>
      </c>
      <c r="J47" s="16" t="inlineStr">
        <is>
          <t>Opening Day</t>
        </is>
      </c>
      <c r="K47" s="11">
        <f>IFERROR(INDEX(Roles!$B$17:$B$20,MATCH(J47,Roles!$A$17:$A$20,0)),1)</f>
        <v/>
      </c>
      <c r="L47" s="17" t="n">
        <v>1</v>
      </c>
      <c r="M47" s="11" t="n">
        <v>1</v>
      </c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>
        <v>1</v>
      </c>
      <c r="X47" s="17" t="n"/>
      <c r="Y47" s="17" t="n"/>
      <c r="Z47" s="13">
        <f>SUMPRODUCT(N47:Y47,$N$2:$Y$2)*$K47*$L47*$M47</f>
        <v/>
      </c>
      <c r="AA47" s="14">
        <f>SUM(N47:Y47)</f>
        <v/>
      </c>
      <c r="AB47" s="14">
        <f>IFERROR(IF(UPPER($E47)="L",SUMPRODUCT(N47:Y47,$N$3:$Y$3,$N$2:$Y$2),SUMPRODUCT(N47:Y47,$N$4:$Y$4,$N$2:$Y$2))/(Z47/($K47*$L47*$M47)),"")</f>
        <v/>
      </c>
      <c r="AC47" s="18" t="n"/>
    </row>
    <row r="48">
      <c r="A48" s="9" t="n">
        <v>688760</v>
      </c>
      <c r="B48" s="9" t="inlineStr">
        <is>
          <t>Blaine Crim</t>
        </is>
      </c>
      <c r="C48" s="9" t="inlineStr">
        <is>
          <t>COL</t>
        </is>
      </c>
      <c r="D48" s="9" t="n">
        <v>30</v>
      </c>
      <c r="E48" s="16" t="inlineStr">
        <is>
          <t>R</t>
        </is>
      </c>
      <c r="F48" s="16" t="inlineStr">
        <is>
          <t>1B</t>
        </is>
      </c>
      <c r="G48" s="9" t="n">
        <v>74</v>
      </c>
      <c r="H48" s="9" t="n">
        <v>74</v>
      </c>
      <c r="I48" s="9" t="inlineStr">
        <is>
          <t>Bench Bat</t>
        </is>
      </c>
      <c r="J48" s="16" t="inlineStr">
        <is>
          <t>Opening Day</t>
        </is>
      </c>
      <c r="K48" s="11">
        <f>IFERROR(INDEX(Roles!$B$17:$B$20,MATCH(J48,Roles!$A$17:$A$20,0)),1)</f>
        <v/>
      </c>
      <c r="L48" s="17" t="n">
        <v>1</v>
      </c>
      <c r="M48" s="11" t="n">
        <v>1</v>
      </c>
      <c r="N48" s="17" t="n"/>
      <c r="O48" s="17" t="n"/>
      <c r="P48" s="17" t="n"/>
      <c r="Q48" s="17" t="n"/>
      <c r="R48" s="17" t="n"/>
      <c r="S48" s="17" t="n"/>
      <c r="T48" s="17" t="n"/>
      <c r="U48" s="17" t="n"/>
      <c r="V48" s="17" t="n"/>
      <c r="W48" s="17" t="n">
        <v>1</v>
      </c>
      <c r="X48" s="17" t="n"/>
      <c r="Y48" s="17" t="n"/>
      <c r="Z48" s="13">
        <f>SUMPRODUCT(N48:Y48,$N$2:$Y$2)*$K48*$L48*$M48</f>
        <v/>
      </c>
      <c r="AA48" s="14">
        <f>SUM(N48:Y48)</f>
        <v/>
      </c>
      <c r="AB48" s="14">
        <f>IFERROR(IF(UPPER($E48)="L",SUMPRODUCT(N48:Y48,$N$3:$Y$3,$N$2:$Y$2),SUMPRODUCT(N48:Y48,$N$4:$Y$4,$N$2:$Y$2))/(Z48/($K48*$L48*$M48)),"")</f>
        <v/>
      </c>
      <c r="AC48" s="18" t="n"/>
    </row>
    <row r="49">
      <c r="A49" s="9" t="n">
        <v>641933</v>
      </c>
      <c r="B49" s="9" t="inlineStr">
        <is>
          <t>Tyler O'Neill</t>
        </is>
      </c>
      <c r="C49" s="9" t="inlineStr">
        <is>
          <t>BAL</t>
        </is>
      </c>
      <c r="D49" s="9" t="n">
        <v>32</v>
      </c>
      <c r="E49" s="16" t="inlineStr">
        <is>
          <t>R</t>
        </is>
      </c>
      <c r="F49" s="16" t="inlineStr">
        <is>
          <t>RF</t>
        </is>
      </c>
      <c r="G49" s="9" t="n">
        <v>260</v>
      </c>
      <c r="H49" s="9" t="n">
        <v>1591</v>
      </c>
      <c r="I49" s="9" t="inlineStr">
        <is>
          <t>Injury Replacement / 26th Man</t>
        </is>
      </c>
      <c r="J49" s="16" t="inlineStr">
        <is>
          <t>Opening Day</t>
        </is>
      </c>
      <c r="K49" s="11">
        <f>IFERROR(INDEX(Roles!$B$17:$B$20,MATCH(J49,Roles!$A$17:$A$20,0)),1)</f>
        <v/>
      </c>
      <c r="L49" s="17" t="n">
        <v>1</v>
      </c>
      <c r="M49" s="11" t="n">
        <v>0.9822328655607154</v>
      </c>
      <c r="N49" s="17" t="n"/>
      <c r="O49" s="17" t="n"/>
      <c r="P49" s="17" t="n"/>
      <c r="Q49" s="17" t="n"/>
      <c r="R49" s="17" t="n"/>
      <c r="S49" s="17" t="n"/>
      <c r="T49" s="17" t="n"/>
      <c r="U49" s="17" t="n"/>
      <c r="V49" s="17" t="n"/>
      <c r="W49" s="17" t="n"/>
      <c r="X49" s="17" t="n">
        <v>1</v>
      </c>
      <c r="Y49" s="17" t="n"/>
      <c r="Z49" s="13">
        <f>SUMPRODUCT(N49:Y49,$N$2:$Y$2)*$K49*$L49*$M49</f>
        <v/>
      </c>
      <c r="AA49" s="14">
        <f>SUM(N49:Y49)</f>
        <v/>
      </c>
      <c r="AB49" s="14">
        <f>IFERROR(IF(UPPER($E49)="L",SUMPRODUCT(N49:Y49,$N$3:$Y$3,$N$2:$Y$2),SUMPRODUCT(N49:Y49,$N$4:$Y$4,$N$2:$Y$2))/(Z49/($K49*$L49*$M49)),"")</f>
        <v/>
      </c>
      <c r="AC49" s="18" t="n"/>
    </row>
    <row r="50">
      <c r="A50" s="9" t="n">
        <v>666197</v>
      </c>
      <c r="B50" s="9" t="inlineStr">
        <is>
          <t>Grae Kessinger</t>
        </is>
      </c>
      <c r="C50" s="9" t="inlineStr">
        <is>
          <t>HOU</t>
        </is>
      </c>
      <c r="D50" s="9" t="n">
        <v>29</v>
      </c>
      <c r="E50" s="16" t="inlineStr">
        <is>
          <t>R</t>
        </is>
      </c>
      <c r="F50" s="16" t="inlineStr">
        <is>
          <t>3B</t>
        </is>
      </c>
      <c r="G50" s="9" t="n">
        <v>25</v>
      </c>
      <c r="H50" s="9" t="n">
        <v>70</v>
      </c>
      <c r="I50" s="9" t="inlineStr">
        <is>
          <t>Depth (no MLB PA)</t>
        </is>
      </c>
      <c r="J50" s="16" t="inlineStr">
        <is>
          <t>Opening Day</t>
        </is>
      </c>
      <c r="K50" s="11">
        <f>IFERROR(INDEX(Roles!$B$17:$B$20,MATCH(J50,Roles!$A$17:$A$20,0)),1)</f>
        <v/>
      </c>
      <c r="L50" s="17" t="n">
        <v>1</v>
      </c>
      <c r="M50" s="11" t="n">
        <v>1</v>
      </c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>
        <v>1</v>
      </c>
      <c r="Z50" s="13">
        <f>SUMPRODUCT(N50:Y50,$N$2:$Y$2)*$K50*$L50*$M50</f>
        <v/>
      </c>
      <c r="AA50" s="14">
        <f>SUM(N50:Y50)</f>
        <v/>
      </c>
      <c r="AB50" s="14">
        <f>IFERROR(IF(UPPER($E50)="L",SUMPRODUCT(N50:Y50,$N$3:$Y$3,$N$2:$Y$2),SUMPRODUCT(N50:Y50,$N$4:$Y$4,$N$2:$Y$2))/(Z50/($K50*$L50*$M50)),"")</f>
        <v/>
      </c>
      <c r="AC50" s="18" t="n"/>
    </row>
    <row r="51">
      <c r="A51" s="9" t="n">
        <v>667670</v>
      </c>
      <c r="B51" s="9" t="inlineStr">
        <is>
          <t>Brent Rooker</t>
        </is>
      </c>
      <c r="C51" s="9" t="inlineStr">
        <is>
          <t>OAK</t>
        </is>
      </c>
      <c r="D51" s="9" t="n">
        <v>32</v>
      </c>
      <c r="E51" s="16" t="inlineStr">
        <is>
          <t>R</t>
        </is>
      </c>
      <c r="F51" s="16" t="inlineStr">
        <is>
          <t>RF</t>
        </is>
      </c>
      <c r="G51" s="9" t="n">
        <v>203</v>
      </c>
      <c r="H51" s="9" t="n">
        <v>2078</v>
      </c>
      <c r="I51" s="9" t="inlineStr">
        <is>
          <t>Full Time</t>
        </is>
      </c>
      <c r="J51" s="16" t="inlineStr">
        <is>
          <t>Opening Day</t>
        </is>
      </c>
      <c r="K51" s="11">
        <f>IFERROR(INDEX(Roles!$B$17:$B$20,MATCH(J51,Roles!$A$17:$A$20,0)),1)</f>
        <v/>
      </c>
      <c r="L51" s="17" t="n">
        <v>1</v>
      </c>
      <c r="M51" s="11" t="n">
        <v>0.891354974318887</v>
      </c>
      <c r="N51" s="17" t="n">
        <v>1</v>
      </c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3">
        <f>SUMPRODUCT(N51:Y51,$N$2:$Y$2)*$K51*$L51*$M51</f>
        <v/>
      </c>
      <c r="AA51" s="14">
        <f>SUM(N51:Y51)</f>
        <v/>
      </c>
      <c r="AB51" s="14">
        <f>IFERROR(IF(UPPER($E51)="L",SUMPRODUCT(N51:Y51,$N$3:$Y$3,$N$2:$Y$2),SUMPRODUCT(N51:Y51,$N$4:$Y$4,$N$2:$Y$2))/(Z51/($K51*$L51*$M51)),"")</f>
        <v/>
      </c>
      <c r="AC51" s="18" t="n"/>
    </row>
    <row r="52">
      <c r="A52" s="9" t="n">
        <v>682985</v>
      </c>
      <c r="B52" s="9" t="inlineStr">
        <is>
          <t>Riley Greene</t>
        </is>
      </c>
      <c r="C52" s="9" t="inlineStr">
        <is>
          <t>DET</t>
        </is>
      </c>
      <c r="D52" s="9" t="n">
        <v>26</v>
      </c>
      <c r="E52" s="16" t="inlineStr">
        <is>
          <t>L</t>
        </is>
      </c>
      <c r="F52" s="16" t="inlineStr">
        <is>
          <t>LF</t>
        </is>
      </c>
      <c r="G52" s="9" t="n">
        <v>592</v>
      </c>
      <c r="H52" s="9" t="n">
        <v>2665</v>
      </c>
      <c r="I52" s="9" t="inlineStr">
        <is>
          <t>Full Time</t>
        </is>
      </c>
      <c r="J52" s="16" t="inlineStr">
        <is>
          <t>Opening Day</t>
        </is>
      </c>
      <c r="K52" s="11">
        <f>IFERROR(INDEX(Roles!$B$17:$B$20,MATCH(J52,Roles!$A$17:$A$20,0)),1)</f>
        <v/>
      </c>
      <c r="L52" s="17" t="n">
        <v>1</v>
      </c>
      <c r="M52" s="11" t="n">
        <v>1.134441889029937</v>
      </c>
      <c r="N52" s="17" t="n">
        <v>1</v>
      </c>
      <c r="O52" s="17" t="n"/>
      <c r="P52" s="17" t="n"/>
      <c r="Q52" s="17" t="n"/>
      <c r="R52" s="17" t="n"/>
      <c r="S52" s="17" t="n"/>
      <c r="T52" s="17" t="n"/>
      <c r="U52" s="17" t="n"/>
      <c r="V52" s="17" t="n"/>
      <c r="W52" s="17" t="n"/>
      <c r="X52" s="17" t="n"/>
      <c r="Y52" s="17" t="n"/>
      <c r="Z52" s="13">
        <f>SUMPRODUCT(N52:Y52,$N$2:$Y$2)*$K52*$L52*$M52</f>
        <v/>
      </c>
      <c r="AA52" s="14">
        <f>SUM(N52:Y52)</f>
        <v/>
      </c>
      <c r="AB52" s="14">
        <f>IFERROR(IF(UPPER($E52)="L",SUMPRODUCT(N52:Y52,$N$3:$Y$3,$N$2:$Y$2),SUMPRODUCT(N52:Y52,$N$4:$Y$4,$N$2:$Y$2))/(Z52/($K52*$L52*$M52)),"")</f>
        <v/>
      </c>
      <c r="AC52" s="18" t="n"/>
    </row>
    <row r="53">
      <c r="A53" s="9" t="n">
        <v>671284</v>
      </c>
      <c r="B53" s="9" t="inlineStr">
        <is>
          <t>Tim Elko</t>
        </is>
      </c>
      <c r="C53" s="9" t="inlineStr">
        <is>
          <t>CWS</t>
        </is>
      </c>
      <c r="D53" s="9" t="n">
        <v>28</v>
      </c>
      <c r="E53" s="16" t="inlineStr">
        <is>
          <t>R</t>
        </is>
      </c>
      <c r="F53" s="16" t="inlineStr">
        <is>
          <t>1B</t>
        </is>
      </c>
      <c r="G53" s="9" t="n">
        <v>72</v>
      </c>
      <c r="H53" s="9" t="n">
        <v>72</v>
      </c>
      <c r="I53" s="9" t="inlineStr">
        <is>
          <t>Bench Bat</t>
        </is>
      </c>
      <c r="J53" s="16" t="inlineStr">
        <is>
          <t>Opening Day</t>
        </is>
      </c>
      <c r="K53" s="11">
        <f>IFERROR(INDEX(Roles!$B$17:$B$20,MATCH(J53,Roles!$A$17:$A$20,0)),1)</f>
        <v/>
      </c>
      <c r="L53" s="17" t="n">
        <v>1</v>
      </c>
      <c r="M53" s="11" t="n">
        <v>1</v>
      </c>
      <c r="N53" s="17" t="n"/>
      <c r="O53" s="17" t="n"/>
      <c r="P53" s="17" t="n"/>
      <c r="Q53" s="17" t="n"/>
      <c r="R53" s="17" t="n"/>
      <c r="S53" s="17" t="n"/>
      <c r="T53" s="17" t="n"/>
      <c r="U53" s="17" t="n"/>
      <c r="V53" s="17" t="n"/>
      <c r="W53" s="17" t="n">
        <v>1</v>
      </c>
      <c r="X53" s="17" t="n"/>
      <c r="Y53" s="17" t="n"/>
      <c r="Z53" s="13">
        <f>SUMPRODUCT(N53:Y53,$N$2:$Y$2)*$K53*$L53*$M53</f>
        <v/>
      </c>
      <c r="AA53" s="14">
        <f>SUM(N53:Y53)</f>
        <v/>
      </c>
      <c r="AB53" s="14">
        <f>IFERROR(IF(UPPER($E53)="L",SUMPRODUCT(N53:Y53,$N$3:$Y$3,$N$2:$Y$2),SUMPRODUCT(N53:Y53,$N$4:$Y$4,$N$2:$Y$2))/(Z53/($K53*$L53*$M53)),"")</f>
        <v/>
      </c>
      <c r="AC53" s="18" t="n"/>
    </row>
    <row r="54">
      <c r="A54" s="9" t="n">
        <v>571970</v>
      </c>
      <c r="B54" s="9" t="inlineStr">
        <is>
          <t>Max Muncy</t>
        </is>
      </c>
      <c r="C54" s="9" t="inlineStr">
        <is>
          <t>LAD</t>
        </is>
      </c>
      <c r="D54" s="9" t="n">
        <v>36</v>
      </c>
      <c r="E54" s="16" t="inlineStr">
        <is>
          <t>L</t>
        </is>
      </c>
      <c r="F54" s="16" t="inlineStr">
        <is>
          <t>3B</t>
        </is>
      </c>
      <c r="G54" s="9" t="n">
        <v>561</v>
      </c>
      <c r="H54" s="9" t="n">
        <v>2386</v>
      </c>
      <c r="I54" s="9" t="inlineStr">
        <is>
          <t>Full Time</t>
        </is>
      </c>
      <c r="J54" s="16" t="inlineStr">
        <is>
          <t>Opening Day</t>
        </is>
      </c>
      <c r="K54" s="11">
        <f>IFERROR(INDEX(Roles!$B$17:$B$20,MATCH(J54,Roles!$A$17:$A$20,0)),1)</f>
        <v/>
      </c>
      <c r="L54" s="17" t="n">
        <v>1</v>
      </c>
      <c r="M54" s="11" t="n">
        <v>0.9763503990430302</v>
      </c>
      <c r="N54" s="17" t="n">
        <v>0.7</v>
      </c>
      <c r="O54" s="17" t="n"/>
      <c r="P54" s="17" t="n">
        <v>0.3</v>
      </c>
      <c r="Q54" s="17" t="n"/>
      <c r="R54" s="17" t="n"/>
      <c r="S54" s="17" t="n"/>
      <c r="T54" s="17" t="n"/>
      <c r="U54" s="17" t="n"/>
      <c r="V54" s="17" t="n"/>
      <c r="W54" s="17" t="n"/>
      <c r="X54" s="17" t="n"/>
      <c r="Y54" s="17" t="n"/>
      <c r="Z54" s="13">
        <f>SUMPRODUCT(N54:Y54,$N$2:$Y$2)*$K54*$L54*$M54</f>
        <v/>
      </c>
      <c r="AA54" s="14">
        <f>SUM(N54:Y54)</f>
        <v/>
      </c>
      <c r="AB54" s="14">
        <f>IFERROR(IF(UPPER($E54)="L",SUMPRODUCT(N54:Y54,$N$3:$Y$3,$N$2:$Y$2),SUMPRODUCT(N54:Y54,$N$4:$Y$4,$N$2:$Y$2))/(Z54/($K54*$L54*$M54)),"")</f>
        <v/>
      </c>
      <c r="AC54" s="18" t="n"/>
    </row>
    <row r="55">
      <c r="A55" s="9" t="n">
        <v>664040</v>
      </c>
      <c r="B55" s="9" t="inlineStr">
        <is>
          <t>Brandon Lowe</t>
        </is>
      </c>
      <c r="C55" s="9" t="inlineStr">
        <is>
          <t>PIT</t>
        </is>
      </c>
      <c r="D55" s="9" t="n">
        <v>32</v>
      </c>
      <c r="E55" s="16" t="inlineStr">
        <is>
          <t>L</t>
        </is>
      </c>
      <c r="F55" s="16" t="inlineStr">
        <is>
          <t>2B</t>
        </is>
      </c>
      <c r="G55" s="9" t="n">
        <v>656</v>
      </c>
      <c r="H55" s="9" t="n">
        <v>2336</v>
      </c>
      <c r="I55" s="9" t="inlineStr">
        <is>
          <t>Full Time</t>
        </is>
      </c>
      <c r="J55" s="16" t="inlineStr">
        <is>
          <t>Opening Day</t>
        </is>
      </c>
      <c r="K55" s="11">
        <f>IFERROR(INDEX(Roles!$B$17:$B$20,MATCH(J55,Roles!$A$17:$A$20,0)),1)</f>
        <v/>
      </c>
      <c r="L55" s="17" t="n">
        <v>1</v>
      </c>
      <c r="M55" s="11" t="n">
        <v>1.073245183228553</v>
      </c>
      <c r="N55" s="17" t="n">
        <v>1</v>
      </c>
      <c r="O55" s="17" t="n"/>
      <c r="P55" s="17" t="n"/>
      <c r="Q55" s="17" t="n"/>
      <c r="R55" s="17" t="n"/>
      <c r="S55" s="17" t="n"/>
      <c r="T55" s="17" t="n"/>
      <c r="U55" s="17" t="n"/>
      <c r="V55" s="17" t="n"/>
      <c r="W55" s="17" t="n"/>
      <c r="X55" s="17" t="n"/>
      <c r="Y55" s="17" t="n"/>
      <c r="Z55" s="13">
        <f>SUMPRODUCT(N55:Y55,$N$2:$Y$2)*$K55*$L55*$M55</f>
        <v/>
      </c>
      <c r="AA55" s="14">
        <f>SUM(N55:Y55)</f>
        <v/>
      </c>
      <c r="AB55" s="14">
        <f>IFERROR(IF(UPPER($E55)="L",SUMPRODUCT(N55:Y55,$N$3:$Y$3,$N$2:$Y$2),SUMPRODUCT(N55:Y55,$N$4:$Y$4,$N$2:$Y$2))/(Z55/($K55*$L55*$M55)),"")</f>
        <v/>
      </c>
      <c r="AC55" s="18" t="n"/>
    </row>
    <row r="56">
      <c r="A56" s="9" t="n">
        <v>676369</v>
      </c>
      <c r="B56" s="9" t="inlineStr">
        <is>
          <t>Nelson Velázquez</t>
        </is>
      </c>
      <c r="C56" s="9" t="inlineStr">
        <is>
          <t>HOU</t>
        </is>
      </c>
      <c r="D56" s="9" t="n">
        <v>28</v>
      </c>
      <c r="E56" s="16" t="inlineStr">
        <is>
          <t>R</t>
        </is>
      </c>
      <c r="F56" s="16" t="inlineStr">
        <is>
          <t>LF</t>
        </is>
      </c>
      <c r="G56" s="9" t="n">
        <v>113</v>
      </c>
      <c r="H56" s="9" t="n">
        <v>728</v>
      </c>
      <c r="I56" s="9" t="inlineStr">
        <is>
          <t>Bench Bat</t>
        </is>
      </c>
      <c r="J56" s="16" t="inlineStr">
        <is>
          <t>Opening Day</t>
        </is>
      </c>
      <c r="K56" s="11">
        <f>IFERROR(INDEX(Roles!$B$17:$B$20,MATCH(J56,Roles!$A$17:$A$20,0)),1)</f>
        <v/>
      </c>
      <c r="L56" s="17" t="n">
        <v>1</v>
      </c>
      <c r="M56" s="11" t="n">
        <v>1</v>
      </c>
      <c r="N56" s="17" t="n"/>
      <c r="O56" s="17" t="n"/>
      <c r="P56" s="17" t="n"/>
      <c r="Q56" s="17" t="n"/>
      <c r="R56" s="17" t="n"/>
      <c r="S56" s="17" t="n"/>
      <c r="T56" s="17" t="n"/>
      <c r="U56" s="17" t="n"/>
      <c r="V56" s="17" t="n"/>
      <c r="W56" s="17" t="n">
        <v>0.85</v>
      </c>
      <c r="X56" s="17" t="n">
        <v>0.15</v>
      </c>
      <c r="Y56" s="17" t="n"/>
      <c r="Z56" s="13">
        <f>SUMPRODUCT(N56:Y56,$N$2:$Y$2)*$K56*$L56*$M56</f>
        <v/>
      </c>
      <c r="AA56" s="14">
        <f>SUM(N56:Y56)</f>
        <v/>
      </c>
      <c r="AB56" s="14">
        <f>IFERROR(IF(UPPER($E56)="L",SUMPRODUCT(N56:Y56,$N$3:$Y$3,$N$2:$Y$2),SUMPRODUCT(N56:Y56,$N$4:$Y$4,$N$2:$Y$2))/(Z56/($K56*$L56*$M56)),"")</f>
        <v/>
      </c>
      <c r="AC56" s="18" t="n"/>
    </row>
    <row r="57">
      <c r="A57" s="9" t="n">
        <v>693409</v>
      </c>
      <c r="B57" s="9" t="inlineStr">
        <is>
          <t>César Prieto</t>
        </is>
      </c>
      <c r="C57" s="9" t="inlineStr">
        <is>
          <t>STL</t>
        </is>
      </c>
      <c r="D57" s="9" t="n">
        <v>28</v>
      </c>
      <c r="E57" s="16" t="inlineStr">
        <is>
          <t>L</t>
        </is>
      </c>
      <c r="F57" s="16" t="inlineStr">
        <is>
          <t>3B</t>
        </is>
      </c>
      <c r="G57" s="9" t="n">
        <v>39</v>
      </c>
      <c r="H57" s="9" t="n">
        <v>45</v>
      </c>
      <c r="I57" s="9" t="inlineStr">
        <is>
          <t>Bench Bat</t>
        </is>
      </c>
      <c r="J57" s="16" t="inlineStr">
        <is>
          <t>Opening Day</t>
        </is>
      </c>
      <c r="K57" s="11">
        <f>IFERROR(INDEX(Roles!$B$17:$B$20,MATCH(J57,Roles!$A$17:$A$20,0)),1)</f>
        <v/>
      </c>
      <c r="L57" s="17" t="n">
        <v>1</v>
      </c>
      <c r="M57" s="11" t="n">
        <v>1</v>
      </c>
      <c r="N57" s="17" t="n"/>
      <c r="O57" s="17" t="n"/>
      <c r="P57" s="17" t="n"/>
      <c r="Q57" s="17" t="n"/>
      <c r="R57" s="17" t="n"/>
      <c r="S57" s="17" t="n"/>
      <c r="T57" s="17" t="n"/>
      <c r="U57" s="17" t="n"/>
      <c r="V57" s="17" t="n"/>
      <c r="W57" s="17" t="n">
        <v>0.85</v>
      </c>
      <c r="X57" s="17" t="n">
        <v>0.15</v>
      </c>
      <c r="Y57" s="17" t="n"/>
      <c r="Z57" s="13">
        <f>SUMPRODUCT(N57:Y57,$N$2:$Y$2)*$K57*$L57*$M57</f>
        <v/>
      </c>
      <c r="AA57" s="14">
        <f>SUM(N57:Y57)</f>
        <v/>
      </c>
      <c r="AB57" s="14">
        <f>IFERROR(IF(UPPER($E57)="L",SUMPRODUCT(N57:Y57,$N$3:$Y$3,$N$2:$Y$2),SUMPRODUCT(N57:Y57,$N$4:$Y$4,$N$2:$Y$2))/(Z57/($K57*$L57*$M57)),"")</f>
        <v/>
      </c>
      <c r="AC57" s="18" t="n"/>
    </row>
    <row r="58">
      <c r="A58" s="9" t="n">
        <v>686482</v>
      </c>
      <c r="B58" s="9" t="inlineStr">
        <is>
          <t>Logan Driscoll</t>
        </is>
      </c>
      <c r="C58" s="9" t="inlineStr">
        <is>
          <t>TB</t>
        </is>
      </c>
      <c r="D58" s="9" t="n">
        <v>29</v>
      </c>
      <c r="E58" s="16" t="inlineStr">
        <is>
          <t>L</t>
        </is>
      </c>
      <c r="F58" s="16" t="inlineStr">
        <is>
          <t>C</t>
        </is>
      </c>
      <c r="G58" s="9" t="n">
        <v>37</v>
      </c>
      <c r="H58" s="9" t="n">
        <v>37</v>
      </c>
      <c r="I58" s="9" t="inlineStr">
        <is>
          <t>Depth (no MLB PA)</t>
        </is>
      </c>
      <c r="J58" s="16" t="inlineStr">
        <is>
          <t>Opening Day</t>
        </is>
      </c>
      <c r="K58" s="11">
        <f>IFERROR(INDEX(Roles!$B$17:$B$20,MATCH(J58,Roles!$A$17:$A$20,0)),1)</f>
        <v/>
      </c>
      <c r="L58" s="17" t="n">
        <v>1</v>
      </c>
      <c r="M58" s="11" t="n">
        <v>1</v>
      </c>
      <c r="N58" s="17" t="n"/>
      <c r="O58" s="17" t="n"/>
      <c r="P58" s="17" t="n"/>
      <c r="Q58" s="17" t="n"/>
      <c r="R58" s="17" t="n"/>
      <c r="S58" s="17" t="n"/>
      <c r="T58" s="17" t="n"/>
      <c r="U58" s="17" t="n"/>
      <c r="V58" s="17" t="n"/>
      <c r="W58" s="17" t="n"/>
      <c r="X58" s="17" t="n"/>
      <c r="Y58" s="17" t="n">
        <v>1</v>
      </c>
      <c r="Z58" s="13">
        <f>SUMPRODUCT(N58:Y58,$N$2:$Y$2)*$K58*$L58*$M58</f>
        <v/>
      </c>
      <c r="AA58" s="14">
        <f>SUM(N58:Y58)</f>
        <v/>
      </c>
      <c r="AB58" s="14">
        <f>IFERROR(IF(UPPER($E58)="L",SUMPRODUCT(N58:Y58,$N$3:$Y$3,$N$2:$Y$2),SUMPRODUCT(N58:Y58,$N$4:$Y$4,$N$2:$Y$2))/(Z58/($K58*$L58*$M58)),"")</f>
        <v/>
      </c>
      <c r="AC58" s="18" t="n"/>
    </row>
    <row r="59">
      <c r="A59" s="9" t="n">
        <v>545350</v>
      </c>
      <c r="B59" s="9" t="inlineStr">
        <is>
          <t>Jake Marisnick</t>
        </is>
      </c>
      <c r="C59" s="9" t="inlineStr">
        <is>
          <t>LAD</t>
        </is>
      </c>
      <c r="D59" s="9" t="n">
        <v>36</v>
      </c>
      <c r="E59" s="16" t="inlineStr">
        <is>
          <t>R</t>
        </is>
      </c>
      <c r="F59" s="16" t="inlineStr">
        <is>
          <t>CF</t>
        </is>
      </c>
      <c r="G59" s="9" t="n">
        <v>83</v>
      </c>
      <c r="H59" s="9" t="n">
        <v>165</v>
      </c>
      <c r="I59" s="9" t="inlineStr">
        <is>
          <t>Depth (no MLB PA)</t>
        </is>
      </c>
      <c r="J59" s="16" t="inlineStr">
        <is>
          <t>Opening Day</t>
        </is>
      </c>
      <c r="K59" s="11">
        <f>IFERROR(INDEX(Roles!$B$17:$B$20,MATCH(J59,Roles!$A$17:$A$20,0)),1)</f>
        <v/>
      </c>
      <c r="L59" s="17" t="n">
        <v>1</v>
      </c>
      <c r="M59" s="11" t="n">
        <v>1</v>
      </c>
      <c r="N59" s="17" t="n"/>
      <c r="O59" s="17" t="n"/>
      <c r="P59" s="17" t="n"/>
      <c r="Q59" s="17" t="n"/>
      <c r="R59" s="17" t="n"/>
      <c r="S59" s="17" t="n"/>
      <c r="T59" s="17" t="n"/>
      <c r="U59" s="17" t="n"/>
      <c r="V59" s="17" t="n"/>
      <c r="W59" s="17" t="n"/>
      <c r="X59" s="17" t="n"/>
      <c r="Y59" s="17" t="n">
        <v>1</v>
      </c>
      <c r="Z59" s="13">
        <f>SUMPRODUCT(N59:Y59,$N$2:$Y$2)*$K59*$L59*$M59</f>
        <v/>
      </c>
      <c r="AA59" s="14">
        <f>SUM(N59:Y59)</f>
        <v/>
      </c>
      <c r="AB59" s="14">
        <f>IFERROR(IF(UPPER($E59)="L",SUMPRODUCT(N59:Y59,$N$3:$Y$3,$N$2:$Y$2),SUMPRODUCT(N59:Y59,$N$4:$Y$4,$N$2:$Y$2))/(Z59/($K59*$L59*$M59)),"")</f>
        <v/>
      </c>
      <c r="AC59" s="18" t="n"/>
    </row>
    <row r="60">
      <c r="A60" s="9" t="n">
        <v>594807</v>
      </c>
      <c r="B60" s="9" t="inlineStr">
        <is>
          <t>Adam Duvall</t>
        </is>
      </c>
      <c r="C60" s="9" t="inlineStr">
        <is>
          <t>ATL</t>
        </is>
      </c>
      <c r="D60" s="9" t="n">
        <v>38</v>
      </c>
      <c r="E60" s="16" t="inlineStr">
        <is>
          <t>R</t>
        </is>
      </c>
      <c r="F60" s="16" t="inlineStr">
        <is>
          <t>RF</t>
        </is>
      </c>
      <c r="G60" s="9" t="n">
        <v>330</v>
      </c>
      <c r="H60" s="9" t="n">
        <v>998</v>
      </c>
      <c r="I60" s="9" t="inlineStr">
        <is>
          <t>Depth (no MLB PA)</t>
        </is>
      </c>
      <c r="J60" s="16" t="inlineStr">
        <is>
          <t>Opening Day</t>
        </is>
      </c>
      <c r="K60" s="11">
        <f>IFERROR(INDEX(Roles!$B$17:$B$20,MATCH(J60,Roles!$A$17:$A$20,0)),1)</f>
        <v/>
      </c>
      <c r="L60" s="17" t="n">
        <v>1</v>
      </c>
      <c r="M60" s="11" t="n">
        <v>1</v>
      </c>
      <c r="N60" s="17" t="n"/>
      <c r="O60" s="17" t="n"/>
      <c r="P60" s="17" t="n"/>
      <c r="Q60" s="17" t="n"/>
      <c r="R60" s="17" t="n"/>
      <c r="S60" s="17" t="n"/>
      <c r="T60" s="17" t="n"/>
      <c r="U60" s="17" t="n"/>
      <c r="V60" s="17" t="n"/>
      <c r="W60" s="17" t="n"/>
      <c r="X60" s="17" t="n"/>
      <c r="Y60" s="17" t="n">
        <v>1</v>
      </c>
      <c r="Z60" s="13">
        <f>SUMPRODUCT(N60:Y60,$N$2:$Y$2)*$K60*$L60*$M60</f>
        <v/>
      </c>
      <c r="AA60" s="14">
        <f>SUM(N60:Y60)</f>
        <v/>
      </c>
      <c r="AB60" s="14">
        <f>IFERROR(IF(UPPER($E60)="L",SUMPRODUCT(N60:Y60,$N$3:$Y$3,$N$2:$Y$2),SUMPRODUCT(N60:Y60,$N$4:$Y$4,$N$2:$Y$2))/(Z60/($K60*$L60*$M60)),"")</f>
        <v/>
      </c>
      <c r="AC60" s="18" t="n"/>
    </row>
    <row r="61">
      <c r="A61" s="9" t="n">
        <v>641598</v>
      </c>
      <c r="B61" s="9" t="inlineStr">
        <is>
          <t>Mitch Garver</t>
        </is>
      </c>
      <c r="C61" s="9" t="inlineStr">
        <is>
          <t>SEA</t>
        </is>
      </c>
      <c r="D61" s="9" t="n">
        <v>36</v>
      </c>
      <c r="E61" s="16" t="inlineStr">
        <is>
          <t>R</t>
        </is>
      </c>
      <c r="F61" s="16" t="inlineStr">
        <is>
          <t>C</t>
        </is>
      </c>
      <c r="G61" s="9" t="n">
        <v>149</v>
      </c>
      <c r="H61" s="9" t="n">
        <v>1428</v>
      </c>
      <c r="I61" s="9" t="inlineStr">
        <is>
          <t>Catcher - Tandem</t>
        </is>
      </c>
      <c r="J61" s="16" t="inlineStr">
        <is>
          <t>Opening Day</t>
        </is>
      </c>
      <c r="K61" s="11">
        <f>IFERROR(INDEX(Roles!$B$17:$B$20,MATCH(J61,Roles!$A$17:$A$20,0)),1)</f>
        <v/>
      </c>
      <c r="L61" s="17" t="n">
        <v>1</v>
      </c>
      <c r="M61" s="11" t="n">
        <v>1</v>
      </c>
      <c r="N61" s="17" t="n"/>
      <c r="O61" s="17" t="n"/>
      <c r="P61" s="17" t="n"/>
      <c r="Q61" s="17" t="n"/>
      <c r="R61" s="17" t="n"/>
      <c r="S61" s="17" t="n">
        <v>1</v>
      </c>
      <c r="T61" s="17" t="n"/>
      <c r="U61" s="17" t="n"/>
      <c r="V61" s="17" t="n"/>
      <c r="W61" s="17" t="n"/>
      <c r="X61" s="17" t="n"/>
      <c r="Y61" s="17" t="n"/>
      <c r="Z61" s="13">
        <f>SUMPRODUCT(N61:Y61,$N$2:$Y$2)*$K61*$L61*$M61</f>
        <v/>
      </c>
      <c r="AA61" s="14">
        <f>SUM(N61:Y61)</f>
        <v/>
      </c>
      <c r="AB61" s="14">
        <f>IFERROR(IF(UPPER($E61)="L",SUMPRODUCT(N61:Y61,$N$3:$Y$3,$N$2:$Y$2),SUMPRODUCT(N61:Y61,$N$4:$Y$4,$N$2:$Y$2))/(Z61/($K61*$L61*$M61)),"")</f>
        <v/>
      </c>
      <c r="AC61" s="18" t="n"/>
    </row>
    <row r="62">
      <c r="A62" s="9" t="n">
        <v>664901</v>
      </c>
      <c r="B62" s="9" t="inlineStr">
        <is>
          <t>Danny Mendick</t>
        </is>
      </c>
      <c r="C62" s="9" t="inlineStr">
        <is>
          <t>CWS</t>
        </is>
      </c>
      <c r="D62" s="9" t="n">
        <v>33</v>
      </c>
      <c r="E62" s="16" t="inlineStr">
        <is>
          <t>R</t>
        </is>
      </c>
      <c r="F62" s="16" t="inlineStr">
        <is>
          <t>3B</t>
        </is>
      </c>
      <c r="G62" s="9" t="n">
        <v>141</v>
      </c>
      <c r="H62" s="9" t="n">
        <v>316</v>
      </c>
      <c r="I62" s="9" t="inlineStr">
        <is>
          <t>Depth (no MLB PA)</t>
        </is>
      </c>
      <c r="J62" s="16" t="inlineStr">
        <is>
          <t>Opening Day</t>
        </is>
      </c>
      <c r="K62" s="11">
        <f>IFERROR(INDEX(Roles!$B$17:$B$20,MATCH(J62,Roles!$A$17:$A$20,0)),1)</f>
        <v/>
      </c>
      <c r="L62" s="17" t="n">
        <v>1</v>
      </c>
      <c r="M62" s="11" t="n">
        <v>1</v>
      </c>
      <c r="N62" s="17" t="n"/>
      <c r="O62" s="17" t="n"/>
      <c r="P62" s="17" t="n"/>
      <c r="Q62" s="17" t="n"/>
      <c r="R62" s="17" t="n"/>
      <c r="S62" s="17" t="n"/>
      <c r="T62" s="17" t="n"/>
      <c r="U62" s="17" t="n"/>
      <c r="V62" s="17" t="n"/>
      <c r="W62" s="17" t="n"/>
      <c r="X62" s="17" t="n"/>
      <c r="Y62" s="17" t="n">
        <v>1</v>
      </c>
      <c r="Z62" s="13">
        <f>SUMPRODUCT(N62:Y62,$N$2:$Y$2)*$K62*$L62*$M62</f>
        <v/>
      </c>
      <c r="AA62" s="14">
        <f>SUM(N62:Y62)</f>
        <v/>
      </c>
      <c r="AB62" s="14">
        <f>IFERROR(IF(UPPER($E62)="L",SUMPRODUCT(N62:Y62,$N$3:$Y$3,$N$2:$Y$2),SUMPRODUCT(N62:Y62,$N$4:$Y$4,$N$2:$Y$2))/(Z62/($K62*$L62*$M62)),"")</f>
        <v/>
      </c>
      <c r="AC62" s="18" t="n"/>
    </row>
    <row r="63">
      <c r="A63" s="9" t="n">
        <v>660710</v>
      </c>
      <c r="B63" s="9" t="inlineStr">
        <is>
          <t>Rodolfo Durán</t>
        </is>
      </c>
      <c r="C63" s="9" t="inlineStr">
        <is>
          <t>SD</t>
        </is>
      </c>
      <c r="D63" s="9" t="n">
        <v>29</v>
      </c>
      <c r="E63" s="16" t="inlineStr">
        <is>
          <t>R</t>
        </is>
      </c>
      <c r="F63" s="16" t="inlineStr">
        <is>
          <t>C</t>
        </is>
      </c>
      <c r="G63" s="9" t="n">
        <v>91</v>
      </c>
      <c r="H63" s="9" t="n">
        <v>91</v>
      </c>
      <c r="I63" s="9" t="inlineStr">
        <is>
          <t>Injury Replacement / 26th Man</t>
        </is>
      </c>
      <c r="J63" s="16" t="inlineStr">
        <is>
          <t>Opening Day</t>
        </is>
      </c>
      <c r="K63" s="11">
        <f>IFERROR(INDEX(Roles!$B$17:$B$20,MATCH(J63,Roles!$A$17:$A$20,0)),1)</f>
        <v/>
      </c>
      <c r="L63" s="17" t="n">
        <v>1</v>
      </c>
      <c r="M63" s="11" t="n">
        <v>1</v>
      </c>
      <c r="N63" s="17" t="n"/>
      <c r="O63" s="17" t="n"/>
      <c r="P63" s="17" t="n"/>
      <c r="Q63" s="17" t="n"/>
      <c r="R63" s="17" t="n"/>
      <c r="S63" s="17" t="n"/>
      <c r="T63" s="17" t="n"/>
      <c r="U63" s="17" t="n"/>
      <c r="V63" s="17" t="n"/>
      <c r="W63" s="17" t="n"/>
      <c r="X63" s="17" t="n">
        <v>1</v>
      </c>
      <c r="Y63" s="17" t="n"/>
      <c r="Z63" s="13">
        <f>SUMPRODUCT(N63:Y63,$N$2:$Y$2)*$K63*$L63*$M63</f>
        <v/>
      </c>
      <c r="AA63" s="14">
        <f>SUM(N63:Y63)</f>
        <v/>
      </c>
      <c r="AB63" s="14">
        <f>IFERROR(IF(UPPER($E63)="L",SUMPRODUCT(N63:Y63,$N$3:$Y$3,$N$2:$Y$2),SUMPRODUCT(N63:Y63,$N$4:$Y$4,$N$2:$Y$2))/(Z63/($K63*$L63*$M63)),"")</f>
        <v/>
      </c>
      <c r="AC63" s="18" t="n"/>
    </row>
    <row r="64">
      <c r="A64" s="9" t="n">
        <v>666176</v>
      </c>
      <c r="B64" s="9" t="inlineStr">
        <is>
          <t>Jo Adell</t>
        </is>
      </c>
      <c r="C64" s="9" t="inlineStr">
        <is>
          <t>CLE</t>
        </is>
      </c>
      <c r="D64" s="9" t="n">
        <v>28</v>
      </c>
      <c r="E64" s="16" t="inlineStr">
        <is>
          <t>R</t>
        </is>
      </c>
      <c r="F64" s="16" t="inlineStr">
        <is>
          <t>RF</t>
        </is>
      </c>
      <c r="G64" s="9" t="n">
        <v>660</v>
      </c>
      <c r="H64" s="9" t="n">
        <v>2031</v>
      </c>
      <c r="I64" s="9" t="inlineStr">
        <is>
          <t>Everyday DH / 1B-DH</t>
        </is>
      </c>
      <c r="J64" s="16" t="inlineStr">
        <is>
          <t>Opening Day</t>
        </is>
      </c>
      <c r="K64" s="11">
        <f>IFERROR(INDEX(Roles!$B$17:$B$20,MATCH(J64,Roles!$A$17:$A$20,0)),1)</f>
        <v/>
      </c>
      <c r="L64" s="17" t="n">
        <v>1</v>
      </c>
      <c r="M64" s="11" t="n">
        <v>1.15</v>
      </c>
      <c r="N64" s="17" t="n"/>
      <c r="O64" s="17" t="n">
        <v>1</v>
      </c>
      <c r="P64" s="17" t="n"/>
      <c r="Q64" s="17" t="n"/>
      <c r="R64" s="17" t="n"/>
      <c r="S64" s="17" t="n"/>
      <c r="T64" s="17" t="n"/>
      <c r="U64" s="17" t="n"/>
      <c r="V64" s="17" t="n"/>
      <c r="W64" s="17" t="n"/>
      <c r="X64" s="17" t="n"/>
      <c r="Y64" s="17" t="n"/>
      <c r="Z64" s="13">
        <f>SUMPRODUCT(N64:Y64,$N$2:$Y$2)*$K64*$L64*$M64</f>
        <v/>
      </c>
      <c r="AA64" s="14">
        <f>SUM(N64:Y64)</f>
        <v/>
      </c>
      <c r="AB64" s="14">
        <f>IFERROR(IF(UPPER($E64)="L",SUMPRODUCT(N64:Y64,$N$3:$Y$3,$N$2:$Y$2),SUMPRODUCT(N64:Y64,$N$4:$Y$4,$N$2:$Y$2))/(Z64/($K64*$L64*$M64)),"")</f>
        <v/>
      </c>
      <c r="AC64" s="18" t="n"/>
    </row>
    <row r="65">
      <c r="A65" s="9" t="n">
        <v>621566</v>
      </c>
      <c r="B65" s="9" t="inlineStr">
        <is>
          <t>Matt Olson</t>
        </is>
      </c>
      <c r="C65" s="9" t="inlineStr">
        <is>
          <t>ATL</t>
        </is>
      </c>
      <c r="D65" s="9" t="n">
        <v>33</v>
      </c>
      <c r="E65" s="16" t="inlineStr">
        <is>
          <t>L</t>
        </is>
      </c>
      <c r="F65" s="16" t="inlineStr">
        <is>
          <t>1B</t>
        </is>
      </c>
      <c r="G65" s="9" t="n">
        <v>698</v>
      </c>
      <c r="H65" s="9" t="n">
        <v>3526</v>
      </c>
      <c r="I65" s="9" t="inlineStr">
        <is>
          <t>Full Time</t>
        </is>
      </c>
      <c r="J65" s="16" t="inlineStr">
        <is>
          <t>Opening Day</t>
        </is>
      </c>
      <c r="K65" s="11">
        <f>IFERROR(INDEX(Roles!$B$17:$B$20,MATCH(J65,Roles!$A$17:$A$20,0)),1)</f>
        <v/>
      </c>
      <c r="L65" s="17" t="n">
        <v>1</v>
      </c>
      <c r="M65" s="11" t="n">
        <v>1.15</v>
      </c>
      <c r="N65" s="17" t="n">
        <v>1</v>
      </c>
      <c r="O65" s="17" t="n"/>
      <c r="P65" s="17" t="n"/>
      <c r="Q65" s="17" t="n"/>
      <c r="R65" s="17" t="n"/>
      <c r="S65" s="17" t="n"/>
      <c r="T65" s="17" t="n"/>
      <c r="U65" s="17" t="n"/>
      <c r="V65" s="17" t="n"/>
      <c r="W65" s="17" t="n"/>
      <c r="X65" s="17" t="n"/>
      <c r="Y65" s="17" t="n"/>
      <c r="Z65" s="13">
        <f>SUMPRODUCT(N65:Y65,$N$2:$Y$2)*$K65*$L65*$M65</f>
        <v/>
      </c>
      <c r="AA65" s="14">
        <f>SUM(N65:Y65)</f>
        <v/>
      </c>
      <c r="AB65" s="14">
        <f>IFERROR(IF(UPPER($E65)="L",SUMPRODUCT(N65:Y65,$N$3:$Y$3,$N$2:$Y$2),SUMPRODUCT(N65:Y65,$N$4:$Y$4,$N$2:$Y$2))/(Z65/($K65*$L65*$M65)),"")</f>
        <v/>
      </c>
      <c r="AC65" s="18" t="n"/>
    </row>
    <row r="66">
      <c r="A66" s="9" t="n">
        <v>695020</v>
      </c>
      <c r="B66" s="9" t="inlineStr">
        <is>
          <t>Tanner Murray</t>
        </is>
      </c>
      <c r="C66" s="9" t="inlineStr">
        <is>
          <t>CWS</t>
        </is>
      </c>
      <c r="D66" s="9" t="n">
        <v>27</v>
      </c>
      <c r="E66" s="16" t="inlineStr">
        <is>
          <t>R</t>
        </is>
      </c>
      <c r="F66" s="16" t="inlineStr">
        <is>
          <t>LF</t>
        </is>
      </c>
      <c r="G66" s="9" t="n">
        <v>33</v>
      </c>
      <c r="H66" s="9" t="n">
        <v>33</v>
      </c>
      <c r="I66" s="9" t="inlineStr">
        <is>
          <t>Utility IF</t>
        </is>
      </c>
      <c r="J66" s="16" t="inlineStr">
        <is>
          <t>Opening Day</t>
        </is>
      </c>
      <c r="K66" s="11">
        <f>IFERROR(INDEX(Roles!$B$17:$B$20,MATCH(J66,Roles!$A$17:$A$20,0)),1)</f>
        <v/>
      </c>
      <c r="L66" s="17" t="n">
        <v>1</v>
      </c>
      <c r="M66" s="11" t="n">
        <v>1</v>
      </c>
      <c r="N66" s="17" t="n"/>
      <c r="O66" s="17" t="n"/>
      <c r="P66" s="17" t="n"/>
      <c r="Q66" s="17" t="n"/>
      <c r="R66" s="17" t="n"/>
      <c r="S66" s="17" t="n"/>
      <c r="T66" s="17" t="n"/>
      <c r="U66" s="17" t="n">
        <v>0.7</v>
      </c>
      <c r="V66" s="17" t="n"/>
      <c r="W66" s="17" t="n">
        <v>0.3</v>
      </c>
      <c r="X66" s="17" t="n"/>
      <c r="Y66" s="17" t="n"/>
      <c r="Z66" s="13">
        <f>SUMPRODUCT(N66:Y66,$N$2:$Y$2)*$K66*$L66*$M66</f>
        <v/>
      </c>
      <c r="AA66" s="14">
        <f>SUM(N66:Y66)</f>
        <v/>
      </c>
      <c r="AB66" s="14">
        <f>IFERROR(IF(UPPER($E66)="L",SUMPRODUCT(N66:Y66,$N$3:$Y$3,$N$2:$Y$2),SUMPRODUCT(N66:Y66,$N$4:$Y$4,$N$2:$Y$2))/(Z66/($K66*$L66*$M66)),"")</f>
        <v/>
      </c>
      <c r="AC66" s="18" t="n"/>
    </row>
    <row r="67">
      <c r="A67" s="9" t="n">
        <v>687263</v>
      </c>
      <c r="B67" s="9" t="inlineStr">
        <is>
          <t>Zach Neto</t>
        </is>
      </c>
      <c r="C67" s="9" t="inlineStr">
        <is>
          <t>LAA</t>
        </is>
      </c>
      <c r="D67" s="9" t="n">
        <v>26</v>
      </c>
      <c r="E67" s="16" t="inlineStr">
        <is>
          <t>R</t>
        </is>
      </c>
      <c r="F67" s="16" t="inlineStr">
        <is>
          <t>SS</t>
        </is>
      </c>
      <c r="G67" s="9" t="n">
        <v>704</v>
      </c>
      <c r="H67" s="9" t="n">
        <v>2189</v>
      </c>
      <c r="I67" s="9" t="inlineStr">
        <is>
          <t>Full Time</t>
        </is>
      </c>
      <c r="J67" s="16" t="inlineStr">
        <is>
          <t>Opening Day</t>
        </is>
      </c>
      <c r="K67" s="11">
        <f>IFERROR(INDEX(Roles!$B$17:$B$20,MATCH(J67,Roles!$A$17:$A$20,0)),1)</f>
        <v/>
      </c>
      <c r="L67" s="17" t="n">
        <v>1</v>
      </c>
      <c r="M67" s="11" t="n">
        <v>1.117442804085108</v>
      </c>
      <c r="N67" s="17" t="n">
        <v>1</v>
      </c>
      <c r="O67" s="17" t="n"/>
      <c r="P67" s="17" t="n"/>
      <c r="Q67" s="17" t="n"/>
      <c r="R67" s="17" t="n"/>
      <c r="S67" s="17" t="n"/>
      <c r="T67" s="17" t="n"/>
      <c r="U67" s="17" t="n"/>
      <c r="V67" s="17" t="n"/>
      <c r="W67" s="17" t="n"/>
      <c r="X67" s="17" t="n"/>
      <c r="Y67" s="17" t="n"/>
      <c r="Z67" s="13">
        <f>SUMPRODUCT(N67:Y67,$N$2:$Y$2)*$K67*$L67*$M67</f>
        <v/>
      </c>
      <c r="AA67" s="14">
        <f>SUM(N67:Y67)</f>
        <v/>
      </c>
      <c r="AB67" s="14">
        <f>IFERROR(IF(UPPER($E67)="L",SUMPRODUCT(N67:Y67,$N$3:$Y$3,$N$2:$Y$2),SUMPRODUCT(N67:Y67,$N$4:$Y$4,$N$2:$Y$2))/(Z67/($K67*$L67*$M67)),"")</f>
        <v/>
      </c>
      <c r="AC67" s="18" t="n"/>
    </row>
    <row r="68">
      <c r="A68" s="9" t="n">
        <v>608360</v>
      </c>
      <c r="B68" s="9" t="inlineStr">
        <is>
          <t>Chris Okey</t>
        </is>
      </c>
      <c r="C68" s="9" t="inlineStr">
        <is>
          <t>LAA</t>
        </is>
      </c>
      <c r="D68" s="9" t="n">
        <v>32</v>
      </c>
      <c r="E68" s="16" t="inlineStr">
        <is>
          <t>R</t>
        </is>
      </c>
      <c r="F68" s="16" t="inlineStr">
        <is>
          <t>C</t>
        </is>
      </c>
      <c r="G68" s="9" t="n">
        <v>2</v>
      </c>
      <c r="H68" s="9" t="n">
        <v>15</v>
      </c>
      <c r="I68" s="9" t="inlineStr">
        <is>
          <t>Depth (no MLB PA)</t>
        </is>
      </c>
      <c r="J68" s="16" t="inlineStr">
        <is>
          <t>Opening Day</t>
        </is>
      </c>
      <c r="K68" s="11">
        <f>IFERROR(INDEX(Roles!$B$17:$B$20,MATCH(J68,Roles!$A$17:$A$20,0)),1)</f>
        <v/>
      </c>
      <c r="L68" s="17" t="n">
        <v>1</v>
      </c>
      <c r="M68" s="11" t="n">
        <v>1</v>
      </c>
      <c r="N68" s="17" t="n"/>
      <c r="O68" s="17" t="n"/>
      <c r="P68" s="17" t="n"/>
      <c r="Q68" s="17" t="n"/>
      <c r="R68" s="17" t="n"/>
      <c r="S68" s="17" t="n"/>
      <c r="T68" s="17" t="n"/>
      <c r="U68" s="17" t="n"/>
      <c r="V68" s="17" t="n"/>
      <c r="W68" s="17" t="n"/>
      <c r="X68" s="17" t="n"/>
      <c r="Y68" s="17" t="n">
        <v>1</v>
      </c>
      <c r="Z68" s="13">
        <f>SUMPRODUCT(N68:Y68,$N$2:$Y$2)*$K68*$L68*$M68</f>
        <v/>
      </c>
      <c r="AA68" s="14">
        <f>SUM(N68:Y68)</f>
        <v/>
      </c>
      <c r="AB68" s="14">
        <f>IFERROR(IF(UPPER($E68)="L",SUMPRODUCT(N68:Y68,$N$3:$Y$3,$N$2:$Y$2),SUMPRODUCT(N68:Y68,$N$4:$Y$4,$N$2:$Y$2))/(Z68/($K68*$L68*$M68)),"")</f>
        <v/>
      </c>
      <c r="AC68" s="18" t="n"/>
    </row>
    <row r="69">
      <c r="A69" s="9" t="n">
        <v>663330</v>
      </c>
      <c r="B69" s="9" t="inlineStr">
        <is>
          <t>Jahmai Jones</t>
        </is>
      </c>
      <c r="C69" s="9" t="inlineStr">
        <is>
          <t>BOS</t>
        </is>
      </c>
      <c r="D69" s="9" t="n">
        <v>29</v>
      </c>
      <c r="E69" s="16" t="inlineStr">
        <is>
          <t>R</t>
        </is>
      </c>
      <c r="F69" s="16" t="inlineStr">
        <is>
          <t>LF</t>
        </is>
      </c>
      <c r="G69" s="9" t="n">
        <v>181</v>
      </c>
      <c r="H69" s="9" t="n">
        <v>389</v>
      </c>
      <c r="I69" s="9" t="inlineStr">
        <is>
          <t>Weak Side Platoon</t>
        </is>
      </c>
      <c r="J69" s="16" t="inlineStr">
        <is>
          <t>Opening Day</t>
        </is>
      </c>
      <c r="K69" s="11">
        <f>IFERROR(INDEX(Roles!$B$17:$B$20,MATCH(J69,Roles!$A$17:$A$20,0)),1)</f>
        <v/>
      </c>
      <c r="L69" s="17" t="n">
        <v>1</v>
      </c>
      <c r="M69" s="11" t="n">
        <v>1</v>
      </c>
      <c r="N69" s="17" t="n"/>
      <c r="O69" s="17" t="n"/>
      <c r="P69" s="17" t="n"/>
      <c r="Q69" s="17" t="n">
        <v>0.6</v>
      </c>
      <c r="R69" s="17" t="n"/>
      <c r="S69" s="17" t="n"/>
      <c r="T69" s="17" t="n"/>
      <c r="U69" s="17" t="n"/>
      <c r="V69" s="17" t="n"/>
      <c r="W69" s="17" t="n">
        <v>0.4</v>
      </c>
      <c r="X69" s="17" t="n"/>
      <c r="Y69" s="17" t="n"/>
      <c r="Z69" s="13">
        <f>SUMPRODUCT(N69:Y69,$N$2:$Y$2)*$K69*$L69*$M69</f>
        <v/>
      </c>
      <c r="AA69" s="14">
        <f>SUM(N69:Y69)</f>
        <v/>
      </c>
      <c r="AB69" s="14">
        <f>IFERROR(IF(UPPER($E69)="L",SUMPRODUCT(N69:Y69,$N$3:$Y$3,$N$2:$Y$2),SUMPRODUCT(N69:Y69,$N$4:$Y$4,$N$2:$Y$2))/(Z69/($K69*$L69*$M69)),"")</f>
        <v/>
      </c>
      <c r="AC69" s="18" t="n"/>
    </row>
    <row r="70">
      <c r="A70" s="9" t="n">
        <v>669221</v>
      </c>
      <c r="B70" s="9" t="inlineStr">
        <is>
          <t>Sean Murphy</t>
        </is>
      </c>
      <c r="C70" s="9" t="inlineStr">
        <is>
          <t>ATL</t>
        </is>
      </c>
      <c r="D70" s="9" t="n">
        <v>32</v>
      </c>
      <c r="E70" s="16" t="inlineStr">
        <is>
          <t>R</t>
        </is>
      </c>
      <c r="F70" s="16" t="inlineStr">
        <is>
          <t>C</t>
        </is>
      </c>
      <c r="G70" s="9" t="n">
        <v>121</v>
      </c>
      <c r="H70" s="9" t="n">
        <v>1772</v>
      </c>
      <c r="I70" s="9" t="inlineStr">
        <is>
          <t>Strong Side Platoon</t>
        </is>
      </c>
      <c r="J70" s="16" t="inlineStr">
        <is>
          <t>Opening Day</t>
        </is>
      </c>
      <c r="K70" s="11">
        <f>IFERROR(INDEX(Roles!$B$17:$B$20,MATCH(J70,Roles!$A$17:$A$20,0)),1)</f>
        <v/>
      </c>
      <c r="L70" s="17" t="n">
        <v>1</v>
      </c>
      <c r="M70" s="11" t="n">
        <v>1</v>
      </c>
      <c r="N70" s="17" t="n"/>
      <c r="O70" s="17" t="n"/>
      <c r="P70" s="17" t="n">
        <v>0.6</v>
      </c>
      <c r="Q70" s="17" t="n"/>
      <c r="R70" s="17" t="n">
        <v>0.4</v>
      </c>
      <c r="S70" s="17" t="n"/>
      <c r="T70" s="17" t="n"/>
      <c r="U70" s="17" t="n"/>
      <c r="V70" s="17" t="n"/>
      <c r="W70" s="17" t="n"/>
      <c r="X70" s="17" t="n"/>
      <c r="Y70" s="17" t="n"/>
      <c r="Z70" s="13">
        <f>SUMPRODUCT(N70:Y70,$N$2:$Y$2)*$K70*$L70*$M70</f>
        <v/>
      </c>
      <c r="AA70" s="14">
        <f>SUM(N70:Y70)</f>
        <v/>
      </c>
      <c r="AB70" s="14">
        <f>IFERROR(IF(UPPER($E70)="L",SUMPRODUCT(N70:Y70,$N$3:$Y$3,$N$2:$Y$2),SUMPRODUCT(N70:Y70,$N$4:$Y$4,$N$2:$Y$2))/(Z70/($K70*$L70*$M70)),"")</f>
        <v/>
      </c>
      <c r="AC70" s="18" t="n"/>
    </row>
    <row r="71">
      <c r="A71" s="9" t="n">
        <v>691723</v>
      </c>
      <c r="B71" s="9" t="inlineStr">
        <is>
          <t>Coby Mayo</t>
        </is>
      </c>
      <c r="C71" s="9" t="inlineStr">
        <is>
          <t>BAL</t>
        </is>
      </c>
      <c r="D71" s="9" t="n">
        <v>25</v>
      </c>
      <c r="E71" s="16" t="inlineStr">
        <is>
          <t>R</t>
        </is>
      </c>
      <c r="F71" s="16" t="inlineStr">
        <is>
          <t>3B</t>
        </is>
      </c>
      <c r="G71" s="9" t="n">
        <v>454</v>
      </c>
      <c r="H71" s="9" t="n">
        <v>794</v>
      </c>
      <c r="I71" s="9" t="inlineStr">
        <is>
          <t>Everyday DH / 1B-DH</t>
        </is>
      </c>
      <c r="J71" s="16" t="inlineStr">
        <is>
          <t>Opening Day</t>
        </is>
      </c>
      <c r="K71" s="11">
        <f>IFERROR(INDEX(Roles!$B$17:$B$20,MATCH(J71,Roles!$A$17:$A$20,0)),1)</f>
        <v/>
      </c>
      <c r="L71" s="17" t="n">
        <v>1</v>
      </c>
      <c r="M71" s="11" t="n">
        <v>0.8605646932252133</v>
      </c>
      <c r="N71" s="17" t="n"/>
      <c r="O71" s="17" t="n">
        <v>0.85</v>
      </c>
      <c r="P71" s="17" t="n"/>
      <c r="Q71" s="17" t="n"/>
      <c r="R71" s="17" t="n"/>
      <c r="S71" s="17" t="n"/>
      <c r="T71" s="17" t="n"/>
      <c r="U71" s="17" t="n"/>
      <c r="V71" s="17" t="n"/>
      <c r="W71" s="17" t="n">
        <v>0.15</v>
      </c>
      <c r="X71" s="17" t="n"/>
      <c r="Y71" s="17" t="n"/>
      <c r="Z71" s="13">
        <f>SUMPRODUCT(N71:Y71,$N$2:$Y$2)*$K71*$L71*$M71</f>
        <v/>
      </c>
      <c r="AA71" s="14">
        <f>SUM(N71:Y71)</f>
        <v/>
      </c>
      <c r="AB71" s="14">
        <f>IFERROR(IF(UPPER($E71)="L",SUMPRODUCT(N71:Y71,$N$3:$Y$3,$N$2:$Y$2),SUMPRODUCT(N71:Y71,$N$4:$Y$4,$N$2:$Y$2))/(Z71/($K71*$L71*$M71)),"")</f>
        <v/>
      </c>
      <c r="AC71" s="18" t="n"/>
    </row>
    <row r="72">
      <c r="A72" s="9" t="n">
        <v>670242</v>
      </c>
      <c r="B72" s="9" t="inlineStr">
        <is>
          <t>Matt Wallner</t>
        </is>
      </c>
      <c r="C72" s="9" t="inlineStr">
        <is>
          <t>MIN</t>
        </is>
      </c>
      <c r="D72" s="9" t="n">
        <v>29</v>
      </c>
      <c r="E72" s="16" t="inlineStr">
        <is>
          <t>L</t>
        </is>
      </c>
      <c r="F72" s="16" t="inlineStr">
        <is>
          <t>RF</t>
        </is>
      </c>
      <c r="G72" s="9" t="n">
        <v>135</v>
      </c>
      <c r="H72" s="9" t="n">
        <v>1107</v>
      </c>
      <c r="I72" s="9" t="inlineStr">
        <is>
          <t>Full Time</t>
        </is>
      </c>
      <c r="J72" s="16" t="inlineStr">
        <is>
          <t>Opening Day</t>
        </is>
      </c>
      <c r="K72" s="11">
        <f>IFERROR(INDEX(Roles!$B$17:$B$20,MATCH(J72,Roles!$A$17:$A$20,0)),1)</f>
        <v/>
      </c>
      <c r="L72" s="17" t="n">
        <v>1</v>
      </c>
      <c r="M72" s="11" t="n">
        <v>0.6899158177226676</v>
      </c>
      <c r="N72" s="17" t="n">
        <v>1</v>
      </c>
      <c r="O72" s="17" t="n"/>
      <c r="P72" s="17" t="n"/>
      <c r="Q72" s="17" t="n"/>
      <c r="R72" s="17" t="n"/>
      <c r="S72" s="17" t="n"/>
      <c r="T72" s="17" t="n"/>
      <c r="U72" s="17" t="n"/>
      <c r="V72" s="17" t="n"/>
      <c r="W72" s="17" t="n"/>
      <c r="X72" s="17" t="n"/>
      <c r="Y72" s="17" t="n"/>
      <c r="Z72" s="13">
        <f>SUMPRODUCT(N72:Y72,$N$2:$Y$2)*$K72*$L72*$M72</f>
        <v/>
      </c>
      <c r="AA72" s="14">
        <f>SUM(N72:Y72)</f>
        <v/>
      </c>
      <c r="AB72" s="14">
        <f>IFERROR(IF(UPPER($E72)="L",SUMPRODUCT(N72:Y72,$N$3:$Y$3,$N$2:$Y$2),SUMPRODUCT(N72:Y72,$N$4:$Y$4,$N$2:$Y$2))/(Z72/($K72*$L72*$M72)),"")</f>
        <v/>
      </c>
      <c r="AC72" s="18" t="n"/>
    </row>
    <row r="73">
      <c r="A73" s="9" t="n">
        <v>679529</v>
      </c>
      <c r="B73" s="9" t="inlineStr">
        <is>
          <t>Spencer Torkelson</t>
        </is>
      </c>
      <c r="C73" s="9" t="inlineStr">
        <is>
          <t>DET</t>
        </is>
      </c>
      <c r="D73" s="9" t="n">
        <v>27</v>
      </c>
      <c r="E73" s="16" t="inlineStr">
        <is>
          <t>R</t>
        </is>
      </c>
      <c r="F73" s="16" t="inlineStr">
        <is>
          <t>1B</t>
        </is>
      </c>
      <c r="G73" s="9" t="n">
        <v>612</v>
      </c>
      <c r="H73" s="9" t="n">
        <v>2730</v>
      </c>
      <c r="I73" s="9" t="inlineStr">
        <is>
          <t>Full Time</t>
        </is>
      </c>
      <c r="J73" s="16" t="inlineStr">
        <is>
          <t>Opening Day</t>
        </is>
      </c>
      <c r="K73" s="11">
        <f>IFERROR(INDEX(Roles!$B$17:$B$20,MATCH(J73,Roles!$A$17:$A$20,0)),1)</f>
        <v/>
      </c>
      <c r="L73" s="17" t="n">
        <v>1</v>
      </c>
      <c r="M73" s="11" t="n">
        <v>1.117442804085108</v>
      </c>
      <c r="N73" s="17" t="n">
        <v>1</v>
      </c>
      <c r="O73" s="17" t="n"/>
      <c r="P73" s="17" t="n"/>
      <c r="Q73" s="17" t="n"/>
      <c r="R73" s="17" t="n"/>
      <c r="S73" s="17" t="n"/>
      <c r="T73" s="17" t="n"/>
      <c r="U73" s="17" t="n"/>
      <c r="V73" s="17" t="n"/>
      <c r="W73" s="17" t="n"/>
      <c r="X73" s="17" t="n"/>
      <c r="Y73" s="17" t="n"/>
      <c r="Z73" s="13">
        <f>SUMPRODUCT(N73:Y73,$N$2:$Y$2)*$K73*$L73*$M73</f>
        <v/>
      </c>
      <c r="AA73" s="14">
        <f>SUM(N73:Y73)</f>
        <v/>
      </c>
      <c r="AB73" s="14">
        <f>IFERROR(IF(UPPER($E73)="L",SUMPRODUCT(N73:Y73,$N$3:$Y$3,$N$2:$Y$2),SUMPRODUCT(N73:Y73,$N$4:$Y$4,$N$2:$Y$2))/(Z73/($K73*$L73*$M73)),"")</f>
        <v/>
      </c>
      <c r="AC73" s="18" t="n"/>
    </row>
    <row r="74">
      <c r="A74" s="9" t="n">
        <v>545361</v>
      </c>
      <c r="B74" s="9" t="inlineStr">
        <is>
          <t>Mike Trout</t>
        </is>
      </c>
      <c r="C74" s="9" t="inlineStr">
        <is>
          <t>LAA</t>
        </is>
      </c>
      <c r="D74" s="9" t="n">
        <v>35</v>
      </c>
      <c r="E74" s="16" t="inlineStr">
        <is>
          <t>R</t>
        </is>
      </c>
      <c r="F74" s="16" t="inlineStr">
        <is>
          <t>CF</t>
        </is>
      </c>
      <c r="G74" s="9" t="n">
        <v>634</v>
      </c>
      <c r="H74" s="9" t="n">
        <v>2177</v>
      </c>
      <c r="I74" s="9" t="inlineStr">
        <is>
          <t>Everyday DH / 1B-DH</t>
        </is>
      </c>
      <c r="J74" s="16" t="inlineStr">
        <is>
          <t>Opening Day</t>
        </is>
      </c>
      <c r="K74" s="11">
        <f>IFERROR(INDEX(Roles!$B$17:$B$20,MATCH(J74,Roles!$A$17:$A$20,0)),1)</f>
        <v/>
      </c>
      <c r="L74" s="17" t="n">
        <v>1</v>
      </c>
      <c r="M74" s="11" t="n">
        <v>0.9747193214487276</v>
      </c>
      <c r="N74" s="17" t="n"/>
      <c r="O74" s="17" t="n">
        <v>1</v>
      </c>
      <c r="P74" s="17" t="n"/>
      <c r="Q74" s="17" t="n"/>
      <c r="R74" s="17" t="n"/>
      <c r="S74" s="17" t="n"/>
      <c r="T74" s="17" t="n"/>
      <c r="U74" s="17" t="n"/>
      <c r="V74" s="17" t="n"/>
      <c r="W74" s="17" t="n"/>
      <c r="X74" s="17" t="n"/>
      <c r="Y74" s="17" t="n"/>
      <c r="Z74" s="13">
        <f>SUMPRODUCT(N74:Y74,$N$2:$Y$2)*$K74*$L74*$M74</f>
        <v/>
      </c>
      <c r="AA74" s="14">
        <f>SUM(N74:Y74)</f>
        <v/>
      </c>
      <c r="AB74" s="14">
        <f>IFERROR(IF(UPPER($E74)="L",SUMPRODUCT(N74:Y74,$N$3:$Y$3,$N$2:$Y$2),SUMPRODUCT(N74:Y74,$N$4:$Y$4,$N$2:$Y$2))/(Z74/($K74*$L74*$M74)),"")</f>
        <v/>
      </c>
      <c r="AC74" s="18" t="n"/>
    </row>
    <row r="75">
      <c r="A75" s="9" t="n">
        <v>575929</v>
      </c>
      <c r="B75" s="9" t="inlineStr">
        <is>
          <t>Willson Contreras</t>
        </is>
      </c>
      <c r="C75" s="9" t="inlineStr">
        <is>
          <t>BOS</t>
        </is>
      </c>
      <c r="D75" s="9" t="n">
        <v>35</v>
      </c>
      <c r="E75" s="16" t="inlineStr">
        <is>
          <t>R</t>
        </is>
      </c>
      <c r="F75" s="16" t="inlineStr">
        <is>
          <t>1B</t>
        </is>
      </c>
      <c r="G75" s="9" t="n">
        <v>535</v>
      </c>
      <c r="H75" s="9" t="n">
        <v>2438</v>
      </c>
      <c r="I75" s="9" t="inlineStr">
        <is>
          <t>Full Time</t>
        </is>
      </c>
      <c r="J75" s="16" t="inlineStr">
        <is>
          <t>Opening Day</t>
        </is>
      </c>
      <c r="K75" s="11">
        <f>IFERROR(INDEX(Roles!$B$17:$B$20,MATCH(J75,Roles!$A$17:$A$20,0)),1)</f>
        <v/>
      </c>
      <c r="L75" s="17" t="n">
        <v>1</v>
      </c>
      <c r="M75" s="11" t="n">
        <v>1.007798706190963</v>
      </c>
      <c r="N75" s="17" t="n">
        <v>1</v>
      </c>
      <c r="O75" s="17" t="n"/>
      <c r="P75" s="17" t="n"/>
      <c r="Q75" s="17" t="n"/>
      <c r="R75" s="17" t="n"/>
      <c r="S75" s="17" t="n"/>
      <c r="T75" s="17" t="n"/>
      <c r="U75" s="17" t="n"/>
      <c r="V75" s="17" t="n"/>
      <c r="W75" s="17" t="n"/>
      <c r="X75" s="17" t="n"/>
      <c r="Y75" s="17" t="n"/>
      <c r="Z75" s="13">
        <f>SUMPRODUCT(N75:Y75,$N$2:$Y$2)*$K75*$L75*$M75</f>
        <v/>
      </c>
      <c r="AA75" s="14">
        <f>SUM(N75:Y75)</f>
        <v/>
      </c>
      <c r="AB75" s="14">
        <f>IFERROR(IF(UPPER($E75)="L",SUMPRODUCT(N75:Y75,$N$3:$Y$3,$N$2:$Y$2),SUMPRODUCT(N75:Y75,$N$4:$Y$4,$N$2:$Y$2))/(Z75/($K75*$L75*$M75)),"")</f>
        <v/>
      </c>
      <c r="AC75" s="18" t="n"/>
    </row>
    <row r="76">
      <c r="A76" s="9" t="n">
        <v>681546</v>
      </c>
      <c r="B76" s="9" t="inlineStr">
        <is>
          <t>James Outman</t>
        </is>
      </c>
      <c r="C76" s="9" t="inlineStr">
        <is>
          <t>DET</t>
        </is>
      </c>
      <c r="D76" s="9" t="n">
        <v>30</v>
      </c>
      <c r="E76" s="16" t="inlineStr">
        <is>
          <t>L</t>
        </is>
      </c>
      <c r="F76" s="16" t="inlineStr">
        <is>
          <t>CF</t>
        </is>
      </c>
      <c r="G76" s="9" t="n">
        <v>170</v>
      </c>
      <c r="H76" s="9" t="n">
        <v>1057</v>
      </c>
      <c r="I76" s="9" t="inlineStr">
        <is>
          <t>Bench Bat</t>
        </is>
      </c>
      <c r="J76" s="16" t="inlineStr">
        <is>
          <t>Opening Day</t>
        </is>
      </c>
      <c r="K76" s="11">
        <f>IFERROR(INDEX(Roles!$B$17:$B$20,MATCH(J76,Roles!$A$17:$A$20,0)),1)</f>
        <v/>
      </c>
      <c r="L76" s="17" t="n">
        <v>1</v>
      </c>
      <c r="M76" s="11" t="n">
        <v>1</v>
      </c>
      <c r="N76" s="17" t="n"/>
      <c r="O76" s="17" t="n"/>
      <c r="P76" s="17" t="n"/>
      <c r="Q76" s="17" t="n"/>
      <c r="R76" s="17" t="n"/>
      <c r="S76" s="17" t="n"/>
      <c r="T76" s="17" t="n"/>
      <c r="U76" s="17" t="n"/>
      <c r="V76" s="17" t="n"/>
      <c r="W76" s="17" t="n">
        <v>1</v>
      </c>
      <c r="X76" s="17" t="n"/>
      <c r="Y76" s="17" t="n"/>
      <c r="Z76" s="13">
        <f>SUMPRODUCT(N76:Y76,$N$2:$Y$2)*$K76*$L76*$M76</f>
        <v/>
      </c>
      <c r="AA76" s="14">
        <f>SUM(N76:Y76)</f>
        <v/>
      </c>
      <c r="AB76" s="14">
        <f>IFERROR(IF(UPPER($E76)="L",SUMPRODUCT(N76:Y76,$N$3:$Y$3,$N$2:$Y$2),SUMPRODUCT(N76:Y76,$N$4:$Y$4,$N$2:$Y$2))/(Z76/($K76*$L76*$M76)),"")</f>
        <v/>
      </c>
      <c r="AC76" s="18" t="n"/>
    </row>
    <row r="77">
      <c r="A77" s="9" t="n">
        <v>701398</v>
      </c>
      <c r="B77" s="9" t="inlineStr">
        <is>
          <t>Sal Stewart</t>
        </is>
      </c>
      <c r="C77" s="9" t="inlineStr">
        <is>
          <t>CIN</t>
        </is>
      </c>
      <c r="D77" s="9" t="n">
        <v>23</v>
      </c>
      <c r="E77" s="16" t="inlineStr">
        <is>
          <t>R</t>
        </is>
      </c>
      <c r="F77" s="16" t="inlineStr">
        <is>
          <t>1B</t>
        </is>
      </c>
      <c r="G77" s="9" t="n">
        <v>700</v>
      </c>
      <c r="H77" s="9" t="n">
        <v>758</v>
      </c>
      <c r="I77" s="9" t="inlineStr">
        <is>
          <t>Full Time</t>
        </is>
      </c>
      <c r="J77" s="16" t="inlineStr">
        <is>
          <t>Opening Day</t>
        </is>
      </c>
      <c r="K77" s="11">
        <f>IFERROR(INDEX(Roles!$B$17:$B$20,MATCH(J77,Roles!$A$17:$A$20,0)),1)</f>
        <v/>
      </c>
      <c r="L77" s="17" t="n">
        <v>1</v>
      </c>
      <c r="M77" s="11" t="n">
        <v>0.9112671413697168</v>
      </c>
      <c r="N77" s="17" t="n">
        <v>1</v>
      </c>
      <c r="O77" s="17" t="n"/>
      <c r="P77" s="17" t="n"/>
      <c r="Q77" s="17" t="n"/>
      <c r="R77" s="17" t="n"/>
      <c r="S77" s="17" t="n"/>
      <c r="T77" s="17" t="n"/>
      <c r="U77" s="17" t="n"/>
      <c r="V77" s="17" t="n"/>
      <c r="W77" s="17" t="n"/>
      <c r="X77" s="17" t="n"/>
      <c r="Y77" s="17" t="n"/>
      <c r="Z77" s="13">
        <f>SUMPRODUCT(N77:Y77,$N$2:$Y$2)*$K77*$L77*$M77</f>
        <v/>
      </c>
      <c r="AA77" s="14">
        <f>SUM(N77:Y77)</f>
        <v/>
      </c>
      <c r="AB77" s="14">
        <f>IFERROR(IF(UPPER($E77)="L",SUMPRODUCT(N77:Y77,$N$3:$Y$3,$N$2:$Y$2),SUMPRODUCT(N77:Y77,$N$4:$Y$4,$N$2:$Y$2))/(Z77/($K77*$L77*$M77)),"")</f>
        <v/>
      </c>
      <c r="AC77" s="18" t="n"/>
    </row>
    <row r="78">
      <c r="A78" s="9" t="n">
        <v>643217</v>
      </c>
      <c r="B78" s="9" t="inlineStr">
        <is>
          <t>Andrew Benintendi</t>
        </is>
      </c>
      <c r="C78" s="9" t="inlineStr">
        <is>
          <t>CWS</t>
        </is>
      </c>
      <c r="D78" s="9" t="n">
        <v>32</v>
      </c>
      <c r="E78" s="16" t="inlineStr">
        <is>
          <t>L</t>
        </is>
      </c>
      <c r="F78" s="16" t="inlineStr">
        <is>
          <t>LF</t>
        </is>
      </c>
      <c r="G78" s="9" t="n">
        <v>468</v>
      </c>
      <c r="H78" s="9" t="n">
        <v>2602</v>
      </c>
      <c r="I78" s="9" t="inlineStr">
        <is>
          <t>Everyday DH / 1B-DH</t>
        </is>
      </c>
      <c r="J78" s="16" t="inlineStr">
        <is>
          <t>Opening Day</t>
        </is>
      </c>
      <c r="K78" s="11">
        <f>IFERROR(INDEX(Roles!$B$17:$B$20,MATCH(J78,Roles!$A$17:$A$20,0)),1)</f>
        <v/>
      </c>
      <c r="L78" s="17" t="n">
        <v>1</v>
      </c>
      <c r="M78" s="11" t="n">
        <v>1.009388504835128</v>
      </c>
      <c r="N78" s="17" t="n"/>
      <c r="O78" s="17" t="n">
        <v>1</v>
      </c>
      <c r="P78" s="17" t="n"/>
      <c r="Q78" s="17" t="n"/>
      <c r="R78" s="17" t="n"/>
      <c r="S78" s="17" t="n"/>
      <c r="T78" s="17" t="n"/>
      <c r="U78" s="17" t="n"/>
      <c r="V78" s="17" t="n"/>
      <c r="W78" s="17" t="n"/>
      <c r="X78" s="17" t="n"/>
      <c r="Y78" s="17" t="n"/>
      <c r="Z78" s="13">
        <f>SUMPRODUCT(N78:Y78,$N$2:$Y$2)*$K78*$L78*$M78</f>
        <v/>
      </c>
      <c r="AA78" s="14">
        <f>SUM(N78:Y78)</f>
        <v/>
      </c>
      <c r="AB78" s="14">
        <f>IFERROR(IF(UPPER($E78)="L",SUMPRODUCT(N78:Y78,$N$3:$Y$3,$N$2:$Y$2),SUMPRODUCT(N78:Y78,$N$4:$Y$4,$N$2:$Y$2))/(Z78/($K78*$L78*$M78)),"")</f>
        <v/>
      </c>
      <c r="AC78" s="18" t="n"/>
    </row>
    <row r="79">
      <c r="A79" s="9" t="n">
        <v>642133</v>
      </c>
      <c r="B79" s="9" t="inlineStr">
        <is>
          <t>Rowdy Tellez</t>
        </is>
      </c>
      <c r="C79" s="9" t="inlineStr">
        <is>
          <t>TEX</t>
        </is>
      </c>
      <c r="D79" s="9" t="n">
        <v>32</v>
      </c>
      <c r="E79" s="16" t="inlineStr">
        <is>
          <t>L</t>
        </is>
      </c>
      <c r="F79" s="16" t="inlineStr">
        <is>
          <t>1B</t>
        </is>
      </c>
      <c r="G79" s="9" t="n">
        <v>11</v>
      </c>
      <c r="H79" s="9" t="n">
        <v>1694</v>
      </c>
      <c r="I79" s="9" t="inlineStr">
        <is>
          <t>Bench Bat</t>
        </is>
      </c>
      <c r="J79" s="16" t="inlineStr">
        <is>
          <t>Opening Day</t>
        </is>
      </c>
      <c r="K79" s="11">
        <f>IFERROR(INDEX(Roles!$B$17:$B$20,MATCH(J79,Roles!$A$17:$A$20,0)),1)</f>
        <v/>
      </c>
      <c r="L79" s="17" t="n">
        <v>1</v>
      </c>
      <c r="M79" s="11" t="n">
        <v>0.797157693238937</v>
      </c>
      <c r="N79" s="17" t="n"/>
      <c r="O79" s="17" t="n"/>
      <c r="P79" s="17" t="n"/>
      <c r="Q79" s="17" t="n"/>
      <c r="R79" s="17" t="n"/>
      <c r="S79" s="17" t="n"/>
      <c r="T79" s="17" t="n"/>
      <c r="U79" s="17" t="n">
        <v>0.4</v>
      </c>
      <c r="V79" s="17" t="n"/>
      <c r="W79" s="17" t="n">
        <v>0.6</v>
      </c>
      <c r="X79" s="17" t="n"/>
      <c r="Y79" s="17" t="n"/>
      <c r="Z79" s="13">
        <f>SUMPRODUCT(N79:Y79,$N$2:$Y$2)*$K79*$L79*$M79</f>
        <v/>
      </c>
      <c r="AA79" s="14">
        <f>SUM(N79:Y79)</f>
        <v/>
      </c>
      <c r="AB79" s="14">
        <f>IFERROR(IF(UPPER($E79)="L",SUMPRODUCT(N79:Y79,$N$3:$Y$3,$N$2:$Y$2),SUMPRODUCT(N79:Y79,$N$4:$Y$4,$N$2:$Y$2))/(Z79/($K79*$L79*$M79)),"")</f>
        <v/>
      </c>
      <c r="AC79" s="18" t="n"/>
    </row>
    <row r="80">
      <c r="A80" s="9" t="n">
        <v>669127</v>
      </c>
      <c r="B80" s="9" t="inlineStr">
        <is>
          <t>Shea Langeliers</t>
        </is>
      </c>
      <c r="C80" s="9" t="inlineStr">
        <is>
          <t>OAK</t>
        </is>
      </c>
      <c r="D80" s="9" t="n">
        <v>29</v>
      </c>
      <c r="E80" s="16" t="inlineStr">
        <is>
          <t>R</t>
        </is>
      </c>
      <c r="F80" s="16" t="inlineStr">
        <is>
          <t>C</t>
        </is>
      </c>
      <c r="G80" s="9" t="n">
        <v>467</v>
      </c>
      <c r="H80" s="9" t="n">
        <v>2167</v>
      </c>
      <c r="I80" s="9" t="inlineStr">
        <is>
          <t>Everyday DH / 1B-DH</t>
        </is>
      </c>
      <c r="J80" s="16" t="inlineStr">
        <is>
          <t>Opening Day</t>
        </is>
      </c>
      <c r="K80" s="11">
        <f>IFERROR(INDEX(Roles!$B$17:$B$20,MATCH(J80,Roles!$A$17:$A$20,0)),1)</f>
        <v/>
      </c>
      <c r="L80" s="17" t="n">
        <v>1</v>
      </c>
      <c r="M80" s="11" t="n">
        <v>0.9704913722552642</v>
      </c>
      <c r="N80" s="17" t="n"/>
      <c r="O80" s="17" t="n">
        <v>1</v>
      </c>
      <c r="P80" s="17" t="n"/>
      <c r="Q80" s="17" t="n"/>
      <c r="R80" s="17" t="n"/>
      <c r="S80" s="17" t="n"/>
      <c r="T80" s="17" t="n"/>
      <c r="U80" s="17" t="n"/>
      <c r="V80" s="17" t="n"/>
      <c r="W80" s="17" t="n"/>
      <c r="X80" s="17" t="n"/>
      <c r="Y80" s="17" t="n"/>
      <c r="Z80" s="13">
        <f>SUMPRODUCT(N80:Y80,$N$2:$Y$2)*$K80*$L80*$M80</f>
        <v/>
      </c>
      <c r="AA80" s="14">
        <f>SUM(N80:Y80)</f>
        <v/>
      </c>
      <c r="AB80" s="14">
        <f>IFERROR(IF(UPPER($E80)="L",SUMPRODUCT(N80:Y80,$N$3:$Y$3,$N$2:$Y$2),SUMPRODUCT(N80:Y80,$N$4:$Y$4,$N$2:$Y$2))/(Z80/($K80*$L80*$M80)),"")</f>
        <v/>
      </c>
      <c r="AC80" s="18" t="n"/>
    </row>
    <row r="81">
      <c r="A81" s="9" t="n">
        <v>656555</v>
      </c>
      <c r="B81" s="9" t="inlineStr">
        <is>
          <t>Rhys Hoskins</t>
        </is>
      </c>
      <c r="C81" s="9" t="inlineStr">
        <is>
          <t>CLE</t>
        </is>
      </c>
      <c r="D81" s="9" t="n">
        <v>34</v>
      </c>
      <c r="E81" s="16" t="inlineStr">
        <is>
          <t>R</t>
        </is>
      </c>
      <c r="F81" s="16" t="inlineStr">
        <is>
          <t>1B</t>
        </is>
      </c>
      <c r="G81" s="9" t="n">
        <v>317</v>
      </c>
      <c r="H81" s="9" t="n">
        <v>1834</v>
      </c>
      <c r="I81" s="9" t="inlineStr">
        <is>
          <t>Full Time</t>
        </is>
      </c>
      <c r="J81" s="16" t="inlineStr">
        <is>
          <t>Opening Day</t>
        </is>
      </c>
      <c r="K81" s="11">
        <f>IFERROR(INDEX(Roles!$B$17:$B$20,MATCH(J81,Roles!$A$17:$A$20,0)),1)</f>
        <v/>
      </c>
      <c r="L81" s="17" t="n">
        <v>1</v>
      </c>
      <c r="M81" s="11" t="n">
        <v>0.853956987440264</v>
      </c>
      <c r="N81" s="17" t="n">
        <v>1</v>
      </c>
      <c r="O81" s="17" t="n"/>
      <c r="P81" s="17" t="n"/>
      <c r="Q81" s="17" t="n"/>
      <c r="R81" s="17" t="n"/>
      <c r="S81" s="17" t="n"/>
      <c r="T81" s="17" t="n"/>
      <c r="U81" s="17" t="n"/>
      <c r="V81" s="17" t="n"/>
      <c r="W81" s="17" t="n"/>
      <c r="X81" s="17" t="n"/>
      <c r="Y81" s="17" t="n"/>
      <c r="Z81" s="13">
        <f>SUMPRODUCT(N81:Y81,$N$2:$Y$2)*$K81*$L81*$M81</f>
        <v/>
      </c>
      <c r="AA81" s="14">
        <f>SUM(N81:Y81)</f>
        <v/>
      </c>
      <c r="AB81" s="14">
        <f>IFERROR(IF(UPPER($E81)="L",SUMPRODUCT(N81:Y81,$N$3:$Y$3,$N$2:$Y$2),SUMPRODUCT(N81:Y81,$N$4:$Y$4,$N$2:$Y$2))/(Z81/($K81*$L81*$M81)),"")</f>
        <v/>
      </c>
      <c r="AC81" s="18" t="n"/>
    </row>
    <row r="82">
      <c r="A82" s="9" t="n">
        <v>695578</v>
      </c>
      <c r="B82" s="9" t="inlineStr">
        <is>
          <t>James Wood</t>
        </is>
      </c>
      <c r="C82" s="9" t="inlineStr">
        <is>
          <t>WSH</t>
        </is>
      </c>
      <c r="D82" s="9" t="n">
        <v>24</v>
      </c>
      <c r="E82" s="16" t="inlineStr">
        <is>
          <t>L</t>
        </is>
      </c>
      <c r="F82" s="16" t="inlineStr">
        <is>
          <t>RF</t>
        </is>
      </c>
      <c r="G82" s="9" t="n">
        <v>623</v>
      </c>
      <c r="H82" s="9" t="n">
        <v>1648</v>
      </c>
      <c r="I82" s="9" t="inlineStr">
        <is>
          <t>Everyday DH / 1B-DH</t>
        </is>
      </c>
      <c r="J82" s="16" t="inlineStr">
        <is>
          <t>Opening Day</t>
        </is>
      </c>
      <c r="K82" s="11">
        <f>IFERROR(INDEX(Roles!$B$17:$B$20,MATCH(J82,Roles!$A$17:$A$20,0)),1)</f>
        <v/>
      </c>
      <c r="L82" s="17" t="n">
        <v>1</v>
      </c>
      <c r="M82" s="11" t="n">
        <v>1.06942538338231</v>
      </c>
      <c r="N82" s="17" t="n"/>
      <c r="O82" s="17" t="n">
        <v>1</v>
      </c>
      <c r="P82" s="17" t="n"/>
      <c r="Q82" s="17" t="n"/>
      <c r="R82" s="17" t="n"/>
      <c r="S82" s="17" t="n"/>
      <c r="T82" s="17" t="n"/>
      <c r="U82" s="17" t="n"/>
      <c r="V82" s="17" t="n"/>
      <c r="W82" s="17" t="n"/>
      <c r="X82" s="17" t="n"/>
      <c r="Y82" s="17" t="n"/>
      <c r="Z82" s="13">
        <f>SUMPRODUCT(N82:Y82,$N$2:$Y$2)*$K82*$L82*$M82</f>
        <v/>
      </c>
      <c r="AA82" s="14">
        <f>SUM(N82:Y82)</f>
        <v/>
      </c>
      <c r="AB82" s="14">
        <f>IFERROR(IF(UPPER($E82)="L",SUMPRODUCT(N82:Y82,$N$3:$Y$3,$N$2:$Y$2),SUMPRODUCT(N82:Y82,$N$4:$Y$4,$N$2:$Y$2))/(Z82/($K82*$L82*$M82)),"")</f>
        <v/>
      </c>
      <c r="AC82" s="18" t="n"/>
    </row>
    <row r="83">
      <c r="A83" s="9" t="n">
        <v>660162</v>
      </c>
      <c r="B83" s="9" t="inlineStr">
        <is>
          <t>Yoán Moncada</t>
        </is>
      </c>
      <c r="C83" s="9" t="inlineStr">
        <is>
          <t>LAA</t>
        </is>
      </c>
      <c r="D83" s="9" t="n">
        <v>32</v>
      </c>
      <c r="E83" s="16" t="inlineStr">
        <is>
          <t>S</t>
        </is>
      </c>
      <c r="F83" s="16" t="inlineStr">
        <is>
          <t>3B</t>
        </is>
      </c>
      <c r="G83" s="9" t="n">
        <v>130</v>
      </c>
      <c r="H83" s="9" t="n">
        <v>1254</v>
      </c>
      <c r="I83" s="9" t="inlineStr">
        <is>
          <t>Bench Bat</t>
        </is>
      </c>
      <c r="J83" s="16" t="inlineStr">
        <is>
          <t>Opening Day</t>
        </is>
      </c>
      <c r="K83" s="11">
        <f>IFERROR(INDEX(Roles!$B$17:$B$20,MATCH(J83,Roles!$A$17:$A$20,0)),1)</f>
        <v/>
      </c>
      <c r="L83" s="17" t="n">
        <v>1</v>
      </c>
      <c r="M83" s="11" t="n">
        <v>1</v>
      </c>
      <c r="N83" s="17" t="n"/>
      <c r="O83" s="17" t="n"/>
      <c r="P83" s="17" t="n"/>
      <c r="Q83" s="17" t="n"/>
      <c r="R83" s="17" t="n"/>
      <c r="S83" s="17" t="n"/>
      <c r="T83" s="17" t="n"/>
      <c r="U83" s="17" t="n"/>
      <c r="V83" s="17" t="n"/>
      <c r="W83" s="17" t="n">
        <v>0.7</v>
      </c>
      <c r="X83" s="17" t="n">
        <v>0.3</v>
      </c>
      <c r="Y83" s="17" t="n"/>
      <c r="Z83" s="13">
        <f>SUMPRODUCT(N83:Y83,$N$2:$Y$2)*$K83*$L83*$M83</f>
        <v/>
      </c>
      <c r="AA83" s="14">
        <f>SUM(N83:Y83)</f>
        <v/>
      </c>
      <c r="AB83" s="14">
        <f>IFERROR(IF(UPPER($E83)="L",SUMPRODUCT(N83:Y83,$N$3:$Y$3,$N$2:$Y$2),SUMPRODUCT(N83:Y83,$N$4:$Y$4,$N$2:$Y$2))/(Z83/($K83*$L83*$M83)),"")</f>
        <v/>
      </c>
      <c r="AC83" s="18" t="n"/>
    </row>
    <row r="84">
      <c r="A84" s="9" t="n">
        <v>665019</v>
      </c>
      <c r="B84" s="9" t="inlineStr">
        <is>
          <t>Kody Clemens</t>
        </is>
      </c>
      <c r="C84" s="9" t="inlineStr">
        <is>
          <t>MIN</t>
        </is>
      </c>
      <c r="D84" s="9" t="n">
        <v>31</v>
      </c>
      <c r="E84" s="16" t="inlineStr">
        <is>
          <t>L</t>
        </is>
      </c>
      <c r="F84" s="16" t="inlineStr">
        <is>
          <t>2B</t>
        </is>
      </c>
      <c r="G84" s="9" t="n">
        <v>583</v>
      </c>
      <c r="H84" s="9" t="n">
        <v>1364</v>
      </c>
      <c r="I84" s="9" t="inlineStr">
        <is>
          <t>Full Time</t>
        </is>
      </c>
      <c r="J84" s="16" t="inlineStr">
        <is>
          <t>Opening Day</t>
        </is>
      </c>
      <c r="K84" s="11">
        <f>IFERROR(INDEX(Roles!$B$17:$B$20,MATCH(J84,Roles!$A$17:$A$20,0)),1)</f>
        <v/>
      </c>
      <c r="L84" s="17" t="n">
        <v>1</v>
      </c>
      <c r="M84" s="11" t="n">
        <v>1.050296418553035</v>
      </c>
      <c r="N84" s="17" t="n">
        <v>0.85</v>
      </c>
      <c r="O84" s="17" t="n"/>
      <c r="P84" s="17" t="n">
        <v>0.15</v>
      </c>
      <c r="Q84" s="17" t="n"/>
      <c r="R84" s="17" t="n"/>
      <c r="S84" s="17" t="n"/>
      <c r="T84" s="17" t="n"/>
      <c r="U84" s="17" t="n"/>
      <c r="V84" s="17" t="n"/>
      <c r="W84" s="17" t="n"/>
      <c r="X84" s="17" t="n"/>
      <c r="Y84" s="17" t="n"/>
      <c r="Z84" s="13">
        <f>SUMPRODUCT(N84:Y84,$N$2:$Y$2)*$K84*$L84*$M84</f>
        <v/>
      </c>
      <c r="AA84" s="14">
        <f>SUM(N84:Y84)</f>
        <v/>
      </c>
      <c r="AB84" s="14">
        <f>IFERROR(IF(UPPER($E84)="L",SUMPRODUCT(N84:Y84,$N$3:$Y$3,$N$2:$Y$2),SUMPRODUCT(N84:Y84,$N$4:$Y$4,$N$2:$Y$2))/(Z84/($K84*$L84*$M84)),"")</f>
        <v/>
      </c>
      <c r="AC84" s="18" t="n"/>
    </row>
    <row r="85">
      <c r="A85" s="9" t="n">
        <v>669065</v>
      </c>
      <c r="B85" s="9" t="inlineStr">
        <is>
          <t>Kyle Stowers</t>
        </is>
      </c>
      <c r="C85" s="9" t="inlineStr">
        <is>
          <t>MIA</t>
        </is>
      </c>
      <c r="D85" s="9" t="n">
        <v>29</v>
      </c>
      <c r="E85" s="16" t="inlineStr">
        <is>
          <t>L</t>
        </is>
      </c>
      <c r="F85" s="16" t="inlineStr">
        <is>
          <t>1B</t>
        </is>
      </c>
      <c r="G85" s="9" t="n">
        <v>512</v>
      </c>
      <c r="H85" s="9" t="n">
        <v>1309</v>
      </c>
      <c r="I85" s="9" t="inlineStr">
        <is>
          <t>Everyday DH / 1B-DH</t>
        </is>
      </c>
      <c r="J85" s="16" t="inlineStr">
        <is>
          <t>Opening Day</t>
        </is>
      </c>
      <c r="K85" s="11">
        <f>IFERROR(INDEX(Roles!$B$17:$B$20,MATCH(J85,Roles!$A$17:$A$20,0)),1)</f>
        <v/>
      </c>
      <c r="L85" s="17" t="n">
        <v>1</v>
      </c>
      <c r="M85" s="11" t="n">
        <v>0.999241426770816</v>
      </c>
      <c r="N85" s="17" t="n"/>
      <c r="O85" s="17" t="n">
        <v>1</v>
      </c>
      <c r="P85" s="17" t="n"/>
      <c r="Q85" s="17" t="n"/>
      <c r="R85" s="17" t="n"/>
      <c r="S85" s="17" t="n"/>
      <c r="T85" s="17" t="n"/>
      <c r="U85" s="17" t="n"/>
      <c r="V85" s="17" t="n"/>
      <c r="W85" s="17" t="n"/>
      <c r="X85" s="17" t="n"/>
      <c r="Y85" s="17" t="n"/>
      <c r="Z85" s="13">
        <f>SUMPRODUCT(N85:Y85,$N$2:$Y$2)*$K85*$L85*$M85</f>
        <v/>
      </c>
      <c r="AA85" s="14">
        <f>SUM(N85:Y85)</f>
        <v/>
      </c>
      <c r="AB85" s="14">
        <f>IFERROR(IF(UPPER($E85)="L",SUMPRODUCT(N85:Y85,$N$3:$Y$3,$N$2:$Y$2),SUMPRODUCT(N85:Y85,$N$4:$Y$4,$N$2:$Y$2))/(Z85/($K85*$L85*$M85)),"")</f>
        <v/>
      </c>
      <c r="AC85" s="18" t="n"/>
    </row>
    <row r="86">
      <c r="A86" s="9" t="n">
        <v>678894</v>
      </c>
      <c r="B86" s="9" t="inlineStr">
        <is>
          <t>Liover Peguero</t>
        </is>
      </c>
      <c r="C86" s="9" t="inlineStr">
        <is>
          <t>PIT</t>
        </is>
      </c>
      <c r="D86" s="9" t="n">
        <v>26</v>
      </c>
      <c r="E86" s="16" t="inlineStr">
        <is>
          <t>R</t>
        </is>
      </c>
      <c r="F86" s="16" t="inlineStr">
        <is>
          <t>SS</t>
        </is>
      </c>
      <c r="G86" s="9" t="n">
        <v>88</v>
      </c>
      <c r="H86" s="9" t="n">
        <v>315</v>
      </c>
      <c r="I86" s="9" t="inlineStr">
        <is>
          <t>Bench Bat</t>
        </is>
      </c>
      <c r="J86" s="16" t="inlineStr">
        <is>
          <t>Opening Day</t>
        </is>
      </c>
      <c r="K86" s="11">
        <f>IFERROR(INDEX(Roles!$B$17:$B$20,MATCH(J86,Roles!$A$17:$A$20,0)),1)</f>
        <v/>
      </c>
      <c r="L86" s="17" t="n">
        <v>1</v>
      </c>
      <c r="M86" s="11" t="n">
        <v>1</v>
      </c>
      <c r="N86" s="17" t="n"/>
      <c r="O86" s="17" t="n"/>
      <c r="P86" s="17" t="n"/>
      <c r="Q86" s="17" t="n"/>
      <c r="R86" s="17" t="n"/>
      <c r="S86" s="17" t="n"/>
      <c r="T86" s="17" t="n"/>
      <c r="U86" s="17" t="n"/>
      <c r="V86" s="17" t="n"/>
      <c r="W86" s="17" t="n">
        <v>1</v>
      </c>
      <c r="X86" s="17" t="n"/>
      <c r="Y86" s="17" t="n"/>
      <c r="Z86" s="13">
        <f>SUMPRODUCT(N86:Y86,$N$2:$Y$2)*$K86*$L86*$M86</f>
        <v/>
      </c>
      <c r="AA86" s="14">
        <f>SUM(N86:Y86)</f>
        <v/>
      </c>
      <c r="AB86" s="14">
        <f>IFERROR(IF(UPPER($E86)="L",SUMPRODUCT(N86:Y86,$N$3:$Y$3,$N$2:$Y$2),SUMPRODUCT(N86:Y86,$N$4:$Y$4,$N$2:$Y$2))/(Z86/($K86*$L86*$M86)),"")</f>
        <v/>
      </c>
      <c r="AC86" s="18" t="n"/>
    </row>
    <row r="87">
      <c r="A87" s="9" t="n">
        <v>657656</v>
      </c>
      <c r="B87" s="9" t="inlineStr">
        <is>
          <t>Ramón Laureano</t>
        </is>
      </c>
      <c r="C87" s="9" t="inlineStr">
        <is>
          <t>SD</t>
        </is>
      </c>
      <c r="D87" s="9" t="n">
        <v>32</v>
      </c>
      <c r="E87" s="16" t="inlineStr">
        <is>
          <t>R</t>
        </is>
      </c>
      <c r="F87" s="16" t="inlineStr">
        <is>
          <t>LF</t>
        </is>
      </c>
      <c r="G87" s="9" t="n">
        <v>206</v>
      </c>
      <c r="H87" s="9" t="n">
        <v>1790</v>
      </c>
      <c r="I87" s="9" t="inlineStr">
        <is>
          <t>Bench Bat</t>
        </is>
      </c>
      <c r="J87" s="16" t="inlineStr">
        <is>
          <t>Opening Day</t>
        </is>
      </c>
      <c r="K87" s="11">
        <f>IFERROR(INDEX(Roles!$B$17:$B$20,MATCH(J87,Roles!$A$17:$A$20,0)),1)</f>
        <v/>
      </c>
      <c r="L87" s="17" t="n">
        <v>1</v>
      </c>
      <c r="M87" s="11" t="n">
        <v>1.014552508612116</v>
      </c>
      <c r="N87" s="17" t="n"/>
      <c r="O87" s="17" t="n"/>
      <c r="P87" s="17" t="n"/>
      <c r="Q87" s="17" t="n"/>
      <c r="R87" s="17" t="n"/>
      <c r="S87" s="17" t="n"/>
      <c r="T87" s="17" t="n"/>
      <c r="U87" s="17" t="n"/>
      <c r="V87" s="17" t="n"/>
      <c r="W87" s="17" t="n">
        <v>0.85</v>
      </c>
      <c r="X87" s="17" t="n">
        <v>0.15</v>
      </c>
      <c r="Y87" s="17" t="n"/>
      <c r="Z87" s="13">
        <f>SUMPRODUCT(N87:Y87,$N$2:$Y$2)*$K87*$L87*$M87</f>
        <v/>
      </c>
      <c r="AA87" s="14">
        <f>SUM(N87:Y87)</f>
        <v/>
      </c>
      <c r="AB87" s="14">
        <f>IFERROR(IF(UPPER($E87)="L",SUMPRODUCT(N87:Y87,$N$3:$Y$3,$N$2:$Y$2),SUMPRODUCT(N87:Y87,$N$4:$Y$4,$N$2:$Y$2))/(Z87/($K87*$L87*$M87)),"")</f>
        <v/>
      </c>
      <c r="AC87" s="18" t="n"/>
    </row>
    <row r="88">
      <c r="A88" s="9" t="n">
        <v>596019</v>
      </c>
      <c r="B88" s="9" t="inlineStr">
        <is>
          <t>Francisco Lindor</t>
        </is>
      </c>
      <c r="C88" s="9" t="inlineStr">
        <is>
          <t>NYM</t>
        </is>
      </c>
      <c r="D88" s="9" t="n">
        <v>33</v>
      </c>
      <c r="E88" s="16" t="inlineStr">
        <is>
          <t>S</t>
        </is>
      </c>
      <c r="F88" s="16" t="inlineStr">
        <is>
          <t>SS</t>
        </is>
      </c>
      <c r="G88" s="9" t="n">
        <v>469</v>
      </c>
      <c r="H88" s="9" t="n">
        <v>3283</v>
      </c>
      <c r="I88" s="9" t="inlineStr">
        <is>
          <t>Full Time</t>
        </is>
      </c>
      <c r="J88" s="16" t="inlineStr">
        <is>
          <t>Opening Day</t>
        </is>
      </c>
      <c r="K88" s="11">
        <f>IFERROR(INDEX(Roles!$B$17:$B$20,MATCH(J88,Roles!$A$17:$A$20,0)),1)</f>
        <v/>
      </c>
      <c r="L88" s="17" t="n">
        <v>1</v>
      </c>
      <c r="M88" s="11" t="n">
        <v>1.044346738822345</v>
      </c>
      <c r="N88" s="17" t="n">
        <v>1</v>
      </c>
      <c r="O88" s="17" t="n"/>
      <c r="P88" s="17" t="n"/>
      <c r="Q88" s="17" t="n"/>
      <c r="R88" s="17" t="n"/>
      <c r="S88" s="17" t="n"/>
      <c r="T88" s="17" t="n"/>
      <c r="U88" s="17" t="n"/>
      <c r="V88" s="17" t="n"/>
      <c r="W88" s="17" t="n"/>
      <c r="X88" s="17" t="n"/>
      <c r="Y88" s="17" t="n"/>
      <c r="Z88" s="13">
        <f>SUMPRODUCT(N88:Y88,$N$2:$Y$2)*$K88*$L88*$M88</f>
        <v/>
      </c>
      <c r="AA88" s="14">
        <f>SUM(N88:Y88)</f>
        <v/>
      </c>
      <c r="AB88" s="14">
        <f>IFERROR(IF(UPPER($E88)="L",SUMPRODUCT(N88:Y88,$N$3:$Y$3,$N$2:$Y$2),SUMPRODUCT(N88:Y88,$N$4:$Y$4,$N$2:$Y$2))/(Z88/($K88*$L88*$M88)),"")</f>
        <v/>
      </c>
      <c r="AC88" s="18" t="n"/>
    </row>
    <row r="89">
      <c r="A89" s="9" t="n">
        <v>687952</v>
      </c>
      <c r="B89" s="9" t="inlineStr">
        <is>
          <t>Christian Encarnacion-Strand</t>
        </is>
      </c>
      <c r="C89" s="9" t="inlineStr">
        <is>
          <t>BAL</t>
        </is>
      </c>
      <c r="D89" s="9" t="n">
        <v>27</v>
      </c>
      <c r="E89" s="16" t="inlineStr">
        <is>
          <t>R</t>
        </is>
      </c>
      <c r="F89" s="16" t="inlineStr">
        <is>
          <t>3B</t>
        </is>
      </c>
      <c r="G89" s="9" t="n">
        <v>213</v>
      </c>
      <c r="H89" s="9" t="n">
        <v>714</v>
      </c>
      <c r="I89" s="9" t="inlineStr">
        <is>
          <t>Full Time</t>
        </is>
      </c>
      <c r="J89" s="16" t="inlineStr">
        <is>
          <t>Opening Day</t>
        </is>
      </c>
      <c r="K89" s="11">
        <f>IFERROR(INDEX(Roles!$B$17:$B$20,MATCH(J89,Roles!$A$17:$A$20,0)),1)</f>
        <v/>
      </c>
      <c r="L89" s="17" t="n">
        <v>1</v>
      </c>
      <c r="M89" s="11" t="n">
        <v>1</v>
      </c>
      <c r="N89" s="17" t="n">
        <v>0.85</v>
      </c>
      <c r="O89" s="17" t="n"/>
      <c r="P89" s="17" t="n">
        <v>0.15</v>
      </c>
      <c r="Q89" s="17" t="n"/>
      <c r="R89" s="17" t="n"/>
      <c r="S89" s="17" t="n"/>
      <c r="T89" s="17" t="n"/>
      <c r="U89" s="17" t="n"/>
      <c r="V89" s="17" t="n"/>
      <c r="W89" s="17" t="n"/>
      <c r="X89" s="17" t="n"/>
      <c r="Y89" s="17" t="n"/>
      <c r="Z89" s="13">
        <f>SUMPRODUCT(N89:Y89,$N$2:$Y$2)*$K89*$L89*$M89</f>
        <v/>
      </c>
      <c r="AA89" s="14">
        <f>SUM(N89:Y89)</f>
        <v/>
      </c>
      <c r="AB89" s="14">
        <f>IFERROR(IF(UPPER($E89)="L",SUMPRODUCT(N89:Y89,$N$3:$Y$3,$N$2:$Y$2),SUMPRODUCT(N89:Y89,$N$4:$Y$4,$N$2:$Y$2))/(Z89/($K89*$L89*$M89)),"")</f>
        <v/>
      </c>
      <c r="AC89" s="18" t="n"/>
    </row>
    <row r="90">
      <c r="A90" s="9" t="n">
        <v>608336</v>
      </c>
      <c r="B90" s="9" t="inlineStr">
        <is>
          <t>Joey Gallo</t>
        </is>
      </c>
      <c r="C90" s="9" t="inlineStr">
        <is>
          <t>WSH</t>
        </is>
      </c>
      <c r="D90" s="9" t="n">
        <v>33</v>
      </c>
      <c r="E90" s="16" t="inlineStr">
        <is>
          <t>L</t>
        </is>
      </c>
      <c r="F90" s="16" t="inlineStr">
        <is>
          <t>1B</t>
        </is>
      </c>
      <c r="G90" s="9" t="n">
        <v>260</v>
      </c>
      <c r="H90" s="9" t="n">
        <v>1002</v>
      </c>
      <c r="I90" s="9" t="inlineStr">
        <is>
          <t>Depth (no MLB PA)</t>
        </is>
      </c>
      <c r="J90" s="16" t="inlineStr">
        <is>
          <t>Opening Day</t>
        </is>
      </c>
      <c r="K90" s="11">
        <f>IFERROR(INDEX(Roles!$B$17:$B$20,MATCH(J90,Roles!$A$17:$A$20,0)),1)</f>
        <v/>
      </c>
      <c r="L90" s="17" t="n">
        <v>1</v>
      </c>
      <c r="M90" s="11" t="n">
        <v>1</v>
      </c>
      <c r="N90" s="17" t="n"/>
      <c r="O90" s="17" t="n"/>
      <c r="P90" s="17" t="n"/>
      <c r="Q90" s="17" t="n"/>
      <c r="R90" s="17" t="n"/>
      <c r="S90" s="17" t="n"/>
      <c r="T90" s="17" t="n"/>
      <c r="U90" s="17" t="n"/>
      <c r="V90" s="17" t="n"/>
      <c r="W90" s="17" t="n"/>
      <c r="X90" s="17" t="n"/>
      <c r="Y90" s="17" t="n">
        <v>1</v>
      </c>
      <c r="Z90" s="13">
        <f>SUMPRODUCT(N90:Y90,$N$2:$Y$2)*$K90*$L90*$M90</f>
        <v/>
      </c>
      <c r="AA90" s="14">
        <f>SUM(N90:Y90)</f>
        <v/>
      </c>
      <c r="AB90" s="14">
        <f>IFERROR(IF(UPPER($E90)="L",SUMPRODUCT(N90:Y90,$N$3:$Y$3,$N$2:$Y$2),SUMPRODUCT(N90:Y90,$N$4:$Y$4,$N$2:$Y$2))/(Z90/($K90*$L90*$M90)),"")</f>
        <v/>
      </c>
      <c r="AC90" s="18" t="n"/>
    </row>
    <row r="91">
      <c r="A91" s="9" t="n">
        <v>682987</v>
      </c>
      <c r="B91" s="9" t="inlineStr">
        <is>
          <t>Spencer Jones</t>
        </is>
      </c>
      <c r="C91" s="9" t="inlineStr">
        <is>
          <t>NYY</t>
        </is>
      </c>
      <c r="D91" s="9" t="n">
        <v>26</v>
      </c>
      <c r="E91" s="16" t="inlineStr">
        <is>
          <t>L</t>
        </is>
      </c>
      <c r="F91" s="16" t="inlineStr">
        <is>
          <t>CF</t>
        </is>
      </c>
      <c r="G91" s="9" t="n">
        <v>289</v>
      </c>
      <c r="H91" s="9" t="n">
        <v>289</v>
      </c>
      <c r="I91" s="9" t="inlineStr">
        <is>
          <t>Full Time</t>
        </is>
      </c>
      <c r="J91" s="16" t="inlineStr">
        <is>
          <t>Opening Day</t>
        </is>
      </c>
      <c r="K91" s="11">
        <f>IFERROR(INDEX(Roles!$B$17:$B$20,MATCH(J91,Roles!$A$17:$A$20,0)),1)</f>
        <v/>
      </c>
      <c r="L91" s="17" t="n">
        <v>1</v>
      </c>
      <c r="M91" s="11" t="n">
        <v>1</v>
      </c>
      <c r="N91" s="17" t="n">
        <v>0.7</v>
      </c>
      <c r="O91" s="17" t="n"/>
      <c r="P91" s="17" t="n">
        <v>0.3</v>
      </c>
      <c r="Q91" s="17" t="n"/>
      <c r="R91" s="17" t="n"/>
      <c r="S91" s="17" t="n"/>
      <c r="T91" s="17" t="n"/>
      <c r="U91" s="17" t="n"/>
      <c r="V91" s="17" t="n"/>
      <c r="W91" s="17" t="n"/>
      <c r="X91" s="17" t="n"/>
      <c r="Y91" s="17" t="n"/>
      <c r="Z91" s="13">
        <f>SUMPRODUCT(N91:Y91,$N$2:$Y$2)*$K91*$L91*$M91</f>
        <v/>
      </c>
      <c r="AA91" s="14">
        <f>SUM(N91:Y91)</f>
        <v/>
      </c>
      <c r="AB91" s="14">
        <f>IFERROR(IF(UPPER($E91)="L",SUMPRODUCT(N91:Y91,$N$3:$Y$3,$N$2:$Y$2),SUMPRODUCT(N91:Y91,$N$4:$Y$4,$N$2:$Y$2))/(Z91/($K91*$L91*$M91)),"")</f>
        <v/>
      </c>
      <c r="AC91" s="18" t="n"/>
    </row>
    <row r="92">
      <c r="A92" s="9" t="n">
        <v>815873</v>
      </c>
      <c r="B92" s="9" t="inlineStr">
        <is>
          <t>Sean Keys</t>
        </is>
      </c>
      <c r="C92" s="9" t="inlineStr">
        <is>
          <t>TOR</t>
        </is>
      </c>
      <c r="D92" s="9" t="n">
        <v>24</v>
      </c>
      <c r="E92" s="16" t="inlineStr">
        <is>
          <t>L</t>
        </is>
      </c>
      <c r="F92" s="16" t="inlineStr">
        <is>
          <t>1B</t>
        </is>
      </c>
      <c r="G92" s="9" t="n">
        <v>67</v>
      </c>
      <c r="H92" s="9" t="n">
        <v>67</v>
      </c>
      <c r="I92" s="9" t="inlineStr">
        <is>
          <t>Bench Bat</t>
        </is>
      </c>
      <c r="J92" s="16" t="inlineStr">
        <is>
          <t>Opening Day</t>
        </is>
      </c>
      <c r="K92" s="11">
        <f>IFERROR(INDEX(Roles!$B$17:$B$20,MATCH(J92,Roles!$A$17:$A$20,0)),1)</f>
        <v/>
      </c>
      <c r="L92" s="17" t="n">
        <v>1</v>
      </c>
      <c r="M92" s="11" t="n">
        <v>1</v>
      </c>
      <c r="N92" s="17" t="n"/>
      <c r="O92" s="17" t="n"/>
      <c r="P92" s="17" t="n"/>
      <c r="Q92" s="17" t="n"/>
      <c r="R92" s="17" t="n"/>
      <c r="S92" s="17" t="n"/>
      <c r="T92" s="17" t="n"/>
      <c r="U92" s="17" t="n">
        <v>0.4</v>
      </c>
      <c r="V92" s="17" t="n"/>
      <c r="W92" s="17" t="n">
        <v>0.6</v>
      </c>
      <c r="X92" s="17" t="n"/>
      <c r="Y92" s="17" t="n"/>
      <c r="Z92" s="13">
        <f>SUMPRODUCT(N92:Y92,$N$2:$Y$2)*$K92*$L92*$M92</f>
        <v/>
      </c>
      <c r="AA92" s="14">
        <f>SUM(N92:Y92)</f>
        <v/>
      </c>
      <c r="AB92" s="14">
        <f>IFERROR(IF(UPPER($E92)="L",SUMPRODUCT(N92:Y92,$N$3:$Y$3,$N$2:$Y$2),SUMPRODUCT(N92:Y92,$N$4:$Y$4,$N$2:$Y$2))/(Z92/($K92*$L92*$M92)),"")</f>
        <v/>
      </c>
      <c r="AC92" s="18" t="n"/>
    </row>
    <row r="93">
      <c r="A93" s="9" t="n">
        <v>682674</v>
      </c>
      <c r="B93" s="9" t="inlineStr">
        <is>
          <t>Victor Bericoto</t>
        </is>
      </c>
      <c r="C93" s="9" t="inlineStr">
        <is>
          <t>SF</t>
        </is>
      </c>
      <c r="D93" s="9" t="n">
        <v>25</v>
      </c>
      <c r="E93" s="16" t="inlineStr">
        <is>
          <t>R</t>
        </is>
      </c>
      <c r="F93" s="16" t="inlineStr">
        <is>
          <t>LF</t>
        </is>
      </c>
      <c r="G93" s="9" t="n">
        <v>116</v>
      </c>
      <c r="H93" s="9" t="n">
        <v>116</v>
      </c>
      <c r="I93" s="9" t="inlineStr">
        <is>
          <t>Weak Side Platoon</t>
        </is>
      </c>
      <c r="J93" s="16" t="inlineStr">
        <is>
          <t>Opening Day</t>
        </is>
      </c>
      <c r="K93" s="11">
        <f>IFERROR(INDEX(Roles!$B$17:$B$20,MATCH(J93,Roles!$A$17:$A$20,0)),1)</f>
        <v/>
      </c>
      <c r="L93" s="17" t="n">
        <v>1</v>
      </c>
      <c r="M93" s="11" t="n">
        <v>1</v>
      </c>
      <c r="N93" s="17" t="n"/>
      <c r="O93" s="17" t="n"/>
      <c r="P93" s="17" t="n"/>
      <c r="Q93" s="17" t="n">
        <v>0.6</v>
      </c>
      <c r="R93" s="17" t="n"/>
      <c r="S93" s="17" t="n"/>
      <c r="T93" s="17" t="n"/>
      <c r="U93" s="17" t="n">
        <v>0.4</v>
      </c>
      <c r="V93" s="17" t="n"/>
      <c r="W93" s="17" t="n"/>
      <c r="X93" s="17" t="n"/>
      <c r="Y93" s="17" t="n"/>
      <c r="Z93" s="13">
        <f>SUMPRODUCT(N93:Y93,$N$2:$Y$2)*$K93*$L93*$M93</f>
        <v/>
      </c>
      <c r="AA93" s="14">
        <f>SUM(N93:Y93)</f>
        <v/>
      </c>
      <c r="AB93" s="14">
        <f>IFERROR(IF(UPPER($E93)="L",SUMPRODUCT(N93:Y93,$N$3:$Y$3,$N$2:$Y$2),SUMPRODUCT(N93:Y93,$N$4:$Y$4,$N$2:$Y$2))/(Z93/($K93*$L93*$M93)),"")</f>
        <v/>
      </c>
      <c r="AC93" s="18" t="n"/>
    </row>
    <row r="94">
      <c r="A94" s="9" t="n">
        <v>650907</v>
      </c>
      <c r="B94" s="9" t="inlineStr">
        <is>
          <t>René Pinto</t>
        </is>
      </c>
      <c r="C94" s="9" t="inlineStr">
        <is>
          <t>TB</t>
        </is>
      </c>
      <c r="D94" s="9" t="n">
        <v>30</v>
      </c>
      <c r="E94" s="16" t="inlineStr">
        <is>
          <t>R</t>
        </is>
      </c>
      <c r="F94" s="16" t="inlineStr">
        <is>
          <t>C</t>
        </is>
      </c>
      <c r="G94" s="9" t="n">
        <v>49</v>
      </c>
      <c r="H94" s="9" t="n">
        <v>237</v>
      </c>
      <c r="I94" s="9" t="inlineStr">
        <is>
          <t>Depth (no MLB PA)</t>
        </is>
      </c>
      <c r="J94" s="16" t="inlineStr">
        <is>
          <t>Opening Day</t>
        </is>
      </c>
      <c r="K94" s="11">
        <f>IFERROR(INDEX(Roles!$B$17:$B$20,MATCH(J94,Roles!$A$17:$A$20,0)),1)</f>
        <v/>
      </c>
      <c r="L94" s="17" t="n">
        <v>1</v>
      </c>
      <c r="M94" s="11" t="n">
        <v>1</v>
      </c>
      <c r="N94" s="17" t="n"/>
      <c r="O94" s="17" t="n"/>
      <c r="P94" s="17" t="n"/>
      <c r="Q94" s="17" t="n"/>
      <c r="R94" s="17" t="n"/>
      <c r="S94" s="17" t="n"/>
      <c r="T94" s="17" t="n"/>
      <c r="U94" s="17" t="n"/>
      <c r="V94" s="17" t="n"/>
      <c r="W94" s="17" t="n"/>
      <c r="X94" s="17" t="n"/>
      <c r="Y94" s="17" t="n">
        <v>1</v>
      </c>
      <c r="Z94" s="13">
        <f>SUMPRODUCT(N94:Y94,$N$2:$Y$2)*$K94*$L94*$M94</f>
        <v/>
      </c>
      <c r="AA94" s="14">
        <f>SUM(N94:Y94)</f>
        <v/>
      </c>
      <c r="AB94" s="14">
        <f>IFERROR(IF(UPPER($E94)="L",SUMPRODUCT(N94:Y94,$N$3:$Y$3,$N$2:$Y$2),SUMPRODUCT(N94:Y94,$N$4:$Y$4,$N$2:$Y$2))/(Z94/($K94*$L94*$M94)),"")</f>
        <v/>
      </c>
      <c r="AC94" s="18" t="n"/>
    </row>
    <row r="95">
      <c r="A95" s="9" t="n">
        <v>700932</v>
      </c>
      <c r="B95" s="9" t="inlineStr">
        <is>
          <t>Kyle Manzardo</t>
        </is>
      </c>
      <c r="C95" s="9" t="inlineStr">
        <is>
          <t>CLE</t>
        </is>
      </c>
      <c r="D95" s="9" t="n">
        <v>26</v>
      </c>
      <c r="E95" s="16" t="inlineStr">
        <is>
          <t>L</t>
        </is>
      </c>
      <c r="F95" s="16" t="inlineStr">
        <is>
          <t>1B</t>
        </is>
      </c>
      <c r="G95" s="9" t="n">
        <v>356</v>
      </c>
      <c r="H95" s="9" t="n">
        <v>1043</v>
      </c>
      <c r="I95" s="9" t="inlineStr">
        <is>
          <t>Everyday DH / 1B-DH</t>
        </is>
      </c>
      <c r="J95" s="16" t="inlineStr">
        <is>
          <t>Opening Day</t>
        </is>
      </c>
      <c r="K95" s="11">
        <f>IFERROR(INDEX(Roles!$B$17:$B$20,MATCH(J95,Roles!$A$17:$A$20,0)),1)</f>
        <v/>
      </c>
      <c r="L95" s="17" t="n">
        <v>1</v>
      </c>
      <c r="M95" s="11" t="n">
        <v>0.8977706461276921</v>
      </c>
      <c r="N95" s="17" t="n"/>
      <c r="O95" s="17" t="n">
        <v>1</v>
      </c>
      <c r="P95" s="17" t="n"/>
      <c r="Q95" s="17" t="n"/>
      <c r="R95" s="17" t="n"/>
      <c r="S95" s="17" t="n"/>
      <c r="T95" s="17" t="n"/>
      <c r="U95" s="17" t="n"/>
      <c r="V95" s="17" t="n"/>
      <c r="W95" s="17" t="n"/>
      <c r="X95" s="17" t="n"/>
      <c r="Y95" s="17" t="n"/>
      <c r="Z95" s="13">
        <f>SUMPRODUCT(N95:Y95,$N$2:$Y$2)*$K95*$L95*$M95</f>
        <v/>
      </c>
      <c r="AA95" s="14">
        <f>SUM(N95:Y95)</f>
        <v/>
      </c>
      <c r="AB95" s="14">
        <f>IFERROR(IF(UPPER($E95)="L",SUMPRODUCT(N95:Y95,$N$3:$Y$3,$N$2:$Y$2),SUMPRODUCT(N95:Y95,$N$4:$Y$4,$N$2:$Y$2))/(Z95/($K95*$L95*$M95)),"")</f>
        <v/>
      </c>
      <c r="AC95" s="18" t="n"/>
    </row>
    <row r="96">
      <c r="A96" s="9" t="n">
        <v>676914</v>
      </c>
      <c r="B96" s="9" t="inlineStr">
        <is>
          <t>Davis Schneider</t>
        </is>
      </c>
      <c r="C96" s="9" t="inlineStr">
        <is>
          <t>TOR</t>
        </is>
      </c>
      <c r="D96" s="9" t="n">
        <v>28</v>
      </c>
      <c r="E96" s="16" t="inlineStr">
        <is>
          <t>R</t>
        </is>
      </c>
      <c r="F96" s="16" t="inlineStr">
        <is>
          <t>LF</t>
        </is>
      </c>
      <c r="G96" s="9" t="n">
        <v>156</v>
      </c>
      <c r="H96" s="9" t="n">
        <v>978</v>
      </c>
      <c r="I96" s="9" t="inlineStr">
        <is>
          <t>Bench Bat</t>
        </is>
      </c>
      <c r="J96" s="16" t="inlineStr">
        <is>
          <t>Opening Day</t>
        </is>
      </c>
      <c r="K96" s="11">
        <f>IFERROR(INDEX(Roles!$B$17:$B$20,MATCH(J96,Roles!$A$17:$A$20,0)),1)</f>
        <v/>
      </c>
      <c r="L96" s="17" t="n">
        <v>1</v>
      </c>
      <c r="M96" s="11" t="n">
        <v>0.9779814181755064</v>
      </c>
      <c r="N96" s="17" t="n"/>
      <c r="O96" s="17" t="n"/>
      <c r="P96" s="17" t="n"/>
      <c r="Q96" s="17" t="n"/>
      <c r="R96" s="17" t="n"/>
      <c r="S96" s="17" t="n"/>
      <c r="T96" s="17" t="n"/>
      <c r="U96" s="17" t="n">
        <v>0.4</v>
      </c>
      <c r="V96" s="17" t="n"/>
      <c r="W96" s="17" t="n">
        <v>0.6</v>
      </c>
      <c r="X96" s="17" t="n"/>
      <c r="Y96" s="17" t="n"/>
      <c r="Z96" s="13">
        <f>SUMPRODUCT(N96:Y96,$N$2:$Y$2)*$K96*$L96*$M96</f>
        <v/>
      </c>
      <c r="AA96" s="14">
        <f>SUM(N96:Y96)</f>
        <v/>
      </c>
      <c r="AB96" s="14">
        <f>IFERROR(IF(UPPER($E96)="L",SUMPRODUCT(N96:Y96,$N$3:$Y$3,$N$2:$Y$2),SUMPRODUCT(N96:Y96,$N$4:$Y$4,$N$2:$Y$2))/(Z96/($K96*$L96*$M96)),"")</f>
        <v/>
      </c>
      <c r="AC96" s="18" t="n"/>
    </row>
    <row r="97">
      <c r="A97" s="9" t="n">
        <v>691181</v>
      </c>
      <c r="B97" s="9" t="inlineStr">
        <is>
          <t>Emmanuel Rodriguez</t>
        </is>
      </c>
      <c r="C97" s="9" t="inlineStr">
        <is>
          <t>MIN</t>
        </is>
      </c>
      <c r="D97" s="9" t="n">
        <v>24</v>
      </c>
      <c r="E97" s="16" t="inlineStr">
        <is>
          <t>L</t>
        </is>
      </c>
      <c r="F97" s="16" t="inlineStr">
        <is>
          <t>LF</t>
        </is>
      </c>
      <c r="G97" s="9" t="n">
        <v>48</v>
      </c>
      <c r="H97" s="9" t="n">
        <v>48</v>
      </c>
      <c r="I97" s="9" t="inlineStr">
        <is>
          <t>Full Time</t>
        </is>
      </c>
      <c r="J97" s="16" t="inlineStr">
        <is>
          <t>Opening Day</t>
        </is>
      </c>
      <c r="K97" s="11">
        <f>IFERROR(INDEX(Roles!$B$17:$B$20,MATCH(J97,Roles!$A$17:$A$20,0)),1)</f>
        <v/>
      </c>
      <c r="L97" s="17" t="n">
        <v>1</v>
      </c>
      <c r="M97" s="11" t="n">
        <v>1</v>
      </c>
      <c r="N97" s="17" t="n">
        <v>0.62</v>
      </c>
      <c r="O97" s="17" t="n"/>
      <c r="P97" s="17" t="n">
        <v>0.38</v>
      </c>
      <c r="Q97" s="17" t="n"/>
      <c r="R97" s="17" t="n"/>
      <c r="S97" s="17" t="n"/>
      <c r="T97" s="17" t="n"/>
      <c r="U97" s="17" t="n"/>
      <c r="V97" s="17" t="n"/>
      <c r="W97" s="17" t="n"/>
      <c r="X97" s="17" t="n"/>
      <c r="Y97" s="17" t="n"/>
      <c r="Z97" s="13">
        <f>SUMPRODUCT(N97:Y97,$N$2:$Y$2)*$K97*$L97*$M97</f>
        <v/>
      </c>
      <c r="AA97" s="14">
        <f>SUM(N97:Y97)</f>
        <v/>
      </c>
      <c r="AB97" s="14">
        <f>IFERROR(IF(UPPER($E97)="L",SUMPRODUCT(N97:Y97,$N$3:$Y$3,$N$2:$Y$2),SUMPRODUCT(N97:Y97,$N$4:$Y$4,$N$2:$Y$2))/(Z97/($K97*$L97*$M97)),"")</f>
        <v/>
      </c>
      <c r="AC97" s="18" t="n"/>
    </row>
    <row r="98">
      <c r="A98" s="9" t="n">
        <v>665862</v>
      </c>
      <c r="B98" s="9" t="inlineStr">
        <is>
          <t>Jazz Chisholm Jr.</t>
        </is>
      </c>
      <c r="C98" s="9" t="inlineStr">
        <is>
          <t>NYY</t>
        </is>
      </c>
      <c r="D98" s="9" t="n">
        <v>29</v>
      </c>
      <c r="E98" s="16" t="inlineStr">
        <is>
          <t>L</t>
        </is>
      </c>
      <c r="F98" s="16" t="inlineStr">
        <is>
          <t>2B</t>
        </is>
      </c>
      <c r="G98" s="9" t="n">
        <v>532</v>
      </c>
      <c r="H98" s="9" t="n">
        <v>2308</v>
      </c>
      <c r="I98" s="9" t="inlineStr">
        <is>
          <t>Full Time</t>
        </is>
      </c>
      <c r="J98" s="16" t="inlineStr">
        <is>
          <t>Opening Day</t>
        </is>
      </c>
      <c r="K98" s="11">
        <f>IFERROR(INDEX(Roles!$B$17:$B$20,MATCH(J98,Roles!$A$17:$A$20,0)),1)</f>
        <v/>
      </c>
      <c r="L98" s="17" t="n">
        <v>1</v>
      </c>
      <c r="M98" s="11" t="n">
        <v>1.073245183228553</v>
      </c>
      <c r="N98" s="17" t="n">
        <v>0.7</v>
      </c>
      <c r="O98" s="17" t="n"/>
      <c r="P98" s="17" t="n">
        <v>0.3</v>
      </c>
      <c r="Q98" s="17" t="n"/>
      <c r="R98" s="17" t="n"/>
      <c r="S98" s="17" t="n"/>
      <c r="T98" s="17" t="n"/>
      <c r="U98" s="17" t="n"/>
      <c r="V98" s="17" t="n"/>
      <c r="W98" s="17" t="n"/>
      <c r="X98" s="17" t="n"/>
      <c r="Y98" s="17" t="n"/>
      <c r="Z98" s="13">
        <f>SUMPRODUCT(N98:Y98,$N$2:$Y$2)*$K98*$L98*$M98</f>
        <v/>
      </c>
      <c r="AA98" s="14">
        <f>SUM(N98:Y98)</f>
        <v/>
      </c>
      <c r="AB98" s="14">
        <f>IFERROR(IF(UPPER($E98)="L",SUMPRODUCT(N98:Y98,$N$3:$Y$3,$N$2:$Y$2),SUMPRODUCT(N98:Y98,$N$4:$Y$4,$N$2:$Y$2))/(Z98/($K98*$L98*$M98)),"")</f>
        <v/>
      </c>
      <c r="AC98" s="18" t="n"/>
    </row>
    <row r="99">
      <c r="A99" s="9" t="n">
        <v>462101</v>
      </c>
      <c r="B99" s="9" t="inlineStr">
        <is>
          <t>Elvis Andrus</t>
        </is>
      </c>
      <c r="C99" s="9" t="inlineStr">
        <is>
          <t>CWS</t>
        </is>
      </c>
      <c r="D99" s="9" t="n">
        <v>38</v>
      </c>
      <c r="E99" s="16" t="inlineStr">
        <is>
          <t>R</t>
        </is>
      </c>
      <c r="F99" s="16" t="inlineStr">
        <is>
          <t>2B</t>
        </is>
      </c>
      <c r="G99" s="9" t="n">
        <v>406</v>
      </c>
      <c r="H99" s="9" t="n">
        <v>983</v>
      </c>
      <c r="I99" s="9" t="inlineStr">
        <is>
          <t>Depth (no MLB PA)</t>
        </is>
      </c>
      <c r="J99" s="16" t="inlineStr">
        <is>
          <t>Opening Day</t>
        </is>
      </c>
      <c r="K99" s="11">
        <f>IFERROR(INDEX(Roles!$B$17:$B$20,MATCH(J99,Roles!$A$17:$A$20,0)),1)</f>
        <v/>
      </c>
      <c r="L99" s="17" t="n">
        <v>1</v>
      </c>
      <c r="M99" s="11" t="n">
        <v>1</v>
      </c>
      <c r="N99" s="17" t="n"/>
      <c r="O99" s="17" t="n"/>
      <c r="P99" s="17" t="n"/>
      <c r="Q99" s="17" t="n"/>
      <c r="R99" s="17" t="n"/>
      <c r="S99" s="17" t="n"/>
      <c r="T99" s="17" t="n"/>
      <c r="U99" s="17" t="n"/>
      <c r="V99" s="17" t="n"/>
      <c r="W99" s="17" t="n"/>
      <c r="X99" s="17" t="n"/>
      <c r="Y99" s="17" t="n">
        <v>1</v>
      </c>
      <c r="Z99" s="13">
        <f>SUMPRODUCT(N99:Y99,$N$2:$Y$2)*$K99*$L99*$M99</f>
        <v/>
      </c>
      <c r="AA99" s="14">
        <f>SUM(N99:Y99)</f>
        <v/>
      </c>
      <c r="AB99" s="14">
        <f>IFERROR(IF(UPPER($E99)="L",SUMPRODUCT(N99:Y99,$N$3:$Y$3,$N$2:$Y$2),SUMPRODUCT(N99:Y99,$N$4:$Y$4,$N$2:$Y$2))/(Z99/($K99*$L99*$M99)),"")</f>
        <v/>
      </c>
      <c r="AC99" s="18" t="n"/>
    </row>
    <row r="100">
      <c r="A100" s="9" t="n">
        <v>668901</v>
      </c>
      <c r="B100" s="9" t="inlineStr">
        <is>
          <t>Mark Vientos</t>
        </is>
      </c>
      <c r="C100" s="9" t="inlineStr">
        <is>
          <t>NYM</t>
        </is>
      </c>
      <c r="D100" s="9" t="n">
        <v>27</v>
      </c>
      <c r="E100" s="16" t="inlineStr">
        <is>
          <t>R</t>
        </is>
      </c>
      <c r="F100" s="16" t="inlineStr">
        <is>
          <t>1B</t>
        </is>
      </c>
      <c r="G100" s="9" t="n">
        <v>295</v>
      </c>
      <c r="H100" s="9" t="n">
        <v>1486</v>
      </c>
      <c r="I100" s="9" t="inlineStr">
        <is>
          <t>Everyday DH / 1B-DH</t>
        </is>
      </c>
      <c r="J100" s="16" t="inlineStr">
        <is>
          <t>Opening Day</t>
        </is>
      </c>
      <c r="K100" s="11">
        <f>IFERROR(INDEX(Roles!$B$17:$B$20,MATCH(J100,Roles!$A$17:$A$20,0)),1)</f>
        <v/>
      </c>
      <c r="L100" s="17" t="n">
        <v>1</v>
      </c>
      <c r="M100" s="11" t="n">
        <v>0.8833956188699161</v>
      </c>
      <c r="N100" s="17" t="n"/>
      <c r="O100" s="17" t="n">
        <v>0.7</v>
      </c>
      <c r="P100" s="17" t="n"/>
      <c r="Q100" s="17" t="n"/>
      <c r="R100" s="17" t="n"/>
      <c r="S100" s="17" t="n"/>
      <c r="T100" s="17" t="n"/>
      <c r="U100" s="17" t="n"/>
      <c r="V100" s="17" t="n"/>
      <c r="W100" s="17" t="n">
        <v>0.3</v>
      </c>
      <c r="X100" s="17" t="n"/>
      <c r="Y100" s="17" t="n"/>
      <c r="Z100" s="13">
        <f>SUMPRODUCT(N100:Y100,$N$2:$Y$2)*$K100*$L100*$M100</f>
        <v/>
      </c>
      <c r="AA100" s="14">
        <f>SUM(N100:Y100)</f>
        <v/>
      </c>
      <c r="AB100" s="14">
        <f>IFERROR(IF(UPPER($E100)="L",SUMPRODUCT(N100:Y100,$N$3:$Y$3,$N$2:$Y$2),SUMPRODUCT(N100:Y100,$N$4:$Y$4,$N$2:$Y$2))/(Z100/($K100*$L100*$M100)),"")</f>
        <v/>
      </c>
      <c r="AC100" s="18" t="n"/>
    </row>
    <row r="101">
      <c r="A101" s="9" t="n">
        <v>681715</v>
      </c>
      <c r="B101" s="9" t="inlineStr">
        <is>
          <t>Heriberto Hernández</t>
        </is>
      </c>
      <c r="C101" s="9" t="inlineStr">
        <is>
          <t>MIA</t>
        </is>
      </c>
      <c r="D101" s="9" t="n">
        <v>27</v>
      </c>
      <c r="E101" s="16" t="inlineStr">
        <is>
          <t>R</t>
        </is>
      </c>
      <c r="F101" s="16" t="inlineStr">
        <is>
          <t>LF</t>
        </is>
      </c>
      <c r="G101" s="9" t="n">
        <v>505</v>
      </c>
      <c r="H101" s="9" t="n">
        <v>799</v>
      </c>
      <c r="I101" s="9" t="inlineStr">
        <is>
          <t>Full Time</t>
        </is>
      </c>
      <c r="J101" s="16" t="inlineStr">
        <is>
          <t>Opening Day</t>
        </is>
      </c>
      <c r="K101" s="11">
        <f>IFERROR(INDEX(Roles!$B$17:$B$20,MATCH(J101,Roles!$A$17:$A$20,0)),1)</f>
        <v/>
      </c>
      <c r="L101" s="17" t="n">
        <v>1</v>
      </c>
      <c r="M101" s="11" t="n">
        <v>0.9486651282483398</v>
      </c>
      <c r="N101" s="17" t="n">
        <v>0.9</v>
      </c>
      <c r="O101" s="17" t="n"/>
      <c r="P101" s="17" t="n">
        <v>0.1</v>
      </c>
      <c r="Q101" s="17" t="n"/>
      <c r="R101" s="17" t="n"/>
      <c r="S101" s="17" t="n"/>
      <c r="T101" s="17" t="n"/>
      <c r="U101" s="17" t="n"/>
      <c r="V101" s="17" t="n"/>
      <c r="W101" s="17" t="n"/>
      <c r="X101" s="17" t="n"/>
      <c r="Y101" s="17" t="n"/>
      <c r="Z101" s="13">
        <f>SUMPRODUCT(N101:Y101,$N$2:$Y$2)*$K101*$L101*$M101</f>
        <v/>
      </c>
      <c r="AA101" s="14">
        <f>SUM(N101:Y101)</f>
        <v/>
      </c>
      <c r="AB101" s="14">
        <f>IFERROR(IF(UPPER($E101)="L",SUMPRODUCT(N101:Y101,$N$3:$Y$3,$N$2:$Y$2),SUMPRODUCT(N101:Y101,$N$4:$Y$4,$N$2:$Y$2))/(Z101/($K101*$L101*$M101)),"")</f>
        <v/>
      </c>
      <c r="AC101" s="18" t="n"/>
    </row>
    <row r="102">
      <c r="A102" s="9" t="n">
        <v>677592</v>
      </c>
      <c r="B102" s="9" t="inlineStr">
        <is>
          <t>Everson Pereira</t>
        </is>
      </c>
      <c r="C102" s="9" t="inlineStr">
        <is>
          <t>STL</t>
        </is>
      </c>
      <c r="D102" s="9" t="n">
        <v>26</v>
      </c>
      <c r="E102" s="16" t="inlineStr">
        <is>
          <t>R</t>
        </is>
      </c>
      <c r="F102" s="16" t="inlineStr">
        <is>
          <t>RF</t>
        </is>
      </c>
      <c r="G102" s="9" t="n">
        <v>111</v>
      </c>
      <c r="H102" s="9" t="n">
        <v>287</v>
      </c>
      <c r="I102" s="9" t="inlineStr">
        <is>
          <t>Bench Bat</t>
        </is>
      </c>
      <c r="J102" s="16" t="inlineStr">
        <is>
          <t>Opening Day</t>
        </is>
      </c>
      <c r="K102" s="11">
        <f>IFERROR(INDEX(Roles!$B$17:$B$20,MATCH(J102,Roles!$A$17:$A$20,0)),1)</f>
        <v/>
      </c>
      <c r="L102" s="17" t="n">
        <v>1</v>
      </c>
      <c r="M102" s="11" t="n">
        <v>1</v>
      </c>
      <c r="N102" s="17" t="n"/>
      <c r="O102" s="17" t="n"/>
      <c r="P102" s="17" t="n"/>
      <c r="Q102" s="17" t="n"/>
      <c r="R102" s="17" t="n"/>
      <c r="S102" s="17" t="n"/>
      <c r="T102" s="17" t="n"/>
      <c r="U102" s="17" t="n"/>
      <c r="V102" s="17" t="n">
        <v>0.4</v>
      </c>
      <c r="W102" s="17" t="n">
        <v>0.6</v>
      </c>
      <c r="X102" s="17" t="n"/>
      <c r="Y102" s="17" t="n"/>
      <c r="Z102" s="13">
        <f>SUMPRODUCT(N102:Y102,$N$2:$Y$2)*$K102*$L102*$M102</f>
        <v/>
      </c>
      <c r="AA102" s="14">
        <f>SUM(N102:Y102)</f>
        <v/>
      </c>
      <c r="AB102" s="14">
        <f>IFERROR(IF(UPPER($E102)="L",SUMPRODUCT(N102:Y102,$N$3:$Y$3,$N$2:$Y$2),SUMPRODUCT(N102:Y102,$N$4:$Y$4,$N$2:$Y$2))/(Z102/($K102*$L102*$M102)),"")</f>
        <v/>
      </c>
      <c r="AC102" s="18" t="n"/>
    </row>
    <row r="103">
      <c r="A103" s="9" t="n">
        <v>681807</v>
      </c>
      <c r="B103" s="9" t="inlineStr">
        <is>
          <t>David Fry</t>
        </is>
      </c>
      <c r="C103" s="9" t="inlineStr">
        <is>
          <t>CLE</t>
        </is>
      </c>
      <c r="D103" s="9" t="n">
        <v>31</v>
      </c>
      <c r="E103" s="16" t="inlineStr">
        <is>
          <t>R</t>
        </is>
      </c>
      <c r="F103" s="16" t="inlineStr">
        <is>
          <t>LF</t>
        </is>
      </c>
      <c r="G103" s="9" t="n">
        <v>214</v>
      </c>
      <c r="H103" s="9" t="n">
        <v>876</v>
      </c>
      <c r="I103" s="9" t="inlineStr">
        <is>
          <t>Weak Side Platoon</t>
        </is>
      </c>
      <c r="J103" s="16" t="inlineStr">
        <is>
          <t>Opening Day</t>
        </is>
      </c>
      <c r="K103" s="11">
        <f>IFERROR(INDEX(Roles!$B$17:$B$20,MATCH(J103,Roles!$A$17:$A$20,0)),1)</f>
        <v/>
      </c>
      <c r="L103" s="17" t="n">
        <v>1</v>
      </c>
      <c r="M103" s="11" t="n">
        <v>0.9072640354346196</v>
      </c>
      <c r="N103" s="17" t="n"/>
      <c r="O103" s="17" t="n"/>
      <c r="P103" s="17" t="n"/>
      <c r="Q103" s="17" t="n">
        <v>0.6</v>
      </c>
      <c r="R103" s="17" t="n"/>
      <c r="S103" s="17" t="n"/>
      <c r="T103" s="17" t="n"/>
      <c r="U103" s="17" t="n">
        <v>0.4</v>
      </c>
      <c r="V103" s="17" t="n"/>
      <c r="W103" s="17" t="n"/>
      <c r="X103" s="17" t="n"/>
      <c r="Y103" s="17" t="n"/>
      <c r="Z103" s="13">
        <f>SUMPRODUCT(N103:Y103,$N$2:$Y$2)*$K103*$L103*$M103</f>
        <v/>
      </c>
      <c r="AA103" s="14">
        <f>SUM(N103:Y103)</f>
        <v/>
      </c>
      <c r="AB103" s="14">
        <f>IFERROR(IF(UPPER($E103)="L",SUMPRODUCT(N103:Y103,$N$3:$Y$3,$N$2:$Y$2),SUMPRODUCT(N103:Y103,$N$4:$Y$4,$N$2:$Y$2))/(Z103/($K103*$L103*$M103)),"")</f>
        <v/>
      </c>
      <c r="AC103" s="18" t="n"/>
    </row>
    <row r="104">
      <c r="A104" s="9" t="n">
        <v>542303</v>
      </c>
      <c r="B104" s="9" t="inlineStr">
        <is>
          <t>Marcell Ozuna</t>
        </is>
      </c>
      <c r="C104" s="9" t="inlineStr">
        <is>
          <t>PIT</t>
        </is>
      </c>
      <c r="D104" s="9" t="n">
        <v>36</v>
      </c>
      <c r="E104" s="16" t="inlineStr">
        <is>
          <t>R</t>
        </is>
      </c>
      <c r="F104" s="16" t="inlineStr">
        <is>
          <t>LF</t>
        </is>
      </c>
      <c r="G104" s="9" t="n">
        <v>280</v>
      </c>
      <c r="H104" s="9" t="n">
        <v>2659</v>
      </c>
      <c r="I104" s="9" t="inlineStr">
        <is>
          <t>Full Time</t>
        </is>
      </c>
      <c r="J104" s="16" t="inlineStr">
        <is>
          <t>Opening Day</t>
        </is>
      </c>
      <c r="K104" s="11">
        <f>IFERROR(INDEX(Roles!$B$17:$B$20,MATCH(J104,Roles!$A$17:$A$20,0)),1)</f>
        <v/>
      </c>
      <c r="L104" s="17" t="n">
        <v>1</v>
      </c>
      <c r="M104" s="11" t="n">
        <v>0.9143037389944058</v>
      </c>
      <c r="N104" s="17" t="n">
        <v>1</v>
      </c>
      <c r="O104" s="17" t="n"/>
      <c r="P104" s="17" t="n"/>
      <c r="Q104" s="17" t="n"/>
      <c r="R104" s="17" t="n"/>
      <c r="S104" s="17" t="n"/>
      <c r="T104" s="17" t="n"/>
      <c r="U104" s="17" t="n"/>
      <c r="V104" s="17" t="n"/>
      <c r="W104" s="17" t="n"/>
      <c r="X104" s="17" t="n"/>
      <c r="Y104" s="17" t="n"/>
      <c r="Z104" s="13">
        <f>SUMPRODUCT(N104:Y104,$N$2:$Y$2)*$K104*$L104*$M104</f>
        <v/>
      </c>
      <c r="AA104" s="14">
        <f>SUM(N104:Y104)</f>
        <v/>
      </c>
      <c r="AB104" s="14">
        <f>IFERROR(IF(UPPER($E104)="L",SUMPRODUCT(N104:Y104,$N$3:$Y$3,$N$2:$Y$2),SUMPRODUCT(N104:Y104,$N$4:$Y$4,$N$2:$Y$2))/(Z104/($K104*$L104*$M104)),"")</f>
        <v/>
      </c>
      <c r="AC104" s="18" t="n"/>
    </row>
    <row r="105">
      <c r="A105" s="9" t="n">
        <v>608701</v>
      </c>
      <c r="B105" s="9" t="inlineStr">
        <is>
          <t>Rob Refsnyder</t>
        </is>
      </c>
      <c r="C105" s="9" t="inlineStr">
        <is>
          <t>SEA</t>
        </is>
      </c>
      <c r="D105" s="9" t="n">
        <v>36</v>
      </c>
      <c r="E105" s="16" t="inlineStr">
        <is>
          <t>R</t>
        </is>
      </c>
      <c r="F105" s="16" t="inlineStr">
        <is>
          <t>RF</t>
        </is>
      </c>
      <c r="G105" s="9" t="n">
        <v>129</v>
      </c>
      <c r="H105" s="9" t="n">
        <v>1065</v>
      </c>
      <c r="I105" s="9" t="inlineStr">
        <is>
          <t>Weak Side Platoon</t>
        </is>
      </c>
      <c r="J105" s="16" t="inlineStr">
        <is>
          <t>Opening Day</t>
        </is>
      </c>
      <c r="K105" s="11">
        <f>IFERROR(INDEX(Roles!$B$17:$B$20,MATCH(J105,Roles!$A$17:$A$20,0)),1)</f>
        <v/>
      </c>
      <c r="L105" s="17" t="n">
        <v>1</v>
      </c>
      <c r="M105" s="11" t="n">
        <v>1</v>
      </c>
      <c r="N105" s="17" t="n"/>
      <c r="O105" s="17" t="n"/>
      <c r="P105" s="17" t="n"/>
      <c r="Q105" s="17" t="n">
        <v>1</v>
      </c>
      <c r="R105" s="17" t="n"/>
      <c r="S105" s="17" t="n"/>
      <c r="T105" s="17" t="n"/>
      <c r="U105" s="17" t="n"/>
      <c r="V105" s="17" t="n"/>
      <c r="W105" s="17" t="n"/>
      <c r="X105" s="17" t="n"/>
      <c r="Y105" s="17" t="n"/>
      <c r="Z105" s="13">
        <f>SUMPRODUCT(N105:Y105,$N$2:$Y$2)*$K105*$L105*$M105</f>
        <v/>
      </c>
      <c r="AA105" s="14">
        <f>SUM(N105:Y105)</f>
        <v/>
      </c>
      <c r="AB105" s="14">
        <f>IFERROR(IF(UPPER($E105)="L",SUMPRODUCT(N105:Y105,$N$3:$Y$3,$N$2:$Y$2),SUMPRODUCT(N105:Y105,$N$4:$Y$4,$N$2:$Y$2))/(Z105/($K105*$L105*$M105)),"")</f>
        <v/>
      </c>
      <c r="AC105" s="18" t="n"/>
    </row>
    <row r="106">
      <c r="A106" s="9" t="n">
        <v>600869</v>
      </c>
      <c r="B106" s="9" t="inlineStr">
        <is>
          <t>Jeimer Candelario</t>
        </is>
      </c>
      <c r="C106" s="9" t="inlineStr">
        <is>
          <t>CIN</t>
        </is>
      </c>
      <c r="D106" s="9" t="n">
        <v>33</v>
      </c>
      <c r="E106" s="16" t="inlineStr">
        <is>
          <t>S</t>
        </is>
      </c>
      <c r="F106" s="16" t="inlineStr">
        <is>
          <t>3B</t>
        </is>
      </c>
      <c r="G106" s="9" t="n">
        <v>20</v>
      </c>
      <c r="H106" s="9" t="n">
        <v>1617</v>
      </c>
      <c r="I106" s="9" t="inlineStr">
        <is>
          <t>Full Time</t>
        </is>
      </c>
      <c r="J106" s="16" t="inlineStr">
        <is>
          <t>Opening Day</t>
        </is>
      </c>
      <c r="K106" s="11">
        <f>IFERROR(INDEX(Roles!$B$17:$B$20,MATCH(J106,Roles!$A$17:$A$20,0)),1)</f>
        <v/>
      </c>
      <c r="L106" s="17" t="n">
        <v>1</v>
      </c>
      <c r="M106" s="11" t="n">
        <v>0.55</v>
      </c>
      <c r="N106" s="17" t="n">
        <v>1</v>
      </c>
      <c r="O106" s="17" t="n"/>
      <c r="P106" s="17" t="n"/>
      <c r="Q106" s="17" t="n"/>
      <c r="R106" s="17" t="n"/>
      <c r="S106" s="17" t="n"/>
      <c r="T106" s="17" t="n"/>
      <c r="U106" s="17" t="n"/>
      <c r="V106" s="17" t="n"/>
      <c r="W106" s="17" t="n"/>
      <c r="X106" s="17" t="n"/>
      <c r="Y106" s="17" t="n"/>
      <c r="Z106" s="13">
        <f>SUMPRODUCT(N106:Y106,$N$2:$Y$2)*$K106*$L106*$M106</f>
        <v/>
      </c>
      <c r="AA106" s="14">
        <f>SUM(N106:Y106)</f>
        <v/>
      </c>
      <c r="AB106" s="14">
        <f>IFERROR(IF(UPPER($E106)="L",SUMPRODUCT(N106:Y106,$N$3:$Y$3,$N$2:$Y$2),SUMPRODUCT(N106:Y106,$N$4:$Y$4,$N$2:$Y$2))/(Z106/($K106*$L106*$M106)),"")</f>
        <v/>
      </c>
      <c r="AC106" s="18" t="n"/>
    </row>
    <row r="107">
      <c r="A107" s="9" t="n">
        <v>592626</v>
      </c>
      <c r="B107" s="9" t="inlineStr">
        <is>
          <t>Joc Pederson</t>
        </is>
      </c>
      <c r="C107" s="9" t="inlineStr">
        <is>
          <t>TEX</t>
        </is>
      </c>
      <c r="D107" s="9" t="n">
        <v>35</v>
      </c>
      <c r="E107" s="16" t="inlineStr">
        <is>
          <t>L</t>
        </is>
      </c>
      <c r="F107" s="16" t="inlineStr">
        <is>
          <t>1B</t>
        </is>
      </c>
      <c r="G107" s="9" t="n">
        <v>432</v>
      </c>
      <c r="H107" s="9" t="n">
        <v>2045</v>
      </c>
      <c r="I107" s="9" t="inlineStr">
        <is>
          <t>Bench Bat</t>
        </is>
      </c>
      <c r="J107" s="16" t="inlineStr">
        <is>
          <t>Opening Day</t>
        </is>
      </c>
      <c r="K107" s="11">
        <f>IFERROR(INDEX(Roles!$B$17:$B$20,MATCH(J107,Roles!$A$17:$A$20,0)),1)</f>
        <v/>
      </c>
      <c r="L107" s="17" t="n">
        <v>1</v>
      </c>
      <c r="M107" s="11" t="n">
        <v>1.137472007024053</v>
      </c>
      <c r="N107" s="17" t="n"/>
      <c r="O107" s="17" t="n">
        <v>0.4</v>
      </c>
      <c r="P107" s="17" t="n"/>
      <c r="Q107" s="17" t="n"/>
      <c r="R107" s="17" t="n"/>
      <c r="S107" s="17" t="n"/>
      <c r="T107" s="17" t="n"/>
      <c r="U107" s="17" t="n"/>
      <c r="V107" s="17" t="n"/>
      <c r="W107" s="17" t="n">
        <v>0.6</v>
      </c>
      <c r="X107" s="17" t="n"/>
      <c r="Y107" s="17" t="n"/>
      <c r="Z107" s="13">
        <f>SUMPRODUCT(N107:Y107,$N$2:$Y$2)*$K107*$L107*$M107</f>
        <v/>
      </c>
      <c r="AA107" s="14">
        <f>SUM(N107:Y107)</f>
        <v/>
      </c>
      <c r="AB107" s="14">
        <f>IFERROR(IF(UPPER($E107)="L",SUMPRODUCT(N107:Y107,$N$3:$Y$3,$N$2:$Y$2),SUMPRODUCT(N107:Y107,$N$4:$Y$4,$N$2:$Y$2))/(Z107/($K107*$L107*$M107)),"")</f>
        <v/>
      </c>
      <c r="AC107" s="18" t="n"/>
    </row>
    <row r="108">
      <c r="A108" s="9" t="n">
        <v>671213</v>
      </c>
      <c r="B108" s="9" t="inlineStr">
        <is>
          <t>Triston Casas</t>
        </is>
      </c>
      <c r="C108" s="9" t="inlineStr">
        <is>
          <t>BOS</t>
        </is>
      </c>
      <c r="D108" s="9" t="n">
        <v>27</v>
      </c>
      <c r="E108" s="16" t="inlineStr">
        <is>
          <t>L</t>
        </is>
      </c>
      <c r="F108" s="16" t="inlineStr">
        <is>
          <t>1B</t>
        </is>
      </c>
      <c r="G108" s="9" t="n">
        <v>112</v>
      </c>
      <c r="H108" s="9" t="n">
        <v>952</v>
      </c>
      <c r="I108" s="9" t="inlineStr">
        <is>
          <t>Full Time</t>
        </is>
      </c>
      <c r="J108" s="16" t="inlineStr">
        <is>
          <t>Opening Day</t>
        </is>
      </c>
      <c r="K108" s="11">
        <f>IFERROR(INDEX(Roles!$B$17:$B$20,MATCH(J108,Roles!$A$17:$A$20,0)),1)</f>
        <v/>
      </c>
      <c r="L108" s="17" t="n">
        <v>1</v>
      </c>
      <c r="M108" s="11" t="n">
        <v>1</v>
      </c>
      <c r="N108" s="17" t="n">
        <v>1</v>
      </c>
      <c r="O108" s="17" t="n"/>
      <c r="P108" s="17" t="n"/>
      <c r="Q108" s="17" t="n"/>
      <c r="R108" s="17" t="n"/>
      <c r="S108" s="17" t="n"/>
      <c r="T108" s="17" t="n"/>
      <c r="U108" s="17" t="n"/>
      <c r="V108" s="17" t="n"/>
      <c r="W108" s="17" t="n"/>
      <c r="X108" s="17" t="n"/>
      <c r="Y108" s="17" t="n"/>
      <c r="Z108" s="13">
        <f>SUMPRODUCT(N108:Y108,$N$2:$Y$2)*$K108*$L108*$M108</f>
        <v/>
      </c>
      <c r="AA108" s="14">
        <f>SUM(N108:Y108)</f>
        <v/>
      </c>
      <c r="AB108" s="14">
        <f>IFERROR(IF(UPPER($E108)="L",SUMPRODUCT(N108:Y108,$N$3:$Y$3,$N$2:$Y$2),SUMPRODUCT(N108:Y108,$N$4:$Y$4,$N$2:$Y$2))/(Z108/($K108*$L108*$M108)),"")</f>
        <v/>
      </c>
      <c r="AC108" s="18" t="n"/>
    </row>
    <row r="109">
      <c r="A109" s="9" t="n">
        <v>666135</v>
      </c>
      <c r="B109" s="9" t="inlineStr">
        <is>
          <t>Alex Kirilloff</t>
        </is>
      </c>
      <c r="C109" s="9" t="inlineStr">
        <is>
          <t>MIN</t>
        </is>
      </c>
      <c r="D109" s="9" t="n">
        <v>29</v>
      </c>
      <c r="E109" s="16" t="inlineStr">
        <is>
          <t>L</t>
        </is>
      </c>
      <c r="F109" s="16" t="inlineStr">
        <is>
          <t>LF</t>
        </is>
      </c>
      <c r="G109" s="9" t="n">
        <v>178</v>
      </c>
      <c r="H109" s="9" t="n">
        <v>653</v>
      </c>
      <c r="I109" s="9" t="inlineStr">
        <is>
          <t>Depth (no MLB PA)</t>
        </is>
      </c>
      <c r="J109" s="16" t="inlineStr">
        <is>
          <t>Opening Day</t>
        </is>
      </c>
      <c r="K109" s="11">
        <f>IFERROR(INDEX(Roles!$B$17:$B$20,MATCH(J109,Roles!$A$17:$A$20,0)),1)</f>
        <v/>
      </c>
      <c r="L109" s="17" t="n">
        <v>1</v>
      </c>
      <c r="M109" s="11" t="n">
        <v>1</v>
      </c>
      <c r="N109" s="17" t="n"/>
      <c r="O109" s="17" t="n"/>
      <c r="P109" s="17" t="n"/>
      <c r="Q109" s="17" t="n"/>
      <c r="R109" s="17" t="n"/>
      <c r="S109" s="17" t="n"/>
      <c r="T109" s="17" t="n"/>
      <c r="U109" s="17" t="n"/>
      <c r="V109" s="17" t="n"/>
      <c r="W109" s="17" t="n"/>
      <c r="X109" s="17" t="n"/>
      <c r="Y109" s="17" t="n">
        <v>1</v>
      </c>
      <c r="Z109" s="13">
        <f>SUMPRODUCT(N109:Y109,$N$2:$Y$2)*$K109*$L109*$M109</f>
        <v/>
      </c>
      <c r="AA109" s="14">
        <f>SUM(N109:Y109)</f>
        <v/>
      </c>
      <c r="AB109" s="14">
        <f>IFERROR(IF(UPPER($E109)="L",SUMPRODUCT(N109:Y109,$N$3:$Y$3,$N$2:$Y$2),SUMPRODUCT(N109:Y109,$N$4:$Y$4,$N$2:$Y$2))/(Z109/($K109*$L109*$M109)),"")</f>
        <v/>
      </c>
      <c r="AC109" s="18" t="n"/>
    </row>
    <row r="110">
      <c r="A110" s="9" t="n">
        <v>680737</v>
      </c>
      <c r="B110" s="9" t="inlineStr">
        <is>
          <t>Michael Helman</t>
        </is>
      </c>
      <c r="C110" s="9" t="inlineStr">
        <is>
          <t>TEX</t>
        </is>
      </c>
      <c r="D110" s="9" t="n">
        <v>31</v>
      </c>
      <c r="E110" s="16" t="inlineStr">
        <is>
          <t>R</t>
        </is>
      </c>
      <c r="F110" s="16" t="inlineStr">
        <is>
          <t>CF</t>
        </is>
      </c>
      <c r="G110" s="9" t="n">
        <v>35</v>
      </c>
      <c r="H110" s="9" t="n">
        <v>155</v>
      </c>
      <c r="I110" s="9" t="inlineStr">
        <is>
          <t>Bench Bat</t>
        </is>
      </c>
      <c r="J110" s="16" t="inlineStr">
        <is>
          <t>Opening Day</t>
        </is>
      </c>
      <c r="K110" s="11">
        <f>IFERROR(INDEX(Roles!$B$17:$B$20,MATCH(J110,Roles!$A$17:$A$20,0)),1)</f>
        <v/>
      </c>
      <c r="L110" s="17" t="n">
        <v>1</v>
      </c>
      <c r="M110" s="11" t="n">
        <v>1</v>
      </c>
      <c r="N110" s="17" t="n"/>
      <c r="O110" s="17" t="n"/>
      <c r="P110" s="17" t="n"/>
      <c r="Q110" s="17" t="n"/>
      <c r="R110" s="17" t="n"/>
      <c r="S110" s="17" t="n"/>
      <c r="T110" s="17" t="n"/>
      <c r="U110" s="17" t="n"/>
      <c r="V110" s="17" t="n"/>
      <c r="W110" s="17" t="n">
        <v>0.85</v>
      </c>
      <c r="X110" s="17" t="n">
        <v>0.15</v>
      </c>
      <c r="Y110" s="17" t="n"/>
      <c r="Z110" s="13">
        <f>SUMPRODUCT(N110:Y110,$N$2:$Y$2)*$K110*$L110*$M110</f>
        <v/>
      </c>
      <c r="AA110" s="14">
        <f>SUM(N110:Y110)</f>
        <v/>
      </c>
      <c r="AB110" s="14">
        <f>IFERROR(IF(UPPER($E110)="L",SUMPRODUCT(N110:Y110,$N$3:$Y$3,$N$2:$Y$2),SUMPRODUCT(N110:Y110,$N$4:$Y$4,$N$2:$Y$2))/(Z110/($K110*$L110*$M110)),"")</f>
        <v/>
      </c>
      <c r="AC110" s="18" t="n"/>
    </row>
    <row r="111">
      <c r="A111" s="9" t="n">
        <v>642336</v>
      </c>
      <c r="B111" s="9" t="inlineStr">
        <is>
          <t>Francisco Mejía</t>
        </is>
      </c>
      <c r="C111" s="9" t="inlineStr">
        <is>
          <t>TB</t>
        </is>
      </c>
      <c r="D111" s="9" t="n">
        <v>31</v>
      </c>
      <c r="E111" s="16" t="inlineStr">
        <is>
          <t>S</t>
        </is>
      </c>
      <c r="F111" s="16" t="inlineStr">
        <is>
          <t>C</t>
        </is>
      </c>
      <c r="G111" s="9" t="n">
        <v>160</v>
      </c>
      <c r="H111" s="9" t="n">
        <v>459</v>
      </c>
      <c r="I111" s="9" t="inlineStr">
        <is>
          <t>Depth (no MLB PA)</t>
        </is>
      </c>
      <c r="J111" s="16" t="inlineStr">
        <is>
          <t>Opening Day</t>
        </is>
      </c>
      <c r="K111" s="11">
        <f>IFERROR(INDEX(Roles!$B$17:$B$20,MATCH(J111,Roles!$A$17:$A$20,0)),1)</f>
        <v/>
      </c>
      <c r="L111" s="17" t="n">
        <v>1</v>
      </c>
      <c r="M111" s="11" t="n">
        <v>1</v>
      </c>
      <c r="N111" s="17" t="n"/>
      <c r="O111" s="17" t="n"/>
      <c r="P111" s="17" t="n"/>
      <c r="Q111" s="17" t="n"/>
      <c r="R111" s="17" t="n"/>
      <c r="S111" s="17" t="n"/>
      <c r="T111" s="17" t="n"/>
      <c r="U111" s="17" t="n"/>
      <c r="V111" s="17" t="n"/>
      <c r="W111" s="17" t="n"/>
      <c r="X111" s="17" t="n"/>
      <c r="Y111" s="17" t="n">
        <v>1</v>
      </c>
      <c r="Z111" s="13">
        <f>SUMPRODUCT(N111:Y111,$N$2:$Y$2)*$K111*$L111*$M111</f>
        <v/>
      </c>
      <c r="AA111" s="14">
        <f>SUM(N111:Y111)</f>
        <v/>
      </c>
      <c r="AB111" s="14">
        <f>IFERROR(IF(UPPER($E111)="L",SUMPRODUCT(N111:Y111,$N$3:$Y$3,$N$2:$Y$2),SUMPRODUCT(N111:Y111,$N$4:$Y$4,$N$2:$Y$2))/(Z111/($K111*$L111*$M111)),"")</f>
        <v/>
      </c>
      <c r="AC111" s="18" t="n"/>
    </row>
    <row r="112">
      <c r="A112" s="9" t="n">
        <v>685301</v>
      </c>
      <c r="B112" s="9" t="inlineStr">
        <is>
          <t>Matt Gorski</t>
        </is>
      </c>
      <c r="C112" s="9" t="inlineStr">
        <is>
          <t>PIT</t>
        </is>
      </c>
      <c r="D112" s="9" t="n">
        <v>29</v>
      </c>
      <c r="E112" s="16" t="inlineStr">
        <is>
          <t>R</t>
        </is>
      </c>
      <c r="F112" s="16" t="inlineStr">
        <is>
          <t>1B</t>
        </is>
      </c>
      <c r="G112" s="9" t="n">
        <v>42</v>
      </c>
      <c r="H112" s="9" t="n">
        <v>42</v>
      </c>
      <c r="I112" s="9" t="inlineStr">
        <is>
          <t>Bench Bat</t>
        </is>
      </c>
      <c r="J112" s="16" t="inlineStr">
        <is>
          <t>Opening Day</t>
        </is>
      </c>
      <c r="K112" s="11">
        <f>IFERROR(INDEX(Roles!$B$17:$B$20,MATCH(J112,Roles!$A$17:$A$20,0)),1)</f>
        <v/>
      </c>
      <c r="L112" s="17" t="n">
        <v>1</v>
      </c>
      <c r="M112" s="11" t="n">
        <v>1</v>
      </c>
      <c r="N112" s="17" t="n"/>
      <c r="O112" s="17" t="n"/>
      <c r="P112" s="17" t="n"/>
      <c r="Q112" s="17" t="n"/>
      <c r="R112" s="17" t="n"/>
      <c r="S112" s="17" t="n"/>
      <c r="T112" s="17" t="n"/>
      <c r="U112" s="17" t="n"/>
      <c r="V112" s="17" t="n"/>
      <c r="W112" s="17" t="n">
        <v>1</v>
      </c>
      <c r="X112" s="17" t="n"/>
      <c r="Y112" s="17" t="n"/>
      <c r="Z112" s="13">
        <f>SUMPRODUCT(N112:Y112,$N$2:$Y$2)*$K112*$L112*$M112</f>
        <v/>
      </c>
      <c r="AA112" s="14">
        <f>SUM(N112:Y112)</f>
        <v/>
      </c>
      <c r="AB112" s="14">
        <f>IFERROR(IF(UPPER($E112)="L",SUMPRODUCT(N112:Y112,$N$3:$Y$3,$N$2:$Y$2),SUMPRODUCT(N112:Y112,$N$4:$Y$4,$N$2:$Y$2))/(Z112/($K112*$L112*$M112)),"")</f>
        <v/>
      </c>
      <c r="AC112" s="18" t="n"/>
    </row>
    <row r="113">
      <c r="A113" s="9" t="n">
        <v>695600</v>
      </c>
      <c r="B113" s="9" t="inlineStr">
        <is>
          <t>Carter Jensen</t>
        </is>
      </c>
      <c r="C113" s="9" t="inlineStr">
        <is>
          <t>KC</t>
        </is>
      </c>
      <c r="D113" s="9" t="n">
        <v>23</v>
      </c>
      <c r="E113" s="16" t="inlineStr">
        <is>
          <t>L</t>
        </is>
      </c>
      <c r="F113" s="16" t="inlineStr">
        <is>
          <t>C</t>
        </is>
      </c>
      <c r="G113" s="9" t="n">
        <v>603</v>
      </c>
      <c r="H113" s="9" t="n">
        <v>672</v>
      </c>
      <c r="I113" s="9" t="inlineStr">
        <is>
          <t>Catcher - Primary</t>
        </is>
      </c>
      <c r="J113" s="16" t="inlineStr">
        <is>
          <t>Opening Day</t>
        </is>
      </c>
      <c r="K113" s="11">
        <f>IFERROR(INDEX(Roles!$B$17:$B$20,MATCH(J113,Roles!$A$17:$A$20,0)),1)</f>
        <v/>
      </c>
      <c r="L113" s="17" t="n">
        <v>1</v>
      </c>
      <c r="M113" s="11" t="n">
        <v>0.936658523151368</v>
      </c>
      <c r="N113" s="17" t="n"/>
      <c r="O113" s="17" t="n"/>
      <c r="P113" s="17" t="n"/>
      <c r="Q113" s="17" t="n"/>
      <c r="R113" s="17" t="n">
        <v>1</v>
      </c>
      <c r="S113" s="17" t="n"/>
      <c r="T113" s="17" t="n"/>
      <c r="U113" s="17" t="n"/>
      <c r="V113" s="17" t="n"/>
      <c r="W113" s="17" t="n"/>
      <c r="X113" s="17" t="n"/>
      <c r="Y113" s="17" t="n"/>
      <c r="Z113" s="13">
        <f>SUMPRODUCT(N113:Y113,$N$2:$Y$2)*$K113*$L113*$M113</f>
        <v/>
      </c>
      <c r="AA113" s="14">
        <f>SUM(N113:Y113)</f>
        <v/>
      </c>
      <c r="AB113" s="14">
        <f>IFERROR(IF(UPPER($E113)="L",SUMPRODUCT(N113:Y113,$N$3:$Y$3,$N$2:$Y$2),SUMPRODUCT(N113:Y113,$N$4:$Y$4,$N$2:$Y$2))/(Z113/($K113*$L113*$M113)),"")</f>
        <v/>
      </c>
      <c r="AC113" s="18" t="n"/>
    </row>
    <row r="114">
      <c r="A114" s="9" t="n">
        <v>666181</v>
      </c>
      <c r="B114" s="9" t="inlineStr">
        <is>
          <t>Will Benson</t>
        </is>
      </c>
      <c r="C114" s="9" t="inlineStr">
        <is>
          <t>CIN</t>
        </is>
      </c>
      <c r="D114" s="9" t="n">
        <v>29</v>
      </c>
      <c r="E114" s="16" t="inlineStr">
        <is>
          <t>L</t>
        </is>
      </c>
      <c r="F114" s="16" t="inlineStr">
        <is>
          <t>RF</t>
        </is>
      </c>
      <c r="G114" s="9" t="n">
        <v>114</v>
      </c>
      <c r="H114" s="9" t="n">
        <v>1145</v>
      </c>
      <c r="I114" s="9" t="inlineStr">
        <is>
          <t>Strong Side Platoon</t>
        </is>
      </c>
      <c r="J114" s="16" t="inlineStr">
        <is>
          <t>Opening Day</t>
        </is>
      </c>
      <c r="K114" s="11">
        <f>IFERROR(INDEX(Roles!$B$17:$B$20,MATCH(J114,Roles!$A$17:$A$20,0)),1)</f>
        <v/>
      </c>
      <c r="L114" s="17" t="n">
        <v>1</v>
      </c>
      <c r="M114" s="11" t="n">
        <v>0.7949783278270838</v>
      </c>
      <c r="N114" s="17" t="n"/>
      <c r="O114" s="17" t="n"/>
      <c r="P114" s="17" t="n">
        <v>1</v>
      </c>
      <c r="Q114" s="17" t="n"/>
      <c r="R114" s="17" t="n"/>
      <c r="S114" s="17" t="n"/>
      <c r="T114" s="17" t="n"/>
      <c r="U114" s="17" t="n"/>
      <c r="V114" s="17" t="n"/>
      <c r="W114" s="17" t="n"/>
      <c r="X114" s="17" t="n"/>
      <c r="Y114" s="17" t="n"/>
      <c r="Z114" s="13">
        <f>SUMPRODUCT(N114:Y114,$N$2:$Y$2)*$K114*$L114*$M114</f>
        <v/>
      </c>
      <c r="AA114" s="14">
        <f>SUM(N114:Y114)</f>
        <v/>
      </c>
      <c r="AB114" s="14">
        <f>IFERROR(IF(UPPER($E114)="L",SUMPRODUCT(N114:Y114,$N$3:$Y$3,$N$2:$Y$2),SUMPRODUCT(N114:Y114,$N$4:$Y$4,$N$2:$Y$2))/(Z114/($K114*$L114*$M114)),"")</f>
        <v/>
      </c>
      <c r="AC114" s="18" t="n"/>
    </row>
    <row r="115">
      <c r="A115" s="9" t="n">
        <v>694359</v>
      </c>
      <c r="B115" s="9" t="inlineStr">
        <is>
          <t>Niko Kavadas</t>
        </is>
      </c>
      <c r="C115" s="9" t="inlineStr">
        <is>
          <t>LAA</t>
        </is>
      </c>
      <c r="D115" s="9" t="n">
        <v>28</v>
      </c>
      <c r="E115" s="16" t="inlineStr">
        <is>
          <t>L</t>
        </is>
      </c>
      <c r="F115" s="16" t="inlineStr">
        <is>
          <t>1B</t>
        </is>
      </c>
      <c r="G115" s="9" t="n">
        <v>23</v>
      </c>
      <c r="H115" s="9" t="n">
        <v>129</v>
      </c>
      <c r="I115" s="9" t="inlineStr">
        <is>
          <t>Depth (no MLB PA)</t>
        </is>
      </c>
      <c r="J115" s="16" t="inlineStr">
        <is>
          <t>Opening Day</t>
        </is>
      </c>
      <c r="K115" s="11">
        <f>IFERROR(INDEX(Roles!$B$17:$B$20,MATCH(J115,Roles!$A$17:$A$20,0)),1)</f>
        <v/>
      </c>
      <c r="L115" s="17" t="n">
        <v>1</v>
      </c>
      <c r="M115" s="11" t="n">
        <v>1</v>
      </c>
      <c r="N115" s="17" t="n"/>
      <c r="O115" s="17" t="n"/>
      <c r="P115" s="17" t="n"/>
      <c r="Q115" s="17" t="n"/>
      <c r="R115" s="17" t="n"/>
      <c r="S115" s="17" t="n"/>
      <c r="T115" s="17" t="n"/>
      <c r="U115" s="17" t="n"/>
      <c r="V115" s="17" t="n"/>
      <c r="W115" s="17" t="n"/>
      <c r="X115" s="17" t="n"/>
      <c r="Y115" s="17" t="n">
        <v>1</v>
      </c>
      <c r="Z115" s="13">
        <f>SUMPRODUCT(N115:Y115,$N$2:$Y$2)*$K115*$L115*$M115</f>
        <v/>
      </c>
      <c r="AA115" s="14">
        <f>SUM(N115:Y115)</f>
        <v/>
      </c>
      <c r="AB115" s="14">
        <f>IFERROR(IF(UPPER($E115)="L",SUMPRODUCT(N115:Y115,$N$3:$Y$3,$N$2:$Y$2),SUMPRODUCT(N115:Y115,$N$4:$Y$4,$N$2:$Y$2))/(Z115/($K115*$L115*$M115)),"")</f>
        <v/>
      </c>
      <c r="AC115" s="18" t="n"/>
    </row>
    <row r="116">
      <c r="A116" s="9" t="n">
        <v>656541</v>
      </c>
      <c r="B116" s="9" t="inlineStr">
        <is>
          <t>Sam Hilliard</t>
        </is>
      </c>
      <c r="C116" s="9" t="inlineStr">
        <is>
          <t>COL</t>
        </is>
      </c>
      <c r="D116" s="9" t="n">
        <v>33</v>
      </c>
      <c r="E116" s="16" t="inlineStr">
        <is>
          <t>L</t>
        </is>
      </c>
      <c r="F116" s="16" t="inlineStr">
        <is>
          <t>LF</t>
        </is>
      </c>
      <c r="G116" s="9" t="n">
        <v>61</v>
      </c>
      <c r="H116" s="9" t="n">
        <v>497</v>
      </c>
      <c r="I116" s="9" t="inlineStr">
        <is>
          <t>Bench Bat</t>
        </is>
      </c>
      <c r="J116" s="16" t="inlineStr">
        <is>
          <t>Opening Day</t>
        </is>
      </c>
      <c r="K116" s="11">
        <f>IFERROR(INDEX(Roles!$B$17:$B$20,MATCH(J116,Roles!$A$17:$A$20,0)),1)</f>
        <v/>
      </c>
      <c r="L116" s="17" t="n">
        <v>1</v>
      </c>
      <c r="M116" s="11" t="n">
        <v>1</v>
      </c>
      <c r="N116" s="17" t="n"/>
      <c r="O116" s="17" t="n"/>
      <c r="P116" s="17" t="n"/>
      <c r="Q116" s="17" t="n"/>
      <c r="R116" s="17" t="n"/>
      <c r="S116" s="17" t="n"/>
      <c r="T116" s="17" t="n"/>
      <c r="U116" s="17" t="n"/>
      <c r="V116" s="17" t="n"/>
      <c r="W116" s="17" t="n">
        <v>1</v>
      </c>
      <c r="X116" s="17" t="n"/>
      <c r="Y116" s="17" t="n"/>
      <c r="Z116" s="13">
        <f>SUMPRODUCT(N116:Y116,$N$2:$Y$2)*$K116*$L116*$M116</f>
        <v/>
      </c>
      <c r="AA116" s="14">
        <f>SUM(N116:Y116)</f>
        <v/>
      </c>
      <c r="AB116" s="14">
        <f>IFERROR(IF(UPPER($E116)="L",SUMPRODUCT(N116:Y116,$N$3:$Y$3,$N$2:$Y$2),SUMPRODUCT(N116:Y116,$N$4:$Y$4,$N$2:$Y$2))/(Z116/($K116*$L116*$M116)),"")</f>
        <v/>
      </c>
      <c r="AC116" s="18" t="n"/>
    </row>
    <row r="117">
      <c r="A117" s="9" t="n">
        <v>670042</v>
      </c>
      <c r="B117" s="9" t="inlineStr">
        <is>
          <t>Luke Raley</t>
        </is>
      </c>
      <c r="C117" s="9" t="inlineStr">
        <is>
          <t>SEA</t>
        </is>
      </c>
      <c r="D117" s="9" t="n">
        <v>32</v>
      </c>
      <c r="E117" s="16" t="inlineStr">
        <is>
          <t>L</t>
        </is>
      </c>
      <c r="F117" s="16" t="inlineStr">
        <is>
          <t>RF</t>
        </is>
      </c>
      <c r="G117" s="9" t="n">
        <v>287</v>
      </c>
      <c r="H117" s="9" t="n">
        <v>1439</v>
      </c>
      <c r="I117" s="9" t="inlineStr">
        <is>
          <t>Bench Bat</t>
        </is>
      </c>
      <c r="J117" s="16" t="inlineStr">
        <is>
          <t>Opening Day</t>
        </is>
      </c>
      <c r="K117" s="11">
        <f>IFERROR(INDEX(Roles!$B$17:$B$20,MATCH(J117,Roles!$A$17:$A$20,0)),1)</f>
        <v/>
      </c>
      <c r="L117" s="17" t="n">
        <v>1</v>
      </c>
      <c r="M117" s="11" t="n">
        <v>1.047060144555769</v>
      </c>
      <c r="N117" s="17" t="n"/>
      <c r="O117" s="17" t="n"/>
      <c r="P117" s="17" t="n"/>
      <c r="Q117" s="17" t="n"/>
      <c r="R117" s="17" t="n"/>
      <c r="S117" s="17" t="n"/>
      <c r="T117" s="17" t="n"/>
      <c r="U117" s="17" t="n">
        <v>0.4</v>
      </c>
      <c r="V117" s="17" t="n"/>
      <c r="W117" s="17" t="n">
        <v>0.6</v>
      </c>
      <c r="X117" s="17" t="n"/>
      <c r="Y117" s="17" t="n"/>
      <c r="Z117" s="13">
        <f>SUMPRODUCT(N117:Y117,$N$2:$Y$2)*$K117*$L117*$M117</f>
        <v/>
      </c>
      <c r="AA117" s="14">
        <f>SUM(N117:Y117)</f>
        <v/>
      </c>
      <c r="AB117" s="14">
        <f>IFERROR(IF(UPPER($E117)="L",SUMPRODUCT(N117:Y117,$N$3:$Y$3,$N$2:$Y$2),SUMPRODUCT(N117:Y117,$N$4:$Y$4,$N$2:$Y$2))/(Z117/($K117*$L117*$M117)),"")</f>
        <v/>
      </c>
      <c r="AC117" s="18" t="n"/>
    </row>
    <row r="118">
      <c r="A118" s="9" t="n">
        <v>805805</v>
      </c>
      <c r="B118" s="9" t="inlineStr">
        <is>
          <t>Walker Jenkins</t>
        </is>
      </c>
      <c r="C118" s="9" t="inlineStr">
        <is>
          <t>MIN</t>
        </is>
      </c>
      <c r="D118" s="9" t="n">
        <v>22</v>
      </c>
      <c r="E118" s="16" t="inlineStr">
        <is>
          <t>L</t>
        </is>
      </c>
      <c r="F118" s="16" t="inlineStr">
        <is>
          <t>CF</t>
        </is>
      </c>
      <c r="G118" s="9" t="n">
        <v>93</v>
      </c>
      <c r="H118" s="9" t="n">
        <v>93</v>
      </c>
      <c r="I118" s="9" t="inlineStr">
        <is>
          <t>Strong Side Platoon</t>
        </is>
      </c>
      <c r="J118" s="16" t="inlineStr">
        <is>
          <t>Opening Day</t>
        </is>
      </c>
      <c r="K118" s="11">
        <f>IFERROR(INDEX(Roles!$B$17:$B$20,MATCH(J118,Roles!$A$17:$A$20,0)),1)</f>
        <v/>
      </c>
      <c r="L118" s="17" t="n">
        <v>1</v>
      </c>
      <c r="M118" s="11" t="n">
        <v>1</v>
      </c>
      <c r="N118" s="17" t="n">
        <v>0.4</v>
      </c>
      <c r="O118" s="17" t="n"/>
      <c r="P118" s="17" t="n">
        <v>0.6</v>
      </c>
      <c r="Q118" s="17" t="n"/>
      <c r="R118" s="17" t="n"/>
      <c r="S118" s="17" t="n"/>
      <c r="T118" s="17" t="n"/>
      <c r="U118" s="17" t="n"/>
      <c r="V118" s="17" t="n"/>
      <c r="W118" s="17" t="n"/>
      <c r="X118" s="17" t="n"/>
      <c r="Y118" s="17" t="n"/>
      <c r="Z118" s="13">
        <f>SUMPRODUCT(N118:Y118,$N$2:$Y$2)*$K118*$L118*$M118</f>
        <v/>
      </c>
      <c r="AA118" s="14">
        <f>SUM(N118:Y118)</f>
        <v/>
      </c>
      <c r="AB118" s="14">
        <f>IFERROR(IF(UPPER($E118)="L",SUMPRODUCT(N118:Y118,$N$3:$Y$3,$N$2:$Y$2),SUMPRODUCT(N118:Y118,$N$4:$Y$4,$N$2:$Y$2))/(Z118/($K118*$L118*$M118)),"")</f>
        <v/>
      </c>
      <c r="AC118" s="18" t="n"/>
    </row>
    <row r="119">
      <c r="A119" s="9" t="n">
        <v>521692</v>
      </c>
      <c r="B119" s="9" t="inlineStr">
        <is>
          <t>Salvador Perez</t>
        </is>
      </c>
      <c r="C119" s="9" t="inlineStr">
        <is>
          <t>KC</t>
        </is>
      </c>
      <c r="D119" s="9" t="n">
        <v>37</v>
      </c>
      <c r="E119" s="16" t="inlineStr">
        <is>
          <t>R</t>
        </is>
      </c>
      <c r="F119" s="16" t="inlineStr">
        <is>
          <t>C</t>
        </is>
      </c>
      <c r="G119" s="9" t="n">
        <v>627</v>
      </c>
      <c r="H119" s="9" t="n">
        <v>2973</v>
      </c>
      <c r="I119" s="9" t="inlineStr">
        <is>
          <t>Everyday DH / 1B-DH</t>
        </is>
      </c>
      <c r="J119" s="16" t="inlineStr">
        <is>
          <t>Opening Day</t>
        </is>
      </c>
      <c r="K119" s="11">
        <f>IFERROR(INDEX(Roles!$B$17:$B$20,MATCH(J119,Roles!$A$17:$A$20,0)),1)</f>
        <v/>
      </c>
      <c r="L119" s="17" t="n">
        <v>1</v>
      </c>
      <c r="M119" s="11" t="n">
        <v>1.15</v>
      </c>
      <c r="N119" s="17" t="n"/>
      <c r="O119" s="17" t="n">
        <v>1</v>
      </c>
      <c r="P119" s="17" t="n"/>
      <c r="Q119" s="17" t="n"/>
      <c r="R119" s="17" t="n"/>
      <c r="S119" s="17" t="n"/>
      <c r="T119" s="17" t="n"/>
      <c r="U119" s="17" t="n"/>
      <c r="V119" s="17" t="n"/>
      <c r="W119" s="17" t="n"/>
      <c r="X119" s="17" t="n"/>
      <c r="Y119" s="17" t="n"/>
      <c r="Z119" s="13">
        <f>SUMPRODUCT(N119:Y119,$N$2:$Y$2)*$K119*$L119*$M119</f>
        <v/>
      </c>
      <c r="AA119" s="14">
        <f>SUM(N119:Y119)</f>
        <v/>
      </c>
      <c r="AB119" s="14">
        <f>IFERROR(IF(UPPER($E119)="L",SUMPRODUCT(N119:Y119,$N$3:$Y$3,$N$2:$Y$2),SUMPRODUCT(N119:Y119,$N$4:$Y$4,$N$2:$Y$2))/(Z119/($K119*$L119*$M119)),"")</f>
        <v/>
      </c>
      <c r="AC119" s="18" t="n"/>
    </row>
    <row r="120">
      <c r="A120" s="9" t="n">
        <v>678246</v>
      </c>
      <c r="B120" s="9" t="inlineStr">
        <is>
          <t>Miguel Vargas</t>
        </is>
      </c>
      <c r="C120" s="9" t="inlineStr">
        <is>
          <t>CWS</t>
        </is>
      </c>
      <c r="D120" s="9" t="n">
        <v>27</v>
      </c>
      <c r="E120" s="16" t="inlineStr">
        <is>
          <t>R</t>
        </is>
      </c>
      <c r="F120" s="16" t="inlineStr">
        <is>
          <t>3B</t>
        </is>
      </c>
      <c r="G120" s="9" t="n">
        <v>704</v>
      </c>
      <c r="H120" s="9" t="n">
        <v>1864</v>
      </c>
      <c r="I120" s="9" t="inlineStr">
        <is>
          <t>Full Time</t>
        </is>
      </c>
      <c r="J120" s="16" t="inlineStr">
        <is>
          <t>Opening Day</t>
        </is>
      </c>
      <c r="K120" s="11">
        <f>IFERROR(INDEX(Roles!$B$17:$B$20,MATCH(J120,Roles!$A$17:$A$20,0)),1)</f>
        <v/>
      </c>
      <c r="L120" s="17" t="n">
        <v>1</v>
      </c>
      <c r="M120" s="11" t="n">
        <v>1.097043902151314</v>
      </c>
      <c r="N120" s="17" t="n">
        <v>1</v>
      </c>
      <c r="O120" s="17" t="n"/>
      <c r="P120" s="17" t="n"/>
      <c r="Q120" s="17" t="n"/>
      <c r="R120" s="17" t="n"/>
      <c r="S120" s="17" t="n"/>
      <c r="T120" s="17" t="n"/>
      <c r="U120" s="17" t="n"/>
      <c r="V120" s="17" t="n"/>
      <c r="W120" s="17" t="n"/>
      <c r="X120" s="17" t="n"/>
      <c r="Y120" s="17" t="n"/>
      <c r="Z120" s="13">
        <f>SUMPRODUCT(N120:Y120,$N$2:$Y$2)*$K120*$L120*$M120</f>
        <v/>
      </c>
      <c r="AA120" s="14">
        <f>SUM(N120:Y120)</f>
        <v/>
      </c>
      <c r="AB120" s="14">
        <f>IFERROR(IF(UPPER($E120)="L",SUMPRODUCT(N120:Y120,$N$3:$Y$3,$N$2:$Y$2),SUMPRODUCT(N120:Y120,$N$4:$Y$4,$N$2:$Y$2))/(Z120/($K120*$L120*$M120)),"")</f>
        <v/>
      </c>
      <c r="AC120" s="18" t="n"/>
    </row>
    <row r="121">
      <c r="A121" s="9" t="n">
        <v>572233</v>
      </c>
      <c r="B121" s="9" t="inlineStr">
        <is>
          <t>Christian Walker</t>
        </is>
      </c>
      <c r="C121" s="9" t="inlineStr">
        <is>
          <t>HOU</t>
        </is>
      </c>
      <c r="D121" s="9" t="n">
        <v>36</v>
      </c>
      <c r="E121" s="16" t="inlineStr">
        <is>
          <t>R</t>
        </is>
      </c>
      <c r="F121" s="16" t="inlineStr">
        <is>
          <t>1B</t>
        </is>
      </c>
      <c r="G121" s="9" t="n">
        <v>635</v>
      </c>
      <c r="H121" s="9" t="n">
        <v>3155</v>
      </c>
      <c r="I121" s="9" t="inlineStr">
        <is>
          <t>Full Time</t>
        </is>
      </c>
      <c r="J121" s="16" t="inlineStr">
        <is>
          <t>Opening Day</t>
        </is>
      </c>
      <c r="K121" s="11">
        <f>IFERROR(INDEX(Roles!$B$17:$B$20,MATCH(J121,Roles!$A$17:$A$20,0)),1)</f>
        <v/>
      </c>
      <c r="L121" s="17" t="n">
        <v>1</v>
      </c>
      <c r="M121" s="11" t="n">
        <v>1.144641339996834</v>
      </c>
      <c r="N121" s="17" t="n">
        <v>1</v>
      </c>
      <c r="O121" s="17" t="n"/>
      <c r="P121" s="17" t="n"/>
      <c r="Q121" s="17" t="n"/>
      <c r="R121" s="17" t="n"/>
      <c r="S121" s="17" t="n"/>
      <c r="T121" s="17" t="n"/>
      <c r="U121" s="17" t="n"/>
      <c r="V121" s="17" t="n"/>
      <c r="W121" s="17" t="n"/>
      <c r="X121" s="17" t="n"/>
      <c r="Y121" s="17" t="n"/>
      <c r="Z121" s="13">
        <f>SUMPRODUCT(N121:Y121,$N$2:$Y$2)*$K121*$L121*$M121</f>
        <v/>
      </c>
      <c r="AA121" s="14">
        <f>SUM(N121:Y121)</f>
        <v/>
      </c>
      <c r="AB121" s="14">
        <f>IFERROR(IF(UPPER($E121)="L",SUMPRODUCT(N121:Y121,$N$3:$Y$3,$N$2:$Y$2),SUMPRODUCT(N121:Y121,$N$4:$Y$4,$N$2:$Y$2))/(Z121/($K121*$L121*$M121)),"")</f>
        <v/>
      </c>
      <c r="AC121" s="18" t="n"/>
    </row>
    <row r="122">
      <c r="A122" s="9" t="n">
        <v>675915</v>
      </c>
      <c r="B122" s="9" t="inlineStr">
        <is>
          <t>David Bañuelos</t>
        </is>
      </c>
      <c r="C122" s="9" t="inlineStr">
        <is>
          <t>BAL</t>
        </is>
      </c>
      <c r="D122" s="9" t="n">
        <v>30</v>
      </c>
      <c r="E122" s="16" t="inlineStr">
        <is>
          <t>R</t>
        </is>
      </c>
      <c r="F122" s="16" t="n"/>
      <c r="G122" s="9" t="n">
        <v>2</v>
      </c>
      <c r="H122" s="9" t="n">
        <v>3</v>
      </c>
      <c r="I122" s="9" t="inlineStr">
        <is>
          <t>Depth (no MLB PA)</t>
        </is>
      </c>
      <c r="J122" s="16" t="inlineStr">
        <is>
          <t>Opening Day</t>
        </is>
      </c>
      <c r="K122" s="11">
        <f>IFERROR(INDEX(Roles!$B$17:$B$20,MATCH(J122,Roles!$A$17:$A$20,0)),1)</f>
        <v/>
      </c>
      <c r="L122" s="17" t="n">
        <v>1</v>
      </c>
      <c r="M122" s="11" t="n">
        <v>1</v>
      </c>
      <c r="N122" s="17" t="n"/>
      <c r="O122" s="17" t="n"/>
      <c r="P122" s="17" t="n"/>
      <c r="Q122" s="17" t="n"/>
      <c r="R122" s="17" t="n"/>
      <c r="S122" s="17" t="n"/>
      <c r="T122" s="17" t="n"/>
      <c r="U122" s="17" t="n"/>
      <c r="V122" s="17" t="n"/>
      <c r="W122" s="17" t="n"/>
      <c r="X122" s="17" t="n"/>
      <c r="Y122" s="17" t="n">
        <v>1</v>
      </c>
      <c r="Z122" s="13">
        <f>SUMPRODUCT(N122:Y122,$N$2:$Y$2)*$K122*$L122*$M122</f>
        <v/>
      </c>
      <c r="AA122" s="14">
        <f>SUM(N122:Y122)</f>
        <v/>
      </c>
      <c r="AB122" s="14">
        <f>IFERROR(IF(UPPER($E122)="L",SUMPRODUCT(N122:Y122,$N$3:$Y$3,$N$2:$Y$2),SUMPRODUCT(N122:Y122,$N$4:$Y$4,$N$2:$Y$2))/(Z122/($K122*$L122*$M122)),"")</f>
        <v/>
      </c>
      <c r="AC122" s="18" t="n"/>
    </row>
    <row r="123">
      <c r="A123" s="9" t="n">
        <v>518595</v>
      </c>
      <c r="B123" s="9" t="inlineStr">
        <is>
          <t>Travis d'Arnaud</t>
        </is>
      </c>
      <c r="C123" s="9" t="inlineStr">
        <is>
          <t>LAA</t>
        </is>
      </c>
      <c r="D123" s="9" t="n">
        <v>38</v>
      </c>
      <c r="E123" s="16" t="inlineStr">
        <is>
          <t>R</t>
        </is>
      </c>
      <c r="F123" s="16" t="inlineStr">
        <is>
          <t>C</t>
        </is>
      </c>
      <c r="G123" s="9" t="n">
        <v>84</v>
      </c>
      <c r="H123" s="9" t="n">
        <v>1374</v>
      </c>
      <c r="I123" s="9" t="inlineStr">
        <is>
          <t>Bench Bat</t>
        </is>
      </c>
      <c r="J123" s="16" t="inlineStr">
        <is>
          <t>Opening Day</t>
        </is>
      </c>
      <c r="K123" s="11">
        <f>IFERROR(INDEX(Roles!$B$17:$B$20,MATCH(J123,Roles!$A$17:$A$20,0)),1)</f>
        <v/>
      </c>
      <c r="L123" s="17" t="n">
        <v>1</v>
      </c>
      <c r="M123" s="11" t="n">
        <v>1</v>
      </c>
      <c r="N123" s="17" t="n"/>
      <c r="O123" s="17" t="n"/>
      <c r="P123" s="17" t="n"/>
      <c r="Q123" s="17" t="n"/>
      <c r="R123" s="17" t="n"/>
      <c r="S123" s="17" t="n"/>
      <c r="T123" s="17" t="n"/>
      <c r="U123" s="17" t="n"/>
      <c r="V123" s="17" t="n"/>
      <c r="W123" s="17" t="n">
        <v>0.7</v>
      </c>
      <c r="X123" s="17" t="n">
        <v>0.3</v>
      </c>
      <c r="Y123" s="17" t="n"/>
      <c r="Z123" s="13">
        <f>SUMPRODUCT(N123:Y123,$N$2:$Y$2)*$K123*$L123*$M123</f>
        <v/>
      </c>
      <c r="AA123" s="14">
        <f>SUM(N123:Y123)</f>
        <v/>
      </c>
      <c r="AB123" s="14">
        <f>IFERROR(IF(UPPER($E123)="L",SUMPRODUCT(N123:Y123,$N$3:$Y$3,$N$2:$Y$2),SUMPRODUCT(N123:Y123,$N$4:$Y$4,$N$2:$Y$2))/(Z123/($K123*$L123*$M123)),"")</f>
        <v/>
      </c>
      <c r="AC123" s="18" t="n"/>
    </row>
    <row r="124">
      <c r="A124" s="9" t="n">
        <v>665052</v>
      </c>
      <c r="B124" s="9" t="inlineStr">
        <is>
          <t>Griffin Conine</t>
        </is>
      </c>
      <c r="C124" s="9" t="inlineStr">
        <is>
          <t>MIA</t>
        </is>
      </c>
      <c r="D124" s="9" t="n">
        <v>29</v>
      </c>
      <c r="E124" s="16" t="inlineStr">
        <is>
          <t>L</t>
        </is>
      </c>
      <c r="F124" s="16" t="inlineStr">
        <is>
          <t>RF</t>
        </is>
      </c>
      <c r="G124" s="9" t="n">
        <v>323</v>
      </c>
      <c r="H124" s="9" t="n">
        <v>498</v>
      </c>
      <c r="I124" s="9" t="inlineStr">
        <is>
          <t>Strong Side Platoon</t>
        </is>
      </c>
      <c r="J124" s="16" t="inlineStr">
        <is>
          <t>Opening Day</t>
        </is>
      </c>
      <c r="K124" s="11">
        <f>IFERROR(INDEX(Roles!$B$17:$B$20,MATCH(J124,Roles!$A$17:$A$20,0)),1)</f>
        <v/>
      </c>
      <c r="L124" s="17" t="n">
        <v>1</v>
      </c>
      <c r="M124" s="11" t="n">
        <v>1</v>
      </c>
      <c r="N124" s="17" t="n">
        <v>0.4</v>
      </c>
      <c r="O124" s="17" t="n"/>
      <c r="P124" s="17" t="n">
        <v>0.6</v>
      </c>
      <c r="Q124" s="17" t="n"/>
      <c r="R124" s="17" t="n"/>
      <c r="S124" s="17" t="n"/>
      <c r="T124" s="17" t="n"/>
      <c r="U124" s="17" t="n"/>
      <c r="V124" s="17" t="n"/>
      <c r="W124" s="17" t="n"/>
      <c r="X124" s="17" t="n"/>
      <c r="Y124" s="17" t="n"/>
      <c r="Z124" s="13">
        <f>SUMPRODUCT(N124:Y124,$N$2:$Y$2)*$K124*$L124*$M124</f>
        <v/>
      </c>
      <c r="AA124" s="14">
        <f>SUM(N124:Y124)</f>
        <v/>
      </c>
      <c r="AB124" s="14">
        <f>IFERROR(IF(UPPER($E124)="L",SUMPRODUCT(N124:Y124,$N$3:$Y$3,$N$2:$Y$2),SUMPRODUCT(N124:Y124,$N$4:$Y$4,$N$2:$Y$2))/(Z124/($K124*$L124*$M124)),"")</f>
        <v/>
      </c>
      <c r="AC124" s="18" t="n"/>
    </row>
    <row r="125">
      <c r="A125" s="9" t="n">
        <v>677800</v>
      </c>
      <c r="B125" s="9" t="inlineStr">
        <is>
          <t>Wilyer Abreu</t>
        </is>
      </c>
      <c r="C125" s="9" t="inlineStr">
        <is>
          <t>BOS</t>
        </is>
      </c>
      <c r="D125" s="9" t="n">
        <v>28</v>
      </c>
      <c r="E125" s="16" t="inlineStr">
        <is>
          <t>L</t>
        </is>
      </c>
      <c r="F125" s="16" t="inlineStr">
        <is>
          <t>RF</t>
        </is>
      </c>
      <c r="G125" s="9" t="n">
        <v>681</v>
      </c>
      <c r="H125" s="9" t="n">
        <v>1630</v>
      </c>
      <c r="I125" s="9" t="inlineStr">
        <is>
          <t>Full Time</t>
        </is>
      </c>
      <c r="J125" s="16" t="inlineStr">
        <is>
          <t>Opening Day</t>
        </is>
      </c>
      <c r="K125" s="11">
        <f>IFERROR(INDEX(Roles!$B$17:$B$20,MATCH(J125,Roles!$A$17:$A$20,0)),1)</f>
        <v/>
      </c>
      <c r="L125" s="17" t="n">
        <v>1</v>
      </c>
      <c r="M125" s="11" t="n">
        <v>1.071545274734071</v>
      </c>
      <c r="N125" s="17" t="n">
        <v>1</v>
      </c>
      <c r="O125" s="17" t="n"/>
      <c r="P125" s="17" t="n"/>
      <c r="Q125" s="17" t="n"/>
      <c r="R125" s="17" t="n"/>
      <c r="S125" s="17" t="n"/>
      <c r="T125" s="17" t="n"/>
      <c r="U125" s="17" t="n"/>
      <c r="V125" s="17" t="n"/>
      <c r="W125" s="17" t="n"/>
      <c r="X125" s="17" t="n"/>
      <c r="Y125" s="17" t="n"/>
      <c r="Z125" s="13">
        <f>SUMPRODUCT(N125:Y125,$N$2:$Y$2)*$K125*$L125*$M125</f>
        <v/>
      </c>
      <c r="AA125" s="14">
        <f>SUM(N125:Y125)</f>
        <v/>
      </c>
      <c r="AB125" s="14">
        <f>IFERROR(IF(UPPER($E125)="L",SUMPRODUCT(N125:Y125,$N$3:$Y$3,$N$2:$Y$2),SUMPRODUCT(N125:Y125,$N$4:$Y$4,$N$2:$Y$2))/(Z125/($K125*$L125*$M125)),"")</f>
        <v/>
      </c>
      <c r="AC125" s="18" t="n"/>
    </row>
    <row r="126">
      <c r="A126" s="9" t="n">
        <v>676059</v>
      </c>
      <c r="B126" s="9" t="inlineStr">
        <is>
          <t>Jordan Westburg</t>
        </is>
      </c>
      <c r="C126" s="9" t="inlineStr">
        <is>
          <t>BAL</t>
        </is>
      </c>
      <c r="D126" s="9" t="n">
        <v>28</v>
      </c>
      <c r="E126" s="16" t="inlineStr">
        <is>
          <t>R</t>
        </is>
      </c>
      <c r="F126" s="16" t="inlineStr">
        <is>
          <t>3B</t>
        </is>
      </c>
      <c r="G126" s="9" t="n">
        <v>352</v>
      </c>
      <c r="H126" s="9" t="n">
        <v>1027</v>
      </c>
      <c r="I126" s="9" t="inlineStr">
        <is>
          <t>Full Time</t>
        </is>
      </c>
      <c r="J126" s="16" t="inlineStr">
        <is>
          <t>Opening Day</t>
        </is>
      </c>
      <c r="K126" s="11">
        <f>IFERROR(INDEX(Roles!$B$17:$B$20,MATCH(J126,Roles!$A$17:$A$20,0)),1)</f>
        <v/>
      </c>
      <c r="L126" s="17" t="n">
        <v>1</v>
      </c>
      <c r="M126" s="11" t="n">
        <v>0.8843519235404048</v>
      </c>
      <c r="N126" s="17" t="n">
        <v>1</v>
      </c>
      <c r="O126" s="17" t="n"/>
      <c r="P126" s="17" t="n"/>
      <c r="Q126" s="17" t="n"/>
      <c r="R126" s="17" t="n"/>
      <c r="S126" s="17" t="n"/>
      <c r="T126" s="17" t="n"/>
      <c r="U126" s="17" t="n"/>
      <c r="V126" s="17" t="n"/>
      <c r="W126" s="17" t="n"/>
      <c r="X126" s="17" t="n"/>
      <c r="Y126" s="17" t="n"/>
      <c r="Z126" s="13">
        <f>SUMPRODUCT(N126:Y126,$N$2:$Y$2)*$K126*$L126*$M126</f>
        <v/>
      </c>
      <c r="AA126" s="14">
        <f>SUM(N126:Y126)</f>
        <v/>
      </c>
      <c r="AB126" s="14">
        <f>IFERROR(IF(UPPER($E126)="L",SUMPRODUCT(N126:Y126,$N$3:$Y$3,$N$2:$Y$2),SUMPRODUCT(N126:Y126,$N$4:$Y$4,$N$2:$Y$2))/(Z126/($K126*$L126*$M126)),"")</f>
        <v/>
      </c>
      <c r="AC126" s="18" t="n"/>
    </row>
    <row r="127">
      <c r="A127" s="9" t="n">
        <v>702652</v>
      </c>
      <c r="B127" s="9" t="inlineStr">
        <is>
          <t>Andrew Fischer</t>
        </is>
      </c>
      <c r="C127" s="9" t="inlineStr">
        <is>
          <t>MIL</t>
        </is>
      </c>
      <c r="D127" s="9" t="n">
        <v>23</v>
      </c>
      <c r="E127" s="16" t="inlineStr">
        <is>
          <t>L</t>
        </is>
      </c>
      <c r="F127" s="16" t="n"/>
      <c r="G127" s="9" t="n">
        <v>109.4871794871795</v>
      </c>
      <c r="H127" s="9" t="n">
        <v>109.4871794871795</v>
      </c>
      <c r="I127" s="9" t="inlineStr">
        <is>
          <t>Bench Bat</t>
        </is>
      </c>
      <c r="J127" s="16" t="inlineStr">
        <is>
          <t>Mid Season (~July)</t>
        </is>
      </c>
      <c r="K127" s="11">
        <f>IFERROR(INDEX(Roles!$B$17:$B$20,MATCH(J127,Roles!$A$17:$A$20,0)),1)</f>
        <v/>
      </c>
      <c r="L127" s="17" t="n">
        <v>1</v>
      </c>
      <c r="M127" s="11" t="n">
        <v>1</v>
      </c>
      <c r="N127" s="17" t="n"/>
      <c r="O127" s="17" t="n"/>
      <c r="P127" s="17" t="n">
        <v>0.26</v>
      </c>
      <c r="Q127" s="17" t="n"/>
      <c r="R127" s="17" t="n"/>
      <c r="S127" s="17" t="n"/>
      <c r="T127" s="17" t="n"/>
      <c r="U127" s="17" t="n"/>
      <c r="V127" s="17" t="n"/>
      <c r="W127" s="17" t="n">
        <v>0.5</v>
      </c>
      <c r="X127" s="17" t="n">
        <v>0.24</v>
      </c>
      <c r="Y127" s="17" t="n"/>
      <c r="Z127" s="13">
        <f>SUMPRODUCT(N127:Y127,$N$2:$Y$2)*$K127*$L127*$M127</f>
        <v/>
      </c>
      <c r="AA127" s="14">
        <f>SUM(N127:Y127)</f>
        <v/>
      </c>
      <c r="AB127" s="14">
        <f>IFERROR(IF(UPPER($E127)="L",SUMPRODUCT(N127:Y127,$N$3:$Y$3,$N$2:$Y$2),SUMPRODUCT(N127:Y127,$N$4:$Y$4,$N$2:$Y$2))/(Z127/($K127*$L127*$M127)),"")</f>
        <v/>
      </c>
      <c r="AC127" s="18" t="n"/>
    </row>
    <row r="128">
      <c r="A128" s="9" t="n">
        <v>665953</v>
      </c>
      <c r="B128" s="9" t="inlineStr">
        <is>
          <t>Andrés Chaparro</t>
        </is>
      </c>
      <c r="C128" s="9" t="inlineStr">
        <is>
          <t>WSH</t>
        </is>
      </c>
      <c r="D128" s="9" t="n">
        <v>28</v>
      </c>
      <c r="E128" s="16" t="inlineStr">
        <is>
          <t>R</t>
        </is>
      </c>
      <c r="F128" s="16" t="inlineStr">
        <is>
          <t>1B</t>
        </is>
      </c>
      <c r="G128" s="9" t="n">
        <v>228</v>
      </c>
      <c r="H128" s="9" t="n">
        <v>433</v>
      </c>
      <c r="I128" s="9" t="inlineStr">
        <is>
          <t>Weak Side Platoon</t>
        </is>
      </c>
      <c r="J128" s="16" t="inlineStr">
        <is>
          <t>Opening Day</t>
        </is>
      </c>
      <c r="K128" s="11">
        <f>IFERROR(INDEX(Roles!$B$17:$B$20,MATCH(J128,Roles!$A$17:$A$20,0)),1)</f>
        <v/>
      </c>
      <c r="L128" s="17" t="n">
        <v>1</v>
      </c>
      <c r="M128" s="11" t="n">
        <v>1</v>
      </c>
      <c r="N128" s="17" t="n"/>
      <c r="O128" s="17" t="n"/>
      <c r="P128" s="17" t="n"/>
      <c r="Q128" s="17" t="n">
        <v>0.6</v>
      </c>
      <c r="R128" s="17" t="n"/>
      <c r="S128" s="17" t="n"/>
      <c r="T128" s="17" t="n"/>
      <c r="U128" s="17" t="n">
        <v>0.4</v>
      </c>
      <c r="V128" s="17" t="n"/>
      <c r="W128" s="17" t="n"/>
      <c r="X128" s="17" t="n"/>
      <c r="Y128" s="17" t="n"/>
      <c r="Z128" s="13">
        <f>SUMPRODUCT(N128:Y128,$N$2:$Y$2)*$K128*$L128*$M128</f>
        <v/>
      </c>
      <c r="AA128" s="14">
        <f>SUM(N128:Y128)</f>
        <v/>
      </c>
      <c r="AB128" s="14">
        <f>IFERROR(IF(UPPER($E128)="L",SUMPRODUCT(N128:Y128,$N$3:$Y$3,$N$2:$Y$2),SUMPRODUCT(N128:Y128,$N$4:$Y$4,$N$2:$Y$2))/(Z128/($K128*$L128*$M128)),"")</f>
        <v/>
      </c>
      <c r="AC128" s="18" t="n"/>
    </row>
    <row r="129">
      <c r="A129" s="9" t="n">
        <v>800305</v>
      </c>
      <c r="B129" s="9" t="inlineStr">
        <is>
          <t>Jesús  Báez</t>
        </is>
      </c>
      <c r="C129" s="9" t="inlineStr">
        <is>
          <t>STL</t>
        </is>
      </c>
      <c r="D129" s="9" t="n">
        <v>22</v>
      </c>
      <c r="E129" s="16" t="inlineStr">
        <is>
          <t>R</t>
        </is>
      </c>
      <c r="F129" s="16" t="n"/>
      <c r="G129" s="9" t="n">
        <v>87.58974358974358</v>
      </c>
      <c r="H129" s="9" t="n">
        <v>87.58974358974358</v>
      </c>
      <c r="I129" s="9" t="inlineStr">
        <is>
          <t>Depth (no MLB PA)</t>
        </is>
      </c>
      <c r="J129" s="16" t="inlineStr">
        <is>
          <t>Opening Day</t>
        </is>
      </c>
      <c r="K129" s="11">
        <f>IFERROR(INDEX(Roles!$B$17:$B$20,MATCH(J129,Roles!$A$17:$A$20,0)),1)</f>
        <v/>
      </c>
      <c r="L129" s="17" t="n">
        <v>1</v>
      </c>
      <c r="M129" s="11" t="n">
        <v>1</v>
      </c>
      <c r="N129" s="17" t="n"/>
      <c r="O129" s="17" t="n"/>
      <c r="P129" s="17" t="n"/>
      <c r="Q129" s="17" t="n"/>
      <c r="R129" s="17" t="n"/>
      <c r="S129" s="17" t="n"/>
      <c r="T129" s="17" t="n"/>
      <c r="U129" s="17" t="n"/>
      <c r="V129" s="17" t="n"/>
      <c r="W129" s="17" t="n"/>
      <c r="X129" s="17" t="n"/>
      <c r="Y129" s="17" t="n">
        <v>1</v>
      </c>
      <c r="Z129" s="13">
        <f>SUMPRODUCT(N129:Y129,$N$2:$Y$2)*$K129*$L129*$M129</f>
        <v/>
      </c>
      <c r="AA129" s="14">
        <f>SUM(N129:Y129)</f>
        <v/>
      </c>
      <c r="AB129" s="14">
        <f>IFERROR(IF(UPPER($E129)="L",SUMPRODUCT(N129:Y129,$N$3:$Y$3,$N$2:$Y$2),SUMPRODUCT(N129:Y129,$N$4:$Y$4,$N$2:$Y$2))/(Z129/($K129*$L129*$M129)),"")</f>
        <v/>
      </c>
      <c r="AC129" s="18" t="n"/>
    </row>
    <row r="130">
      <c r="A130" s="9" t="n">
        <v>686469</v>
      </c>
      <c r="B130" s="9" t="inlineStr">
        <is>
          <t>Vinnie Pasquantino</t>
        </is>
      </c>
      <c r="C130" s="9" t="inlineStr">
        <is>
          <t>KC</t>
        </is>
      </c>
      <c r="D130" s="9" t="n">
        <v>29</v>
      </c>
      <c r="E130" s="16" t="inlineStr">
        <is>
          <t>L</t>
        </is>
      </c>
      <c r="F130" s="16" t="inlineStr">
        <is>
          <t>1B</t>
        </is>
      </c>
      <c r="G130" s="9" t="n">
        <v>481</v>
      </c>
      <c r="H130" s="9" t="n">
        <v>2275</v>
      </c>
      <c r="I130" s="9" t="inlineStr">
        <is>
          <t>Full Time</t>
        </is>
      </c>
      <c r="J130" s="16" t="inlineStr">
        <is>
          <t>Opening Day</t>
        </is>
      </c>
      <c r="K130" s="11">
        <f>IFERROR(INDEX(Roles!$B$17:$B$20,MATCH(J130,Roles!$A$17:$A$20,0)),1)</f>
        <v/>
      </c>
      <c r="L130" s="17" t="n">
        <v>1</v>
      </c>
      <c r="M130" s="11" t="n">
        <v>1.041796876080621</v>
      </c>
      <c r="N130" s="17" t="n">
        <v>1</v>
      </c>
      <c r="O130" s="17" t="n"/>
      <c r="P130" s="17" t="n"/>
      <c r="Q130" s="17" t="n"/>
      <c r="R130" s="17" t="n"/>
      <c r="S130" s="17" t="n"/>
      <c r="T130" s="17" t="n"/>
      <c r="U130" s="17" t="n"/>
      <c r="V130" s="17" t="n"/>
      <c r="W130" s="17" t="n"/>
      <c r="X130" s="17" t="n"/>
      <c r="Y130" s="17" t="n"/>
      <c r="Z130" s="13">
        <f>SUMPRODUCT(N130:Y130,$N$2:$Y$2)*$K130*$L130*$M130</f>
        <v/>
      </c>
      <c r="AA130" s="14">
        <f>SUM(N130:Y130)</f>
        <v/>
      </c>
      <c r="AB130" s="14">
        <f>IFERROR(IF(UPPER($E130)="L",SUMPRODUCT(N130:Y130,$N$3:$Y$3,$N$2:$Y$2),SUMPRODUCT(N130:Y130,$N$4:$Y$4,$N$2:$Y$2))/(Z130/($K130*$L130*$M130)),"")</f>
        <v/>
      </c>
      <c r="AC130" s="18" t="n"/>
    </row>
    <row r="131">
      <c r="A131" s="9" t="n">
        <v>683748</v>
      </c>
      <c r="B131" s="9" t="inlineStr">
        <is>
          <t>Victor Mesa Jr.</t>
        </is>
      </c>
      <c r="C131" s="9" t="inlineStr">
        <is>
          <t>TB</t>
        </is>
      </c>
      <c r="D131" s="9" t="n">
        <v>25</v>
      </c>
      <c r="E131" s="16" t="inlineStr">
        <is>
          <t>L</t>
        </is>
      </c>
      <c r="F131" s="16" t="inlineStr">
        <is>
          <t>RF</t>
        </is>
      </c>
      <c r="G131" s="9" t="n">
        <v>262</v>
      </c>
      <c r="H131" s="9" t="n">
        <v>300</v>
      </c>
      <c r="I131" s="9" t="inlineStr">
        <is>
          <t>Strong Side Platoon</t>
        </is>
      </c>
      <c r="J131" s="16" t="inlineStr">
        <is>
          <t>Opening Day</t>
        </is>
      </c>
      <c r="K131" s="11">
        <f>IFERROR(INDEX(Roles!$B$17:$B$20,MATCH(J131,Roles!$A$17:$A$20,0)),1)</f>
        <v/>
      </c>
      <c r="L131" s="17" t="n">
        <v>1</v>
      </c>
      <c r="M131" s="11" t="n">
        <v>1</v>
      </c>
      <c r="N131" s="17" t="n">
        <v>0.4</v>
      </c>
      <c r="O131" s="17" t="n"/>
      <c r="P131" s="17" t="n">
        <v>0.6</v>
      </c>
      <c r="Q131" s="17" t="n"/>
      <c r="R131" s="17" t="n"/>
      <c r="S131" s="17" t="n"/>
      <c r="T131" s="17" t="n"/>
      <c r="U131" s="17" t="n"/>
      <c r="V131" s="17" t="n"/>
      <c r="W131" s="17" t="n"/>
      <c r="X131" s="17" t="n"/>
      <c r="Y131" s="17" t="n"/>
      <c r="Z131" s="13">
        <f>SUMPRODUCT(N131:Y131,$N$2:$Y$2)*$K131*$L131*$M131</f>
        <v/>
      </c>
      <c r="AA131" s="14">
        <f>SUM(N131:Y131)</f>
        <v/>
      </c>
      <c r="AB131" s="14">
        <f>IFERROR(IF(UPPER($E131)="L",SUMPRODUCT(N131:Y131,$N$3:$Y$3,$N$2:$Y$2),SUMPRODUCT(N131:Y131,$N$4:$Y$4,$N$2:$Y$2))/(Z131/($K131*$L131*$M131)),"")</f>
        <v/>
      </c>
      <c r="AC131" s="18" t="n"/>
    </row>
    <row r="132">
      <c r="A132" s="9" t="n">
        <v>669394</v>
      </c>
      <c r="B132" s="9" t="inlineStr">
        <is>
          <t>Jake Burger</t>
        </is>
      </c>
      <c r="C132" s="9" t="inlineStr">
        <is>
          <t>TEX</t>
        </is>
      </c>
      <c r="D132" s="9" t="n">
        <v>31</v>
      </c>
      <c r="E132" s="16" t="inlineStr">
        <is>
          <t>R</t>
        </is>
      </c>
      <c r="F132" s="16" t="inlineStr">
        <is>
          <t>1B</t>
        </is>
      </c>
      <c r="G132" s="9" t="n">
        <v>620</v>
      </c>
      <c r="H132" s="9" t="n">
        <v>2298</v>
      </c>
      <c r="I132" s="9" t="inlineStr">
        <is>
          <t>Full Time</t>
        </is>
      </c>
      <c r="J132" s="16" t="inlineStr">
        <is>
          <t>Opening Day</t>
        </is>
      </c>
      <c r="K132" s="11">
        <f>IFERROR(INDEX(Roles!$B$17:$B$20,MATCH(J132,Roles!$A$17:$A$20,0)),1)</f>
        <v/>
      </c>
      <c r="L132" s="17" t="n">
        <v>1</v>
      </c>
      <c r="M132" s="11" t="n">
        <v>1.073245183228553</v>
      </c>
      <c r="N132" s="17" t="n">
        <v>1</v>
      </c>
      <c r="O132" s="17" t="n"/>
      <c r="P132" s="17" t="n"/>
      <c r="Q132" s="17" t="n"/>
      <c r="R132" s="17" t="n"/>
      <c r="S132" s="17" t="n"/>
      <c r="T132" s="17" t="n"/>
      <c r="U132" s="17" t="n"/>
      <c r="V132" s="17" t="n"/>
      <c r="W132" s="17" t="n"/>
      <c r="X132" s="17" t="n"/>
      <c r="Y132" s="17" t="n"/>
      <c r="Z132" s="13">
        <f>SUMPRODUCT(N132:Y132,$N$2:$Y$2)*$K132*$L132*$M132</f>
        <v/>
      </c>
      <c r="AA132" s="14">
        <f>SUM(N132:Y132)</f>
        <v/>
      </c>
      <c r="AB132" s="14">
        <f>IFERROR(IF(UPPER($E132)="L",SUMPRODUCT(N132:Y132,$N$3:$Y$3,$N$2:$Y$2),SUMPRODUCT(N132:Y132,$N$4:$Y$4,$N$2:$Y$2))/(Z132/($K132*$L132*$M132)),"")</f>
        <v/>
      </c>
      <c r="AC132" s="18" t="n"/>
    </row>
    <row r="133">
      <c r="A133" s="9" t="n">
        <v>686527</v>
      </c>
      <c r="B133" s="9" t="inlineStr">
        <is>
          <t>Dominic Canzone</t>
        </is>
      </c>
      <c r="C133" s="9" t="inlineStr">
        <is>
          <t>SEA</t>
        </is>
      </c>
      <c r="D133" s="9" t="n">
        <v>29</v>
      </c>
      <c r="E133" s="16" t="inlineStr">
        <is>
          <t>L</t>
        </is>
      </c>
      <c r="F133" s="16" t="inlineStr">
        <is>
          <t>RF</t>
        </is>
      </c>
      <c r="G133" s="9" t="n">
        <v>533</v>
      </c>
      <c r="H133" s="9" t="n">
        <v>1172</v>
      </c>
      <c r="I133" s="9" t="inlineStr">
        <is>
          <t>Everyday DH / 1B-DH</t>
        </is>
      </c>
      <c r="J133" s="16" t="inlineStr">
        <is>
          <t>Opening Day</t>
        </is>
      </c>
      <c r="K133" s="11">
        <f>IFERROR(INDEX(Roles!$B$17:$B$20,MATCH(J133,Roles!$A$17:$A$20,0)),1)</f>
        <v/>
      </c>
      <c r="L133" s="17" t="n">
        <v>1</v>
      </c>
      <c r="M133" s="11" t="n">
        <v>0.9155280327402388</v>
      </c>
      <c r="N133" s="17" t="n"/>
      <c r="O133" s="17" t="n">
        <v>0.9</v>
      </c>
      <c r="P133" s="17" t="n"/>
      <c r="Q133" s="17" t="n"/>
      <c r="R133" s="17" t="n"/>
      <c r="S133" s="17" t="n"/>
      <c r="T133" s="17" t="n"/>
      <c r="U133" s="17" t="n"/>
      <c r="V133" s="17" t="n"/>
      <c r="W133" s="17" t="n">
        <v>0.1</v>
      </c>
      <c r="X133" s="17" t="n"/>
      <c r="Y133" s="17" t="n"/>
      <c r="Z133" s="13">
        <f>SUMPRODUCT(N133:Y133,$N$2:$Y$2)*$K133*$L133*$M133</f>
        <v/>
      </c>
      <c r="AA133" s="14">
        <f>SUM(N133:Y133)</f>
        <v/>
      </c>
      <c r="AB133" s="14">
        <f>IFERROR(IF(UPPER($E133)="L",SUMPRODUCT(N133:Y133,$N$3:$Y$3,$N$2:$Y$2),SUMPRODUCT(N133:Y133,$N$4:$Y$4,$N$2:$Y$2))/(Z133/($K133*$L133*$M133)),"")</f>
        <v/>
      </c>
      <c r="AC133" s="18" t="n"/>
    </row>
    <row r="134">
      <c r="A134" s="9" t="n">
        <v>676801</v>
      </c>
      <c r="B134" s="9" t="inlineStr">
        <is>
          <t>Chas McCormick</t>
        </is>
      </c>
      <c r="C134" s="9" t="inlineStr">
        <is>
          <t>HOU</t>
        </is>
      </c>
      <c r="D134" s="9" t="n">
        <v>32</v>
      </c>
      <c r="E134" s="16" t="inlineStr">
        <is>
          <t>R</t>
        </is>
      </c>
      <c r="F134" s="16" t="inlineStr">
        <is>
          <t>CF</t>
        </is>
      </c>
      <c r="G134" s="9" t="n">
        <v>116</v>
      </c>
      <c r="H134" s="9" t="n">
        <v>1247</v>
      </c>
      <c r="I134" s="9" t="inlineStr">
        <is>
          <t>Bench Bat</t>
        </is>
      </c>
      <c r="J134" s="16" t="inlineStr">
        <is>
          <t>Opening Day</t>
        </is>
      </c>
      <c r="K134" s="11">
        <f>IFERROR(INDEX(Roles!$B$17:$B$20,MATCH(J134,Roles!$A$17:$A$20,0)),1)</f>
        <v/>
      </c>
      <c r="L134" s="17" t="n">
        <v>1</v>
      </c>
      <c r="M134" s="11" t="n">
        <v>0.9706272494580096</v>
      </c>
      <c r="N134" s="17" t="n"/>
      <c r="O134" s="17" t="n"/>
      <c r="P134" s="17" t="n"/>
      <c r="Q134" s="17" t="n"/>
      <c r="R134" s="17" t="n"/>
      <c r="S134" s="17" t="n"/>
      <c r="T134" s="17" t="n"/>
      <c r="U134" s="17" t="n"/>
      <c r="V134" s="17" t="n"/>
      <c r="W134" s="17" t="n">
        <v>1</v>
      </c>
      <c r="X134" s="17" t="n"/>
      <c r="Y134" s="17" t="n"/>
      <c r="Z134" s="13">
        <f>SUMPRODUCT(N134:Y134,$N$2:$Y$2)*$K134*$L134*$M134</f>
        <v/>
      </c>
      <c r="AA134" s="14">
        <f>SUM(N134:Y134)</f>
        <v/>
      </c>
      <c r="AB134" s="14">
        <f>IFERROR(IF(UPPER($E134)="L",SUMPRODUCT(N134:Y134,$N$3:$Y$3,$N$2:$Y$2),SUMPRODUCT(N134:Y134,$N$4:$Y$4,$N$2:$Y$2))/(Z134/($K134*$L134*$M134)),"")</f>
        <v/>
      </c>
      <c r="AC134" s="18" t="n"/>
    </row>
    <row r="135">
      <c r="A135" s="9" t="n">
        <v>666160</v>
      </c>
      <c r="B135" s="9" t="inlineStr">
        <is>
          <t>Mickey Moniak</t>
        </is>
      </c>
      <c r="C135" s="9" t="inlineStr">
        <is>
          <t>COL</t>
        </is>
      </c>
      <c r="D135" s="9" t="n">
        <v>29</v>
      </c>
      <c r="E135" s="16" t="inlineStr">
        <is>
          <t>L</t>
        </is>
      </c>
      <c r="F135" s="16" t="inlineStr">
        <is>
          <t>LF</t>
        </is>
      </c>
      <c r="G135" s="9" t="n">
        <v>436</v>
      </c>
      <c r="H135" s="9" t="n">
        <v>1750</v>
      </c>
      <c r="I135" s="9" t="inlineStr">
        <is>
          <t>Strong Side Platoon</t>
        </is>
      </c>
      <c r="J135" s="16" t="inlineStr">
        <is>
          <t>Opening Day</t>
        </is>
      </c>
      <c r="K135" s="11">
        <f>IFERROR(INDEX(Roles!$B$17:$B$20,MATCH(J135,Roles!$A$17:$A$20,0)),1)</f>
        <v/>
      </c>
      <c r="L135" s="17" t="n">
        <v>1</v>
      </c>
      <c r="M135" s="11" t="n">
        <v>1.084722910813167</v>
      </c>
      <c r="N135" s="17" t="n">
        <v>0.4</v>
      </c>
      <c r="O135" s="17" t="n"/>
      <c r="P135" s="17" t="n">
        <v>0.6</v>
      </c>
      <c r="Q135" s="17" t="n"/>
      <c r="R135" s="17" t="n"/>
      <c r="S135" s="17" t="n"/>
      <c r="T135" s="17" t="n"/>
      <c r="U135" s="17" t="n"/>
      <c r="V135" s="17" t="n"/>
      <c r="W135" s="17" t="n"/>
      <c r="X135" s="17" t="n"/>
      <c r="Y135" s="17" t="n"/>
      <c r="Z135" s="13">
        <f>SUMPRODUCT(N135:Y135,$N$2:$Y$2)*$K135*$L135*$M135</f>
        <v/>
      </c>
      <c r="AA135" s="14">
        <f>SUM(N135:Y135)</f>
        <v/>
      </c>
      <c r="AB135" s="14">
        <f>IFERROR(IF(UPPER($E135)="L",SUMPRODUCT(N135:Y135,$N$3:$Y$3,$N$2:$Y$2),SUMPRODUCT(N135:Y135,$N$4:$Y$4,$N$2:$Y$2))/(Z135/($K135*$L135*$M135)),"")</f>
        <v/>
      </c>
      <c r="AC135" s="18" t="n"/>
    </row>
    <row r="136">
      <c r="A136" s="9" t="n">
        <v>667428</v>
      </c>
      <c r="B136" s="9" t="inlineStr">
        <is>
          <t>Grant Koch</t>
        </is>
      </c>
      <c r="C136" s="9" t="inlineStr">
        <is>
          <t>PIT</t>
        </is>
      </c>
      <c r="D136" s="9" t="n">
        <v>30</v>
      </c>
      <c r="E136" s="16" t="inlineStr">
        <is>
          <t>R</t>
        </is>
      </c>
      <c r="F136" s="16" t="inlineStr">
        <is>
          <t>C</t>
        </is>
      </c>
      <c r="G136" s="9" t="n">
        <v>8</v>
      </c>
      <c r="H136" s="9" t="n">
        <v>8</v>
      </c>
      <c r="I136" s="9" t="inlineStr">
        <is>
          <t>Depth (no MLB PA)</t>
        </is>
      </c>
      <c r="J136" s="16" t="inlineStr">
        <is>
          <t>Opening Day</t>
        </is>
      </c>
      <c r="K136" s="11">
        <f>IFERROR(INDEX(Roles!$B$17:$B$20,MATCH(J136,Roles!$A$17:$A$20,0)),1)</f>
        <v/>
      </c>
      <c r="L136" s="17" t="n">
        <v>1</v>
      </c>
      <c r="M136" s="11" t="n">
        <v>1</v>
      </c>
      <c r="N136" s="17" t="n"/>
      <c r="O136" s="17" t="n"/>
      <c r="P136" s="17" t="n"/>
      <c r="Q136" s="17" t="n"/>
      <c r="R136" s="17" t="n"/>
      <c r="S136" s="17" t="n"/>
      <c r="T136" s="17" t="n"/>
      <c r="U136" s="17" t="n"/>
      <c r="V136" s="17" t="n"/>
      <c r="W136" s="17" t="n"/>
      <c r="X136" s="17" t="n"/>
      <c r="Y136" s="17" t="n">
        <v>1</v>
      </c>
      <c r="Z136" s="13">
        <f>SUMPRODUCT(N136:Y136,$N$2:$Y$2)*$K136*$L136*$M136</f>
        <v/>
      </c>
      <c r="AA136" s="14">
        <f>SUM(N136:Y136)</f>
        <v/>
      </c>
      <c r="AB136" s="14">
        <f>IFERROR(IF(UPPER($E136)="L",SUMPRODUCT(N136:Y136,$N$3:$Y$3,$N$2:$Y$2),SUMPRODUCT(N136:Y136,$N$4:$Y$4,$N$2:$Y$2))/(Z136/($K136*$L136*$M136)),"")</f>
        <v/>
      </c>
      <c r="AC136" s="18" t="n"/>
    </row>
    <row r="137">
      <c r="A137" s="9" t="n">
        <v>596142</v>
      </c>
      <c r="B137" s="9" t="inlineStr">
        <is>
          <t>Gary Sánchez</t>
        </is>
      </c>
      <c r="C137" s="9" t="inlineStr">
        <is>
          <t>MIL</t>
        </is>
      </c>
      <c r="D137" s="9" t="n">
        <v>34</v>
      </c>
      <c r="E137" s="16" t="inlineStr">
        <is>
          <t>R</t>
        </is>
      </c>
      <c r="F137" s="16" t="inlineStr">
        <is>
          <t>C</t>
        </is>
      </c>
      <c r="G137" s="9" t="n">
        <v>275</v>
      </c>
      <c r="H137" s="9" t="n">
        <v>1394</v>
      </c>
      <c r="I137" s="9" t="inlineStr">
        <is>
          <t>Weak Side Platoon</t>
        </is>
      </c>
      <c r="J137" s="16" t="inlineStr">
        <is>
          <t>Opening Day</t>
        </is>
      </c>
      <c r="K137" s="11">
        <f>IFERROR(INDEX(Roles!$B$17:$B$20,MATCH(J137,Roles!$A$17:$A$20,0)),1)</f>
        <v/>
      </c>
      <c r="L137" s="17" t="n">
        <v>1</v>
      </c>
      <c r="M137" s="11" t="n">
        <v>1</v>
      </c>
      <c r="N137" s="17" t="n"/>
      <c r="O137" s="17" t="n"/>
      <c r="P137" s="17" t="n"/>
      <c r="Q137" s="17" t="n">
        <v>0.6</v>
      </c>
      <c r="R137" s="17" t="n"/>
      <c r="S137" s="17" t="n"/>
      <c r="T137" s="17" t="n">
        <v>0.4</v>
      </c>
      <c r="U137" s="17" t="n"/>
      <c r="V137" s="17" t="n"/>
      <c r="W137" s="17" t="n"/>
      <c r="X137" s="17" t="n"/>
      <c r="Y137" s="17" t="n"/>
      <c r="Z137" s="13">
        <f>SUMPRODUCT(N137:Y137,$N$2:$Y$2)*$K137*$L137*$M137</f>
        <v/>
      </c>
      <c r="AA137" s="14">
        <f>SUM(N137:Y137)</f>
        <v/>
      </c>
      <c r="AB137" s="14">
        <f>IFERROR(IF(UPPER($E137)="L",SUMPRODUCT(N137:Y137,$N$3:$Y$3,$N$2:$Y$2),SUMPRODUCT(N137:Y137,$N$4:$Y$4,$N$2:$Y$2))/(Z137/($K137*$L137*$M137)),"")</f>
        <v/>
      </c>
      <c r="AC137" s="18" t="n"/>
    </row>
    <row r="138">
      <c r="A138" s="9" t="n">
        <v>663757</v>
      </c>
      <c r="B138" s="9" t="inlineStr">
        <is>
          <t>Trent Grisham</t>
        </is>
      </c>
      <c r="C138" s="9" t="inlineStr">
        <is>
          <t>NYY</t>
        </is>
      </c>
      <c r="D138" s="9" t="n">
        <v>30</v>
      </c>
      <c r="E138" s="16" t="inlineStr">
        <is>
          <t>L</t>
        </is>
      </c>
      <c r="F138" s="16" t="inlineStr">
        <is>
          <t>CF</t>
        </is>
      </c>
      <c r="G138" s="9" t="n">
        <v>484</v>
      </c>
      <c r="H138" s="9" t="n">
        <v>2353</v>
      </c>
      <c r="I138" s="9" t="inlineStr">
        <is>
          <t>Full Time</t>
        </is>
      </c>
      <c r="J138" s="16" t="inlineStr">
        <is>
          <t>Opening Day</t>
        </is>
      </c>
      <c r="K138" s="11">
        <f>IFERROR(INDEX(Roles!$B$17:$B$20,MATCH(J138,Roles!$A$17:$A$20,0)),1)</f>
        <v/>
      </c>
      <c r="L138" s="17" t="n">
        <v>1</v>
      </c>
      <c r="M138" s="11" t="n">
        <v>0.983999987268203</v>
      </c>
      <c r="N138" s="17" t="n">
        <v>1</v>
      </c>
      <c r="O138" s="17" t="n"/>
      <c r="P138" s="17" t="n"/>
      <c r="Q138" s="17" t="n"/>
      <c r="R138" s="17" t="n"/>
      <c r="S138" s="17" t="n"/>
      <c r="T138" s="17" t="n"/>
      <c r="U138" s="17" t="n"/>
      <c r="V138" s="17" t="n"/>
      <c r="W138" s="17" t="n"/>
      <c r="X138" s="17" t="n"/>
      <c r="Y138" s="17" t="n"/>
      <c r="Z138" s="13">
        <f>SUMPRODUCT(N138:Y138,$N$2:$Y$2)*$K138*$L138*$M138</f>
        <v/>
      </c>
      <c r="AA138" s="14">
        <f>SUM(N138:Y138)</f>
        <v/>
      </c>
      <c r="AB138" s="14">
        <f>IFERROR(IF(UPPER($E138)="L",SUMPRODUCT(N138:Y138,$N$3:$Y$3,$N$2:$Y$2),SUMPRODUCT(N138:Y138,$N$4:$Y$4,$N$2:$Y$2))/(Z138/($K138*$L138*$M138)),"")</f>
        <v/>
      </c>
      <c r="AC138" s="18" t="n"/>
    </row>
    <row r="139">
      <c r="A139" s="9" t="n">
        <v>670092</v>
      </c>
      <c r="B139" s="9" t="inlineStr">
        <is>
          <t>Trenton Brooks</t>
        </is>
      </c>
      <c r="C139" s="9" t="inlineStr">
        <is>
          <t>SD</t>
        </is>
      </c>
      <c r="D139" s="9" t="n">
        <v>31</v>
      </c>
      <c r="E139" s="16" t="inlineStr">
        <is>
          <t>L</t>
        </is>
      </c>
      <c r="F139" s="16" t="inlineStr">
        <is>
          <t>LF</t>
        </is>
      </c>
      <c r="G139" s="9" t="n">
        <v>43</v>
      </c>
      <c r="H139" s="9" t="n">
        <v>72</v>
      </c>
      <c r="I139" s="9" t="inlineStr">
        <is>
          <t>Bench Bat</t>
        </is>
      </c>
      <c r="J139" s="16" t="inlineStr">
        <is>
          <t>Opening Day</t>
        </is>
      </c>
      <c r="K139" s="11">
        <f>IFERROR(INDEX(Roles!$B$17:$B$20,MATCH(J139,Roles!$A$17:$A$20,0)),1)</f>
        <v/>
      </c>
      <c r="L139" s="17" t="n">
        <v>1</v>
      </c>
      <c r="M139" s="11" t="n">
        <v>1</v>
      </c>
      <c r="N139" s="17" t="n"/>
      <c r="O139" s="17" t="n"/>
      <c r="P139" s="17" t="n"/>
      <c r="Q139" s="17" t="n"/>
      <c r="R139" s="17" t="n"/>
      <c r="S139" s="17" t="n"/>
      <c r="T139" s="17" t="n"/>
      <c r="U139" s="17" t="n"/>
      <c r="V139" s="17" t="n"/>
      <c r="W139" s="17" t="n">
        <v>1</v>
      </c>
      <c r="X139" s="17" t="n"/>
      <c r="Y139" s="17" t="n"/>
      <c r="Z139" s="13">
        <f>SUMPRODUCT(N139:Y139,$N$2:$Y$2)*$K139*$L139*$M139</f>
        <v/>
      </c>
      <c r="AA139" s="14">
        <f>SUM(N139:Y139)</f>
        <v/>
      </c>
      <c r="AB139" s="14">
        <f>IFERROR(IF(UPPER($E139)="L",SUMPRODUCT(N139:Y139,$N$3:$Y$3,$N$2:$Y$2),SUMPRODUCT(N139:Y139,$N$4:$Y$4,$N$2:$Y$2))/(Z139/($K139*$L139*$M139)),"")</f>
        <v/>
      </c>
      <c r="AC139" s="18" t="n"/>
    </row>
    <row r="140">
      <c r="A140" s="9" t="n">
        <v>643376</v>
      </c>
      <c r="B140" s="9" t="inlineStr">
        <is>
          <t>Danny Jansen</t>
        </is>
      </c>
      <c r="C140" s="9" t="inlineStr">
        <is>
          <t>TEX</t>
        </is>
      </c>
      <c r="D140" s="9" t="n">
        <v>32</v>
      </c>
      <c r="E140" s="16" t="inlineStr">
        <is>
          <t>R</t>
        </is>
      </c>
      <c r="F140" s="16" t="inlineStr">
        <is>
          <t>C</t>
        </is>
      </c>
      <c r="G140" s="9" t="n">
        <v>227</v>
      </c>
      <c r="H140" s="9" t="n">
        <v>1437</v>
      </c>
      <c r="I140" s="9" t="inlineStr">
        <is>
          <t>Catcher - Primary</t>
        </is>
      </c>
      <c r="J140" s="16" t="inlineStr">
        <is>
          <t>Opening Day</t>
        </is>
      </c>
      <c r="K140" s="11">
        <f>IFERROR(INDEX(Roles!$B$17:$B$20,MATCH(J140,Roles!$A$17:$A$20,0)),1)</f>
        <v/>
      </c>
      <c r="L140" s="17" t="n">
        <v>1</v>
      </c>
      <c r="M140" s="11" t="n">
        <v>1</v>
      </c>
      <c r="N140" s="17" t="n"/>
      <c r="O140" s="17" t="n"/>
      <c r="P140" s="17" t="n"/>
      <c r="Q140" s="17" t="n"/>
      <c r="R140" s="17" t="n">
        <v>0.62</v>
      </c>
      <c r="S140" s="17" t="n">
        <v>0.38</v>
      </c>
      <c r="T140" s="17" t="n"/>
      <c r="U140" s="17" t="n"/>
      <c r="V140" s="17" t="n"/>
      <c r="W140" s="17" t="n"/>
      <c r="X140" s="17" t="n"/>
      <c r="Y140" s="17" t="n"/>
      <c r="Z140" s="13">
        <f>SUMPRODUCT(N140:Y140,$N$2:$Y$2)*$K140*$L140*$M140</f>
        <v/>
      </c>
      <c r="AA140" s="14">
        <f>SUM(N140:Y140)</f>
        <v/>
      </c>
      <c r="AB140" s="14">
        <f>IFERROR(IF(UPPER($E140)="L",SUMPRODUCT(N140:Y140,$N$3:$Y$3,$N$2:$Y$2),SUMPRODUCT(N140:Y140,$N$4:$Y$4,$N$2:$Y$2))/(Z140/($K140*$L140*$M140)),"")</f>
        <v/>
      </c>
      <c r="AC140" s="18" t="n"/>
    </row>
    <row r="141">
      <c r="A141" s="9" t="n">
        <v>642715</v>
      </c>
      <c r="B141" s="9" t="inlineStr">
        <is>
          <t>Willy Adames</t>
        </is>
      </c>
      <c r="C141" s="9" t="inlineStr">
        <is>
          <t>SF</t>
        </is>
      </c>
      <c r="D141" s="9" t="n">
        <v>31</v>
      </c>
      <c r="E141" s="16" t="inlineStr">
        <is>
          <t>R</t>
        </is>
      </c>
      <c r="F141" s="16" t="inlineStr">
        <is>
          <t>SS</t>
        </is>
      </c>
      <c r="G141" s="9" t="n">
        <v>505</v>
      </c>
      <c r="H141" s="9" t="n">
        <v>3134</v>
      </c>
      <c r="I141" s="9" t="inlineStr">
        <is>
          <t>Bench Bat</t>
        </is>
      </c>
      <c r="J141" s="16" t="inlineStr">
        <is>
          <t>Opening Day</t>
        </is>
      </c>
      <c r="K141" s="11">
        <f>IFERROR(INDEX(Roles!$B$17:$B$20,MATCH(J141,Roles!$A$17:$A$20,0)),1)</f>
        <v/>
      </c>
      <c r="L141" s="17" t="n">
        <v>1</v>
      </c>
      <c r="M141" s="11" t="n">
        <v>1.15</v>
      </c>
      <c r="N141" s="17" t="n">
        <v>0.4</v>
      </c>
      <c r="O141" s="17" t="n"/>
      <c r="P141" s="17" t="n"/>
      <c r="Q141" s="17" t="n"/>
      <c r="R141" s="17" t="n"/>
      <c r="S141" s="17" t="n"/>
      <c r="T141" s="17" t="n"/>
      <c r="U141" s="17" t="n"/>
      <c r="V141" s="17" t="n"/>
      <c r="W141" s="17" t="n">
        <v>0.6</v>
      </c>
      <c r="X141" s="17" t="n"/>
      <c r="Y141" s="17" t="n"/>
      <c r="Z141" s="13">
        <f>SUMPRODUCT(N141:Y141,$N$2:$Y$2)*$K141*$L141*$M141</f>
        <v/>
      </c>
      <c r="AA141" s="14">
        <f>SUM(N141:Y141)</f>
        <v/>
      </c>
      <c r="AB141" s="14">
        <f>IFERROR(IF(UPPER($E141)="L",SUMPRODUCT(N141:Y141,$N$3:$Y$3,$N$2:$Y$2),SUMPRODUCT(N141:Y141,$N$4:$Y$4,$N$2:$Y$2))/(Z141/($K141*$L141*$M141)),"")</f>
        <v/>
      </c>
      <c r="AC141" s="18" t="n"/>
    </row>
    <row r="142">
      <c r="A142" s="9" t="n">
        <v>699024</v>
      </c>
      <c r="B142" s="9" t="inlineStr">
        <is>
          <t>Leo Bernal</t>
        </is>
      </c>
      <c r="C142" s="9" t="inlineStr">
        <is>
          <t>STL</t>
        </is>
      </c>
      <c r="D142" s="9" t="n">
        <v>23</v>
      </c>
      <c r="E142" s="16" t="inlineStr">
        <is>
          <t>S</t>
        </is>
      </c>
      <c r="F142" s="16" t="inlineStr">
        <is>
          <t>C</t>
        </is>
      </c>
      <c r="G142" s="9" t="n">
        <v>102</v>
      </c>
      <c r="H142" s="9" t="n">
        <v>102</v>
      </c>
      <c r="I142" s="9" t="inlineStr">
        <is>
          <t>Catcher - Primary</t>
        </is>
      </c>
      <c r="J142" s="16" t="inlineStr">
        <is>
          <t>Opening Day</t>
        </is>
      </c>
      <c r="K142" s="11">
        <f>IFERROR(INDEX(Roles!$B$17:$B$20,MATCH(J142,Roles!$A$17:$A$20,0)),1)</f>
        <v/>
      </c>
      <c r="L142" s="17" t="n">
        <v>1</v>
      </c>
      <c r="M142" s="11" t="n">
        <v>1</v>
      </c>
      <c r="N142" s="17" t="n"/>
      <c r="O142" s="17" t="n"/>
      <c r="P142" s="17" t="n"/>
      <c r="Q142" s="17" t="n"/>
      <c r="R142" s="17" t="n">
        <v>0.75</v>
      </c>
      <c r="S142" s="17" t="n">
        <v>0.25</v>
      </c>
      <c r="T142" s="17" t="n"/>
      <c r="U142" s="17" t="n"/>
      <c r="V142" s="17" t="n"/>
      <c r="W142" s="17" t="n"/>
      <c r="X142" s="17" t="n"/>
      <c r="Y142" s="17" t="n"/>
      <c r="Z142" s="13">
        <f>SUMPRODUCT(N142:Y142,$N$2:$Y$2)*$K142*$L142*$M142</f>
        <v/>
      </c>
      <c r="AA142" s="14">
        <f>SUM(N142:Y142)</f>
        <v/>
      </c>
      <c r="AB142" s="14">
        <f>IFERROR(IF(UPPER($E142)="L",SUMPRODUCT(N142:Y142,$N$3:$Y$3,$N$2:$Y$2),SUMPRODUCT(N142:Y142,$N$4:$Y$4,$N$2:$Y$2))/(Z142/($K142*$L142*$M142)),"")</f>
        <v/>
      </c>
      <c r="AC142" s="18" t="n"/>
    </row>
    <row r="143">
      <c r="A143" s="9" t="n">
        <v>664023</v>
      </c>
      <c r="B143" s="9" t="inlineStr">
        <is>
          <t>Ian Happ</t>
        </is>
      </c>
      <c r="C143" s="9" t="inlineStr">
        <is>
          <t>CHC</t>
        </is>
      </c>
      <c r="D143" s="9" t="n">
        <v>32</v>
      </c>
      <c r="E143" s="16" t="inlineStr">
        <is>
          <t>S</t>
        </is>
      </c>
      <c r="F143" s="16" t="inlineStr">
        <is>
          <t>LF</t>
        </is>
      </c>
      <c r="G143" s="9" t="n">
        <v>636</v>
      </c>
      <c r="H143" s="9" t="n">
        <v>3288</v>
      </c>
      <c r="I143" s="9" t="inlineStr">
        <is>
          <t>Full Time</t>
        </is>
      </c>
      <c r="J143" s="16" t="inlineStr">
        <is>
          <t>Opening Day</t>
        </is>
      </c>
      <c r="K143" s="11">
        <f>IFERROR(INDEX(Roles!$B$17:$B$20,MATCH(J143,Roles!$A$17:$A$20,0)),1)</f>
        <v/>
      </c>
      <c r="L143" s="17" t="n">
        <v>1</v>
      </c>
      <c r="M143" s="11" t="n">
        <v>1.15</v>
      </c>
      <c r="N143" s="17" t="n">
        <v>1</v>
      </c>
      <c r="O143" s="17" t="n"/>
      <c r="P143" s="17" t="n"/>
      <c r="Q143" s="17" t="n"/>
      <c r="R143" s="17" t="n"/>
      <c r="S143" s="17" t="n"/>
      <c r="T143" s="17" t="n"/>
      <c r="U143" s="17" t="n"/>
      <c r="V143" s="17" t="n"/>
      <c r="W143" s="17" t="n"/>
      <c r="X143" s="17" t="n"/>
      <c r="Y143" s="17" t="n"/>
      <c r="Z143" s="13">
        <f>SUMPRODUCT(N143:Y143,$N$2:$Y$2)*$K143*$L143*$M143</f>
        <v/>
      </c>
      <c r="AA143" s="14">
        <f>SUM(N143:Y143)</f>
        <v/>
      </c>
      <c r="AB143" s="14">
        <f>IFERROR(IF(UPPER($E143)="L",SUMPRODUCT(N143:Y143,$N$3:$Y$3,$N$2:$Y$2),SUMPRODUCT(N143:Y143,$N$4:$Y$4,$N$2:$Y$2))/(Z143/($K143*$L143*$M143)),"")</f>
        <v/>
      </c>
      <c r="AC143" s="18" t="n"/>
    </row>
    <row r="144">
      <c r="A144" s="9" t="n">
        <v>642851</v>
      </c>
      <c r="B144" s="9" t="inlineStr">
        <is>
          <t>Austin Wynns</t>
        </is>
      </c>
      <c r="C144" s="9" t="inlineStr">
        <is>
          <t>TEX</t>
        </is>
      </c>
      <c r="D144" s="9" t="n">
        <v>36</v>
      </c>
      <c r="E144" s="16" t="inlineStr">
        <is>
          <t>R</t>
        </is>
      </c>
      <c r="F144" s="16" t="inlineStr">
        <is>
          <t>C</t>
        </is>
      </c>
      <c r="G144" s="9" t="n">
        <v>89</v>
      </c>
      <c r="H144" s="9" t="n">
        <v>541</v>
      </c>
      <c r="I144" s="9" t="inlineStr">
        <is>
          <t>Catcher - Backup</t>
        </is>
      </c>
      <c r="J144" s="16" t="inlineStr">
        <is>
          <t>Opening Day</t>
        </is>
      </c>
      <c r="K144" s="11">
        <f>IFERROR(INDEX(Roles!$B$17:$B$20,MATCH(J144,Roles!$A$17:$A$20,0)),1)</f>
        <v/>
      </c>
      <c r="L144" s="17" t="n">
        <v>1</v>
      </c>
      <c r="M144" s="11" t="n">
        <v>1</v>
      </c>
      <c r="N144" s="17" t="n"/>
      <c r="O144" s="17" t="n"/>
      <c r="P144" s="17" t="n"/>
      <c r="Q144" s="17" t="n"/>
      <c r="R144" s="17" t="n"/>
      <c r="S144" s="17" t="n"/>
      <c r="T144" s="17" t="n">
        <v>1</v>
      </c>
      <c r="U144" s="17" t="n"/>
      <c r="V144" s="17" t="n"/>
      <c r="W144" s="17" t="n"/>
      <c r="X144" s="17" t="n"/>
      <c r="Y144" s="17" t="n"/>
      <c r="Z144" s="13">
        <f>SUMPRODUCT(N144:Y144,$N$2:$Y$2)*$K144*$L144*$M144</f>
        <v/>
      </c>
      <c r="AA144" s="14">
        <f>SUM(N144:Y144)</f>
        <v/>
      </c>
      <c r="AB144" s="14">
        <f>IFERROR(IF(UPPER($E144)="L",SUMPRODUCT(N144:Y144,$N$3:$Y$3,$N$2:$Y$2),SUMPRODUCT(N144:Y144,$N$4:$Y$4,$N$2:$Y$2))/(Z144/($K144*$L144*$M144)),"")</f>
        <v/>
      </c>
      <c r="AC144" s="18" t="n"/>
    </row>
    <row r="145">
      <c r="A145" s="9" t="n">
        <v>683737</v>
      </c>
      <c r="B145" s="9" t="inlineStr">
        <is>
          <t>Michael Busch</t>
        </is>
      </c>
      <c r="C145" s="9" t="inlineStr">
        <is>
          <t>CHC</t>
        </is>
      </c>
      <c r="D145" s="9" t="n">
        <v>29</v>
      </c>
      <c r="E145" s="16" t="inlineStr">
        <is>
          <t>L</t>
        </is>
      </c>
      <c r="F145" s="16" t="inlineStr">
        <is>
          <t>1B</t>
        </is>
      </c>
      <c r="G145" s="9" t="n">
        <v>710</v>
      </c>
      <c r="H145" s="9" t="n">
        <v>1950</v>
      </c>
      <c r="I145" s="9" t="inlineStr">
        <is>
          <t>Full Time</t>
        </is>
      </c>
      <c r="J145" s="16" t="inlineStr">
        <is>
          <t>Opening Day</t>
        </is>
      </c>
      <c r="K145" s="11">
        <f>IFERROR(INDEX(Roles!$B$17:$B$20,MATCH(J145,Roles!$A$17:$A$20,0)),1)</f>
        <v/>
      </c>
      <c r="L145" s="17" t="n">
        <v>1</v>
      </c>
      <c r="M145" s="11" t="n">
        <v>1.15</v>
      </c>
      <c r="N145" s="17" t="n">
        <v>1</v>
      </c>
      <c r="O145" s="17" t="n"/>
      <c r="P145" s="17" t="n"/>
      <c r="Q145" s="17" t="n"/>
      <c r="R145" s="17" t="n"/>
      <c r="S145" s="17" t="n"/>
      <c r="T145" s="17" t="n"/>
      <c r="U145" s="17" t="n"/>
      <c r="V145" s="17" t="n"/>
      <c r="W145" s="17" t="n"/>
      <c r="X145" s="17" t="n"/>
      <c r="Y145" s="17" t="n"/>
      <c r="Z145" s="13">
        <f>SUMPRODUCT(N145:Y145,$N$2:$Y$2)*$K145*$L145*$M145</f>
        <v/>
      </c>
      <c r="AA145" s="14">
        <f>SUM(N145:Y145)</f>
        <v/>
      </c>
      <c r="AB145" s="14">
        <f>IFERROR(IF(UPPER($E145)="L",SUMPRODUCT(N145:Y145,$N$3:$Y$3,$N$2:$Y$2),SUMPRODUCT(N145:Y145,$N$4:$Y$4,$N$2:$Y$2))/(Z145/($K145*$L145*$M145)),"")</f>
        <v/>
      </c>
      <c r="AC145" s="18" t="n"/>
    </row>
    <row r="146">
      <c r="A146" s="9" t="n">
        <v>694671</v>
      </c>
      <c r="B146" s="9" t="inlineStr">
        <is>
          <t>Wyatt Langford</t>
        </is>
      </c>
      <c r="C146" s="9" t="inlineStr">
        <is>
          <t>TEX</t>
        </is>
      </c>
      <c r="D146" s="9" t="n">
        <v>25</v>
      </c>
      <c r="E146" s="16" t="inlineStr">
        <is>
          <t>R</t>
        </is>
      </c>
      <c r="F146" s="16" t="inlineStr">
        <is>
          <t>LF</t>
        </is>
      </c>
      <c r="G146" s="9" t="n">
        <v>471</v>
      </c>
      <c r="H146" s="9" t="n">
        <v>1601</v>
      </c>
      <c r="I146" s="9" t="inlineStr">
        <is>
          <t>Full Time</t>
        </is>
      </c>
      <c r="J146" s="16" t="inlineStr">
        <is>
          <t>Opening Day</t>
        </is>
      </c>
      <c r="K146" s="11">
        <f>IFERROR(INDEX(Roles!$B$17:$B$20,MATCH(J146,Roles!$A$17:$A$20,0)),1)</f>
        <v/>
      </c>
      <c r="L146" s="17" t="n">
        <v>1</v>
      </c>
      <c r="M146" s="11" t="n">
        <v>1.052846281294759</v>
      </c>
      <c r="N146" s="17" t="n">
        <v>0.85</v>
      </c>
      <c r="O146" s="17" t="n"/>
      <c r="P146" s="17" t="n">
        <v>0.15</v>
      </c>
      <c r="Q146" s="17" t="n"/>
      <c r="R146" s="17" t="n"/>
      <c r="S146" s="17" t="n"/>
      <c r="T146" s="17" t="n"/>
      <c r="U146" s="17" t="n"/>
      <c r="V146" s="17" t="n"/>
      <c r="W146" s="17" t="n"/>
      <c r="X146" s="17" t="n"/>
      <c r="Y146" s="17" t="n"/>
      <c r="Z146" s="13">
        <f>SUMPRODUCT(N146:Y146,$N$2:$Y$2)*$K146*$L146*$M146</f>
        <v/>
      </c>
      <c r="AA146" s="14">
        <f>SUM(N146:Y146)</f>
        <v/>
      </c>
      <c r="AB146" s="14">
        <f>IFERROR(IF(UPPER($E146)="L",SUMPRODUCT(N146:Y146,$N$3:$Y$3,$N$2:$Y$2),SUMPRODUCT(N146:Y146,$N$4:$Y$4,$N$2:$Y$2))/(Z146/($K146*$L146*$M146)),"")</f>
        <v/>
      </c>
      <c r="AC146" s="18" t="n"/>
    </row>
    <row r="147">
      <c r="A147" s="9" t="n">
        <v>668709</v>
      </c>
      <c r="B147" s="9" t="inlineStr">
        <is>
          <t>JJ Bleday</t>
        </is>
      </c>
      <c r="C147" s="9" t="inlineStr">
        <is>
          <t>CIN</t>
        </is>
      </c>
      <c r="D147" s="9" t="n">
        <v>29</v>
      </c>
      <c r="E147" s="16" t="inlineStr">
        <is>
          <t>L</t>
        </is>
      </c>
      <c r="F147" s="16" t="inlineStr">
        <is>
          <t>LF</t>
        </is>
      </c>
      <c r="G147" s="9" t="n">
        <v>545</v>
      </c>
      <c r="H147" s="9" t="n">
        <v>2072</v>
      </c>
      <c r="I147" s="9" t="inlineStr">
        <is>
          <t>Full Time</t>
        </is>
      </c>
      <c r="J147" s="16" t="inlineStr">
        <is>
          <t>Opening Day</t>
        </is>
      </c>
      <c r="K147" s="11">
        <f>IFERROR(INDEX(Roles!$B$17:$B$20,MATCH(J147,Roles!$A$17:$A$20,0)),1)</f>
        <v/>
      </c>
      <c r="L147" s="17" t="n">
        <v>1</v>
      </c>
      <c r="M147" s="11" t="n">
        <v>1.034997242102689</v>
      </c>
      <c r="N147" s="17" t="n">
        <v>0.75</v>
      </c>
      <c r="O147" s="17" t="n"/>
      <c r="P147" s="17" t="n">
        <v>0.25</v>
      </c>
      <c r="Q147" s="17" t="n"/>
      <c r="R147" s="17" t="n"/>
      <c r="S147" s="17" t="n"/>
      <c r="T147" s="17" t="n"/>
      <c r="U147" s="17" t="n"/>
      <c r="V147" s="17" t="n"/>
      <c r="W147" s="17" t="n"/>
      <c r="X147" s="17" t="n"/>
      <c r="Y147" s="17" t="n"/>
      <c r="Z147" s="13">
        <f>SUMPRODUCT(N147:Y147,$N$2:$Y$2)*$K147*$L147*$M147</f>
        <v/>
      </c>
      <c r="AA147" s="14">
        <f>SUM(N147:Y147)</f>
        <v/>
      </c>
      <c r="AB147" s="14">
        <f>IFERROR(IF(UPPER($E147)="L",SUMPRODUCT(N147:Y147,$N$3:$Y$3,$N$2:$Y$2),SUMPRODUCT(N147:Y147,$N$4:$Y$4,$N$2:$Y$2))/(Z147/($K147*$L147*$M147)),"")</f>
        <v/>
      </c>
      <c r="AC147" s="18" t="n"/>
    </row>
    <row r="148">
      <c r="A148" s="9" t="n">
        <v>547180</v>
      </c>
      <c r="B148" s="9" t="inlineStr">
        <is>
          <t>Bryce Harper</t>
        </is>
      </c>
      <c r="C148" s="9" t="inlineStr">
        <is>
          <t>PHI</t>
        </is>
      </c>
      <c r="D148" s="9" t="n">
        <v>34</v>
      </c>
      <c r="E148" s="16" t="inlineStr">
        <is>
          <t>L</t>
        </is>
      </c>
      <c r="F148" s="16" t="inlineStr">
        <is>
          <t>1B</t>
        </is>
      </c>
      <c r="G148" s="9" t="n">
        <v>693</v>
      </c>
      <c r="H148" s="9" t="n">
        <v>2876</v>
      </c>
      <c r="I148" s="9" t="inlineStr">
        <is>
          <t>Full Time</t>
        </is>
      </c>
      <c r="J148" s="16" t="inlineStr">
        <is>
          <t>Opening Day</t>
        </is>
      </c>
      <c r="K148" s="11">
        <f>IFERROR(INDEX(Roles!$B$17:$B$20,MATCH(J148,Roles!$A$17:$A$20,0)),1)</f>
        <v/>
      </c>
      <c r="L148" s="17" t="n">
        <v>1</v>
      </c>
      <c r="M148" s="11" t="n">
        <v>1.135291843277178</v>
      </c>
      <c r="N148" s="17" t="n">
        <v>1</v>
      </c>
      <c r="O148" s="17" t="n"/>
      <c r="P148" s="17" t="n"/>
      <c r="Q148" s="17" t="n"/>
      <c r="R148" s="17" t="n"/>
      <c r="S148" s="17" t="n"/>
      <c r="T148" s="17" t="n"/>
      <c r="U148" s="17" t="n"/>
      <c r="V148" s="17" t="n"/>
      <c r="W148" s="17" t="n"/>
      <c r="X148" s="17" t="n"/>
      <c r="Y148" s="17" t="n"/>
      <c r="Z148" s="13">
        <f>SUMPRODUCT(N148:Y148,$N$2:$Y$2)*$K148*$L148*$M148</f>
        <v/>
      </c>
      <c r="AA148" s="14">
        <f>SUM(N148:Y148)</f>
        <v/>
      </c>
      <c r="AB148" s="14">
        <f>IFERROR(IF(UPPER($E148)="L",SUMPRODUCT(N148:Y148,$N$3:$Y$3,$N$2:$Y$2),SUMPRODUCT(N148:Y148,$N$4:$Y$4,$N$2:$Y$2))/(Z148/($K148*$L148*$M148)),"")</f>
        <v/>
      </c>
      <c r="AC148" s="18" t="n"/>
    </row>
    <row r="149">
      <c r="A149" s="9" t="n">
        <v>671277</v>
      </c>
      <c r="B149" s="9" t="inlineStr">
        <is>
          <t>Luis García Jr.</t>
        </is>
      </c>
      <c r="C149" s="9" t="inlineStr">
        <is>
          <t>NYY</t>
        </is>
      </c>
      <c r="D149" s="9" t="n">
        <v>27</v>
      </c>
      <c r="E149" s="16" t="inlineStr">
        <is>
          <t>L</t>
        </is>
      </c>
      <c r="F149" s="16" t="inlineStr">
        <is>
          <t>1B</t>
        </is>
      </c>
      <c r="G149" s="9" t="n">
        <v>543</v>
      </c>
      <c r="H149" s="9" t="n">
        <v>2456</v>
      </c>
      <c r="I149" s="9" t="inlineStr">
        <is>
          <t>Full Time</t>
        </is>
      </c>
      <c r="J149" s="16" t="inlineStr">
        <is>
          <t>Opening Day</t>
        </is>
      </c>
      <c r="K149" s="11">
        <f>IFERROR(INDEX(Roles!$B$17:$B$20,MATCH(J149,Roles!$A$17:$A$20,0)),1)</f>
        <v/>
      </c>
      <c r="L149" s="17" t="n">
        <v>1</v>
      </c>
      <c r="M149" s="11" t="n">
        <v>1.078344908712002</v>
      </c>
      <c r="N149" s="17" t="n">
        <v>0.7</v>
      </c>
      <c r="O149" s="17" t="n"/>
      <c r="P149" s="17" t="n">
        <v>0.3</v>
      </c>
      <c r="Q149" s="17" t="n"/>
      <c r="R149" s="17" t="n"/>
      <c r="S149" s="17" t="n"/>
      <c r="T149" s="17" t="n"/>
      <c r="U149" s="17" t="n"/>
      <c r="V149" s="17" t="n"/>
      <c r="W149" s="17" t="n"/>
      <c r="X149" s="17" t="n"/>
      <c r="Y149" s="17" t="n"/>
      <c r="Z149" s="13">
        <f>SUMPRODUCT(N149:Y149,$N$2:$Y$2)*$K149*$L149*$M149</f>
        <v/>
      </c>
      <c r="AA149" s="14">
        <f>SUM(N149:Y149)</f>
        <v/>
      </c>
      <c r="AB149" s="14">
        <f>IFERROR(IF(UPPER($E149)="L",SUMPRODUCT(N149:Y149,$N$3:$Y$3,$N$2:$Y$2),SUMPRODUCT(N149:Y149,$N$4:$Y$4,$N$2:$Y$2))/(Z149/($K149*$L149*$M149)),"")</f>
        <v/>
      </c>
      <c r="AC149" s="18" t="n"/>
    </row>
    <row r="150">
      <c r="A150" s="9" t="n">
        <v>668731</v>
      </c>
      <c r="B150" s="9" t="inlineStr">
        <is>
          <t>Akil Baddoo</t>
        </is>
      </c>
      <c r="C150" s="9" t="inlineStr">
        <is>
          <t>DET</t>
        </is>
      </c>
      <c r="D150" s="9" t="n">
        <v>28</v>
      </c>
      <c r="E150" s="16" t="inlineStr">
        <is>
          <t>L</t>
        </is>
      </c>
      <c r="F150" s="16" t="inlineStr">
        <is>
          <t>LF</t>
        </is>
      </c>
      <c r="G150" s="9" t="n">
        <v>18</v>
      </c>
      <c r="H150" s="9" t="n">
        <v>682</v>
      </c>
      <c r="I150" s="9" t="inlineStr">
        <is>
          <t>Depth (no MLB PA)</t>
        </is>
      </c>
      <c r="J150" s="16" t="inlineStr">
        <is>
          <t>Opening Day</t>
        </is>
      </c>
      <c r="K150" s="11">
        <f>IFERROR(INDEX(Roles!$B$17:$B$20,MATCH(J150,Roles!$A$17:$A$20,0)),1)</f>
        <v/>
      </c>
      <c r="L150" s="17" t="n">
        <v>1</v>
      </c>
      <c r="M150" s="11" t="n">
        <v>1</v>
      </c>
      <c r="N150" s="17" t="n"/>
      <c r="O150" s="17" t="n"/>
      <c r="P150" s="17" t="n"/>
      <c r="Q150" s="17" t="n"/>
      <c r="R150" s="17" t="n"/>
      <c r="S150" s="17" t="n"/>
      <c r="T150" s="17" t="n"/>
      <c r="U150" s="17" t="n"/>
      <c r="V150" s="17" t="n"/>
      <c r="W150" s="17" t="n"/>
      <c r="X150" s="17" t="n"/>
      <c r="Y150" s="17" t="n">
        <v>1</v>
      </c>
      <c r="Z150" s="13">
        <f>SUMPRODUCT(N150:Y150,$N$2:$Y$2)*$K150*$L150*$M150</f>
        <v/>
      </c>
      <c r="AA150" s="14">
        <f>SUM(N150:Y150)</f>
        <v/>
      </c>
      <c r="AB150" s="14">
        <f>IFERROR(IF(UPPER($E150)="L",SUMPRODUCT(N150:Y150,$N$3:$Y$3,$N$2:$Y$2),SUMPRODUCT(N150:Y150,$N$4:$Y$4,$N$2:$Y$2))/(Z150/($K150*$L150*$M150)),"")</f>
        <v/>
      </c>
      <c r="AC150" s="18" t="n"/>
    </row>
    <row r="151">
      <c r="A151" s="9" t="n">
        <v>699625</v>
      </c>
      <c r="B151" s="9" t="inlineStr">
        <is>
          <t>Jimmy Crooks</t>
        </is>
      </c>
      <c r="C151" s="9" t="inlineStr">
        <is>
          <t>STL</t>
        </is>
      </c>
      <c r="D151" s="9" t="n">
        <v>25</v>
      </c>
      <c r="E151" s="16" t="inlineStr">
        <is>
          <t>L</t>
        </is>
      </c>
      <c r="F151" s="16" t="inlineStr">
        <is>
          <t>C</t>
        </is>
      </c>
      <c r="G151" s="9" t="n">
        <v>149</v>
      </c>
      <c r="H151" s="9" t="n">
        <v>195</v>
      </c>
      <c r="I151" s="9" t="inlineStr">
        <is>
          <t>Catcher - Backup</t>
        </is>
      </c>
      <c r="J151" s="16" t="inlineStr">
        <is>
          <t>Opening Day</t>
        </is>
      </c>
      <c r="K151" s="11">
        <f>IFERROR(INDEX(Roles!$B$17:$B$20,MATCH(J151,Roles!$A$17:$A$20,0)),1)</f>
        <v/>
      </c>
      <c r="L151" s="17" t="n">
        <v>1</v>
      </c>
      <c r="M151" s="11" t="n">
        <v>1</v>
      </c>
      <c r="N151" s="17" t="n"/>
      <c r="O151" s="17" t="n"/>
      <c r="P151" s="17" t="n"/>
      <c r="Q151" s="17" t="n"/>
      <c r="R151" s="17" t="n"/>
      <c r="S151" s="17" t="n"/>
      <c r="T151" s="17" t="n">
        <v>1</v>
      </c>
      <c r="U151" s="17" t="n"/>
      <c r="V151" s="17" t="n"/>
      <c r="W151" s="17" t="n"/>
      <c r="X151" s="17" t="n"/>
      <c r="Y151" s="17" t="n"/>
      <c r="Z151" s="13">
        <f>SUMPRODUCT(N151:Y151,$N$2:$Y$2)*$K151*$L151*$M151</f>
        <v/>
      </c>
      <c r="AA151" s="14">
        <f>SUM(N151:Y151)</f>
        <v/>
      </c>
      <c r="AB151" s="14">
        <f>IFERROR(IF(UPPER($E151)="L",SUMPRODUCT(N151:Y151,$N$3:$Y$3,$N$2:$Y$2),SUMPRODUCT(N151:Y151,$N$4:$Y$4,$N$2:$Y$2))/(Z151/($K151*$L151*$M151)),"")</f>
        <v/>
      </c>
      <c r="AC151" s="18" t="n"/>
    </row>
    <row r="152">
      <c r="A152" s="9" t="n">
        <v>688363</v>
      </c>
      <c r="B152" s="9" t="inlineStr">
        <is>
          <t>Graham Pauley</t>
        </is>
      </c>
      <c r="C152" s="9" t="inlineStr">
        <is>
          <t>MIA</t>
        </is>
      </c>
      <c r="D152" s="9" t="n">
        <v>26</v>
      </c>
      <c r="E152" s="16" t="inlineStr">
        <is>
          <t>L</t>
        </is>
      </c>
      <c r="F152" s="16" t="inlineStr">
        <is>
          <t>3B</t>
        </is>
      </c>
      <c r="G152" s="9" t="n">
        <v>154</v>
      </c>
      <c r="H152" s="9" t="n">
        <v>370</v>
      </c>
      <c r="I152" s="9" t="inlineStr">
        <is>
          <t>Bench Bat</t>
        </is>
      </c>
      <c r="J152" s="16" t="inlineStr">
        <is>
          <t>Opening Day</t>
        </is>
      </c>
      <c r="K152" s="11">
        <f>IFERROR(INDEX(Roles!$B$17:$B$20,MATCH(J152,Roles!$A$17:$A$20,0)),1)</f>
        <v/>
      </c>
      <c r="L152" s="17" t="n">
        <v>1</v>
      </c>
      <c r="M152" s="11" t="n">
        <v>1</v>
      </c>
      <c r="N152" s="17" t="n"/>
      <c r="O152" s="17" t="n"/>
      <c r="P152" s="17" t="n"/>
      <c r="Q152" s="17" t="n"/>
      <c r="R152" s="17" t="n"/>
      <c r="S152" s="17" t="n"/>
      <c r="T152" s="17" t="n"/>
      <c r="U152" s="17" t="n">
        <v>0.4</v>
      </c>
      <c r="V152" s="17" t="n"/>
      <c r="W152" s="17" t="n">
        <v>0.6</v>
      </c>
      <c r="X152" s="17" t="n"/>
      <c r="Y152" s="17" t="n"/>
      <c r="Z152" s="13">
        <f>SUMPRODUCT(N152:Y152,$N$2:$Y$2)*$K152*$L152*$M152</f>
        <v/>
      </c>
      <c r="AA152" s="14">
        <f>SUM(N152:Y152)</f>
        <v/>
      </c>
      <c r="AB152" s="14">
        <f>IFERROR(IF(UPPER($E152)="L",SUMPRODUCT(N152:Y152,$N$3:$Y$3,$N$2:$Y$2),SUMPRODUCT(N152:Y152,$N$4:$Y$4,$N$2:$Y$2))/(Z152/($K152*$L152*$M152)),"")</f>
        <v/>
      </c>
      <c r="AC152" s="18" t="n"/>
    </row>
    <row r="153">
      <c r="A153" s="9" t="n">
        <v>666310</v>
      </c>
      <c r="B153" s="9" t="inlineStr">
        <is>
          <t>Bo Naylor</t>
        </is>
      </c>
      <c r="C153" s="9" t="inlineStr">
        <is>
          <t>MIL</t>
        </is>
      </c>
      <c r="D153" s="9" t="n">
        <v>27</v>
      </c>
      <c r="E153" s="16" t="inlineStr">
        <is>
          <t>L</t>
        </is>
      </c>
      <c r="F153" s="16" t="inlineStr">
        <is>
          <t>C</t>
        </is>
      </c>
      <c r="G153" s="9" t="n">
        <v>98</v>
      </c>
      <c r="H153" s="9" t="n">
        <v>1139</v>
      </c>
      <c r="I153" s="9" t="inlineStr">
        <is>
          <t>Bench Bat</t>
        </is>
      </c>
      <c r="J153" s="16" t="inlineStr">
        <is>
          <t>Opening Day</t>
        </is>
      </c>
      <c r="K153" s="11">
        <f>IFERROR(INDEX(Roles!$B$17:$B$20,MATCH(J153,Roles!$A$17:$A$20,0)),1)</f>
        <v/>
      </c>
      <c r="L153" s="17" t="n">
        <v>1</v>
      </c>
      <c r="M153" s="11" t="n">
        <v>0.9028075100558092</v>
      </c>
      <c r="N153" s="17" t="n"/>
      <c r="O153" s="17" t="n"/>
      <c r="P153" s="17" t="n"/>
      <c r="Q153" s="17" t="n"/>
      <c r="R153" s="17" t="n"/>
      <c r="S153" s="17" t="n"/>
      <c r="T153" s="17" t="n"/>
      <c r="U153" s="17" t="n"/>
      <c r="V153" s="17" t="n"/>
      <c r="W153" s="17" t="n">
        <v>0.85</v>
      </c>
      <c r="X153" s="17" t="n">
        <v>0.15</v>
      </c>
      <c r="Y153" s="17" t="n"/>
      <c r="Z153" s="13">
        <f>SUMPRODUCT(N153:Y153,$N$2:$Y$2)*$K153*$L153*$M153</f>
        <v/>
      </c>
      <c r="AA153" s="14">
        <f>SUM(N153:Y153)</f>
        <v/>
      </c>
      <c r="AB153" s="14">
        <f>IFERROR(IF(UPPER($E153)="L",SUMPRODUCT(N153:Y153,$N$3:$Y$3,$N$2:$Y$2),SUMPRODUCT(N153:Y153,$N$4:$Y$4,$N$2:$Y$2))/(Z153/($K153*$L153*$M153)),"")</f>
        <v/>
      </c>
      <c r="AC153" s="18" t="n"/>
    </row>
    <row r="154">
      <c r="A154" s="9" t="n">
        <v>686948</v>
      </c>
      <c r="B154" s="9" t="inlineStr">
        <is>
          <t>Drake Baldwin</t>
        </is>
      </c>
      <c r="C154" s="9" t="inlineStr">
        <is>
          <t>ATL</t>
        </is>
      </c>
      <c r="D154" s="9" t="n">
        <v>26</v>
      </c>
      <c r="E154" s="16" t="inlineStr">
        <is>
          <t>L</t>
        </is>
      </c>
      <c r="F154" s="16" t="inlineStr">
        <is>
          <t>C</t>
        </is>
      </c>
      <c r="G154" s="9" t="n">
        <v>615</v>
      </c>
      <c r="H154" s="9" t="n">
        <v>1061</v>
      </c>
      <c r="I154" s="9" t="inlineStr">
        <is>
          <t>Everyday DH / 1B-DH</t>
        </is>
      </c>
      <c r="J154" s="16" t="inlineStr">
        <is>
          <t>Opening Day</t>
        </is>
      </c>
      <c r="K154" s="11">
        <f>IFERROR(INDEX(Roles!$B$17:$B$20,MATCH(J154,Roles!$A$17:$A$20,0)),1)</f>
        <v/>
      </c>
      <c r="L154" s="17" t="n">
        <v>1</v>
      </c>
      <c r="M154" s="11" t="n">
        <v>1.031735194919496</v>
      </c>
      <c r="N154" s="17" t="n"/>
      <c r="O154" s="17" t="n">
        <v>1</v>
      </c>
      <c r="P154" s="17" t="n"/>
      <c r="Q154" s="17" t="n"/>
      <c r="R154" s="17" t="n"/>
      <c r="S154" s="17" t="n"/>
      <c r="T154" s="17" t="n"/>
      <c r="U154" s="17" t="n"/>
      <c r="V154" s="17" t="n"/>
      <c r="W154" s="17" t="n"/>
      <c r="X154" s="17" t="n"/>
      <c r="Y154" s="17" t="n"/>
      <c r="Z154" s="13">
        <f>SUMPRODUCT(N154:Y154,$N$2:$Y$2)*$K154*$L154*$M154</f>
        <v/>
      </c>
      <c r="AA154" s="14">
        <f>SUM(N154:Y154)</f>
        <v/>
      </c>
      <c r="AB154" s="14">
        <f>IFERROR(IF(UPPER($E154)="L",SUMPRODUCT(N154:Y154,$N$3:$Y$3,$N$2:$Y$2),SUMPRODUCT(N154:Y154,$N$4:$Y$4,$N$2:$Y$2))/(Z154/($K154*$L154*$M154)),"")</f>
        <v/>
      </c>
      <c r="AC154" s="18" t="n"/>
    </row>
    <row r="155">
      <c r="A155" s="9" t="n">
        <v>641343</v>
      </c>
      <c r="B155" s="9" t="inlineStr">
        <is>
          <t>Jake Bauers</t>
        </is>
      </c>
      <c r="C155" s="9" t="inlineStr">
        <is>
          <t>MIL</t>
        </is>
      </c>
      <c r="D155" s="9" t="n">
        <v>31</v>
      </c>
      <c r="E155" s="16" t="inlineStr">
        <is>
          <t>L</t>
        </is>
      </c>
      <c r="F155" s="16" t="inlineStr">
        <is>
          <t>1B</t>
        </is>
      </c>
      <c r="G155" s="9" t="n">
        <v>578</v>
      </c>
      <c r="H155" s="9" t="n">
        <v>1414</v>
      </c>
      <c r="I155" s="9" t="inlineStr">
        <is>
          <t>Full Time</t>
        </is>
      </c>
      <c r="J155" s="16" t="inlineStr">
        <is>
          <t>Opening Day</t>
        </is>
      </c>
      <c r="K155" s="11">
        <f>IFERROR(INDEX(Roles!$B$17:$B$20,MATCH(J155,Roles!$A$17:$A$20,0)),1)</f>
        <v/>
      </c>
      <c r="L155" s="17" t="n">
        <v>1</v>
      </c>
      <c r="M155" s="11" t="n">
        <v>1.003548934954756</v>
      </c>
      <c r="N155" s="17" t="n">
        <v>0.85</v>
      </c>
      <c r="O155" s="17" t="n"/>
      <c r="P155" s="17" t="n">
        <v>0.15</v>
      </c>
      <c r="Q155" s="17" t="n"/>
      <c r="R155" s="17" t="n"/>
      <c r="S155" s="17" t="n"/>
      <c r="T155" s="17" t="n"/>
      <c r="U155" s="17" t="n"/>
      <c r="V155" s="17" t="n"/>
      <c r="W155" s="17" t="n"/>
      <c r="X155" s="17" t="n"/>
      <c r="Y155" s="17" t="n"/>
      <c r="Z155" s="13">
        <f>SUMPRODUCT(N155:Y155,$N$2:$Y$2)*$K155*$L155*$M155</f>
        <v/>
      </c>
      <c r="AA155" s="14">
        <f>SUM(N155:Y155)</f>
        <v/>
      </c>
      <c r="AB155" s="14">
        <f>IFERROR(IF(UPPER($E155)="L",SUMPRODUCT(N155:Y155,$N$3:$Y$3,$N$2:$Y$2),SUMPRODUCT(N155:Y155,$N$4:$Y$4,$N$2:$Y$2))/(Z155/($K155*$L155*$M155)),"")</f>
        <v/>
      </c>
      <c r="AC155" s="18" t="n"/>
    </row>
    <row r="156">
      <c r="A156" s="9" t="n">
        <v>676475</v>
      </c>
      <c r="B156" s="9" t="inlineStr">
        <is>
          <t>Alec Burleson</t>
        </is>
      </c>
      <c r="C156" s="9" t="inlineStr">
        <is>
          <t>STL</t>
        </is>
      </c>
      <c r="D156" s="9" t="n">
        <v>28</v>
      </c>
      <c r="E156" s="16" t="inlineStr">
        <is>
          <t>L</t>
        </is>
      </c>
      <c r="F156" s="16" t="inlineStr">
        <is>
          <t>1B</t>
        </is>
      </c>
      <c r="G156" s="9" t="n">
        <v>670</v>
      </c>
      <c r="H156" s="9" t="n">
        <v>2211</v>
      </c>
      <c r="I156" s="9" t="inlineStr">
        <is>
          <t>Full Time</t>
        </is>
      </c>
      <c r="J156" s="16" t="inlineStr">
        <is>
          <t>Opening Day</t>
        </is>
      </c>
      <c r="K156" s="11">
        <f>IFERROR(INDEX(Roles!$B$17:$B$20,MATCH(J156,Roles!$A$17:$A$20,0)),1)</f>
        <v/>
      </c>
      <c r="L156" s="17" t="n">
        <v>1</v>
      </c>
      <c r="M156" s="11" t="n">
        <v>1.15</v>
      </c>
      <c r="N156" s="17" t="n">
        <v>1</v>
      </c>
      <c r="O156" s="17" t="n"/>
      <c r="P156" s="17" t="n"/>
      <c r="Q156" s="17" t="n"/>
      <c r="R156" s="17" t="n"/>
      <c r="S156" s="17" t="n"/>
      <c r="T156" s="17" t="n"/>
      <c r="U156" s="17" t="n"/>
      <c r="V156" s="17" t="n"/>
      <c r="W156" s="17" t="n"/>
      <c r="X156" s="17" t="n"/>
      <c r="Y156" s="17" t="n"/>
      <c r="Z156" s="13">
        <f>SUMPRODUCT(N156:Y156,$N$2:$Y$2)*$K156*$L156*$M156</f>
        <v/>
      </c>
      <c r="AA156" s="14">
        <f>SUM(N156:Y156)</f>
        <v/>
      </c>
      <c r="AB156" s="14">
        <f>IFERROR(IF(UPPER($E156)="L",SUMPRODUCT(N156:Y156,$N$3:$Y$3,$N$2:$Y$2),SUMPRODUCT(N156:Y156,$N$4:$Y$4,$N$2:$Y$2))/(Z156/($K156*$L156*$M156)),"")</f>
        <v/>
      </c>
      <c r="AC156" s="18" t="n"/>
    </row>
    <row r="157">
      <c r="A157" s="9" t="n">
        <v>665923</v>
      </c>
      <c r="B157" s="9" t="inlineStr">
        <is>
          <t>Esteury Ruiz</t>
        </is>
      </c>
      <c r="C157" s="9" t="inlineStr">
        <is>
          <t>MIA</t>
        </is>
      </c>
      <c r="D157" s="9" t="n">
        <v>28</v>
      </c>
      <c r="E157" s="16" t="inlineStr">
        <is>
          <t>R</t>
        </is>
      </c>
      <c r="F157" s="16" t="inlineStr">
        <is>
          <t>RF</t>
        </is>
      </c>
      <c r="G157" s="9" t="n">
        <v>255</v>
      </c>
      <c r="H157" s="9" t="n">
        <v>876</v>
      </c>
      <c r="I157" s="9" t="inlineStr">
        <is>
          <t>Weak Side Platoon</t>
        </is>
      </c>
      <c r="J157" s="16" t="inlineStr">
        <is>
          <t>Opening Day</t>
        </is>
      </c>
      <c r="K157" s="11">
        <f>IFERROR(INDEX(Roles!$B$17:$B$20,MATCH(J157,Roles!$A$17:$A$20,0)),1)</f>
        <v/>
      </c>
      <c r="L157" s="17" t="n">
        <v>1</v>
      </c>
      <c r="M157" s="11" t="n">
        <v>0.8516786486778083</v>
      </c>
      <c r="N157" s="17" t="n"/>
      <c r="O157" s="17" t="n"/>
      <c r="P157" s="17" t="n"/>
      <c r="Q157" s="17" t="n">
        <v>0.6</v>
      </c>
      <c r="R157" s="17" t="n"/>
      <c r="S157" s="17" t="n"/>
      <c r="T157" s="17" t="n"/>
      <c r="U157" s="17" t="n"/>
      <c r="V157" s="17" t="n">
        <v>0.4</v>
      </c>
      <c r="W157" s="17" t="n"/>
      <c r="X157" s="17" t="n"/>
      <c r="Y157" s="17" t="n"/>
      <c r="Z157" s="13">
        <f>SUMPRODUCT(N157:Y157,$N$2:$Y$2)*$K157*$L157*$M157</f>
        <v/>
      </c>
      <c r="AA157" s="14">
        <f>SUM(N157:Y157)</f>
        <v/>
      </c>
      <c r="AB157" s="14">
        <f>IFERROR(IF(UPPER($E157)="L",SUMPRODUCT(N157:Y157,$N$3:$Y$3,$N$2:$Y$2),SUMPRODUCT(N157:Y157,$N$4:$Y$4,$N$2:$Y$2))/(Z157/($K157*$L157*$M157)),"")</f>
        <v/>
      </c>
      <c r="AC157" s="18" t="n"/>
    </row>
    <row r="158">
      <c r="A158" s="9" t="n">
        <v>543309</v>
      </c>
      <c r="B158" s="9" t="inlineStr">
        <is>
          <t>Kyle Higashioka</t>
        </is>
      </c>
      <c r="C158" s="9" t="inlineStr">
        <is>
          <t>TEX</t>
        </is>
      </c>
      <c r="D158" s="9" t="n">
        <v>37</v>
      </c>
      <c r="E158" s="16" t="inlineStr">
        <is>
          <t>R</t>
        </is>
      </c>
      <c r="F158" s="16" t="inlineStr">
        <is>
          <t>C</t>
        </is>
      </c>
      <c r="G158" s="9" t="n">
        <v>186</v>
      </c>
      <c r="H158" s="9" t="n">
        <v>1284</v>
      </c>
      <c r="I158" s="9" t="inlineStr">
        <is>
          <t>Bench Bat</t>
        </is>
      </c>
      <c r="J158" s="16" t="inlineStr">
        <is>
          <t>Opening Day</t>
        </is>
      </c>
      <c r="K158" s="11">
        <f>IFERROR(INDEX(Roles!$B$17:$B$20,MATCH(J158,Roles!$A$17:$A$20,0)),1)</f>
        <v/>
      </c>
      <c r="L158" s="17" t="n">
        <v>1</v>
      </c>
      <c r="M158" s="11" t="n">
        <v>1</v>
      </c>
      <c r="N158" s="17" t="n"/>
      <c r="O158" s="17" t="n"/>
      <c r="P158" s="17" t="n"/>
      <c r="Q158" s="17" t="n"/>
      <c r="R158" s="17" t="n"/>
      <c r="S158" s="17" t="n"/>
      <c r="T158" s="17" t="n"/>
      <c r="U158" s="17" t="n"/>
      <c r="V158" s="17" t="n"/>
      <c r="W158" s="17" t="n">
        <v>0.85</v>
      </c>
      <c r="X158" s="17" t="n">
        <v>0.15</v>
      </c>
      <c r="Y158" s="17" t="n"/>
      <c r="Z158" s="13">
        <f>SUMPRODUCT(N158:Y158,$N$2:$Y$2)*$K158*$L158*$M158</f>
        <v/>
      </c>
      <c r="AA158" s="14">
        <f>SUM(N158:Y158)</f>
        <v/>
      </c>
      <c r="AB158" s="14">
        <f>IFERROR(IF(UPPER($E158)="L",SUMPRODUCT(N158:Y158,$N$3:$Y$3,$N$2:$Y$2),SUMPRODUCT(N158:Y158,$N$4:$Y$4,$N$2:$Y$2))/(Z158/($K158*$L158*$M158)),"")</f>
        <v/>
      </c>
      <c r="AC158" s="18" t="n"/>
    </row>
    <row r="159">
      <c r="A159" s="9" t="n">
        <v>678877</v>
      </c>
      <c r="B159" s="9" t="inlineStr">
        <is>
          <t>Jhonkensy Noel</t>
        </is>
      </c>
      <c r="C159" s="9" t="inlineStr">
        <is>
          <t>CLE</t>
        </is>
      </c>
      <c r="D159" s="9" t="n">
        <v>25</v>
      </c>
      <c r="E159" s="16" t="inlineStr">
        <is>
          <t>R</t>
        </is>
      </c>
      <c r="F159" s="16" t="inlineStr">
        <is>
          <t>RF</t>
        </is>
      </c>
      <c r="G159" s="9" t="n">
        <v>153</v>
      </c>
      <c r="H159" s="9" t="n">
        <v>351</v>
      </c>
      <c r="I159" s="9" t="inlineStr">
        <is>
          <t>Bench Bat</t>
        </is>
      </c>
      <c r="J159" s="16" t="inlineStr">
        <is>
          <t>Opening Day</t>
        </is>
      </c>
      <c r="K159" s="11">
        <f>IFERROR(INDEX(Roles!$B$17:$B$20,MATCH(J159,Roles!$A$17:$A$20,0)),1)</f>
        <v/>
      </c>
      <c r="L159" s="17" t="n">
        <v>1</v>
      </c>
      <c r="M159" s="11" t="n">
        <v>1</v>
      </c>
      <c r="N159" s="17" t="n"/>
      <c r="O159" s="17" t="n"/>
      <c r="P159" s="17" t="n"/>
      <c r="Q159" s="17" t="n"/>
      <c r="R159" s="17" t="n"/>
      <c r="S159" s="17" t="n"/>
      <c r="T159" s="17" t="n"/>
      <c r="U159" s="17" t="n"/>
      <c r="V159" s="17" t="n"/>
      <c r="W159" s="17" t="n">
        <v>1</v>
      </c>
      <c r="X159" s="17" t="n"/>
      <c r="Y159" s="17" t="n"/>
      <c r="Z159" s="13">
        <f>SUMPRODUCT(N159:Y159,$N$2:$Y$2)*$K159*$L159*$M159</f>
        <v/>
      </c>
      <c r="AA159" s="14">
        <f>SUM(N159:Y159)</f>
        <v/>
      </c>
      <c r="AB159" s="14">
        <f>IFERROR(IF(UPPER($E159)="L",SUMPRODUCT(N159:Y159,$N$3:$Y$3,$N$2:$Y$2),SUMPRODUCT(N159:Y159,$N$4:$Y$4,$N$2:$Y$2))/(Z159/($K159*$L159*$M159)),"")</f>
        <v/>
      </c>
      <c r="AC159" s="18" t="n"/>
    </row>
    <row r="160">
      <c r="A160" s="9" t="n">
        <v>670623</v>
      </c>
      <c r="B160" s="9" t="inlineStr">
        <is>
          <t>Isaac Paredes</t>
        </is>
      </c>
      <c r="C160" s="9" t="inlineStr">
        <is>
          <t>HOU</t>
        </is>
      </c>
      <c r="D160" s="9" t="n">
        <v>28</v>
      </c>
      <c r="E160" s="16" t="inlineStr">
        <is>
          <t>R</t>
        </is>
      </c>
      <c r="F160" s="16" t="inlineStr">
        <is>
          <t>3B</t>
        </is>
      </c>
      <c r="G160" s="9" t="n">
        <v>659</v>
      </c>
      <c r="H160" s="9" t="n">
        <v>2690</v>
      </c>
      <c r="I160" s="9" t="inlineStr">
        <is>
          <t>Full Time</t>
        </is>
      </c>
      <c r="J160" s="16" t="inlineStr">
        <is>
          <t>Opening Day</t>
        </is>
      </c>
      <c r="K160" s="11">
        <f>IFERROR(INDEX(Roles!$B$17:$B$20,MATCH(J160,Roles!$A$17:$A$20,0)),1)</f>
        <v/>
      </c>
      <c r="L160" s="17" t="n">
        <v>1</v>
      </c>
      <c r="M160" s="11" t="n">
        <v>1.093644085162348</v>
      </c>
      <c r="N160" s="17" t="n">
        <v>1</v>
      </c>
      <c r="O160" s="17" t="n"/>
      <c r="P160" s="17" t="n"/>
      <c r="Q160" s="17" t="n"/>
      <c r="R160" s="17" t="n"/>
      <c r="S160" s="17" t="n"/>
      <c r="T160" s="17" t="n"/>
      <c r="U160" s="17" t="n"/>
      <c r="V160" s="17" t="n"/>
      <c r="W160" s="17" t="n"/>
      <c r="X160" s="17" t="n"/>
      <c r="Y160" s="17" t="n"/>
      <c r="Z160" s="13">
        <f>SUMPRODUCT(N160:Y160,$N$2:$Y$2)*$K160*$L160*$M160</f>
        <v/>
      </c>
      <c r="AA160" s="14">
        <f>SUM(N160:Y160)</f>
        <v/>
      </c>
      <c r="AB160" s="14">
        <f>IFERROR(IF(UPPER($E160)="L",SUMPRODUCT(N160:Y160,$N$3:$Y$3,$N$2:$Y$2),SUMPRODUCT(N160:Y160,$N$4:$Y$4,$N$2:$Y$2))/(Z160/($K160*$L160*$M160)),"")</f>
        <v/>
      </c>
      <c r="AC160" s="18" t="n"/>
    </row>
    <row r="161">
      <c r="A161" s="9" t="n">
        <v>669477</v>
      </c>
      <c r="B161" s="9" t="inlineStr">
        <is>
          <t>Casey Schmitt</t>
        </is>
      </c>
      <c r="C161" s="9" t="inlineStr">
        <is>
          <t>SF</t>
        </is>
      </c>
      <c r="D161" s="9" t="n">
        <v>28</v>
      </c>
      <c r="E161" s="16" t="inlineStr">
        <is>
          <t>R</t>
        </is>
      </c>
      <c r="F161" s="16" t="inlineStr">
        <is>
          <t>LF</t>
        </is>
      </c>
      <c r="G161" s="9" t="n">
        <v>409</v>
      </c>
      <c r="H161" s="9" t="n">
        <v>1147</v>
      </c>
      <c r="I161" s="9" t="inlineStr">
        <is>
          <t>Bench Bat</t>
        </is>
      </c>
      <c r="J161" s="16" t="inlineStr">
        <is>
          <t>Opening Day</t>
        </is>
      </c>
      <c r="K161" s="11">
        <f>IFERROR(INDEX(Roles!$B$17:$B$20,MATCH(J161,Roles!$A$17:$A$20,0)),1)</f>
        <v/>
      </c>
      <c r="L161" s="17" t="n">
        <v>1</v>
      </c>
      <c r="M161" s="11" t="n">
        <v>1.015568372235355</v>
      </c>
      <c r="N161" s="17" t="n"/>
      <c r="O161" s="17" t="n"/>
      <c r="P161" s="17" t="n"/>
      <c r="Q161" s="17" t="n"/>
      <c r="R161" s="17" t="n"/>
      <c r="S161" s="17" t="n"/>
      <c r="T161" s="17" t="n"/>
      <c r="U161" s="17" t="n"/>
      <c r="V161" s="17" t="n"/>
      <c r="W161" s="17" t="n">
        <v>0.85</v>
      </c>
      <c r="X161" s="17" t="n">
        <v>0.15</v>
      </c>
      <c r="Y161" s="17" t="n"/>
      <c r="Z161" s="13">
        <f>SUMPRODUCT(N161:Y161,$N$2:$Y$2)*$K161*$L161*$M161</f>
        <v/>
      </c>
      <c r="AA161" s="14">
        <f>SUM(N161:Y161)</f>
        <v/>
      </c>
      <c r="AB161" s="14">
        <f>IFERROR(IF(UPPER($E161)="L",SUMPRODUCT(N161:Y161,$N$3:$Y$3,$N$2:$Y$2),SUMPRODUCT(N161:Y161,$N$4:$Y$4,$N$2:$Y$2))/(Z161/($K161*$L161*$M161)),"")</f>
        <v/>
      </c>
      <c r="AC161" s="18" t="n"/>
    </row>
    <row r="162">
      <c r="A162" s="9" t="n">
        <v>682626</v>
      </c>
      <c r="B162" s="9" t="inlineStr">
        <is>
          <t>Francisco Alvarez</t>
        </is>
      </c>
      <c r="C162" s="9" t="inlineStr">
        <is>
          <t>NYM</t>
        </is>
      </c>
      <c r="D162" s="9" t="n">
        <v>25</v>
      </c>
      <c r="E162" s="16" t="inlineStr">
        <is>
          <t>R</t>
        </is>
      </c>
      <c r="F162" s="16" t="inlineStr">
        <is>
          <t>C</t>
        </is>
      </c>
      <c r="G162" s="9" t="n">
        <v>420</v>
      </c>
      <c r="H162" s="9" t="n">
        <v>1476</v>
      </c>
      <c r="I162" s="9" t="inlineStr">
        <is>
          <t>Catcher - Primary</t>
        </is>
      </c>
      <c r="J162" s="16" t="inlineStr">
        <is>
          <t>Opening Day</t>
        </is>
      </c>
      <c r="K162" s="11">
        <f>IFERROR(INDEX(Roles!$B$17:$B$20,MATCH(J162,Roles!$A$17:$A$20,0)),1)</f>
        <v/>
      </c>
      <c r="L162" s="17" t="n">
        <v>1</v>
      </c>
      <c r="M162" s="11" t="n">
        <v>0.9299312875485936</v>
      </c>
      <c r="N162" s="17" t="n"/>
      <c r="O162" s="17" t="n"/>
      <c r="P162" s="17" t="n"/>
      <c r="Q162" s="17" t="n"/>
      <c r="R162" s="17" t="n">
        <v>0.7</v>
      </c>
      <c r="S162" s="17" t="n">
        <v>0.3</v>
      </c>
      <c r="T162" s="17" t="n"/>
      <c r="U162" s="17" t="n"/>
      <c r="V162" s="17" t="n"/>
      <c r="W162" s="17" t="n"/>
      <c r="X162" s="17" t="n"/>
      <c r="Y162" s="17" t="n"/>
      <c r="Z162" s="13">
        <f>SUMPRODUCT(N162:Y162,$N$2:$Y$2)*$K162*$L162*$M162</f>
        <v/>
      </c>
      <c r="AA162" s="14">
        <f>SUM(N162:Y162)</f>
        <v/>
      </c>
      <c r="AB162" s="14">
        <f>IFERROR(IF(UPPER($E162)="L",SUMPRODUCT(N162:Y162,$N$3:$Y$3,$N$2:$Y$2),SUMPRODUCT(N162:Y162,$N$4:$Y$4,$N$2:$Y$2))/(Z162/($K162*$L162*$M162)),"")</f>
        <v/>
      </c>
      <c r="AC162" s="18" t="n"/>
    </row>
    <row r="163">
      <c r="A163" s="9" t="n">
        <v>694175</v>
      </c>
      <c r="B163" s="9" t="inlineStr">
        <is>
          <t>Pedro León</t>
        </is>
      </c>
      <c r="C163" s="9" t="inlineStr">
        <is>
          <t>HOU</t>
        </is>
      </c>
      <c r="D163" s="9" t="n">
        <v>29</v>
      </c>
      <c r="E163" s="16" t="inlineStr">
        <is>
          <t>R</t>
        </is>
      </c>
      <c r="F163" s="16" t="inlineStr">
        <is>
          <t>RF</t>
        </is>
      </c>
      <c r="G163" s="9" t="n">
        <v>21</v>
      </c>
      <c r="H163" s="9" t="n">
        <v>21</v>
      </c>
      <c r="I163" s="9" t="inlineStr">
        <is>
          <t>Depth (no MLB PA)</t>
        </is>
      </c>
      <c r="J163" s="16" t="inlineStr">
        <is>
          <t>Opening Day</t>
        </is>
      </c>
      <c r="K163" s="11">
        <f>IFERROR(INDEX(Roles!$B$17:$B$20,MATCH(J163,Roles!$A$17:$A$20,0)),1)</f>
        <v/>
      </c>
      <c r="L163" s="17" t="n">
        <v>1</v>
      </c>
      <c r="M163" s="11" t="n">
        <v>1</v>
      </c>
      <c r="N163" s="17" t="n"/>
      <c r="O163" s="17" t="n"/>
      <c r="P163" s="17" t="n"/>
      <c r="Q163" s="17" t="n"/>
      <c r="R163" s="17" t="n"/>
      <c r="S163" s="17" t="n"/>
      <c r="T163" s="17" t="n"/>
      <c r="U163" s="17" t="n"/>
      <c r="V163" s="17" t="n"/>
      <c r="W163" s="17" t="n"/>
      <c r="X163" s="17" t="n"/>
      <c r="Y163" s="17" t="n">
        <v>1</v>
      </c>
      <c r="Z163" s="13">
        <f>SUMPRODUCT(N163:Y163,$N$2:$Y$2)*$K163*$L163*$M163</f>
        <v/>
      </c>
      <c r="AA163" s="14">
        <f>SUM(N163:Y163)</f>
        <v/>
      </c>
      <c r="AB163" s="14">
        <f>IFERROR(IF(UPPER($E163)="L",SUMPRODUCT(N163:Y163,$N$3:$Y$3,$N$2:$Y$2),SUMPRODUCT(N163:Y163,$N$4:$Y$4,$N$2:$Y$2))/(Z163/($K163*$L163*$M163)),"")</f>
        <v/>
      </c>
      <c r="AC163" s="18" t="n"/>
    </row>
    <row r="164">
      <c r="A164" s="9" t="n">
        <v>543807</v>
      </c>
      <c r="B164" s="9" t="inlineStr">
        <is>
          <t>George Springer</t>
        </is>
      </c>
      <c r="C164" s="9" t="inlineStr">
        <is>
          <t>TOR</t>
        </is>
      </c>
      <c r="D164" s="9" t="n">
        <v>37</v>
      </c>
      <c r="E164" s="16" t="inlineStr">
        <is>
          <t>R</t>
        </is>
      </c>
      <c r="F164" s="16" t="inlineStr">
        <is>
          <t>LF</t>
        </is>
      </c>
      <c r="G164" s="9" t="n">
        <v>517</v>
      </c>
      <c r="H164" s="9" t="n">
        <v>2983</v>
      </c>
      <c r="I164" s="9" t="inlineStr">
        <is>
          <t>Everyday DH / 1B-DH</t>
        </is>
      </c>
      <c r="J164" s="16" t="inlineStr">
        <is>
          <t>Opening Day</t>
        </is>
      </c>
      <c r="K164" s="11">
        <f>IFERROR(INDEX(Roles!$B$17:$B$20,MATCH(J164,Roles!$A$17:$A$20,0)),1)</f>
        <v/>
      </c>
      <c r="L164" s="17" t="n">
        <v>1</v>
      </c>
      <c r="M164" s="11" t="n">
        <v>1.051667996769764</v>
      </c>
      <c r="N164" s="17" t="n"/>
      <c r="O164" s="17" t="n">
        <v>1</v>
      </c>
      <c r="P164" s="17" t="n"/>
      <c r="Q164" s="17" t="n"/>
      <c r="R164" s="17" t="n"/>
      <c r="S164" s="17" t="n"/>
      <c r="T164" s="17" t="n"/>
      <c r="U164" s="17" t="n"/>
      <c r="V164" s="17" t="n"/>
      <c r="W164" s="17" t="n"/>
      <c r="X164" s="17" t="n"/>
      <c r="Y164" s="17" t="n"/>
      <c r="Z164" s="13">
        <f>SUMPRODUCT(N164:Y164,$N$2:$Y$2)*$K164*$L164*$M164</f>
        <v/>
      </c>
      <c r="AA164" s="14">
        <f>SUM(N164:Y164)</f>
        <v/>
      </c>
      <c r="AB164" s="14">
        <f>IFERROR(IF(UPPER($E164)="L",SUMPRODUCT(N164:Y164,$N$3:$Y$3,$N$2:$Y$2),SUMPRODUCT(N164:Y164,$N$4:$Y$4,$N$2:$Y$2))/(Z164/($K164*$L164*$M164)),"")</f>
        <v/>
      </c>
      <c r="AC164" s="18" t="n"/>
    </row>
    <row r="165">
      <c r="A165" s="9" t="n">
        <v>689531</v>
      </c>
      <c r="B165" s="9" t="inlineStr">
        <is>
          <t>Brett Squires</t>
        </is>
      </c>
      <c r="C165" s="9" t="inlineStr">
        <is>
          <t>KC</t>
        </is>
      </c>
      <c r="D165" s="9" t="n">
        <v>25</v>
      </c>
      <c r="E165" s="16" t="inlineStr">
        <is>
          <t>L</t>
        </is>
      </c>
      <c r="F165" s="16" t="n"/>
      <c r="G165" s="9" t="n">
        <v>229.5897435897436</v>
      </c>
      <c r="H165" s="9" t="n">
        <v>229.5897435897436</v>
      </c>
      <c r="I165" s="9" t="inlineStr">
        <is>
          <t>Depth (no MLB PA)</t>
        </is>
      </c>
      <c r="J165" s="16" t="inlineStr">
        <is>
          <t>Opening Day</t>
        </is>
      </c>
      <c r="K165" s="11">
        <f>IFERROR(INDEX(Roles!$B$17:$B$20,MATCH(J165,Roles!$A$17:$A$20,0)),1)</f>
        <v/>
      </c>
      <c r="L165" s="17" t="n">
        <v>1</v>
      </c>
      <c r="M165" s="11" t="n">
        <v>1</v>
      </c>
      <c r="N165" s="17" t="n"/>
      <c r="O165" s="17" t="n"/>
      <c r="P165" s="17" t="n"/>
      <c r="Q165" s="17" t="n"/>
      <c r="R165" s="17" t="n"/>
      <c r="S165" s="17" t="n"/>
      <c r="T165" s="17" t="n"/>
      <c r="U165" s="17" t="n"/>
      <c r="V165" s="17" t="n"/>
      <c r="W165" s="17" t="n"/>
      <c r="X165" s="17" t="n"/>
      <c r="Y165" s="17" t="n">
        <v>1</v>
      </c>
      <c r="Z165" s="13">
        <f>SUMPRODUCT(N165:Y165,$N$2:$Y$2)*$K165*$L165*$M165</f>
        <v/>
      </c>
      <c r="AA165" s="14">
        <f>SUM(N165:Y165)</f>
        <v/>
      </c>
      <c r="AB165" s="14">
        <f>IFERROR(IF(UPPER($E165)="L",SUMPRODUCT(N165:Y165,$N$3:$Y$3,$N$2:$Y$2),SUMPRODUCT(N165:Y165,$N$4:$Y$4,$N$2:$Y$2))/(Z165/($K165*$L165*$M165)),"")</f>
        <v/>
      </c>
      <c r="AC165" s="18" t="n"/>
    </row>
    <row r="166">
      <c r="A166" s="9" t="n">
        <v>664874</v>
      </c>
      <c r="B166" s="9" t="inlineStr">
        <is>
          <t>Seby Zavala</t>
        </is>
      </c>
      <c r="C166" s="9" t="inlineStr">
        <is>
          <t>SEA</t>
        </is>
      </c>
      <c r="D166" s="9" t="n">
        <v>33</v>
      </c>
      <c r="E166" s="16" t="inlineStr">
        <is>
          <t>R</t>
        </is>
      </c>
      <c r="F166" s="16" t="inlineStr">
        <is>
          <t>C</t>
        </is>
      </c>
      <c r="G166" s="9" t="n">
        <v>43</v>
      </c>
      <c r="H166" s="9" t="n">
        <v>441</v>
      </c>
      <c r="I166" s="9" t="inlineStr">
        <is>
          <t>Depth (no MLB PA)</t>
        </is>
      </c>
      <c r="J166" s="16" t="inlineStr">
        <is>
          <t>Opening Day</t>
        </is>
      </c>
      <c r="K166" s="11">
        <f>IFERROR(INDEX(Roles!$B$17:$B$20,MATCH(J166,Roles!$A$17:$A$20,0)),1)</f>
        <v/>
      </c>
      <c r="L166" s="17" t="n">
        <v>1</v>
      </c>
      <c r="M166" s="11" t="n">
        <v>1</v>
      </c>
      <c r="N166" s="17" t="n"/>
      <c r="O166" s="17" t="n"/>
      <c r="P166" s="17" t="n"/>
      <c r="Q166" s="17" t="n"/>
      <c r="R166" s="17" t="n"/>
      <c r="S166" s="17" t="n"/>
      <c r="T166" s="17" t="n"/>
      <c r="U166" s="17" t="n"/>
      <c r="V166" s="17" t="n"/>
      <c r="W166" s="17" t="n"/>
      <c r="X166" s="17" t="n"/>
      <c r="Y166" s="17" t="n">
        <v>1</v>
      </c>
      <c r="Z166" s="13">
        <f>SUMPRODUCT(N166:Y166,$N$2:$Y$2)*$K166*$L166*$M166</f>
        <v/>
      </c>
      <c r="AA166" s="14">
        <f>SUM(N166:Y166)</f>
        <v/>
      </c>
      <c r="AB166" s="14">
        <f>IFERROR(IF(UPPER($E166)="L",SUMPRODUCT(N166:Y166,$N$3:$Y$3,$N$2:$Y$2),SUMPRODUCT(N166:Y166,$N$4:$Y$4,$N$2:$Y$2))/(Z166/($K166*$L166*$M166)),"")</f>
        <v/>
      </c>
      <c r="AC166" s="18" t="n"/>
    </row>
    <row r="167">
      <c r="A167" s="9" t="n">
        <v>680869</v>
      </c>
      <c r="B167" s="9" t="inlineStr">
        <is>
          <t>Zack Gelof</t>
        </is>
      </c>
      <c r="C167" s="9" t="inlineStr">
        <is>
          <t>OAK</t>
        </is>
      </c>
      <c r="D167" s="9" t="n">
        <v>27</v>
      </c>
      <c r="E167" s="16" t="inlineStr">
        <is>
          <t>R</t>
        </is>
      </c>
      <c r="F167" s="16" t="inlineStr">
        <is>
          <t>3B</t>
        </is>
      </c>
      <c r="G167" s="9" t="n">
        <v>435</v>
      </c>
      <c r="H167" s="9" t="n">
        <v>1383</v>
      </c>
      <c r="I167" s="9" t="inlineStr">
        <is>
          <t>Full Time</t>
        </is>
      </c>
      <c r="J167" s="16" t="inlineStr">
        <is>
          <t>Opening Day</t>
        </is>
      </c>
      <c r="K167" s="11">
        <f>IFERROR(INDEX(Roles!$B$17:$B$20,MATCH(J167,Roles!$A$17:$A$20,0)),1)</f>
        <v/>
      </c>
      <c r="L167" s="17" t="n">
        <v>1</v>
      </c>
      <c r="M167" s="11" t="n">
        <v>0.8701061181378513</v>
      </c>
      <c r="N167" s="17" t="n">
        <v>0.85</v>
      </c>
      <c r="O167" s="17" t="n"/>
      <c r="P167" s="17" t="n">
        <v>0.15</v>
      </c>
      <c r="Q167" s="17" t="n"/>
      <c r="R167" s="17" t="n"/>
      <c r="S167" s="17" t="n"/>
      <c r="T167" s="17" t="n"/>
      <c r="U167" s="17" t="n"/>
      <c r="V167" s="17" t="n"/>
      <c r="W167" s="17" t="n"/>
      <c r="X167" s="17" t="n"/>
      <c r="Y167" s="17" t="n"/>
      <c r="Z167" s="13">
        <f>SUMPRODUCT(N167:Y167,$N$2:$Y$2)*$K167*$L167*$M167</f>
        <v/>
      </c>
      <c r="AA167" s="14">
        <f>SUM(N167:Y167)</f>
        <v/>
      </c>
      <c r="AB167" s="14">
        <f>IFERROR(IF(UPPER($E167)="L",SUMPRODUCT(N167:Y167,$N$3:$Y$3,$N$2:$Y$2),SUMPRODUCT(N167:Y167,$N$4:$Y$4,$N$2:$Y$2))/(Z167/($K167*$L167*$M167)),"")</f>
        <v/>
      </c>
      <c r="AC167" s="18" t="n"/>
    </row>
    <row r="168">
      <c r="A168" s="9" t="n">
        <v>669257</v>
      </c>
      <c r="B168" s="9" t="inlineStr">
        <is>
          <t>Will Smith</t>
        </is>
      </c>
      <c r="C168" s="9" t="inlineStr">
        <is>
          <t>LAD</t>
        </is>
      </c>
      <c r="D168" s="9" t="n">
        <v>32</v>
      </c>
      <c r="E168" s="16" t="inlineStr">
        <is>
          <t>R</t>
        </is>
      </c>
      <c r="F168" s="16" t="inlineStr">
        <is>
          <t>C</t>
        </is>
      </c>
      <c r="G168" s="9" t="n">
        <v>276</v>
      </c>
      <c r="H168" s="9" t="n">
        <v>2388</v>
      </c>
      <c r="I168" s="9" t="inlineStr">
        <is>
          <t>Catcher - Primary</t>
        </is>
      </c>
      <c r="J168" s="16" t="inlineStr">
        <is>
          <t>Opening Day</t>
        </is>
      </c>
      <c r="K168" s="11">
        <f>IFERROR(INDEX(Roles!$B$17:$B$20,MATCH(J168,Roles!$A$17:$A$20,0)),1)</f>
        <v/>
      </c>
      <c r="L168" s="17" t="n">
        <v>1</v>
      </c>
      <c r="M168" s="11" t="n">
        <v>0.8873615280486314</v>
      </c>
      <c r="N168" s="17" t="n"/>
      <c r="O168" s="17" t="n"/>
      <c r="P168" s="17" t="n"/>
      <c r="Q168" s="17" t="n"/>
      <c r="R168" s="17" t="n">
        <v>1</v>
      </c>
      <c r="S168" s="17" t="n"/>
      <c r="T168" s="17" t="n"/>
      <c r="U168" s="17" t="n"/>
      <c r="V168" s="17" t="n"/>
      <c r="W168" s="17" t="n"/>
      <c r="X168" s="17" t="n"/>
      <c r="Y168" s="17" t="n"/>
      <c r="Z168" s="13">
        <f>SUMPRODUCT(N168:Y168,$N$2:$Y$2)*$K168*$L168*$M168</f>
        <v/>
      </c>
      <c r="AA168" s="14">
        <f>SUM(N168:Y168)</f>
        <v/>
      </c>
      <c r="AB168" s="14">
        <f>IFERROR(IF(UPPER($E168)="L",SUMPRODUCT(N168:Y168,$N$3:$Y$3,$N$2:$Y$2),SUMPRODUCT(N168:Y168,$N$4:$Y$4,$N$2:$Y$2))/(Z168/($K168*$L168*$M168)),"")</f>
        <v/>
      </c>
      <c r="AC168" s="18" t="n"/>
    </row>
    <row r="169">
      <c r="A169" s="9" t="n">
        <v>673548</v>
      </c>
      <c r="B169" s="9" t="inlineStr">
        <is>
          <t>Seiya Suzuki</t>
        </is>
      </c>
      <c r="C169" s="9" t="inlineStr">
        <is>
          <t>CHC</t>
        </is>
      </c>
      <c r="D169" s="9" t="n">
        <v>32</v>
      </c>
      <c r="E169" s="16" t="inlineStr">
        <is>
          <t>R</t>
        </is>
      </c>
      <c r="F169" s="16" t="inlineStr">
        <is>
          <t>RF</t>
        </is>
      </c>
      <c r="G169" s="9" t="n">
        <v>634</v>
      </c>
      <c r="H169" s="9" t="n">
        <v>2899</v>
      </c>
      <c r="I169" s="9" t="inlineStr">
        <is>
          <t>Full Time</t>
        </is>
      </c>
      <c r="J169" s="16" t="inlineStr">
        <is>
          <t>Opening Day</t>
        </is>
      </c>
      <c r="K169" s="11">
        <f>IFERROR(INDEX(Roles!$B$17:$B$20,MATCH(J169,Roles!$A$17:$A$20,0)),1)</f>
        <v/>
      </c>
      <c r="L169" s="17" t="n">
        <v>1</v>
      </c>
      <c r="M169" s="11" t="n">
        <v>1.102143627634762</v>
      </c>
      <c r="N169" s="17" t="n">
        <v>1</v>
      </c>
      <c r="O169" s="17" t="n"/>
      <c r="P169" s="17" t="n"/>
      <c r="Q169" s="17" t="n"/>
      <c r="R169" s="17" t="n"/>
      <c r="S169" s="17" t="n"/>
      <c r="T169" s="17" t="n"/>
      <c r="U169" s="17" t="n"/>
      <c r="V169" s="17" t="n"/>
      <c r="W169" s="17" t="n"/>
      <c r="X169" s="17" t="n"/>
      <c r="Y169" s="17" t="n"/>
      <c r="Z169" s="13">
        <f>SUMPRODUCT(N169:Y169,$N$2:$Y$2)*$K169*$L169*$M169</f>
        <v/>
      </c>
      <c r="AA169" s="14">
        <f>SUM(N169:Y169)</f>
        <v/>
      </c>
      <c r="AB169" s="14">
        <f>IFERROR(IF(UPPER($E169)="L",SUMPRODUCT(N169:Y169,$N$3:$Y$3,$N$2:$Y$2),SUMPRODUCT(N169:Y169,$N$4:$Y$4,$N$2:$Y$2))/(Z169/($K169*$L169*$M169)),"")</f>
        <v/>
      </c>
      <c r="AC169" s="18" t="n"/>
    </row>
    <row r="170">
      <c r="A170" s="9" t="n">
        <v>693307</v>
      </c>
      <c r="B170" s="9" t="inlineStr">
        <is>
          <t>Dillon Dingler</t>
        </is>
      </c>
      <c r="C170" s="9" t="inlineStr">
        <is>
          <t>DET</t>
        </is>
      </c>
      <c r="D170" s="9" t="n">
        <v>28</v>
      </c>
      <c r="E170" s="16" t="inlineStr">
        <is>
          <t>R</t>
        </is>
      </c>
      <c r="F170" s="16" t="inlineStr">
        <is>
          <t>C</t>
        </is>
      </c>
      <c r="G170" s="9" t="n">
        <v>607</v>
      </c>
      <c r="H170" s="9" t="n">
        <v>1163</v>
      </c>
      <c r="I170" s="9" t="inlineStr">
        <is>
          <t>Catcher - Primary</t>
        </is>
      </c>
      <c r="J170" s="16" t="inlineStr">
        <is>
          <t>Opening Day</t>
        </is>
      </c>
      <c r="K170" s="11">
        <f>IFERROR(INDEX(Roles!$B$17:$B$20,MATCH(J170,Roles!$A$17:$A$20,0)),1)</f>
        <v/>
      </c>
      <c r="L170" s="17" t="n">
        <v>1</v>
      </c>
      <c r="M170" s="11" t="n">
        <v>1.037714295644243</v>
      </c>
      <c r="N170" s="17" t="n"/>
      <c r="O170" s="17" t="n"/>
      <c r="P170" s="17" t="n"/>
      <c r="Q170" s="17" t="n"/>
      <c r="R170" s="17" t="n">
        <v>1</v>
      </c>
      <c r="S170" s="17" t="n"/>
      <c r="T170" s="17" t="n"/>
      <c r="U170" s="17" t="n"/>
      <c r="V170" s="17" t="n"/>
      <c r="W170" s="17" t="n"/>
      <c r="X170" s="17" t="n"/>
      <c r="Y170" s="17" t="n"/>
      <c r="Z170" s="13">
        <f>SUMPRODUCT(N170:Y170,$N$2:$Y$2)*$K170*$L170*$M170</f>
        <v/>
      </c>
      <c r="AA170" s="14">
        <f>SUM(N170:Y170)</f>
        <v/>
      </c>
      <c r="AB170" s="14">
        <f>IFERROR(IF(UPPER($E170)="L",SUMPRODUCT(N170:Y170,$N$3:$Y$3,$N$2:$Y$2),SUMPRODUCT(N170:Y170,$N$4:$Y$4,$N$2:$Y$2))/(Z170/($K170*$L170*$M170)),"")</f>
        <v/>
      </c>
      <c r="AC170" s="18" t="n"/>
    </row>
    <row r="171">
      <c r="A171" s="9" t="n">
        <v>668715</v>
      </c>
      <c r="B171" s="9" t="inlineStr">
        <is>
          <t>Spencer Steer</t>
        </is>
      </c>
      <c r="C171" s="9" t="inlineStr">
        <is>
          <t>CIN</t>
        </is>
      </c>
      <c r="D171" s="9" t="n">
        <v>29</v>
      </c>
      <c r="E171" s="16" t="inlineStr">
        <is>
          <t>R</t>
        </is>
      </c>
      <c r="F171" s="16" t="inlineStr">
        <is>
          <t>1B</t>
        </is>
      </c>
      <c r="G171" s="9" t="n">
        <v>384</v>
      </c>
      <c r="H171" s="9" t="n">
        <v>2381</v>
      </c>
      <c r="I171" s="9" t="inlineStr">
        <is>
          <t>Bench Bat</t>
        </is>
      </c>
      <c r="J171" s="16" t="inlineStr">
        <is>
          <t>Opening Day</t>
        </is>
      </c>
      <c r="K171" s="11">
        <f>IFERROR(INDEX(Roles!$B$17:$B$20,MATCH(J171,Roles!$A$17:$A$20,0)),1)</f>
        <v/>
      </c>
      <c r="L171" s="17" t="n">
        <v>1</v>
      </c>
      <c r="M171" s="11" t="n">
        <v>1.15</v>
      </c>
      <c r="N171" s="17" t="n"/>
      <c r="O171" s="17" t="n"/>
      <c r="P171" s="17" t="n"/>
      <c r="Q171" s="17" t="n"/>
      <c r="R171" s="17" t="n"/>
      <c r="S171" s="17" t="n"/>
      <c r="T171" s="17" t="n"/>
      <c r="U171" s="17" t="n"/>
      <c r="V171" s="17" t="n"/>
      <c r="W171" s="17" t="n">
        <v>0.85</v>
      </c>
      <c r="X171" s="17" t="n">
        <v>0.15</v>
      </c>
      <c r="Y171" s="17" t="n"/>
      <c r="Z171" s="13">
        <f>SUMPRODUCT(N171:Y171,$N$2:$Y$2)*$K171*$L171*$M171</f>
        <v/>
      </c>
      <c r="AA171" s="14">
        <f>SUM(N171:Y171)</f>
        <v/>
      </c>
      <c r="AB171" s="14">
        <f>IFERROR(IF(UPPER($E171)="L",SUMPRODUCT(N171:Y171,$N$3:$Y$3,$N$2:$Y$2),SUMPRODUCT(N171:Y171,$N$4:$Y$4,$N$2:$Y$2))/(Z171/($K171*$L171*$M171)),"")</f>
        <v/>
      </c>
      <c r="AC171" s="18" t="n"/>
    </row>
    <row r="172">
      <c r="A172" s="9" t="n">
        <v>691185</v>
      </c>
      <c r="B172" s="9" t="inlineStr">
        <is>
          <t>Maximo Acosta</t>
        </is>
      </c>
      <c r="C172" s="9" t="inlineStr">
        <is>
          <t>MIA</t>
        </is>
      </c>
      <c r="D172" s="9" t="n">
        <v>24</v>
      </c>
      <c r="E172" s="16" t="inlineStr">
        <is>
          <t>R</t>
        </is>
      </c>
      <c r="F172" s="16" t="inlineStr">
        <is>
          <t>3B</t>
        </is>
      </c>
      <c r="G172" s="9" t="n">
        <v>61</v>
      </c>
      <c r="H172" s="9" t="n">
        <v>61</v>
      </c>
      <c r="I172" s="9" t="inlineStr">
        <is>
          <t>Bench Bat</t>
        </is>
      </c>
      <c r="J172" s="16" t="inlineStr">
        <is>
          <t>Opening Day</t>
        </is>
      </c>
      <c r="K172" s="11">
        <f>IFERROR(INDEX(Roles!$B$17:$B$20,MATCH(J172,Roles!$A$17:$A$20,0)),1)</f>
        <v/>
      </c>
      <c r="L172" s="17" t="n">
        <v>1</v>
      </c>
      <c r="M172" s="11" t="n">
        <v>1</v>
      </c>
      <c r="N172" s="17" t="n"/>
      <c r="O172" s="17" t="n"/>
      <c r="P172" s="17" t="n"/>
      <c r="Q172" s="17" t="n"/>
      <c r="R172" s="17" t="n"/>
      <c r="S172" s="17" t="n"/>
      <c r="T172" s="17" t="n"/>
      <c r="U172" s="17" t="n"/>
      <c r="V172" s="17" t="n"/>
      <c r="W172" s="17" t="n">
        <v>1</v>
      </c>
      <c r="X172" s="17" t="n"/>
      <c r="Y172" s="17" t="n"/>
      <c r="Z172" s="13">
        <f>SUMPRODUCT(N172:Y172,$N$2:$Y$2)*$K172*$L172*$M172</f>
        <v/>
      </c>
      <c r="AA172" s="14">
        <f>SUM(N172:Y172)</f>
        <v/>
      </c>
      <c r="AB172" s="14">
        <f>IFERROR(IF(UPPER($E172)="L",SUMPRODUCT(N172:Y172,$N$3:$Y$3,$N$2:$Y$2),SUMPRODUCT(N172:Y172,$N$4:$Y$4,$N$2:$Y$2))/(Z172/($K172*$L172*$M172)),"")</f>
        <v/>
      </c>
      <c r="AC172" s="18" t="n"/>
    </row>
    <row r="173">
      <c r="A173" s="9" t="n">
        <v>545341</v>
      </c>
      <c r="B173" s="9" t="inlineStr">
        <is>
          <t>Randal Grichuk</t>
        </is>
      </c>
      <c r="C173" s="9" t="inlineStr">
        <is>
          <t>CWS</t>
        </is>
      </c>
      <c r="D173" s="9" t="n">
        <v>35</v>
      </c>
      <c r="E173" s="16" t="inlineStr">
        <is>
          <t>R</t>
        </is>
      </c>
      <c r="F173" s="16" t="inlineStr">
        <is>
          <t>LF</t>
        </is>
      </c>
      <c r="G173" s="9" t="n">
        <v>280</v>
      </c>
      <c r="H173" s="9" t="n">
        <v>1861</v>
      </c>
      <c r="I173" s="9" t="inlineStr">
        <is>
          <t>Bench Bat</t>
        </is>
      </c>
      <c r="J173" s="16" t="inlineStr">
        <is>
          <t>Opening Day</t>
        </is>
      </c>
      <c r="K173" s="11">
        <f>IFERROR(INDEX(Roles!$B$17:$B$20,MATCH(J173,Roles!$A$17:$A$20,0)),1)</f>
        <v/>
      </c>
      <c r="L173" s="17" t="n">
        <v>1</v>
      </c>
      <c r="M173" s="11" t="n">
        <v>1.074488462383226</v>
      </c>
      <c r="N173" s="17" t="n"/>
      <c r="O173" s="17" t="n"/>
      <c r="P173" s="17" t="n"/>
      <c r="Q173" s="17" t="n"/>
      <c r="R173" s="17" t="n"/>
      <c r="S173" s="17" t="n"/>
      <c r="T173" s="17" t="n"/>
      <c r="U173" s="17" t="n"/>
      <c r="V173" s="17" t="n"/>
      <c r="W173" s="17" t="n">
        <v>1</v>
      </c>
      <c r="X173" s="17" t="n"/>
      <c r="Y173" s="17" t="n"/>
      <c r="Z173" s="13">
        <f>SUMPRODUCT(N173:Y173,$N$2:$Y$2)*$K173*$L173*$M173</f>
        <v/>
      </c>
      <c r="AA173" s="14">
        <f>SUM(N173:Y173)</f>
        <v/>
      </c>
      <c r="AB173" s="14">
        <f>IFERROR(IF(UPPER($E173)="L",SUMPRODUCT(N173:Y173,$N$3:$Y$3,$N$2:$Y$2),SUMPRODUCT(N173:Y173,$N$4:$Y$4,$N$2:$Y$2))/(Z173/($K173*$L173*$M173)),"")</f>
        <v/>
      </c>
      <c r="AC173" s="18" t="n"/>
    </row>
    <row r="174">
      <c r="A174" s="9" t="n">
        <v>702315</v>
      </c>
      <c r="B174" s="9" t="inlineStr">
        <is>
          <t>Bennett Hostetler</t>
        </is>
      </c>
      <c r="C174" s="9" t="inlineStr">
        <is>
          <t>MIA</t>
        </is>
      </c>
      <c r="D174" s="9" t="n">
        <v>25</v>
      </c>
      <c r="E174" s="16" t="inlineStr">
        <is>
          <t>R</t>
        </is>
      </c>
      <c r="F174" s="16" t="n"/>
      <c r="G174" s="9" t="n">
        <v>42.87179487179488</v>
      </c>
      <c r="H174" s="9" t="n">
        <v>42.87179487179488</v>
      </c>
      <c r="I174" s="9" t="inlineStr">
        <is>
          <t>Depth (no MLB PA)</t>
        </is>
      </c>
      <c r="J174" s="16" t="inlineStr">
        <is>
          <t>Opening Day</t>
        </is>
      </c>
      <c r="K174" s="11">
        <f>IFERROR(INDEX(Roles!$B$17:$B$20,MATCH(J174,Roles!$A$17:$A$20,0)),1)</f>
        <v/>
      </c>
      <c r="L174" s="17" t="n">
        <v>1</v>
      </c>
      <c r="M174" s="11" t="n">
        <v>1</v>
      </c>
      <c r="N174" s="17" t="n"/>
      <c r="O174" s="17" t="n"/>
      <c r="P174" s="17" t="n"/>
      <c r="Q174" s="17" t="n"/>
      <c r="R174" s="17" t="n"/>
      <c r="S174" s="17" t="n"/>
      <c r="T174" s="17" t="n"/>
      <c r="U174" s="17" t="n"/>
      <c r="V174" s="17" t="n"/>
      <c r="W174" s="17" t="n"/>
      <c r="X174" s="17" t="n"/>
      <c r="Y174" s="17" t="n">
        <v>1</v>
      </c>
      <c r="Z174" s="13">
        <f>SUMPRODUCT(N174:Y174,$N$2:$Y$2)*$K174*$L174*$M174</f>
        <v/>
      </c>
      <c r="AA174" s="14">
        <f>SUM(N174:Y174)</f>
        <v/>
      </c>
      <c r="AB174" s="14">
        <f>IFERROR(IF(UPPER($E174)="L",SUMPRODUCT(N174:Y174,$N$3:$Y$3,$N$2:$Y$2),SUMPRODUCT(N174:Y174,$N$4:$Y$4,$N$2:$Y$2))/(Z174/($K174*$L174*$M174)),"")</f>
        <v/>
      </c>
      <c r="AC174" s="18" t="n"/>
    </row>
    <row r="175">
      <c r="A175" s="9" t="n">
        <v>806252</v>
      </c>
      <c r="B175" s="9" t="inlineStr">
        <is>
          <t>Ralphy Velazquez</t>
        </is>
      </c>
      <c r="C175" s="9" t="inlineStr">
        <is>
          <t>CLE</t>
        </is>
      </c>
      <c r="D175" s="9" t="n">
        <v>22</v>
      </c>
      <c r="E175" s="16" t="inlineStr">
        <is>
          <t>L</t>
        </is>
      </c>
      <c r="F175" s="16" t="n"/>
      <c r="G175" s="9" t="n">
        <v>202.5128205128205</v>
      </c>
      <c r="H175" s="9" t="n">
        <v>202.5128205128205</v>
      </c>
      <c r="I175" s="9" t="inlineStr">
        <is>
          <t>Full Time</t>
        </is>
      </c>
      <c r="J175" s="16" t="inlineStr">
        <is>
          <t>Early Season (~May)</t>
        </is>
      </c>
      <c r="K175" s="11">
        <f>IFERROR(INDEX(Roles!$B$17:$B$20,MATCH(J175,Roles!$A$17:$A$20,0)),1)</f>
        <v/>
      </c>
      <c r="L175" s="17" t="n">
        <v>1</v>
      </c>
      <c r="M175" s="11" t="n">
        <v>1</v>
      </c>
      <c r="N175" s="17" t="n">
        <v>0.47</v>
      </c>
      <c r="O175" s="17" t="n"/>
      <c r="P175" s="17" t="n">
        <v>0.25</v>
      </c>
      <c r="Q175" s="17" t="n"/>
      <c r="R175" s="17" t="n"/>
      <c r="S175" s="17" t="n"/>
      <c r="T175" s="17" t="n"/>
      <c r="U175" s="17" t="n"/>
      <c r="V175" s="17" t="n"/>
      <c r="W175" s="17" t="n">
        <v>0.28</v>
      </c>
      <c r="X175" s="17" t="n"/>
      <c r="Y175" s="17" t="n"/>
      <c r="Z175" s="13">
        <f>SUMPRODUCT(N175:Y175,$N$2:$Y$2)*$K175*$L175*$M175</f>
        <v/>
      </c>
      <c r="AA175" s="14">
        <f>SUM(N175:Y175)</f>
        <v/>
      </c>
      <c r="AB175" s="14">
        <f>IFERROR(IF(UPPER($E175)="L",SUMPRODUCT(N175:Y175,$N$3:$Y$3,$N$2:$Y$2),SUMPRODUCT(N175:Y175,$N$4:$Y$4,$N$2:$Y$2))/(Z175/($K175*$L175*$M175)),"")</f>
        <v/>
      </c>
      <c r="AC175" s="18" t="n"/>
    </row>
    <row r="176">
      <c r="A176" s="9" t="n">
        <v>606466</v>
      </c>
      <c r="B176" s="9" t="inlineStr">
        <is>
          <t>Ketel Marte</t>
        </is>
      </c>
      <c r="C176" s="9" t="inlineStr">
        <is>
          <t>ARI</t>
        </is>
      </c>
      <c r="D176" s="9" t="n">
        <v>33</v>
      </c>
      <c r="E176" s="16" t="inlineStr">
        <is>
          <t>S</t>
        </is>
      </c>
      <c r="F176" s="16" t="inlineStr">
        <is>
          <t>2B</t>
        </is>
      </c>
      <c r="G176" s="9" t="n">
        <v>624</v>
      </c>
      <c r="H176" s="9" t="n">
        <v>2971</v>
      </c>
      <c r="I176" s="9" t="inlineStr">
        <is>
          <t>Full Time</t>
        </is>
      </c>
      <c r="J176" s="16" t="inlineStr">
        <is>
          <t>Opening Day</t>
        </is>
      </c>
      <c r="K176" s="11">
        <f>IFERROR(INDEX(Roles!$B$17:$B$20,MATCH(J176,Roles!$A$17:$A$20,0)),1)</f>
        <v/>
      </c>
      <c r="L176" s="17" t="n">
        <v>1</v>
      </c>
      <c r="M176" s="11" t="n">
        <v>1.060495869519932</v>
      </c>
      <c r="N176" s="17" t="n">
        <v>1</v>
      </c>
      <c r="O176" s="17" t="n"/>
      <c r="P176" s="17" t="n"/>
      <c r="Q176" s="17" t="n"/>
      <c r="R176" s="17" t="n"/>
      <c r="S176" s="17" t="n"/>
      <c r="T176" s="17" t="n"/>
      <c r="U176" s="17" t="n"/>
      <c r="V176" s="17" t="n"/>
      <c r="W176" s="17" t="n"/>
      <c r="X176" s="17" t="n"/>
      <c r="Y176" s="17" t="n"/>
      <c r="Z176" s="13">
        <f>SUMPRODUCT(N176:Y176,$N$2:$Y$2)*$K176*$L176*$M176</f>
        <v/>
      </c>
      <c r="AA176" s="14">
        <f>SUM(N176:Y176)</f>
        <v/>
      </c>
      <c r="AB176" s="14">
        <f>IFERROR(IF(UPPER($E176)="L",SUMPRODUCT(N176:Y176,$N$3:$Y$3,$N$2:$Y$2),SUMPRODUCT(N176:Y176,$N$4:$Y$4,$N$2:$Y$2))/(Z176/($K176*$L176*$M176)),"")</f>
        <v/>
      </c>
      <c r="AC176" s="18" t="n"/>
    </row>
    <row r="177">
      <c r="A177" s="9" t="n">
        <v>703155</v>
      </c>
      <c r="B177" s="9" t="inlineStr">
        <is>
          <t>Lazaro Montes</t>
        </is>
      </c>
      <c r="C177" s="9" t="inlineStr">
        <is>
          <t>SEA</t>
        </is>
      </c>
      <c r="D177" s="9" t="n">
        <v>22</v>
      </c>
      <c r="E177" s="16" t="inlineStr">
        <is>
          <t>L</t>
        </is>
      </c>
      <c r="F177" s="16" t="inlineStr">
        <is>
          <t>RF</t>
        </is>
      </c>
      <c r="G177" s="9" t="n">
        <v>59</v>
      </c>
      <c r="H177" s="9" t="n">
        <v>59</v>
      </c>
      <c r="I177" s="9" t="inlineStr">
        <is>
          <t>Strong Side Platoon</t>
        </is>
      </c>
      <c r="J177" s="16" t="inlineStr">
        <is>
          <t>Opening Day</t>
        </is>
      </c>
      <c r="K177" s="11">
        <f>IFERROR(INDEX(Roles!$B$17:$B$20,MATCH(J177,Roles!$A$17:$A$20,0)),1)</f>
        <v/>
      </c>
      <c r="L177" s="17" t="n">
        <v>1</v>
      </c>
      <c r="M177" s="11" t="n">
        <v>1</v>
      </c>
      <c r="N177" s="17" t="n">
        <v>0.4</v>
      </c>
      <c r="O177" s="17" t="n"/>
      <c r="P177" s="17" t="n">
        <v>0.6</v>
      </c>
      <c r="Q177" s="17" t="n"/>
      <c r="R177" s="17" t="n"/>
      <c r="S177" s="17" t="n"/>
      <c r="T177" s="17" t="n"/>
      <c r="U177" s="17" t="n"/>
      <c r="V177" s="17" t="n"/>
      <c r="W177" s="17" t="n"/>
      <c r="X177" s="17" t="n"/>
      <c r="Y177" s="17" t="n"/>
      <c r="Z177" s="13">
        <f>SUMPRODUCT(N177:Y177,$N$2:$Y$2)*$K177*$L177*$M177</f>
        <v/>
      </c>
      <c r="AA177" s="14">
        <f>SUM(N177:Y177)</f>
        <v/>
      </c>
      <c r="AB177" s="14">
        <f>IFERROR(IF(UPPER($E177)="L",SUMPRODUCT(N177:Y177,$N$3:$Y$3,$N$2:$Y$2),SUMPRODUCT(N177:Y177,$N$4:$Y$4,$N$2:$Y$2))/(Z177/($K177*$L177*$M177)),"")</f>
        <v/>
      </c>
      <c r="AC177" s="18" t="n"/>
    </row>
    <row r="178">
      <c r="A178" s="9" t="n">
        <v>673357</v>
      </c>
      <c r="B178" s="9" t="inlineStr">
        <is>
          <t>Luis Robert Jr.</t>
        </is>
      </c>
      <c r="C178" s="9" t="inlineStr">
        <is>
          <t>BAL</t>
        </is>
      </c>
      <c r="D178" s="9" t="n">
        <v>29</v>
      </c>
      <c r="E178" s="16" t="inlineStr">
        <is>
          <t>R</t>
        </is>
      </c>
      <c r="F178" s="16" t="inlineStr">
        <is>
          <t>CF</t>
        </is>
      </c>
      <c r="G178" s="9" t="n">
        <v>230</v>
      </c>
      <c r="H178" s="9" t="n">
        <v>2082</v>
      </c>
      <c r="I178" s="9" t="inlineStr">
        <is>
          <t>Bench Bat</t>
        </is>
      </c>
      <c r="J178" s="16" t="inlineStr">
        <is>
          <t>Opening Day</t>
        </is>
      </c>
      <c r="K178" s="11">
        <f>IFERROR(INDEX(Roles!$B$17:$B$20,MATCH(J178,Roles!$A$17:$A$20,0)),1)</f>
        <v/>
      </c>
      <c r="L178" s="17" t="n">
        <v>1</v>
      </c>
      <c r="M178" s="11" t="n">
        <v>0.948521373101571</v>
      </c>
      <c r="N178" s="17" t="n">
        <v>0.4</v>
      </c>
      <c r="O178" s="17" t="n"/>
      <c r="P178" s="17" t="n"/>
      <c r="Q178" s="17" t="n"/>
      <c r="R178" s="17" t="n"/>
      <c r="S178" s="17" t="n"/>
      <c r="T178" s="17" t="n"/>
      <c r="U178" s="17" t="n"/>
      <c r="V178" s="17" t="n"/>
      <c r="W178" s="17" t="n">
        <v>0.6</v>
      </c>
      <c r="X178" s="17" t="n"/>
      <c r="Y178" s="17" t="n"/>
      <c r="Z178" s="13">
        <f>SUMPRODUCT(N178:Y178,$N$2:$Y$2)*$K178*$L178*$M178</f>
        <v/>
      </c>
      <c r="AA178" s="14">
        <f>SUM(N178:Y178)</f>
        <v/>
      </c>
      <c r="AB178" s="14">
        <f>IFERROR(IF(UPPER($E178)="L",SUMPRODUCT(N178:Y178,$N$3:$Y$3,$N$2:$Y$2),SUMPRODUCT(N178:Y178,$N$4:$Y$4,$N$2:$Y$2))/(Z178/($K178*$L178*$M178)),"")</f>
        <v/>
      </c>
      <c r="AC178" s="18" t="n"/>
    </row>
    <row r="179">
      <c r="A179" s="9" t="n">
        <v>624424</v>
      </c>
      <c r="B179" s="9" t="inlineStr">
        <is>
          <t>Michael Conforto</t>
        </is>
      </c>
      <c r="C179" s="9" t="inlineStr">
        <is>
          <t>CHC</t>
        </is>
      </c>
      <c r="D179" s="9" t="n">
        <v>34</v>
      </c>
      <c r="E179" s="16" t="inlineStr">
        <is>
          <t>L</t>
        </is>
      </c>
      <c r="F179" s="16" t="inlineStr">
        <is>
          <t>RF</t>
        </is>
      </c>
      <c r="G179" s="9" t="n">
        <v>314</v>
      </c>
      <c r="H179" s="9" t="n">
        <v>1758</v>
      </c>
      <c r="I179" s="9" t="inlineStr">
        <is>
          <t>Everyday DH / 1B-DH</t>
        </is>
      </c>
      <c r="J179" s="16" t="inlineStr">
        <is>
          <t>Opening Day</t>
        </is>
      </c>
      <c r="K179" s="11">
        <f>IFERROR(INDEX(Roles!$B$17:$B$20,MATCH(J179,Roles!$A$17:$A$20,0)),1)</f>
        <v/>
      </c>
      <c r="L179" s="17" t="n">
        <v>1</v>
      </c>
      <c r="M179" s="11" t="n">
        <v>0.9527339856427176</v>
      </c>
      <c r="N179" s="17" t="n"/>
      <c r="O179" s="17" t="n">
        <v>0.7</v>
      </c>
      <c r="P179" s="17" t="n"/>
      <c r="Q179" s="17" t="n"/>
      <c r="R179" s="17" t="n"/>
      <c r="S179" s="17" t="n"/>
      <c r="T179" s="17" t="n"/>
      <c r="U179" s="17" t="n"/>
      <c r="V179" s="17" t="n"/>
      <c r="W179" s="17" t="n">
        <v>0.3</v>
      </c>
      <c r="X179" s="17" t="n"/>
      <c r="Y179" s="17" t="n"/>
      <c r="Z179" s="13">
        <f>SUMPRODUCT(N179:Y179,$N$2:$Y$2)*$K179*$L179*$M179</f>
        <v/>
      </c>
      <c r="AA179" s="14">
        <f>SUM(N179:Y179)</f>
        <v/>
      </c>
      <c r="AB179" s="14">
        <f>IFERROR(IF(UPPER($E179)="L",SUMPRODUCT(N179:Y179,$N$3:$Y$3,$N$2:$Y$2),SUMPRODUCT(N179:Y179,$N$4:$Y$4,$N$2:$Y$2))/(Z179/($K179*$L179*$M179)),"")</f>
        <v/>
      </c>
      <c r="AC179" s="18" t="n"/>
    </row>
    <row r="180">
      <c r="A180" s="9" t="n">
        <v>642137</v>
      </c>
      <c r="B180" s="9" t="inlineStr">
        <is>
          <t>Cody Thomas</t>
        </is>
      </c>
      <c r="C180" s="9" t="inlineStr">
        <is>
          <t>OAK</t>
        </is>
      </c>
      <c r="D180" s="9" t="n">
        <v>32</v>
      </c>
      <c r="E180" s="16" t="inlineStr">
        <is>
          <t>L</t>
        </is>
      </c>
      <c r="F180" s="16" t="inlineStr">
        <is>
          <t>RF</t>
        </is>
      </c>
      <c r="G180" s="9" t="n">
        <v>46</v>
      </c>
      <c r="H180" s="9" t="n">
        <v>78</v>
      </c>
      <c r="I180" s="9" t="inlineStr">
        <is>
          <t>Depth (no MLB PA)</t>
        </is>
      </c>
      <c r="J180" s="16" t="inlineStr">
        <is>
          <t>Opening Day</t>
        </is>
      </c>
      <c r="K180" s="11">
        <f>IFERROR(INDEX(Roles!$B$17:$B$20,MATCH(J180,Roles!$A$17:$A$20,0)),1)</f>
        <v/>
      </c>
      <c r="L180" s="17" t="n">
        <v>1</v>
      </c>
      <c r="M180" s="11" t="n">
        <v>1</v>
      </c>
      <c r="N180" s="17" t="n"/>
      <c r="O180" s="17" t="n"/>
      <c r="P180" s="17" t="n"/>
      <c r="Q180" s="17" t="n"/>
      <c r="R180" s="17" t="n"/>
      <c r="S180" s="17" t="n"/>
      <c r="T180" s="17" t="n"/>
      <c r="U180" s="17" t="n"/>
      <c r="V180" s="17" t="n"/>
      <c r="W180" s="17" t="n"/>
      <c r="X180" s="17" t="n"/>
      <c r="Y180" s="17" t="n">
        <v>1</v>
      </c>
      <c r="Z180" s="13">
        <f>SUMPRODUCT(N180:Y180,$N$2:$Y$2)*$K180*$L180*$M180</f>
        <v/>
      </c>
      <c r="AA180" s="14">
        <f>SUM(N180:Y180)</f>
        <v/>
      </c>
      <c r="AB180" s="14">
        <f>IFERROR(IF(UPPER($E180)="L",SUMPRODUCT(N180:Y180,$N$3:$Y$3,$N$2:$Y$2),SUMPRODUCT(N180:Y180,$N$4:$Y$4,$N$2:$Y$2))/(Z180/($K180*$L180*$M180)),"")</f>
        <v/>
      </c>
      <c r="AC180" s="18" t="n"/>
    </row>
    <row r="181">
      <c r="A181" s="9" t="n">
        <v>687515</v>
      </c>
      <c r="B181" s="9" t="inlineStr">
        <is>
          <t>Colby Thomas</t>
        </is>
      </c>
      <c r="C181" s="9" t="inlineStr">
        <is>
          <t>OAK</t>
        </is>
      </c>
      <c r="D181" s="9" t="n">
        <v>26</v>
      </c>
      <c r="E181" s="16" t="inlineStr">
        <is>
          <t>R</t>
        </is>
      </c>
      <c r="F181" s="16" t="inlineStr">
        <is>
          <t>RF</t>
        </is>
      </c>
      <c r="G181" s="9" t="n">
        <v>121</v>
      </c>
      <c r="H181" s="9" t="n">
        <v>253</v>
      </c>
      <c r="I181" s="9" t="inlineStr">
        <is>
          <t>Weak Side Platoon</t>
        </is>
      </c>
      <c r="J181" s="16" t="inlineStr">
        <is>
          <t>Opening Day</t>
        </is>
      </c>
      <c r="K181" s="11">
        <f>IFERROR(INDEX(Roles!$B$17:$B$20,MATCH(J181,Roles!$A$17:$A$20,0)),1)</f>
        <v/>
      </c>
      <c r="L181" s="17" t="n">
        <v>1</v>
      </c>
      <c r="M181" s="11" t="n">
        <v>1</v>
      </c>
      <c r="N181" s="17" t="n"/>
      <c r="O181" s="17" t="n"/>
      <c r="P181" s="17" t="n"/>
      <c r="Q181" s="17" t="n">
        <v>1</v>
      </c>
      <c r="R181" s="17" t="n"/>
      <c r="S181" s="17" t="n"/>
      <c r="T181" s="17" t="n"/>
      <c r="U181" s="17" t="n"/>
      <c r="V181" s="17" t="n"/>
      <c r="W181" s="17" t="n"/>
      <c r="X181" s="17" t="n"/>
      <c r="Y181" s="17" t="n"/>
      <c r="Z181" s="13">
        <f>SUMPRODUCT(N181:Y181,$N$2:$Y$2)*$K181*$L181*$M181</f>
        <v/>
      </c>
      <c r="AA181" s="14">
        <f>SUM(N181:Y181)</f>
        <v/>
      </c>
      <c r="AB181" s="14">
        <f>IFERROR(IF(UPPER($E181)="L",SUMPRODUCT(N181:Y181,$N$3:$Y$3,$N$2:$Y$2),SUMPRODUCT(N181:Y181,$N$4:$Y$4,$N$2:$Y$2))/(Z181/($K181*$L181*$M181)),"")</f>
        <v/>
      </c>
      <c r="AC181" s="18" t="n"/>
    </row>
    <row r="182">
      <c r="A182" s="9" t="n">
        <v>672284</v>
      </c>
      <c r="B182" s="9" t="inlineStr">
        <is>
          <t>Jarred Kelenic</t>
        </is>
      </c>
      <c r="C182" s="9" t="inlineStr">
        <is>
          <t>TEX</t>
        </is>
      </c>
      <c r="D182" s="9" t="n">
        <v>27</v>
      </c>
      <c r="E182" s="16" t="inlineStr">
        <is>
          <t>L</t>
        </is>
      </c>
      <c r="F182" s="16" t="inlineStr">
        <is>
          <t>RF</t>
        </is>
      </c>
      <c r="G182" s="9" t="n">
        <v>83</v>
      </c>
      <c r="H182" s="9" t="n">
        <v>1194</v>
      </c>
      <c r="I182" s="9" t="inlineStr">
        <is>
          <t>Bench Bat</t>
        </is>
      </c>
      <c r="J182" s="16" t="inlineStr">
        <is>
          <t>Opening Day</t>
        </is>
      </c>
      <c r="K182" s="11">
        <f>IFERROR(INDEX(Roles!$B$17:$B$20,MATCH(J182,Roles!$A$17:$A$20,0)),1)</f>
        <v/>
      </c>
      <c r="L182" s="17" t="n">
        <v>1</v>
      </c>
      <c r="M182" s="11" t="n">
        <v>0.7229996487424789</v>
      </c>
      <c r="N182" s="17" t="n"/>
      <c r="O182" s="17" t="n"/>
      <c r="P182" s="17" t="n"/>
      <c r="Q182" s="17" t="n"/>
      <c r="R182" s="17" t="n"/>
      <c r="S182" s="17" t="n"/>
      <c r="T182" s="17" t="n"/>
      <c r="U182" s="17" t="n"/>
      <c r="V182" s="17" t="n"/>
      <c r="W182" s="17" t="n">
        <v>1</v>
      </c>
      <c r="X182" s="17" t="n"/>
      <c r="Y182" s="17" t="n"/>
      <c r="Z182" s="13">
        <f>SUMPRODUCT(N182:Y182,$N$2:$Y$2)*$K182*$L182*$M182</f>
        <v/>
      </c>
      <c r="AA182" s="14">
        <f>SUM(N182:Y182)</f>
        <v/>
      </c>
      <c r="AB182" s="14">
        <f>IFERROR(IF(UPPER($E182)="L",SUMPRODUCT(N182:Y182,$N$3:$Y$3,$N$2:$Y$2),SUMPRODUCT(N182:Y182,$N$4:$Y$4,$N$2:$Y$2))/(Z182/($K182*$L182*$M182)),"")</f>
        <v/>
      </c>
      <c r="AC182" s="18" t="n"/>
    </row>
    <row r="183">
      <c r="A183" s="9" t="n">
        <v>701538</v>
      </c>
      <c r="B183" s="9" t="inlineStr">
        <is>
          <t>Jackson Merrill</t>
        </is>
      </c>
      <c r="C183" s="9" t="inlineStr">
        <is>
          <t>SD</t>
        </is>
      </c>
      <c r="D183" s="9" t="n">
        <v>24</v>
      </c>
      <c r="E183" s="16" t="inlineStr">
        <is>
          <t>L</t>
        </is>
      </c>
      <c r="F183" s="16" t="inlineStr">
        <is>
          <t>CF</t>
        </is>
      </c>
      <c r="G183" s="9" t="n">
        <v>664</v>
      </c>
      <c r="H183" s="9" t="n">
        <v>1740</v>
      </c>
      <c r="I183" s="9" t="inlineStr">
        <is>
          <t>Full Time</t>
        </is>
      </c>
      <c r="J183" s="16" t="inlineStr">
        <is>
          <t>Opening Day</t>
        </is>
      </c>
      <c r="K183" s="11">
        <f>IFERROR(INDEX(Roles!$B$17:$B$20,MATCH(J183,Roles!$A$17:$A$20,0)),1)</f>
        <v/>
      </c>
      <c r="L183" s="17" t="n">
        <v>1</v>
      </c>
      <c r="M183" s="11" t="n">
        <v>1.101293673387521</v>
      </c>
      <c r="N183" s="17" t="n">
        <v>1</v>
      </c>
      <c r="O183" s="17" t="n"/>
      <c r="P183" s="17" t="n"/>
      <c r="Q183" s="17" t="n"/>
      <c r="R183" s="17" t="n"/>
      <c r="S183" s="17" t="n"/>
      <c r="T183" s="17" t="n"/>
      <c r="U183" s="17" t="n"/>
      <c r="V183" s="17" t="n"/>
      <c r="W183" s="17" t="n"/>
      <c r="X183" s="17" t="n"/>
      <c r="Y183" s="17" t="n"/>
      <c r="Z183" s="13">
        <f>SUMPRODUCT(N183:Y183,$N$2:$Y$2)*$K183*$L183*$M183</f>
        <v/>
      </c>
      <c r="AA183" s="14">
        <f>SUM(N183:Y183)</f>
        <v/>
      </c>
      <c r="AB183" s="14">
        <f>IFERROR(IF(UPPER($E183)="L",SUMPRODUCT(N183:Y183,$N$3:$Y$3,$N$2:$Y$2),SUMPRODUCT(N183:Y183,$N$4:$Y$4,$N$2:$Y$2))/(Z183/($K183*$L183*$M183)),"")</f>
        <v/>
      </c>
      <c r="AC183" s="18" t="n"/>
    </row>
    <row r="184">
      <c r="A184" s="9" t="n">
        <v>669224</v>
      </c>
      <c r="B184" s="9" t="inlineStr">
        <is>
          <t>Austin Wells</t>
        </is>
      </c>
      <c r="C184" s="9" t="inlineStr">
        <is>
          <t>NYY</t>
        </is>
      </c>
      <c r="D184" s="9" t="n">
        <v>27</v>
      </c>
      <c r="E184" s="16" t="inlineStr">
        <is>
          <t>L</t>
        </is>
      </c>
      <c r="F184" s="16" t="inlineStr">
        <is>
          <t>C</t>
        </is>
      </c>
      <c r="G184" s="9" t="n">
        <v>388</v>
      </c>
      <c r="H184" s="9" t="n">
        <v>1325</v>
      </c>
      <c r="I184" s="9" t="inlineStr">
        <is>
          <t>Catcher - Primary</t>
        </is>
      </c>
      <c r="J184" s="16" t="inlineStr">
        <is>
          <t>Opening Day</t>
        </is>
      </c>
      <c r="K184" s="11">
        <f>IFERROR(INDEX(Roles!$B$17:$B$20,MATCH(J184,Roles!$A$17:$A$20,0)),1)</f>
        <v/>
      </c>
      <c r="L184" s="17" t="n">
        <v>1</v>
      </c>
      <c r="M184" s="11" t="n">
        <v>1.055829086920822</v>
      </c>
      <c r="N184" s="17" t="n"/>
      <c r="O184" s="17" t="n"/>
      <c r="P184" s="17" t="n"/>
      <c r="Q184" s="17" t="n"/>
      <c r="R184" s="17" t="n">
        <v>0.7</v>
      </c>
      <c r="S184" s="17" t="n">
        <v>0.3</v>
      </c>
      <c r="T184" s="17" t="n"/>
      <c r="U184" s="17" t="n"/>
      <c r="V184" s="17" t="n"/>
      <c r="W184" s="17" t="n"/>
      <c r="X184" s="17" t="n"/>
      <c r="Y184" s="17" t="n"/>
      <c r="Z184" s="13">
        <f>SUMPRODUCT(N184:Y184,$N$2:$Y$2)*$K184*$L184*$M184</f>
        <v/>
      </c>
      <c r="AA184" s="14">
        <f>SUM(N184:Y184)</f>
        <v/>
      </c>
      <c r="AB184" s="14">
        <f>IFERROR(IF(UPPER($E184)="L",SUMPRODUCT(N184:Y184,$N$3:$Y$3,$N$2:$Y$2),SUMPRODUCT(N184:Y184,$N$4:$Y$4,$N$2:$Y$2))/(Z184/($K184*$L184*$M184)),"")</f>
        <v/>
      </c>
      <c r="AC184" s="18" t="n"/>
    </row>
    <row r="185">
      <c r="A185" s="9" t="n">
        <v>677943</v>
      </c>
      <c r="B185" s="9" t="inlineStr">
        <is>
          <t>Will Banfield</t>
        </is>
      </c>
      <c r="C185" s="9" t="inlineStr">
        <is>
          <t>CIN</t>
        </is>
      </c>
      <c r="D185" s="9" t="n">
        <v>27</v>
      </c>
      <c r="E185" s="16" t="inlineStr">
        <is>
          <t>R</t>
        </is>
      </c>
      <c r="F185" s="16" t="inlineStr">
        <is>
          <t>C</t>
        </is>
      </c>
      <c r="G185" s="9" t="n">
        <v>21</v>
      </c>
      <c r="H185" s="9" t="n">
        <v>31</v>
      </c>
      <c r="I185" s="9" t="inlineStr">
        <is>
          <t>Bench Bat</t>
        </is>
      </c>
      <c r="J185" s="16" t="inlineStr">
        <is>
          <t>Opening Day</t>
        </is>
      </c>
      <c r="K185" s="11">
        <f>IFERROR(INDEX(Roles!$B$17:$B$20,MATCH(J185,Roles!$A$17:$A$20,0)),1)</f>
        <v/>
      </c>
      <c r="L185" s="17" t="n">
        <v>1</v>
      </c>
      <c r="M185" s="11" t="n">
        <v>1</v>
      </c>
      <c r="N185" s="17" t="n"/>
      <c r="O185" s="17" t="n"/>
      <c r="P185" s="17" t="n"/>
      <c r="Q185" s="17" t="n"/>
      <c r="R185" s="17" t="n"/>
      <c r="S185" s="17" t="n"/>
      <c r="T185" s="17" t="n"/>
      <c r="U185" s="17" t="n"/>
      <c r="V185" s="17" t="n"/>
      <c r="W185" s="17" t="n">
        <v>0.85</v>
      </c>
      <c r="X185" s="17" t="n">
        <v>0.15</v>
      </c>
      <c r="Y185" s="17" t="n"/>
      <c r="Z185" s="13">
        <f>SUMPRODUCT(N185:Y185,$N$2:$Y$2)*$K185*$L185*$M185</f>
        <v/>
      </c>
      <c r="AA185" s="14">
        <f>SUM(N185:Y185)</f>
        <v/>
      </c>
      <c r="AB185" s="14">
        <f>IFERROR(IF(UPPER($E185)="L",SUMPRODUCT(N185:Y185,$N$3:$Y$3,$N$2:$Y$2),SUMPRODUCT(N185:Y185,$N$4:$Y$4,$N$2:$Y$2))/(Z185/($K185*$L185*$M185)),"")</f>
        <v/>
      </c>
      <c r="AC185" s="18" t="n"/>
    </row>
    <row r="186">
      <c r="A186" s="9" t="n">
        <v>642350</v>
      </c>
      <c r="B186" s="9" t="inlineStr">
        <is>
          <t>Jose Siri</t>
        </is>
      </c>
      <c r="C186" s="9" t="inlineStr">
        <is>
          <t>LAA</t>
        </is>
      </c>
      <c r="D186" s="9" t="n">
        <v>31</v>
      </c>
      <c r="E186" s="16" t="inlineStr">
        <is>
          <t>R</t>
        </is>
      </c>
      <c r="F186" s="16" t="inlineStr">
        <is>
          <t>LF</t>
        </is>
      </c>
      <c r="G186" s="9" t="n">
        <v>251</v>
      </c>
      <c r="H186" s="9" t="n">
        <v>1424</v>
      </c>
      <c r="I186" s="9" t="inlineStr">
        <is>
          <t>Full Time</t>
        </is>
      </c>
      <c r="J186" s="16" t="inlineStr">
        <is>
          <t>Opening Day</t>
        </is>
      </c>
      <c r="K186" s="11">
        <f>IFERROR(INDEX(Roles!$B$17:$B$20,MATCH(J186,Roles!$A$17:$A$20,0)),1)</f>
        <v/>
      </c>
      <c r="L186" s="17" t="n">
        <v>1</v>
      </c>
      <c r="M186" s="11" t="n">
        <v>0.7689615627161208</v>
      </c>
      <c r="N186" s="17" t="n">
        <v>0.7</v>
      </c>
      <c r="O186" s="17" t="n"/>
      <c r="P186" s="17" t="n">
        <v>0.3</v>
      </c>
      <c r="Q186" s="17" t="n"/>
      <c r="R186" s="17" t="n"/>
      <c r="S186" s="17" t="n"/>
      <c r="T186" s="17" t="n"/>
      <c r="U186" s="17" t="n"/>
      <c r="V186" s="17" t="n"/>
      <c r="W186" s="17" t="n"/>
      <c r="X186" s="17" t="n"/>
      <c r="Y186" s="17" t="n"/>
      <c r="Z186" s="13">
        <f>SUMPRODUCT(N186:Y186,$N$2:$Y$2)*$K186*$L186*$M186</f>
        <v/>
      </c>
      <c r="AA186" s="14">
        <f>SUM(N186:Y186)</f>
        <v/>
      </c>
      <c r="AB186" s="14">
        <f>IFERROR(IF(UPPER($E186)="L",SUMPRODUCT(N186:Y186,$N$3:$Y$3,$N$2:$Y$2),SUMPRODUCT(N186:Y186,$N$4:$Y$4,$N$2:$Y$2))/(Z186/($K186*$L186*$M186)),"")</f>
        <v/>
      </c>
      <c r="AC186" s="18" t="n"/>
    </row>
    <row r="187">
      <c r="A187" s="9" t="n">
        <v>605137</v>
      </c>
      <c r="B187" s="9" t="inlineStr">
        <is>
          <t>Josh Bell</t>
        </is>
      </c>
      <c r="C187" s="9" t="inlineStr">
        <is>
          <t>MIN</t>
        </is>
      </c>
      <c r="D187" s="9" t="n">
        <v>34</v>
      </c>
      <c r="E187" s="16" t="inlineStr">
        <is>
          <t>S</t>
        </is>
      </c>
      <c r="F187" s="16" t="inlineStr">
        <is>
          <t>1B</t>
        </is>
      </c>
      <c r="G187" s="9" t="n">
        <v>631</v>
      </c>
      <c r="H187" s="9" t="n">
        <v>3031</v>
      </c>
      <c r="I187" s="9" t="inlineStr">
        <is>
          <t>Everyday DH / 1B-DH</t>
        </is>
      </c>
      <c r="J187" s="16" t="inlineStr">
        <is>
          <t>Opening Day</t>
        </is>
      </c>
      <c r="K187" s="11">
        <f>IFERROR(INDEX(Roles!$B$17:$B$20,MATCH(J187,Roles!$A$17:$A$20,0)),1)</f>
        <v/>
      </c>
      <c r="L187" s="17" t="n">
        <v>1</v>
      </c>
      <c r="M187" s="11" t="n">
        <v>1.093101898865706</v>
      </c>
      <c r="N187" s="17" t="n"/>
      <c r="O187" s="17" t="n">
        <v>1</v>
      </c>
      <c r="P187" s="17" t="n"/>
      <c r="Q187" s="17" t="n"/>
      <c r="R187" s="17" t="n"/>
      <c r="S187" s="17" t="n"/>
      <c r="T187" s="17" t="n"/>
      <c r="U187" s="17" t="n"/>
      <c r="V187" s="17" t="n"/>
      <c r="W187" s="17" t="n"/>
      <c r="X187" s="17" t="n"/>
      <c r="Y187" s="17" t="n"/>
      <c r="Z187" s="13">
        <f>SUMPRODUCT(N187:Y187,$N$2:$Y$2)*$K187*$L187*$M187</f>
        <v/>
      </c>
      <c r="AA187" s="14">
        <f>SUM(N187:Y187)</f>
        <v/>
      </c>
      <c r="AB187" s="14">
        <f>IFERROR(IF(UPPER($E187)="L",SUMPRODUCT(N187:Y187,$N$3:$Y$3,$N$2:$Y$2),SUMPRODUCT(N187:Y187,$N$4:$Y$4,$N$2:$Y$2))/(Z187/($K187*$L187*$M187)),"")</f>
        <v/>
      </c>
      <c r="AC187" s="18" t="n"/>
    </row>
    <row r="188">
      <c r="A188" s="9" t="n">
        <v>677347</v>
      </c>
      <c r="B188" s="9" t="inlineStr">
        <is>
          <t>Kyren Paris</t>
        </is>
      </c>
      <c r="C188" s="9" t="inlineStr">
        <is>
          <t>LAA</t>
        </is>
      </c>
      <c r="D188" s="9" t="n">
        <v>25</v>
      </c>
      <c r="E188" s="16" t="inlineStr">
        <is>
          <t>R</t>
        </is>
      </c>
      <c r="F188" s="16" t="inlineStr">
        <is>
          <t>LF</t>
        </is>
      </c>
      <c r="G188" s="9" t="n">
        <v>18</v>
      </c>
      <c r="H188" s="9" t="n">
        <v>263</v>
      </c>
      <c r="I188" s="9" t="inlineStr">
        <is>
          <t>Utility OF / 4th OF</t>
        </is>
      </c>
      <c r="J188" s="16" t="inlineStr">
        <is>
          <t>Opening Day</t>
        </is>
      </c>
      <c r="K188" s="11">
        <f>IFERROR(INDEX(Roles!$B$17:$B$20,MATCH(J188,Roles!$A$17:$A$20,0)),1)</f>
        <v/>
      </c>
      <c r="L188" s="17" t="n">
        <v>1</v>
      </c>
      <c r="M188" s="11" t="n">
        <v>1</v>
      </c>
      <c r="N188" s="17" t="n"/>
      <c r="O188" s="17" t="n"/>
      <c r="P188" s="17" t="n"/>
      <c r="Q188" s="17" t="n"/>
      <c r="R188" s="17" t="n"/>
      <c r="S188" s="17" t="n"/>
      <c r="T188" s="17" t="n"/>
      <c r="U188" s="17" t="n"/>
      <c r="V188" s="17" t="n">
        <v>0.7</v>
      </c>
      <c r="W188" s="17" t="n">
        <v>0.3</v>
      </c>
      <c r="X188" s="17" t="n"/>
      <c r="Y188" s="17" t="n"/>
      <c r="Z188" s="13">
        <f>SUMPRODUCT(N188:Y188,$N$2:$Y$2)*$K188*$L188*$M188</f>
        <v/>
      </c>
      <c r="AA188" s="14">
        <f>SUM(N188:Y188)</f>
        <v/>
      </c>
      <c r="AB188" s="14">
        <f>IFERROR(IF(UPPER($E188)="L",SUMPRODUCT(N188:Y188,$N$3:$Y$3,$N$2:$Y$2),SUMPRODUCT(N188:Y188,$N$4:$Y$4,$N$2:$Y$2))/(Z188/($K188*$L188*$M188)),"")</f>
        <v/>
      </c>
      <c r="AC188" s="18" t="n"/>
    </row>
    <row r="189">
      <c r="A189" s="9" t="n">
        <v>695506</v>
      </c>
      <c r="B189" s="9" t="inlineStr">
        <is>
          <t>Jac Caglianone</t>
        </is>
      </c>
      <c r="C189" s="9" t="inlineStr">
        <is>
          <t>KC</t>
        </is>
      </c>
      <c r="D189" s="9" t="n">
        <v>24</v>
      </c>
      <c r="E189" s="16" t="inlineStr">
        <is>
          <t>L</t>
        </is>
      </c>
      <c r="F189" s="16" t="inlineStr">
        <is>
          <t>RF</t>
        </is>
      </c>
      <c r="G189" s="9" t="n">
        <v>553</v>
      </c>
      <c r="H189" s="9" t="n">
        <v>785</v>
      </c>
      <c r="I189" s="9" t="inlineStr">
        <is>
          <t>Full Time</t>
        </is>
      </c>
      <c r="J189" s="16" t="inlineStr">
        <is>
          <t>Opening Day</t>
        </is>
      </c>
      <c r="K189" s="11">
        <f>IFERROR(INDEX(Roles!$B$17:$B$20,MATCH(J189,Roles!$A$17:$A$20,0)),1)</f>
        <v/>
      </c>
      <c r="L189" s="17" t="n">
        <v>1</v>
      </c>
      <c r="M189" s="11" t="n">
        <v>0.9588645792152372</v>
      </c>
      <c r="N189" s="17" t="n">
        <v>0.9</v>
      </c>
      <c r="O189" s="17" t="n"/>
      <c r="P189" s="17" t="n">
        <v>0.1</v>
      </c>
      <c r="Q189" s="17" t="n"/>
      <c r="R189" s="17" t="n"/>
      <c r="S189" s="17" t="n"/>
      <c r="T189" s="17" t="n"/>
      <c r="U189" s="17" t="n"/>
      <c r="V189" s="17" t="n"/>
      <c r="W189" s="17" t="n"/>
      <c r="X189" s="17" t="n"/>
      <c r="Y189" s="17" t="n"/>
      <c r="Z189" s="13">
        <f>SUMPRODUCT(N189:Y189,$N$2:$Y$2)*$K189*$L189*$M189</f>
        <v/>
      </c>
      <c r="AA189" s="14">
        <f>SUM(N189:Y189)</f>
        <v/>
      </c>
      <c r="AB189" s="14">
        <f>IFERROR(IF(UPPER($E189)="L",SUMPRODUCT(N189:Y189,$N$3:$Y$3,$N$2:$Y$2),SUMPRODUCT(N189:Y189,$N$4:$Y$4,$N$2:$Y$2))/(Z189/($K189*$L189*$M189)),"")</f>
        <v/>
      </c>
      <c r="AC189" s="18" t="n"/>
    </row>
    <row r="190">
      <c r="A190" s="9" t="n">
        <v>606192</v>
      </c>
      <c r="B190" s="9" t="inlineStr">
        <is>
          <t>Teoscar Hernández</t>
        </is>
      </c>
      <c r="C190" s="9" t="inlineStr">
        <is>
          <t>LAD</t>
        </is>
      </c>
      <c r="D190" s="9" t="n">
        <v>34</v>
      </c>
      <c r="E190" s="16" t="inlineStr">
        <is>
          <t>R</t>
        </is>
      </c>
      <c r="F190" s="16" t="inlineStr">
        <is>
          <t>LF</t>
        </is>
      </c>
      <c r="G190" s="9" t="n">
        <v>491</v>
      </c>
      <c r="H190" s="9" t="n">
        <v>2902</v>
      </c>
      <c r="I190" s="9" t="inlineStr">
        <is>
          <t>Full Time</t>
        </is>
      </c>
      <c r="J190" s="16" t="inlineStr">
        <is>
          <t>Opening Day</t>
        </is>
      </c>
      <c r="K190" s="11">
        <f>IFERROR(INDEX(Roles!$B$17:$B$20,MATCH(J190,Roles!$A$17:$A$20,0)),1)</f>
        <v/>
      </c>
      <c r="L190" s="17" t="n">
        <v>1</v>
      </c>
      <c r="M190" s="11" t="n">
        <v>1.063045732261656</v>
      </c>
      <c r="N190" s="17" t="n">
        <v>1</v>
      </c>
      <c r="O190" s="17" t="n"/>
      <c r="P190" s="17" t="n"/>
      <c r="Q190" s="17" t="n"/>
      <c r="R190" s="17" t="n"/>
      <c r="S190" s="17" t="n"/>
      <c r="T190" s="17" t="n"/>
      <c r="U190" s="17" t="n"/>
      <c r="V190" s="17" t="n"/>
      <c r="W190" s="17" t="n"/>
      <c r="X190" s="17" t="n"/>
      <c r="Y190" s="17" t="n"/>
      <c r="Z190" s="13">
        <f>SUMPRODUCT(N190:Y190,$N$2:$Y$2)*$K190*$L190*$M190</f>
        <v/>
      </c>
      <c r="AA190" s="14">
        <f>SUM(N190:Y190)</f>
        <v/>
      </c>
      <c r="AB190" s="14">
        <f>IFERROR(IF(UPPER($E190)="L",SUMPRODUCT(N190:Y190,$N$3:$Y$3,$N$2:$Y$2),SUMPRODUCT(N190:Y190,$N$4:$Y$4,$N$2:$Y$2))/(Z190/($K190*$L190*$M190)),"")</f>
        <v/>
      </c>
      <c r="AC190" s="18" t="n"/>
    </row>
    <row r="191">
      <c r="A191" s="9" t="n">
        <v>669357</v>
      </c>
      <c r="B191" s="9" t="inlineStr">
        <is>
          <t>Nolan Gorman</t>
        </is>
      </c>
      <c r="C191" s="9" t="inlineStr">
        <is>
          <t>STL</t>
        </is>
      </c>
      <c r="D191" s="9" t="n">
        <v>27</v>
      </c>
      <c r="E191" s="16" t="inlineStr">
        <is>
          <t>L</t>
        </is>
      </c>
      <c r="F191" s="16" t="inlineStr">
        <is>
          <t>3B</t>
        </is>
      </c>
      <c r="G191" s="9" t="n">
        <v>302</v>
      </c>
      <c r="H191" s="9" t="n">
        <v>1883</v>
      </c>
      <c r="I191" s="9" t="inlineStr">
        <is>
          <t>Weak Side Platoon</t>
        </is>
      </c>
      <c r="J191" s="16" t="inlineStr">
        <is>
          <t>Opening Day</t>
        </is>
      </c>
      <c r="K191" s="11">
        <f>IFERROR(INDEX(Roles!$B$17:$B$20,MATCH(J191,Roles!$A$17:$A$20,0)),1)</f>
        <v/>
      </c>
      <c r="L191" s="17" t="n">
        <v>1</v>
      </c>
      <c r="M191" s="11" t="n">
        <v>1.033594459881918</v>
      </c>
      <c r="N191" s="17" t="n"/>
      <c r="O191" s="17" t="n"/>
      <c r="P191" s="17" t="n"/>
      <c r="Q191" s="17" t="n">
        <v>0.6</v>
      </c>
      <c r="R191" s="17" t="n"/>
      <c r="S191" s="17" t="n"/>
      <c r="T191" s="17" t="n"/>
      <c r="U191" s="17" t="n">
        <v>0.4</v>
      </c>
      <c r="V191" s="17" t="n"/>
      <c r="W191" s="17" t="n"/>
      <c r="X191" s="17" t="n"/>
      <c r="Y191" s="17" t="n"/>
      <c r="Z191" s="13">
        <f>SUMPRODUCT(N191:Y191,$N$2:$Y$2)*$K191*$L191*$M191</f>
        <v/>
      </c>
      <c r="AA191" s="14">
        <f>SUM(N191:Y191)</f>
        <v/>
      </c>
      <c r="AB191" s="14">
        <f>IFERROR(IF(UPPER($E191)="L",SUMPRODUCT(N191:Y191,$N$3:$Y$3,$N$2:$Y$2),SUMPRODUCT(N191:Y191,$N$4:$Y$4,$N$2:$Y$2))/(Z191/($K191*$L191*$M191)),"")</f>
        <v/>
      </c>
      <c r="AC191" s="18" t="n"/>
    </row>
    <row r="192">
      <c r="A192" s="9" t="n">
        <v>680718</v>
      </c>
      <c r="B192" s="9" t="inlineStr">
        <is>
          <t>Addison Barger</t>
        </is>
      </c>
      <c r="C192" s="9" t="inlineStr">
        <is>
          <t>TOR</t>
        </is>
      </c>
      <c r="D192" s="9" t="n">
        <v>27</v>
      </c>
      <c r="E192" s="16" t="inlineStr">
        <is>
          <t>L</t>
        </is>
      </c>
      <c r="F192" s="16" t="inlineStr">
        <is>
          <t>RF</t>
        </is>
      </c>
      <c r="G192" s="9" t="n">
        <v>28</v>
      </c>
      <c r="H192" s="9" t="n">
        <v>755</v>
      </c>
      <c r="I192" s="9" t="inlineStr">
        <is>
          <t>Injury Replacement / 26th Man</t>
        </is>
      </c>
      <c r="J192" s="16" t="inlineStr">
        <is>
          <t>Opening Day</t>
        </is>
      </c>
      <c r="K192" s="11">
        <f>IFERROR(INDEX(Roles!$B$17:$B$20,MATCH(J192,Roles!$A$17:$A$20,0)),1)</f>
        <v/>
      </c>
      <c r="L192" s="17" t="n">
        <v>1</v>
      </c>
      <c r="M192" s="11" t="n">
        <v>0.8976784305785787</v>
      </c>
      <c r="N192" s="17" t="n"/>
      <c r="O192" s="17" t="n"/>
      <c r="P192" s="17" t="n"/>
      <c r="Q192" s="17" t="n"/>
      <c r="R192" s="17" t="n"/>
      <c r="S192" s="17" t="n"/>
      <c r="T192" s="17" t="n"/>
      <c r="U192" s="17" t="n"/>
      <c r="V192" s="17" t="n"/>
      <c r="W192" s="17" t="n"/>
      <c r="X192" s="17" t="n">
        <v>1</v>
      </c>
      <c r="Y192" s="17" t="n"/>
      <c r="Z192" s="13">
        <f>SUMPRODUCT(N192:Y192,$N$2:$Y$2)*$K192*$L192*$M192</f>
        <v/>
      </c>
      <c r="AA192" s="14">
        <f>SUM(N192:Y192)</f>
        <v/>
      </c>
      <c r="AB192" s="14">
        <f>IFERROR(IF(UPPER($E192)="L",SUMPRODUCT(N192:Y192,$N$3:$Y$3,$N$2:$Y$2),SUMPRODUCT(N192:Y192,$N$4:$Y$4,$N$2:$Y$2))/(Z192/($K192*$L192*$M192)),"")</f>
        <v/>
      </c>
      <c r="AC192" s="18" t="n"/>
    </row>
    <row r="193">
      <c r="A193" s="9" t="n">
        <v>676946</v>
      </c>
      <c r="B193" s="9" t="inlineStr">
        <is>
          <t>Matthew Batten</t>
        </is>
      </c>
      <c r="C193" s="9" t="inlineStr">
        <is>
          <t>SD</t>
        </is>
      </c>
      <c r="D193" s="9" t="n">
        <v>32</v>
      </c>
      <c r="E193" s="16" t="inlineStr">
        <is>
          <t>R</t>
        </is>
      </c>
      <c r="F193" s="16" t="inlineStr">
        <is>
          <t>1B</t>
        </is>
      </c>
      <c r="G193" s="9" t="n">
        <v>3</v>
      </c>
      <c r="H193" s="9" t="n">
        <v>164</v>
      </c>
      <c r="I193" s="9" t="inlineStr">
        <is>
          <t>Depth (no MLB PA)</t>
        </is>
      </c>
      <c r="J193" s="16" t="inlineStr">
        <is>
          <t>Opening Day</t>
        </is>
      </c>
      <c r="K193" s="11">
        <f>IFERROR(INDEX(Roles!$B$17:$B$20,MATCH(J193,Roles!$A$17:$A$20,0)),1)</f>
        <v/>
      </c>
      <c r="L193" s="17" t="n">
        <v>1</v>
      </c>
      <c r="M193" s="11" t="n">
        <v>1</v>
      </c>
      <c r="N193" s="17" t="n"/>
      <c r="O193" s="17" t="n"/>
      <c r="P193" s="17" t="n"/>
      <c r="Q193" s="17" t="n"/>
      <c r="R193" s="17" t="n"/>
      <c r="S193" s="17" t="n"/>
      <c r="T193" s="17" t="n"/>
      <c r="U193" s="17" t="n"/>
      <c r="V193" s="17" t="n"/>
      <c r="W193" s="17" t="n"/>
      <c r="X193" s="17" t="n"/>
      <c r="Y193" s="17" t="n">
        <v>1</v>
      </c>
      <c r="Z193" s="13">
        <f>SUMPRODUCT(N193:Y193,$N$2:$Y$2)*$K193*$L193*$M193</f>
        <v/>
      </c>
      <c r="AA193" s="14">
        <f>SUM(N193:Y193)</f>
        <v/>
      </c>
      <c r="AB193" s="14">
        <f>IFERROR(IF(UPPER($E193)="L",SUMPRODUCT(N193:Y193,$N$3:$Y$3,$N$2:$Y$2),SUMPRODUCT(N193:Y193,$N$4:$Y$4,$N$2:$Y$2))/(Z193/($K193*$L193*$M193)),"")</f>
        <v/>
      </c>
      <c r="AC193" s="18" t="n"/>
    </row>
    <row r="194">
      <c r="A194" s="9" t="n">
        <v>801938</v>
      </c>
      <c r="B194" s="9" t="inlineStr">
        <is>
          <t>Avery Owusu-Asiedu</t>
        </is>
      </c>
      <c r="C194" s="9" t="inlineStr">
        <is>
          <t>ARI</t>
        </is>
      </c>
      <c r="D194" s="9" t="n">
        <v>24</v>
      </c>
      <c r="E194" s="16" t="inlineStr">
        <is>
          <t>R</t>
        </is>
      </c>
      <c r="F194" s="16" t="n"/>
      <c r="G194" s="9" t="n">
        <v>48.1025641025641</v>
      </c>
      <c r="H194" s="9" t="n">
        <v>48.1025641025641</v>
      </c>
      <c r="I194" s="9" t="inlineStr">
        <is>
          <t>Depth (no MLB PA)</t>
        </is>
      </c>
      <c r="J194" s="16" t="inlineStr">
        <is>
          <t>Opening Day</t>
        </is>
      </c>
      <c r="K194" s="11">
        <f>IFERROR(INDEX(Roles!$B$17:$B$20,MATCH(J194,Roles!$A$17:$A$20,0)),1)</f>
        <v/>
      </c>
      <c r="L194" s="17" t="n">
        <v>1</v>
      </c>
      <c r="M194" s="11" t="n">
        <v>1</v>
      </c>
      <c r="N194" s="17" t="n"/>
      <c r="O194" s="17" t="n"/>
      <c r="P194" s="17" t="n"/>
      <c r="Q194" s="17" t="n"/>
      <c r="R194" s="17" t="n"/>
      <c r="S194" s="17" t="n"/>
      <c r="T194" s="17" t="n"/>
      <c r="U194" s="17" t="n"/>
      <c r="V194" s="17" t="n"/>
      <c r="W194" s="17" t="n"/>
      <c r="X194" s="17" t="n"/>
      <c r="Y194" s="17" t="n">
        <v>1</v>
      </c>
      <c r="Z194" s="13">
        <f>SUMPRODUCT(N194:Y194,$N$2:$Y$2)*$K194*$L194*$M194</f>
        <v/>
      </c>
      <c r="AA194" s="14">
        <f>SUM(N194:Y194)</f>
        <v/>
      </c>
      <c r="AB194" s="14">
        <f>IFERROR(IF(UPPER($E194)="L",SUMPRODUCT(N194:Y194,$N$3:$Y$3,$N$2:$Y$2),SUMPRODUCT(N194:Y194,$N$4:$Y$4,$N$2:$Y$2))/(Z194/($K194*$L194*$M194)),"")</f>
        <v/>
      </c>
      <c r="AC194" s="18" t="n"/>
    </row>
    <row r="195">
      <c r="A195" s="9" t="n">
        <v>682928</v>
      </c>
      <c r="B195" s="9" t="inlineStr">
        <is>
          <t>CJ Abrams</t>
        </is>
      </c>
      <c r="C195" s="9" t="inlineStr">
        <is>
          <t>WSH</t>
        </is>
      </c>
      <c r="D195" s="9" t="n">
        <v>26</v>
      </c>
      <c r="E195" s="16" t="inlineStr">
        <is>
          <t>L</t>
        </is>
      </c>
      <c r="F195" s="16" t="inlineStr">
        <is>
          <t>SS</t>
        </is>
      </c>
      <c r="G195" s="9" t="n">
        <v>654</v>
      </c>
      <c r="H195" s="9" t="n">
        <v>2807</v>
      </c>
      <c r="I195" s="9" t="inlineStr">
        <is>
          <t>Full Time</t>
        </is>
      </c>
      <c r="J195" s="16" t="inlineStr">
        <is>
          <t>Opening Day</t>
        </is>
      </c>
      <c r="K195" s="11">
        <f>IFERROR(INDEX(Roles!$B$17:$B$20,MATCH(J195,Roles!$A$17:$A$20,0)),1)</f>
        <v/>
      </c>
      <c r="L195" s="17" t="n">
        <v>1</v>
      </c>
      <c r="M195" s="11" t="n">
        <v>1.134441889029937</v>
      </c>
      <c r="N195" s="17" t="n">
        <v>1</v>
      </c>
      <c r="O195" s="17" t="n"/>
      <c r="P195" s="17" t="n"/>
      <c r="Q195" s="17" t="n"/>
      <c r="R195" s="17" t="n"/>
      <c r="S195" s="17" t="n"/>
      <c r="T195" s="17" t="n"/>
      <c r="U195" s="17" t="n"/>
      <c r="V195" s="17" t="n"/>
      <c r="W195" s="17" t="n"/>
      <c r="X195" s="17" t="n"/>
      <c r="Y195" s="17" t="n"/>
      <c r="Z195" s="13">
        <f>SUMPRODUCT(N195:Y195,$N$2:$Y$2)*$K195*$L195*$M195</f>
        <v/>
      </c>
      <c r="AA195" s="14">
        <f>SUM(N195:Y195)</f>
        <v/>
      </c>
      <c r="AB195" s="14">
        <f>IFERROR(IF(UPPER($E195)="L",SUMPRODUCT(N195:Y195,$N$3:$Y$3,$N$2:$Y$2),SUMPRODUCT(N195:Y195,$N$4:$Y$4,$N$2:$Y$2))/(Z195/($K195*$L195*$M195)),"")</f>
        <v/>
      </c>
      <c r="AC195" s="18" t="n"/>
    </row>
    <row r="196">
      <c r="A196" s="9" t="n">
        <v>692216</v>
      </c>
      <c r="B196" s="9" t="inlineStr">
        <is>
          <t>CJ Kayfus</t>
        </is>
      </c>
      <c r="C196" s="9" t="inlineStr">
        <is>
          <t>CLE</t>
        </is>
      </c>
      <c r="D196" s="9" t="n">
        <v>25</v>
      </c>
      <c r="E196" s="16" t="inlineStr">
        <is>
          <t>L</t>
        </is>
      </c>
      <c r="F196" s="16" t="inlineStr">
        <is>
          <t>LF</t>
        </is>
      </c>
      <c r="G196" s="9" t="n">
        <v>25</v>
      </c>
      <c r="H196" s="9" t="n">
        <v>163</v>
      </c>
      <c r="I196" s="9" t="inlineStr">
        <is>
          <t>Bench Bat</t>
        </is>
      </c>
      <c r="J196" s="16" t="inlineStr">
        <is>
          <t>Opening Day</t>
        </is>
      </c>
      <c r="K196" s="11">
        <f>IFERROR(INDEX(Roles!$B$17:$B$20,MATCH(J196,Roles!$A$17:$A$20,0)),1)</f>
        <v/>
      </c>
      <c r="L196" s="17" t="n">
        <v>1</v>
      </c>
      <c r="M196" s="11" t="n">
        <v>1</v>
      </c>
      <c r="N196" s="17" t="n"/>
      <c r="O196" s="17" t="n"/>
      <c r="P196" s="17" t="n"/>
      <c r="Q196" s="17" t="n"/>
      <c r="R196" s="17" t="n"/>
      <c r="S196" s="17" t="n"/>
      <c r="T196" s="17" t="n"/>
      <c r="U196" s="17" t="n"/>
      <c r="V196" s="17" t="n"/>
      <c r="W196" s="17" t="n">
        <v>1</v>
      </c>
      <c r="X196" s="17" t="n"/>
      <c r="Y196" s="17" t="n"/>
      <c r="Z196" s="13">
        <f>SUMPRODUCT(N196:Y196,$N$2:$Y$2)*$K196*$L196*$M196</f>
        <v/>
      </c>
      <c r="AA196" s="14">
        <f>SUM(N196:Y196)</f>
        <v/>
      </c>
      <c r="AB196" s="14">
        <f>IFERROR(IF(UPPER($E196)="L",SUMPRODUCT(N196:Y196,$N$3:$Y$3,$N$2:$Y$2),SUMPRODUCT(N196:Y196,$N$4:$Y$4,$N$2:$Y$2))/(Z196/($K196*$L196*$M196)),"")</f>
        <v/>
      </c>
      <c r="AC196" s="18" t="n"/>
    </row>
    <row r="197">
      <c r="A197" s="9" t="n">
        <v>682119</v>
      </c>
      <c r="B197" s="9" t="inlineStr">
        <is>
          <t>Levi Jordan</t>
        </is>
      </c>
      <c r="C197" s="9" t="inlineStr">
        <is>
          <t>CIN</t>
        </is>
      </c>
      <c r="D197" s="9" t="n">
        <v>31</v>
      </c>
      <c r="E197" s="16" t="inlineStr">
        <is>
          <t>R</t>
        </is>
      </c>
      <c r="F197" s="16" t="inlineStr">
        <is>
          <t>LF</t>
        </is>
      </c>
      <c r="G197" s="9" t="n">
        <v>11</v>
      </c>
      <c r="H197" s="9" t="n">
        <v>11</v>
      </c>
      <c r="I197" s="9" t="inlineStr">
        <is>
          <t>Depth (no MLB PA)</t>
        </is>
      </c>
      <c r="J197" s="16" t="inlineStr">
        <is>
          <t>Opening Day</t>
        </is>
      </c>
      <c r="K197" s="11">
        <f>IFERROR(INDEX(Roles!$B$17:$B$20,MATCH(J197,Roles!$A$17:$A$20,0)),1)</f>
        <v/>
      </c>
      <c r="L197" s="17" t="n">
        <v>1</v>
      </c>
      <c r="M197" s="11" t="n">
        <v>1</v>
      </c>
      <c r="N197" s="17" t="n"/>
      <c r="O197" s="17" t="n"/>
      <c r="P197" s="17" t="n"/>
      <c r="Q197" s="17" t="n"/>
      <c r="R197" s="17" t="n"/>
      <c r="S197" s="17" t="n"/>
      <c r="T197" s="17" t="n"/>
      <c r="U197" s="17" t="n"/>
      <c r="V197" s="17" t="n"/>
      <c r="W197" s="17" t="n"/>
      <c r="X197" s="17" t="n"/>
      <c r="Y197" s="17" t="n">
        <v>1</v>
      </c>
      <c r="Z197" s="13">
        <f>SUMPRODUCT(N197:Y197,$N$2:$Y$2)*$K197*$L197*$M197</f>
        <v/>
      </c>
      <c r="AA197" s="14">
        <f>SUM(N197:Y197)</f>
        <v/>
      </c>
      <c r="AB197" s="14">
        <f>IFERROR(IF(UPPER($E197)="L",SUMPRODUCT(N197:Y197,$N$3:$Y$3,$N$2:$Y$2),SUMPRODUCT(N197:Y197,$N$4:$Y$4,$N$2:$Y$2))/(Z197/($K197*$L197*$M197)),"")</f>
        <v/>
      </c>
      <c r="AC197" s="18" t="n"/>
    </row>
    <row r="198">
      <c r="A198" s="9" t="n">
        <v>700246</v>
      </c>
      <c r="B198" s="9" t="inlineStr">
        <is>
          <t>Carson Williams</t>
        </is>
      </c>
      <c r="C198" s="9" t="inlineStr">
        <is>
          <t>TB</t>
        </is>
      </c>
      <c r="D198" s="9" t="n">
        <v>24</v>
      </c>
      <c r="E198" s="16" t="inlineStr">
        <is>
          <t>R</t>
        </is>
      </c>
      <c r="F198" s="16" t="inlineStr">
        <is>
          <t>SS</t>
        </is>
      </c>
      <c r="G198" s="9" t="n">
        <v>40</v>
      </c>
      <c r="H198" s="9" t="n">
        <v>146</v>
      </c>
      <c r="I198" s="9" t="inlineStr">
        <is>
          <t>Bench Bat</t>
        </is>
      </c>
      <c r="J198" s="16" t="inlineStr">
        <is>
          <t>Opening Day</t>
        </is>
      </c>
      <c r="K198" s="11">
        <f>IFERROR(INDEX(Roles!$B$17:$B$20,MATCH(J198,Roles!$A$17:$A$20,0)),1)</f>
        <v/>
      </c>
      <c r="L198" s="17" t="n">
        <v>1</v>
      </c>
      <c r="M198" s="11" t="n">
        <v>1</v>
      </c>
      <c r="N198" s="17" t="n"/>
      <c r="O198" s="17" t="n"/>
      <c r="P198" s="17" t="n"/>
      <c r="Q198" s="17" t="n"/>
      <c r="R198" s="17" t="n"/>
      <c r="S198" s="17" t="n"/>
      <c r="T198" s="17" t="n"/>
      <c r="U198" s="17" t="n"/>
      <c r="V198" s="17" t="n"/>
      <c r="W198" s="17" t="n">
        <v>1</v>
      </c>
      <c r="X198" s="17" t="n"/>
      <c r="Y198" s="17" t="n"/>
      <c r="Z198" s="13">
        <f>SUMPRODUCT(N198:Y198,$N$2:$Y$2)*$K198*$L198*$M198</f>
        <v/>
      </c>
      <c r="AA198" s="14">
        <f>SUM(N198:Y198)</f>
        <v/>
      </c>
      <c r="AB198" s="14">
        <f>IFERROR(IF(UPPER($E198)="L",SUMPRODUCT(N198:Y198,$N$3:$Y$3,$N$2:$Y$2),SUMPRODUCT(N198:Y198,$N$4:$Y$4,$N$2:$Y$2))/(Z198/($K198*$L198*$M198)),"")</f>
        <v/>
      </c>
      <c r="AC198" s="18" t="n"/>
    </row>
    <row r="199">
      <c r="A199" s="9" t="n">
        <v>681460</v>
      </c>
      <c r="B199" s="9" t="inlineStr">
        <is>
          <t>Brooks Baldwin</t>
        </is>
      </c>
      <c r="C199" s="9" t="inlineStr">
        <is>
          <t>CWS</t>
        </is>
      </c>
      <c r="D199" s="9" t="n">
        <v>26</v>
      </c>
      <c r="E199" s="16" t="inlineStr">
        <is>
          <t>S</t>
        </is>
      </c>
      <c r="F199" s="16" t="inlineStr">
        <is>
          <t>LF</t>
        </is>
      </c>
      <c r="G199" s="9" t="n">
        <v>328</v>
      </c>
      <c r="H199" s="9" t="n">
        <v>449</v>
      </c>
      <c r="I199" s="9" t="inlineStr">
        <is>
          <t>Bench Bat</t>
        </is>
      </c>
      <c r="J199" s="16" t="inlineStr">
        <is>
          <t>Opening Day</t>
        </is>
      </c>
      <c r="K199" s="11">
        <f>IFERROR(INDEX(Roles!$B$17:$B$20,MATCH(J199,Roles!$A$17:$A$20,0)),1)</f>
        <v/>
      </c>
      <c r="L199" s="17" t="n">
        <v>1</v>
      </c>
      <c r="M199" s="11" t="n">
        <v>1.016341112503771</v>
      </c>
      <c r="N199" s="17" t="n"/>
      <c r="O199" s="17" t="n"/>
      <c r="P199" s="17" t="n"/>
      <c r="Q199" s="17" t="n"/>
      <c r="R199" s="17" t="n"/>
      <c r="S199" s="17" t="n"/>
      <c r="T199" s="17" t="n"/>
      <c r="U199" s="17" t="n"/>
      <c r="V199" s="17" t="n"/>
      <c r="W199" s="17" t="n">
        <v>1</v>
      </c>
      <c r="X199" s="17" t="n"/>
      <c r="Y199" s="17" t="n"/>
      <c r="Z199" s="13">
        <f>SUMPRODUCT(N199:Y199,$N$2:$Y$2)*$K199*$L199*$M199</f>
        <v/>
      </c>
      <c r="AA199" s="14">
        <f>SUM(N199:Y199)</f>
        <v/>
      </c>
      <c r="AB199" s="14">
        <f>IFERROR(IF(UPPER($E199)="L",SUMPRODUCT(N199:Y199,$N$3:$Y$3,$N$2:$Y$2),SUMPRODUCT(N199:Y199,$N$4:$Y$4,$N$2:$Y$2))/(Z199/($K199*$L199*$M199)),"")</f>
        <v/>
      </c>
      <c r="AC199" s="18" t="n"/>
    </row>
    <row r="200">
      <c r="A200" s="9" t="n">
        <v>663609</v>
      </c>
      <c r="B200" s="9" t="inlineStr">
        <is>
          <t>Luken Baker</t>
        </is>
      </c>
      <c r="C200" s="9" t="inlineStr">
        <is>
          <t>STL</t>
        </is>
      </c>
      <c r="D200" s="9" t="n">
        <v>30</v>
      </c>
      <c r="E200" s="16" t="inlineStr">
        <is>
          <t>R</t>
        </is>
      </c>
      <c r="F200" s="16" t="inlineStr">
        <is>
          <t>1B</t>
        </is>
      </c>
      <c r="G200" s="9" t="n">
        <v>5</v>
      </c>
      <c r="H200" s="9" t="n">
        <v>194</v>
      </c>
      <c r="I200" s="9" t="inlineStr">
        <is>
          <t>Bench Bat</t>
        </is>
      </c>
      <c r="J200" s="16" t="inlineStr">
        <is>
          <t>Opening Day</t>
        </is>
      </c>
      <c r="K200" s="11">
        <f>IFERROR(INDEX(Roles!$B$17:$B$20,MATCH(J200,Roles!$A$17:$A$20,0)),1)</f>
        <v/>
      </c>
      <c r="L200" s="17" t="n">
        <v>1</v>
      </c>
      <c r="M200" s="11" t="n">
        <v>1</v>
      </c>
      <c r="N200" s="17" t="n"/>
      <c r="O200" s="17" t="n"/>
      <c r="P200" s="17" t="n"/>
      <c r="Q200" s="17" t="n"/>
      <c r="R200" s="17" t="n"/>
      <c r="S200" s="17" t="n"/>
      <c r="T200" s="17" t="n"/>
      <c r="U200" s="17" t="n"/>
      <c r="V200" s="17" t="n"/>
      <c r="W200" s="17" t="n">
        <v>1</v>
      </c>
      <c r="X200" s="17" t="n"/>
      <c r="Y200" s="17" t="n"/>
      <c r="Z200" s="13">
        <f>SUMPRODUCT(N200:Y200,$N$2:$Y$2)*$K200*$L200*$M200</f>
        <v/>
      </c>
      <c r="AA200" s="14">
        <f>SUM(N200:Y200)</f>
        <v/>
      </c>
      <c r="AB200" s="14">
        <f>IFERROR(IF(UPPER($E200)="L",SUMPRODUCT(N200:Y200,$N$3:$Y$3,$N$2:$Y$2),SUMPRODUCT(N200:Y200,$N$4:$Y$4,$N$2:$Y$2))/(Z200/($K200*$L200*$M200)),"")</f>
        <v/>
      </c>
      <c r="AC200" s="18" t="n"/>
    </row>
    <row r="201">
      <c r="A201" s="9" t="n">
        <v>663586</v>
      </c>
      <c r="B201" s="9" t="inlineStr">
        <is>
          <t>Austin Riley</t>
        </is>
      </c>
      <c r="C201" s="9" t="inlineStr">
        <is>
          <t>ATL</t>
        </is>
      </c>
      <c r="D201" s="9" t="n">
        <v>30</v>
      </c>
      <c r="E201" s="16" t="inlineStr">
        <is>
          <t>R</t>
        </is>
      </c>
      <c r="F201" s="16" t="inlineStr">
        <is>
          <t>3B</t>
        </is>
      </c>
      <c r="G201" s="9" t="n">
        <v>630</v>
      </c>
      <c r="H201" s="9" t="n">
        <v>2954</v>
      </c>
      <c r="I201" s="9" t="inlineStr">
        <is>
          <t>Full Time</t>
        </is>
      </c>
      <c r="J201" s="16" t="inlineStr">
        <is>
          <t>Opening Day</t>
        </is>
      </c>
      <c r="K201" s="11">
        <f>IFERROR(INDEX(Roles!$B$17:$B$20,MATCH(J201,Roles!$A$17:$A$20,0)),1)</f>
        <v/>
      </c>
      <c r="L201" s="17" t="n">
        <v>1</v>
      </c>
      <c r="M201" s="11" t="n">
        <v>1.044346738822345</v>
      </c>
      <c r="N201" s="17" t="n">
        <v>1</v>
      </c>
      <c r="O201" s="17" t="n"/>
      <c r="P201" s="17" t="n"/>
      <c r="Q201" s="17" t="n"/>
      <c r="R201" s="17" t="n"/>
      <c r="S201" s="17" t="n"/>
      <c r="T201" s="17" t="n"/>
      <c r="U201" s="17" t="n"/>
      <c r="V201" s="17" t="n"/>
      <c r="W201" s="17" t="n"/>
      <c r="X201" s="17" t="n"/>
      <c r="Y201" s="17" t="n"/>
      <c r="Z201" s="13">
        <f>SUMPRODUCT(N201:Y201,$N$2:$Y$2)*$K201*$L201*$M201</f>
        <v/>
      </c>
      <c r="AA201" s="14">
        <f>SUM(N201:Y201)</f>
        <v/>
      </c>
      <c r="AB201" s="14">
        <f>IFERROR(IF(UPPER($E201)="L",SUMPRODUCT(N201:Y201,$N$3:$Y$3,$N$2:$Y$2),SUMPRODUCT(N201:Y201,$N$4:$Y$4,$N$2:$Y$2))/(Z201/($K201*$L201*$M201)),"")</f>
        <v/>
      </c>
      <c r="AC201" s="18" t="n"/>
    </row>
    <row r="202">
      <c r="A202" s="9" t="n">
        <v>672744</v>
      </c>
      <c r="B202" s="9" t="inlineStr">
        <is>
          <t>Alexander Canario</t>
        </is>
      </c>
      <c r="C202" s="9" t="inlineStr">
        <is>
          <t>PIT</t>
        </is>
      </c>
      <c r="D202" s="9" t="n">
        <v>27</v>
      </c>
      <c r="E202" s="16" t="inlineStr">
        <is>
          <t>R</t>
        </is>
      </c>
      <c r="F202" s="16" t="inlineStr">
        <is>
          <t>LF</t>
        </is>
      </c>
      <c r="G202" s="9" t="n">
        <v>234</v>
      </c>
      <c r="H202" s="9" t="n">
        <v>279</v>
      </c>
      <c r="I202" s="9" t="inlineStr">
        <is>
          <t>Bench Bat</t>
        </is>
      </c>
      <c r="J202" s="16" t="inlineStr">
        <is>
          <t>Opening Day</t>
        </is>
      </c>
      <c r="K202" s="11">
        <f>IFERROR(INDEX(Roles!$B$17:$B$20,MATCH(J202,Roles!$A$17:$A$20,0)),1)</f>
        <v/>
      </c>
      <c r="L202" s="17" t="n">
        <v>1</v>
      </c>
      <c r="M202" s="11" t="n">
        <v>1</v>
      </c>
      <c r="N202" s="17" t="n"/>
      <c r="O202" s="17" t="n"/>
      <c r="P202" s="17" t="n"/>
      <c r="Q202" s="17" t="n"/>
      <c r="R202" s="17" t="n"/>
      <c r="S202" s="17" t="n"/>
      <c r="T202" s="17" t="n"/>
      <c r="U202" s="17" t="n"/>
      <c r="V202" s="17" t="n"/>
      <c r="W202" s="17" t="n">
        <v>1</v>
      </c>
      <c r="X202" s="17" t="n"/>
      <c r="Y202" s="17" t="n"/>
      <c r="Z202" s="13">
        <f>SUMPRODUCT(N202:Y202,$N$2:$Y$2)*$K202*$L202*$M202</f>
        <v/>
      </c>
      <c r="AA202" s="14">
        <f>SUM(N202:Y202)</f>
        <v/>
      </c>
      <c r="AB202" s="14">
        <f>IFERROR(IF(UPPER($E202)="L",SUMPRODUCT(N202:Y202,$N$3:$Y$3,$N$2:$Y$2),SUMPRODUCT(N202:Y202,$N$4:$Y$4,$N$2:$Y$2))/(Z202/($K202*$L202*$M202)),"")</f>
        <v/>
      </c>
      <c r="AC202" s="18" t="n"/>
    </row>
    <row r="203">
      <c r="A203" s="9" t="n">
        <v>624585</v>
      </c>
      <c r="B203" s="9" t="inlineStr">
        <is>
          <t>Jorge Soler</t>
        </is>
      </c>
      <c r="C203" s="9" t="inlineStr">
        <is>
          <t>LAA</t>
        </is>
      </c>
      <c r="D203" s="9" t="n">
        <v>35</v>
      </c>
      <c r="E203" s="16" t="inlineStr">
        <is>
          <t>R</t>
        </is>
      </c>
      <c r="F203" s="16" t="inlineStr">
        <is>
          <t>RF</t>
        </is>
      </c>
      <c r="G203" s="9" t="n">
        <v>361</v>
      </c>
      <c r="H203" s="9" t="n">
        <v>2136</v>
      </c>
      <c r="I203" s="9" t="inlineStr">
        <is>
          <t>Full Time</t>
        </is>
      </c>
      <c r="J203" s="16" t="inlineStr">
        <is>
          <t>Opening Day</t>
        </is>
      </c>
      <c r="K203" s="11">
        <f>IFERROR(INDEX(Roles!$B$17:$B$20,MATCH(J203,Roles!$A$17:$A$20,0)),1)</f>
        <v/>
      </c>
      <c r="L203" s="17" t="n">
        <v>1</v>
      </c>
      <c r="M203" s="11" t="n">
        <v>0.8403577194844012</v>
      </c>
      <c r="N203" s="17" t="n">
        <v>1</v>
      </c>
      <c r="O203" s="17" t="n"/>
      <c r="P203" s="17" t="n"/>
      <c r="Q203" s="17" t="n"/>
      <c r="R203" s="17" t="n"/>
      <c r="S203" s="17" t="n"/>
      <c r="T203" s="17" t="n"/>
      <c r="U203" s="17" t="n"/>
      <c r="V203" s="17" t="n"/>
      <c r="W203" s="17" t="n"/>
      <c r="X203" s="17" t="n"/>
      <c r="Y203" s="17" t="n"/>
      <c r="Z203" s="13">
        <f>SUMPRODUCT(N203:Y203,$N$2:$Y$2)*$K203*$L203*$M203</f>
        <v/>
      </c>
      <c r="AA203" s="14">
        <f>SUM(N203:Y203)</f>
        <v/>
      </c>
      <c r="AB203" s="14">
        <f>IFERROR(IF(UPPER($E203)="L",SUMPRODUCT(N203:Y203,$N$3:$Y$3,$N$2:$Y$2),SUMPRODUCT(N203:Y203,$N$4:$Y$4,$N$2:$Y$2))/(Z203/($K203*$L203*$M203)),"")</f>
        <v/>
      </c>
      <c r="AC203" s="18" t="n"/>
    </row>
    <row r="204">
      <c r="A204" s="9" t="n">
        <v>663886</v>
      </c>
      <c r="B204" s="9" t="inlineStr">
        <is>
          <t>Tyler Stephenson</t>
        </is>
      </c>
      <c r="C204" s="9" t="inlineStr">
        <is>
          <t>CIN</t>
        </is>
      </c>
      <c r="D204" s="9" t="n">
        <v>30</v>
      </c>
      <c r="E204" s="16" t="inlineStr">
        <is>
          <t>R</t>
        </is>
      </c>
      <c r="F204" s="16" t="inlineStr">
        <is>
          <t>C</t>
        </is>
      </c>
      <c r="G204" s="9" t="n">
        <v>468</v>
      </c>
      <c r="H204" s="9" t="n">
        <v>2025</v>
      </c>
      <c r="I204" s="9" t="inlineStr">
        <is>
          <t>Catcher - Primary</t>
        </is>
      </c>
      <c r="J204" s="16" t="inlineStr">
        <is>
          <t>Opening Day</t>
        </is>
      </c>
      <c r="K204" s="11">
        <f>IFERROR(INDEX(Roles!$B$17:$B$20,MATCH(J204,Roles!$A$17:$A$20,0)),1)</f>
        <v/>
      </c>
      <c r="L204" s="17" t="n">
        <v>1</v>
      </c>
      <c r="M204" s="11" t="n">
        <v>1.026845420878295</v>
      </c>
      <c r="N204" s="17" t="n"/>
      <c r="O204" s="17" t="n"/>
      <c r="P204" s="17" t="n"/>
      <c r="Q204" s="17" t="n"/>
      <c r="R204" s="17" t="n">
        <v>0.85</v>
      </c>
      <c r="S204" s="17" t="n">
        <v>0.15</v>
      </c>
      <c r="T204" s="17" t="n"/>
      <c r="U204" s="17" t="n"/>
      <c r="V204" s="17" t="n"/>
      <c r="W204" s="17" t="n"/>
      <c r="X204" s="17" t="n"/>
      <c r="Y204" s="17" t="n"/>
      <c r="Z204" s="13">
        <f>SUMPRODUCT(N204:Y204,$N$2:$Y$2)*$K204*$L204*$M204</f>
        <v/>
      </c>
      <c r="AA204" s="14">
        <f>SUM(N204:Y204)</f>
        <v/>
      </c>
      <c r="AB204" s="14">
        <f>IFERROR(IF(UPPER($E204)="L",SUMPRODUCT(N204:Y204,$N$3:$Y$3,$N$2:$Y$2),SUMPRODUCT(N204:Y204,$N$4:$Y$4,$N$2:$Y$2))/(Z204/($K204*$L204*$M204)),"")</f>
        <v/>
      </c>
      <c r="AC204" s="18" t="n"/>
    </row>
    <row r="205">
      <c r="A205" s="9" t="n">
        <v>682998</v>
      </c>
      <c r="B205" s="9" t="inlineStr">
        <is>
          <t>Corbin Carroll</t>
        </is>
      </c>
      <c r="C205" s="9" t="inlineStr">
        <is>
          <t>ARI</t>
        </is>
      </c>
      <c r="D205" s="9" t="n">
        <v>26</v>
      </c>
      <c r="E205" s="16" t="inlineStr">
        <is>
          <t>L</t>
        </is>
      </c>
      <c r="F205" s="16" t="inlineStr">
        <is>
          <t>RF</t>
        </is>
      </c>
      <c r="G205" s="9" t="n">
        <v>671</v>
      </c>
      <c r="H205" s="9" t="n">
        <v>2757</v>
      </c>
      <c r="I205" s="9" t="inlineStr">
        <is>
          <t>Full Time</t>
        </is>
      </c>
      <c r="J205" s="16" t="inlineStr">
        <is>
          <t>Opening Day</t>
        </is>
      </c>
      <c r="K205" s="11">
        <f>IFERROR(INDEX(Roles!$B$17:$B$20,MATCH(J205,Roles!$A$17:$A$20,0)),1)</f>
        <v/>
      </c>
      <c r="L205" s="17" t="n">
        <v>1</v>
      </c>
      <c r="M205" s="11" t="n">
        <v>1.15</v>
      </c>
      <c r="N205" s="17" t="n">
        <v>1</v>
      </c>
      <c r="O205" s="17" t="n"/>
      <c r="P205" s="17" t="n"/>
      <c r="Q205" s="17" t="n"/>
      <c r="R205" s="17" t="n"/>
      <c r="S205" s="17" t="n"/>
      <c r="T205" s="17" t="n"/>
      <c r="U205" s="17" t="n"/>
      <c r="V205" s="17" t="n"/>
      <c r="W205" s="17" t="n"/>
      <c r="X205" s="17" t="n"/>
      <c r="Y205" s="17" t="n"/>
      <c r="Z205" s="13">
        <f>SUMPRODUCT(N205:Y205,$N$2:$Y$2)*$K205*$L205*$M205</f>
        <v/>
      </c>
      <c r="AA205" s="14">
        <f>SUM(N205:Y205)</f>
        <v/>
      </c>
      <c r="AB205" s="14">
        <f>IFERROR(IF(UPPER($E205)="L",SUMPRODUCT(N205:Y205,$N$3:$Y$3,$N$2:$Y$2),SUMPRODUCT(N205:Y205,$N$4:$Y$4,$N$2:$Y$2))/(Z205/($K205*$L205*$M205)),"")</f>
        <v/>
      </c>
      <c r="AC205" s="18" t="n"/>
    </row>
    <row r="206">
      <c r="A206" s="9" t="n">
        <v>683610</v>
      </c>
      <c r="B206" s="9" t="inlineStr">
        <is>
          <t>Leandro Pineda</t>
        </is>
      </c>
      <c r="C206" s="9" t="inlineStr">
        <is>
          <t>WSH</t>
        </is>
      </c>
      <c r="D206" s="9" t="n">
        <v>25</v>
      </c>
      <c r="E206" s="16" t="inlineStr">
        <is>
          <t>L</t>
        </is>
      </c>
      <c r="F206" s="16" t="n"/>
      <c r="G206" s="9" t="n">
        <v>99.84615384615384</v>
      </c>
      <c r="H206" s="9" t="n">
        <v>99.84615384615384</v>
      </c>
      <c r="I206" s="9" t="inlineStr">
        <is>
          <t>Depth (no MLB PA)</t>
        </is>
      </c>
      <c r="J206" s="16" t="inlineStr">
        <is>
          <t>Opening Day</t>
        </is>
      </c>
      <c r="K206" s="11">
        <f>IFERROR(INDEX(Roles!$B$17:$B$20,MATCH(J206,Roles!$A$17:$A$20,0)),1)</f>
        <v/>
      </c>
      <c r="L206" s="17" t="n">
        <v>1</v>
      </c>
      <c r="M206" s="11" t="n">
        <v>1</v>
      </c>
      <c r="N206" s="17" t="n"/>
      <c r="O206" s="17" t="n"/>
      <c r="P206" s="17" t="n"/>
      <c r="Q206" s="17" t="n"/>
      <c r="R206" s="17" t="n"/>
      <c r="S206" s="17" t="n"/>
      <c r="T206" s="17" t="n"/>
      <c r="U206" s="17" t="n"/>
      <c r="V206" s="17" t="n"/>
      <c r="W206" s="17" t="n"/>
      <c r="X206" s="17" t="n"/>
      <c r="Y206" s="17" t="n">
        <v>1</v>
      </c>
      <c r="Z206" s="13">
        <f>SUMPRODUCT(N206:Y206,$N$2:$Y$2)*$K206*$L206*$M206</f>
        <v/>
      </c>
      <c r="AA206" s="14">
        <f>SUM(N206:Y206)</f>
        <v/>
      </c>
      <c r="AB206" s="14">
        <f>IFERROR(IF(UPPER($E206)="L",SUMPRODUCT(N206:Y206,$N$3:$Y$3,$N$2:$Y$2),SUMPRODUCT(N206:Y206,$N$4:$Y$4,$N$2:$Y$2))/(Z206/($K206*$L206*$M206)),"")</f>
        <v/>
      </c>
      <c r="AC206" s="18" t="n"/>
    </row>
    <row r="207">
      <c r="A207" s="9" t="n">
        <v>605612</v>
      </c>
      <c r="B207" s="9" t="inlineStr">
        <is>
          <t>Harold Castro</t>
        </is>
      </c>
      <c r="C207" s="9" t="inlineStr">
        <is>
          <t>COL</t>
        </is>
      </c>
      <c r="D207" s="9" t="n">
        <v>33</v>
      </c>
      <c r="E207" s="16" t="inlineStr">
        <is>
          <t>L</t>
        </is>
      </c>
      <c r="F207" s="16" t="inlineStr">
        <is>
          <t>2B</t>
        </is>
      </c>
      <c r="G207" s="9" t="n">
        <v>270</v>
      </c>
      <c r="H207" s="9" t="n">
        <v>713</v>
      </c>
      <c r="I207" s="9" t="inlineStr">
        <is>
          <t>Depth (no MLB PA)</t>
        </is>
      </c>
      <c r="J207" s="16" t="inlineStr">
        <is>
          <t>Opening Day</t>
        </is>
      </c>
      <c r="K207" s="11">
        <f>IFERROR(INDEX(Roles!$B$17:$B$20,MATCH(J207,Roles!$A$17:$A$20,0)),1)</f>
        <v/>
      </c>
      <c r="L207" s="17" t="n">
        <v>1</v>
      </c>
      <c r="M207" s="11" t="n">
        <v>1</v>
      </c>
      <c r="N207" s="17" t="n"/>
      <c r="O207" s="17" t="n"/>
      <c r="P207" s="17" t="n"/>
      <c r="Q207" s="17" t="n"/>
      <c r="R207" s="17" t="n"/>
      <c r="S207" s="17" t="n"/>
      <c r="T207" s="17" t="n"/>
      <c r="U207" s="17" t="n"/>
      <c r="V207" s="17" t="n"/>
      <c r="W207" s="17" t="n"/>
      <c r="X207" s="17" t="n"/>
      <c r="Y207" s="17" t="n">
        <v>1</v>
      </c>
      <c r="Z207" s="13">
        <f>SUMPRODUCT(N207:Y207,$N$2:$Y$2)*$K207*$L207*$M207</f>
        <v/>
      </c>
      <c r="AA207" s="14">
        <f>SUM(N207:Y207)</f>
        <v/>
      </c>
      <c r="AB207" s="14">
        <f>IFERROR(IF(UPPER($E207)="L",SUMPRODUCT(N207:Y207,$N$3:$Y$3,$N$2:$Y$2),SUMPRODUCT(N207:Y207,$N$4:$Y$4,$N$2:$Y$2))/(Z207/($K207*$L207*$M207)),"")</f>
        <v/>
      </c>
      <c r="AC207" s="18" t="n"/>
    </row>
    <row r="208">
      <c r="A208" s="9" t="n">
        <v>695372</v>
      </c>
      <c r="B208" s="9" t="inlineStr">
        <is>
          <t>Jake Gelof</t>
        </is>
      </c>
      <c r="C208" s="9" t="inlineStr">
        <is>
          <t>LAD</t>
        </is>
      </c>
      <c r="D208" s="9" t="n">
        <v>25</v>
      </c>
      <c r="E208" s="16" t="inlineStr">
        <is>
          <t>R</t>
        </is>
      </c>
      <c r="F208" s="16" t="n"/>
      <c r="G208" s="9" t="n">
        <v>182.7179487179488</v>
      </c>
      <c r="H208" s="9" t="n">
        <v>182.7179487179488</v>
      </c>
      <c r="I208" s="9" t="inlineStr">
        <is>
          <t>Depth (no MLB PA)</t>
        </is>
      </c>
      <c r="J208" s="16" t="inlineStr">
        <is>
          <t>Opening Day</t>
        </is>
      </c>
      <c r="K208" s="11">
        <f>IFERROR(INDEX(Roles!$B$17:$B$20,MATCH(J208,Roles!$A$17:$A$20,0)),1)</f>
        <v/>
      </c>
      <c r="L208" s="17" t="n">
        <v>1</v>
      </c>
      <c r="M208" s="11" t="n">
        <v>1</v>
      </c>
      <c r="N208" s="17" t="n"/>
      <c r="O208" s="17" t="n"/>
      <c r="P208" s="17" t="n"/>
      <c r="Q208" s="17" t="n"/>
      <c r="R208" s="17" t="n"/>
      <c r="S208" s="17" t="n"/>
      <c r="T208" s="17" t="n"/>
      <c r="U208" s="17" t="n"/>
      <c r="V208" s="17" t="n"/>
      <c r="W208" s="17" t="n"/>
      <c r="X208" s="17" t="n"/>
      <c r="Y208" s="17" t="n">
        <v>1</v>
      </c>
      <c r="Z208" s="13">
        <f>SUMPRODUCT(N208:Y208,$N$2:$Y$2)*$K208*$L208*$M208</f>
        <v/>
      </c>
      <c r="AA208" s="14">
        <f>SUM(N208:Y208)</f>
        <v/>
      </c>
      <c r="AB208" s="14">
        <f>IFERROR(IF(UPPER($E208)="L",SUMPRODUCT(N208:Y208,$N$3:$Y$3,$N$2:$Y$2),SUMPRODUCT(N208:Y208,$N$4:$Y$4,$N$2:$Y$2))/(Z208/($K208*$L208*$M208)),"")</f>
        <v/>
      </c>
      <c r="AC208" s="18" t="n"/>
    </row>
    <row r="209">
      <c r="A209" s="9" t="n">
        <v>800543</v>
      </c>
      <c r="B209" s="9" t="inlineStr">
        <is>
          <t>Josue De Paula</t>
        </is>
      </c>
      <c r="C209" s="9" t="inlineStr">
        <is>
          <t>LAD</t>
        </is>
      </c>
      <c r="D209" s="9" t="n">
        <v>22</v>
      </c>
      <c r="E209" s="16" t="inlineStr">
        <is>
          <t>L</t>
        </is>
      </c>
      <c r="F209" s="16" t="inlineStr">
        <is>
          <t>LF</t>
        </is>
      </c>
      <c r="G209" s="9" t="n">
        <v>42</v>
      </c>
      <c r="H209" s="9" t="n">
        <v>42</v>
      </c>
      <c r="I209" s="9" t="inlineStr">
        <is>
          <t>Bench Bat</t>
        </is>
      </c>
      <c r="J209" s="16" t="inlineStr">
        <is>
          <t>Opening Day</t>
        </is>
      </c>
      <c r="K209" s="11">
        <f>IFERROR(INDEX(Roles!$B$17:$B$20,MATCH(J209,Roles!$A$17:$A$20,0)),1)</f>
        <v/>
      </c>
      <c r="L209" s="17" t="n">
        <v>1</v>
      </c>
      <c r="M209" s="11" t="n">
        <v>1</v>
      </c>
      <c r="N209" s="17" t="n"/>
      <c r="O209" s="17" t="n"/>
      <c r="P209" s="17" t="n"/>
      <c r="Q209" s="17" t="n"/>
      <c r="R209" s="17" t="n"/>
      <c r="S209" s="17" t="n"/>
      <c r="T209" s="17" t="n"/>
      <c r="U209" s="17" t="n"/>
      <c r="V209" s="17" t="n"/>
      <c r="W209" s="17" t="n">
        <v>0.7</v>
      </c>
      <c r="X209" s="17" t="n">
        <v>0.3</v>
      </c>
      <c r="Y209" s="17" t="n"/>
      <c r="Z209" s="13">
        <f>SUMPRODUCT(N209:Y209,$N$2:$Y$2)*$K209*$L209*$M209</f>
        <v/>
      </c>
      <c r="AA209" s="14">
        <f>SUM(N209:Y209)</f>
        <v/>
      </c>
      <c r="AB209" s="14">
        <f>IFERROR(IF(UPPER($E209)="L",SUMPRODUCT(N209:Y209,$N$3:$Y$3,$N$2:$Y$2),SUMPRODUCT(N209:Y209,$N$4:$Y$4,$N$2:$Y$2))/(Z209/($K209*$L209*$M209)),"")</f>
        <v/>
      </c>
      <c r="AC209" s="18" t="n"/>
    </row>
    <row r="210">
      <c r="A210" s="9" t="n">
        <v>664056</v>
      </c>
      <c r="B210" s="9" t="inlineStr">
        <is>
          <t>Harrison Bader</t>
        </is>
      </c>
      <c r="C210" s="9" t="inlineStr">
        <is>
          <t>SF</t>
        </is>
      </c>
      <c r="D210" s="9" t="n">
        <v>33</v>
      </c>
      <c r="E210" s="16" t="inlineStr">
        <is>
          <t>R</t>
        </is>
      </c>
      <c r="F210" s="16" t="inlineStr">
        <is>
          <t>CF</t>
        </is>
      </c>
      <c r="G210" s="9" t="n">
        <v>111</v>
      </c>
      <c r="H210" s="9" t="n">
        <v>1706</v>
      </c>
      <c r="I210" s="9" t="inlineStr">
        <is>
          <t>Injury Replacement / 26th Man</t>
        </is>
      </c>
      <c r="J210" s="16" t="inlineStr">
        <is>
          <t>Opening Day</t>
        </is>
      </c>
      <c r="K210" s="11">
        <f>IFERROR(INDEX(Roles!$B$17:$B$20,MATCH(J210,Roles!$A$17:$A$20,0)),1)</f>
        <v/>
      </c>
      <c r="L210" s="17" t="n">
        <v>1</v>
      </c>
      <c r="M210" s="11" t="n">
        <v>1.053943588899996</v>
      </c>
      <c r="N210" s="17" t="n"/>
      <c r="O210" s="17" t="n"/>
      <c r="P210" s="17" t="n"/>
      <c r="Q210" s="17" t="n"/>
      <c r="R210" s="17" t="n"/>
      <c r="S210" s="17" t="n"/>
      <c r="T210" s="17" t="n"/>
      <c r="U210" s="17" t="n"/>
      <c r="V210" s="17" t="n"/>
      <c r="W210" s="17" t="n"/>
      <c r="X210" s="17" t="n">
        <v>1</v>
      </c>
      <c r="Y210" s="17" t="n"/>
      <c r="Z210" s="13">
        <f>SUMPRODUCT(N210:Y210,$N$2:$Y$2)*$K210*$L210*$M210</f>
        <v/>
      </c>
      <c r="AA210" s="14">
        <f>SUM(N210:Y210)</f>
        <v/>
      </c>
      <c r="AB210" s="14">
        <f>IFERROR(IF(UPPER($E210)="L",SUMPRODUCT(N210:Y210,$N$3:$Y$3,$N$2:$Y$2),SUMPRODUCT(N210:Y210,$N$4:$Y$4,$N$2:$Y$2))/(Z210/($K210*$L210*$M210)),"")</f>
        <v/>
      </c>
      <c r="AC210" s="18" t="n"/>
    </row>
    <row r="211">
      <c r="A211" s="9" t="n">
        <v>665487</v>
      </c>
      <c r="B211" s="9" t="inlineStr">
        <is>
          <t>Fernando Tatis Jr.</t>
        </is>
      </c>
      <c r="C211" s="9" t="inlineStr">
        <is>
          <t>SD</t>
        </is>
      </c>
      <c r="D211" s="9" t="n">
        <v>28</v>
      </c>
      <c r="E211" s="16" t="inlineStr">
        <is>
          <t>R</t>
        </is>
      </c>
      <c r="F211" s="16" t="inlineStr">
        <is>
          <t>RF</t>
        </is>
      </c>
      <c r="G211" s="9" t="n">
        <v>704</v>
      </c>
      <c r="H211" s="9" t="n">
        <v>2468</v>
      </c>
      <c r="I211" s="9" t="inlineStr">
        <is>
          <t>Full Time</t>
        </is>
      </c>
      <c r="J211" s="16" t="inlineStr">
        <is>
          <t>Opening Day</t>
        </is>
      </c>
      <c r="K211" s="11">
        <f>IFERROR(INDEX(Roles!$B$17:$B$20,MATCH(J211,Roles!$A$17:$A$20,0)),1)</f>
        <v/>
      </c>
      <c r="L211" s="17" t="n">
        <v>1</v>
      </c>
      <c r="M211" s="11" t="n">
        <v>1.136991751771661</v>
      </c>
      <c r="N211" s="17" t="n">
        <v>1</v>
      </c>
      <c r="O211" s="17" t="n"/>
      <c r="P211" s="17" t="n"/>
      <c r="Q211" s="17" t="n"/>
      <c r="R211" s="17" t="n"/>
      <c r="S211" s="17" t="n"/>
      <c r="T211" s="17" t="n"/>
      <c r="U211" s="17" t="n"/>
      <c r="V211" s="17" t="n"/>
      <c r="W211" s="17" t="n"/>
      <c r="X211" s="17" t="n"/>
      <c r="Y211" s="17" t="n"/>
      <c r="Z211" s="13">
        <f>SUMPRODUCT(N211:Y211,$N$2:$Y$2)*$K211*$L211*$M211</f>
        <v/>
      </c>
      <c r="AA211" s="14">
        <f>SUM(N211:Y211)</f>
        <v/>
      </c>
      <c r="AB211" s="14">
        <f>IFERROR(IF(UPPER($E211)="L",SUMPRODUCT(N211:Y211,$N$3:$Y$3,$N$2:$Y$2),SUMPRODUCT(N211:Y211,$N$4:$Y$4,$N$2:$Y$2))/(Z211/($K211*$L211*$M211)),"")</f>
        <v/>
      </c>
      <c r="AC211" s="18" t="n"/>
    </row>
    <row r="212">
      <c r="A212" s="9" t="n">
        <v>682829</v>
      </c>
      <c r="B212" s="9" t="inlineStr">
        <is>
          <t>Elly De La Cruz</t>
        </is>
      </c>
      <c r="C212" s="9" t="inlineStr">
        <is>
          <t>CIN</t>
        </is>
      </c>
      <c r="D212" s="9" t="n">
        <v>25</v>
      </c>
      <c r="E212" s="16" t="inlineStr">
        <is>
          <t>S</t>
        </is>
      </c>
      <c r="F212" s="16" t="inlineStr">
        <is>
          <t>SS</t>
        </is>
      </c>
      <c r="G212" s="9" t="n">
        <v>636</v>
      </c>
      <c r="H212" s="9" t="n">
        <v>2458</v>
      </c>
      <c r="I212" s="9" t="inlineStr">
        <is>
          <t>Full Time</t>
        </is>
      </c>
      <c r="J212" s="16" t="inlineStr">
        <is>
          <t>Opening Day</t>
        </is>
      </c>
      <c r="K212" s="11">
        <f>IFERROR(INDEX(Roles!$B$17:$B$20,MATCH(J212,Roles!$A$17:$A$20,0)),1)</f>
        <v/>
      </c>
      <c r="L212" s="17" t="n">
        <v>1</v>
      </c>
      <c r="M212" s="11" t="n">
        <v>1.15</v>
      </c>
      <c r="N212" s="17" t="n">
        <v>1</v>
      </c>
      <c r="O212" s="17" t="n"/>
      <c r="P212" s="17" t="n"/>
      <c r="Q212" s="17" t="n"/>
      <c r="R212" s="17" t="n"/>
      <c r="S212" s="17" t="n"/>
      <c r="T212" s="17" t="n"/>
      <c r="U212" s="17" t="n"/>
      <c r="V212" s="17" t="n"/>
      <c r="W212" s="17" t="n"/>
      <c r="X212" s="17" t="n"/>
      <c r="Y212" s="17" t="n"/>
      <c r="Z212" s="13">
        <f>SUMPRODUCT(N212:Y212,$N$2:$Y$2)*$K212*$L212*$M212</f>
        <v/>
      </c>
      <c r="AA212" s="14">
        <f>SUM(N212:Y212)</f>
        <v/>
      </c>
      <c r="AB212" s="14">
        <f>IFERROR(IF(UPPER($E212)="L",SUMPRODUCT(N212:Y212,$N$3:$Y$3,$N$2:$Y$2),SUMPRODUCT(N212:Y212,$N$4:$Y$4,$N$2:$Y$2))/(Z212/($K212*$L212*$M212)),"")</f>
        <v/>
      </c>
      <c r="AC212" s="18" t="n"/>
    </row>
    <row r="213">
      <c r="A213" s="9" t="n">
        <v>592518</v>
      </c>
      <c r="B213" s="9" t="inlineStr">
        <is>
          <t>Manny Machado</t>
        </is>
      </c>
      <c r="C213" s="9" t="inlineStr">
        <is>
          <t>SD</t>
        </is>
      </c>
      <c r="D213" s="9" t="n">
        <v>34</v>
      </c>
      <c r="E213" s="16" t="inlineStr">
        <is>
          <t>R</t>
        </is>
      </c>
      <c r="F213" s="16" t="inlineStr">
        <is>
          <t>3B</t>
        </is>
      </c>
      <c r="G213" s="9" t="n">
        <v>677</v>
      </c>
      <c r="H213" s="9" t="n">
        <v>3243</v>
      </c>
      <c r="I213" s="9" t="inlineStr">
        <is>
          <t>Full Time</t>
        </is>
      </c>
      <c r="J213" s="16" t="inlineStr">
        <is>
          <t>Opening Day</t>
        </is>
      </c>
      <c r="K213" s="11">
        <f>IFERROR(INDEX(Roles!$B$17:$B$20,MATCH(J213,Roles!$A$17:$A$20,0)),1)</f>
        <v/>
      </c>
      <c r="L213" s="17" t="n">
        <v>1</v>
      </c>
      <c r="M213" s="11" t="n">
        <v>1.15</v>
      </c>
      <c r="N213" s="17" t="n">
        <v>1</v>
      </c>
      <c r="O213" s="17" t="n"/>
      <c r="P213" s="17" t="n"/>
      <c r="Q213" s="17" t="n"/>
      <c r="R213" s="17" t="n"/>
      <c r="S213" s="17" t="n"/>
      <c r="T213" s="17" t="n"/>
      <c r="U213" s="17" t="n"/>
      <c r="V213" s="17" t="n"/>
      <c r="W213" s="17" t="n"/>
      <c r="X213" s="17" t="n"/>
      <c r="Y213" s="17" t="n"/>
      <c r="Z213" s="13">
        <f>SUMPRODUCT(N213:Y213,$N$2:$Y$2)*$K213*$L213*$M213</f>
        <v/>
      </c>
      <c r="AA213" s="14">
        <f>SUM(N213:Y213)</f>
        <v/>
      </c>
      <c r="AB213" s="14">
        <f>IFERROR(IF(UPPER($E213)="L",SUMPRODUCT(N213:Y213,$N$3:$Y$3,$N$2:$Y$2),SUMPRODUCT(N213:Y213,$N$4:$Y$4,$N$2:$Y$2))/(Z213/($K213*$L213*$M213)),"")</f>
        <v/>
      </c>
      <c r="AC213" s="18" t="n"/>
    </row>
    <row r="214">
      <c r="A214" s="9" t="n">
        <v>701771</v>
      </c>
      <c r="B214" s="9" t="inlineStr">
        <is>
          <t>Billy Amick</t>
        </is>
      </c>
      <c r="C214" s="9" t="inlineStr">
        <is>
          <t>NYM</t>
        </is>
      </c>
      <c r="D214" s="9" t="n">
        <v>25</v>
      </c>
      <c r="E214" s="16" t="inlineStr">
        <is>
          <t>R</t>
        </is>
      </c>
      <c r="F214" s="16" t="n"/>
      <c r="G214" s="9" t="n">
        <v>54.71794871794872</v>
      </c>
      <c r="H214" s="9" t="n">
        <v>54.71794871794872</v>
      </c>
      <c r="I214" s="9" t="inlineStr">
        <is>
          <t>Depth (no MLB PA)</t>
        </is>
      </c>
      <c r="J214" s="16" t="inlineStr">
        <is>
          <t>Opening Day</t>
        </is>
      </c>
      <c r="K214" s="11">
        <f>IFERROR(INDEX(Roles!$B$17:$B$20,MATCH(J214,Roles!$A$17:$A$20,0)),1)</f>
        <v/>
      </c>
      <c r="L214" s="17" t="n">
        <v>1</v>
      </c>
      <c r="M214" s="11" t="n">
        <v>1</v>
      </c>
      <c r="N214" s="17" t="n"/>
      <c r="O214" s="17" t="n"/>
      <c r="P214" s="17" t="n"/>
      <c r="Q214" s="17" t="n"/>
      <c r="R214" s="17" t="n"/>
      <c r="S214" s="17" t="n"/>
      <c r="T214" s="17" t="n"/>
      <c r="U214" s="17" t="n"/>
      <c r="V214" s="17" t="n"/>
      <c r="W214" s="17" t="n"/>
      <c r="X214" s="17" t="n"/>
      <c r="Y214" s="17" t="n">
        <v>1</v>
      </c>
      <c r="Z214" s="13">
        <f>SUMPRODUCT(N214:Y214,$N$2:$Y$2)*$K214*$L214*$M214</f>
        <v/>
      </c>
      <c r="AA214" s="14">
        <f>SUM(N214:Y214)</f>
        <v/>
      </c>
      <c r="AB214" s="14">
        <f>IFERROR(IF(UPPER($E214)="L",SUMPRODUCT(N214:Y214,$N$3:$Y$3,$N$2:$Y$2),SUMPRODUCT(N214:Y214,$N$4:$Y$4,$N$2:$Y$2))/(Z214/($K214*$L214*$M214)),"")</f>
        <v/>
      </c>
      <c r="AC214" s="18" t="n"/>
    </row>
    <row r="215">
      <c r="A215" s="9" t="n">
        <v>682619</v>
      </c>
      <c r="B215" s="9" t="inlineStr">
        <is>
          <t>Orelvis Martinez</t>
        </is>
      </c>
      <c r="C215" s="9" t="inlineStr">
        <is>
          <t>TOR</t>
        </is>
      </c>
      <c r="D215" s="9" t="n">
        <v>25</v>
      </c>
      <c r="E215" s="16" t="inlineStr">
        <is>
          <t>R</t>
        </is>
      </c>
      <c r="F215" s="16" t="inlineStr">
        <is>
          <t>2B</t>
        </is>
      </c>
      <c r="G215" s="9" t="n">
        <v>3</v>
      </c>
      <c r="H215" s="9" t="n">
        <v>3</v>
      </c>
      <c r="I215" s="9" t="inlineStr">
        <is>
          <t>Depth (no MLB PA)</t>
        </is>
      </c>
      <c r="J215" s="16" t="inlineStr">
        <is>
          <t>Opening Day</t>
        </is>
      </c>
      <c r="K215" s="11">
        <f>IFERROR(INDEX(Roles!$B$17:$B$20,MATCH(J215,Roles!$A$17:$A$20,0)),1)</f>
        <v/>
      </c>
      <c r="L215" s="17" t="n">
        <v>1</v>
      </c>
      <c r="M215" s="11" t="n">
        <v>1</v>
      </c>
      <c r="N215" s="17" t="n"/>
      <c r="O215" s="17" t="n"/>
      <c r="P215" s="17" t="n"/>
      <c r="Q215" s="17" t="n"/>
      <c r="R215" s="17" t="n"/>
      <c r="S215" s="17" t="n"/>
      <c r="T215" s="17" t="n"/>
      <c r="U215" s="17" t="n"/>
      <c r="V215" s="17" t="n"/>
      <c r="W215" s="17" t="n"/>
      <c r="X215" s="17" t="n"/>
      <c r="Y215" s="17" t="n">
        <v>1</v>
      </c>
      <c r="Z215" s="13">
        <f>SUMPRODUCT(N215:Y215,$N$2:$Y$2)*$K215*$L215*$M215</f>
        <v/>
      </c>
      <c r="AA215" s="14">
        <f>SUM(N215:Y215)</f>
        <v/>
      </c>
      <c r="AB215" s="14">
        <f>IFERROR(IF(UPPER($E215)="L",SUMPRODUCT(N215:Y215,$N$3:$Y$3,$N$2:$Y$2),SUMPRODUCT(N215:Y215,$N$4:$Y$4,$N$2:$Y$2))/(Z215/($K215*$L215*$M215)),"")</f>
        <v/>
      </c>
      <c r="AC215" s="18" t="n"/>
    </row>
    <row r="216">
      <c r="A216" s="9" t="n">
        <v>666018</v>
      </c>
      <c r="B216" s="9" t="inlineStr">
        <is>
          <t>Jonathan Aranda</t>
        </is>
      </c>
      <c r="C216" s="9" t="inlineStr">
        <is>
          <t>TB</t>
        </is>
      </c>
      <c r="D216" s="9" t="n">
        <v>29</v>
      </c>
      <c r="E216" s="16" t="inlineStr">
        <is>
          <t>L</t>
        </is>
      </c>
      <c r="F216" s="16" t="inlineStr">
        <is>
          <t>1B</t>
        </is>
      </c>
      <c r="G216" s="9" t="n">
        <v>668</v>
      </c>
      <c r="H216" s="9" t="n">
        <v>1423</v>
      </c>
      <c r="I216" s="9" t="inlineStr">
        <is>
          <t>Full Time</t>
        </is>
      </c>
      <c r="J216" s="16" t="inlineStr">
        <is>
          <t>Opening Day</t>
        </is>
      </c>
      <c r="K216" s="11">
        <f>IFERROR(INDEX(Roles!$B$17:$B$20,MATCH(J216,Roles!$A$17:$A$20,0)),1)</f>
        <v/>
      </c>
      <c r="L216" s="17" t="n">
        <v>1</v>
      </c>
      <c r="M216" s="11" t="n">
        <v>0.9772003532902716</v>
      </c>
      <c r="N216" s="17" t="n">
        <v>1</v>
      </c>
      <c r="O216" s="17" t="n"/>
      <c r="P216" s="17" t="n"/>
      <c r="Q216" s="17" t="n"/>
      <c r="R216" s="17" t="n"/>
      <c r="S216" s="17" t="n"/>
      <c r="T216" s="17" t="n"/>
      <c r="U216" s="17" t="n"/>
      <c r="V216" s="17" t="n"/>
      <c r="W216" s="17" t="n"/>
      <c r="X216" s="17" t="n"/>
      <c r="Y216" s="17" t="n"/>
      <c r="Z216" s="13">
        <f>SUMPRODUCT(N216:Y216,$N$2:$Y$2)*$K216*$L216*$M216</f>
        <v/>
      </c>
      <c r="AA216" s="14">
        <f>SUM(N216:Y216)</f>
        <v/>
      </c>
      <c r="AB216" s="14">
        <f>IFERROR(IF(UPPER($E216)="L",SUMPRODUCT(N216:Y216,$N$3:$Y$3,$N$2:$Y$2),SUMPRODUCT(N216:Y216,$N$4:$Y$4,$N$2:$Y$2))/(Z216/($K216*$L216*$M216)),"")</f>
        <v/>
      </c>
      <c r="AC216" s="18" t="n"/>
    </row>
    <row r="217">
      <c r="A217" s="9" t="n">
        <v>693850</v>
      </c>
      <c r="B217" s="9" t="inlineStr">
        <is>
          <t>Kala'i Rosario</t>
        </is>
      </c>
      <c r="C217" s="9" t="inlineStr">
        <is>
          <t>MIN</t>
        </is>
      </c>
      <c r="D217" s="9" t="n">
        <v>25</v>
      </c>
      <c r="E217" s="16" t="inlineStr">
        <is>
          <t>R</t>
        </is>
      </c>
      <c r="F217" s="16" t="n"/>
      <c r="G217" s="9" t="n">
        <v>91.3846153846154</v>
      </c>
      <c r="H217" s="9" t="n">
        <v>91.3846153846154</v>
      </c>
      <c r="I217" s="9" t="inlineStr">
        <is>
          <t>Depth (no MLB PA)</t>
        </is>
      </c>
      <c r="J217" s="16" t="inlineStr">
        <is>
          <t>Opening Day</t>
        </is>
      </c>
      <c r="K217" s="11">
        <f>IFERROR(INDEX(Roles!$B$17:$B$20,MATCH(J217,Roles!$A$17:$A$20,0)),1)</f>
        <v/>
      </c>
      <c r="L217" s="17" t="n">
        <v>1</v>
      </c>
      <c r="M217" s="11" t="n">
        <v>1</v>
      </c>
      <c r="N217" s="17" t="n"/>
      <c r="O217" s="17" t="n"/>
      <c r="P217" s="17" t="n"/>
      <c r="Q217" s="17" t="n"/>
      <c r="R217" s="17" t="n"/>
      <c r="S217" s="17" t="n"/>
      <c r="T217" s="17" t="n"/>
      <c r="U217" s="17" t="n"/>
      <c r="V217" s="17" t="n"/>
      <c r="W217" s="17" t="n"/>
      <c r="X217" s="17" t="n"/>
      <c r="Y217" s="17" t="n">
        <v>1</v>
      </c>
      <c r="Z217" s="13">
        <f>SUMPRODUCT(N217:Y217,$N$2:$Y$2)*$K217*$L217*$M217</f>
        <v/>
      </c>
      <c r="AA217" s="14">
        <f>SUM(N217:Y217)</f>
        <v/>
      </c>
      <c r="AB217" s="14">
        <f>IFERROR(IF(UPPER($E217)="L",SUMPRODUCT(N217:Y217,$N$3:$Y$3,$N$2:$Y$2),SUMPRODUCT(N217:Y217,$N$4:$Y$4,$N$2:$Y$2))/(Z217/($K217*$L217*$M217)),"")</f>
        <v/>
      </c>
      <c r="AC217" s="18" t="n"/>
    </row>
    <row r="218">
      <c r="A218" s="9" t="n">
        <v>681297</v>
      </c>
      <c r="B218" s="9" t="inlineStr">
        <is>
          <t>Colton Cowser</t>
        </is>
      </c>
      <c r="C218" s="9" t="inlineStr">
        <is>
          <t>BAL</t>
        </is>
      </c>
      <c r="D218" s="9" t="n">
        <v>27</v>
      </c>
      <c r="E218" s="16" t="inlineStr">
        <is>
          <t>L</t>
        </is>
      </c>
      <c r="F218" s="16" t="inlineStr">
        <is>
          <t>CF</t>
        </is>
      </c>
      <c r="G218" s="9" t="n">
        <v>392</v>
      </c>
      <c r="H218" s="9" t="n">
        <v>1390</v>
      </c>
      <c r="I218" s="9" t="inlineStr">
        <is>
          <t>Strong Side Platoon</t>
        </is>
      </c>
      <c r="J218" s="16" t="inlineStr">
        <is>
          <t>Opening Day</t>
        </is>
      </c>
      <c r="K218" s="11">
        <f>IFERROR(INDEX(Roles!$B$17:$B$20,MATCH(J218,Roles!$A$17:$A$20,0)),1)</f>
        <v/>
      </c>
      <c r="L218" s="17" t="n">
        <v>1</v>
      </c>
      <c r="M218" s="11" t="n">
        <v>1.05886877879287</v>
      </c>
      <c r="N218" s="17" t="n">
        <v>0.4</v>
      </c>
      <c r="O218" s="17" t="n"/>
      <c r="P218" s="17" t="n">
        <v>0.6</v>
      </c>
      <c r="Q218" s="17" t="n"/>
      <c r="R218" s="17" t="n"/>
      <c r="S218" s="17" t="n"/>
      <c r="T218" s="17" t="n"/>
      <c r="U218" s="17" t="n"/>
      <c r="V218" s="17" t="n"/>
      <c r="W218" s="17" t="n"/>
      <c r="X218" s="17" t="n"/>
      <c r="Y218" s="17" t="n"/>
      <c r="Z218" s="13">
        <f>SUMPRODUCT(N218:Y218,$N$2:$Y$2)*$K218*$L218*$M218</f>
        <v/>
      </c>
      <c r="AA218" s="14">
        <f>SUM(N218:Y218)</f>
        <v/>
      </c>
      <c r="AB218" s="14">
        <f>IFERROR(IF(UPPER($E218)="L",SUMPRODUCT(N218:Y218,$N$3:$Y$3,$N$2:$Y$2),SUMPRODUCT(N218:Y218,$N$4:$Y$4,$N$2:$Y$2))/(Z218/($K218*$L218*$M218)),"")</f>
        <v/>
      </c>
      <c r="AC218" s="18" t="n"/>
    </row>
    <row r="219">
      <c r="A219" s="9" t="n">
        <v>641302</v>
      </c>
      <c r="B219" s="9" t="inlineStr">
        <is>
          <t>Tyler Alexander</t>
        </is>
      </c>
      <c r="C219" s="9" t="inlineStr">
        <is>
          <t>CWS</t>
        </is>
      </c>
      <c r="D219" s="9" t="n">
        <v>32</v>
      </c>
      <c r="E219" s="16" t="inlineStr">
        <is>
          <t>R</t>
        </is>
      </c>
      <c r="F219" s="16" t="inlineStr">
        <is>
          <t>P</t>
        </is>
      </c>
      <c r="G219" s="9" t="n">
        <v>1</v>
      </c>
      <c r="H219" s="9" t="n">
        <v>1</v>
      </c>
      <c r="I219" s="9" t="inlineStr">
        <is>
          <t>Depth (no MLB PA)</t>
        </is>
      </c>
      <c r="J219" s="16" t="inlineStr">
        <is>
          <t>Opening Day</t>
        </is>
      </c>
      <c r="K219" s="11">
        <f>IFERROR(INDEX(Roles!$B$17:$B$20,MATCH(J219,Roles!$A$17:$A$20,0)),1)</f>
        <v/>
      </c>
      <c r="L219" s="17" t="n">
        <v>1</v>
      </c>
      <c r="M219" s="11" t="n">
        <v>1</v>
      </c>
      <c r="N219" s="17" t="n"/>
      <c r="O219" s="17" t="n"/>
      <c r="P219" s="17" t="n"/>
      <c r="Q219" s="17" t="n"/>
      <c r="R219" s="17" t="n"/>
      <c r="S219" s="17" t="n"/>
      <c r="T219" s="17" t="n"/>
      <c r="U219" s="17" t="n"/>
      <c r="V219" s="17" t="n"/>
      <c r="W219" s="17" t="n"/>
      <c r="X219" s="17" t="n"/>
      <c r="Y219" s="17" t="n">
        <v>1</v>
      </c>
      <c r="Z219" s="13">
        <f>SUMPRODUCT(N219:Y219,$N$2:$Y$2)*$K219*$L219*$M219</f>
        <v/>
      </c>
      <c r="AA219" s="14">
        <f>SUM(N219:Y219)</f>
        <v/>
      </c>
      <c r="AB219" s="14">
        <f>IFERROR(IF(UPPER($E219)="L",SUMPRODUCT(N219:Y219,$N$3:$Y$3,$N$2:$Y$2),SUMPRODUCT(N219:Y219,$N$4:$Y$4,$N$2:$Y$2))/(Z219/($K219*$L219*$M219)),"")</f>
        <v/>
      </c>
      <c r="AC219" s="18" t="n"/>
    </row>
    <row r="220">
      <c r="A220" s="9" t="n">
        <v>805672</v>
      </c>
      <c r="B220" s="9" t="inlineStr">
        <is>
          <t>Collin Price</t>
        </is>
      </c>
      <c r="C220" s="9" t="inlineStr">
        <is>
          <t>HOU</t>
        </is>
      </c>
      <c r="D220" s="9" t="n">
        <v>27</v>
      </c>
      <c r="E220" s="16" t="inlineStr">
        <is>
          <t>R</t>
        </is>
      </c>
      <c r="F220" s="16" t="inlineStr">
        <is>
          <t>C</t>
        </is>
      </c>
      <c r="G220" s="9" t="n">
        <v>13</v>
      </c>
      <c r="H220" s="9" t="n">
        <v>13</v>
      </c>
      <c r="I220" s="9" t="inlineStr">
        <is>
          <t>Depth (no MLB PA)</t>
        </is>
      </c>
      <c r="J220" s="16" t="inlineStr">
        <is>
          <t>Opening Day</t>
        </is>
      </c>
      <c r="K220" s="11">
        <f>IFERROR(INDEX(Roles!$B$17:$B$20,MATCH(J220,Roles!$A$17:$A$20,0)),1)</f>
        <v/>
      </c>
      <c r="L220" s="17" t="n">
        <v>1</v>
      </c>
      <c r="M220" s="11" t="n">
        <v>1</v>
      </c>
      <c r="N220" s="17" t="n"/>
      <c r="O220" s="17" t="n"/>
      <c r="P220" s="17" t="n"/>
      <c r="Q220" s="17" t="n"/>
      <c r="R220" s="17" t="n"/>
      <c r="S220" s="17" t="n"/>
      <c r="T220" s="17" t="n"/>
      <c r="U220" s="17" t="n"/>
      <c r="V220" s="17" t="n"/>
      <c r="W220" s="17" t="n"/>
      <c r="X220" s="17" t="n"/>
      <c r="Y220" s="17" t="n">
        <v>1</v>
      </c>
      <c r="Z220" s="13">
        <f>SUMPRODUCT(N220:Y220,$N$2:$Y$2)*$K220*$L220*$M220</f>
        <v/>
      </c>
      <c r="AA220" s="14">
        <f>SUM(N220:Y220)</f>
        <v/>
      </c>
      <c r="AB220" s="14">
        <f>IFERROR(IF(UPPER($E220)="L",SUMPRODUCT(N220:Y220,$N$3:$Y$3,$N$2:$Y$2),SUMPRODUCT(N220:Y220,$N$4:$Y$4,$N$2:$Y$2))/(Z220/($K220*$L220*$M220)),"")</f>
        <v/>
      </c>
      <c r="AC220" s="18" t="n"/>
    </row>
    <row r="221">
      <c r="A221" s="9" t="n">
        <v>592206</v>
      </c>
      <c r="B221" s="9" t="inlineStr">
        <is>
          <t>Nick Castellanos</t>
        </is>
      </c>
      <c r="C221" s="9" t="inlineStr">
        <is>
          <t>SD</t>
        </is>
      </c>
      <c r="D221" s="9" t="n">
        <v>35</v>
      </c>
      <c r="E221" s="16" t="inlineStr">
        <is>
          <t>R</t>
        </is>
      </c>
      <c r="F221" s="16" t="inlineStr">
        <is>
          <t>RF</t>
        </is>
      </c>
      <c r="G221" s="9" t="n">
        <v>122</v>
      </c>
      <c r="H221" s="9" t="n">
        <v>2599</v>
      </c>
      <c r="I221" s="9" t="inlineStr">
        <is>
          <t>Full Time</t>
        </is>
      </c>
      <c r="J221" s="16" t="inlineStr">
        <is>
          <t>Opening Day</t>
        </is>
      </c>
      <c r="K221" s="11">
        <f>IFERROR(INDEX(Roles!$B$17:$B$20,MATCH(J221,Roles!$A$17:$A$20,0)),1)</f>
        <v/>
      </c>
      <c r="L221" s="17" t="n">
        <v>1</v>
      </c>
      <c r="M221" s="11" t="n">
        <v>0.8471573534623327</v>
      </c>
      <c r="N221" s="17" t="n">
        <v>1</v>
      </c>
      <c r="O221" s="17" t="n"/>
      <c r="P221" s="17" t="n"/>
      <c r="Q221" s="17" t="n"/>
      <c r="R221" s="17" t="n"/>
      <c r="S221" s="17" t="n"/>
      <c r="T221" s="17" t="n"/>
      <c r="U221" s="17" t="n"/>
      <c r="V221" s="17" t="n"/>
      <c r="W221" s="17" t="n"/>
      <c r="X221" s="17" t="n"/>
      <c r="Y221" s="17" t="n"/>
      <c r="Z221" s="13">
        <f>SUMPRODUCT(N221:Y221,$N$2:$Y$2)*$K221*$L221*$M221</f>
        <v/>
      </c>
      <c r="AA221" s="14">
        <f>SUM(N221:Y221)</f>
        <v/>
      </c>
      <c r="AB221" s="14">
        <f>IFERROR(IF(UPPER($E221)="L",SUMPRODUCT(N221:Y221,$N$3:$Y$3,$N$2:$Y$2),SUMPRODUCT(N221:Y221,$N$4:$Y$4,$N$2:$Y$2))/(Z221/($K221*$L221*$M221)),"")</f>
        <v/>
      </c>
      <c r="AC221" s="18" t="n"/>
    </row>
    <row r="222">
      <c r="A222" s="9" t="n">
        <v>656976</v>
      </c>
      <c r="B222" s="9" t="inlineStr">
        <is>
          <t>Pavin Smith</t>
        </is>
      </c>
      <c r="C222" s="9" t="inlineStr">
        <is>
          <t>ARI</t>
        </is>
      </c>
      <c r="D222" s="9" t="n">
        <v>31</v>
      </c>
      <c r="E222" s="16" t="inlineStr">
        <is>
          <t>L</t>
        </is>
      </c>
      <c r="F222" s="16" t="inlineStr">
        <is>
          <t>1B</t>
        </is>
      </c>
      <c r="G222" s="9" t="n">
        <v>122</v>
      </c>
      <c r="H222" s="9" t="n">
        <v>1073</v>
      </c>
      <c r="I222" s="9" t="inlineStr">
        <is>
          <t>Full Time</t>
        </is>
      </c>
      <c r="J222" s="16" t="inlineStr">
        <is>
          <t>Opening Day</t>
        </is>
      </c>
      <c r="K222" s="11">
        <f>IFERROR(INDEX(Roles!$B$17:$B$20,MATCH(J222,Roles!$A$17:$A$20,0)),1)</f>
        <v/>
      </c>
      <c r="L222" s="17" t="n">
        <v>1</v>
      </c>
      <c r="M222" s="11" t="n">
        <v>1</v>
      </c>
      <c r="N222" s="17" t="n">
        <v>0.7</v>
      </c>
      <c r="O222" s="17" t="n"/>
      <c r="P222" s="17" t="n">
        <v>0.3</v>
      </c>
      <c r="Q222" s="17" t="n"/>
      <c r="R222" s="17" t="n"/>
      <c r="S222" s="17" t="n"/>
      <c r="T222" s="17" t="n"/>
      <c r="U222" s="17" t="n"/>
      <c r="V222" s="17" t="n"/>
      <c r="W222" s="17" t="n"/>
      <c r="X222" s="17" t="n"/>
      <c r="Y222" s="17" t="n"/>
      <c r="Z222" s="13">
        <f>SUMPRODUCT(N222:Y222,$N$2:$Y$2)*$K222*$L222*$M222</f>
        <v/>
      </c>
      <c r="AA222" s="14">
        <f>SUM(N222:Y222)</f>
        <v/>
      </c>
      <c r="AB222" s="14">
        <f>IFERROR(IF(UPPER($E222)="L",SUMPRODUCT(N222:Y222,$N$3:$Y$3,$N$2:$Y$2),SUMPRODUCT(N222:Y222,$N$4:$Y$4,$N$2:$Y$2))/(Z222/($K222*$L222*$M222)),"")</f>
        <v/>
      </c>
      <c r="AC222" s="18" t="n"/>
    </row>
    <row r="223">
      <c r="A223" s="9" t="n">
        <v>656883</v>
      </c>
      <c r="B223" s="9" t="inlineStr">
        <is>
          <t>Jakson Reetz</t>
        </is>
      </c>
      <c r="C223" s="9" t="inlineStr">
        <is>
          <t>SF</t>
        </is>
      </c>
      <c r="D223" s="9" t="n">
        <v>31</v>
      </c>
      <c r="E223" s="16" t="inlineStr">
        <is>
          <t>R</t>
        </is>
      </c>
      <c r="F223" s="16" t="inlineStr">
        <is>
          <t>C</t>
        </is>
      </c>
      <c r="G223" s="9" t="n">
        <v>15</v>
      </c>
      <c r="H223" s="9" t="n">
        <v>15</v>
      </c>
      <c r="I223" s="9" t="inlineStr">
        <is>
          <t>Depth (no MLB PA)</t>
        </is>
      </c>
      <c r="J223" s="16" t="inlineStr">
        <is>
          <t>Opening Day</t>
        </is>
      </c>
      <c r="K223" s="11">
        <f>IFERROR(INDEX(Roles!$B$17:$B$20,MATCH(J223,Roles!$A$17:$A$20,0)),1)</f>
        <v/>
      </c>
      <c r="L223" s="17" t="n">
        <v>1</v>
      </c>
      <c r="M223" s="11" t="n">
        <v>1</v>
      </c>
      <c r="N223" s="17" t="n"/>
      <c r="O223" s="17" t="n"/>
      <c r="P223" s="17" t="n"/>
      <c r="Q223" s="17" t="n"/>
      <c r="R223" s="17" t="n"/>
      <c r="S223" s="17" t="n"/>
      <c r="T223" s="17" t="n"/>
      <c r="U223" s="17" t="n"/>
      <c r="V223" s="17" t="n"/>
      <c r="W223" s="17" t="n"/>
      <c r="X223" s="17" t="n"/>
      <c r="Y223" s="17" t="n">
        <v>1</v>
      </c>
      <c r="Z223" s="13">
        <f>SUMPRODUCT(N223:Y223,$N$2:$Y$2)*$K223*$L223*$M223</f>
        <v/>
      </c>
      <c r="AA223" s="14">
        <f>SUM(N223:Y223)</f>
        <v/>
      </c>
      <c r="AB223" s="14">
        <f>IFERROR(IF(UPPER($E223)="L",SUMPRODUCT(N223:Y223,$N$3:$Y$3,$N$2:$Y$2),SUMPRODUCT(N223:Y223,$N$4:$Y$4,$N$2:$Y$2))/(Z223/($K223*$L223*$M223)),"")</f>
        <v/>
      </c>
      <c r="AC223" s="18" t="n"/>
    </row>
    <row r="224">
      <c r="A224" s="9" t="n">
        <v>571448</v>
      </c>
      <c r="B224" s="9" t="inlineStr">
        <is>
          <t>Nolan Arenado</t>
        </is>
      </c>
      <c r="C224" s="9" t="inlineStr">
        <is>
          <t>ARI</t>
        </is>
      </c>
      <c r="D224" s="9" t="n">
        <v>36</v>
      </c>
      <c r="E224" s="16" t="inlineStr">
        <is>
          <t>R</t>
        </is>
      </c>
      <c r="F224" s="16" t="inlineStr">
        <is>
          <t>3B</t>
        </is>
      </c>
      <c r="G224" s="9" t="n">
        <v>599</v>
      </c>
      <c r="H224" s="9" t="n">
        <v>2902</v>
      </c>
      <c r="I224" s="9" t="inlineStr">
        <is>
          <t>Full Time</t>
        </is>
      </c>
      <c r="J224" s="16" t="inlineStr">
        <is>
          <t>Opening Day</t>
        </is>
      </c>
      <c r="K224" s="11">
        <f>IFERROR(INDEX(Roles!$B$17:$B$20,MATCH(J224,Roles!$A$17:$A$20,0)),1)</f>
        <v/>
      </c>
      <c r="L224" s="17" t="n">
        <v>1</v>
      </c>
      <c r="M224" s="11" t="n">
        <v>1.073245183228553</v>
      </c>
      <c r="N224" s="17" t="n">
        <v>1</v>
      </c>
      <c r="O224" s="17" t="n"/>
      <c r="P224" s="17" t="n"/>
      <c r="Q224" s="17" t="n"/>
      <c r="R224" s="17" t="n"/>
      <c r="S224" s="17" t="n"/>
      <c r="T224" s="17" t="n"/>
      <c r="U224" s="17" t="n"/>
      <c r="V224" s="17" t="n"/>
      <c r="W224" s="17" t="n"/>
      <c r="X224" s="17" t="n"/>
      <c r="Y224" s="17" t="n"/>
      <c r="Z224" s="13">
        <f>SUMPRODUCT(N224:Y224,$N$2:$Y$2)*$K224*$L224*$M224</f>
        <v/>
      </c>
      <c r="AA224" s="14">
        <f>SUM(N224:Y224)</f>
        <v/>
      </c>
      <c r="AB224" s="14">
        <f>IFERROR(IF(UPPER($E224)="L",SUMPRODUCT(N224:Y224,$N$3:$Y$3,$N$2:$Y$2),SUMPRODUCT(N224:Y224,$N$4:$Y$4,$N$2:$Y$2))/(Z224/($K224*$L224*$M224)),"")</f>
        <v/>
      </c>
      <c r="AC224" s="18" t="n"/>
    </row>
    <row r="225">
      <c r="A225" s="9" t="n">
        <v>518735</v>
      </c>
      <c r="B225" s="9" t="inlineStr">
        <is>
          <t>Yasmani Grandal</t>
        </is>
      </c>
      <c r="C225" s="9" t="inlineStr">
        <is>
          <t>PIT</t>
        </is>
      </c>
      <c r="D225" s="9" t="n">
        <v>38</v>
      </c>
      <c r="E225" s="16" t="inlineStr">
        <is>
          <t>S</t>
        </is>
      </c>
      <c r="F225" s="16" t="inlineStr">
        <is>
          <t>C</t>
        </is>
      </c>
      <c r="G225" s="9" t="n">
        <v>243</v>
      </c>
      <c r="H225" s="9" t="n">
        <v>1024</v>
      </c>
      <c r="I225" s="9" t="inlineStr">
        <is>
          <t>Depth (no MLB PA)</t>
        </is>
      </c>
      <c r="J225" s="16" t="inlineStr">
        <is>
          <t>Opening Day</t>
        </is>
      </c>
      <c r="K225" s="11">
        <f>IFERROR(INDEX(Roles!$B$17:$B$20,MATCH(J225,Roles!$A$17:$A$20,0)),1)</f>
        <v/>
      </c>
      <c r="L225" s="17" t="n">
        <v>1</v>
      </c>
      <c r="M225" s="11" t="n">
        <v>1</v>
      </c>
      <c r="N225" s="17" t="n"/>
      <c r="O225" s="17" t="n"/>
      <c r="P225" s="17" t="n"/>
      <c r="Q225" s="17" t="n"/>
      <c r="R225" s="17" t="n"/>
      <c r="S225" s="17" t="n"/>
      <c r="T225" s="17" t="n"/>
      <c r="U225" s="17" t="n"/>
      <c r="V225" s="17" t="n"/>
      <c r="W225" s="17" t="n"/>
      <c r="X225" s="17" t="n"/>
      <c r="Y225" s="17" t="n">
        <v>1</v>
      </c>
      <c r="Z225" s="13">
        <f>SUMPRODUCT(N225:Y225,$N$2:$Y$2)*$K225*$L225*$M225</f>
        <v/>
      </c>
      <c r="AA225" s="14">
        <f>SUM(N225:Y225)</f>
        <v/>
      </c>
      <c r="AB225" s="14">
        <f>IFERROR(IF(UPPER($E225)="L",SUMPRODUCT(N225:Y225,$N$3:$Y$3,$N$2:$Y$2),SUMPRODUCT(N225:Y225,$N$4:$Y$4,$N$2:$Y$2))/(Z225/($K225*$L225*$M225)),"")</f>
        <v/>
      </c>
      <c r="AC225" s="18" t="n"/>
    </row>
    <row r="226">
      <c r="A226" s="9" t="n">
        <v>502671</v>
      </c>
      <c r="B226" s="9" t="inlineStr">
        <is>
          <t>Paul Goldschmidt</t>
        </is>
      </c>
      <c r="C226" s="9" t="inlineStr">
        <is>
          <t>NYY</t>
        </is>
      </c>
      <c r="D226" s="9" t="n">
        <v>39</v>
      </c>
      <c r="E226" s="16" t="inlineStr">
        <is>
          <t>R</t>
        </is>
      </c>
      <c r="F226" s="16" t="inlineStr">
        <is>
          <t>1B</t>
        </is>
      </c>
      <c r="G226" s="9" t="n">
        <v>380</v>
      </c>
      <c r="H226" s="9" t="n">
        <v>2906</v>
      </c>
      <c r="I226" s="9" t="inlineStr">
        <is>
          <t>Utility IF</t>
        </is>
      </c>
      <c r="J226" s="16" t="inlineStr">
        <is>
          <t>Opening Day</t>
        </is>
      </c>
      <c r="K226" s="11">
        <f>IFERROR(INDEX(Roles!$B$17:$B$20,MATCH(J226,Roles!$A$17:$A$20,0)),1)</f>
        <v/>
      </c>
      <c r="L226" s="17" t="n">
        <v>1</v>
      </c>
      <c r="M226" s="11" t="n">
        <v>1.132109284446978</v>
      </c>
      <c r="N226" s="17" t="n"/>
      <c r="O226" s="17" t="n"/>
      <c r="P226" s="17" t="n"/>
      <c r="Q226" s="17" t="n"/>
      <c r="R226" s="17" t="n"/>
      <c r="S226" s="17" t="n"/>
      <c r="T226" s="17" t="n"/>
      <c r="U226" s="17" t="n">
        <v>0.7</v>
      </c>
      <c r="V226" s="17" t="n"/>
      <c r="W226" s="17" t="n">
        <v>0.3</v>
      </c>
      <c r="X226" s="17" t="n"/>
      <c r="Y226" s="17" t="n"/>
      <c r="Z226" s="13">
        <f>SUMPRODUCT(N226:Y226,$N$2:$Y$2)*$K226*$L226*$M226</f>
        <v/>
      </c>
      <c r="AA226" s="14">
        <f>SUM(N226:Y226)</f>
        <v/>
      </c>
      <c r="AB226" s="14">
        <f>IFERROR(IF(UPPER($E226)="L",SUMPRODUCT(N226:Y226,$N$3:$Y$3,$N$2:$Y$2),SUMPRODUCT(N226:Y226,$N$4:$Y$4,$N$2:$Y$2))/(Z226/($K226*$L226*$M226)),"")</f>
        <v/>
      </c>
      <c r="AC226" s="18" t="n"/>
    </row>
    <row r="227">
      <c r="A227" s="9" t="n">
        <v>669911</v>
      </c>
      <c r="B227" s="9" t="inlineStr">
        <is>
          <t>Michael Toglia</t>
        </is>
      </c>
      <c r="C227" s="9" t="inlineStr">
        <is>
          <t>CIN</t>
        </is>
      </c>
      <c r="D227" s="9" t="n">
        <v>28</v>
      </c>
      <c r="E227" s="16" t="inlineStr">
        <is>
          <t>S</t>
        </is>
      </c>
      <c r="F227" s="16" t="inlineStr">
        <is>
          <t>1B</t>
        </is>
      </c>
      <c r="G227" s="9" t="n">
        <v>28</v>
      </c>
      <c r="H227" s="9" t="n">
        <v>1095</v>
      </c>
      <c r="I227" s="9" t="inlineStr">
        <is>
          <t>Bench Bat</t>
        </is>
      </c>
      <c r="J227" s="16" t="inlineStr">
        <is>
          <t>Opening Day</t>
        </is>
      </c>
      <c r="K227" s="11">
        <f>IFERROR(INDEX(Roles!$B$17:$B$20,MATCH(J227,Roles!$A$17:$A$20,0)),1)</f>
        <v/>
      </c>
      <c r="L227" s="17" t="n">
        <v>1</v>
      </c>
      <c r="M227" s="11" t="n">
        <v>0.7859831933833065</v>
      </c>
      <c r="N227" s="17" t="n"/>
      <c r="O227" s="17" t="n"/>
      <c r="P227" s="17" t="n"/>
      <c r="Q227" s="17" t="n"/>
      <c r="R227" s="17" t="n"/>
      <c r="S227" s="17" t="n"/>
      <c r="T227" s="17" t="n"/>
      <c r="U227" s="17" t="n"/>
      <c r="V227" s="17" t="n"/>
      <c r="W227" s="17" t="n">
        <v>0.85</v>
      </c>
      <c r="X227" s="17" t="n">
        <v>0.15</v>
      </c>
      <c r="Y227" s="17" t="n"/>
      <c r="Z227" s="13">
        <f>SUMPRODUCT(N227:Y227,$N$2:$Y$2)*$K227*$L227*$M227</f>
        <v/>
      </c>
      <c r="AA227" s="14">
        <f>SUM(N227:Y227)</f>
        <v/>
      </c>
      <c r="AB227" s="14">
        <f>IFERROR(IF(UPPER($E227)="L",SUMPRODUCT(N227:Y227,$N$3:$Y$3,$N$2:$Y$2),SUMPRODUCT(N227:Y227,$N$4:$Y$4,$N$2:$Y$2))/(Z227/($K227*$L227*$M227)),"")</f>
        <v/>
      </c>
      <c r="AC227" s="18" t="n"/>
    </row>
    <row r="228">
      <c r="A228" s="9" t="n">
        <v>694192</v>
      </c>
      <c r="B228" s="9" t="inlineStr">
        <is>
          <t>Jackson Chourio</t>
        </is>
      </c>
      <c r="C228" s="9" t="inlineStr">
        <is>
          <t>MIL</t>
        </is>
      </c>
      <c r="D228" s="9" t="n">
        <v>23</v>
      </c>
      <c r="E228" s="16" t="inlineStr">
        <is>
          <t>R</t>
        </is>
      </c>
      <c r="F228" s="16" t="inlineStr">
        <is>
          <t>LF</t>
        </is>
      </c>
      <c r="G228" s="9" t="n">
        <v>573</v>
      </c>
      <c r="H228" s="9" t="n">
        <v>1735</v>
      </c>
      <c r="I228" s="9" t="inlineStr">
        <is>
          <t>Full Time</t>
        </is>
      </c>
      <c r="J228" s="16" t="inlineStr">
        <is>
          <t>Opening Day</t>
        </is>
      </c>
      <c r="K228" s="11">
        <f>IFERROR(INDEX(Roles!$B$17:$B$20,MATCH(J228,Roles!$A$17:$A$20,0)),1)</f>
        <v/>
      </c>
      <c r="L228" s="17" t="n">
        <v>1</v>
      </c>
      <c r="M228" s="11" t="n">
        <v>1.116592849837867</v>
      </c>
      <c r="N228" s="17" t="n">
        <v>1</v>
      </c>
      <c r="O228" s="17" t="n"/>
      <c r="P228" s="17" t="n"/>
      <c r="Q228" s="17" t="n"/>
      <c r="R228" s="17" t="n"/>
      <c r="S228" s="17" t="n"/>
      <c r="T228" s="17" t="n"/>
      <c r="U228" s="17" t="n"/>
      <c r="V228" s="17" t="n"/>
      <c r="W228" s="17" t="n"/>
      <c r="X228" s="17" t="n"/>
      <c r="Y228" s="17" t="n"/>
      <c r="Z228" s="13">
        <f>SUMPRODUCT(N228:Y228,$N$2:$Y$2)*$K228*$L228*$M228</f>
        <v/>
      </c>
      <c r="AA228" s="14">
        <f>SUM(N228:Y228)</f>
        <v/>
      </c>
      <c r="AB228" s="14">
        <f>IFERROR(IF(UPPER($E228)="L",SUMPRODUCT(N228:Y228,$N$3:$Y$3,$N$2:$Y$2),SUMPRODUCT(N228:Y228,$N$4:$Y$4,$N$2:$Y$2))/(Z228/($K228*$L228*$M228)),"")</f>
        <v/>
      </c>
      <c r="AC228" s="18" t="n"/>
    </row>
    <row r="229">
      <c r="A229" s="9" t="n">
        <v>687637</v>
      </c>
      <c r="B229" s="9" t="inlineStr">
        <is>
          <t>Dylan Beavers</t>
        </is>
      </c>
      <c r="C229" s="9" t="inlineStr">
        <is>
          <t>BAL</t>
        </is>
      </c>
      <c r="D229" s="9" t="n">
        <v>25</v>
      </c>
      <c r="E229" s="16" t="inlineStr">
        <is>
          <t>L</t>
        </is>
      </c>
      <c r="F229" s="16" t="inlineStr">
        <is>
          <t>LF</t>
        </is>
      </c>
      <c r="G229" s="9" t="n">
        <v>363</v>
      </c>
      <c r="H229" s="9" t="n">
        <v>500</v>
      </c>
      <c r="I229" s="9" t="inlineStr">
        <is>
          <t>Strong Side Platoon</t>
        </is>
      </c>
      <c r="J229" s="16" t="inlineStr">
        <is>
          <t>Opening Day</t>
        </is>
      </c>
      <c r="K229" s="11">
        <f>IFERROR(INDEX(Roles!$B$17:$B$20,MATCH(J229,Roles!$A$17:$A$20,0)),1)</f>
        <v/>
      </c>
      <c r="L229" s="17" t="n">
        <v>1</v>
      </c>
      <c r="M229" s="11" t="n">
        <v>0.843501487527993</v>
      </c>
      <c r="N229" s="17" t="n">
        <v>0.4</v>
      </c>
      <c r="O229" s="17" t="n"/>
      <c r="P229" s="17" t="n">
        <v>0.6</v>
      </c>
      <c r="Q229" s="17" t="n"/>
      <c r="R229" s="17" t="n"/>
      <c r="S229" s="17" t="n"/>
      <c r="T229" s="17" t="n"/>
      <c r="U229" s="17" t="n"/>
      <c r="V229" s="17" t="n"/>
      <c r="W229" s="17" t="n"/>
      <c r="X229" s="17" t="n"/>
      <c r="Y229" s="17" t="n"/>
      <c r="Z229" s="13">
        <f>SUMPRODUCT(N229:Y229,$N$2:$Y$2)*$K229*$L229*$M229</f>
        <v/>
      </c>
      <c r="AA229" s="14">
        <f>SUM(N229:Y229)</f>
        <v/>
      </c>
      <c r="AB229" s="14">
        <f>IFERROR(IF(UPPER($E229)="L",SUMPRODUCT(N229:Y229,$N$3:$Y$3,$N$2:$Y$2),SUMPRODUCT(N229:Y229,$N$4:$Y$4,$N$2:$Y$2))/(Z229/($K229*$L229*$M229)),"")</f>
        <v/>
      </c>
      <c r="AC229" s="18" t="n"/>
    </row>
    <row r="230">
      <c r="A230" s="9" t="n">
        <v>681190</v>
      </c>
      <c r="B230" s="9" t="inlineStr">
        <is>
          <t>Randy Vásquez</t>
        </is>
      </c>
      <c r="C230" s="9" t="inlineStr">
        <is>
          <t>SD</t>
        </is>
      </c>
      <c r="D230" s="9" t="n">
        <v>28</v>
      </c>
      <c r="E230" s="16" t="inlineStr">
        <is>
          <t>R</t>
        </is>
      </c>
      <c r="F230" s="16" t="inlineStr">
        <is>
          <t>P</t>
        </is>
      </c>
      <c r="G230" s="9" t="n">
        <v>1</v>
      </c>
      <c r="H230" s="9" t="n">
        <v>1</v>
      </c>
      <c r="I230" s="9" t="inlineStr">
        <is>
          <t>Depth (no MLB PA)</t>
        </is>
      </c>
      <c r="J230" s="16" t="inlineStr">
        <is>
          <t>Opening Day</t>
        </is>
      </c>
      <c r="K230" s="11">
        <f>IFERROR(INDEX(Roles!$B$17:$B$20,MATCH(J230,Roles!$A$17:$A$20,0)),1)</f>
        <v/>
      </c>
      <c r="L230" s="17" t="n">
        <v>1</v>
      </c>
      <c r="M230" s="11" t="n">
        <v>1</v>
      </c>
      <c r="N230" s="17" t="n"/>
      <c r="O230" s="17" t="n"/>
      <c r="P230" s="17" t="n"/>
      <c r="Q230" s="17" t="n"/>
      <c r="R230" s="17" t="n"/>
      <c r="S230" s="17" t="n"/>
      <c r="T230" s="17" t="n"/>
      <c r="U230" s="17" t="n"/>
      <c r="V230" s="17" t="n"/>
      <c r="W230" s="17" t="n"/>
      <c r="X230" s="17" t="n"/>
      <c r="Y230" s="17" t="n">
        <v>1</v>
      </c>
      <c r="Z230" s="13">
        <f>SUMPRODUCT(N230:Y230,$N$2:$Y$2)*$K230*$L230*$M230</f>
        <v/>
      </c>
      <c r="AA230" s="14">
        <f>SUM(N230:Y230)</f>
        <v/>
      </c>
      <c r="AB230" s="14">
        <f>IFERROR(IF(UPPER($E230)="L",SUMPRODUCT(N230:Y230,$N$3:$Y$3,$N$2:$Y$2),SUMPRODUCT(N230:Y230,$N$4:$Y$4,$N$2:$Y$2))/(Z230/($K230*$L230*$M230)),"")</f>
        <v/>
      </c>
      <c r="AC230" s="18" t="n"/>
    </row>
    <row r="231">
      <c r="A231" s="9" t="n">
        <v>663656</v>
      </c>
      <c r="B231" s="9" t="inlineStr">
        <is>
          <t>Kyle Tucker</t>
        </is>
      </c>
      <c r="C231" s="9" t="inlineStr">
        <is>
          <t>LAD</t>
        </is>
      </c>
      <c r="D231" s="9" t="n">
        <v>30</v>
      </c>
      <c r="E231" s="16" t="inlineStr">
        <is>
          <t>L</t>
        </is>
      </c>
      <c r="F231" s="16" t="inlineStr">
        <is>
          <t>RF</t>
        </is>
      </c>
      <c r="G231" s="9" t="n">
        <v>627</v>
      </c>
      <c r="H231" s="9" t="n">
        <v>2846</v>
      </c>
      <c r="I231" s="9" t="inlineStr">
        <is>
          <t>Full Time</t>
        </is>
      </c>
      <c r="J231" s="16" t="inlineStr">
        <is>
          <t>Opening Day</t>
        </is>
      </c>
      <c r="K231" s="11">
        <f>IFERROR(INDEX(Roles!$B$17:$B$20,MATCH(J231,Roles!$A$17:$A$20,0)),1)</f>
        <v/>
      </c>
      <c r="L231" s="17" t="n">
        <v>1</v>
      </c>
      <c r="M231" s="11" t="n">
        <v>1.057096052530967</v>
      </c>
      <c r="N231" s="17" t="n">
        <v>1</v>
      </c>
      <c r="O231" s="17" t="n"/>
      <c r="P231" s="17" t="n"/>
      <c r="Q231" s="17" t="n"/>
      <c r="R231" s="17" t="n"/>
      <c r="S231" s="17" t="n"/>
      <c r="T231" s="17" t="n"/>
      <c r="U231" s="17" t="n"/>
      <c r="V231" s="17" t="n"/>
      <c r="W231" s="17" t="n"/>
      <c r="X231" s="17" t="n"/>
      <c r="Y231" s="17" t="n"/>
      <c r="Z231" s="13">
        <f>SUMPRODUCT(N231:Y231,$N$2:$Y$2)*$K231*$L231*$M231</f>
        <v/>
      </c>
      <c r="AA231" s="14">
        <f>SUM(N231:Y231)</f>
        <v/>
      </c>
      <c r="AB231" s="14">
        <f>IFERROR(IF(UPPER($E231)="L",SUMPRODUCT(N231:Y231,$N$3:$Y$3,$N$2:$Y$2),SUMPRODUCT(N231:Y231,$N$4:$Y$4,$N$2:$Y$2))/(Z231/($K231*$L231*$M231)),"")</f>
        <v/>
      </c>
      <c r="AC231" s="18" t="n"/>
    </row>
    <row r="232">
      <c r="A232" s="9" t="n">
        <v>694212</v>
      </c>
      <c r="B232" s="9" t="inlineStr">
        <is>
          <t>Samuel Basallo</t>
        </is>
      </c>
      <c r="C232" s="9" t="inlineStr">
        <is>
          <t>BAL</t>
        </is>
      </c>
      <c r="D232" s="9" t="n">
        <v>22</v>
      </c>
      <c r="E232" s="16" t="inlineStr">
        <is>
          <t>L</t>
        </is>
      </c>
      <c r="F232" s="16" t="inlineStr">
        <is>
          <t>C</t>
        </is>
      </c>
      <c r="G232" s="9" t="n">
        <v>399</v>
      </c>
      <c r="H232" s="9" t="n">
        <v>517</v>
      </c>
      <c r="I232" s="9" t="inlineStr">
        <is>
          <t>Bench Bat</t>
        </is>
      </c>
      <c r="J232" s="16" t="inlineStr">
        <is>
          <t>Opening Day</t>
        </is>
      </c>
      <c r="K232" s="11">
        <f>IFERROR(INDEX(Roles!$B$17:$B$20,MATCH(J232,Roles!$A$17:$A$20,0)),1)</f>
        <v/>
      </c>
      <c r="L232" s="17" t="n">
        <v>1</v>
      </c>
      <c r="M232" s="11" t="n">
        <v>0.9560665375249148</v>
      </c>
      <c r="N232" s="17" t="n"/>
      <c r="O232" s="17" t="n"/>
      <c r="P232" s="17" t="n"/>
      <c r="Q232" s="17" t="n"/>
      <c r="R232" s="17" t="n"/>
      <c r="S232" s="17" t="n"/>
      <c r="T232" s="17" t="n"/>
      <c r="U232" s="17" t="n"/>
      <c r="V232" s="17" t="n"/>
      <c r="W232" s="17" t="n">
        <v>0.85</v>
      </c>
      <c r="X232" s="17" t="n">
        <v>0.15</v>
      </c>
      <c r="Y232" s="17" t="n"/>
      <c r="Z232" s="13">
        <f>SUMPRODUCT(N232:Y232,$N$2:$Y$2)*$K232*$L232*$M232</f>
        <v/>
      </c>
      <c r="AA232" s="14">
        <f>SUM(N232:Y232)</f>
        <v/>
      </c>
      <c r="AB232" s="14">
        <f>IFERROR(IF(UPPER($E232)="L",SUMPRODUCT(N232:Y232,$N$3:$Y$3,$N$2:$Y$2),SUMPRODUCT(N232:Y232,$N$4:$Y$4,$N$2:$Y$2))/(Z232/($K232*$L232*$M232)),"")</f>
        <v/>
      </c>
      <c r="AC232" s="18" t="n"/>
    </row>
    <row r="233">
      <c r="A233" s="9" t="n">
        <v>641796</v>
      </c>
      <c r="B233" s="9" t="inlineStr">
        <is>
          <t>Tim Locastro</t>
        </is>
      </c>
      <c r="C233" s="9" t="inlineStr">
        <is>
          <t>NYM</t>
        </is>
      </c>
      <c r="D233" s="9" t="n">
        <v>34</v>
      </c>
      <c r="E233" s="16" t="inlineStr">
        <is>
          <t>R</t>
        </is>
      </c>
      <c r="F233" s="16" t="inlineStr">
        <is>
          <t>LF</t>
        </is>
      </c>
      <c r="G233" s="9" t="n">
        <v>67</v>
      </c>
      <c r="H233" s="9" t="n">
        <v>113</v>
      </c>
      <c r="I233" s="9" t="inlineStr">
        <is>
          <t>Depth (no MLB PA)</t>
        </is>
      </c>
      <c r="J233" s="16" t="inlineStr">
        <is>
          <t>Opening Day</t>
        </is>
      </c>
      <c r="K233" s="11">
        <f>IFERROR(INDEX(Roles!$B$17:$B$20,MATCH(J233,Roles!$A$17:$A$20,0)),1)</f>
        <v/>
      </c>
      <c r="L233" s="17" t="n">
        <v>1</v>
      </c>
      <c r="M233" s="11" t="n">
        <v>1</v>
      </c>
      <c r="N233" s="17" t="n"/>
      <c r="O233" s="17" t="n"/>
      <c r="P233" s="17" t="n"/>
      <c r="Q233" s="17" t="n"/>
      <c r="R233" s="17" t="n"/>
      <c r="S233" s="17" t="n"/>
      <c r="T233" s="17" t="n"/>
      <c r="U233" s="17" t="n"/>
      <c r="V233" s="17" t="n"/>
      <c r="W233" s="17" t="n"/>
      <c r="X233" s="17" t="n"/>
      <c r="Y233" s="17" t="n">
        <v>1</v>
      </c>
      <c r="Z233" s="13">
        <f>SUMPRODUCT(N233:Y233,$N$2:$Y$2)*$K233*$L233*$M233</f>
        <v/>
      </c>
      <c r="AA233" s="14">
        <f>SUM(N233:Y233)</f>
        <v/>
      </c>
      <c r="AB233" s="14">
        <f>IFERROR(IF(UPPER($E233)="L",SUMPRODUCT(N233:Y233,$N$3:$Y$3,$N$2:$Y$2),SUMPRODUCT(N233:Y233,$N$4:$Y$4,$N$2:$Y$2))/(Z233/($K233*$L233*$M233)),"")</f>
        <v/>
      </c>
      <c r="AC233" s="18" t="n"/>
    </row>
    <row r="234">
      <c r="A234" s="9" t="n">
        <v>677595</v>
      </c>
      <c r="B234" s="9" t="inlineStr">
        <is>
          <t>Ronny Mauricio</t>
        </is>
      </c>
      <c r="C234" s="9" t="inlineStr">
        <is>
          <t>NYM</t>
        </is>
      </c>
      <c r="D234" s="9" t="n">
        <v>26</v>
      </c>
      <c r="E234" s="16" t="inlineStr">
        <is>
          <t>S</t>
        </is>
      </c>
      <c r="F234" s="16" t="inlineStr">
        <is>
          <t>SS</t>
        </is>
      </c>
      <c r="G234" s="9" t="n">
        <v>62</v>
      </c>
      <c r="H234" s="9" t="n">
        <v>354</v>
      </c>
      <c r="I234" s="9" t="inlineStr">
        <is>
          <t>Utility IF</t>
        </is>
      </c>
      <c r="J234" s="16" t="inlineStr">
        <is>
          <t>Opening Day</t>
        </is>
      </c>
      <c r="K234" s="11">
        <f>IFERROR(INDEX(Roles!$B$17:$B$20,MATCH(J234,Roles!$A$17:$A$20,0)),1)</f>
        <v/>
      </c>
      <c r="L234" s="17" t="n">
        <v>1</v>
      </c>
      <c r="M234" s="11" t="n">
        <v>1</v>
      </c>
      <c r="N234" s="17" t="n"/>
      <c r="O234" s="17" t="n"/>
      <c r="P234" s="17" t="n"/>
      <c r="Q234" s="17" t="n"/>
      <c r="R234" s="17" t="n"/>
      <c r="S234" s="17" t="n"/>
      <c r="T234" s="17" t="n"/>
      <c r="U234" s="17" t="n">
        <v>0.7</v>
      </c>
      <c r="V234" s="17" t="n"/>
      <c r="W234" s="17" t="n">
        <v>0.3</v>
      </c>
      <c r="X234" s="17" t="n"/>
      <c r="Y234" s="17" t="n"/>
      <c r="Z234" s="13">
        <f>SUMPRODUCT(N234:Y234,$N$2:$Y$2)*$K234*$L234*$M234</f>
        <v/>
      </c>
      <c r="AA234" s="14">
        <f>SUM(N234:Y234)</f>
        <v/>
      </c>
      <c r="AB234" s="14">
        <f>IFERROR(IF(UPPER($E234)="L",SUMPRODUCT(N234:Y234,$N$3:$Y$3,$N$2:$Y$2),SUMPRODUCT(N234:Y234,$N$4:$Y$4,$N$2:$Y$2))/(Z234/($K234*$L234*$M234)),"")</f>
        <v/>
      </c>
      <c r="AC234" s="18" t="n"/>
    </row>
    <row r="235">
      <c r="A235" s="9" t="n">
        <v>663584</v>
      </c>
      <c r="B235" s="9" t="inlineStr">
        <is>
          <t>Hayden Senger</t>
        </is>
      </c>
      <c r="C235" s="9" t="inlineStr">
        <is>
          <t>NYM</t>
        </is>
      </c>
      <c r="D235" s="9" t="n">
        <v>30</v>
      </c>
      <c r="E235" s="16" t="inlineStr">
        <is>
          <t>R</t>
        </is>
      </c>
      <c r="F235" s="16" t="inlineStr">
        <is>
          <t>C</t>
        </is>
      </c>
      <c r="G235" s="9" t="n">
        <v>17</v>
      </c>
      <c r="H235" s="9" t="n">
        <v>95</v>
      </c>
      <c r="I235" s="9" t="inlineStr">
        <is>
          <t>Catcher - Backup</t>
        </is>
      </c>
      <c r="J235" s="16" t="inlineStr">
        <is>
          <t>Opening Day</t>
        </is>
      </c>
      <c r="K235" s="11">
        <f>IFERROR(INDEX(Roles!$B$17:$B$20,MATCH(J235,Roles!$A$17:$A$20,0)),1)</f>
        <v/>
      </c>
      <c r="L235" s="17" t="n">
        <v>1</v>
      </c>
      <c r="M235" s="11" t="n">
        <v>1</v>
      </c>
      <c r="N235" s="17" t="n"/>
      <c r="O235" s="17" t="n"/>
      <c r="P235" s="17" t="n"/>
      <c r="Q235" s="17" t="n"/>
      <c r="R235" s="17" t="n"/>
      <c r="S235" s="17" t="n"/>
      <c r="T235" s="17" t="n">
        <v>1</v>
      </c>
      <c r="U235" s="17" t="n"/>
      <c r="V235" s="17" t="n"/>
      <c r="W235" s="17" t="n"/>
      <c r="X235" s="17" t="n"/>
      <c r="Y235" s="17" t="n"/>
      <c r="Z235" s="13">
        <f>SUMPRODUCT(N235:Y235,$N$2:$Y$2)*$K235*$L235*$M235</f>
        <v/>
      </c>
      <c r="AA235" s="14">
        <f>SUM(N235:Y235)</f>
        <v/>
      </c>
      <c r="AB235" s="14">
        <f>IFERROR(IF(UPPER($E235)="L",SUMPRODUCT(N235:Y235,$N$3:$Y$3,$N$2:$Y$2),SUMPRODUCT(N235:Y235,$N$4:$Y$4,$N$2:$Y$2))/(Z235/($K235*$L235*$M235)),"")</f>
        <v/>
      </c>
      <c r="AC235" s="18" t="n"/>
    </row>
    <row r="236">
      <c r="A236" s="9" t="n">
        <v>677594</v>
      </c>
      <c r="B236" s="9" t="inlineStr">
        <is>
          <t>Julio Rodríguez</t>
        </is>
      </c>
      <c r="C236" s="9" t="inlineStr">
        <is>
          <t>SEA</t>
        </is>
      </c>
      <c r="D236" s="9" t="n">
        <v>26</v>
      </c>
      <c r="E236" s="16" t="inlineStr">
        <is>
          <t>R</t>
        </is>
      </c>
      <c r="F236" s="16" t="inlineStr">
        <is>
          <t>CF</t>
        </is>
      </c>
      <c r="G236" s="9" t="n">
        <v>654</v>
      </c>
      <c r="H236" s="9" t="n">
        <v>3251</v>
      </c>
      <c r="I236" s="9" t="inlineStr">
        <is>
          <t>Full Time</t>
        </is>
      </c>
      <c r="J236" s="16" t="inlineStr">
        <is>
          <t>Opening Day</t>
        </is>
      </c>
      <c r="K236" s="11">
        <f>IFERROR(INDEX(Roles!$B$17:$B$20,MATCH(J236,Roles!$A$17:$A$20,0)),1)</f>
        <v/>
      </c>
      <c r="L236" s="17" t="n">
        <v>1</v>
      </c>
      <c r="M236" s="11" t="n">
        <v>1.149741065480282</v>
      </c>
      <c r="N236" s="17" t="n">
        <v>1</v>
      </c>
      <c r="O236" s="17" t="n"/>
      <c r="P236" s="17" t="n"/>
      <c r="Q236" s="17" t="n"/>
      <c r="R236" s="17" t="n"/>
      <c r="S236" s="17" t="n"/>
      <c r="T236" s="17" t="n"/>
      <c r="U236" s="17" t="n"/>
      <c r="V236" s="17" t="n"/>
      <c r="W236" s="17" t="n"/>
      <c r="X236" s="17" t="n"/>
      <c r="Y236" s="17" t="n"/>
      <c r="Z236" s="13">
        <f>SUMPRODUCT(N236:Y236,$N$2:$Y$2)*$K236*$L236*$M236</f>
        <v/>
      </c>
      <c r="AA236" s="14">
        <f>SUM(N236:Y236)</f>
        <v/>
      </c>
      <c r="AB236" s="14">
        <f>IFERROR(IF(UPPER($E236)="L",SUMPRODUCT(N236:Y236,$N$3:$Y$3,$N$2:$Y$2),SUMPRODUCT(N236:Y236,$N$4:$Y$4,$N$2:$Y$2))/(Z236/($K236*$L236*$M236)),"")</f>
        <v/>
      </c>
      <c r="AC236" s="18" t="n"/>
    </row>
    <row r="237">
      <c r="A237" s="9" t="n">
        <v>665833</v>
      </c>
      <c r="B237" s="9" t="inlineStr">
        <is>
          <t>Oneil Cruz</t>
        </is>
      </c>
      <c r="C237" s="9" t="inlineStr">
        <is>
          <t>PIT</t>
        </is>
      </c>
      <c r="D237" s="9" t="n">
        <v>28</v>
      </c>
      <c r="E237" s="16" t="inlineStr">
        <is>
          <t>L</t>
        </is>
      </c>
      <c r="F237" s="16" t="inlineStr">
        <is>
          <t>CF</t>
        </is>
      </c>
      <c r="G237" s="9" t="n">
        <v>419</v>
      </c>
      <c r="H237" s="9" t="n">
        <v>1963</v>
      </c>
      <c r="I237" s="9" t="inlineStr">
        <is>
          <t>Full Time</t>
        </is>
      </c>
      <c r="J237" s="16" t="inlineStr">
        <is>
          <t>Opening Day</t>
        </is>
      </c>
      <c r="K237" s="11">
        <f>IFERROR(INDEX(Roles!$B$17:$B$20,MATCH(J237,Roles!$A$17:$A$20,0)),1)</f>
        <v/>
      </c>
      <c r="L237" s="17" t="n">
        <v>1</v>
      </c>
      <c r="M237" s="11" t="n">
        <v>0.955951497109236</v>
      </c>
      <c r="N237" s="17" t="n">
        <v>1</v>
      </c>
      <c r="O237" s="17" t="n"/>
      <c r="P237" s="17" t="n"/>
      <c r="Q237" s="17" t="n"/>
      <c r="R237" s="17" t="n"/>
      <c r="S237" s="17" t="n"/>
      <c r="T237" s="17" t="n"/>
      <c r="U237" s="17" t="n"/>
      <c r="V237" s="17" t="n"/>
      <c r="W237" s="17" t="n"/>
      <c r="X237" s="17" t="n"/>
      <c r="Y237" s="17" t="n"/>
      <c r="Z237" s="13">
        <f>SUMPRODUCT(N237:Y237,$N$2:$Y$2)*$K237*$L237*$M237</f>
        <v/>
      </c>
      <c r="AA237" s="14">
        <f>SUM(N237:Y237)</f>
        <v/>
      </c>
      <c r="AB237" s="14">
        <f>IFERROR(IF(UPPER($E237)="L",SUMPRODUCT(N237:Y237,$N$3:$Y$3,$N$2:$Y$2),SUMPRODUCT(N237:Y237,$N$4:$Y$4,$N$2:$Y$2))/(Z237/($K237*$L237*$M237)),"")</f>
        <v/>
      </c>
      <c r="AC237" s="18" t="n"/>
    </row>
    <row r="238">
      <c r="A238" s="9" t="n">
        <v>623993</v>
      </c>
      <c r="B238" s="9" t="inlineStr">
        <is>
          <t>Anthony Santander</t>
        </is>
      </c>
      <c r="C238" s="9" t="inlineStr">
        <is>
          <t>TOR</t>
        </is>
      </c>
      <c r="D238" s="9" t="n">
        <v>32</v>
      </c>
      <c r="E238" s="16" t="inlineStr">
        <is>
          <t>S</t>
        </is>
      </c>
      <c r="F238" s="16" t="inlineStr">
        <is>
          <t>RF</t>
        </is>
      </c>
      <c r="G238" s="9" t="n">
        <v>221</v>
      </c>
      <c r="H238" s="9" t="n">
        <v>2189</v>
      </c>
      <c r="I238" s="9" t="inlineStr">
        <is>
          <t>Full Time</t>
        </is>
      </c>
      <c r="J238" s="16" t="inlineStr">
        <is>
          <t>Opening Day</t>
        </is>
      </c>
      <c r="K238" s="11">
        <f>IFERROR(INDEX(Roles!$B$17:$B$20,MATCH(J238,Roles!$A$17:$A$20,0)),1)</f>
        <v/>
      </c>
      <c r="L238" s="17" t="n">
        <v>1</v>
      </c>
      <c r="M238" s="11" t="n">
        <v>0.8461039824145403</v>
      </c>
      <c r="N238" s="17" t="n">
        <v>1</v>
      </c>
      <c r="O238" s="17" t="n"/>
      <c r="P238" s="17" t="n"/>
      <c r="Q238" s="17" t="n"/>
      <c r="R238" s="17" t="n"/>
      <c r="S238" s="17" t="n"/>
      <c r="T238" s="17" t="n"/>
      <c r="U238" s="17" t="n"/>
      <c r="V238" s="17" t="n"/>
      <c r="W238" s="17" t="n"/>
      <c r="X238" s="17" t="n"/>
      <c r="Y238" s="17" t="n"/>
      <c r="Z238" s="13">
        <f>SUMPRODUCT(N238:Y238,$N$2:$Y$2)*$K238*$L238*$M238</f>
        <v/>
      </c>
      <c r="AA238" s="14">
        <f>SUM(N238:Y238)</f>
        <v/>
      </c>
      <c r="AB238" s="14">
        <f>IFERROR(IF(UPPER($E238)="L",SUMPRODUCT(N238:Y238,$N$3:$Y$3,$N$2:$Y$2),SUMPRODUCT(N238:Y238,$N$4:$Y$4,$N$2:$Y$2))/(Z238/($K238*$L238*$M238)),"")</f>
        <v/>
      </c>
      <c r="AC238" s="18" t="n"/>
    </row>
    <row r="239">
      <c r="A239" s="9" t="n">
        <v>679822</v>
      </c>
      <c r="B239" s="9" t="inlineStr">
        <is>
          <t>Justin Foscue</t>
        </is>
      </c>
      <c r="C239" s="9" t="inlineStr">
        <is>
          <t>TEX</t>
        </is>
      </c>
      <c r="D239" s="9" t="n">
        <v>28</v>
      </c>
      <c r="E239" s="16" t="inlineStr">
        <is>
          <t>R</t>
        </is>
      </c>
      <c r="F239" s="16" t="inlineStr">
        <is>
          <t>2B</t>
        </is>
      </c>
      <c r="G239" s="9" t="n">
        <v>247</v>
      </c>
      <c r="H239" s="9" t="n">
        <v>300</v>
      </c>
      <c r="I239" s="9" t="inlineStr">
        <is>
          <t>Weak Side Platoon</t>
        </is>
      </c>
      <c r="J239" s="16" t="inlineStr">
        <is>
          <t>Opening Day</t>
        </is>
      </c>
      <c r="K239" s="11">
        <f>IFERROR(INDEX(Roles!$B$17:$B$20,MATCH(J239,Roles!$A$17:$A$20,0)),1)</f>
        <v/>
      </c>
      <c r="L239" s="17" t="n">
        <v>1</v>
      </c>
      <c r="M239" s="11" t="n">
        <v>1</v>
      </c>
      <c r="N239" s="17" t="n"/>
      <c r="O239" s="17" t="n"/>
      <c r="P239" s="17" t="n"/>
      <c r="Q239" s="17" t="n">
        <v>0.6</v>
      </c>
      <c r="R239" s="17" t="n"/>
      <c r="S239" s="17" t="n"/>
      <c r="T239" s="17" t="n"/>
      <c r="U239" s="17" t="n">
        <v>0.4</v>
      </c>
      <c r="V239" s="17" t="n"/>
      <c r="W239" s="17" t="n"/>
      <c r="X239" s="17" t="n"/>
      <c r="Y239" s="17" t="n"/>
      <c r="Z239" s="13">
        <f>SUMPRODUCT(N239:Y239,$N$2:$Y$2)*$K239*$L239*$M239</f>
        <v/>
      </c>
      <c r="AA239" s="14">
        <f>SUM(N239:Y239)</f>
        <v/>
      </c>
      <c r="AB239" s="14">
        <f>IFERROR(IF(UPPER($E239)="L",SUMPRODUCT(N239:Y239,$N$3:$Y$3,$N$2:$Y$2),SUMPRODUCT(N239:Y239,$N$4:$Y$4,$N$2:$Y$2))/(Z239/($K239*$L239*$M239)),"")</f>
        <v/>
      </c>
      <c r="AC239" s="18" t="n"/>
    </row>
    <row r="240">
      <c r="A240" s="9" t="n">
        <v>543510</v>
      </c>
      <c r="B240" s="9" t="inlineStr">
        <is>
          <t>James McCann</t>
        </is>
      </c>
      <c r="C240" s="9" t="inlineStr">
        <is>
          <t>ARI</t>
        </is>
      </c>
      <c r="D240" s="9" t="n">
        <v>37</v>
      </c>
      <c r="E240" s="16" t="inlineStr">
        <is>
          <t>R</t>
        </is>
      </c>
      <c r="F240" s="16" t="inlineStr">
        <is>
          <t>C</t>
        </is>
      </c>
      <c r="G240" s="9" t="n">
        <v>166</v>
      </c>
      <c r="H240" s="9" t="n">
        <v>953</v>
      </c>
      <c r="I240" s="9" t="inlineStr">
        <is>
          <t>Catcher - Backup</t>
        </is>
      </c>
      <c r="J240" s="16" t="inlineStr">
        <is>
          <t>Opening Day</t>
        </is>
      </c>
      <c r="K240" s="11">
        <f>IFERROR(INDEX(Roles!$B$17:$B$20,MATCH(J240,Roles!$A$17:$A$20,0)),1)</f>
        <v/>
      </c>
      <c r="L240" s="17" t="n">
        <v>1</v>
      </c>
      <c r="M240" s="11" t="n">
        <v>1</v>
      </c>
      <c r="N240" s="17" t="n"/>
      <c r="O240" s="17" t="n"/>
      <c r="P240" s="17" t="n"/>
      <c r="Q240" s="17" t="n"/>
      <c r="R240" s="17" t="n"/>
      <c r="S240" s="17" t="n"/>
      <c r="T240" s="17" t="n">
        <v>0.7</v>
      </c>
      <c r="U240" s="17" t="n"/>
      <c r="V240" s="17" t="n"/>
      <c r="W240" s="17" t="n">
        <v>0.3</v>
      </c>
      <c r="X240" s="17" t="n"/>
      <c r="Y240" s="17" t="n"/>
      <c r="Z240" s="13">
        <f>SUMPRODUCT(N240:Y240,$N$2:$Y$2)*$K240*$L240*$M240</f>
        <v/>
      </c>
      <c r="AA240" s="14">
        <f>SUM(N240:Y240)</f>
        <v/>
      </c>
      <c r="AB240" s="14">
        <f>IFERROR(IF(UPPER($E240)="L",SUMPRODUCT(N240:Y240,$N$3:$Y$3,$N$2:$Y$2),SUMPRODUCT(N240:Y240,$N$4:$Y$4,$N$2:$Y$2))/(Z240/($K240*$L240*$M240)),"")</f>
        <v/>
      </c>
      <c r="AC240" s="18" t="n"/>
    </row>
    <row r="241">
      <c r="A241" s="9" t="n">
        <v>702278</v>
      </c>
      <c r="B241" s="9" t="inlineStr">
        <is>
          <t>Nolan Schubart</t>
        </is>
      </c>
      <c r="C241" s="9" t="inlineStr">
        <is>
          <t>CLE</t>
        </is>
      </c>
      <c r="D241" s="9" t="n">
        <v>25</v>
      </c>
      <c r="E241" s="16" t="inlineStr">
        <is>
          <t>L</t>
        </is>
      </c>
      <c r="F241" s="16" t="n"/>
      <c r="G241" s="9" t="n">
        <v>70.71794871794872</v>
      </c>
      <c r="H241" s="9" t="n">
        <v>70.71794871794872</v>
      </c>
      <c r="I241" s="9" t="inlineStr">
        <is>
          <t>Depth (no MLB PA)</t>
        </is>
      </c>
      <c r="J241" s="16" t="inlineStr">
        <is>
          <t>Opening Day</t>
        </is>
      </c>
      <c r="K241" s="11">
        <f>IFERROR(INDEX(Roles!$B$17:$B$20,MATCH(J241,Roles!$A$17:$A$20,0)),1)</f>
        <v/>
      </c>
      <c r="L241" s="17" t="n">
        <v>1</v>
      </c>
      <c r="M241" s="11" t="n">
        <v>1</v>
      </c>
      <c r="N241" s="17" t="n"/>
      <c r="O241" s="17" t="n"/>
      <c r="P241" s="17" t="n"/>
      <c r="Q241" s="17" t="n"/>
      <c r="R241" s="17" t="n"/>
      <c r="S241" s="17" t="n"/>
      <c r="T241" s="17" t="n"/>
      <c r="U241" s="17" t="n"/>
      <c r="V241" s="17" t="n"/>
      <c r="W241" s="17" t="n"/>
      <c r="X241" s="17" t="n"/>
      <c r="Y241" s="17" t="n">
        <v>1</v>
      </c>
      <c r="Z241" s="13">
        <f>SUMPRODUCT(N241:Y241,$N$2:$Y$2)*$K241*$L241*$M241</f>
        <v/>
      </c>
      <c r="AA241" s="14">
        <f>SUM(N241:Y241)</f>
        <v/>
      </c>
      <c r="AB241" s="14">
        <f>IFERROR(IF(UPPER($E241)="L",SUMPRODUCT(N241:Y241,$N$3:$Y$3,$N$2:$Y$2),SUMPRODUCT(N241:Y241,$N$4:$Y$4,$N$2:$Y$2))/(Z241/($K241*$L241*$M241)),"")</f>
        <v/>
      </c>
      <c r="AC241" s="18" t="n"/>
    </row>
    <row r="242">
      <c r="A242" s="9" t="n">
        <v>686912</v>
      </c>
      <c r="B242" s="9" t="inlineStr">
        <is>
          <t>Maxwell Romero Jr.</t>
        </is>
      </c>
      <c r="C242" s="9" t="inlineStr">
        <is>
          <t>WSH</t>
        </is>
      </c>
      <c r="D242" s="9" t="n">
        <v>25</v>
      </c>
      <c r="E242" s="16" t="inlineStr">
        <is>
          <t>L</t>
        </is>
      </c>
      <c r="F242" s="16" t="n"/>
      <c r="G242" s="9" t="n">
        <v>90.82051282051285</v>
      </c>
      <c r="H242" s="9" t="n">
        <v>90.82051282051285</v>
      </c>
      <c r="I242" s="9" t="inlineStr">
        <is>
          <t>Depth (no MLB PA)</t>
        </is>
      </c>
      <c r="J242" s="16" t="inlineStr">
        <is>
          <t>Opening Day</t>
        </is>
      </c>
      <c r="K242" s="11">
        <f>IFERROR(INDEX(Roles!$B$17:$B$20,MATCH(J242,Roles!$A$17:$A$20,0)),1)</f>
        <v/>
      </c>
      <c r="L242" s="17" t="n">
        <v>1</v>
      </c>
      <c r="M242" s="11" t="n">
        <v>1</v>
      </c>
      <c r="N242" s="17" t="n"/>
      <c r="O242" s="17" t="n"/>
      <c r="P242" s="17" t="n"/>
      <c r="Q242" s="17" t="n"/>
      <c r="R242" s="17" t="n"/>
      <c r="S242" s="17" t="n"/>
      <c r="T242" s="17" t="n"/>
      <c r="U242" s="17" t="n"/>
      <c r="V242" s="17" t="n"/>
      <c r="W242" s="17" t="n"/>
      <c r="X242" s="17" t="n"/>
      <c r="Y242" s="17" t="n">
        <v>1</v>
      </c>
      <c r="Z242" s="13">
        <f>SUMPRODUCT(N242:Y242,$N$2:$Y$2)*$K242*$L242*$M242</f>
        <v/>
      </c>
      <c r="AA242" s="14">
        <f>SUM(N242:Y242)</f>
        <v/>
      </c>
      <c r="AB242" s="14">
        <f>IFERROR(IF(UPPER($E242)="L",SUMPRODUCT(N242:Y242,$N$3:$Y$3,$N$2:$Y$2),SUMPRODUCT(N242:Y242,$N$4:$Y$4,$N$2:$Y$2))/(Z242/($K242*$L242*$M242)),"")</f>
        <v/>
      </c>
      <c r="AC242" s="18" t="n"/>
    </row>
    <row r="243">
      <c r="A243" s="9" t="n">
        <v>673237</v>
      </c>
      <c r="B243" s="9" t="inlineStr">
        <is>
          <t>Yainer Diaz</t>
        </is>
      </c>
      <c r="C243" s="9" t="inlineStr">
        <is>
          <t>HOU</t>
        </is>
      </c>
      <c r="D243" s="9" t="n">
        <v>28</v>
      </c>
      <c r="E243" s="16" t="inlineStr">
        <is>
          <t>R</t>
        </is>
      </c>
      <c r="F243" s="16" t="inlineStr">
        <is>
          <t>C</t>
        </is>
      </c>
      <c r="G243" s="9" t="n">
        <v>361</v>
      </c>
      <c r="H243" s="9" t="n">
        <v>1933</v>
      </c>
      <c r="I243" s="9" t="inlineStr">
        <is>
          <t>Catcher - Primary</t>
        </is>
      </c>
      <c r="J243" s="16" t="inlineStr">
        <is>
          <t>Opening Day</t>
        </is>
      </c>
      <c r="K243" s="11">
        <f>IFERROR(INDEX(Roles!$B$17:$B$20,MATCH(J243,Roles!$A$17:$A$20,0)),1)</f>
        <v/>
      </c>
      <c r="L243" s="17" t="n">
        <v>1</v>
      </c>
      <c r="M243" s="11" t="n">
        <v>1.052206128665506</v>
      </c>
      <c r="N243" s="17" t="n"/>
      <c r="O243" s="17" t="n"/>
      <c r="P243" s="17" t="n"/>
      <c r="Q243" s="17" t="n"/>
      <c r="R243" s="17" t="n">
        <v>1</v>
      </c>
      <c r="S243" s="17" t="n"/>
      <c r="T243" s="17" t="n"/>
      <c r="U243" s="17" t="n"/>
      <c r="V243" s="17" t="n"/>
      <c r="W243" s="17" t="n"/>
      <c r="X243" s="17" t="n"/>
      <c r="Y243" s="17" t="n"/>
      <c r="Z243" s="13">
        <f>SUMPRODUCT(N243:Y243,$N$2:$Y$2)*$K243*$L243*$M243</f>
        <v/>
      </c>
      <c r="AA243" s="14">
        <f>SUM(N243:Y243)</f>
        <v/>
      </c>
      <c r="AB243" s="14">
        <f>IFERROR(IF(UPPER($E243)="L",SUMPRODUCT(N243:Y243,$N$3:$Y$3,$N$2:$Y$2),SUMPRODUCT(N243:Y243,$N$4:$Y$4,$N$2:$Y$2))/(Z243/($K243*$L243*$M243)),"")</f>
        <v/>
      </c>
      <c r="AC243" s="18" t="n"/>
    </row>
    <row r="244">
      <c r="A244" s="9" t="n">
        <v>606992</v>
      </c>
      <c r="B244" s="9" t="inlineStr">
        <is>
          <t>Eric Haase</t>
        </is>
      </c>
      <c r="C244" s="9" t="inlineStr">
        <is>
          <t>SF</t>
        </is>
      </c>
      <c r="D244" s="9" t="n">
        <v>34</v>
      </c>
      <c r="E244" s="16" t="inlineStr">
        <is>
          <t>R</t>
        </is>
      </c>
      <c r="F244" s="16" t="inlineStr">
        <is>
          <t>C</t>
        </is>
      </c>
      <c r="G244" s="9" t="n">
        <v>84</v>
      </c>
      <c r="H244" s="9" t="n">
        <v>874</v>
      </c>
      <c r="I244" s="9" t="inlineStr">
        <is>
          <t>Catcher - Backup</t>
        </is>
      </c>
      <c r="J244" s="16" t="inlineStr">
        <is>
          <t>Opening Day</t>
        </is>
      </c>
      <c r="K244" s="11">
        <f>IFERROR(INDEX(Roles!$B$17:$B$20,MATCH(J244,Roles!$A$17:$A$20,0)),1)</f>
        <v/>
      </c>
      <c r="L244" s="17" t="n">
        <v>1</v>
      </c>
      <c r="M244" s="11" t="n">
        <v>1</v>
      </c>
      <c r="N244" s="17" t="n"/>
      <c r="O244" s="17" t="n"/>
      <c r="P244" s="17" t="n"/>
      <c r="Q244" s="17" t="n"/>
      <c r="R244" s="17" t="n"/>
      <c r="S244" s="17" t="n"/>
      <c r="T244" s="17" t="n">
        <v>1</v>
      </c>
      <c r="U244" s="17" t="n"/>
      <c r="V244" s="17" t="n"/>
      <c r="W244" s="17" t="n"/>
      <c r="X244" s="17" t="n"/>
      <c r="Y244" s="17" t="n"/>
      <c r="Z244" s="13">
        <f>SUMPRODUCT(N244:Y244,$N$2:$Y$2)*$K244*$L244*$M244</f>
        <v/>
      </c>
      <c r="AA244" s="14">
        <f>SUM(N244:Y244)</f>
        <v/>
      </c>
      <c r="AB244" s="14">
        <f>IFERROR(IF(UPPER($E244)="L",SUMPRODUCT(N244:Y244,$N$3:$Y$3,$N$2:$Y$2),SUMPRODUCT(N244:Y244,$N$4:$Y$4,$N$2:$Y$2))/(Z244/($K244*$L244*$M244)),"")</f>
        <v/>
      </c>
      <c r="AC244" s="18" t="n"/>
    </row>
    <row r="245">
      <c r="A245" s="9" t="n">
        <v>686894</v>
      </c>
      <c r="B245" s="9" t="inlineStr">
        <is>
          <t>Joey Wiemer</t>
        </is>
      </c>
      <c r="C245" s="9" t="inlineStr">
        <is>
          <t>WSH</t>
        </is>
      </c>
      <c r="D245" s="9" t="n">
        <v>28</v>
      </c>
      <c r="E245" s="16" t="inlineStr">
        <is>
          <t>R</t>
        </is>
      </c>
      <c r="F245" s="16" t="inlineStr">
        <is>
          <t>RF</t>
        </is>
      </c>
      <c r="G245" s="9" t="n">
        <v>83</v>
      </c>
      <c r="H245" s="9" t="n">
        <v>582</v>
      </c>
      <c r="I245" s="9" t="inlineStr">
        <is>
          <t>Bench Bat</t>
        </is>
      </c>
      <c r="J245" s="16" t="inlineStr">
        <is>
          <t>Opening Day</t>
        </is>
      </c>
      <c r="K245" s="11">
        <f>IFERROR(INDEX(Roles!$B$17:$B$20,MATCH(J245,Roles!$A$17:$A$20,0)),1)</f>
        <v/>
      </c>
      <c r="L245" s="17" t="n">
        <v>1</v>
      </c>
      <c r="M245" s="11" t="n">
        <v>1</v>
      </c>
      <c r="N245" s="17" t="n"/>
      <c r="O245" s="17" t="n"/>
      <c r="P245" s="17" t="n"/>
      <c r="Q245" s="17" t="n"/>
      <c r="R245" s="17" t="n"/>
      <c r="S245" s="17" t="n"/>
      <c r="T245" s="17" t="n"/>
      <c r="U245" s="17" t="n"/>
      <c r="V245" s="17" t="n"/>
      <c r="W245" s="17" t="n">
        <v>1</v>
      </c>
      <c r="X245" s="17" t="n"/>
      <c r="Y245" s="17" t="n"/>
      <c r="Z245" s="13">
        <f>SUMPRODUCT(N245:Y245,$N$2:$Y$2)*$K245*$L245*$M245</f>
        <v/>
      </c>
      <c r="AA245" s="14">
        <f>SUM(N245:Y245)</f>
        <v/>
      </c>
      <c r="AB245" s="14">
        <f>IFERROR(IF(UPPER($E245)="L",SUMPRODUCT(N245:Y245,$N$3:$Y$3,$N$2:$Y$2),SUMPRODUCT(N245:Y245,$N$4:$Y$4,$N$2:$Y$2))/(Z245/($K245*$L245*$M245)),"")</f>
        <v/>
      </c>
      <c r="AC245" s="18" t="n"/>
    </row>
    <row r="246">
      <c r="A246" s="9" t="n">
        <v>694355</v>
      </c>
      <c r="B246" s="9" t="inlineStr">
        <is>
          <t>Tyler Gentry</t>
        </is>
      </c>
      <c r="C246" s="9" t="inlineStr">
        <is>
          <t>KC</t>
        </is>
      </c>
      <c r="D246" s="9" t="n">
        <v>28</v>
      </c>
      <c r="E246" s="16" t="inlineStr">
        <is>
          <t>R</t>
        </is>
      </c>
      <c r="F246" s="16" t="inlineStr">
        <is>
          <t>RF</t>
        </is>
      </c>
      <c r="G246" s="9" t="n">
        <v>5</v>
      </c>
      <c r="H246" s="9" t="n">
        <v>5</v>
      </c>
      <c r="I246" s="9" t="inlineStr">
        <is>
          <t>Depth (no MLB PA)</t>
        </is>
      </c>
      <c r="J246" s="16" t="inlineStr">
        <is>
          <t>Opening Day</t>
        </is>
      </c>
      <c r="K246" s="11">
        <f>IFERROR(INDEX(Roles!$B$17:$B$20,MATCH(J246,Roles!$A$17:$A$20,0)),1)</f>
        <v/>
      </c>
      <c r="L246" s="17" t="n">
        <v>1</v>
      </c>
      <c r="M246" s="11" t="n">
        <v>1</v>
      </c>
      <c r="N246" s="17" t="n"/>
      <c r="O246" s="17" t="n"/>
      <c r="P246" s="17" t="n"/>
      <c r="Q246" s="17" t="n"/>
      <c r="R246" s="17" t="n"/>
      <c r="S246" s="17" t="n"/>
      <c r="T246" s="17" t="n"/>
      <c r="U246" s="17" t="n"/>
      <c r="V246" s="17" t="n"/>
      <c r="W246" s="17" t="n"/>
      <c r="X246" s="17" t="n"/>
      <c r="Y246" s="17" t="n">
        <v>1</v>
      </c>
      <c r="Z246" s="13">
        <f>SUMPRODUCT(N246:Y246,$N$2:$Y$2)*$K246*$L246*$M246</f>
        <v/>
      </c>
      <c r="AA246" s="14">
        <f>SUM(N246:Y246)</f>
        <v/>
      </c>
      <c r="AB246" s="14">
        <f>IFERROR(IF(UPPER($E246)="L",SUMPRODUCT(N246:Y246,$N$3:$Y$3,$N$2:$Y$2),SUMPRODUCT(N246:Y246,$N$4:$Y$4,$N$2:$Y$2))/(Z246/($K246*$L246*$M246)),"")</f>
        <v/>
      </c>
      <c r="AC246" s="18" t="n"/>
    </row>
    <row r="247">
      <c r="A247" s="9" t="n">
        <v>681357</v>
      </c>
      <c r="B247" s="9" t="inlineStr">
        <is>
          <t>Cody Morissette</t>
        </is>
      </c>
      <c r="C247" s="9" t="inlineStr">
        <is>
          <t>MIN</t>
        </is>
      </c>
      <c r="D247" s="9" t="n">
        <v>25</v>
      </c>
      <c r="E247" s="16" t="inlineStr">
        <is>
          <t>L</t>
        </is>
      </c>
      <c r="F247" s="16" t="n"/>
      <c r="G247" s="9" t="n">
        <v>179.3846153846154</v>
      </c>
      <c r="H247" s="9" t="n">
        <v>179.3846153846154</v>
      </c>
      <c r="I247" s="9" t="inlineStr">
        <is>
          <t>Depth (no MLB PA)</t>
        </is>
      </c>
      <c r="J247" s="16" t="inlineStr">
        <is>
          <t>Opening Day</t>
        </is>
      </c>
      <c r="K247" s="11">
        <f>IFERROR(INDEX(Roles!$B$17:$B$20,MATCH(J247,Roles!$A$17:$A$20,0)),1)</f>
        <v/>
      </c>
      <c r="L247" s="17" t="n">
        <v>1</v>
      </c>
      <c r="M247" s="11" t="n">
        <v>1</v>
      </c>
      <c r="N247" s="17" t="n"/>
      <c r="O247" s="17" t="n"/>
      <c r="P247" s="17" t="n"/>
      <c r="Q247" s="17" t="n"/>
      <c r="R247" s="17" t="n"/>
      <c r="S247" s="17" t="n"/>
      <c r="T247" s="17" t="n"/>
      <c r="U247" s="17" t="n"/>
      <c r="V247" s="17" t="n"/>
      <c r="W247" s="17" t="n"/>
      <c r="X247" s="17" t="n"/>
      <c r="Y247" s="17" t="n">
        <v>1</v>
      </c>
      <c r="Z247" s="13">
        <f>SUMPRODUCT(N247:Y247,$N$2:$Y$2)*$K247*$L247*$M247</f>
        <v/>
      </c>
      <c r="AA247" s="14">
        <f>SUM(N247:Y247)</f>
        <v/>
      </c>
      <c r="AB247" s="14">
        <f>IFERROR(IF(UPPER($E247)="L",SUMPRODUCT(N247:Y247,$N$3:$Y$3,$N$2:$Y$2),SUMPRODUCT(N247:Y247,$N$4:$Y$4,$N$2:$Y$2))/(Z247/($K247*$L247*$M247)),"")</f>
        <v/>
      </c>
      <c r="AC247" s="18" t="n"/>
    </row>
    <row r="248">
      <c r="A248" s="9" t="n">
        <v>695722</v>
      </c>
      <c r="B248" s="9" t="inlineStr">
        <is>
          <t>Boston Smith</t>
        </is>
      </c>
      <c r="C248" s="9" t="inlineStr">
        <is>
          <t>SEA</t>
        </is>
      </c>
      <c r="D248" s="9" t="n">
        <v>25</v>
      </c>
      <c r="E248" s="16" t="inlineStr">
        <is>
          <t>L</t>
        </is>
      </c>
      <c r="F248" s="16" t="n"/>
      <c r="G248" s="9" t="n">
        <v>86.15384615384615</v>
      </c>
      <c r="H248" s="9" t="n">
        <v>86.15384615384615</v>
      </c>
      <c r="I248" s="9" t="inlineStr">
        <is>
          <t>Depth (no MLB PA)</t>
        </is>
      </c>
      <c r="J248" s="16" t="inlineStr">
        <is>
          <t>Opening Day</t>
        </is>
      </c>
      <c r="K248" s="11">
        <f>IFERROR(INDEX(Roles!$B$17:$B$20,MATCH(J248,Roles!$A$17:$A$20,0)),1)</f>
        <v/>
      </c>
      <c r="L248" s="17" t="n">
        <v>1</v>
      </c>
      <c r="M248" s="11" t="n">
        <v>1</v>
      </c>
      <c r="N248" s="17" t="n"/>
      <c r="O248" s="17" t="n"/>
      <c r="P248" s="17" t="n"/>
      <c r="Q248" s="17" t="n"/>
      <c r="R248" s="17" t="n"/>
      <c r="S248" s="17" t="n"/>
      <c r="T248" s="17" t="n"/>
      <c r="U248" s="17" t="n"/>
      <c r="V248" s="17" t="n"/>
      <c r="W248" s="17" t="n"/>
      <c r="X248" s="17" t="n"/>
      <c r="Y248" s="17" t="n">
        <v>1</v>
      </c>
      <c r="Z248" s="13">
        <f>SUMPRODUCT(N248:Y248,$N$2:$Y$2)*$K248*$L248*$M248</f>
        <v/>
      </c>
      <c r="AA248" s="14">
        <f>SUM(N248:Y248)</f>
        <v/>
      </c>
      <c r="AB248" s="14">
        <f>IFERROR(IF(UPPER($E248)="L",SUMPRODUCT(N248:Y248,$N$3:$Y$3,$N$2:$Y$2),SUMPRODUCT(N248:Y248,$N$4:$Y$4,$N$2:$Y$2))/(Z248/($K248*$L248*$M248)),"")</f>
        <v/>
      </c>
      <c r="AC248" s="18" t="n"/>
    </row>
    <row r="249">
      <c r="A249" s="9" t="n">
        <v>694484</v>
      </c>
      <c r="B249" s="9" t="inlineStr">
        <is>
          <t>Max Wagner</t>
        </is>
      </c>
      <c r="C249" s="9" t="inlineStr">
        <is>
          <t>TEX</t>
        </is>
      </c>
      <c r="D249" s="9" t="n">
        <v>25</v>
      </c>
      <c r="E249" s="16" t="inlineStr">
        <is>
          <t>R</t>
        </is>
      </c>
      <c r="F249" s="16" t="n"/>
      <c r="G249" s="9" t="n">
        <v>113.7948717948718</v>
      </c>
      <c r="H249" s="9" t="n">
        <v>113.7948717948718</v>
      </c>
      <c r="I249" s="9" t="inlineStr">
        <is>
          <t>Depth (no MLB PA)</t>
        </is>
      </c>
      <c r="J249" s="16" t="inlineStr">
        <is>
          <t>Opening Day</t>
        </is>
      </c>
      <c r="K249" s="11">
        <f>IFERROR(INDEX(Roles!$B$17:$B$20,MATCH(J249,Roles!$A$17:$A$20,0)),1)</f>
        <v/>
      </c>
      <c r="L249" s="17" t="n">
        <v>1</v>
      </c>
      <c r="M249" s="11" t="n">
        <v>1</v>
      </c>
      <c r="N249" s="17" t="n"/>
      <c r="O249" s="17" t="n"/>
      <c r="P249" s="17" t="n"/>
      <c r="Q249" s="17" t="n"/>
      <c r="R249" s="17" t="n"/>
      <c r="S249" s="17" t="n"/>
      <c r="T249" s="17" t="n"/>
      <c r="U249" s="17" t="n"/>
      <c r="V249" s="17" t="n"/>
      <c r="W249" s="17" t="n"/>
      <c r="X249" s="17" t="n"/>
      <c r="Y249" s="17" t="n">
        <v>1</v>
      </c>
      <c r="Z249" s="13">
        <f>SUMPRODUCT(N249:Y249,$N$2:$Y$2)*$K249*$L249*$M249</f>
        <v/>
      </c>
      <c r="AA249" s="14">
        <f>SUM(N249:Y249)</f>
        <v/>
      </c>
      <c r="AB249" s="14">
        <f>IFERROR(IF(UPPER($E249)="L",SUMPRODUCT(N249:Y249,$N$3:$Y$3,$N$2:$Y$2),SUMPRODUCT(N249:Y249,$N$4:$Y$4,$N$2:$Y$2))/(Z249/($K249*$L249*$M249)),"")</f>
        <v/>
      </c>
      <c r="AC249" s="18" t="n"/>
    </row>
    <row r="250">
      <c r="A250" s="9" t="n">
        <v>668804</v>
      </c>
      <c r="B250" s="9" t="inlineStr">
        <is>
          <t>Bryan Reynolds</t>
        </is>
      </c>
      <c r="C250" s="9" t="inlineStr">
        <is>
          <t>PIT</t>
        </is>
      </c>
      <c r="D250" s="9" t="n">
        <v>32</v>
      </c>
      <c r="E250" s="16" t="inlineStr">
        <is>
          <t>S</t>
        </is>
      </c>
      <c r="F250" s="16" t="inlineStr">
        <is>
          <t>LF</t>
        </is>
      </c>
      <c r="G250" s="9" t="n">
        <v>699</v>
      </c>
      <c r="H250" s="9" t="n">
        <v>3299</v>
      </c>
      <c r="I250" s="9" t="inlineStr">
        <is>
          <t>Full Time</t>
        </is>
      </c>
      <c r="J250" s="16" t="inlineStr">
        <is>
          <t>Opening Day</t>
        </is>
      </c>
      <c r="K250" s="11">
        <f>IFERROR(INDEX(Roles!$B$17:$B$20,MATCH(J250,Roles!$A$17:$A$20,0)),1)</f>
        <v/>
      </c>
      <c r="L250" s="17" t="n">
        <v>1</v>
      </c>
      <c r="M250" s="11" t="n">
        <v>1.15</v>
      </c>
      <c r="N250" s="17" t="n">
        <v>1</v>
      </c>
      <c r="O250" s="17" t="n"/>
      <c r="P250" s="17" t="n"/>
      <c r="Q250" s="17" t="n"/>
      <c r="R250" s="17" t="n"/>
      <c r="S250" s="17" t="n"/>
      <c r="T250" s="17" t="n"/>
      <c r="U250" s="17" t="n"/>
      <c r="V250" s="17" t="n"/>
      <c r="W250" s="17" t="n"/>
      <c r="X250" s="17" t="n"/>
      <c r="Y250" s="17" t="n"/>
      <c r="Z250" s="13">
        <f>SUMPRODUCT(N250:Y250,$N$2:$Y$2)*$K250*$L250*$M250</f>
        <v/>
      </c>
      <c r="AA250" s="14">
        <f>SUM(N250:Y250)</f>
        <v/>
      </c>
      <c r="AB250" s="14">
        <f>IFERROR(IF(UPPER($E250)="L",SUMPRODUCT(N250:Y250,$N$3:$Y$3,$N$2:$Y$2),SUMPRODUCT(N250:Y250,$N$4:$Y$4,$N$2:$Y$2))/(Z250/($K250*$L250*$M250)),"")</f>
        <v/>
      </c>
      <c r="AC250" s="18" t="n"/>
    </row>
    <row r="251">
      <c r="A251" s="9" t="n">
        <v>641857</v>
      </c>
      <c r="B251" s="9" t="inlineStr">
        <is>
          <t>Ryan McMahon</t>
        </is>
      </c>
      <c r="C251" s="9" t="inlineStr">
        <is>
          <t>NYY</t>
        </is>
      </c>
      <c r="D251" s="9" t="n">
        <v>32</v>
      </c>
      <c r="E251" s="16" t="inlineStr">
        <is>
          <t>L</t>
        </is>
      </c>
      <c r="F251" s="16" t="inlineStr">
        <is>
          <t>3B</t>
        </is>
      </c>
      <c r="G251" s="9" t="n">
        <v>360</v>
      </c>
      <c r="H251" s="9" t="n">
        <v>2815</v>
      </c>
      <c r="I251" s="9" t="inlineStr">
        <is>
          <t>Full Time</t>
        </is>
      </c>
      <c r="J251" s="16" t="inlineStr">
        <is>
          <t>Opening Day</t>
        </is>
      </c>
      <c r="K251" s="11">
        <f>IFERROR(INDEX(Roles!$B$17:$B$20,MATCH(J251,Roles!$A$17:$A$20,0)),1)</f>
        <v/>
      </c>
      <c r="L251" s="17" t="n">
        <v>1</v>
      </c>
      <c r="M251" s="11" t="n">
        <v>1.085994496937175</v>
      </c>
      <c r="N251" s="17" t="n">
        <v>0.7</v>
      </c>
      <c r="O251" s="17" t="n"/>
      <c r="P251" s="17" t="n">
        <v>0.3</v>
      </c>
      <c r="Q251" s="17" t="n"/>
      <c r="R251" s="17" t="n"/>
      <c r="S251" s="17" t="n"/>
      <c r="T251" s="17" t="n"/>
      <c r="U251" s="17" t="n"/>
      <c r="V251" s="17" t="n"/>
      <c r="W251" s="17" t="n"/>
      <c r="X251" s="17" t="n"/>
      <c r="Y251" s="17" t="n"/>
      <c r="Z251" s="13">
        <f>SUMPRODUCT(N251:Y251,$N$2:$Y$2)*$K251*$L251*$M251</f>
        <v/>
      </c>
      <c r="AA251" s="14">
        <f>SUM(N251:Y251)</f>
        <v/>
      </c>
      <c r="AB251" s="14">
        <f>IFERROR(IF(UPPER($E251)="L",SUMPRODUCT(N251:Y251,$N$3:$Y$3,$N$2:$Y$2),SUMPRODUCT(N251:Y251,$N$4:$Y$4,$N$2:$Y$2))/(Z251/($K251*$L251*$M251)),"")</f>
        <v/>
      </c>
      <c r="AC251" s="18" t="n"/>
    </row>
    <row r="252">
      <c r="A252" s="9" t="n">
        <v>669194</v>
      </c>
      <c r="B252" s="9" t="inlineStr">
        <is>
          <t>Ryne Nelson</t>
        </is>
      </c>
      <c r="C252" s="9" t="inlineStr">
        <is>
          <t>ARI</t>
        </is>
      </c>
      <c r="D252" s="9" t="n">
        <v>29</v>
      </c>
      <c r="E252" s="16" t="inlineStr">
        <is>
          <t>R</t>
        </is>
      </c>
      <c r="F252" s="16" t="inlineStr">
        <is>
          <t>P</t>
        </is>
      </c>
      <c r="G252" s="9" t="n">
        <v>1</v>
      </c>
      <c r="H252" s="9" t="n">
        <v>1</v>
      </c>
      <c r="I252" s="9" t="inlineStr">
        <is>
          <t>Depth (no MLB PA)</t>
        </is>
      </c>
      <c r="J252" s="16" t="inlineStr">
        <is>
          <t>Opening Day</t>
        </is>
      </c>
      <c r="K252" s="11">
        <f>IFERROR(INDEX(Roles!$B$17:$B$20,MATCH(J252,Roles!$A$17:$A$20,0)),1)</f>
        <v/>
      </c>
      <c r="L252" s="17" t="n">
        <v>1</v>
      </c>
      <c r="M252" s="11" t="n">
        <v>1</v>
      </c>
      <c r="N252" s="17" t="n"/>
      <c r="O252" s="17" t="n"/>
      <c r="P252" s="17" t="n"/>
      <c r="Q252" s="17" t="n"/>
      <c r="R252" s="17" t="n"/>
      <c r="S252" s="17" t="n"/>
      <c r="T252" s="17" t="n"/>
      <c r="U252" s="17" t="n"/>
      <c r="V252" s="17" t="n"/>
      <c r="W252" s="17" t="n"/>
      <c r="X252" s="17" t="n"/>
      <c r="Y252" s="17" t="n">
        <v>1</v>
      </c>
      <c r="Z252" s="13">
        <f>SUMPRODUCT(N252:Y252,$N$2:$Y$2)*$K252*$L252*$M252</f>
        <v/>
      </c>
      <c r="AA252" s="14">
        <f>SUM(N252:Y252)</f>
        <v/>
      </c>
      <c r="AB252" s="14">
        <f>IFERROR(IF(UPPER($E252)="L",SUMPRODUCT(N252:Y252,$N$3:$Y$3,$N$2:$Y$2),SUMPRODUCT(N252:Y252,$N$4:$Y$4,$N$2:$Y$2))/(Z252/($K252*$L252*$M252)),"")</f>
        <v/>
      </c>
      <c r="AC252" s="18" t="n"/>
    </row>
    <row r="253">
      <c r="A253" s="9" t="n">
        <v>691783</v>
      </c>
      <c r="B253" s="9" t="inlineStr">
        <is>
          <t>Jordan Lawlar</t>
        </is>
      </c>
      <c r="C253" s="9" t="inlineStr">
        <is>
          <t>ARI</t>
        </is>
      </c>
      <c r="D253" s="9" t="n">
        <v>24</v>
      </c>
      <c r="E253" s="16" t="inlineStr">
        <is>
          <t>R</t>
        </is>
      </c>
      <c r="F253" s="16" t="inlineStr">
        <is>
          <t>CF</t>
        </is>
      </c>
      <c r="G253" s="9" t="n">
        <v>136</v>
      </c>
      <c r="H253" s="9" t="n">
        <v>244</v>
      </c>
      <c r="I253" s="9" t="inlineStr">
        <is>
          <t>Utility OF / 4th OF</t>
        </is>
      </c>
      <c r="J253" s="16" t="inlineStr">
        <is>
          <t>Opening Day</t>
        </is>
      </c>
      <c r="K253" s="11">
        <f>IFERROR(INDEX(Roles!$B$17:$B$20,MATCH(J253,Roles!$A$17:$A$20,0)),1)</f>
        <v/>
      </c>
      <c r="L253" s="17" t="n">
        <v>1</v>
      </c>
      <c r="M253" s="11" t="n">
        <v>1</v>
      </c>
      <c r="N253" s="17" t="n"/>
      <c r="O253" s="17" t="n"/>
      <c r="P253" s="17" t="n"/>
      <c r="Q253" s="17" t="n"/>
      <c r="R253" s="17" t="n"/>
      <c r="S253" s="17" t="n"/>
      <c r="T253" s="17" t="n"/>
      <c r="U253" s="17" t="n"/>
      <c r="V253" s="17" t="n">
        <v>0.7</v>
      </c>
      <c r="W253" s="17" t="n">
        <v>0.3</v>
      </c>
      <c r="X253" s="17" t="n"/>
      <c r="Y253" s="17" t="n"/>
      <c r="Z253" s="13">
        <f>SUMPRODUCT(N253:Y253,$N$2:$Y$2)*$K253*$L253*$M253</f>
        <v/>
      </c>
      <c r="AA253" s="14">
        <f>SUM(N253:Y253)</f>
        <v/>
      </c>
      <c r="AB253" s="14">
        <f>IFERROR(IF(UPPER($E253)="L",SUMPRODUCT(N253:Y253,$N$3:$Y$3,$N$2:$Y$2),SUMPRODUCT(N253:Y253,$N$4:$Y$4,$N$2:$Y$2))/(Z253/($K253*$L253*$M253)),"")</f>
        <v/>
      </c>
      <c r="AC253" s="18" t="n"/>
    </row>
    <row r="254">
      <c r="A254" s="9" t="n">
        <v>665161</v>
      </c>
      <c r="B254" s="9" t="inlineStr">
        <is>
          <t>Jeremy Peña</t>
        </is>
      </c>
      <c r="C254" s="9" t="inlineStr">
        <is>
          <t>HOU</t>
        </is>
      </c>
      <c r="D254" s="9" t="n">
        <v>29</v>
      </c>
      <c r="E254" s="16" t="inlineStr">
        <is>
          <t>R</t>
        </is>
      </c>
      <c r="F254" s="16" t="inlineStr">
        <is>
          <t>SS</t>
        </is>
      </c>
      <c r="G254" s="9" t="n">
        <v>483</v>
      </c>
      <c r="H254" s="9" t="n">
        <v>2868</v>
      </c>
      <c r="I254" s="9" t="inlineStr">
        <is>
          <t>Full Time</t>
        </is>
      </c>
      <c r="J254" s="16" t="inlineStr">
        <is>
          <t>Opening Day</t>
        </is>
      </c>
      <c r="K254" s="11">
        <f>IFERROR(INDEX(Roles!$B$17:$B$20,MATCH(J254,Roles!$A$17:$A$20,0)),1)</f>
        <v/>
      </c>
      <c r="L254" s="17" t="n">
        <v>1</v>
      </c>
      <c r="M254" s="11" t="n">
        <v>1.00609879769648</v>
      </c>
      <c r="N254" s="17" t="n">
        <v>1</v>
      </c>
      <c r="O254" s="17" t="n"/>
      <c r="P254" s="17" t="n"/>
      <c r="Q254" s="17" t="n"/>
      <c r="R254" s="17" t="n"/>
      <c r="S254" s="17" t="n"/>
      <c r="T254" s="17" t="n"/>
      <c r="U254" s="17" t="n"/>
      <c r="V254" s="17" t="n"/>
      <c r="W254" s="17" t="n"/>
      <c r="X254" s="17" t="n"/>
      <c r="Y254" s="17" t="n"/>
      <c r="Z254" s="13">
        <f>SUMPRODUCT(N254:Y254,$N$2:$Y$2)*$K254*$L254*$M254</f>
        <v/>
      </c>
      <c r="AA254" s="14">
        <f>SUM(N254:Y254)</f>
        <v/>
      </c>
      <c r="AB254" s="14">
        <f>IFERROR(IF(UPPER($E254)="L",SUMPRODUCT(N254:Y254,$N$3:$Y$3,$N$2:$Y$2),SUMPRODUCT(N254:Y254,$N$4:$Y$4,$N$2:$Y$2))/(Z254/($K254*$L254*$M254)),"")</f>
        <v/>
      </c>
      <c r="AC254" s="18" t="n"/>
    </row>
    <row r="255">
      <c r="A255" s="9" t="n">
        <v>671739</v>
      </c>
      <c r="B255" s="9" t="inlineStr">
        <is>
          <t>Michael Harris II</t>
        </is>
      </c>
      <c r="C255" s="9" t="inlineStr">
        <is>
          <t>ATL</t>
        </is>
      </c>
      <c r="D255" s="9" t="n">
        <v>26</v>
      </c>
      <c r="E255" s="16" t="inlineStr">
        <is>
          <t>L</t>
        </is>
      </c>
      <c r="F255" s="16" t="inlineStr">
        <is>
          <t>CF</t>
        </is>
      </c>
      <c r="G255" s="9" t="n">
        <v>621</v>
      </c>
      <c r="H255" s="9" t="n">
        <v>2712</v>
      </c>
      <c r="I255" s="9" t="inlineStr">
        <is>
          <t>Full Time</t>
        </is>
      </c>
      <c r="J255" s="16" t="inlineStr">
        <is>
          <t>Opening Day</t>
        </is>
      </c>
      <c r="K255" s="11">
        <f>IFERROR(INDEX(Roles!$B$17:$B$20,MATCH(J255,Roles!$A$17:$A$20,0)),1)</f>
        <v/>
      </c>
      <c r="L255" s="17" t="n">
        <v>1</v>
      </c>
      <c r="M255" s="11" t="n">
        <v>1.123392483815798</v>
      </c>
      <c r="N255" s="17" t="n">
        <v>1</v>
      </c>
      <c r="O255" s="17" t="n"/>
      <c r="P255" s="17" t="n"/>
      <c r="Q255" s="17" t="n"/>
      <c r="R255" s="17" t="n"/>
      <c r="S255" s="17" t="n"/>
      <c r="T255" s="17" t="n"/>
      <c r="U255" s="17" t="n"/>
      <c r="V255" s="17" t="n"/>
      <c r="W255" s="17" t="n"/>
      <c r="X255" s="17" t="n"/>
      <c r="Y255" s="17" t="n"/>
      <c r="Z255" s="13">
        <f>SUMPRODUCT(N255:Y255,$N$2:$Y$2)*$K255*$L255*$M255</f>
        <v/>
      </c>
      <c r="AA255" s="14">
        <f>SUM(N255:Y255)</f>
        <v/>
      </c>
      <c r="AB255" s="14">
        <f>IFERROR(IF(UPPER($E255)="L",SUMPRODUCT(N255:Y255,$N$3:$Y$3,$N$2:$Y$2),SUMPRODUCT(N255:Y255,$N$4:$Y$4,$N$2:$Y$2))/(Z255/($K255*$L255*$M255)),"")</f>
        <v/>
      </c>
      <c r="AC255" s="18" t="n"/>
    </row>
    <row r="256">
      <c r="A256" s="9" t="n">
        <v>656413</v>
      </c>
      <c r="B256" s="9" t="inlineStr">
        <is>
          <t>Stuart Fairchild</t>
        </is>
      </c>
      <c r="C256" s="9" t="inlineStr">
        <is>
          <t>SEA</t>
        </is>
      </c>
      <c r="D256" s="9" t="n">
        <v>31</v>
      </c>
      <c r="E256" s="16" t="inlineStr">
        <is>
          <t>R</t>
        </is>
      </c>
      <c r="F256" s="16" t="inlineStr">
        <is>
          <t>CF</t>
        </is>
      </c>
      <c r="G256" s="9" t="n">
        <v>27</v>
      </c>
      <c r="H256" s="9" t="n">
        <v>680</v>
      </c>
      <c r="I256" s="9" t="inlineStr">
        <is>
          <t>Weak Side Platoon</t>
        </is>
      </c>
      <c r="J256" s="16" t="inlineStr">
        <is>
          <t>Opening Day</t>
        </is>
      </c>
      <c r="K256" s="11">
        <f>IFERROR(INDEX(Roles!$B$17:$B$20,MATCH(J256,Roles!$A$17:$A$20,0)),1)</f>
        <v/>
      </c>
      <c r="L256" s="17" t="n">
        <v>1</v>
      </c>
      <c r="M256" s="11" t="n">
        <v>1</v>
      </c>
      <c r="N256" s="17" t="n"/>
      <c r="O256" s="17" t="n"/>
      <c r="P256" s="17" t="n"/>
      <c r="Q256" s="17" t="n">
        <v>1</v>
      </c>
      <c r="R256" s="17" t="n"/>
      <c r="S256" s="17" t="n"/>
      <c r="T256" s="17" t="n"/>
      <c r="U256" s="17" t="n"/>
      <c r="V256" s="17" t="n"/>
      <c r="W256" s="17" t="n"/>
      <c r="X256" s="17" t="n"/>
      <c r="Y256" s="17" t="n"/>
      <c r="Z256" s="13">
        <f>SUMPRODUCT(N256:Y256,$N$2:$Y$2)*$K256*$L256*$M256</f>
        <v/>
      </c>
      <c r="AA256" s="14">
        <f>SUM(N256:Y256)</f>
        <v/>
      </c>
      <c r="AB256" s="14">
        <f>IFERROR(IF(UPPER($E256)="L",SUMPRODUCT(N256:Y256,$N$3:$Y$3,$N$2:$Y$2),SUMPRODUCT(N256:Y256,$N$4:$Y$4,$N$2:$Y$2))/(Z256/($K256*$L256*$M256)),"")</f>
        <v/>
      </c>
      <c r="AC256" s="18" t="n"/>
    </row>
    <row r="257">
      <c r="A257" s="9" t="n">
        <v>683146</v>
      </c>
      <c r="B257" s="9" t="inlineStr">
        <is>
          <t>Brett Baty</t>
        </is>
      </c>
      <c r="C257" s="9" t="inlineStr">
        <is>
          <t>NYM</t>
        </is>
      </c>
      <c r="D257" s="9" t="n">
        <v>27</v>
      </c>
      <c r="E257" s="16" t="inlineStr">
        <is>
          <t>L</t>
        </is>
      </c>
      <c r="F257" s="16" t="inlineStr">
        <is>
          <t>3B</t>
        </is>
      </c>
      <c r="G257" s="9" t="n">
        <v>473</v>
      </c>
      <c r="H257" s="9" t="n">
        <v>1507</v>
      </c>
      <c r="I257" s="9" t="inlineStr">
        <is>
          <t>Full Time</t>
        </is>
      </c>
      <c r="J257" s="16" t="inlineStr">
        <is>
          <t>Opening Day</t>
        </is>
      </c>
      <c r="K257" s="11">
        <f>IFERROR(INDEX(Roles!$B$17:$B$20,MATCH(J257,Roles!$A$17:$A$20,0)),1)</f>
        <v/>
      </c>
      <c r="L257" s="17" t="n">
        <v>1</v>
      </c>
      <c r="M257" s="11" t="n">
        <v>1.055396144036483</v>
      </c>
      <c r="N257" s="17" t="n">
        <v>0.7</v>
      </c>
      <c r="O257" s="17" t="n"/>
      <c r="P257" s="17" t="n">
        <v>0.3</v>
      </c>
      <c r="Q257" s="17" t="n"/>
      <c r="R257" s="17" t="n"/>
      <c r="S257" s="17" t="n"/>
      <c r="T257" s="17" t="n"/>
      <c r="U257" s="17" t="n"/>
      <c r="V257" s="17" t="n"/>
      <c r="W257" s="17" t="n"/>
      <c r="X257" s="17" t="n"/>
      <c r="Y257" s="17" t="n"/>
      <c r="Z257" s="13">
        <f>SUMPRODUCT(N257:Y257,$N$2:$Y$2)*$K257*$L257*$M257</f>
        <v/>
      </c>
      <c r="AA257" s="14">
        <f>SUM(N257:Y257)</f>
        <v/>
      </c>
      <c r="AB257" s="14">
        <f>IFERROR(IF(UPPER($E257)="L",SUMPRODUCT(N257:Y257,$N$3:$Y$3,$N$2:$Y$2),SUMPRODUCT(N257:Y257,$N$4:$Y$4,$N$2:$Y$2))/(Z257/($K257*$L257*$M257)),"")</f>
        <v/>
      </c>
      <c r="AC257" s="18" t="n"/>
    </row>
    <row r="258">
      <c r="A258" s="9" t="n">
        <v>621020</v>
      </c>
      <c r="B258" s="9" t="inlineStr">
        <is>
          <t>Dansby Swanson</t>
        </is>
      </c>
      <c r="C258" s="9" t="inlineStr">
        <is>
          <t>CHC</t>
        </is>
      </c>
      <c r="D258" s="9" t="n">
        <v>33</v>
      </c>
      <c r="E258" s="16" t="inlineStr">
        <is>
          <t>R</t>
        </is>
      </c>
      <c r="F258" s="16" t="inlineStr">
        <is>
          <t>SS</t>
        </is>
      </c>
      <c r="G258" s="9" t="n">
        <v>486</v>
      </c>
      <c r="H258" s="9" t="n">
        <v>3058</v>
      </c>
      <c r="I258" s="9" t="inlineStr">
        <is>
          <t>Full Time</t>
        </is>
      </c>
      <c r="J258" s="16" t="inlineStr">
        <is>
          <t>Opening Day</t>
        </is>
      </c>
      <c r="K258" s="11">
        <f>IFERROR(INDEX(Roles!$B$17:$B$20,MATCH(J258,Roles!$A$17:$A$20,0)),1)</f>
        <v/>
      </c>
      <c r="L258" s="17" t="n">
        <v>1</v>
      </c>
      <c r="M258" s="11" t="n">
        <v>1.090244268173382</v>
      </c>
      <c r="N258" s="17" t="n">
        <v>1</v>
      </c>
      <c r="O258" s="17" t="n"/>
      <c r="P258" s="17" t="n"/>
      <c r="Q258" s="17" t="n"/>
      <c r="R258" s="17" t="n"/>
      <c r="S258" s="17" t="n"/>
      <c r="T258" s="17" t="n"/>
      <c r="U258" s="17" t="n"/>
      <c r="V258" s="17" t="n"/>
      <c r="W258" s="17" t="n"/>
      <c r="X258" s="17" t="n"/>
      <c r="Y258" s="17" t="n"/>
      <c r="Z258" s="13">
        <f>SUMPRODUCT(N258:Y258,$N$2:$Y$2)*$K258*$L258*$M258</f>
        <v/>
      </c>
      <c r="AA258" s="14">
        <f>SUM(N258:Y258)</f>
        <v/>
      </c>
      <c r="AB258" s="14">
        <f>IFERROR(IF(UPPER($E258)="L",SUMPRODUCT(N258:Y258,$N$3:$Y$3,$N$2:$Y$2),SUMPRODUCT(N258:Y258,$N$4:$Y$4,$N$2:$Y$2))/(Z258/($K258*$L258*$M258)),"")</f>
        <v/>
      </c>
      <c r="AC258" s="18" t="n"/>
    </row>
    <row r="259">
      <c r="A259" s="9" t="n">
        <v>656669</v>
      </c>
      <c r="B259" s="9" t="inlineStr">
        <is>
          <t>Jordan Luplow</t>
        </is>
      </c>
      <c r="C259" s="9" t="inlineStr">
        <is>
          <t>MIN</t>
        </is>
      </c>
      <c r="D259" s="9" t="n">
        <v>33</v>
      </c>
      <c r="E259" s="16" t="inlineStr">
        <is>
          <t>R</t>
        </is>
      </c>
      <c r="F259" s="16" t="inlineStr">
        <is>
          <t>LF</t>
        </is>
      </c>
      <c r="G259" s="9" t="n">
        <v>90</v>
      </c>
      <c r="H259" s="9" t="n">
        <v>324</v>
      </c>
      <c r="I259" s="9" t="inlineStr">
        <is>
          <t>Depth (no MLB PA)</t>
        </is>
      </c>
      <c r="J259" s="16" t="inlineStr">
        <is>
          <t>Opening Day</t>
        </is>
      </c>
      <c r="K259" s="11">
        <f>IFERROR(INDEX(Roles!$B$17:$B$20,MATCH(J259,Roles!$A$17:$A$20,0)),1)</f>
        <v/>
      </c>
      <c r="L259" s="17" t="n">
        <v>1</v>
      </c>
      <c r="M259" s="11" t="n">
        <v>1</v>
      </c>
      <c r="N259" s="17" t="n"/>
      <c r="O259" s="17" t="n"/>
      <c r="P259" s="17" t="n"/>
      <c r="Q259" s="17" t="n"/>
      <c r="R259" s="17" t="n"/>
      <c r="S259" s="17" t="n"/>
      <c r="T259" s="17" t="n"/>
      <c r="U259" s="17" t="n"/>
      <c r="V259" s="17" t="n"/>
      <c r="W259" s="17" t="n"/>
      <c r="X259" s="17" t="n"/>
      <c r="Y259" s="17" t="n">
        <v>1</v>
      </c>
      <c r="Z259" s="13">
        <f>SUMPRODUCT(N259:Y259,$N$2:$Y$2)*$K259*$L259*$M259</f>
        <v/>
      </c>
      <c r="AA259" s="14">
        <f>SUM(N259:Y259)</f>
        <v/>
      </c>
      <c r="AB259" s="14">
        <f>IFERROR(IF(UPPER($E259)="L",SUMPRODUCT(N259:Y259,$N$3:$Y$3,$N$2:$Y$2),SUMPRODUCT(N259:Y259,$N$4:$Y$4,$N$2:$Y$2))/(Z259/($K259*$L259*$M259)),"")</f>
        <v/>
      </c>
      <c r="AC259" s="18" t="n"/>
    </row>
    <row r="260">
      <c r="A260" s="9" t="n">
        <v>613564</v>
      </c>
      <c r="B260" s="9" t="inlineStr">
        <is>
          <t>Jason Vosler</t>
        </is>
      </c>
      <c r="C260" s="9" t="inlineStr">
        <is>
          <t>SEA</t>
        </is>
      </c>
      <c r="D260" s="9" t="n">
        <v>33</v>
      </c>
      <c r="E260" s="16" t="inlineStr">
        <is>
          <t>L</t>
        </is>
      </c>
      <c r="F260" s="16" t="inlineStr">
        <is>
          <t>1B</t>
        </is>
      </c>
      <c r="G260" s="9" t="n">
        <v>30</v>
      </c>
      <c r="H260" s="9" t="n">
        <v>206</v>
      </c>
      <c r="I260" s="9" t="inlineStr">
        <is>
          <t>Depth (no MLB PA)</t>
        </is>
      </c>
      <c r="J260" s="16" t="inlineStr">
        <is>
          <t>Opening Day</t>
        </is>
      </c>
      <c r="K260" s="11">
        <f>IFERROR(INDEX(Roles!$B$17:$B$20,MATCH(J260,Roles!$A$17:$A$20,0)),1)</f>
        <v/>
      </c>
      <c r="L260" s="17" t="n">
        <v>1</v>
      </c>
      <c r="M260" s="11" t="n">
        <v>1</v>
      </c>
      <c r="N260" s="17" t="n"/>
      <c r="O260" s="17" t="n"/>
      <c r="P260" s="17" t="n"/>
      <c r="Q260" s="17" t="n"/>
      <c r="R260" s="17" t="n"/>
      <c r="S260" s="17" t="n"/>
      <c r="T260" s="17" t="n"/>
      <c r="U260" s="17" t="n"/>
      <c r="V260" s="17" t="n"/>
      <c r="W260" s="17" t="n"/>
      <c r="X260" s="17" t="n"/>
      <c r="Y260" s="17" t="n">
        <v>1</v>
      </c>
      <c r="Z260" s="13">
        <f>SUMPRODUCT(N260:Y260,$N$2:$Y$2)*$K260*$L260*$M260</f>
        <v/>
      </c>
      <c r="AA260" s="14">
        <f>SUM(N260:Y260)</f>
        <v/>
      </c>
      <c r="AB260" s="14">
        <f>IFERROR(IF(UPPER($E260)="L",SUMPRODUCT(N260:Y260,$N$3:$Y$3,$N$2:$Y$2),SUMPRODUCT(N260:Y260,$N$4:$Y$4,$N$2:$Y$2))/(Z260/($K260*$L260*$M260)),"")</f>
        <v/>
      </c>
      <c r="AC260" s="18" t="n"/>
    </row>
    <row r="261">
      <c r="A261" s="9" t="n">
        <v>595777</v>
      </c>
      <c r="B261" s="9" t="inlineStr">
        <is>
          <t>Jurickson Profar</t>
        </is>
      </c>
      <c r="C261" s="9" t="inlineStr">
        <is>
          <t>ATL</t>
        </is>
      </c>
      <c r="D261" s="9" t="n">
        <v>34</v>
      </c>
      <c r="E261" s="16" t="inlineStr">
        <is>
          <t>S</t>
        </is>
      </c>
      <c r="F261" s="16" t="inlineStr">
        <is>
          <t>LF</t>
        </is>
      </c>
      <c r="G261" s="9" t="n">
        <v>371</v>
      </c>
      <c r="H261" s="9" t="n">
        <v>2218</v>
      </c>
      <c r="I261" s="9" t="inlineStr">
        <is>
          <t>Full Time</t>
        </is>
      </c>
      <c r="J261" s="16" t="inlineStr">
        <is>
          <t>Opening Day</t>
        </is>
      </c>
      <c r="K261" s="11">
        <f>IFERROR(INDEX(Roles!$B$17:$B$20,MATCH(J261,Roles!$A$17:$A$20,0)),1)</f>
        <v/>
      </c>
      <c r="L261" s="17" t="n">
        <v>1</v>
      </c>
      <c r="M261" s="11" t="n">
        <v>0.9197666838421312</v>
      </c>
      <c r="N261" s="17" t="n">
        <v>1</v>
      </c>
      <c r="O261" s="17" t="n"/>
      <c r="P261" s="17" t="n"/>
      <c r="Q261" s="17" t="n"/>
      <c r="R261" s="17" t="n"/>
      <c r="S261" s="17" t="n"/>
      <c r="T261" s="17" t="n"/>
      <c r="U261" s="17" t="n"/>
      <c r="V261" s="17" t="n"/>
      <c r="W261" s="17" t="n"/>
      <c r="X261" s="17" t="n"/>
      <c r="Y261" s="17" t="n"/>
      <c r="Z261" s="13">
        <f>SUMPRODUCT(N261:Y261,$N$2:$Y$2)*$K261*$L261*$M261</f>
        <v/>
      </c>
      <c r="AA261" s="14">
        <f>SUM(N261:Y261)</f>
        <v/>
      </c>
      <c r="AB261" s="14">
        <f>IFERROR(IF(UPPER($E261)="L",SUMPRODUCT(N261:Y261,$N$3:$Y$3,$N$2:$Y$2),SUMPRODUCT(N261:Y261,$N$4:$Y$4,$N$2:$Y$2))/(Z261/($K261*$L261*$M261)),"")</f>
        <v/>
      </c>
      <c r="AC261" s="18" t="n"/>
    </row>
    <row r="262">
      <c r="A262" s="9" t="n">
        <v>669360</v>
      </c>
      <c r="B262" s="9" t="inlineStr">
        <is>
          <t>Trei Cruz</t>
        </is>
      </c>
      <c r="C262" s="9" t="inlineStr">
        <is>
          <t>DET</t>
        </is>
      </c>
      <c r="D262" s="9" t="n">
        <v>28</v>
      </c>
      <c r="E262" s="16" t="inlineStr">
        <is>
          <t>S</t>
        </is>
      </c>
      <c r="F262" s="16" t="inlineStr">
        <is>
          <t>LF</t>
        </is>
      </c>
      <c r="G262" s="9" t="n">
        <v>5</v>
      </c>
      <c r="H262" s="9" t="n">
        <v>5</v>
      </c>
      <c r="I262" s="9" t="inlineStr">
        <is>
          <t>Depth (no MLB PA)</t>
        </is>
      </c>
      <c r="J262" s="16" t="inlineStr">
        <is>
          <t>Opening Day</t>
        </is>
      </c>
      <c r="K262" s="11">
        <f>IFERROR(INDEX(Roles!$B$17:$B$20,MATCH(J262,Roles!$A$17:$A$20,0)),1)</f>
        <v/>
      </c>
      <c r="L262" s="17" t="n">
        <v>1</v>
      </c>
      <c r="M262" s="11" t="n">
        <v>1</v>
      </c>
      <c r="N262" s="17" t="n"/>
      <c r="O262" s="17" t="n"/>
      <c r="P262" s="17" t="n"/>
      <c r="Q262" s="17" t="n"/>
      <c r="R262" s="17" t="n"/>
      <c r="S262" s="17" t="n"/>
      <c r="T262" s="17" t="n"/>
      <c r="U262" s="17" t="n"/>
      <c r="V262" s="17" t="n"/>
      <c r="W262" s="17" t="n"/>
      <c r="X262" s="17" t="n"/>
      <c r="Y262" s="17" t="n">
        <v>1</v>
      </c>
      <c r="Z262" s="13">
        <f>SUMPRODUCT(N262:Y262,$N$2:$Y$2)*$K262*$L262*$M262</f>
        <v/>
      </c>
      <c r="AA262" s="14">
        <f>SUM(N262:Y262)</f>
        <v/>
      </c>
      <c r="AB262" s="14">
        <f>IFERROR(IF(UPPER($E262)="L",SUMPRODUCT(N262:Y262,$N$3:$Y$3,$N$2:$Y$2),SUMPRODUCT(N262:Y262,$N$4:$Y$4,$N$2:$Y$2))/(Z262/($K262*$L262*$M262)),"")</f>
        <v/>
      </c>
      <c r="AC262" s="18" t="n"/>
    </row>
    <row r="263">
      <c r="A263" s="9" t="n">
        <v>681508</v>
      </c>
      <c r="B263" s="9" t="inlineStr">
        <is>
          <t>Mickey Gasper</t>
        </is>
      </c>
      <c r="C263" s="9" t="inlineStr">
        <is>
          <t>BOS</t>
        </is>
      </c>
      <c r="D263" s="9" t="n">
        <v>31</v>
      </c>
      <c r="E263" s="16" t="inlineStr">
        <is>
          <t>S</t>
        </is>
      </c>
      <c r="F263" s="16" t="inlineStr">
        <is>
          <t>C</t>
        </is>
      </c>
      <c r="G263" s="9" t="n">
        <v>225</v>
      </c>
      <c r="H263" s="9" t="n">
        <v>358</v>
      </c>
      <c r="I263" s="9" t="inlineStr">
        <is>
          <t>Bench Bat</t>
        </is>
      </c>
      <c r="J263" s="16" t="inlineStr">
        <is>
          <t>Opening Day</t>
        </is>
      </c>
      <c r="K263" s="11">
        <f>IFERROR(INDEX(Roles!$B$17:$B$20,MATCH(J263,Roles!$A$17:$A$20,0)),1)</f>
        <v/>
      </c>
      <c r="L263" s="17" t="n">
        <v>1</v>
      </c>
      <c r="M263" s="11" t="n">
        <v>1</v>
      </c>
      <c r="N263" s="17" t="n"/>
      <c r="O263" s="17" t="n"/>
      <c r="P263" s="17" t="n"/>
      <c r="Q263" s="17" t="n"/>
      <c r="R263" s="17" t="n"/>
      <c r="S263" s="17" t="n"/>
      <c r="T263" s="17" t="n"/>
      <c r="U263" s="17" t="n"/>
      <c r="V263" s="17" t="n"/>
      <c r="W263" s="17" t="n">
        <v>0.85</v>
      </c>
      <c r="X263" s="17" t="n">
        <v>0.15</v>
      </c>
      <c r="Y263" s="17" t="n"/>
      <c r="Z263" s="13">
        <f>SUMPRODUCT(N263:Y263,$N$2:$Y$2)*$K263*$L263*$M263</f>
        <v/>
      </c>
      <c r="AA263" s="14">
        <f>SUM(N263:Y263)</f>
        <v/>
      </c>
      <c r="AB263" s="14">
        <f>IFERROR(IF(UPPER($E263)="L",SUMPRODUCT(N263:Y263,$N$3:$Y$3,$N$2:$Y$2),SUMPRODUCT(N263:Y263,$N$4:$Y$4,$N$2:$Y$2))/(Z263/($K263*$L263*$M263)),"")</f>
        <v/>
      </c>
      <c r="AC263" s="18" t="n"/>
    </row>
    <row r="264">
      <c r="A264" s="9" t="n">
        <v>669219</v>
      </c>
      <c r="B264" s="9" t="inlineStr">
        <is>
          <t>Je'Von Ward</t>
        </is>
      </c>
      <c r="C264" s="9" t="inlineStr">
        <is>
          <t>TOR</t>
        </is>
      </c>
      <c r="D264" s="9" t="n">
        <v>25</v>
      </c>
      <c r="E264" s="16" t="inlineStr">
        <is>
          <t>L</t>
        </is>
      </c>
      <c r="F264" s="16" t="n"/>
      <c r="G264" s="9" t="n">
        <v>110.5641025641026</v>
      </c>
      <c r="H264" s="9" t="n">
        <v>110.5641025641026</v>
      </c>
      <c r="I264" s="9" t="inlineStr">
        <is>
          <t>Depth (no MLB PA)</t>
        </is>
      </c>
      <c r="J264" s="16" t="inlineStr">
        <is>
          <t>Opening Day</t>
        </is>
      </c>
      <c r="K264" s="11">
        <f>IFERROR(INDEX(Roles!$B$17:$B$20,MATCH(J264,Roles!$A$17:$A$20,0)),1)</f>
        <v/>
      </c>
      <c r="L264" s="17" t="n">
        <v>1</v>
      </c>
      <c r="M264" s="11" t="n">
        <v>1</v>
      </c>
      <c r="N264" s="17" t="n"/>
      <c r="O264" s="17" t="n"/>
      <c r="P264" s="17" t="n"/>
      <c r="Q264" s="17" t="n"/>
      <c r="R264" s="17" t="n"/>
      <c r="S264" s="17" t="n"/>
      <c r="T264" s="17" t="n"/>
      <c r="U264" s="17" t="n"/>
      <c r="V264" s="17" t="n"/>
      <c r="W264" s="17" t="n"/>
      <c r="X264" s="17" t="n"/>
      <c r="Y264" s="17" t="n">
        <v>1</v>
      </c>
      <c r="Z264" s="13">
        <f>SUMPRODUCT(N264:Y264,$N$2:$Y$2)*$K264*$L264*$M264</f>
        <v/>
      </c>
      <c r="AA264" s="14">
        <f>SUM(N264:Y264)</f>
        <v/>
      </c>
      <c r="AB264" s="14">
        <f>IFERROR(IF(UPPER($E264)="L",SUMPRODUCT(N264:Y264,$N$3:$Y$3,$N$2:$Y$2),SUMPRODUCT(N264:Y264,$N$4:$Y$4,$N$2:$Y$2))/(Z264/($K264*$L264*$M264)),"")</f>
        <v/>
      </c>
      <c r="AC264" s="18" t="n"/>
    </row>
    <row r="265">
      <c r="A265" s="9" t="n">
        <v>677951</v>
      </c>
      <c r="B265" s="9" t="inlineStr">
        <is>
          <t>Bobby Witt Jr.</t>
        </is>
      </c>
      <c r="C265" s="9" t="inlineStr">
        <is>
          <t>KC</t>
        </is>
      </c>
      <c r="D265" s="9" t="n">
        <v>27</v>
      </c>
      <c r="E265" s="16" t="inlineStr">
        <is>
          <t>R</t>
        </is>
      </c>
      <c r="F265" s="16" t="inlineStr">
        <is>
          <t>SS</t>
        </is>
      </c>
      <c r="G265" s="9" t="n">
        <v>632</v>
      </c>
      <c r="H265" s="9" t="n">
        <v>3354</v>
      </c>
      <c r="I265" s="9" t="inlineStr">
        <is>
          <t>Full Time</t>
        </is>
      </c>
      <c r="J265" s="16" t="inlineStr">
        <is>
          <t>Opening Day</t>
        </is>
      </c>
      <c r="K265" s="11">
        <f>IFERROR(INDEX(Roles!$B$17:$B$20,MATCH(J265,Roles!$A$17:$A$20,0)),1)</f>
        <v/>
      </c>
      <c r="L265" s="17" t="n">
        <v>1</v>
      </c>
      <c r="M265" s="11" t="n">
        <v>1.145491294244075</v>
      </c>
      <c r="N265" s="17" t="n">
        <v>1</v>
      </c>
      <c r="O265" s="17" t="n"/>
      <c r="P265" s="17" t="n"/>
      <c r="Q265" s="17" t="n"/>
      <c r="R265" s="17" t="n"/>
      <c r="S265" s="17" t="n"/>
      <c r="T265" s="17" t="n"/>
      <c r="U265" s="17" t="n"/>
      <c r="V265" s="17" t="n"/>
      <c r="W265" s="17" t="n"/>
      <c r="X265" s="17" t="n"/>
      <c r="Y265" s="17" t="n"/>
      <c r="Z265" s="13">
        <f>SUMPRODUCT(N265:Y265,$N$2:$Y$2)*$K265*$L265*$M265</f>
        <v/>
      </c>
      <c r="AA265" s="14">
        <f>SUM(N265:Y265)</f>
        <v/>
      </c>
      <c r="AB265" s="14">
        <f>IFERROR(IF(UPPER($E265)="L",SUMPRODUCT(N265:Y265,$N$3:$Y$3,$N$2:$Y$2),SUMPRODUCT(N265:Y265,$N$4:$Y$4,$N$2:$Y$2))/(Z265/($K265*$L265*$M265)),"")</f>
        <v/>
      </c>
      <c r="AC265" s="18" t="n"/>
    </row>
    <row r="266">
      <c r="A266" s="9" t="n">
        <v>701655</v>
      </c>
      <c r="B266" s="9" t="inlineStr">
        <is>
          <t>Reed Trimble</t>
        </is>
      </c>
      <c r="C266" s="9" t="inlineStr">
        <is>
          <t>BAL</t>
        </is>
      </c>
      <c r="D266" s="9" t="n">
        <v>25</v>
      </c>
      <c r="E266" s="16" t="inlineStr">
        <is>
          <t>S</t>
        </is>
      </c>
      <c r="F266" s="16" t="n"/>
      <c r="G266" s="9" t="n">
        <v>34.97435897435898</v>
      </c>
      <c r="H266" s="9" t="n">
        <v>34.97435897435898</v>
      </c>
      <c r="I266" s="9" t="inlineStr">
        <is>
          <t>Depth (no MLB PA)</t>
        </is>
      </c>
      <c r="J266" s="16" t="inlineStr">
        <is>
          <t>Opening Day</t>
        </is>
      </c>
      <c r="K266" s="11">
        <f>IFERROR(INDEX(Roles!$B$17:$B$20,MATCH(J266,Roles!$A$17:$A$20,0)),1)</f>
        <v/>
      </c>
      <c r="L266" s="17" t="n">
        <v>1</v>
      </c>
      <c r="M266" s="11" t="n">
        <v>1</v>
      </c>
      <c r="N266" s="17" t="n"/>
      <c r="O266" s="17" t="n"/>
      <c r="P266" s="17" t="n"/>
      <c r="Q266" s="17" t="n"/>
      <c r="R266" s="17" t="n"/>
      <c r="S266" s="17" t="n"/>
      <c r="T266" s="17" t="n"/>
      <c r="U266" s="17" t="n"/>
      <c r="V266" s="17" t="n"/>
      <c r="W266" s="17" t="n"/>
      <c r="X266" s="17" t="n"/>
      <c r="Y266" s="17" t="n">
        <v>1</v>
      </c>
      <c r="Z266" s="13">
        <f>SUMPRODUCT(N266:Y266,$N$2:$Y$2)*$K266*$L266*$M266</f>
        <v/>
      </c>
      <c r="AA266" s="14">
        <f>SUM(N266:Y266)</f>
        <v/>
      </c>
      <c r="AB266" s="14">
        <f>IFERROR(IF(UPPER($E266)="L",SUMPRODUCT(N266:Y266,$N$3:$Y$3,$N$2:$Y$2),SUMPRODUCT(N266:Y266,$N$4:$Y$4,$N$2:$Y$2))/(Z266/($K266*$L266*$M266)),"")</f>
        <v/>
      </c>
      <c r="AC266" s="18" t="n"/>
    </row>
    <row r="267">
      <c r="A267" s="9" t="n">
        <v>828824</v>
      </c>
      <c r="B267" s="9" t="inlineStr">
        <is>
          <t>Josiah Ragsdale</t>
        </is>
      </c>
      <c r="C267" s="9" t="inlineStr">
        <is>
          <t>STL</t>
        </is>
      </c>
      <c r="D267" s="9" t="n">
        <v>24</v>
      </c>
      <c r="E267" s="16" t="inlineStr">
        <is>
          <t>L</t>
        </is>
      </c>
      <c r="F267" s="16" t="n"/>
      <c r="G267" s="9" t="n">
        <v>91.53846153846152</v>
      </c>
      <c r="H267" s="9" t="n">
        <v>91.53846153846152</v>
      </c>
      <c r="I267" s="9" t="inlineStr">
        <is>
          <t>Depth (no MLB PA)</t>
        </is>
      </c>
      <c r="J267" s="16" t="inlineStr">
        <is>
          <t>Opening Day</t>
        </is>
      </c>
      <c r="K267" s="11">
        <f>IFERROR(INDEX(Roles!$B$17:$B$20,MATCH(J267,Roles!$A$17:$A$20,0)),1)</f>
        <v/>
      </c>
      <c r="L267" s="17" t="n">
        <v>1</v>
      </c>
      <c r="M267" s="11" t="n">
        <v>1</v>
      </c>
      <c r="N267" s="17" t="n"/>
      <c r="O267" s="17" t="n"/>
      <c r="P267" s="17" t="n"/>
      <c r="Q267" s="17" t="n"/>
      <c r="R267" s="17" t="n"/>
      <c r="S267" s="17" t="n"/>
      <c r="T267" s="17" t="n"/>
      <c r="U267" s="17" t="n"/>
      <c r="V267" s="17" t="n"/>
      <c r="W267" s="17" t="n"/>
      <c r="X267" s="17" t="n"/>
      <c r="Y267" s="17" t="n">
        <v>1</v>
      </c>
      <c r="Z267" s="13">
        <f>SUMPRODUCT(N267:Y267,$N$2:$Y$2)*$K267*$L267*$M267</f>
        <v/>
      </c>
      <c r="AA267" s="14">
        <f>SUM(N267:Y267)</f>
        <v/>
      </c>
      <c r="AB267" s="14">
        <f>IFERROR(IF(UPPER($E267)="L",SUMPRODUCT(N267:Y267,$N$3:$Y$3,$N$2:$Y$2),SUMPRODUCT(N267:Y267,$N$4:$Y$4,$N$2:$Y$2))/(Z267/($K267*$L267*$M267)),"")</f>
        <v/>
      </c>
      <c r="AC267" s="18" t="n"/>
    </row>
    <row r="268">
      <c r="A268" s="9" t="n">
        <v>666969</v>
      </c>
      <c r="B268" s="9" t="inlineStr">
        <is>
          <t>Adolis García</t>
        </is>
      </c>
      <c r="C268" s="9" t="inlineStr">
        <is>
          <t>PHI</t>
        </is>
      </c>
      <c r="D268" s="9" t="n">
        <v>34</v>
      </c>
      <c r="E268" s="16" t="inlineStr">
        <is>
          <t>R</t>
        </is>
      </c>
      <c r="F268" s="16" t="inlineStr">
        <is>
          <t>RF</t>
        </is>
      </c>
      <c r="G268" s="9" t="n">
        <v>259</v>
      </c>
      <c r="H268" s="9" t="n">
        <v>2732</v>
      </c>
      <c r="I268" s="9" t="inlineStr">
        <is>
          <t>Full Time</t>
        </is>
      </c>
      <c r="J268" s="16" t="inlineStr">
        <is>
          <t>Opening Day</t>
        </is>
      </c>
      <c r="K268" s="11">
        <f>IFERROR(INDEX(Roles!$B$17:$B$20,MATCH(J268,Roles!$A$17:$A$20,0)),1)</f>
        <v/>
      </c>
      <c r="L268" s="17" t="n">
        <v>1</v>
      </c>
      <c r="M268" s="11" t="n">
        <v>0.903254333780267</v>
      </c>
      <c r="N268" s="17" t="n">
        <v>1</v>
      </c>
      <c r="O268" s="17" t="n"/>
      <c r="P268" s="17" t="n"/>
      <c r="Q268" s="17" t="n"/>
      <c r="R268" s="17" t="n"/>
      <c r="S268" s="17" t="n"/>
      <c r="T268" s="17" t="n"/>
      <c r="U268" s="17" t="n"/>
      <c r="V268" s="17" t="n"/>
      <c r="W268" s="17" t="n"/>
      <c r="X268" s="17" t="n"/>
      <c r="Y268" s="17" t="n"/>
      <c r="Z268" s="13">
        <f>SUMPRODUCT(N268:Y268,$N$2:$Y$2)*$K268*$L268*$M268</f>
        <v/>
      </c>
      <c r="AA268" s="14">
        <f>SUM(N268:Y268)</f>
        <v/>
      </c>
      <c r="AB268" s="14">
        <f>IFERROR(IF(UPPER($E268)="L",SUMPRODUCT(N268:Y268,$N$3:$Y$3,$N$2:$Y$2),SUMPRODUCT(N268:Y268,$N$4:$Y$4,$N$2:$Y$2))/(Z268/($K268*$L268*$M268)),"")</f>
        <v/>
      </c>
      <c r="AC268" s="18" t="n"/>
    </row>
    <row r="269">
      <c r="A269" s="9" t="n">
        <v>676466</v>
      </c>
      <c r="B269" s="9" t="inlineStr">
        <is>
          <t>Jack Winkler</t>
        </is>
      </c>
      <c r="C269" s="9" t="inlineStr">
        <is>
          <t>MIA</t>
        </is>
      </c>
      <c r="D269" s="9" t="n">
        <v>28</v>
      </c>
      <c r="E269" s="16" t="inlineStr">
        <is>
          <t>R</t>
        </is>
      </c>
      <c r="F269" s="16" t="inlineStr">
        <is>
          <t>2B</t>
        </is>
      </c>
      <c r="G269" s="9" t="n">
        <v>16</v>
      </c>
      <c r="H269" s="9" t="n">
        <v>16</v>
      </c>
      <c r="I269" s="9" t="inlineStr">
        <is>
          <t>Depth (no MLB PA)</t>
        </is>
      </c>
      <c r="J269" s="16" t="inlineStr">
        <is>
          <t>Opening Day</t>
        </is>
      </c>
      <c r="K269" s="11">
        <f>IFERROR(INDEX(Roles!$B$17:$B$20,MATCH(J269,Roles!$A$17:$A$20,0)),1)</f>
        <v/>
      </c>
      <c r="L269" s="17" t="n">
        <v>1</v>
      </c>
      <c r="M269" s="11" t="n">
        <v>1</v>
      </c>
      <c r="N269" s="17" t="n"/>
      <c r="O269" s="17" t="n"/>
      <c r="P269" s="17" t="n"/>
      <c r="Q269" s="17" t="n"/>
      <c r="R269" s="17" t="n"/>
      <c r="S269" s="17" t="n"/>
      <c r="T269" s="17" t="n"/>
      <c r="U269" s="17" t="n"/>
      <c r="V269" s="17" t="n"/>
      <c r="W269" s="17" t="n"/>
      <c r="X269" s="17" t="n"/>
      <c r="Y269" s="17" t="n">
        <v>1</v>
      </c>
      <c r="Z269" s="13">
        <f>SUMPRODUCT(N269:Y269,$N$2:$Y$2)*$K269*$L269*$M269</f>
        <v/>
      </c>
      <c r="AA269" s="14">
        <f>SUM(N269:Y269)</f>
        <v/>
      </c>
      <c r="AB269" s="14">
        <f>IFERROR(IF(UPPER($E269)="L",SUMPRODUCT(N269:Y269,$N$3:$Y$3,$N$2:$Y$2),SUMPRODUCT(N269:Y269,$N$4:$Y$4,$N$2:$Y$2))/(Z269/($K269*$L269*$M269)),"")</f>
        <v/>
      </c>
      <c r="AC269" s="18" t="n"/>
    </row>
    <row r="270">
      <c r="A270" s="9" t="n">
        <v>825761</v>
      </c>
      <c r="B270" s="9" t="inlineStr">
        <is>
          <t>Ryan Cesarini</t>
        </is>
      </c>
      <c r="C270" s="9" t="inlineStr">
        <is>
          <t>CLE</t>
        </is>
      </c>
      <c r="D270" s="9" t="n">
        <v>25</v>
      </c>
      <c r="E270" s="16" t="inlineStr">
        <is>
          <t>L</t>
        </is>
      </c>
      <c r="F270" s="16" t="n"/>
      <c r="G270" s="9" t="n">
        <v>63.53846153846154</v>
      </c>
      <c r="H270" s="9" t="n">
        <v>63.53846153846154</v>
      </c>
      <c r="I270" s="9" t="inlineStr">
        <is>
          <t>Depth (no MLB PA)</t>
        </is>
      </c>
      <c r="J270" s="16" t="inlineStr">
        <is>
          <t>Opening Day</t>
        </is>
      </c>
      <c r="K270" s="11">
        <f>IFERROR(INDEX(Roles!$B$17:$B$20,MATCH(J270,Roles!$A$17:$A$20,0)),1)</f>
        <v/>
      </c>
      <c r="L270" s="17" t="n">
        <v>1</v>
      </c>
      <c r="M270" s="11" t="n">
        <v>1</v>
      </c>
      <c r="N270" s="17" t="n"/>
      <c r="O270" s="17" t="n"/>
      <c r="P270" s="17" t="n"/>
      <c r="Q270" s="17" t="n"/>
      <c r="R270" s="17" t="n"/>
      <c r="S270" s="17" t="n"/>
      <c r="T270" s="17" t="n"/>
      <c r="U270" s="17" t="n"/>
      <c r="V270" s="17" t="n"/>
      <c r="W270" s="17" t="n"/>
      <c r="X270" s="17" t="n"/>
      <c r="Y270" s="17" t="n">
        <v>1</v>
      </c>
      <c r="Z270" s="13">
        <f>SUMPRODUCT(N270:Y270,$N$2:$Y$2)*$K270*$L270*$M270</f>
        <v/>
      </c>
      <c r="AA270" s="14">
        <f>SUM(N270:Y270)</f>
        <v/>
      </c>
      <c r="AB270" s="14">
        <f>IFERROR(IF(UPPER($E270)="L",SUMPRODUCT(N270:Y270,$N$3:$Y$3,$N$2:$Y$2),SUMPRODUCT(N270:Y270,$N$4:$Y$4,$N$2:$Y$2))/(Z270/($K270*$L270*$M270)),"")</f>
        <v/>
      </c>
      <c r="AC270" s="18" t="n"/>
    </row>
    <row r="271">
      <c r="A271" s="9" t="n">
        <v>683357</v>
      </c>
      <c r="B271" s="9" t="inlineStr">
        <is>
          <t>Owen Caissie</t>
        </is>
      </c>
      <c r="C271" s="9" t="inlineStr">
        <is>
          <t>MIA</t>
        </is>
      </c>
      <c r="D271" s="9" t="n">
        <v>24</v>
      </c>
      <c r="E271" s="16" t="inlineStr">
        <is>
          <t>L</t>
        </is>
      </c>
      <c r="F271" s="16" t="inlineStr">
        <is>
          <t>RF</t>
        </is>
      </c>
      <c r="G271" s="9" t="n">
        <v>330</v>
      </c>
      <c r="H271" s="9" t="n">
        <v>357</v>
      </c>
      <c r="I271" s="9" t="inlineStr">
        <is>
          <t>Bench Bat</t>
        </is>
      </c>
      <c r="J271" s="16" t="inlineStr">
        <is>
          <t>Opening Day</t>
        </is>
      </c>
      <c r="K271" s="11">
        <f>IFERROR(INDEX(Roles!$B$17:$B$20,MATCH(J271,Roles!$A$17:$A$20,0)),1)</f>
        <v/>
      </c>
      <c r="L271" s="17" t="n">
        <v>1</v>
      </c>
      <c r="M271" s="11" t="n">
        <v>0.8930829928840874</v>
      </c>
      <c r="N271" s="17" t="n">
        <v>0.4</v>
      </c>
      <c r="O271" s="17" t="n"/>
      <c r="P271" s="17" t="n"/>
      <c r="Q271" s="17" t="n"/>
      <c r="R271" s="17" t="n"/>
      <c r="S271" s="17" t="n"/>
      <c r="T271" s="17" t="n"/>
      <c r="U271" s="17" t="n"/>
      <c r="V271" s="17" t="n"/>
      <c r="W271" s="17" t="n">
        <v>0.6</v>
      </c>
      <c r="X271" s="17" t="n"/>
      <c r="Y271" s="17" t="n"/>
      <c r="Z271" s="13">
        <f>SUMPRODUCT(N271:Y271,$N$2:$Y$2)*$K271*$L271*$M271</f>
        <v/>
      </c>
      <c r="AA271" s="14">
        <f>SUM(N271:Y271)</f>
        <v/>
      </c>
      <c r="AB271" s="14">
        <f>IFERROR(IF(UPPER($E271)="L",SUMPRODUCT(N271:Y271,$N$3:$Y$3,$N$2:$Y$2),SUMPRODUCT(N271:Y271,$N$4:$Y$4,$N$2:$Y$2))/(Z271/($K271*$L271*$M271)),"")</f>
        <v/>
      </c>
      <c r="AC271" s="18" t="n"/>
    </row>
    <row r="272">
      <c r="A272" s="9" t="n">
        <v>681230</v>
      </c>
      <c r="B272" s="9" t="inlineStr">
        <is>
          <t>BJ Murray Jr.</t>
        </is>
      </c>
      <c r="C272" s="9" t="inlineStr">
        <is>
          <t>CHC</t>
        </is>
      </c>
      <c r="D272" s="9" t="n">
        <v>27</v>
      </c>
      <c r="E272" s="16" t="inlineStr">
        <is>
          <t>S</t>
        </is>
      </c>
      <c r="F272" s="16" t="inlineStr">
        <is>
          <t>1B</t>
        </is>
      </c>
      <c r="G272" s="9" t="n">
        <v>11</v>
      </c>
      <c r="H272" s="9" t="n">
        <v>11</v>
      </c>
      <c r="I272" s="9" t="inlineStr">
        <is>
          <t>Depth (no MLB PA)</t>
        </is>
      </c>
      <c r="J272" s="16" t="inlineStr">
        <is>
          <t>Opening Day</t>
        </is>
      </c>
      <c r="K272" s="11">
        <f>IFERROR(INDEX(Roles!$B$17:$B$20,MATCH(J272,Roles!$A$17:$A$20,0)),1)</f>
        <v/>
      </c>
      <c r="L272" s="17" t="n">
        <v>1</v>
      </c>
      <c r="M272" s="11" t="n">
        <v>1</v>
      </c>
      <c r="N272" s="17" t="n"/>
      <c r="O272" s="17" t="n"/>
      <c r="P272" s="17" t="n"/>
      <c r="Q272" s="17" t="n"/>
      <c r="R272" s="17" t="n"/>
      <c r="S272" s="17" t="n"/>
      <c r="T272" s="17" t="n"/>
      <c r="U272" s="17" t="n"/>
      <c r="V272" s="17" t="n"/>
      <c r="W272" s="17" t="n"/>
      <c r="X272" s="17" t="n"/>
      <c r="Y272" s="17" t="n">
        <v>1</v>
      </c>
      <c r="Z272" s="13">
        <f>SUMPRODUCT(N272:Y272,$N$2:$Y$2)*$K272*$L272*$M272</f>
        <v/>
      </c>
      <c r="AA272" s="14">
        <f>SUM(N272:Y272)</f>
        <v/>
      </c>
      <c r="AB272" s="14">
        <f>IFERROR(IF(UPPER($E272)="L",SUMPRODUCT(N272:Y272,$N$3:$Y$3,$N$2:$Y$2),SUMPRODUCT(N272:Y272,$N$4:$Y$4,$N$2:$Y$2))/(Z272/($K272*$L272*$M272)),"")</f>
        <v/>
      </c>
      <c r="AC272" s="18" t="n"/>
    </row>
    <row r="273">
      <c r="A273" s="9" t="n">
        <v>703637</v>
      </c>
      <c r="B273" s="9" t="inlineStr">
        <is>
          <t>Max Williams</t>
        </is>
      </c>
      <c r="C273" s="9" t="inlineStr">
        <is>
          <t>MIA</t>
        </is>
      </c>
      <c r="D273" s="9" t="n">
        <v>23</v>
      </c>
      <c r="E273" s="16" t="inlineStr">
        <is>
          <t>L</t>
        </is>
      </c>
      <c r="F273" s="16" t="n"/>
      <c r="G273" s="9" t="n">
        <v>13.64102564102564</v>
      </c>
      <c r="H273" s="9" t="n">
        <v>13.64102564102564</v>
      </c>
      <c r="I273" s="9" t="inlineStr">
        <is>
          <t>Depth (no MLB PA)</t>
        </is>
      </c>
      <c r="J273" s="16" t="inlineStr">
        <is>
          <t>Opening Day</t>
        </is>
      </c>
      <c r="K273" s="11">
        <f>IFERROR(INDEX(Roles!$B$17:$B$20,MATCH(J273,Roles!$A$17:$A$20,0)),1)</f>
        <v/>
      </c>
      <c r="L273" s="17" t="n">
        <v>1</v>
      </c>
      <c r="M273" s="11" t="n">
        <v>1</v>
      </c>
      <c r="N273" s="17" t="n"/>
      <c r="O273" s="17" t="n"/>
      <c r="P273" s="17" t="n"/>
      <c r="Q273" s="17" t="n"/>
      <c r="R273" s="17" t="n"/>
      <c r="S273" s="17" t="n"/>
      <c r="T273" s="17" t="n"/>
      <c r="U273" s="17" t="n"/>
      <c r="V273" s="17" t="n"/>
      <c r="W273" s="17" t="n"/>
      <c r="X273" s="17" t="n"/>
      <c r="Y273" s="17" t="n">
        <v>1</v>
      </c>
      <c r="Z273" s="13">
        <f>SUMPRODUCT(N273:Y273,$N$2:$Y$2)*$K273*$L273*$M273</f>
        <v/>
      </c>
      <c r="AA273" s="14">
        <f>SUM(N273:Y273)</f>
        <v/>
      </c>
      <c r="AB273" s="14">
        <f>IFERROR(IF(UPPER($E273)="L",SUMPRODUCT(N273:Y273,$N$3:$Y$3,$N$2:$Y$2),SUMPRODUCT(N273:Y273,$N$4:$Y$4,$N$2:$Y$2))/(Z273/($K273*$L273*$M273)),"")</f>
        <v/>
      </c>
      <c r="AC273" s="18" t="n"/>
    </row>
    <row r="274">
      <c r="A274" s="9" t="n">
        <v>696486</v>
      </c>
      <c r="B274" s="9" t="inlineStr">
        <is>
          <t>James Tibbs III</t>
        </is>
      </c>
      <c r="C274" s="9" t="inlineStr">
        <is>
          <t>LAD</t>
        </is>
      </c>
      <c r="D274" s="9" t="n">
        <v>25</v>
      </c>
      <c r="E274" s="16" t="inlineStr">
        <is>
          <t>L</t>
        </is>
      </c>
      <c r="F274" s="16" t="n"/>
      <c r="G274" s="9" t="n">
        <v>355.948717948718</v>
      </c>
      <c r="H274" s="9" t="n">
        <v>355.948717948718</v>
      </c>
      <c r="I274" s="9" t="inlineStr">
        <is>
          <t>Bench Bat</t>
        </is>
      </c>
      <c r="J274" s="16" t="inlineStr">
        <is>
          <t>Mid Season (~July)</t>
        </is>
      </c>
      <c r="K274" s="11">
        <f>IFERROR(INDEX(Roles!$B$17:$B$20,MATCH(J274,Roles!$A$17:$A$20,0)),1)</f>
        <v/>
      </c>
      <c r="L274" s="17" t="n">
        <v>1</v>
      </c>
      <c r="M274" s="11" t="n">
        <v>1</v>
      </c>
      <c r="N274" s="17" t="n"/>
      <c r="O274" s="17" t="n"/>
      <c r="P274" s="17" t="n">
        <v>0.35</v>
      </c>
      <c r="Q274" s="17" t="n"/>
      <c r="R274" s="17" t="n"/>
      <c r="S274" s="17" t="n"/>
      <c r="T274" s="17" t="n"/>
      <c r="U274" s="17" t="n"/>
      <c r="V274" s="17" t="n"/>
      <c r="W274" s="17" t="n">
        <v>0.45</v>
      </c>
      <c r="X274" s="17" t="n">
        <v>0.2</v>
      </c>
      <c r="Y274" s="17" t="n"/>
      <c r="Z274" s="13">
        <f>SUMPRODUCT(N274:Y274,$N$2:$Y$2)*$K274*$L274*$M274</f>
        <v/>
      </c>
      <c r="AA274" s="14">
        <f>SUM(N274:Y274)</f>
        <v/>
      </c>
      <c r="AB274" s="14">
        <f>IFERROR(IF(UPPER($E274)="L",SUMPRODUCT(N274:Y274,$N$3:$Y$3,$N$2:$Y$2),SUMPRODUCT(N274:Y274,$N$4:$Y$4,$N$2:$Y$2))/(Z274/($K274*$L274*$M274)),"")</f>
        <v/>
      </c>
      <c r="AC274" s="18" t="n"/>
    </row>
    <row r="275">
      <c r="A275" s="9" t="n">
        <v>502110</v>
      </c>
      <c r="B275" s="9" t="inlineStr">
        <is>
          <t>J.D. Martinez</t>
        </is>
      </c>
      <c r="C275" s="9" t="inlineStr">
        <is>
          <t>NYM</t>
        </is>
      </c>
      <c r="D275" s="9" t="n">
        <v>39</v>
      </c>
      <c r="E275" s="16" t="inlineStr">
        <is>
          <t>R</t>
        </is>
      </c>
      <c r="F275" s="16" t="inlineStr">
        <is>
          <t>LF</t>
        </is>
      </c>
      <c r="G275" s="9" t="n">
        <v>495</v>
      </c>
      <c r="H275" s="9" t="n">
        <v>1570</v>
      </c>
      <c r="I275" s="9" t="inlineStr">
        <is>
          <t>Depth (no MLB PA)</t>
        </is>
      </c>
      <c r="J275" s="16" t="inlineStr">
        <is>
          <t>Opening Day</t>
        </is>
      </c>
      <c r="K275" s="11">
        <f>IFERROR(INDEX(Roles!$B$17:$B$20,MATCH(J275,Roles!$A$17:$A$20,0)),1)</f>
        <v/>
      </c>
      <c r="L275" s="17" t="n">
        <v>1</v>
      </c>
      <c r="M275" s="11" t="n">
        <v>1.15</v>
      </c>
      <c r="N275" s="17" t="n"/>
      <c r="O275" s="17" t="n"/>
      <c r="P275" s="17" t="n"/>
      <c r="Q275" s="17" t="n"/>
      <c r="R275" s="17" t="n"/>
      <c r="S275" s="17" t="n"/>
      <c r="T275" s="17" t="n"/>
      <c r="U275" s="17" t="n"/>
      <c r="V275" s="17" t="n"/>
      <c r="W275" s="17" t="n"/>
      <c r="X275" s="17" t="n"/>
      <c r="Y275" s="17" t="n">
        <v>1</v>
      </c>
      <c r="Z275" s="13">
        <f>SUMPRODUCT(N275:Y275,$N$2:$Y$2)*$K275*$L275*$M275</f>
        <v/>
      </c>
      <c r="AA275" s="14">
        <f>SUM(N275:Y275)</f>
        <v/>
      </c>
      <c r="AB275" s="14">
        <f>IFERROR(IF(UPPER($E275)="L",SUMPRODUCT(N275:Y275,$N$3:$Y$3,$N$2:$Y$2),SUMPRODUCT(N275:Y275,$N$4:$Y$4,$N$2:$Y$2))/(Z275/($K275*$L275*$M275)),"")</f>
        <v/>
      </c>
      <c r="AC275" s="18" t="n"/>
    </row>
    <row r="276">
      <c r="A276" s="9" t="n">
        <v>681624</v>
      </c>
      <c r="B276" s="9" t="inlineStr">
        <is>
          <t>Andy Pages</t>
        </is>
      </c>
      <c r="C276" s="9" t="inlineStr">
        <is>
          <t>LAD</t>
        </is>
      </c>
      <c r="D276" s="9" t="n">
        <v>26</v>
      </c>
      <c r="E276" s="16" t="inlineStr">
        <is>
          <t>R</t>
        </is>
      </c>
      <c r="F276" s="16" t="inlineStr">
        <is>
          <t>CF</t>
        </is>
      </c>
      <c r="G276" s="9" t="n">
        <v>574</v>
      </c>
      <c r="H276" s="9" t="n">
        <v>1641</v>
      </c>
      <c r="I276" s="9" t="inlineStr">
        <is>
          <t>Full Time</t>
        </is>
      </c>
      <c r="J276" s="16" t="inlineStr">
        <is>
          <t>Opening Day</t>
        </is>
      </c>
      <c r="K276" s="11">
        <f>IFERROR(INDEX(Roles!$B$17:$B$20,MATCH(J276,Roles!$A$17:$A$20,0)),1)</f>
        <v/>
      </c>
      <c r="L276" s="17" t="n">
        <v>1</v>
      </c>
      <c r="M276" s="11" t="n">
        <v>1.102993581882004</v>
      </c>
      <c r="N276" s="17" t="n">
        <v>0.7</v>
      </c>
      <c r="O276" s="17" t="n"/>
      <c r="P276" s="17" t="n">
        <v>0.3</v>
      </c>
      <c r="Q276" s="17" t="n"/>
      <c r="R276" s="17" t="n"/>
      <c r="S276" s="17" t="n"/>
      <c r="T276" s="17" t="n"/>
      <c r="U276" s="17" t="n"/>
      <c r="V276" s="17" t="n"/>
      <c r="W276" s="17" t="n"/>
      <c r="X276" s="17" t="n"/>
      <c r="Y276" s="17" t="n"/>
      <c r="Z276" s="13">
        <f>SUMPRODUCT(N276:Y276,$N$2:$Y$2)*$K276*$L276*$M276</f>
        <v/>
      </c>
      <c r="AA276" s="14">
        <f>SUM(N276:Y276)</f>
        <v/>
      </c>
      <c r="AB276" s="14">
        <f>IFERROR(IF(UPPER($E276)="L",SUMPRODUCT(N276:Y276,$N$3:$Y$3,$N$2:$Y$2),SUMPRODUCT(N276:Y276,$N$4:$Y$4,$N$2:$Y$2))/(Z276/($K276*$L276*$M276)),"")</f>
        <v/>
      </c>
      <c r="AC276" s="18" t="n"/>
    </row>
    <row r="277">
      <c r="A277" s="9" t="n">
        <v>662139</v>
      </c>
      <c r="B277" s="9" t="inlineStr">
        <is>
          <t>Daulton Varsho</t>
        </is>
      </c>
      <c r="C277" s="9" t="inlineStr">
        <is>
          <t>HOU</t>
        </is>
      </c>
      <c r="D277" s="9" t="n">
        <v>30</v>
      </c>
      <c r="E277" s="16" t="inlineStr">
        <is>
          <t>L</t>
        </is>
      </c>
      <c r="F277" s="16" t="inlineStr">
        <is>
          <t>CF</t>
        </is>
      </c>
      <c r="G277" s="9" t="n">
        <v>526</v>
      </c>
      <c r="H277" s="9" t="n">
        <v>2483</v>
      </c>
      <c r="I277" s="9" t="inlineStr">
        <is>
          <t>Bench Bat</t>
        </is>
      </c>
      <c r="J277" s="16" t="inlineStr">
        <is>
          <t>Opening Day</t>
        </is>
      </c>
      <c r="K277" s="11">
        <f>IFERROR(INDEX(Roles!$B$17:$B$20,MATCH(J277,Roles!$A$17:$A$20,0)),1)</f>
        <v/>
      </c>
      <c r="L277" s="17" t="n">
        <v>1</v>
      </c>
      <c r="M277" s="11" t="n">
        <v>1.15</v>
      </c>
      <c r="N277" s="17" t="n">
        <v>0.4</v>
      </c>
      <c r="O277" s="17" t="n"/>
      <c r="P277" s="17" t="n"/>
      <c r="Q277" s="17" t="n"/>
      <c r="R277" s="17" t="n"/>
      <c r="S277" s="17" t="n"/>
      <c r="T277" s="17" t="n"/>
      <c r="U277" s="17" t="n"/>
      <c r="V277" s="17" t="n"/>
      <c r="W277" s="17" t="n">
        <v>0.6</v>
      </c>
      <c r="X277" s="17" t="n"/>
      <c r="Y277" s="17" t="n"/>
      <c r="Z277" s="13">
        <f>SUMPRODUCT(N277:Y277,$N$2:$Y$2)*$K277*$L277*$M277</f>
        <v/>
      </c>
      <c r="AA277" s="14">
        <f>SUM(N277:Y277)</f>
        <v/>
      </c>
      <c r="AB277" s="14">
        <f>IFERROR(IF(UPPER($E277)="L",SUMPRODUCT(N277:Y277,$N$3:$Y$3,$N$2:$Y$2),SUMPRODUCT(N277:Y277,$N$4:$Y$4,$N$2:$Y$2))/(Z277/($K277*$L277*$M277)),"")</f>
        <v/>
      </c>
      <c r="AC277" s="18" t="n"/>
    </row>
    <row r="278">
      <c r="A278" s="9" t="n">
        <v>687221</v>
      </c>
      <c r="B278" s="9" t="inlineStr">
        <is>
          <t>Dalton Rushing</t>
        </is>
      </c>
      <c r="C278" s="9" t="inlineStr">
        <is>
          <t>LAD</t>
        </is>
      </c>
      <c r="D278" s="9" t="n">
        <v>26</v>
      </c>
      <c r="E278" s="16" t="inlineStr">
        <is>
          <t>L</t>
        </is>
      </c>
      <c r="F278" s="16" t="inlineStr">
        <is>
          <t>C</t>
        </is>
      </c>
      <c r="G278" s="9" t="n">
        <v>253</v>
      </c>
      <c r="H278" s="9" t="n">
        <v>408</v>
      </c>
      <c r="I278" s="9" t="inlineStr">
        <is>
          <t>Bench Bat</t>
        </is>
      </c>
      <c r="J278" s="16" t="inlineStr">
        <is>
          <t>Opening Day</t>
        </is>
      </c>
      <c r="K278" s="11">
        <f>IFERROR(INDEX(Roles!$B$17:$B$20,MATCH(J278,Roles!$A$17:$A$20,0)),1)</f>
        <v/>
      </c>
      <c r="L278" s="17" t="n">
        <v>1</v>
      </c>
      <c r="M278" s="11" t="n">
        <v>1</v>
      </c>
      <c r="N278" s="17" t="n"/>
      <c r="O278" s="17" t="n"/>
      <c r="P278" s="17" t="n"/>
      <c r="Q278" s="17" t="n"/>
      <c r="R278" s="17" t="n"/>
      <c r="S278" s="17" t="n"/>
      <c r="T278" s="17" t="n"/>
      <c r="U278" s="17" t="n"/>
      <c r="V278" s="17" t="n"/>
      <c r="W278" s="17" t="n">
        <v>0.7</v>
      </c>
      <c r="X278" s="17" t="n">
        <v>0.3</v>
      </c>
      <c r="Y278" s="17" t="n"/>
      <c r="Z278" s="13">
        <f>SUMPRODUCT(N278:Y278,$N$2:$Y$2)*$K278*$L278*$M278</f>
        <v/>
      </c>
      <c r="AA278" s="14">
        <f>SUM(N278:Y278)</f>
        <v/>
      </c>
      <c r="AB278" s="14">
        <f>IFERROR(IF(UPPER($E278)="L",SUMPRODUCT(N278:Y278,$N$3:$Y$3,$N$2:$Y$2),SUMPRODUCT(N278:Y278,$N$4:$Y$4,$N$2:$Y$2))/(Z278/($K278*$L278*$M278)),"")</f>
        <v/>
      </c>
      <c r="AC278" s="18" t="n"/>
    </row>
    <row r="279">
      <c r="A279" s="9" t="n">
        <v>672820</v>
      </c>
      <c r="B279" s="9" t="inlineStr">
        <is>
          <t>Lenyn Sosa</t>
        </is>
      </c>
      <c r="C279" s="9" t="inlineStr">
        <is>
          <t>TOR</t>
        </is>
      </c>
      <c r="D279" s="9" t="n">
        <v>27</v>
      </c>
      <c r="E279" s="16" t="inlineStr">
        <is>
          <t>R</t>
        </is>
      </c>
      <c r="F279" s="16" t="inlineStr">
        <is>
          <t>2B</t>
        </is>
      </c>
      <c r="G279" s="9" t="n">
        <v>117</v>
      </c>
      <c r="H279" s="9" t="n">
        <v>1239</v>
      </c>
      <c r="I279" s="9" t="inlineStr">
        <is>
          <t>Full Time</t>
        </is>
      </c>
      <c r="J279" s="16" t="inlineStr">
        <is>
          <t>Opening Day</t>
        </is>
      </c>
      <c r="K279" s="11">
        <f>IFERROR(INDEX(Roles!$B$17:$B$20,MATCH(J279,Roles!$A$17:$A$20,0)),1)</f>
        <v/>
      </c>
      <c r="L279" s="17" t="n">
        <v>1</v>
      </c>
      <c r="M279" s="11" t="n">
        <v>0.8148590920671582</v>
      </c>
      <c r="N279" s="17" t="n">
        <v>1</v>
      </c>
      <c r="O279" s="17" t="n"/>
      <c r="P279" s="17" t="n"/>
      <c r="Q279" s="17" t="n"/>
      <c r="R279" s="17" t="n"/>
      <c r="S279" s="17" t="n"/>
      <c r="T279" s="17" t="n"/>
      <c r="U279" s="17" t="n"/>
      <c r="V279" s="17" t="n"/>
      <c r="W279" s="17" t="n"/>
      <c r="X279" s="17" t="n"/>
      <c r="Y279" s="17" t="n"/>
      <c r="Z279" s="13">
        <f>SUMPRODUCT(N279:Y279,$N$2:$Y$2)*$K279*$L279*$M279</f>
        <v/>
      </c>
      <c r="AA279" s="14">
        <f>SUM(N279:Y279)</f>
        <v/>
      </c>
      <c r="AB279" s="14">
        <f>IFERROR(IF(UPPER($E279)="L",SUMPRODUCT(N279:Y279,$N$3:$Y$3,$N$2:$Y$2),SUMPRODUCT(N279:Y279,$N$4:$Y$4,$N$2:$Y$2))/(Z279/($K279*$L279*$M279)),"")</f>
        <v/>
      </c>
      <c r="AC279" s="18" t="n"/>
    </row>
    <row r="280">
      <c r="A280" s="9" t="n">
        <v>608324</v>
      </c>
      <c r="B280" s="9" t="inlineStr">
        <is>
          <t>Alex Bregman</t>
        </is>
      </c>
      <c r="C280" s="9" t="inlineStr">
        <is>
          <t>CHC</t>
        </is>
      </c>
      <c r="D280" s="9" t="n">
        <v>33</v>
      </c>
      <c r="E280" s="16" t="inlineStr">
        <is>
          <t>R</t>
        </is>
      </c>
      <c r="F280" s="16" t="inlineStr">
        <is>
          <t>3B</t>
        </is>
      </c>
      <c r="G280" s="9" t="n">
        <v>702</v>
      </c>
      <c r="H280" s="9" t="n">
        <v>3211</v>
      </c>
      <c r="I280" s="9" t="inlineStr">
        <is>
          <t>Full Time</t>
        </is>
      </c>
      <c r="J280" s="16" t="inlineStr">
        <is>
          <t>Opening Day</t>
        </is>
      </c>
      <c r="K280" s="11">
        <f>IFERROR(INDEX(Roles!$B$17:$B$20,MATCH(J280,Roles!$A$17:$A$20,0)),1)</f>
        <v/>
      </c>
      <c r="L280" s="17" t="n">
        <v>1</v>
      </c>
      <c r="M280" s="11" t="n">
        <v>1.090244268173382</v>
      </c>
      <c r="N280" s="17" t="n">
        <v>1</v>
      </c>
      <c r="O280" s="17" t="n"/>
      <c r="P280" s="17" t="n"/>
      <c r="Q280" s="17" t="n"/>
      <c r="R280" s="17" t="n"/>
      <c r="S280" s="17" t="n"/>
      <c r="T280" s="17" t="n"/>
      <c r="U280" s="17" t="n"/>
      <c r="V280" s="17" t="n"/>
      <c r="W280" s="17" t="n"/>
      <c r="X280" s="17" t="n"/>
      <c r="Y280" s="17" t="n"/>
      <c r="Z280" s="13">
        <f>SUMPRODUCT(N280:Y280,$N$2:$Y$2)*$K280*$L280*$M280</f>
        <v/>
      </c>
      <c r="AA280" s="14">
        <f>SUM(N280:Y280)</f>
        <v/>
      </c>
      <c r="AB280" s="14">
        <f>IFERROR(IF(UPPER($E280)="L",SUMPRODUCT(N280:Y280,$N$3:$Y$3,$N$2:$Y$2),SUMPRODUCT(N280:Y280,$N$4:$Y$4,$N$2:$Y$2))/(Z280/($K280*$L280*$M280)),"")</f>
        <v/>
      </c>
      <c r="AC280" s="18" t="n"/>
    </row>
    <row r="281">
      <c r="A281" s="9" t="n">
        <v>701358</v>
      </c>
      <c r="B281" s="9" t="inlineStr">
        <is>
          <t>Cam Smith</t>
        </is>
      </c>
      <c r="C281" s="9" t="inlineStr">
        <is>
          <t>HOU</t>
        </is>
      </c>
      <c r="D281" s="9" t="n">
        <v>24</v>
      </c>
      <c r="E281" s="16" t="inlineStr">
        <is>
          <t>R</t>
        </is>
      </c>
      <c r="F281" s="16" t="inlineStr">
        <is>
          <t>RF</t>
        </is>
      </c>
      <c r="G281" s="9" t="n">
        <v>568</v>
      </c>
      <c r="H281" s="9" t="n">
        <v>1061</v>
      </c>
      <c r="I281" s="9" t="inlineStr">
        <is>
          <t>Full Time</t>
        </is>
      </c>
      <c r="J281" s="16" t="inlineStr">
        <is>
          <t>Opening Day</t>
        </is>
      </c>
      <c r="K281" s="11">
        <f>IFERROR(INDEX(Roles!$B$17:$B$20,MATCH(J281,Roles!$A$17:$A$20,0)),1)</f>
        <v/>
      </c>
      <c r="L281" s="17" t="n">
        <v>1</v>
      </c>
      <c r="M281" s="11" t="n">
        <v>1.098257075762832</v>
      </c>
      <c r="N281" s="17" t="n">
        <v>0.62</v>
      </c>
      <c r="O281" s="17" t="n"/>
      <c r="P281" s="17" t="n">
        <v>0.38</v>
      </c>
      <c r="Q281" s="17" t="n"/>
      <c r="R281" s="17" t="n"/>
      <c r="S281" s="17" t="n"/>
      <c r="T281" s="17" t="n"/>
      <c r="U281" s="17" t="n"/>
      <c r="V281" s="17" t="n"/>
      <c r="W281" s="17" t="n"/>
      <c r="X281" s="17" t="n"/>
      <c r="Y281" s="17" t="n"/>
      <c r="Z281" s="13">
        <f>SUMPRODUCT(N281:Y281,$N$2:$Y$2)*$K281*$L281*$M281</f>
        <v/>
      </c>
      <c r="AA281" s="14">
        <f>SUM(N281:Y281)</f>
        <v/>
      </c>
      <c r="AB281" s="14">
        <f>IFERROR(IF(UPPER($E281)="L",SUMPRODUCT(N281:Y281,$N$3:$Y$3,$N$2:$Y$2),SUMPRODUCT(N281:Y281,$N$4:$Y$4,$N$2:$Y$2))/(Z281/($K281*$L281*$M281)),"")</f>
        <v/>
      </c>
      <c r="AC281" s="18" t="n"/>
    </row>
    <row r="282">
      <c r="A282" s="9" t="n">
        <v>804241</v>
      </c>
      <c r="B282" s="9" t="inlineStr">
        <is>
          <t>Zach Levenson</t>
        </is>
      </c>
      <c r="C282" s="9" t="inlineStr">
        <is>
          <t>STL</t>
        </is>
      </c>
      <c r="D282" s="9" t="n">
        <v>25</v>
      </c>
      <c r="E282" s="16" t="inlineStr">
        <is>
          <t>R</t>
        </is>
      </c>
      <c r="F282" s="16" t="n"/>
      <c r="G282" s="9" t="n">
        <v>37.23076923076923</v>
      </c>
      <c r="H282" s="9" t="n">
        <v>37.23076923076923</v>
      </c>
      <c r="I282" s="9" t="inlineStr">
        <is>
          <t>Depth (no MLB PA)</t>
        </is>
      </c>
      <c r="J282" s="16" t="inlineStr">
        <is>
          <t>Opening Day</t>
        </is>
      </c>
      <c r="K282" s="11">
        <f>IFERROR(INDEX(Roles!$B$17:$B$20,MATCH(J282,Roles!$A$17:$A$20,0)),1)</f>
        <v/>
      </c>
      <c r="L282" s="17" t="n">
        <v>1</v>
      </c>
      <c r="M282" s="11" t="n">
        <v>1</v>
      </c>
      <c r="N282" s="17" t="n"/>
      <c r="O282" s="17" t="n"/>
      <c r="P282" s="17" t="n"/>
      <c r="Q282" s="17" t="n"/>
      <c r="R282" s="17" t="n"/>
      <c r="S282" s="17" t="n"/>
      <c r="T282" s="17" t="n"/>
      <c r="U282" s="17" t="n"/>
      <c r="V282" s="17" t="n"/>
      <c r="W282" s="17" t="n"/>
      <c r="X282" s="17" t="n"/>
      <c r="Y282" s="17" t="n">
        <v>1</v>
      </c>
      <c r="Z282" s="13">
        <f>SUMPRODUCT(N282:Y282,$N$2:$Y$2)*$K282*$L282*$M282</f>
        <v/>
      </c>
      <c r="AA282" s="14">
        <f>SUM(N282:Y282)</f>
        <v/>
      </c>
      <c r="AB282" s="14">
        <f>IFERROR(IF(UPPER($E282)="L",SUMPRODUCT(N282:Y282,$N$3:$Y$3,$N$2:$Y$2),SUMPRODUCT(N282:Y282,$N$4:$Y$4,$N$2:$Y$2))/(Z282/($K282*$L282*$M282)),"")</f>
        <v/>
      </c>
      <c r="AC282" s="18" t="n"/>
    </row>
    <row r="283">
      <c r="A283" s="9" t="n">
        <v>823787</v>
      </c>
      <c r="B283" s="9" t="inlineStr">
        <is>
          <t>Rainiel Rodriguez</t>
        </is>
      </c>
      <c r="C283" s="9" t="inlineStr">
        <is>
          <t>STL</t>
        </is>
      </c>
      <c r="D283" s="9" t="n">
        <v>20</v>
      </c>
      <c r="E283" s="16" t="inlineStr">
        <is>
          <t>R</t>
        </is>
      </c>
      <c r="F283" s="16" t="n"/>
      <c r="G283" s="9" t="n">
        <v>138.5641025641026</v>
      </c>
      <c r="H283" s="9" t="n">
        <v>138.5641025641026</v>
      </c>
      <c r="I283" s="9" t="inlineStr">
        <is>
          <t>Bench Bat</t>
        </is>
      </c>
      <c r="J283" s="16" t="inlineStr">
        <is>
          <t>Mid Season (~July)</t>
        </is>
      </c>
      <c r="K283" s="11">
        <f>IFERROR(INDEX(Roles!$B$17:$B$20,MATCH(J283,Roles!$A$17:$A$20,0)),1)</f>
        <v/>
      </c>
      <c r="L283" s="17" t="n">
        <v>1</v>
      </c>
      <c r="M283" s="11" t="n">
        <v>1</v>
      </c>
      <c r="N283" s="17" t="n">
        <v>0.34</v>
      </c>
      <c r="O283" s="17" t="n"/>
      <c r="P283" s="17" t="n">
        <v>0.3</v>
      </c>
      <c r="Q283" s="17" t="n"/>
      <c r="R283" s="17" t="n"/>
      <c r="S283" s="17" t="n"/>
      <c r="T283" s="17" t="n"/>
      <c r="U283" s="17" t="n"/>
      <c r="V283" s="17" t="n"/>
      <c r="W283" s="17" t="n">
        <v>0.36</v>
      </c>
      <c r="X283" s="17" t="n"/>
      <c r="Y283" s="17" t="n"/>
      <c r="Z283" s="13">
        <f>SUMPRODUCT(N283:Y283,$N$2:$Y$2)*$K283*$L283*$M283</f>
        <v/>
      </c>
      <c r="AA283" s="14">
        <f>SUM(N283:Y283)</f>
        <v/>
      </c>
      <c r="AB283" s="14">
        <f>IFERROR(IF(UPPER($E283)="L",SUMPRODUCT(N283:Y283,$N$3:$Y$3,$N$2:$Y$2),SUMPRODUCT(N283:Y283,$N$4:$Y$4,$N$2:$Y$2))/(Z283/($K283*$L283*$M283)),"")</f>
        <v/>
      </c>
      <c r="AC283" s="18" t="n"/>
    </row>
    <row r="284">
      <c r="A284" s="9" t="n">
        <v>695342</v>
      </c>
      <c r="B284" s="9" t="inlineStr">
        <is>
          <t>Colin Davis</t>
        </is>
      </c>
      <c r="C284" s="9" t="inlineStr">
        <is>
          <t>SEA</t>
        </is>
      </c>
      <c r="D284" s="9" t="n">
        <v>25</v>
      </c>
      <c r="E284" s="16" t="inlineStr">
        <is>
          <t>R</t>
        </is>
      </c>
      <c r="F284" s="16" t="n"/>
      <c r="G284" s="9" t="n">
        <v>115.0769230769231</v>
      </c>
      <c r="H284" s="9" t="n">
        <v>115.0769230769231</v>
      </c>
      <c r="I284" s="9" t="inlineStr">
        <is>
          <t>Depth (no MLB PA)</t>
        </is>
      </c>
      <c r="J284" s="16" t="inlineStr">
        <is>
          <t>Opening Day</t>
        </is>
      </c>
      <c r="K284" s="11">
        <f>IFERROR(INDEX(Roles!$B$17:$B$20,MATCH(J284,Roles!$A$17:$A$20,0)),1)</f>
        <v/>
      </c>
      <c r="L284" s="17" t="n">
        <v>1</v>
      </c>
      <c r="M284" s="11" t="n">
        <v>1</v>
      </c>
      <c r="N284" s="17" t="n"/>
      <c r="O284" s="17" t="n"/>
      <c r="P284" s="17" t="n"/>
      <c r="Q284" s="17" t="n"/>
      <c r="R284" s="17" t="n"/>
      <c r="S284" s="17" t="n"/>
      <c r="T284" s="17" t="n"/>
      <c r="U284" s="17" t="n"/>
      <c r="V284" s="17" t="n"/>
      <c r="W284" s="17" t="n"/>
      <c r="X284" s="17" t="n"/>
      <c r="Y284" s="17" t="n">
        <v>1</v>
      </c>
      <c r="Z284" s="13">
        <f>SUMPRODUCT(N284:Y284,$N$2:$Y$2)*$K284*$L284*$M284</f>
        <v/>
      </c>
      <c r="AA284" s="14">
        <f>SUM(N284:Y284)</f>
        <v/>
      </c>
      <c r="AB284" s="14">
        <f>IFERROR(IF(UPPER($E284)="L",SUMPRODUCT(N284:Y284,$N$3:$Y$3,$N$2:$Y$2),SUMPRODUCT(N284:Y284,$N$4:$Y$4,$N$2:$Y$2))/(Z284/($K284*$L284*$M284)),"")</f>
        <v/>
      </c>
      <c r="AC284" s="18" t="n"/>
    </row>
    <row r="285">
      <c r="A285" s="9" t="n">
        <v>702726</v>
      </c>
      <c r="B285" s="9" t="inlineStr">
        <is>
          <t>Luke Adams</t>
        </is>
      </c>
      <c r="C285" s="9" t="inlineStr">
        <is>
          <t>MIL</t>
        </is>
      </c>
      <c r="D285" s="9" t="n">
        <v>23</v>
      </c>
      <c r="E285" s="16" t="inlineStr">
        <is>
          <t>R</t>
        </is>
      </c>
      <c r="F285" s="16" t="n"/>
      <c r="G285" s="9" t="n">
        <v>142.1538461538462</v>
      </c>
      <c r="H285" s="9" t="n">
        <v>142.1538461538462</v>
      </c>
      <c r="I285" s="9" t="inlineStr">
        <is>
          <t>Depth (no MLB PA)</t>
        </is>
      </c>
      <c r="J285" s="16" t="inlineStr">
        <is>
          <t>Opening Day</t>
        </is>
      </c>
      <c r="K285" s="11">
        <f>IFERROR(INDEX(Roles!$B$17:$B$20,MATCH(J285,Roles!$A$17:$A$20,0)),1)</f>
        <v/>
      </c>
      <c r="L285" s="17" t="n">
        <v>1</v>
      </c>
      <c r="M285" s="11" t="n">
        <v>1</v>
      </c>
      <c r="N285" s="17" t="n"/>
      <c r="O285" s="17" t="n"/>
      <c r="P285" s="17" t="n"/>
      <c r="Q285" s="17" t="n"/>
      <c r="R285" s="17" t="n"/>
      <c r="S285" s="17" t="n"/>
      <c r="T285" s="17" t="n"/>
      <c r="U285" s="17" t="n"/>
      <c r="V285" s="17" t="n"/>
      <c r="W285" s="17" t="n"/>
      <c r="X285" s="17" t="n"/>
      <c r="Y285" s="17" t="n">
        <v>1</v>
      </c>
      <c r="Z285" s="13">
        <f>SUMPRODUCT(N285:Y285,$N$2:$Y$2)*$K285*$L285*$M285</f>
        <v/>
      </c>
      <c r="AA285" s="14">
        <f>SUM(N285:Y285)</f>
        <v/>
      </c>
      <c r="AB285" s="14">
        <f>IFERROR(IF(UPPER($E285)="L",SUMPRODUCT(N285:Y285,$N$3:$Y$3,$N$2:$Y$2),SUMPRODUCT(N285:Y285,$N$4:$Y$4,$N$2:$Y$2))/(Z285/($K285*$L285*$M285)),"")</f>
        <v/>
      </c>
      <c r="AC285" s="18" t="n"/>
    </row>
    <row r="286">
      <c r="A286" s="9" t="n">
        <v>687282</v>
      </c>
      <c r="B286" s="9" t="inlineStr">
        <is>
          <t>Gabriel Rincones Jr.</t>
        </is>
      </c>
      <c r="C286" s="9" t="inlineStr">
        <is>
          <t>PHI</t>
        </is>
      </c>
      <c r="D286" s="9" t="n">
        <v>26</v>
      </c>
      <c r="E286" s="16" t="inlineStr">
        <is>
          <t>L</t>
        </is>
      </c>
      <c r="F286" s="16" t="inlineStr">
        <is>
          <t>RF</t>
        </is>
      </c>
      <c r="G286" s="9" t="n">
        <v>89</v>
      </c>
      <c r="H286" s="9" t="n">
        <v>89</v>
      </c>
      <c r="I286" s="9" t="inlineStr">
        <is>
          <t>Bench Bat</t>
        </is>
      </c>
      <c r="J286" s="16" t="inlineStr">
        <is>
          <t>Opening Day</t>
        </is>
      </c>
      <c r="K286" s="11">
        <f>IFERROR(INDEX(Roles!$B$17:$B$20,MATCH(J286,Roles!$A$17:$A$20,0)),1)</f>
        <v/>
      </c>
      <c r="L286" s="17" t="n">
        <v>1</v>
      </c>
      <c r="M286" s="11" t="n">
        <v>1</v>
      </c>
      <c r="N286" s="17" t="n"/>
      <c r="O286" s="17" t="n"/>
      <c r="P286" s="17" t="n"/>
      <c r="Q286" s="17" t="n"/>
      <c r="R286" s="17" t="n"/>
      <c r="S286" s="17" t="n"/>
      <c r="T286" s="17" t="n"/>
      <c r="U286" s="17" t="n"/>
      <c r="V286" s="17" t="n"/>
      <c r="W286" s="17" t="n">
        <v>1</v>
      </c>
      <c r="X286" s="17" t="n"/>
      <c r="Y286" s="17" t="n"/>
      <c r="Z286" s="13">
        <f>SUMPRODUCT(N286:Y286,$N$2:$Y$2)*$K286*$L286*$M286</f>
        <v/>
      </c>
      <c r="AA286" s="14">
        <f>SUM(N286:Y286)</f>
        <v/>
      </c>
      <c r="AB286" s="14">
        <f>IFERROR(IF(UPPER($E286)="L",SUMPRODUCT(N286:Y286,$N$3:$Y$3,$N$2:$Y$2),SUMPRODUCT(N286:Y286,$N$4:$Y$4,$N$2:$Y$2))/(Z286/($K286*$L286*$M286)),"")</f>
        <v/>
      </c>
      <c r="AC286" s="18" t="n"/>
    </row>
    <row r="287">
      <c r="A287" s="9" t="n">
        <v>695670</v>
      </c>
      <c r="B287" s="9" t="inlineStr">
        <is>
          <t>Harry Ford</t>
        </is>
      </c>
      <c r="C287" s="9" t="inlineStr">
        <is>
          <t>WSH</t>
        </is>
      </c>
      <c r="D287" s="9" t="n">
        <v>24</v>
      </c>
      <c r="E287" s="16" t="inlineStr">
        <is>
          <t>R</t>
        </is>
      </c>
      <c r="F287" s="16" t="inlineStr">
        <is>
          <t>C</t>
        </is>
      </c>
      <c r="G287" s="9" t="n">
        <v>118</v>
      </c>
      <c r="H287" s="9" t="n">
        <v>126</v>
      </c>
      <c r="I287" s="9" t="inlineStr">
        <is>
          <t>Weak Side Platoon</t>
        </is>
      </c>
      <c r="J287" s="16" t="inlineStr">
        <is>
          <t>Opening Day</t>
        </is>
      </c>
      <c r="K287" s="11">
        <f>IFERROR(INDEX(Roles!$B$17:$B$20,MATCH(J287,Roles!$A$17:$A$20,0)),1)</f>
        <v/>
      </c>
      <c r="L287" s="17" t="n">
        <v>1</v>
      </c>
      <c r="M287" s="11" t="n">
        <v>1</v>
      </c>
      <c r="N287" s="17" t="n"/>
      <c r="O287" s="17" t="n"/>
      <c r="P287" s="17" t="n"/>
      <c r="Q287" s="17" t="n">
        <v>0.6</v>
      </c>
      <c r="R287" s="17" t="n"/>
      <c r="S287" s="17" t="n"/>
      <c r="T287" s="17" t="n">
        <v>0.4</v>
      </c>
      <c r="U287" s="17" t="n"/>
      <c r="V287" s="17" t="n"/>
      <c r="W287" s="17" t="n"/>
      <c r="X287" s="17" t="n"/>
      <c r="Y287" s="17" t="n"/>
      <c r="Z287" s="13">
        <f>SUMPRODUCT(N287:Y287,$N$2:$Y$2)*$K287*$L287*$M287</f>
        <v/>
      </c>
      <c r="AA287" s="14">
        <f>SUM(N287:Y287)</f>
        <v/>
      </c>
      <c r="AB287" s="14">
        <f>IFERROR(IF(UPPER($E287)="L",SUMPRODUCT(N287:Y287,$N$3:$Y$3,$N$2:$Y$2),SUMPRODUCT(N287:Y287,$N$4:$Y$4,$N$2:$Y$2))/(Z287/($K287*$L287*$M287)),"")</f>
        <v/>
      </c>
      <c r="AC287" s="18" t="n"/>
    </row>
    <row r="288">
      <c r="A288" s="9" t="n">
        <v>815352</v>
      </c>
      <c r="B288" s="9" t="inlineStr">
        <is>
          <t>Caleb Bonemer</t>
        </is>
      </c>
      <c r="C288" s="9" t="inlineStr">
        <is>
          <t>CWS</t>
        </is>
      </c>
      <c r="D288" s="9" t="n">
        <v>22</v>
      </c>
      <c r="E288" s="16" t="inlineStr">
        <is>
          <t>R</t>
        </is>
      </c>
      <c r="F288" s="16" t="n"/>
      <c r="G288" s="9" t="n">
        <v>111.2820512820513</v>
      </c>
      <c r="H288" s="9" t="n">
        <v>111.2820512820513</v>
      </c>
      <c r="I288" s="9" t="inlineStr">
        <is>
          <t>Bench Bat</t>
        </is>
      </c>
      <c r="J288" s="16" t="inlineStr">
        <is>
          <t>Mid Season (~July)</t>
        </is>
      </c>
      <c r="K288" s="11">
        <f>IFERROR(INDEX(Roles!$B$17:$B$20,MATCH(J288,Roles!$A$17:$A$20,0)),1)</f>
        <v/>
      </c>
      <c r="L288" s="17" t="n">
        <v>1</v>
      </c>
      <c r="M288" s="11" t="n">
        <v>1</v>
      </c>
      <c r="N288" s="17" t="n">
        <v>0.34</v>
      </c>
      <c r="O288" s="17" t="n"/>
      <c r="P288" s="17" t="n">
        <v>0.3</v>
      </c>
      <c r="Q288" s="17" t="n"/>
      <c r="R288" s="17" t="n"/>
      <c r="S288" s="17" t="n"/>
      <c r="T288" s="17" t="n"/>
      <c r="U288" s="17" t="n"/>
      <c r="V288" s="17" t="n"/>
      <c r="W288" s="17" t="n">
        <v>0.36</v>
      </c>
      <c r="X288" s="17" t="n"/>
      <c r="Y288" s="17" t="n"/>
      <c r="Z288" s="13">
        <f>SUMPRODUCT(N288:Y288,$N$2:$Y$2)*$K288*$L288*$M288</f>
        <v/>
      </c>
      <c r="AA288" s="14">
        <f>SUM(N288:Y288)</f>
        <v/>
      </c>
      <c r="AB288" s="14">
        <f>IFERROR(IF(UPPER($E288)="L",SUMPRODUCT(N288:Y288,$N$3:$Y$3,$N$2:$Y$2),SUMPRODUCT(N288:Y288,$N$4:$Y$4,$N$2:$Y$2))/(Z288/($K288*$L288*$M288)),"")</f>
        <v/>
      </c>
      <c r="AC288" s="18" t="n"/>
    </row>
    <row r="289">
      <c r="A289" s="9" t="n">
        <v>691620</v>
      </c>
      <c r="B289" s="9" t="inlineStr">
        <is>
          <t>Jeferson Quero</t>
        </is>
      </c>
      <c r="C289" s="9" t="inlineStr">
        <is>
          <t>MIL</t>
        </is>
      </c>
      <c r="D289" s="9" t="n">
        <v>24</v>
      </c>
      <c r="E289" s="16" t="inlineStr">
        <is>
          <t>R</t>
        </is>
      </c>
      <c r="F289" s="16" t="inlineStr">
        <is>
          <t>C</t>
        </is>
      </c>
      <c r="G289" s="9" t="n">
        <v>2</v>
      </c>
      <c r="H289" s="9" t="n">
        <v>2</v>
      </c>
      <c r="I289" s="9" t="inlineStr">
        <is>
          <t>Depth (no MLB PA)</t>
        </is>
      </c>
      <c r="J289" s="16" t="inlineStr">
        <is>
          <t>Opening Day</t>
        </is>
      </c>
      <c r="K289" s="11">
        <f>IFERROR(INDEX(Roles!$B$17:$B$20,MATCH(J289,Roles!$A$17:$A$20,0)),1)</f>
        <v/>
      </c>
      <c r="L289" s="17" t="n">
        <v>1</v>
      </c>
      <c r="M289" s="11" t="n">
        <v>1</v>
      </c>
      <c r="N289" s="17" t="n"/>
      <c r="O289" s="17" t="n"/>
      <c r="P289" s="17" t="n"/>
      <c r="Q289" s="17" t="n"/>
      <c r="R289" s="17" t="n"/>
      <c r="S289" s="17" t="n"/>
      <c r="T289" s="17" t="n"/>
      <c r="U289" s="17" t="n"/>
      <c r="V289" s="17" t="n"/>
      <c r="W289" s="17" t="n"/>
      <c r="X289" s="17" t="n"/>
      <c r="Y289" s="17" t="n">
        <v>1</v>
      </c>
      <c r="Z289" s="13">
        <f>SUMPRODUCT(N289:Y289,$N$2:$Y$2)*$K289*$L289*$M289</f>
        <v/>
      </c>
      <c r="AA289" s="14">
        <f>SUM(N289:Y289)</f>
        <v/>
      </c>
      <c r="AB289" s="14">
        <f>IFERROR(IF(UPPER($E289)="L",SUMPRODUCT(N289:Y289,$N$3:$Y$3,$N$2:$Y$2),SUMPRODUCT(N289:Y289,$N$4:$Y$4,$N$2:$Y$2))/(Z289/($K289*$L289*$M289)),"")</f>
        <v/>
      </c>
      <c r="AC289" s="18" t="n"/>
    </row>
    <row r="290">
      <c r="A290" s="9" t="n">
        <v>673995</v>
      </c>
      <c r="B290" s="9" t="inlineStr">
        <is>
          <t>Davis Wendzel</t>
        </is>
      </c>
      <c r="C290" s="9" t="inlineStr">
        <is>
          <t>TEX</t>
        </is>
      </c>
      <c r="D290" s="9" t="n">
        <v>30</v>
      </c>
      <c r="E290" s="16" t="inlineStr">
        <is>
          <t>R</t>
        </is>
      </c>
      <c r="F290" s="16" t="inlineStr">
        <is>
          <t>1B</t>
        </is>
      </c>
      <c r="G290" s="9" t="n">
        <v>4</v>
      </c>
      <c r="H290" s="9" t="n">
        <v>53</v>
      </c>
      <c r="I290" s="9" t="inlineStr">
        <is>
          <t>Depth (no MLB PA)</t>
        </is>
      </c>
      <c r="J290" s="16" t="inlineStr">
        <is>
          <t>Opening Day</t>
        </is>
      </c>
      <c r="K290" s="11">
        <f>IFERROR(INDEX(Roles!$B$17:$B$20,MATCH(J290,Roles!$A$17:$A$20,0)),1)</f>
        <v/>
      </c>
      <c r="L290" s="17" t="n">
        <v>1</v>
      </c>
      <c r="M290" s="11" t="n">
        <v>1</v>
      </c>
      <c r="N290" s="17" t="n"/>
      <c r="O290" s="17" t="n"/>
      <c r="P290" s="17" t="n"/>
      <c r="Q290" s="17" t="n"/>
      <c r="R290" s="17" t="n"/>
      <c r="S290" s="17" t="n"/>
      <c r="T290" s="17" t="n"/>
      <c r="U290" s="17" t="n"/>
      <c r="V290" s="17" t="n"/>
      <c r="W290" s="17" t="n"/>
      <c r="X290" s="17" t="n"/>
      <c r="Y290" s="17" t="n">
        <v>1</v>
      </c>
      <c r="Z290" s="13">
        <f>SUMPRODUCT(N290:Y290,$N$2:$Y$2)*$K290*$L290*$M290</f>
        <v/>
      </c>
      <c r="AA290" s="14">
        <f>SUM(N290:Y290)</f>
        <v/>
      </c>
      <c r="AB290" s="14">
        <f>IFERROR(IF(UPPER($E290)="L",SUMPRODUCT(N290:Y290,$N$3:$Y$3,$N$2:$Y$2),SUMPRODUCT(N290:Y290,$N$4:$Y$4,$N$2:$Y$2))/(Z290/($K290*$L290*$M290)),"")</f>
        <v/>
      </c>
      <c r="AC290" s="18" t="n"/>
    </row>
    <row r="291">
      <c r="A291" s="9" t="n">
        <v>691001</v>
      </c>
      <c r="B291" s="9" t="inlineStr">
        <is>
          <t>Robert Moore</t>
        </is>
      </c>
      <c r="C291" s="9" t="inlineStr">
        <is>
          <t>PHI</t>
        </is>
      </c>
      <c r="D291" s="9" t="n">
        <v>25</v>
      </c>
      <c r="E291" s="16" t="inlineStr">
        <is>
          <t>S</t>
        </is>
      </c>
      <c r="F291" s="16" t="n"/>
      <c r="G291" s="9" t="n">
        <v>170.9230769230769</v>
      </c>
      <c r="H291" s="9" t="n">
        <v>170.9230769230769</v>
      </c>
      <c r="I291" s="9" t="inlineStr">
        <is>
          <t>Depth (no MLB PA)</t>
        </is>
      </c>
      <c r="J291" s="16" t="inlineStr">
        <is>
          <t>Opening Day</t>
        </is>
      </c>
      <c r="K291" s="11">
        <f>IFERROR(INDEX(Roles!$B$17:$B$20,MATCH(J291,Roles!$A$17:$A$20,0)),1)</f>
        <v/>
      </c>
      <c r="L291" s="17" t="n">
        <v>1</v>
      </c>
      <c r="M291" s="11" t="n">
        <v>1</v>
      </c>
      <c r="N291" s="17" t="n"/>
      <c r="O291" s="17" t="n"/>
      <c r="P291" s="17" t="n"/>
      <c r="Q291" s="17" t="n"/>
      <c r="R291" s="17" t="n"/>
      <c r="S291" s="17" t="n"/>
      <c r="T291" s="17" t="n"/>
      <c r="U291" s="17" t="n"/>
      <c r="V291" s="17" t="n"/>
      <c r="W291" s="17" t="n"/>
      <c r="X291" s="17" t="n"/>
      <c r="Y291" s="17" t="n">
        <v>1</v>
      </c>
      <c r="Z291" s="13">
        <f>SUMPRODUCT(N291:Y291,$N$2:$Y$2)*$K291*$L291*$M291</f>
        <v/>
      </c>
      <c r="AA291" s="14">
        <f>SUM(N291:Y291)</f>
        <v/>
      </c>
      <c r="AB291" s="14">
        <f>IFERROR(IF(UPPER($E291)="L",SUMPRODUCT(N291:Y291,$N$3:$Y$3,$N$2:$Y$2),SUMPRODUCT(N291:Y291,$N$4:$Y$4,$N$2:$Y$2))/(Z291/($K291*$L291*$M291)),"")</f>
        <v/>
      </c>
      <c r="AC291" s="18" t="n"/>
    </row>
    <row r="292">
      <c r="A292" s="9" t="n">
        <v>687627</v>
      </c>
      <c r="B292" s="9" t="inlineStr">
        <is>
          <t>Kody Huff</t>
        </is>
      </c>
      <c r="C292" s="9" t="inlineStr">
        <is>
          <t>CLE</t>
        </is>
      </c>
      <c r="D292" s="9" t="n">
        <v>25</v>
      </c>
      <c r="E292" s="16" t="inlineStr">
        <is>
          <t>R</t>
        </is>
      </c>
      <c r="F292" s="16" t="n"/>
      <c r="G292" s="9" t="n">
        <v>274.1538461538462</v>
      </c>
      <c r="H292" s="9" t="n">
        <v>274.1538461538462</v>
      </c>
      <c r="I292" s="9" t="inlineStr">
        <is>
          <t>Depth (no MLB PA)</t>
        </is>
      </c>
      <c r="J292" s="16" t="inlineStr">
        <is>
          <t>Opening Day</t>
        </is>
      </c>
      <c r="K292" s="11">
        <f>IFERROR(INDEX(Roles!$B$17:$B$20,MATCH(J292,Roles!$A$17:$A$20,0)),1)</f>
        <v/>
      </c>
      <c r="L292" s="17" t="n">
        <v>1</v>
      </c>
      <c r="M292" s="11" t="n">
        <v>1</v>
      </c>
      <c r="N292" s="17" t="n"/>
      <c r="O292" s="17" t="n"/>
      <c r="P292" s="17" t="n"/>
      <c r="Q292" s="17" t="n"/>
      <c r="R292" s="17" t="n"/>
      <c r="S292" s="17" t="n"/>
      <c r="T292" s="17" t="n"/>
      <c r="U292" s="17" t="n"/>
      <c r="V292" s="17" t="n"/>
      <c r="W292" s="17" t="n"/>
      <c r="X292" s="17" t="n"/>
      <c r="Y292" s="17" t="n">
        <v>1</v>
      </c>
      <c r="Z292" s="13">
        <f>SUMPRODUCT(N292:Y292,$N$2:$Y$2)*$K292*$L292*$M292</f>
        <v/>
      </c>
      <c r="AA292" s="14">
        <f>SUM(N292:Y292)</f>
        <v/>
      </c>
      <c r="AB292" s="14">
        <f>IFERROR(IF(UPPER($E292)="L",SUMPRODUCT(N292:Y292,$N$3:$Y$3,$N$2:$Y$2),SUMPRODUCT(N292:Y292,$N$4:$Y$4,$N$2:$Y$2))/(Z292/($K292*$L292*$M292)),"")</f>
        <v/>
      </c>
      <c r="AC292" s="18" t="n"/>
    </row>
    <row r="293">
      <c r="A293" s="9" t="n">
        <v>809707</v>
      </c>
      <c r="B293" s="9" t="inlineStr">
        <is>
          <t>Charlie Condon</t>
        </is>
      </c>
      <c r="C293" s="9" t="inlineStr">
        <is>
          <t>COL</t>
        </is>
      </c>
      <c r="D293" s="9" t="n">
        <v>24</v>
      </c>
      <c r="E293" s="16" t="inlineStr">
        <is>
          <t>R</t>
        </is>
      </c>
      <c r="F293" s="16" t="n"/>
      <c r="G293" s="9" t="n">
        <v>325.4871794871795</v>
      </c>
      <c r="H293" s="9" t="n">
        <v>325.4871794871795</v>
      </c>
      <c r="I293" s="9" t="inlineStr">
        <is>
          <t>Bench Bat</t>
        </is>
      </c>
      <c r="J293" s="16" t="inlineStr">
        <is>
          <t>Mid Season (~July)</t>
        </is>
      </c>
      <c r="K293" s="11">
        <f>IFERROR(INDEX(Roles!$B$17:$B$20,MATCH(J293,Roles!$A$17:$A$20,0)),1)</f>
        <v/>
      </c>
      <c r="L293" s="17" t="n">
        <v>1</v>
      </c>
      <c r="M293" s="11" t="n">
        <v>1</v>
      </c>
      <c r="N293" s="17" t="n"/>
      <c r="O293" s="17" t="n"/>
      <c r="P293" s="17" t="n">
        <v>0.35</v>
      </c>
      <c r="Q293" s="17" t="n"/>
      <c r="R293" s="17" t="n"/>
      <c r="S293" s="17" t="n"/>
      <c r="T293" s="17" t="n"/>
      <c r="U293" s="17" t="n"/>
      <c r="V293" s="17" t="n"/>
      <c r="W293" s="17" t="n">
        <v>0.45</v>
      </c>
      <c r="X293" s="17" t="n">
        <v>0.2</v>
      </c>
      <c r="Y293" s="17" t="n"/>
      <c r="Z293" s="13">
        <f>SUMPRODUCT(N293:Y293,$N$2:$Y$2)*$K293*$L293*$M293</f>
        <v/>
      </c>
      <c r="AA293" s="14">
        <f>SUM(N293:Y293)</f>
        <v/>
      </c>
      <c r="AB293" s="14">
        <f>IFERROR(IF(UPPER($E293)="L",SUMPRODUCT(N293:Y293,$N$3:$Y$3,$N$2:$Y$2),SUMPRODUCT(N293:Y293,$N$4:$Y$4,$N$2:$Y$2))/(Z293/($K293*$L293*$M293)),"")</f>
        <v/>
      </c>
      <c r="AC293" s="18" t="n"/>
    </row>
    <row r="294">
      <c r="A294" s="9" t="n">
        <v>690957</v>
      </c>
      <c r="B294" s="9" t="inlineStr">
        <is>
          <t>Jace Bohrofen</t>
        </is>
      </c>
      <c r="C294" s="9" t="inlineStr">
        <is>
          <t>TOR</t>
        </is>
      </c>
      <c r="D294" s="9" t="n">
        <v>25</v>
      </c>
      <c r="E294" s="16" t="inlineStr">
        <is>
          <t>L</t>
        </is>
      </c>
      <c r="F294" s="16" t="n"/>
      <c r="G294" s="9" t="n">
        <v>68.92307692307692</v>
      </c>
      <c r="H294" s="9" t="n">
        <v>68.92307692307692</v>
      </c>
      <c r="I294" s="9" t="inlineStr">
        <is>
          <t>Depth (no MLB PA)</t>
        </is>
      </c>
      <c r="J294" s="16" t="inlineStr">
        <is>
          <t>Opening Day</t>
        </is>
      </c>
      <c r="K294" s="11">
        <f>IFERROR(INDEX(Roles!$B$17:$B$20,MATCH(J294,Roles!$A$17:$A$20,0)),1)</f>
        <v/>
      </c>
      <c r="L294" s="17" t="n">
        <v>1</v>
      </c>
      <c r="M294" s="11" t="n">
        <v>1</v>
      </c>
      <c r="N294" s="17" t="n"/>
      <c r="O294" s="17" t="n"/>
      <c r="P294" s="17" t="n"/>
      <c r="Q294" s="17" t="n"/>
      <c r="R294" s="17" t="n"/>
      <c r="S294" s="17" t="n"/>
      <c r="T294" s="17" t="n"/>
      <c r="U294" s="17" t="n"/>
      <c r="V294" s="17" t="n"/>
      <c r="W294" s="17" t="n"/>
      <c r="X294" s="17" t="n"/>
      <c r="Y294" s="17" t="n">
        <v>1</v>
      </c>
      <c r="Z294" s="13">
        <f>SUMPRODUCT(N294:Y294,$N$2:$Y$2)*$K294*$L294*$M294</f>
        <v/>
      </c>
      <c r="AA294" s="14">
        <f>SUM(N294:Y294)</f>
        <v/>
      </c>
      <c r="AB294" s="14">
        <f>IFERROR(IF(UPPER($E294)="L",SUMPRODUCT(N294:Y294,$N$3:$Y$3,$N$2:$Y$2),SUMPRODUCT(N294:Y294,$N$4:$Y$4,$N$2:$Y$2))/(Z294/($K294*$L294*$M294)),"")</f>
        <v/>
      </c>
      <c r="AC294" s="18" t="n"/>
    </row>
    <row r="295">
      <c r="A295" s="9" t="n">
        <v>678760</v>
      </c>
      <c r="B295" s="9" t="inlineStr">
        <is>
          <t>Eddys Leonard</t>
        </is>
      </c>
      <c r="C295" s="9" t="inlineStr">
        <is>
          <t>SF</t>
        </is>
      </c>
      <c r="D295" s="9" t="n">
        <v>26</v>
      </c>
      <c r="E295" s="16" t="inlineStr">
        <is>
          <t>R</t>
        </is>
      </c>
      <c r="F295" s="16" t="inlineStr">
        <is>
          <t>LF</t>
        </is>
      </c>
      <c r="G295" s="9" t="n">
        <v>8</v>
      </c>
      <c r="H295" s="9" t="n">
        <v>8</v>
      </c>
      <c r="I295" s="9" t="inlineStr">
        <is>
          <t>Depth (no MLB PA)</t>
        </is>
      </c>
      <c r="J295" s="16" t="inlineStr">
        <is>
          <t>Opening Day</t>
        </is>
      </c>
      <c r="K295" s="11">
        <f>IFERROR(INDEX(Roles!$B$17:$B$20,MATCH(J295,Roles!$A$17:$A$20,0)),1)</f>
        <v/>
      </c>
      <c r="L295" s="17" t="n">
        <v>1</v>
      </c>
      <c r="M295" s="11" t="n">
        <v>1</v>
      </c>
      <c r="N295" s="17" t="n"/>
      <c r="O295" s="17" t="n"/>
      <c r="P295" s="17" t="n"/>
      <c r="Q295" s="17" t="n"/>
      <c r="R295" s="17" t="n"/>
      <c r="S295" s="17" t="n"/>
      <c r="T295" s="17" t="n"/>
      <c r="U295" s="17" t="n"/>
      <c r="V295" s="17" t="n"/>
      <c r="W295" s="17" t="n"/>
      <c r="X295" s="17" t="n"/>
      <c r="Y295" s="17" t="n">
        <v>1</v>
      </c>
      <c r="Z295" s="13">
        <f>SUMPRODUCT(N295:Y295,$N$2:$Y$2)*$K295*$L295*$M295</f>
        <v/>
      </c>
      <c r="AA295" s="14">
        <f>SUM(N295:Y295)</f>
        <v/>
      </c>
      <c r="AB295" s="14">
        <f>IFERROR(IF(UPPER($E295)="L",SUMPRODUCT(N295:Y295,$N$3:$Y$3,$N$2:$Y$2),SUMPRODUCT(N295:Y295,$N$4:$Y$4,$N$2:$Y$2))/(Z295/($K295*$L295*$M295)),"")</f>
        <v/>
      </c>
      <c r="AC295" s="18" t="n"/>
    </row>
    <row r="296">
      <c r="A296" s="9" t="n">
        <v>694812</v>
      </c>
      <c r="B296" s="9" t="inlineStr">
        <is>
          <t>Tyler McDonough</t>
        </is>
      </c>
      <c r="C296" s="9" t="inlineStr">
        <is>
          <t>BOS</t>
        </is>
      </c>
      <c r="D296" s="9" t="n">
        <v>25</v>
      </c>
      <c r="E296" s="16" t="inlineStr">
        <is>
          <t>S</t>
        </is>
      </c>
      <c r="F296" s="16" t="n"/>
      <c r="G296" s="9" t="n">
        <v>78.97435897435898</v>
      </c>
      <c r="H296" s="9" t="n">
        <v>78.97435897435898</v>
      </c>
      <c r="I296" s="9" t="inlineStr">
        <is>
          <t>Depth (no MLB PA)</t>
        </is>
      </c>
      <c r="J296" s="16" t="inlineStr">
        <is>
          <t>Opening Day</t>
        </is>
      </c>
      <c r="K296" s="11">
        <f>IFERROR(INDEX(Roles!$B$17:$B$20,MATCH(J296,Roles!$A$17:$A$20,0)),1)</f>
        <v/>
      </c>
      <c r="L296" s="17" t="n">
        <v>1</v>
      </c>
      <c r="M296" s="11" t="n">
        <v>1</v>
      </c>
      <c r="N296" s="17" t="n"/>
      <c r="O296" s="17" t="n"/>
      <c r="P296" s="17" t="n"/>
      <c r="Q296" s="17" t="n"/>
      <c r="R296" s="17" t="n"/>
      <c r="S296" s="17" t="n"/>
      <c r="T296" s="17" t="n"/>
      <c r="U296" s="17" t="n"/>
      <c r="V296" s="17" t="n"/>
      <c r="W296" s="17" t="n"/>
      <c r="X296" s="17" t="n"/>
      <c r="Y296" s="17" t="n">
        <v>1</v>
      </c>
      <c r="Z296" s="13">
        <f>SUMPRODUCT(N296:Y296,$N$2:$Y$2)*$K296*$L296*$M296</f>
        <v/>
      </c>
      <c r="AA296" s="14">
        <f>SUM(N296:Y296)</f>
        <v/>
      </c>
      <c r="AB296" s="14">
        <f>IFERROR(IF(UPPER($E296)="L",SUMPRODUCT(N296:Y296,$N$3:$Y$3,$N$2:$Y$2),SUMPRODUCT(N296:Y296,$N$4:$Y$4,$N$2:$Y$2))/(Z296/($K296*$L296*$M296)),"")</f>
        <v/>
      </c>
      <c r="AC296" s="18" t="n"/>
    </row>
    <row r="297">
      <c r="A297" s="9" t="n">
        <v>657557</v>
      </c>
      <c r="B297" s="9" t="inlineStr">
        <is>
          <t>Paul DeJong</t>
        </is>
      </c>
      <c r="C297" s="9" t="inlineStr">
        <is>
          <t>WSH</t>
        </is>
      </c>
      <c r="D297" s="9" t="n">
        <v>33</v>
      </c>
      <c r="E297" s="16" t="inlineStr">
        <is>
          <t>R</t>
        </is>
      </c>
      <c r="F297" s="16" t="inlineStr">
        <is>
          <t>3B</t>
        </is>
      </c>
      <c r="G297" s="9" t="n">
        <v>208</v>
      </c>
      <c r="H297" s="9" t="n">
        <v>1327</v>
      </c>
      <c r="I297" s="9" t="inlineStr">
        <is>
          <t>Bench Bat</t>
        </is>
      </c>
      <c r="J297" s="16" t="inlineStr">
        <is>
          <t>Opening Day</t>
        </is>
      </c>
      <c r="K297" s="11">
        <f>IFERROR(INDEX(Roles!$B$17:$B$20,MATCH(J297,Roles!$A$17:$A$20,0)),1)</f>
        <v/>
      </c>
      <c r="L297" s="17" t="n">
        <v>1</v>
      </c>
      <c r="M297" s="11" t="n">
        <v>0.9926376279615244</v>
      </c>
      <c r="N297" s="17" t="n"/>
      <c r="O297" s="17" t="n"/>
      <c r="P297" s="17" t="n"/>
      <c r="Q297" s="17" t="n"/>
      <c r="R297" s="17" t="n"/>
      <c r="S297" s="17" t="n"/>
      <c r="T297" s="17" t="n"/>
      <c r="U297" s="17" t="n"/>
      <c r="V297" s="17" t="n"/>
      <c r="W297" s="17" t="n">
        <v>1</v>
      </c>
      <c r="X297" s="17" t="n"/>
      <c r="Y297" s="17" t="n"/>
      <c r="Z297" s="13">
        <f>SUMPRODUCT(N297:Y297,$N$2:$Y$2)*$K297*$L297*$M297</f>
        <v/>
      </c>
      <c r="AA297" s="14">
        <f>SUM(N297:Y297)</f>
        <v/>
      </c>
      <c r="AB297" s="14">
        <f>IFERROR(IF(UPPER($E297)="L",SUMPRODUCT(N297:Y297,$N$3:$Y$3,$N$2:$Y$2),SUMPRODUCT(N297:Y297,$N$4:$Y$4,$N$2:$Y$2))/(Z297/($K297*$L297*$M297)),"")</f>
        <v/>
      </c>
      <c r="AC297" s="18" t="n"/>
    </row>
    <row r="298">
      <c r="A298" s="9" t="n">
        <v>694742</v>
      </c>
      <c r="B298" s="9" t="inlineStr">
        <is>
          <t>Josh Moylan</t>
        </is>
      </c>
      <c r="C298" s="9" t="inlineStr">
        <is>
          <t>NYY</t>
        </is>
      </c>
      <c r="D298" s="9" t="n">
        <v>25</v>
      </c>
      <c r="E298" s="16" t="inlineStr">
        <is>
          <t>L</t>
        </is>
      </c>
      <c r="F298" s="16" t="n"/>
      <c r="G298" s="9" t="n">
        <v>91.17948717948715</v>
      </c>
      <c r="H298" s="9" t="n">
        <v>91.17948717948715</v>
      </c>
      <c r="I298" s="9" t="inlineStr">
        <is>
          <t>Depth (no MLB PA)</t>
        </is>
      </c>
      <c r="J298" s="16" t="inlineStr">
        <is>
          <t>Opening Day</t>
        </is>
      </c>
      <c r="K298" s="11">
        <f>IFERROR(INDEX(Roles!$B$17:$B$20,MATCH(J298,Roles!$A$17:$A$20,0)),1)</f>
        <v/>
      </c>
      <c r="L298" s="17" t="n">
        <v>1</v>
      </c>
      <c r="M298" s="11" t="n">
        <v>1</v>
      </c>
      <c r="N298" s="17" t="n"/>
      <c r="O298" s="17" t="n"/>
      <c r="P298" s="17" t="n"/>
      <c r="Q298" s="17" t="n"/>
      <c r="R298" s="17" t="n"/>
      <c r="S298" s="17" t="n"/>
      <c r="T298" s="17" t="n"/>
      <c r="U298" s="17" t="n"/>
      <c r="V298" s="17" t="n"/>
      <c r="W298" s="17" t="n"/>
      <c r="X298" s="17" t="n"/>
      <c r="Y298" s="17" t="n">
        <v>1</v>
      </c>
      <c r="Z298" s="13">
        <f>SUMPRODUCT(N298:Y298,$N$2:$Y$2)*$K298*$L298*$M298</f>
        <v/>
      </c>
      <c r="AA298" s="14">
        <f>SUM(N298:Y298)</f>
        <v/>
      </c>
      <c r="AB298" s="14">
        <f>IFERROR(IF(UPPER($E298)="L",SUMPRODUCT(N298:Y298,$N$3:$Y$3,$N$2:$Y$2),SUMPRODUCT(N298:Y298,$N$4:$Y$4,$N$2:$Y$2))/(Z298/($K298*$L298*$M298)),"")</f>
        <v/>
      </c>
      <c r="AC298" s="18" t="n"/>
    </row>
    <row r="299">
      <c r="A299" s="9" t="n">
        <v>701062</v>
      </c>
      <c r="B299" s="9" t="inlineStr">
        <is>
          <t>Alec Briley</t>
        </is>
      </c>
      <c r="C299" s="9" t="inlineStr">
        <is>
          <t>CWS</t>
        </is>
      </c>
      <c r="D299" s="9" t="n">
        <v>25</v>
      </c>
      <c r="E299" s="16" t="inlineStr">
        <is>
          <t>S</t>
        </is>
      </c>
      <c r="F299" s="16" t="n"/>
      <c r="G299" s="9" t="n">
        <v>192.7692307692308</v>
      </c>
      <c r="H299" s="9" t="n">
        <v>192.7692307692308</v>
      </c>
      <c r="I299" s="9" t="inlineStr">
        <is>
          <t>Depth (no MLB PA)</t>
        </is>
      </c>
      <c r="J299" s="16" t="inlineStr">
        <is>
          <t>Opening Day</t>
        </is>
      </c>
      <c r="K299" s="11">
        <f>IFERROR(INDEX(Roles!$B$17:$B$20,MATCH(J299,Roles!$A$17:$A$20,0)),1)</f>
        <v/>
      </c>
      <c r="L299" s="17" t="n">
        <v>1</v>
      </c>
      <c r="M299" s="11" t="n">
        <v>1</v>
      </c>
      <c r="N299" s="17" t="n"/>
      <c r="O299" s="17" t="n"/>
      <c r="P299" s="17" t="n"/>
      <c r="Q299" s="17" t="n"/>
      <c r="R299" s="17" t="n"/>
      <c r="S299" s="17" t="n"/>
      <c r="T299" s="17" t="n"/>
      <c r="U299" s="17" t="n"/>
      <c r="V299" s="17" t="n"/>
      <c r="W299" s="17" t="n"/>
      <c r="X299" s="17" t="n"/>
      <c r="Y299" s="17" t="n">
        <v>1</v>
      </c>
      <c r="Z299" s="13">
        <f>SUMPRODUCT(N299:Y299,$N$2:$Y$2)*$K299*$L299*$M299</f>
        <v/>
      </c>
      <c r="AA299" s="14">
        <f>SUM(N299:Y299)</f>
        <v/>
      </c>
      <c r="AB299" s="14">
        <f>IFERROR(IF(UPPER($E299)="L",SUMPRODUCT(N299:Y299,$N$3:$Y$3,$N$2:$Y$2),SUMPRODUCT(N299:Y299,$N$4:$Y$4,$N$2:$Y$2))/(Z299/($K299*$L299*$M299)),"")</f>
        <v/>
      </c>
      <c r="AC299" s="18" t="n"/>
    </row>
    <row r="300">
      <c r="A300" s="9" t="n">
        <v>679631</v>
      </c>
      <c r="B300" s="9" t="inlineStr">
        <is>
          <t>Terrin Vavra</t>
        </is>
      </c>
      <c r="C300" s="9" t="inlineStr">
        <is>
          <t>BAL</t>
        </is>
      </c>
      <c r="D300" s="9" t="n">
        <v>30</v>
      </c>
      <c r="E300" s="16" t="inlineStr">
        <is>
          <t>L</t>
        </is>
      </c>
      <c r="F300" s="16" t="inlineStr">
        <is>
          <t>2B</t>
        </is>
      </c>
      <c r="G300" s="9" t="n">
        <v>1</v>
      </c>
      <c r="H300" s="9" t="n">
        <v>160</v>
      </c>
      <c r="I300" s="9" t="inlineStr">
        <is>
          <t>Depth (no MLB PA)</t>
        </is>
      </c>
      <c r="J300" s="16" t="inlineStr">
        <is>
          <t>Opening Day</t>
        </is>
      </c>
      <c r="K300" s="11">
        <f>IFERROR(INDEX(Roles!$B$17:$B$20,MATCH(J300,Roles!$A$17:$A$20,0)),1)</f>
        <v/>
      </c>
      <c r="L300" s="17" t="n">
        <v>1</v>
      </c>
      <c r="M300" s="11" t="n">
        <v>1</v>
      </c>
      <c r="N300" s="17" t="n"/>
      <c r="O300" s="17" t="n"/>
      <c r="P300" s="17" t="n"/>
      <c r="Q300" s="17" t="n"/>
      <c r="R300" s="17" t="n"/>
      <c r="S300" s="17" t="n"/>
      <c r="T300" s="17" t="n"/>
      <c r="U300" s="17" t="n"/>
      <c r="V300" s="17" t="n"/>
      <c r="W300" s="17" t="n"/>
      <c r="X300" s="17" t="n"/>
      <c r="Y300" s="17" t="n">
        <v>1</v>
      </c>
      <c r="Z300" s="13">
        <f>SUMPRODUCT(N300:Y300,$N$2:$Y$2)*$K300*$L300*$M300</f>
        <v/>
      </c>
      <c r="AA300" s="14">
        <f>SUM(N300:Y300)</f>
        <v/>
      </c>
      <c r="AB300" s="14">
        <f>IFERROR(IF(UPPER($E300)="L",SUMPRODUCT(N300:Y300,$N$3:$Y$3,$N$2:$Y$2),SUMPRODUCT(N300:Y300,$N$4:$Y$4,$N$2:$Y$2))/(Z300/($K300*$L300*$M300)),"")</f>
        <v/>
      </c>
      <c r="AC300" s="18" t="n"/>
    </row>
    <row r="301">
      <c r="A301" s="9" t="n">
        <v>691019</v>
      </c>
      <c r="B301" s="9" t="inlineStr">
        <is>
          <t>Kyle Teel</t>
        </is>
      </c>
      <c r="C301" s="9" t="inlineStr">
        <is>
          <t>CWS</t>
        </is>
      </c>
      <c r="D301" s="9" t="n">
        <v>25</v>
      </c>
      <c r="E301" s="16" t="inlineStr">
        <is>
          <t>L</t>
        </is>
      </c>
      <c r="F301" s="16" t="inlineStr">
        <is>
          <t>C</t>
        </is>
      </c>
      <c r="G301" s="9" t="n">
        <v>144</v>
      </c>
      <c r="H301" s="9" t="n">
        <v>441</v>
      </c>
      <c r="I301" s="9" t="inlineStr">
        <is>
          <t>Catcher - Primary</t>
        </is>
      </c>
      <c r="J301" s="16" t="inlineStr">
        <is>
          <t>Opening Day</t>
        </is>
      </c>
      <c r="K301" s="11">
        <f>IFERROR(INDEX(Roles!$B$17:$B$20,MATCH(J301,Roles!$A$17:$A$20,0)),1)</f>
        <v/>
      </c>
      <c r="L301" s="17" t="n">
        <v>1</v>
      </c>
      <c r="M301" s="11" t="n">
        <v>1</v>
      </c>
      <c r="N301" s="17" t="n"/>
      <c r="O301" s="17" t="n"/>
      <c r="P301" s="17" t="n"/>
      <c r="Q301" s="17" t="n"/>
      <c r="R301" s="17" t="n">
        <v>1</v>
      </c>
      <c r="S301" s="17" t="n"/>
      <c r="T301" s="17" t="n"/>
      <c r="U301" s="17" t="n"/>
      <c r="V301" s="17" t="n"/>
      <c r="W301" s="17" t="n"/>
      <c r="X301" s="17" t="n"/>
      <c r="Y301" s="17" t="n"/>
      <c r="Z301" s="13">
        <f>SUMPRODUCT(N301:Y301,$N$2:$Y$2)*$K301*$L301*$M301</f>
        <v/>
      </c>
      <c r="AA301" s="14">
        <f>SUM(N301:Y301)</f>
        <v/>
      </c>
      <c r="AB301" s="14">
        <f>IFERROR(IF(UPPER($E301)="L",SUMPRODUCT(N301:Y301,$N$3:$Y$3,$N$2:$Y$2),SUMPRODUCT(N301:Y301,$N$4:$Y$4,$N$2:$Y$2))/(Z301/($K301*$L301*$M301)),"")</f>
        <v/>
      </c>
      <c r="AC301" s="18" t="n"/>
    </row>
    <row r="302">
      <c r="A302" s="9" t="n">
        <v>804995</v>
      </c>
      <c r="B302" s="9" t="inlineStr">
        <is>
          <t>Henry Godbout</t>
        </is>
      </c>
      <c r="C302" s="9" t="inlineStr">
        <is>
          <t>BOS</t>
        </is>
      </c>
      <c r="D302" s="9" t="n">
        <v>25</v>
      </c>
      <c r="E302" s="16" t="inlineStr">
        <is>
          <t>R</t>
        </is>
      </c>
      <c r="F302" s="16" t="n"/>
      <c r="G302" s="9" t="n">
        <v>34.1025641025641</v>
      </c>
      <c r="H302" s="9" t="n">
        <v>34.1025641025641</v>
      </c>
      <c r="I302" s="9" t="inlineStr">
        <is>
          <t>Depth (no MLB PA)</t>
        </is>
      </c>
      <c r="J302" s="16" t="inlineStr">
        <is>
          <t>Opening Day</t>
        </is>
      </c>
      <c r="K302" s="11">
        <f>IFERROR(INDEX(Roles!$B$17:$B$20,MATCH(J302,Roles!$A$17:$A$20,0)),1)</f>
        <v/>
      </c>
      <c r="L302" s="17" t="n">
        <v>1</v>
      </c>
      <c r="M302" s="11" t="n">
        <v>1</v>
      </c>
      <c r="N302" s="17" t="n"/>
      <c r="O302" s="17" t="n"/>
      <c r="P302" s="17" t="n"/>
      <c r="Q302" s="17" t="n"/>
      <c r="R302" s="17" t="n"/>
      <c r="S302" s="17" t="n"/>
      <c r="T302" s="17" t="n"/>
      <c r="U302" s="17" t="n"/>
      <c r="V302" s="17" t="n"/>
      <c r="W302" s="17" t="n"/>
      <c r="X302" s="17" t="n"/>
      <c r="Y302" s="17" t="n">
        <v>1</v>
      </c>
      <c r="Z302" s="13">
        <f>SUMPRODUCT(N302:Y302,$N$2:$Y$2)*$K302*$L302*$M302</f>
        <v/>
      </c>
      <c r="AA302" s="14">
        <f>SUM(N302:Y302)</f>
        <v/>
      </c>
      <c r="AB302" s="14">
        <f>IFERROR(IF(UPPER($E302)="L",SUMPRODUCT(N302:Y302,$N$3:$Y$3,$N$2:$Y$2),SUMPRODUCT(N302:Y302,$N$4:$Y$4,$N$2:$Y$2))/(Z302/($K302*$L302*$M302)),"")</f>
        <v/>
      </c>
      <c r="AC302" s="18" t="n"/>
    </row>
    <row r="303">
      <c r="A303" s="9" t="n">
        <v>624512</v>
      </c>
      <c r="B303" s="9" t="inlineStr">
        <is>
          <t>Reese McGuire</t>
        </is>
      </c>
      <c r="C303" s="9" t="inlineStr">
        <is>
          <t>CWS</t>
        </is>
      </c>
      <c r="D303" s="9" t="n">
        <v>32</v>
      </c>
      <c r="E303" s="16" t="inlineStr">
        <is>
          <t>L</t>
        </is>
      </c>
      <c r="F303" s="16" t="inlineStr">
        <is>
          <t>C</t>
        </is>
      </c>
      <c r="G303" s="9" t="n">
        <v>34</v>
      </c>
      <c r="H303" s="9" t="n">
        <v>812</v>
      </c>
      <c r="I303" s="9" t="inlineStr">
        <is>
          <t>Catcher - Backup</t>
        </is>
      </c>
      <c r="J303" s="16" t="inlineStr">
        <is>
          <t>Opening Day</t>
        </is>
      </c>
      <c r="K303" s="11">
        <f>IFERROR(INDEX(Roles!$B$17:$B$20,MATCH(J303,Roles!$A$17:$A$20,0)),1)</f>
        <v/>
      </c>
      <c r="L303" s="17" t="n">
        <v>1</v>
      </c>
      <c r="M303" s="11" t="n">
        <v>1</v>
      </c>
      <c r="N303" s="17" t="n"/>
      <c r="O303" s="17" t="n"/>
      <c r="P303" s="17" t="n"/>
      <c r="Q303" s="17" t="n"/>
      <c r="R303" s="17" t="n"/>
      <c r="S303" s="17" t="n"/>
      <c r="T303" s="17" t="n">
        <v>1</v>
      </c>
      <c r="U303" s="17" t="n"/>
      <c r="V303" s="17" t="n"/>
      <c r="W303" s="17" t="n"/>
      <c r="X303" s="17" t="n"/>
      <c r="Y303" s="17" t="n"/>
      <c r="Z303" s="13">
        <f>SUMPRODUCT(N303:Y303,$N$2:$Y$2)*$K303*$L303*$M303</f>
        <v/>
      </c>
      <c r="AA303" s="14">
        <f>SUM(N303:Y303)</f>
        <v/>
      </c>
      <c r="AB303" s="14">
        <f>IFERROR(IF(UPPER($E303)="L",SUMPRODUCT(N303:Y303,$N$3:$Y$3,$N$2:$Y$2),SUMPRODUCT(N303:Y303,$N$4:$Y$4,$N$2:$Y$2))/(Z303/($K303*$L303*$M303)),"")</f>
        <v/>
      </c>
      <c r="AC303" s="18" t="n"/>
    </row>
    <row r="304">
      <c r="A304" s="9" t="n">
        <v>800473</v>
      </c>
      <c r="B304" s="9" t="inlineStr">
        <is>
          <t>Jefferson Rojas</t>
        </is>
      </c>
      <c r="C304" s="9" t="inlineStr">
        <is>
          <t>NYM</t>
        </is>
      </c>
      <c r="D304" s="9" t="n">
        <v>22</v>
      </c>
      <c r="E304" s="16" t="inlineStr">
        <is>
          <t>R</t>
        </is>
      </c>
      <c r="F304" s="16" t="n"/>
      <c r="G304" s="9" t="n">
        <v>15.23076923076923</v>
      </c>
      <c r="H304" s="9" t="n">
        <v>15.23076923076923</v>
      </c>
      <c r="I304" s="9" t="inlineStr">
        <is>
          <t>Bench Bat</t>
        </is>
      </c>
      <c r="J304" s="16" t="inlineStr">
        <is>
          <t>Mid Season (~July)</t>
        </is>
      </c>
      <c r="K304" s="11">
        <f>IFERROR(INDEX(Roles!$B$17:$B$20,MATCH(J304,Roles!$A$17:$A$20,0)),1)</f>
        <v/>
      </c>
      <c r="L304" s="17" t="n">
        <v>1</v>
      </c>
      <c r="M304" s="11" t="n">
        <v>1</v>
      </c>
      <c r="N304" s="17" t="n"/>
      <c r="O304" s="17" t="n"/>
      <c r="P304" s="17" t="n">
        <v>0.26</v>
      </c>
      <c r="Q304" s="17" t="n"/>
      <c r="R304" s="17" t="n"/>
      <c r="S304" s="17" t="n"/>
      <c r="T304" s="17" t="n"/>
      <c r="U304" s="17" t="n"/>
      <c r="V304" s="17" t="n"/>
      <c r="W304" s="17" t="n">
        <v>0.5</v>
      </c>
      <c r="X304" s="17" t="n">
        <v>0.24</v>
      </c>
      <c r="Y304" s="17" t="n"/>
      <c r="Z304" s="13">
        <f>SUMPRODUCT(N304:Y304,$N$2:$Y$2)*$K304*$L304*$M304</f>
        <v/>
      </c>
      <c r="AA304" s="14">
        <f>SUM(N304:Y304)</f>
        <v/>
      </c>
      <c r="AB304" s="14">
        <f>IFERROR(IF(UPPER($E304)="L",SUMPRODUCT(N304:Y304,$N$3:$Y$3,$N$2:$Y$2),SUMPRODUCT(N304:Y304,$N$4:$Y$4,$N$2:$Y$2))/(Z304/($K304*$L304*$M304)),"")</f>
        <v/>
      </c>
      <c r="AC304" s="18" t="n"/>
    </row>
    <row r="305">
      <c r="A305" s="9" t="n">
        <v>660821</v>
      </c>
      <c r="B305" s="9" t="inlineStr">
        <is>
          <t>Jesús Sánchez</t>
        </is>
      </c>
      <c r="C305" s="9" t="inlineStr">
        <is>
          <t>ARI</t>
        </is>
      </c>
      <c r="D305" s="9" t="n">
        <v>29</v>
      </c>
      <c r="E305" s="16" t="inlineStr">
        <is>
          <t>L</t>
        </is>
      </c>
      <c r="F305" s="16" t="inlineStr">
        <is>
          <t>LF</t>
        </is>
      </c>
      <c r="G305" s="9" t="n">
        <v>315</v>
      </c>
      <c r="H305" s="9" t="n">
        <v>2094</v>
      </c>
      <c r="I305" s="9" t="inlineStr">
        <is>
          <t>Strong Side Platoon</t>
        </is>
      </c>
      <c r="J305" s="16" t="inlineStr">
        <is>
          <t>Opening Day</t>
        </is>
      </c>
      <c r="K305" s="11">
        <f>IFERROR(INDEX(Roles!$B$17:$B$20,MATCH(J305,Roles!$A$17:$A$20,0)),1)</f>
        <v/>
      </c>
      <c r="L305" s="17" t="n">
        <v>1</v>
      </c>
      <c r="M305" s="11" t="n">
        <v>1.057977256999067</v>
      </c>
      <c r="N305" s="17" t="n"/>
      <c r="O305" s="17" t="n"/>
      <c r="P305" s="17" t="n">
        <v>1</v>
      </c>
      <c r="Q305" s="17" t="n"/>
      <c r="R305" s="17" t="n"/>
      <c r="S305" s="17" t="n"/>
      <c r="T305" s="17" t="n"/>
      <c r="U305" s="17" t="n"/>
      <c r="V305" s="17" t="n"/>
      <c r="W305" s="17" t="n"/>
      <c r="X305" s="17" t="n"/>
      <c r="Y305" s="17" t="n"/>
      <c r="Z305" s="13">
        <f>SUMPRODUCT(N305:Y305,$N$2:$Y$2)*$K305*$L305*$M305</f>
        <v/>
      </c>
      <c r="AA305" s="14">
        <f>SUM(N305:Y305)</f>
        <v/>
      </c>
      <c r="AB305" s="14">
        <f>IFERROR(IF(UPPER($E305)="L",SUMPRODUCT(N305:Y305,$N$3:$Y$3,$N$2:$Y$2),SUMPRODUCT(N305:Y305,$N$4:$Y$4,$N$2:$Y$2))/(Z305/($K305*$L305*$M305)),"")</f>
        <v/>
      </c>
      <c r="AC305" s="18" t="n"/>
    </row>
    <row r="306">
      <c r="A306" s="9" t="n">
        <v>657757</v>
      </c>
      <c r="B306" s="9" t="inlineStr">
        <is>
          <t>Gavin Sheets</t>
        </is>
      </c>
      <c r="C306" s="9" t="inlineStr">
        <is>
          <t>SD</t>
        </is>
      </c>
      <c r="D306" s="9" t="n">
        <v>31</v>
      </c>
      <c r="E306" s="16" t="inlineStr">
        <is>
          <t>L</t>
        </is>
      </c>
      <c r="F306" s="16" t="inlineStr">
        <is>
          <t>1B</t>
        </is>
      </c>
      <c r="G306" s="9" t="n">
        <v>419</v>
      </c>
      <c r="H306" s="9" t="n">
        <v>2219</v>
      </c>
      <c r="I306" s="9" t="inlineStr">
        <is>
          <t>Bench Bat</t>
        </is>
      </c>
      <c r="J306" s="16" t="inlineStr">
        <is>
          <t>Opening Day</t>
        </is>
      </c>
      <c r="K306" s="11">
        <f>IFERROR(INDEX(Roles!$B$17:$B$20,MATCH(J306,Roles!$A$17:$A$20,0)),1)</f>
        <v/>
      </c>
      <c r="L306" s="17" t="n">
        <v>1</v>
      </c>
      <c r="M306" s="11" t="n">
        <v>1.15</v>
      </c>
      <c r="N306" s="17" t="n"/>
      <c r="O306" s="17" t="n"/>
      <c r="P306" s="17" t="n"/>
      <c r="Q306" s="17" t="n"/>
      <c r="R306" s="17" t="n"/>
      <c r="S306" s="17" t="n"/>
      <c r="T306" s="17" t="n"/>
      <c r="U306" s="17" t="n">
        <v>0.4</v>
      </c>
      <c r="V306" s="17" t="n"/>
      <c r="W306" s="17" t="n">
        <v>0.6</v>
      </c>
      <c r="X306" s="17" t="n"/>
      <c r="Y306" s="17" t="n"/>
      <c r="Z306" s="13">
        <f>SUMPRODUCT(N306:Y306,$N$2:$Y$2)*$K306*$L306*$M306</f>
        <v/>
      </c>
      <c r="AA306" s="14">
        <f>SUM(N306:Y306)</f>
        <v/>
      </c>
      <c r="AB306" s="14">
        <f>IFERROR(IF(UPPER($E306)="L",SUMPRODUCT(N306:Y306,$N$3:$Y$3,$N$2:$Y$2),SUMPRODUCT(N306:Y306,$N$4:$Y$4,$N$2:$Y$2))/(Z306/($K306*$L306*$M306)),"")</f>
        <v/>
      </c>
      <c r="AC306" s="18" t="n"/>
    </row>
    <row r="307">
      <c r="A307" s="9" t="n">
        <v>455117</v>
      </c>
      <c r="B307" s="9" t="inlineStr">
        <is>
          <t>Martín Maldonado</t>
        </is>
      </c>
      <c r="C307" s="9" t="inlineStr">
        <is>
          <t>SD</t>
        </is>
      </c>
      <c r="D307" s="9" t="n">
        <v>40</v>
      </c>
      <c r="E307" s="16" t="inlineStr">
        <is>
          <t>R</t>
        </is>
      </c>
      <c r="F307" s="16" t="inlineStr">
        <is>
          <t>C</t>
        </is>
      </c>
      <c r="G307" s="9" t="n">
        <v>161</v>
      </c>
      <c r="H307" s="9" t="n">
        <v>1094</v>
      </c>
      <c r="I307" s="9" t="inlineStr">
        <is>
          <t>Catcher - Backup</t>
        </is>
      </c>
      <c r="J307" s="16" t="inlineStr">
        <is>
          <t>Opening Day</t>
        </is>
      </c>
      <c r="K307" s="11">
        <f>IFERROR(INDEX(Roles!$B$17:$B$20,MATCH(J307,Roles!$A$17:$A$20,0)),1)</f>
        <v/>
      </c>
      <c r="L307" s="17" t="n">
        <v>1</v>
      </c>
      <c r="M307" s="11" t="n">
        <v>1</v>
      </c>
      <c r="N307" s="17" t="n"/>
      <c r="O307" s="17" t="n"/>
      <c r="P307" s="17" t="n"/>
      <c r="Q307" s="17" t="n"/>
      <c r="R307" s="17" t="n"/>
      <c r="S307" s="17" t="n"/>
      <c r="T307" s="17" t="n">
        <v>1</v>
      </c>
      <c r="U307" s="17" t="n"/>
      <c r="V307" s="17" t="n"/>
      <c r="W307" s="17" t="n"/>
      <c r="X307" s="17" t="n"/>
      <c r="Y307" s="17" t="n"/>
      <c r="Z307" s="13">
        <f>SUMPRODUCT(N307:Y307,$N$2:$Y$2)*$K307*$L307*$M307</f>
        <v/>
      </c>
      <c r="AA307" s="14">
        <f>SUM(N307:Y307)</f>
        <v/>
      </c>
      <c r="AB307" s="14">
        <f>IFERROR(IF(UPPER($E307)="L",SUMPRODUCT(N307:Y307,$N$3:$Y$3,$N$2:$Y$2),SUMPRODUCT(N307:Y307,$N$4:$Y$4,$N$2:$Y$2))/(Z307/($K307*$L307*$M307)),"")</f>
        <v/>
      </c>
      <c r="AC307" s="18" t="n"/>
    </row>
    <row r="308">
      <c r="A308" s="9" t="n">
        <v>691016</v>
      </c>
      <c r="B308" s="9" t="inlineStr">
        <is>
          <t>Tyler Soderstrom</t>
        </is>
      </c>
      <c r="C308" s="9" t="inlineStr">
        <is>
          <t>OAK</t>
        </is>
      </c>
      <c r="D308" s="9" t="n">
        <v>25</v>
      </c>
      <c r="E308" s="16" t="inlineStr">
        <is>
          <t>L</t>
        </is>
      </c>
      <c r="F308" s="16" t="inlineStr">
        <is>
          <t>LF</t>
        </is>
      </c>
      <c r="G308" s="9" t="n">
        <v>453</v>
      </c>
      <c r="H308" s="9" t="n">
        <v>1428</v>
      </c>
      <c r="I308" s="9" t="inlineStr">
        <is>
          <t>Full Time</t>
        </is>
      </c>
      <c r="J308" s="16" t="inlineStr">
        <is>
          <t>Opening Day</t>
        </is>
      </c>
      <c r="K308" s="11">
        <f>IFERROR(INDEX(Roles!$B$17:$B$20,MATCH(J308,Roles!$A$17:$A$20,0)),1)</f>
        <v/>
      </c>
      <c r="L308" s="17" t="n">
        <v>1</v>
      </c>
      <c r="M308" s="11" t="n">
        <v>0.9704007193123402</v>
      </c>
      <c r="N308" s="17" t="n">
        <v>1</v>
      </c>
      <c r="O308" s="17" t="n"/>
      <c r="P308" s="17" t="n"/>
      <c r="Q308" s="17" t="n"/>
      <c r="R308" s="17" t="n"/>
      <c r="S308" s="17" t="n"/>
      <c r="T308" s="17" t="n"/>
      <c r="U308" s="17" t="n"/>
      <c r="V308" s="17" t="n"/>
      <c r="W308" s="17" t="n"/>
      <c r="X308" s="17" t="n"/>
      <c r="Y308" s="17" t="n"/>
      <c r="Z308" s="13">
        <f>SUMPRODUCT(N308:Y308,$N$2:$Y$2)*$K308*$L308*$M308</f>
        <v/>
      </c>
      <c r="AA308" s="14">
        <f>SUM(N308:Y308)</f>
        <v/>
      </c>
      <c r="AB308" s="14">
        <f>IFERROR(IF(UPPER($E308)="L",SUMPRODUCT(N308:Y308,$N$3:$Y$3,$N$2:$Y$2),SUMPRODUCT(N308:Y308,$N$4:$Y$4,$N$2:$Y$2))/(Z308/($K308*$L308*$M308)),"")</f>
        <v/>
      </c>
      <c r="AC308" s="18" t="n"/>
    </row>
    <row r="309">
      <c r="A309" s="9" t="n">
        <v>678010</v>
      </c>
      <c r="B309" s="9" t="inlineStr">
        <is>
          <t>Nick Schnell</t>
        </is>
      </c>
      <c r="C309" s="9" t="inlineStr">
        <is>
          <t>SD</t>
        </is>
      </c>
      <c r="D309" s="9" t="n">
        <v>25</v>
      </c>
      <c r="E309" s="16" t="inlineStr">
        <is>
          <t>L</t>
        </is>
      </c>
      <c r="F309" s="16" t="n"/>
      <c r="G309" s="9" t="n">
        <v>134.2564102564103</v>
      </c>
      <c r="H309" s="9" t="n">
        <v>134.2564102564103</v>
      </c>
      <c r="I309" s="9" t="inlineStr">
        <is>
          <t>Depth (no MLB PA)</t>
        </is>
      </c>
      <c r="J309" s="16" t="inlineStr">
        <is>
          <t>Opening Day</t>
        </is>
      </c>
      <c r="K309" s="11">
        <f>IFERROR(INDEX(Roles!$B$17:$B$20,MATCH(J309,Roles!$A$17:$A$20,0)),1)</f>
        <v/>
      </c>
      <c r="L309" s="17" t="n">
        <v>1</v>
      </c>
      <c r="M309" s="11" t="n">
        <v>1</v>
      </c>
      <c r="N309" s="17" t="n"/>
      <c r="O309" s="17" t="n"/>
      <c r="P309" s="17" t="n"/>
      <c r="Q309" s="17" t="n"/>
      <c r="R309" s="17" t="n"/>
      <c r="S309" s="17" t="n"/>
      <c r="T309" s="17" t="n"/>
      <c r="U309" s="17" t="n"/>
      <c r="V309" s="17" t="n"/>
      <c r="W309" s="17" t="n"/>
      <c r="X309" s="17" t="n"/>
      <c r="Y309" s="17" t="n">
        <v>1</v>
      </c>
      <c r="Z309" s="13">
        <f>SUMPRODUCT(N309:Y309,$N$2:$Y$2)*$K309*$L309*$M309</f>
        <v/>
      </c>
      <c r="AA309" s="14">
        <f>SUM(N309:Y309)</f>
        <v/>
      </c>
      <c r="AB309" s="14">
        <f>IFERROR(IF(UPPER($E309)="L",SUMPRODUCT(N309:Y309,$N$3:$Y$3,$N$2:$Y$2),SUMPRODUCT(N309:Y309,$N$4:$Y$4,$N$2:$Y$2))/(Z309/($K309*$L309*$M309)),"")</f>
        <v/>
      </c>
      <c r="AC309" s="18" t="n"/>
    </row>
    <row r="310">
      <c r="A310" s="9" t="n">
        <v>605244</v>
      </c>
      <c r="B310" s="9" t="inlineStr">
        <is>
          <t>Aramis Garcia</t>
        </is>
      </c>
      <c r="C310" s="9" t="inlineStr">
        <is>
          <t>CIN</t>
        </is>
      </c>
      <c r="D310" s="9" t="n">
        <v>34</v>
      </c>
      <c r="E310" s="16" t="inlineStr">
        <is>
          <t>R</t>
        </is>
      </c>
      <c r="F310" s="16" t="inlineStr">
        <is>
          <t>C</t>
        </is>
      </c>
      <c r="G310" s="9" t="n">
        <v>19</v>
      </c>
      <c r="H310" s="9" t="n">
        <v>145</v>
      </c>
      <c r="I310" s="9" t="inlineStr">
        <is>
          <t>Depth (no MLB PA)</t>
        </is>
      </c>
      <c r="J310" s="16" t="inlineStr">
        <is>
          <t>Opening Day</t>
        </is>
      </c>
      <c r="K310" s="11">
        <f>IFERROR(INDEX(Roles!$B$17:$B$20,MATCH(J310,Roles!$A$17:$A$20,0)),1)</f>
        <v/>
      </c>
      <c r="L310" s="17" t="n">
        <v>1</v>
      </c>
      <c r="M310" s="11" t="n">
        <v>1</v>
      </c>
      <c r="N310" s="17" t="n"/>
      <c r="O310" s="17" t="n"/>
      <c r="P310" s="17" t="n"/>
      <c r="Q310" s="17" t="n"/>
      <c r="R310" s="17" t="n"/>
      <c r="S310" s="17" t="n"/>
      <c r="T310" s="17" t="n"/>
      <c r="U310" s="17" t="n"/>
      <c r="V310" s="17" t="n"/>
      <c r="W310" s="17" t="n"/>
      <c r="X310" s="17" t="n"/>
      <c r="Y310" s="17" t="n">
        <v>1</v>
      </c>
      <c r="Z310" s="13">
        <f>SUMPRODUCT(N310:Y310,$N$2:$Y$2)*$K310*$L310*$M310</f>
        <v/>
      </c>
      <c r="AA310" s="14">
        <f>SUM(N310:Y310)</f>
        <v/>
      </c>
      <c r="AB310" s="14">
        <f>IFERROR(IF(UPPER($E310)="L",SUMPRODUCT(N310:Y310,$N$3:$Y$3,$N$2:$Y$2),SUMPRODUCT(N310:Y310,$N$4:$Y$4,$N$2:$Y$2))/(Z310/($K310*$L310*$M310)),"")</f>
        <v/>
      </c>
      <c r="AC310" s="18" t="n"/>
    </row>
    <row r="311">
      <c r="A311" s="9" t="n">
        <v>681433</v>
      </c>
      <c r="B311" s="9" t="inlineStr">
        <is>
          <t>Noah Cardenas</t>
        </is>
      </c>
      <c r="C311" s="9" t="inlineStr">
        <is>
          <t>MIN</t>
        </is>
      </c>
      <c r="D311" s="9" t="n">
        <v>25</v>
      </c>
      <c r="E311" s="16" t="inlineStr">
        <is>
          <t>R</t>
        </is>
      </c>
      <c r="F311" s="16" t="n"/>
      <c r="G311" s="9" t="n">
        <v>147.7948717948718</v>
      </c>
      <c r="H311" s="9" t="n">
        <v>147.7948717948718</v>
      </c>
      <c r="I311" s="9" t="inlineStr">
        <is>
          <t>Depth (no MLB PA)</t>
        </is>
      </c>
      <c r="J311" s="16" t="inlineStr">
        <is>
          <t>Opening Day</t>
        </is>
      </c>
      <c r="K311" s="11">
        <f>IFERROR(INDEX(Roles!$B$17:$B$20,MATCH(J311,Roles!$A$17:$A$20,0)),1)</f>
        <v/>
      </c>
      <c r="L311" s="17" t="n">
        <v>1</v>
      </c>
      <c r="M311" s="11" t="n">
        <v>1</v>
      </c>
      <c r="N311" s="17" t="n"/>
      <c r="O311" s="17" t="n"/>
      <c r="P311" s="17" t="n"/>
      <c r="Q311" s="17" t="n"/>
      <c r="R311" s="17" t="n"/>
      <c r="S311" s="17" t="n"/>
      <c r="T311" s="17" t="n"/>
      <c r="U311" s="17" t="n"/>
      <c r="V311" s="17" t="n"/>
      <c r="W311" s="17" t="n"/>
      <c r="X311" s="17" t="n"/>
      <c r="Y311" s="17" t="n">
        <v>1</v>
      </c>
      <c r="Z311" s="13">
        <f>SUMPRODUCT(N311:Y311,$N$2:$Y$2)*$K311*$L311*$M311</f>
        <v/>
      </c>
      <c r="AA311" s="14">
        <f>SUM(N311:Y311)</f>
        <v/>
      </c>
      <c r="AB311" s="14">
        <f>IFERROR(IF(UPPER($E311)="L",SUMPRODUCT(N311:Y311,$N$3:$Y$3,$N$2:$Y$2),SUMPRODUCT(N311:Y311,$N$4:$Y$4,$N$2:$Y$2))/(Z311/($K311*$L311*$M311)),"")</f>
        <v/>
      </c>
      <c r="AC311" s="18" t="n"/>
    </row>
    <row r="312">
      <c r="A312" s="9" t="n">
        <v>669004</v>
      </c>
      <c r="B312" s="9" t="inlineStr">
        <is>
          <t>MJ Melendez</t>
        </is>
      </c>
      <c r="C312" s="9" t="inlineStr">
        <is>
          <t>NYM</t>
        </is>
      </c>
      <c r="D312" s="9" t="n">
        <v>28</v>
      </c>
      <c r="E312" s="16" t="inlineStr">
        <is>
          <t>L</t>
        </is>
      </c>
      <c r="F312" s="16" t="inlineStr">
        <is>
          <t>LF</t>
        </is>
      </c>
      <c r="G312" s="9" t="n">
        <v>144</v>
      </c>
      <c r="H312" s="9" t="n">
        <v>1796</v>
      </c>
      <c r="I312" s="9" t="inlineStr">
        <is>
          <t>Bench Bat</t>
        </is>
      </c>
      <c r="J312" s="16" t="inlineStr">
        <is>
          <t>Opening Day</t>
        </is>
      </c>
      <c r="K312" s="11">
        <f>IFERROR(INDEX(Roles!$B$17:$B$20,MATCH(J312,Roles!$A$17:$A$20,0)),1)</f>
        <v/>
      </c>
      <c r="L312" s="17" t="n">
        <v>1</v>
      </c>
      <c r="M312" s="11" t="n">
        <v>0.7768404207741539</v>
      </c>
      <c r="N312" s="17" t="n"/>
      <c r="O312" s="17" t="n"/>
      <c r="P312" s="17" t="n"/>
      <c r="Q312" s="17" t="n"/>
      <c r="R312" s="17" t="n"/>
      <c r="S312" s="17" t="n"/>
      <c r="T312" s="17" t="n"/>
      <c r="U312" s="17" t="n"/>
      <c r="V312" s="17" t="n"/>
      <c r="W312" s="17" t="n">
        <v>1</v>
      </c>
      <c r="X312" s="17" t="n"/>
      <c r="Y312" s="17" t="n"/>
      <c r="Z312" s="13">
        <f>SUMPRODUCT(N312:Y312,$N$2:$Y$2)*$K312*$L312*$M312</f>
        <v/>
      </c>
      <c r="AA312" s="14">
        <f>SUM(N312:Y312)</f>
        <v/>
      </c>
      <c r="AB312" s="14">
        <f>IFERROR(IF(UPPER($E312)="L",SUMPRODUCT(N312:Y312,$N$3:$Y$3,$N$2:$Y$2),SUMPRODUCT(N312:Y312,$N$4:$Y$4,$N$2:$Y$2))/(Z312/($K312*$L312*$M312)),"")</f>
        <v/>
      </c>
      <c r="AC312" s="18" t="n"/>
    </row>
    <row r="313">
      <c r="A313" s="9" t="n">
        <v>691788</v>
      </c>
      <c r="B313" s="9" t="inlineStr">
        <is>
          <t>Joe Mack</t>
        </is>
      </c>
      <c r="C313" s="9" t="inlineStr">
        <is>
          <t>MIA</t>
        </is>
      </c>
      <c r="D313" s="9" t="n">
        <v>24</v>
      </c>
      <c r="E313" s="16" t="inlineStr">
        <is>
          <t>L</t>
        </is>
      </c>
      <c r="F313" s="16" t="inlineStr">
        <is>
          <t>C</t>
        </is>
      </c>
      <c r="G313" s="9" t="n">
        <v>330</v>
      </c>
      <c r="H313" s="9" t="n">
        <v>330</v>
      </c>
      <c r="I313" s="9" t="inlineStr">
        <is>
          <t>Strong Side Platoon</t>
        </is>
      </c>
      <c r="J313" s="16" t="inlineStr">
        <is>
          <t>Opening Day</t>
        </is>
      </c>
      <c r="K313" s="11">
        <f>IFERROR(INDEX(Roles!$B$17:$B$20,MATCH(J313,Roles!$A$17:$A$20,0)),1)</f>
        <v/>
      </c>
      <c r="L313" s="17" t="n">
        <v>1</v>
      </c>
      <c r="M313" s="11" t="n">
        <v>0.9653834228777952</v>
      </c>
      <c r="N313" s="17" t="n"/>
      <c r="O313" s="17" t="n"/>
      <c r="P313" s="17" t="n">
        <v>0.6</v>
      </c>
      <c r="Q313" s="17" t="n"/>
      <c r="R313" s="17" t="n">
        <v>0.4</v>
      </c>
      <c r="S313" s="17" t="n"/>
      <c r="T313" s="17" t="n"/>
      <c r="U313" s="17" t="n"/>
      <c r="V313" s="17" t="n"/>
      <c r="W313" s="17" t="n"/>
      <c r="X313" s="17" t="n"/>
      <c r="Y313" s="17" t="n"/>
      <c r="Z313" s="13">
        <f>SUMPRODUCT(N313:Y313,$N$2:$Y$2)*$K313*$L313*$M313</f>
        <v/>
      </c>
      <c r="AA313" s="14">
        <f>SUM(N313:Y313)</f>
        <v/>
      </c>
      <c r="AB313" s="14">
        <f>IFERROR(IF(UPPER($E313)="L",SUMPRODUCT(N313:Y313,$N$3:$Y$3,$N$2:$Y$2),SUMPRODUCT(N313:Y313,$N$4:$Y$4,$N$2:$Y$2))/(Z313/($K313*$L313*$M313)),"")</f>
        <v/>
      </c>
      <c r="AC313" s="18" t="n"/>
    </row>
    <row r="314">
      <c r="A314" s="9" t="n">
        <v>682989</v>
      </c>
      <c r="B314" s="9" t="inlineStr">
        <is>
          <t>Victor Mederos</t>
        </is>
      </c>
      <c r="C314" s="9" t="inlineStr">
        <is>
          <t>ATL</t>
        </is>
      </c>
      <c r="D314" s="9" t="n">
        <v>26</v>
      </c>
      <c r="E314" s="16" t="inlineStr">
        <is>
          <t>R</t>
        </is>
      </c>
      <c r="F314" s="16" t="inlineStr">
        <is>
          <t>P</t>
        </is>
      </c>
      <c r="G314" s="9" t="n">
        <v>1</v>
      </c>
      <c r="H314" s="9" t="n">
        <v>1</v>
      </c>
      <c r="I314" s="9" t="inlineStr">
        <is>
          <t>Depth (no MLB PA)</t>
        </is>
      </c>
      <c r="J314" s="16" t="inlineStr">
        <is>
          <t>Opening Day</t>
        </is>
      </c>
      <c r="K314" s="11">
        <f>IFERROR(INDEX(Roles!$B$17:$B$20,MATCH(J314,Roles!$A$17:$A$20,0)),1)</f>
        <v/>
      </c>
      <c r="L314" s="17" t="n">
        <v>1</v>
      </c>
      <c r="M314" s="11" t="n">
        <v>1</v>
      </c>
      <c r="N314" s="17" t="n"/>
      <c r="O314" s="17" t="n"/>
      <c r="P314" s="17" t="n"/>
      <c r="Q314" s="17" t="n"/>
      <c r="R314" s="17" t="n"/>
      <c r="S314" s="17" t="n"/>
      <c r="T314" s="17" t="n"/>
      <c r="U314" s="17" t="n"/>
      <c r="V314" s="17" t="n"/>
      <c r="W314" s="17" t="n"/>
      <c r="X314" s="17" t="n"/>
      <c r="Y314" s="17" t="n">
        <v>1</v>
      </c>
      <c r="Z314" s="13">
        <f>SUMPRODUCT(N314:Y314,$N$2:$Y$2)*$K314*$L314*$M314</f>
        <v/>
      </c>
      <c r="AA314" s="14">
        <f>SUM(N314:Y314)</f>
        <v/>
      </c>
      <c r="AB314" s="14">
        <f>IFERROR(IF(UPPER($E314)="L",SUMPRODUCT(N314:Y314,$N$3:$Y$3,$N$2:$Y$2),SUMPRODUCT(N314:Y314,$N$4:$Y$4,$N$2:$Y$2))/(Z314/($K314*$L314*$M314)),"")</f>
        <v/>
      </c>
      <c r="AC314" s="18" t="n"/>
    </row>
    <row r="315">
      <c r="A315" s="9" t="n">
        <v>571771</v>
      </c>
      <c r="B315" s="9" t="inlineStr">
        <is>
          <t>Enrique Hernández</t>
        </is>
      </c>
      <c r="C315" s="9" t="inlineStr">
        <is>
          <t>LAD</t>
        </is>
      </c>
      <c r="D315" s="9" t="n">
        <v>35</v>
      </c>
      <c r="E315" s="16" t="inlineStr">
        <is>
          <t>R</t>
        </is>
      </c>
      <c r="F315" s="16" t="inlineStr">
        <is>
          <t>3B</t>
        </is>
      </c>
      <c r="G315" s="9" t="n">
        <v>96</v>
      </c>
      <c r="H315" s="9" t="n">
        <v>1655</v>
      </c>
      <c r="I315" s="9" t="inlineStr">
        <is>
          <t>Utility IF</t>
        </is>
      </c>
      <c r="J315" s="16" t="inlineStr">
        <is>
          <t>Opening Day</t>
        </is>
      </c>
      <c r="K315" s="11">
        <f>IFERROR(INDEX(Roles!$B$17:$B$20,MATCH(J315,Roles!$A$17:$A$20,0)),1)</f>
        <v/>
      </c>
      <c r="L315" s="17" t="n">
        <v>1</v>
      </c>
      <c r="M315" s="11" t="n">
        <v>0.9166017777298352</v>
      </c>
      <c r="N315" s="17" t="n"/>
      <c r="O315" s="17" t="n"/>
      <c r="P315" s="17" t="n"/>
      <c r="Q315" s="17" t="n"/>
      <c r="R315" s="17" t="n"/>
      <c r="S315" s="17" t="n"/>
      <c r="T315" s="17" t="n"/>
      <c r="U315" s="17" t="n">
        <v>0.7</v>
      </c>
      <c r="V315" s="17" t="n"/>
      <c r="W315" s="17" t="n">
        <v>0.3</v>
      </c>
      <c r="X315" s="17" t="n"/>
      <c r="Y315" s="17" t="n"/>
      <c r="Z315" s="13">
        <f>SUMPRODUCT(N315:Y315,$N$2:$Y$2)*$K315*$L315*$M315</f>
        <v/>
      </c>
      <c r="AA315" s="14">
        <f>SUM(N315:Y315)</f>
        <v/>
      </c>
      <c r="AB315" s="14">
        <f>IFERROR(IF(UPPER($E315)="L",SUMPRODUCT(N315:Y315,$N$3:$Y$3,$N$2:$Y$2),SUMPRODUCT(N315:Y315,$N$4:$Y$4,$N$2:$Y$2))/(Z315/($K315*$L315*$M315)),"")</f>
        <v/>
      </c>
      <c r="AC315" s="18" t="n"/>
    </row>
    <row r="316">
      <c r="A316" s="9" t="n">
        <v>656537</v>
      </c>
      <c r="B316" s="9" t="inlineStr">
        <is>
          <t>Derek Hill</t>
        </is>
      </c>
      <c r="C316" s="9" t="inlineStr">
        <is>
          <t>PHI</t>
        </is>
      </c>
      <c r="D316" s="9" t="n">
        <v>31</v>
      </c>
      <c r="E316" s="16" t="inlineStr">
        <is>
          <t>R</t>
        </is>
      </c>
      <c r="F316" s="16" t="inlineStr">
        <is>
          <t>CF</t>
        </is>
      </c>
      <c r="G316" s="9" t="n">
        <v>216</v>
      </c>
      <c r="H316" s="9" t="n">
        <v>679</v>
      </c>
      <c r="I316" s="9" t="inlineStr">
        <is>
          <t>Weak Side Platoon</t>
        </is>
      </c>
      <c r="J316" s="16" t="inlineStr">
        <is>
          <t>Opening Day</t>
        </is>
      </c>
      <c r="K316" s="11">
        <f>IFERROR(INDEX(Roles!$B$17:$B$20,MATCH(J316,Roles!$A$17:$A$20,0)),1)</f>
        <v/>
      </c>
      <c r="L316" s="17" t="n">
        <v>1</v>
      </c>
      <c r="M316" s="11" t="n">
        <v>0.9951900108499396</v>
      </c>
      <c r="N316" s="17" t="n"/>
      <c r="O316" s="17" t="n"/>
      <c r="P316" s="17" t="n"/>
      <c r="Q316" s="17" t="n">
        <v>0.6</v>
      </c>
      <c r="R316" s="17" t="n"/>
      <c r="S316" s="17" t="n"/>
      <c r="T316" s="17" t="n"/>
      <c r="U316" s="17" t="n"/>
      <c r="V316" s="17" t="n">
        <v>0.4</v>
      </c>
      <c r="W316" s="17" t="n"/>
      <c r="X316" s="17" t="n"/>
      <c r="Y316" s="17" t="n"/>
      <c r="Z316" s="13">
        <f>SUMPRODUCT(N316:Y316,$N$2:$Y$2)*$K316*$L316*$M316</f>
        <v/>
      </c>
      <c r="AA316" s="14">
        <f>SUM(N316:Y316)</f>
        <v/>
      </c>
      <c r="AB316" s="14">
        <f>IFERROR(IF(UPPER($E316)="L",SUMPRODUCT(N316:Y316,$N$3:$Y$3,$N$2:$Y$2),SUMPRODUCT(N316:Y316,$N$4:$Y$4,$N$2:$Y$2))/(Z316/($K316*$L316*$M316)),"")</f>
        <v/>
      </c>
      <c r="AC316" s="18" t="n"/>
    </row>
    <row r="317">
      <c r="A317" s="9" t="n">
        <v>691792</v>
      </c>
      <c r="B317" s="9" t="inlineStr">
        <is>
          <t>Roc Riggio</t>
        </is>
      </c>
      <c r="C317" s="9" t="inlineStr">
        <is>
          <t>COL</t>
        </is>
      </c>
      <c r="D317" s="9" t="n">
        <v>25</v>
      </c>
      <c r="E317" s="16" t="inlineStr">
        <is>
          <t>L</t>
        </is>
      </c>
      <c r="F317" s="16" t="n"/>
      <c r="G317" s="9" t="n">
        <v>56.41025641025642</v>
      </c>
      <c r="H317" s="9" t="n">
        <v>56.41025641025642</v>
      </c>
      <c r="I317" s="9" t="inlineStr">
        <is>
          <t>Depth (no MLB PA)</t>
        </is>
      </c>
      <c r="J317" s="16" t="inlineStr">
        <is>
          <t>Opening Day</t>
        </is>
      </c>
      <c r="K317" s="11">
        <f>IFERROR(INDEX(Roles!$B$17:$B$20,MATCH(J317,Roles!$A$17:$A$20,0)),1)</f>
        <v/>
      </c>
      <c r="L317" s="17" t="n">
        <v>1</v>
      </c>
      <c r="M317" s="11" t="n">
        <v>1</v>
      </c>
      <c r="N317" s="17" t="n"/>
      <c r="O317" s="17" t="n"/>
      <c r="P317" s="17" t="n"/>
      <c r="Q317" s="17" t="n"/>
      <c r="R317" s="17" t="n"/>
      <c r="S317" s="17" t="n"/>
      <c r="T317" s="17" t="n"/>
      <c r="U317" s="17" t="n"/>
      <c r="V317" s="17" t="n"/>
      <c r="W317" s="17" t="n"/>
      <c r="X317" s="17" t="n"/>
      <c r="Y317" s="17" t="n">
        <v>1</v>
      </c>
      <c r="Z317" s="13">
        <f>SUMPRODUCT(N317:Y317,$N$2:$Y$2)*$K317*$L317*$M317</f>
        <v/>
      </c>
      <c r="AA317" s="14">
        <f>SUM(N317:Y317)</f>
        <v/>
      </c>
      <c r="AB317" s="14">
        <f>IFERROR(IF(UPPER($E317)="L",SUMPRODUCT(N317:Y317,$N$3:$Y$3,$N$2:$Y$2),SUMPRODUCT(N317:Y317,$N$4:$Y$4,$N$2:$Y$2))/(Z317/($K317*$L317*$M317)),"")</f>
        <v/>
      </c>
      <c r="AC317" s="18" t="n"/>
    </row>
    <row r="318">
      <c r="A318" s="9" t="n">
        <v>806146</v>
      </c>
      <c r="B318" s="9" t="inlineStr">
        <is>
          <t>George Lombard Jr.</t>
        </is>
      </c>
      <c r="C318" s="9" t="inlineStr">
        <is>
          <t>NYY</t>
        </is>
      </c>
      <c r="D318" s="9" t="n">
        <v>22</v>
      </c>
      <c r="E318" s="16" t="inlineStr">
        <is>
          <t>R</t>
        </is>
      </c>
      <c r="F318" s="16" t="inlineStr">
        <is>
          <t>SS</t>
        </is>
      </c>
      <c r="G318" s="9" t="n">
        <v>166</v>
      </c>
      <c r="H318" s="9" t="n">
        <v>166</v>
      </c>
      <c r="I318" s="9" t="inlineStr">
        <is>
          <t>Full Time</t>
        </is>
      </c>
      <c r="J318" s="16" t="inlineStr">
        <is>
          <t>Opening Day</t>
        </is>
      </c>
      <c r="K318" s="11">
        <f>IFERROR(INDEX(Roles!$B$17:$B$20,MATCH(J318,Roles!$A$17:$A$20,0)),1)</f>
        <v/>
      </c>
      <c r="L318" s="17" t="n">
        <v>1</v>
      </c>
      <c r="M318" s="11" t="n">
        <v>1</v>
      </c>
      <c r="N318" s="17" t="n">
        <v>1</v>
      </c>
      <c r="O318" s="17" t="n"/>
      <c r="P318" s="17" t="n"/>
      <c r="Q318" s="17" t="n"/>
      <c r="R318" s="17" t="n"/>
      <c r="S318" s="17" t="n"/>
      <c r="T318" s="17" t="n"/>
      <c r="U318" s="17" t="n"/>
      <c r="V318" s="17" t="n"/>
      <c r="W318" s="17" t="n"/>
      <c r="X318" s="17" t="n"/>
      <c r="Y318" s="17" t="n"/>
      <c r="Z318" s="13">
        <f>SUMPRODUCT(N318:Y318,$N$2:$Y$2)*$K318*$L318*$M318</f>
        <v/>
      </c>
      <c r="AA318" s="14">
        <f>SUM(N318:Y318)</f>
        <v/>
      </c>
      <c r="AB318" s="14">
        <f>IFERROR(IF(UPPER($E318)="L",SUMPRODUCT(N318:Y318,$N$3:$Y$3,$N$2:$Y$2),SUMPRODUCT(N318:Y318,$N$4:$Y$4,$N$2:$Y$2))/(Z318/($K318*$L318*$M318)),"")</f>
        <v/>
      </c>
      <c r="AC318" s="18" t="n"/>
    </row>
    <row r="319">
      <c r="A319" s="9" t="n">
        <v>694224</v>
      </c>
      <c r="B319" s="9" t="inlineStr">
        <is>
          <t>Gabriel Gonzalez</t>
        </is>
      </c>
      <c r="C319" s="9" t="inlineStr">
        <is>
          <t>MIN</t>
        </is>
      </c>
      <c r="D319" s="9" t="n">
        <v>23</v>
      </c>
      <c r="E319" s="16" t="inlineStr">
        <is>
          <t>R</t>
        </is>
      </c>
      <c r="F319" s="16" t="inlineStr">
        <is>
          <t>LF</t>
        </is>
      </c>
      <c r="G319" s="9" t="n">
        <v>11</v>
      </c>
      <c r="H319" s="9" t="n">
        <v>11</v>
      </c>
      <c r="I319" s="9" t="inlineStr">
        <is>
          <t>Depth (no MLB PA)</t>
        </is>
      </c>
      <c r="J319" s="16" t="inlineStr">
        <is>
          <t>Opening Day</t>
        </is>
      </c>
      <c r="K319" s="11">
        <f>IFERROR(INDEX(Roles!$B$17:$B$20,MATCH(J319,Roles!$A$17:$A$20,0)),1)</f>
        <v/>
      </c>
      <c r="L319" s="17" t="n">
        <v>1</v>
      </c>
      <c r="M319" s="11" t="n">
        <v>1</v>
      </c>
      <c r="N319" s="17" t="n"/>
      <c r="O319" s="17" t="n"/>
      <c r="P319" s="17" t="n"/>
      <c r="Q319" s="17" t="n"/>
      <c r="R319" s="17" t="n"/>
      <c r="S319" s="17" t="n"/>
      <c r="T319" s="17" t="n"/>
      <c r="U319" s="17" t="n"/>
      <c r="V319" s="17" t="n"/>
      <c r="W319" s="17" t="n"/>
      <c r="X319" s="17" t="n"/>
      <c r="Y319" s="17" t="n">
        <v>1</v>
      </c>
      <c r="Z319" s="13">
        <f>SUMPRODUCT(N319:Y319,$N$2:$Y$2)*$K319*$L319*$M319</f>
        <v/>
      </c>
      <c r="AA319" s="14">
        <f>SUM(N319:Y319)</f>
        <v/>
      </c>
      <c r="AB319" s="14">
        <f>IFERROR(IF(UPPER($E319)="L",SUMPRODUCT(N319:Y319,$N$3:$Y$3,$N$2:$Y$2),SUMPRODUCT(N319:Y319,$N$4:$Y$4,$N$2:$Y$2))/(Z319/($K319*$L319*$M319)),"")</f>
        <v/>
      </c>
      <c r="AC319" s="18" t="n"/>
    </row>
    <row r="320">
      <c r="A320" s="9" t="n">
        <v>703156</v>
      </c>
      <c r="B320" s="9" t="inlineStr">
        <is>
          <t>Tony Blanco Jr.</t>
        </is>
      </c>
      <c r="C320" s="9" t="inlineStr">
        <is>
          <t>PIT</t>
        </is>
      </c>
      <c r="D320" s="9" t="n">
        <v>22</v>
      </c>
      <c r="E320" s="16" t="inlineStr">
        <is>
          <t>R</t>
        </is>
      </c>
      <c r="F320" s="16" t="n"/>
      <c r="G320" s="9" t="n">
        <v>67.48717948717949</v>
      </c>
      <c r="H320" s="9" t="n">
        <v>67.48717948717949</v>
      </c>
      <c r="I320" s="9" t="inlineStr">
        <is>
          <t>Depth (no MLB PA)</t>
        </is>
      </c>
      <c r="J320" s="16" t="inlineStr">
        <is>
          <t>Opening Day</t>
        </is>
      </c>
      <c r="K320" s="11">
        <f>IFERROR(INDEX(Roles!$B$17:$B$20,MATCH(J320,Roles!$A$17:$A$20,0)),1)</f>
        <v/>
      </c>
      <c r="L320" s="17" t="n">
        <v>1</v>
      </c>
      <c r="M320" s="11" t="n">
        <v>1</v>
      </c>
      <c r="N320" s="17" t="n"/>
      <c r="O320" s="17" t="n"/>
      <c r="P320" s="17" t="n"/>
      <c r="Q320" s="17" t="n"/>
      <c r="R320" s="17" t="n"/>
      <c r="S320" s="17" t="n"/>
      <c r="T320" s="17" t="n"/>
      <c r="U320" s="17" t="n"/>
      <c r="V320" s="17" t="n"/>
      <c r="W320" s="17" t="n"/>
      <c r="X320" s="17" t="n"/>
      <c r="Y320" s="17" t="n">
        <v>1</v>
      </c>
      <c r="Z320" s="13">
        <f>SUMPRODUCT(N320:Y320,$N$2:$Y$2)*$K320*$L320*$M320</f>
        <v/>
      </c>
      <c r="AA320" s="14">
        <f>SUM(N320:Y320)</f>
        <v/>
      </c>
      <c r="AB320" s="14">
        <f>IFERROR(IF(UPPER($E320)="L",SUMPRODUCT(N320:Y320,$N$3:$Y$3,$N$2:$Y$2),SUMPRODUCT(N320:Y320,$N$4:$Y$4,$N$2:$Y$2))/(Z320/($K320*$L320*$M320)),"")</f>
        <v/>
      </c>
      <c r="AC320" s="18" t="n"/>
    </row>
    <row r="321">
      <c r="A321" s="9" t="n">
        <v>814436</v>
      </c>
      <c r="B321" s="9" t="inlineStr">
        <is>
          <t>Ryan Galanie</t>
        </is>
      </c>
      <c r="C321" s="9" t="inlineStr">
        <is>
          <t>CWS</t>
        </is>
      </c>
      <c r="D321" s="9" t="n">
        <v>25</v>
      </c>
      <c r="E321" s="16" t="inlineStr">
        <is>
          <t>R</t>
        </is>
      </c>
      <c r="F321" s="16" t="n"/>
      <c r="G321" s="9" t="n">
        <v>230.1538461538462</v>
      </c>
      <c r="H321" s="9" t="n">
        <v>230.1538461538462</v>
      </c>
      <c r="I321" s="9" t="inlineStr">
        <is>
          <t>Depth (no MLB PA)</t>
        </is>
      </c>
      <c r="J321" s="16" t="inlineStr">
        <is>
          <t>Opening Day</t>
        </is>
      </c>
      <c r="K321" s="11">
        <f>IFERROR(INDEX(Roles!$B$17:$B$20,MATCH(J321,Roles!$A$17:$A$20,0)),1)</f>
        <v/>
      </c>
      <c r="L321" s="17" t="n">
        <v>1</v>
      </c>
      <c r="M321" s="11" t="n">
        <v>1</v>
      </c>
      <c r="N321" s="17" t="n"/>
      <c r="O321" s="17" t="n"/>
      <c r="P321" s="17" t="n"/>
      <c r="Q321" s="17" t="n"/>
      <c r="R321" s="17" t="n"/>
      <c r="S321" s="17" t="n"/>
      <c r="T321" s="17" t="n"/>
      <c r="U321" s="17" t="n"/>
      <c r="V321" s="17" t="n"/>
      <c r="W321" s="17" t="n"/>
      <c r="X321" s="17" t="n"/>
      <c r="Y321" s="17" t="n">
        <v>1</v>
      </c>
      <c r="Z321" s="13">
        <f>SUMPRODUCT(N321:Y321,$N$2:$Y$2)*$K321*$L321*$M321</f>
        <v/>
      </c>
      <c r="AA321" s="14">
        <f>SUM(N321:Y321)</f>
        <v/>
      </c>
      <c r="AB321" s="14">
        <f>IFERROR(IF(UPPER($E321)="L",SUMPRODUCT(N321:Y321,$N$3:$Y$3,$N$2:$Y$2),SUMPRODUCT(N321:Y321,$N$4:$Y$4,$N$2:$Y$2))/(Z321/($K321*$L321*$M321)),"")</f>
        <v/>
      </c>
      <c r="AC321" s="18" t="n"/>
    </row>
    <row r="322">
      <c r="A322" s="9" t="n">
        <v>703477</v>
      </c>
      <c r="B322" s="9" t="inlineStr">
        <is>
          <t>Brooks Brannon</t>
        </is>
      </c>
      <c r="C322" s="9" t="inlineStr">
        <is>
          <t>BOS</t>
        </is>
      </c>
      <c r="D322" s="9" t="n">
        <v>25</v>
      </c>
      <c r="E322" s="16" t="inlineStr">
        <is>
          <t>R</t>
        </is>
      </c>
      <c r="F322" s="16" t="n"/>
      <c r="G322" s="9" t="n">
        <v>139.6410256410256</v>
      </c>
      <c r="H322" s="9" t="n">
        <v>139.6410256410256</v>
      </c>
      <c r="I322" s="9" t="inlineStr">
        <is>
          <t>Depth (no MLB PA)</t>
        </is>
      </c>
      <c r="J322" s="16" t="inlineStr">
        <is>
          <t>Opening Day</t>
        </is>
      </c>
      <c r="K322" s="11">
        <f>IFERROR(INDEX(Roles!$B$17:$B$20,MATCH(J322,Roles!$A$17:$A$20,0)),1)</f>
        <v/>
      </c>
      <c r="L322" s="17" t="n">
        <v>1</v>
      </c>
      <c r="M322" s="11" t="n">
        <v>1</v>
      </c>
      <c r="N322" s="17" t="n"/>
      <c r="O322" s="17" t="n"/>
      <c r="P322" s="17" t="n"/>
      <c r="Q322" s="17" t="n"/>
      <c r="R322" s="17" t="n"/>
      <c r="S322" s="17" t="n"/>
      <c r="T322" s="17" t="n"/>
      <c r="U322" s="17" t="n"/>
      <c r="V322" s="17" t="n"/>
      <c r="W322" s="17" t="n"/>
      <c r="X322" s="17" t="n"/>
      <c r="Y322" s="17" t="n">
        <v>1</v>
      </c>
      <c r="Z322" s="13">
        <f>SUMPRODUCT(N322:Y322,$N$2:$Y$2)*$K322*$L322*$M322</f>
        <v/>
      </c>
      <c r="AA322" s="14">
        <f>SUM(N322:Y322)</f>
        <v/>
      </c>
      <c r="AB322" s="14">
        <f>IFERROR(IF(UPPER($E322)="L",SUMPRODUCT(N322:Y322,$N$3:$Y$3,$N$2:$Y$2),SUMPRODUCT(N322:Y322,$N$4:$Y$4,$N$2:$Y$2))/(Z322/($K322*$L322*$M322)),"")</f>
        <v/>
      </c>
      <c r="AC322" s="18" t="n"/>
    </row>
    <row r="323">
      <c r="A323" s="9" t="n">
        <v>660636</v>
      </c>
      <c r="B323" s="9" t="inlineStr">
        <is>
          <t>Diego Castillo</t>
        </is>
      </c>
      <c r="C323" s="9" t="inlineStr">
        <is>
          <t>PIT</t>
        </is>
      </c>
      <c r="D323" s="9" t="n">
        <v>29</v>
      </c>
      <c r="E323" s="16" t="inlineStr">
        <is>
          <t>R</t>
        </is>
      </c>
      <c r="F323" s="16" t="inlineStr">
        <is>
          <t>3B</t>
        </is>
      </c>
      <c r="G323" s="9" t="n">
        <v>8</v>
      </c>
      <c r="H323" s="9" t="n">
        <v>292</v>
      </c>
      <c r="I323" s="9" t="inlineStr">
        <is>
          <t>Depth (no MLB PA)</t>
        </is>
      </c>
      <c r="J323" s="16" t="inlineStr">
        <is>
          <t>Opening Day</t>
        </is>
      </c>
      <c r="K323" s="11">
        <f>IFERROR(INDEX(Roles!$B$17:$B$20,MATCH(J323,Roles!$A$17:$A$20,0)),1)</f>
        <v/>
      </c>
      <c r="L323" s="17" t="n">
        <v>1</v>
      </c>
      <c r="M323" s="11" t="n">
        <v>1</v>
      </c>
      <c r="N323" s="17" t="n"/>
      <c r="O323" s="17" t="n"/>
      <c r="P323" s="17" t="n"/>
      <c r="Q323" s="17" t="n"/>
      <c r="R323" s="17" t="n"/>
      <c r="S323" s="17" t="n"/>
      <c r="T323" s="17" t="n"/>
      <c r="U323" s="17" t="n"/>
      <c r="V323" s="17" t="n"/>
      <c r="W323" s="17" t="n"/>
      <c r="X323" s="17" t="n"/>
      <c r="Y323" s="17" t="n">
        <v>1</v>
      </c>
      <c r="Z323" s="13">
        <f>SUMPRODUCT(N323:Y323,$N$2:$Y$2)*$K323*$L323*$M323</f>
        <v/>
      </c>
      <c r="AA323" s="14">
        <f>SUM(N323:Y323)</f>
        <v/>
      </c>
      <c r="AB323" s="14">
        <f>IFERROR(IF(UPPER($E323)="L",SUMPRODUCT(N323:Y323,$N$3:$Y$3,$N$2:$Y$2),SUMPRODUCT(N323:Y323,$N$4:$Y$4,$N$2:$Y$2))/(Z323/($K323*$L323*$M323)),"")</f>
        <v/>
      </c>
      <c r="AC323" s="18" t="n"/>
    </row>
    <row r="324">
      <c r="A324" s="9" t="n">
        <v>805811</v>
      </c>
      <c r="B324" s="9" t="inlineStr">
        <is>
          <t>Bryce Eldridge</t>
        </is>
      </c>
      <c r="C324" s="9" t="inlineStr">
        <is>
          <t>SF</t>
        </is>
      </c>
      <c r="D324" s="9" t="n">
        <v>22</v>
      </c>
      <c r="E324" s="16" t="inlineStr">
        <is>
          <t>L</t>
        </is>
      </c>
      <c r="F324" s="16" t="inlineStr">
        <is>
          <t>1B</t>
        </is>
      </c>
      <c r="G324" s="9" t="n">
        <v>448</v>
      </c>
      <c r="H324" s="9" t="n">
        <v>485</v>
      </c>
      <c r="I324" s="9" t="inlineStr">
        <is>
          <t>Full Time</t>
        </is>
      </c>
      <c r="J324" s="16" t="inlineStr">
        <is>
          <t>Opening Day</t>
        </is>
      </c>
      <c r="K324" s="11">
        <f>IFERROR(INDEX(Roles!$B$17:$B$20,MATCH(J324,Roles!$A$17:$A$20,0)),1)</f>
        <v/>
      </c>
      <c r="L324" s="17" t="n">
        <v>1</v>
      </c>
      <c r="M324" s="11" t="n">
        <v>0.7591253311135006</v>
      </c>
      <c r="N324" s="17" t="n">
        <v>1</v>
      </c>
      <c r="O324" s="17" t="n"/>
      <c r="P324" s="17" t="n"/>
      <c r="Q324" s="17" t="n"/>
      <c r="R324" s="17" t="n"/>
      <c r="S324" s="17" t="n"/>
      <c r="T324" s="17" t="n"/>
      <c r="U324" s="17" t="n"/>
      <c r="V324" s="17" t="n"/>
      <c r="W324" s="17" t="n"/>
      <c r="X324" s="17" t="n"/>
      <c r="Y324" s="17" t="n"/>
      <c r="Z324" s="13">
        <f>SUMPRODUCT(N324:Y324,$N$2:$Y$2)*$K324*$L324*$M324</f>
        <v/>
      </c>
      <c r="AA324" s="14">
        <f>SUM(N324:Y324)</f>
        <v/>
      </c>
      <c r="AB324" s="14">
        <f>IFERROR(IF(UPPER($E324)="L",SUMPRODUCT(N324:Y324,$N$3:$Y$3,$N$2:$Y$2),SUMPRODUCT(N324:Y324,$N$4:$Y$4,$N$2:$Y$2))/(Z324/($K324*$L324*$M324)),"")</f>
        <v/>
      </c>
      <c r="AC324" s="18" t="n"/>
    </row>
    <row r="325">
      <c r="A325" s="9" t="n">
        <v>702140</v>
      </c>
      <c r="B325" s="9" t="inlineStr">
        <is>
          <t>Ruben Ibarra</t>
        </is>
      </c>
      <c r="C325" s="9" t="inlineStr">
        <is>
          <t>CIN</t>
        </is>
      </c>
      <c r="D325" s="9" t="n">
        <v>25</v>
      </c>
      <c r="E325" s="16" t="inlineStr">
        <is>
          <t>R</t>
        </is>
      </c>
      <c r="F325" s="16" t="n"/>
      <c r="G325" s="9" t="n">
        <v>162.6153846153846</v>
      </c>
      <c r="H325" s="9" t="n">
        <v>162.6153846153846</v>
      </c>
      <c r="I325" s="9" t="inlineStr">
        <is>
          <t>Depth (no MLB PA)</t>
        </is>
      </c>
      <c r="J325" s="16" t="inlineStr">
        <is>
          <t>Opening Day</t>
        </is>
      </c>
      <c r="K325" s="11">
        <f>IFERROR(INDEX(Roles!$B$17:$B$20,MATCH(J325,Roles!$A$17:$A$20,0)),1)</f>
        <v/>
      </c>
      <c r="L325" s="17" t="n">
        <v>1</v>
      </c>
      <c r="M325" s="11" t="n">
        <v>1</v>
      </c>
      <c r="N325" s="17" t="n"/>
      <c r="O325" s="17" t="n"/>
      <c r="P325" s="17" t="n"/>
      <c r="Q325" s="17" t="n"/>
      <c r="R325" s="17" t="n"/>
      <c r="S325" s="17" t="n"/>
      <c r="T325" s="17" t="n"/>
      <c r="U325" s="17" t="n"/>
      <c r="V325" s="17" t="n"/>
      <c r="W325" s="17" t="n"/>
      <c r="X325" s="17" t="n"/>
      <c r="Y325" s="17" t="n">
        <v>1</v>
      </c>
      <c r="Z325" s="13">
        <f>SUMPRODUCT(N325:Y325,$N$2:$Y$2)*$K325*$L325*$M325</f>
        <v/>
      </c>
      <c r="AA325" s="14">
        <f>SUM(N325:Y325)</f>
        <v/>
      </c>
      <c r="AB325" s="14">
        <f>IFERROR(IF(UPPER($E325)="L",SUMPRODUCT(N325:Y325,$N$3:$Y$3,$N$2:$Y$2),SUMPRODUCT(N325:Y325,$N$4:$Y$4,$N$2:$Y$2))/(Z325/($K325*$L325*$M325)),"")</f>
        <v/>
      </c>
      <c r="AC325" s="18" t="n"/>
    </row>
    <row r="326">
      <c r="A326" s="9" t="n">
        <v>691789</v>
      </c>
      <c r="B326" s="9" t="inlineStr">
        <is>
          <t>Izaac Pacheco</t>
        </is>
      </c>
      <c r="C326" s="9" t="inlineStr">
        <is>
          <t>DET</t>
        </is>
      </c>
      <c r="D326" s="9" t="n">
        <v>25</v>
      </c>
      <c r="E326" s="16" t="inlineStr">
        <is>
          <t>L</t>
        </is>
      </c>
      <c r="F326" s="16" t="n"/>
      <c r="G326" s="9" t="n">
        <v>133.1794871794872</v>
      </c>
      <c r="H326" s="9" t="n">
        <v>133.1794871794872</v>
      </c>
      <c r="I326" s="9" t="inlineStr">
        <is>
          <t>Depth (no MLB PA)</t>
        </is>
      </c>
      <c r="J326" s="16" t="inlineStr">
        <is>
          <t>Opening Day</t>
        </is>
      </c>
      <c r="K326" s="11">
        <f>IFERROR(INDEX(Roles!$B$17:$B$20,MATCH(J326,Roles!$A$17:$A$20,0)),1)</f>
        <v/>
      </c>
      <c r="L326" s="17" t="n">
        <v>1</v>
      </c>
      <c r="M326" s="11" t="n">
        <v>1</v>
      </c>
      <c r="N326" s="17" t="n"/>
      <c r="O326" s="17" t="n"/>
      <c r="P326" s="17" t="n"/>
      <c r="Q326" s="17" t="n"/>
      <c r="R326" s="17" t="n"/>
      <c r="S326" s="17" t="n"/>
      <c r="T326" s="17" t="n"/>
      <c r="U326" s="17" t="n"/>
      <c r="V326" s="17" t="n"/>
      <c r="W326" s="17" t="n"/>
      <c r="X326" s="17" t="n"/>
      <c r="Y326" s="17" t="n">
        <v>1</v>
      </c>
      <c r="Z326" s="13">
        <f>SUMPRODUCT(N326:Y326,$N$2:$Y$2)*$K326*$L326*$M326</f>
        <v/>
      </c>
      <c r="AA326" s="14">
        <f>SUM(N326:Y326)</f>
        <v/>
      </c>
      <c r="AB326" s="14">
        <f>IFERROR(IF(UPPER($E326)="L",SUMPRODUCT(N326:Y326,$N$3:$Y$3,$N$2:$Y$2),SUMPRODUCT(N326:Y326,$N$4:$Y$4,$N$2:$Y$2))/(Z326/($K326*$L326*$M326)),"")</f>
        <v/>
      </c>
      <c r="AC326" s="18" t="n"/>
    </row>
    <row r="327">
      <c r="A327" s="9" t="n">
        <v>592885</v>
      </c>
      <c r="B327" s="9" t="inlineStr">
        <is>
          <t>Christian Yelich</t>
        </is>
      </c>
      <c r="C327" s="9" t="inlineStr">
        <is>
          <t>MIL</t>
        </is>
      </c>
      <c r="D327" s="9" t="n">
        <v>35</v>
      </c>
      <c r="E327" s="16" t="inlineStr">
        <is>
          <t>L</t>
        </is>
      </c>
      <c r="F327" s="16" t="inlineStr">
        <is>
          <t>LF</t>
        </is>
      </c>
      <c r="G327" s="9" t="n">
        <v>500</v>
      </c>
      <c r="H327" s="9" t="n">
        <v>2762</v>
      </c>
      <c r="I327" s="9" t="inlineStr">
        <is>
          <t>Strong Side Platoon</t>
        </is>
      </c>
      <c r="J327" s="16" t="inlineStr">
        <is>
          <t>Opening Day</t>
        </is>
      </c>
      <c r="K327" s="11">
        <f>IFERROR(INDEX(Roles!$B$17:$B$20,MATCH(J327,Roles!$A$17:$A$20,0)),1)</f>
        <v/>
      </c>
      <c r="L327" s="17" t="n">
        <v>1</v>
      </c>
      <c r="M327" s="11" t="n">
        <v>1.030340081391164</v>
      </c>
      <c r="N327" s="17" t="n"/>
      <c r="O327" s="17" t="n">
        <v>0.4</v>
      </c>
      <c r="P327" s="17" t="n">
        <v>0.6</v>
      </c>
      <c r="Q327" s="17" t="n"/>
      <c r="R327" s="17" t="n"/>
      <c r="S327" s="17" t="n"/>
      <c r="T327" s="17" t="n"/>
      <c r="U327" s="17" t="n"/>
      <c r="V327" s="17" t="n"/>
      <c r="W327" s="17" t="n"/>
      <c r="X327" s="17" t="n"/>
      <c r="Y327" s="17" t="n"/>
      <c r="Z327" s="13">
        <f>SUMPRODUCT(N327:Y327,$N$2:$Y$2)*$K327*$L327*$M327</f>
        <v/>
      </c>
      <c r="AA327" s="14">
        <f>SUM(N327:Y327)</f>
        <v/>
      </c>
      <c r="AB327" s="14">
        <f>IFERROR(IF(UPPER($E327)="L",SUMPRODUCT(N327:Y327,$N$3:$Y$3,$N$2:$Y$2),SUMPRODUCT(N327:Y327,$N$4:$Y$4,$N$2:$Y$2))/(Z327/($K327*$L327*$M327)),"")</f>
        <v/>
      </c>
      <c r="AC327" s="18" t="n"/>
    </row>
    <row r="328">
      <c r="A328" s="9" t="n">
        <v>668227</v>
      </c>
      <c r="B328" s="9" t="inlineStr">
        <is>
          <t>Randy Arozarena</t>
        </is>
      </c>
      <c r="C328" s="9" t="inlineStr">
        <is>
          <t>SEA</t>
        </is>
      </c>
      <c r="D328" s="9" t="n">
        <v>32</v>
      </c>
      <c r="E328" s="16" t="inlineStr">
        <is>
          <t>R</t>
        </is>
      </c>
      <c r="F328" s="16" t="inlineStr">
        <is>
          <t>LF</t>
        </is>
      </c>
      <c r="G328" s="9" t="n">
        <v>670</v>
      </c>
      <c r="H328" s="9" t="n">
        <v>3326</v>
      </c>
      <c r="I328" s="9" t="inlineStr">
        <is>
          <t>Full Time</t>
        </is>
      </c>
      <c r="J328" s="16" t="inlineStr">
        <is>
          <t>Opening Day</t>
        </is>
      </c>
      <c r="K328" s="11">
        <f>IFERROR(INDEX(Roles!$B$17:$B$20,MATCH(J328,Roles!$A$17:$A$20,0)),1)</f>
        <v/>
      </c>
      <c r="L328" s="17" t="n">
        <v>1</v>
      </c>
      <c r="M328" s="11" t="n">
        <v>1.15</v>
      </c>
      <c r="N328" s="17" t="n">
        <v>1</v>
      </c>
      <c r="O328" s="17" t="n"/>
      <c r="P328" s="17" t="n"/>
      <c r="Q328" s="17" t="n"/>
      <c r="R328" s="17" t="n"/>
      <c r="S328" s="17" t="n"/>
      <c r="T328" s="17" t="n"/>
      <c r="U328" s="17" t="n"/>
      <c r="V328" s="17" t="n"/>
      <c r="W328" s="17" t="n"/>
      <c r="X328" s="17" t="n"/>
      <c r="Y328" s="17" t="n"/>
      <c r="Z328" s="13">
        <f>SUMPRODUCT(N328:Y328,$N$2:$Y$2)*$K328*$L328*$M328</f>
        <v/>
      </c>
      <c r="AA328" s="14">
        <f>SUM(N328:Y328)</f>
        <v/>
      </c>
      <c r="AB328" s="14">
        <f>IFERROR(IF(UPPER($E328)="L",SUMPRODUCT(N328:Y328,$N$3:$Y$3,$N$2:$Y$2),SUMPRODUCT(N328:Y328,$N$4:$Y$4,$N$2:$Y$2))/(Z328/($K328*$L328*$M328)),"")</f>
        <v/>
      </c>
      <c r="AC328" s="18" t="n"/>
    </row>
    <row r="329">
      <c r="A329" s="9" t="n">
        <v>694249</v>
      </c>
      <c r="B329" s="9" t="inlineStr">
        <is>
          <t>Cole Carrigg</t>
        </is>
      </c>
      <c r="C329" s="9" t="inlineStr">
        <is>
          <t>COL</t>
        </is>
      </c>
      <c r="D329" s="9" t="n">
        <v>25</v>
      </c>
      <c r="E329" s="16" t="inlineStr">
        <is>
          <t>S</t>
        </is>
      </c>
      <c r="F329" s="16" t="inlineStr">
        <is>
          <t>CF</t>
        </is>
      </c>
      <c r="G329" s="9" t="n">
        <v>372</v>
      </c>
      <c r="H329" s="9" t="n">
        <v>372</v>
      </c>
      <c r="I329" s="9" t="inlineStr">
        <is>
          <t>Full Time</t>
        </is>
      </c>
      <c r="J329" s="16" t="inlineStr">
        <is>
          <t>Opening Day</t>
        </is>
      </c>
      <c r="K329" s="11">
        <f>IFERROR(INDEX(Roles!$B$17:$B$20,MATCH(J329,Roles!$A$17:$A$20,0)),1)</f>
        <v/>
      </c>
      <c r="L329" s="17" t="n">
        <v>1</v>
      </c>
      <c r="M329" s="11" t="n">
        <v>0.9288715919216736</v>
      </c>
      <c r="N329" s="17" t="n">
        <v>0.8</v>
      </c>
      <c r="O329" s="17" t="n"/>
      <c r="P329" s="17" t="n">
        <v>0.2</v>
      </c>
      <c r="Q329" s="17" t="n"/>
      <c r="R329" s="17" t="n"/>
      <c r="S329" s="17" t="n"/>
      <c r="T329" s="17" t="n"/>
      <c r="U329" s="17" t="n"/>
      <c r="V329" s="17" t="n"/>
      <c r="W329" s="17" t="n"/>
      <c r="X329" s="17" t="n"/>
      <c r="Y329" s="17" t="n"/>
      <c r="Z329" s="13">
        <f>SUMPRODUCT(N329:Y329,$N$2:$Y$2)*$K329*$L329*$M329</f>
        <v/>
      </c>
      <c r="AA329" s="14">
        <f>SUM(N329:Y329)</f>
        <v/>
      </c>
      <c r="AB329" s="14">
        <f>IFERROR(IF(UPPER($E329)="L",SUMPRODUCT(N329:Y329,$N$3:$Y$3,$N$2:$Y$2),SUMPRODUCT(N329:Y329,$N$4:$Y$4,$N$2:$Y$2))/(Z329/($K329*$L329*$M329)),"")</f>
        <v/>
      </c>
      <c r="AC329" s="18" t="n"/>
    </row>
    <row r="330">
      <c r="A330" s="9" t="n">
        <v>663630</v>
      </c>
      <c r="B330" s="9" t="inlineStr">
        <is>
          <t>Ryan McKenna</t>
        </is>
      </c>
      <c r="C330" s="9" t="inlineStr">
        <is>
          <t>BAL</t>
        </is>
      </c>
      <c r="D330" s="9" t="n">
        <v>30</v>
      </c>
      <c r="E330" s="16" t="inlineStr">
        <is>
          <t>R</t>
        </is>
      </c>
      <c r="F330" s="16" t="inlineStr">
        <is>
          <t>RF</t>
        </is>
      </c>
      <c r="G330" s="9" t="n">
        <v>15</v>
      </c>
      <c r="H330" s="9" t="n">
        <v>326</v>
      </c>
      <c r="I330" s="9" t="inlineStr">
        <is>
          <t>Depth (no MLB PA)</t>
        </is>
      </c>
      <c r="J330" s="16" t="inlineStr">
        <is>
          <t>Opening Day</t>
        </is>
      </c>
      <c r="K330" s="11">
        <f>IFERROR(INDEX(Roles!$B$17:$B$20,MATCH(J330,Roles!$A$17:$A$20,0)),1)</f>
        <v/>
      </c>
      <c r="L330" s="17" t="n">
        <v>1</v>
      </c>
      <c r="M330" s="11" t="n">
        <v>1</v>
      </c>
      <c r="N330" s="17" t="n"/>
      <c r="O330" s="17" t="n"/>
      <c r="P330" s="17" t="n"/>
      <c r="Q330" s="17" t="n"/>
      <c r="R330" s="17" t="n"/>
      <c r="S330" s="17" t="n"/>
      <c r="T330" s="17" t="n"/>
      <c r="U330" s="17" t="n"/>
      <c r="V330" s="17" t="n"/>
      <c r="W330" s="17" t="n"/>
      <c r="X330" s="17" t="n"/>
      <c r="Y330" s="17" t="n">
        <v>1</v>
      </c>
      <c r="Z330" s="13">
        <f>SUMPRODUCT(N330:Y330,$N$2:$Y$2)*$K330*$L330*$M330</f>
        <v/>
      </c>
      <c r="AA330" s="14">
        <f>SUM(N330:Y330)</f>
        <v/>
      </c>
      <c r="AB330" s="14">
        <f>IFERROR(IF(UPPER($E330)="L",SUMPRODUCT(N330:Y330,$N$3:$Y$3,$N$2:$Y$2),SUMPRODUCT(N330:Y330,$N$4:$Y$4,$N$2:$Y$2))/(Z330/($K330*$L330*$M330)),"")</f>
        <v/>
      </c>
      <c r="AC330" s="18" t="n"/>
    </row>
    <row r="331">
      <c r="A331" s="9" t="n">
        <v>682003</v>
      </c>
      <c r="B331" s="9" t="inlineStr">
        <is>
          <t>Garrett Martin</t>
        </is>
      </c>
      <c r="C331" s="9" t="inlineStr">
        <is>
          <t>NYY</t>
        </is>
      </c>
      <c r="D331" s="9" t="n">
        <v>25</v>
      </c>
      <c r="E331" s="16" t="inlineStr">
        <is>
          <t>R</t>
        </is>
      </c>
      <c r="F331" s="16" t="n"/>
      <c r="G331" s="9" t="n">
        <v>19.74358974358974</v>
      </c>
      <c r="H331" s="9" t="n">
        <v>19.74358974358974</v>
      </c>
      <c r="I331" s="9" t="inlineStr">
        <is>
          <t>Depth (no MLB PA)</t>
        </is>
      </c>
      <c r="J331" s="16" t="inlineStr">
        <is>
          <t>Opening Day</t>
        </is>
      </c>
      <c r="K331" s="11">
        <f>IFERROR(INDEX(Roles!$B$17:$B$20,MATCH(J331,Roles!$A$17:$A$20,0)),1)</f>
        <v/>
      </c>
      <c r="L331" s="17" t="n">
        <v>1</v>
      </c>
      <c r="M331" s="11" t="n">
        <v>1</v>
      </c>
      <c r="N331" s="17" t="n"/>
      <c r="O331" s="17" t="n"/>
      <c r="P331" s="17" t="n"/>
      <c r="Q331" s="17" t="n"/>
      <c r="R331" s="17" t="n"/>
      <c r="S331" s="17" t="n"/>
      <c r="T331" s="17" t="n"/>
      <c r="U331" s="17" t="n"/>
      <c r="V331" s="17" t="n"/>
      <c r="W331" s="17" t="n"/>
      <c r="X331" s="17" t="n"/>
      <c r="Y331" s="17" t="n">
        <v>1</v>
      </c>
      <c r="Z331" s="13">
        <f>SUMPRODUCT(N331:Y331,$N$2:$Y$2)*$K331*$L331*$M331</f>
        <v/>
      </c>
      <c r="AA331" s="14">
        <f>SUM(N331:Y331)</f>
        <v/>
      </c>
      <c r="AB331" s="14">
        <f>IFERROR(IF(UPPER($E331)="L",SUMPRODUCT(N331:Y331,$N$3:$Y$3,$N$2:$Y$2),SUMPRODUCT(N331:Y331,$N$4:$Y$4,$N$2:$Y$2))/(Z331/($K331*$L331*$M331)),"")</f>
        <v/>
      </c>
      <c r="AC331" s="18" t="n"/>
    </row>
    <row r="332">
      <c r="A332" s="9" t="n">
        <v>814409</v>
      </c>
      <c r="B332" s="9" t="inlineStr">
        <is>
          <t>Seaver King</t>
        </is>
      </c>
      <c r="C332" s="9" t="inlineStr">
        <is>
          <t>WSH</t>
        </is>
      </c>
      <c r="D332" s="9" t="n">
        <v>24</v>
      </c>
      <c r="E332" s="16" t="inlineStr">
        <is>
          <t>R</t>
        </is>
      </c>
      <c r="F332" s="16" t="n"/>
      <c r="G332" s="9" t="n">
        <v>195.1794871794872</v>
      </c>
      <c r="H332" s="9" t="n">
        <v>195.1794871794872</v>
      </c>
      <c r="I332" s="9" t="inlineStr">
        <is>
          <t>Full Time</t>
        </is>
      </c>
      <c r="J332" s="16" t="inlineStr">
        <is>
          <t>Early Season (~May)</t>
        </is>
      </c>
      <c r="K332" s="11">
        <f>IFERROR(INDEX(Roles!$B$17:$B$20,MATCH(J332,Roles!$A$17:$A$20,0)),1)</f>
        <v/>
      </c>
      <c r="L332" s="17" t="n">
        <v>1</v>
      </c>
      <c r="M332" s="11" t="n">
        <v>1</v>
      </c>
      <c r="N332" s="17" t="n">
        <v>0.47</v>
      </c>
      <c r="O332" s="17" t="n"/>
      <c r="P332" s="17" t="n">
        <v>0.25</v>
      </c>
      <c r="Q332" s="17" t="n"/>
      <c r="R332" s="17" t="n"/>
      <c r="S332" s="17" t="n"/>
      <c r="T332" s="17" t="n"/>
      <c r="U332" s="17" t="n"/>
      <c r="V332" s="17" t="n"/>
      <c r="W332" s="17" t="n">
        <v>0.28</v>
      </c>
      <c r="X332" s="17" t="n"/>
      <c r="Y332" s="17" t="n"/>
      <c r="Z332" s="13">
        <f>SUMPRODUCT(N332:Y332,$N$2:$Y$2)*$K332*$L332*$M332</f>
        <v/>
      </c>
      <c r="AA332" s="14">
        <f>SUM(N332:Y332)</f>
        <v/>
      </c>
      <c r="AB332" s="14">
        <f>IFERROR(IF(UPPER($E332)="L",SUMPRODUCT(N332:Y332,$N$3:$Y$3,$N$2:$Y$2),SUMPRODUCT(N332:Y332,$N$4:$Y$4,$N$2:$Y$2))/(Z332/($K332*$L332*$M332)),"")</f>
        <v/>
      </c>
      <c r="AC332" s="18" t="n"/>
    </row>
    <row r="333">
      <c r="A333" s="9" t="n">
        <v>681351</v>
      </c>
      <c r="B333" s="9" t="inlineStr">
        <is>
          <t>Logan O'Hoppe</t>
        </is>
      </c>
      <c r="C333" s="9" t="inlineStr">
        <is>
          <t>TEX</t>
        </is>
      </c>
      <c r="D333" s="9" t="n">
        <v>27</v>
      </c>
      <c r="E333" s="16" t="inlineStr">
        <is>
          <t>R</t>
        </is>
      </c>
      <c r="F333" s="16" t="inlineStr">
        <is>
          <t>C</t>
        </is>
      </c>
      <c r="G333" s="9" t="n">
        <v>274</v>
      </c>
      <c r="H333" s="9" t="n">
        <v>1462</v>
      </c>
      <c r="I333" s="9" t="inlineStr">
        <is>
          <t>Full Time</t>
        </is>
      </c>
      <c r="J333" s="16" t="inlineStr">
        <is>
          <t>Opening Day</t>
        </is>
      </c>
      <c r="K333" s="11">
        <f>IFERROR(INDEX(Roles!$B$17:$B$20,MATCH(J333,Roles!$A$17:$A$20,0)),1)</f>
        <v/>
      </c>
      <c r="L333" s="17" t="n">
        <v>1</v>
      </c>
      <c r="M333" s="11" t="n">
        <v>0.8845553403409556</v>
      </c>
      <c r="N333" s="17" t="n">
        <v>1</v>
      </c>
      <c r="O333" s="17" t="n"/>
      <c r="P333" s="17" t="n"/>
      <c r="Q333" s="17" t="n"/>
      <c r="R333" s="17" t="n"/>
      <c r="S333" s="17" t="n"/>
      <c r="T333" s="17" t="n"/>
      <c r="U333" s="17" t="n"/>
      <c r="V333" s="17" t="n"/>
      <c r="W333" s="17" t="n"/>
      <c r="X333" s="17" t="n"/>
      <c r="Y333" s="17" t="n"/>
      <c r="Z333" s="13">
        <f>SUMPRODUCT(N333:Y333,$N$2:$Y$2)*$K333*$L333*$M333</f>
        <v/>
      </c>
      <c r="AA333" s="14">
        <f>SUM(N333:Y333)</f>
        <v/>
      </c>
      <c r="AB333" s="14">
        <f>IFERROR(IF(UPPER($E333)="L",SUMPRODUCT(N333:Y333,$N$3:$Y$3,$N$2:$Y$2),SUMPRODUCT(N333:Y333,$N$4:$Y$4,$N$2:$Y$2))/(Z333/($K333*$L333*$M333)),"")</f>
        <v/>
      </c>
      <c r="AC333" s="18" t="n"/>
    </row>
    <row r="334">
      <c r="A334" s="9" t="n">
        <v>664034</v>
      </c>
      <c r="B334" s="9" t="inlineStr">
        <is>
          <t>Ty France</t>
        </is>
      </c>
      <c r="C334" s="9" t="inlineStr">
        <is>
          <t>SD</t>
        </is>
      </c>
      <c r="D334" s="9" t="n">
        <v>32</v>
      </c>
      <c r="E334" s="16" t="inlineStr">
        <is>
          <t>R</t>
        </is>
      </c>
      <c r="F334" s="16" t="inlineStr">
        <is>
          <t>1B</t>
        </is>
      </c>
      <c r="G334" s="9" t="n">
        <v>500</v>
      </c>
      <c r="H334" s="9" t="n">
        <v>2803</v>
      </c>
      <c r="I334" s="9" t="inlineStr">
        <is>
          <t>Full Time</t>
        </is>
      </c>
      <c r="J334" s="16" t="inlineStr">
        <is>
          <t>Opening Day</t>
        </is>
      </c>
      <c r="K334" s="11">
        <f>IFERROR(INDEX(Roles!$B$17:$B$20,MATCH(J334,Roles!$A$17:$A$20,0)),1)</f>
        <v/>
      </c>
      <c r="L334" s="17" t="n">
        <v>1</v>
      </c>
      <c r="M334" s="11" t="n">
        <v>1.055396144036483</v>
      </c>
      <c r="N334" s="17" t="n">
        <v>0.85</v>
      </c>
      <c r="O334" s="17" t="n"/>
      <c r="P334" s="17" t="n">
        <v>0.15</v>
      </c>
      <c r="Q334" s="17" t="n"/>
      <c r="R334" s="17" t="n"/>
      <c r="S334" s="17" t="n"/>
      <c r="T334" s="17" t="n"/>
      <c r="U334" s="17" t="n"/>
      <c r="V334" s="17" t="n"/>
      <c r="W334" s="17" t="n"/>
      <c r="X334" s="17" t="n"/>
      <c r="Y334" s="17" t="n"/>
      <c r="Z334" s="13">
        <f>SUMPRODUCT(N334:Y334,$N$2:$Y$2)*$K334*$L334*$M334</f>
        <v/>
      </c>
      <c r="AA334" s="14">
        <f>SUM(N334:Y334)</f>
        <v/>
      </c>
      <c r="AB334" s="14">
        <f>IFERROR(IF(UPPER($E334)="L",SUMPRODUCT(N334:Y334,$N$3:$Y$3,$N$2:$Y$2),SUMPRODUCT(N334:Y334,$N$4:$Y$4,$N$2:$Y$2))/(Z334/($K334*$L334*$M334)),"")</f>
        <v/>
      </c>
      <c r="AC334" s="18" t="n"/>
    </row>
    <row r="335">
      <c r="A335" s="9" t="n">
        <v>808864</v>
      </c>
      <c r="B335" s="9" t="inlineStr">
        <is>
          <t>Raider Tello</t>
        </is>
      </c>
      <c r="C335" s="9" t="inlineStr">
        <is>
          <t>PHI</t>
        </is>
      </c>
      <c r="D335" s="9" t="n">
        <v>25</v>
      </c>
      <c r="E335" s="16" t="inlineStr">
        <is>
          <t>R</t>
        </is>
      </c>
      <c r="F335" s="16" t="n"/>
      <c r="G335" s="9" t="n">
        <v>7.333333333333334</v>
      </c>
      <c r="H335" s="9" t="n">
        <v>7.333333333333334</v>
      </c>
      <c r="I335" s="9" t="inlineStr">
        <is>
          <t>Depth (no MLB PA)</t>
        </is>
      </c>
      <c r="J335" s="16" t="inlineStr">
        <is>
          <t>Opening Day</t>
        </is>
      </c>
      <c r="K335" s="11">
        <f>IFERROR(INDEX(Roles!$B$17:$B$20,MATCH(J335,Roles!$A$17:$A$20,0)),1)</f>
        <v/>
      </c>
      <c r="L335" s="17" t="n">
        <v>1</v>
      </c>
      <c r="M335" s="11" t="n">
        <v>1</v>
      </c>
      <c r="N335" s="17" t="n"/>
      <c r="O335" s="17" t="n"/>
      <c r="P335" s="17" t="n"/>
      <c r="Q335" s="17" t="n"/>
      <c r="R335" s="17" t="n"/>
      <c r="S335" s="17" t="n"/>
      <c r="T335" s="17" t="n"/>
      <c r="U335" s="17" t="n"/>
      <c r="V335" s="17" t="n"/>
      <c r="W335" s="17" t="n"/>
      <c r="X335" s="17" t="n"/>
      <c r="Y335" s="17" t="n">
        <v>1</v>
      </c>
      <c r="Z335" s="13">
        <f>SUMPRODUCT(N335:Y335,$N$2:$Y$2)*$K335*$L335*$M335</f>
        <v/>
      </c>
      <c r="AA335" s="14">
        <f>SUM(N335:Y335)</f>
        <v/>
      </c>
      <c r="AB335" s="14">
        <f>IFERROR(IF(UPPER($E335)="L",SUMPRODUCT(N335:Y335,$N$3:$Y$3,$N$2:$Y$2),SUMPRODUCT(N335:Y335,$N$4:$Y$4,$N$2:$Y$2))/(Z335/($K335*$L335*$M335)),"")</f>
        <v/>
      </c>
      <c r="AC335" s="18" t="n"/>
    </row>
    <row r="336">
      <c r="A336" s="9" t="n">
        <v>699073</v>
      </c>
      <c r="B336" s="9" t="inlineStr">
        <is>
          <t>Thayron Liranzo</t>
        </is>
      </c>
      <c r="C336" s="9" t="inlineStr">
        <is>
          <t>DET</t>
        </is>
      </c>
      <c r="D336" s="9" t="n">
        <v>25</v>
      </c>
      <c r="E336" s="16" t="inlineStr">
        <is>
          <t>S</t>
        </is>
      </c>
      <c r="F336" s="16" t="n"/>
      <c r="G336" s="9" t="n">
        <v>122.4102564102564</v>
      </c>
      <c r="H336" s="9" t="n">
        <v>122.4102564102564</v>
      </c>
      <c r="I336" s="9" t="inlineStr">
        <is>
          <t>Depth (no MLB PA)</t>
        </is>
      </c>
      <c r="J336" s="16" t="inlineStr">
        <is>
          <t>Opening Day</t>
        </is>
      </c>
      <c r="K336" s="11">
        <f>IFERROR(INDEX(Roles!$B$17:$B$20,MATCH(J336,Roles!$A$17:$A$20,0)),1)</f>
        <v/>
      </c>
      <c r="L336" s="17" t="n">
        <v>1</v>
      </c>
      <c r="M336" s="11" t="n">
        <v>1</v>
      </c>
      <c r="N336" s="17" t="n"/>
      <c r="O336" s="17" t="n"/>
      <c r="P336" s="17" t="n"/>
      <c r="Q336" s="17" t="n"/>
      <c r="R336" s="17" t="n"/>
      <c r="S336" s="17" t="n"/>
      <c r="T336" s="17" t="n"/>
      <c r="U336" s="17" t="n"/>
      <c r="V336" s="17" t="n"/>
      <c r="W336" s="17" t="n"/>
      <c r="X336" s="17" t="n"/>
      <c r="Y336" s="17" t="n">
        <v>1</v>
      </c>
      <c r="Z336" s="13">
        <f>SUMPRODUCT(N336:Y336,$N$2:$Y$2)*$K336*$L336*$M336</f>
        <v/>
      </c>
      <c r="AA336" s="14">
        <f>SUM(N336:Y336)</f>
        <v/>
      </c>
      <c r="AB336" s="14">
        <f>IFERROR(IF(UPPER($E336)="L",SUMPRODUCT(N336:Y336,$N$3:$Y$3,$N$2:$Y$2),SUMPRODUCT(N336:Y336,$N$4:$Y$4,$N$2:$Y$2))/(Z336/($K336*$L336*$M336)),"")</f>
        <v/>
      </c>
      <c r="AC336" s="18" t="n"/>
    </row>
    <row r="337">
      <c r="A337" s="9" t="n">
        <v>608348</v>
      </c>
      <c r="B337" s="9" t="inlineStr">
        <is>
          <t>Carson Kelly</t>
        </is>
      </c>
      <c r="C337" s="9" t="inlineStr">
        <is>
          <t>CHC</t>
        </is>
      </c>
      <c r="D337" s="9" t="n">
        <v>32</v>
      </c>
      <c r="E337" s="16" t="inlineStr">
        <is>
          <t>R</t>
        </is>
      </c>
      <c r="F337" s="16" t="inlineStr">
        <is>
          <t>C</t>
        </is>
      </c>
      <c r="G337" s="9" t="n">
        <v>425</v>
      </c>
      <c r="H337" s="9" t="n">
        <v>1664</v>
      </c>
      <c r="I337" s="9" t="inlineStr">
        <is>
          <t>Catcher - Primary</t>
        </is>
      </c>
      <c r="J337" s="16" t="inlineStr">
        <is>
          <t>Opening Day</t>
        </is>
      </c>
      <c r="K337" s="11">
        <f>IFERROR(INDEX(Roles!$B$17:$B$20,MATCH(J337,Roles!$A$17:$A$20,0)),1)</f>
        <v/>
      </c>
      <c r="L337" s="17" t="n">
        <v>1</v>
      </c>
      <c r="M337" s="11" t="n">
        <v>0.9915215778889644</v>
      </c>
      <c r="N337" s="17" t="n"/>
      <c r="O337" s="17" t="n"/>
      <c r="P337" s="17" t="n"/>
      <c r="Q337" s="17" t="n"/>
      <c r="R337" s="17" t="n">
        <v>0.7</v>
      </c>
      <c r="S337" s="17" t="n">
        <v>0.3</v>
      </c>
      <c r="T337" s="17" t="n"/>
      <c r="U337" s="17" t="n"/>
      <c r="V337" s="17" t="n"/>
      <c r="W337" s="17" t="n"/>
      <c r="X337" s="17" t="n"/>
      <c r="Y337" s="17" t="n"/>
      <c r="Z337" s="13">
        <f>SUMPRODUCT(N337:Y337,$N$2:$Y$2)*$K337*$L337*$M337</f>
        <v/>
      </c>
      <c r="AA337" s="14">
        <f>SUM(N337:Y337)</f>
        <v/>
      </c>
      <c r="AB337" s="14">
        <f>IFERROR(IF(UPPER($E337)="L",SUMPRODUCT(N337:Y337,$N$3:$Y$3,$N$2:$Y$2),SUMPRODUCT(N337:Y337,$N$4:$Y$4,$N$2:$Y$2))/(Z337/($K337*$L337*$M337)),"")</f>
        <v/>
      </c>
      <c r="AC337" s="18" t="n"/>
    </row>
    <row r="338">
      <c r="A338" s="9" t="n">
        <v>571745</v>
      </c>
      <c r="B338" s="9" t="inlineStr">
        <is>
          <t>Mitch Haniger</t>
        </is>
      </c>
      <c r="C338" s="9" t="inlineStr">
        <is>
          <t>SEA</t>
        </is>
      </c>
      <c r="D338" s="9" t="n">
        <v>36</v>
      </c>
      <c r="E338" s="16" t="inlineStr">
        <is>
          <t>R</t>
        </is>
      </c>
      <c r="F338" s="16" t="inlineStr">
        <is>
          <t>RF</t>
        </is>
      </c>
      <c r="G338" s="9" t="n">
        <v>423</v>
      </c>
      <c r="H338" s="9" t="n">
        <v>899</v>
      </c>
      <c r="I338" s="9" t="inlineStr">
        <is>
          <t>Depth (no MLB PA)</t>
        </is>
      </c>
      <c r="J338" s="16" t="inlineStr">
        <is>
          <t>Opening Day</t>
        </is>
      </c>
      <c r="K338" s="11">
        <f>IFERROR(INDEX(Roles!$B$17:$B$20,MATCH(J338,Roles!$A$17:$A$20,0)),1)</f>
        <v/>
      </c>
      <c r="L338" s="17" t="n">
        <v>1</v>
      </c>
      <c r="M338" s="11" t="n">
        <v>1.15</v>
      </c>
      <c r="N338" s="17" t="n"/>
      <c r="O338" s="17" t="n"/>
      <c r="P338" s="17" t="n"/>
      <c r="Q338" s="17" t="n"/>
      <c r="R338" s="17" t="n"/>
      <c r="S338" s="17" t="n"/>
      <c r="T338" s="17" t="n"/>
      <c r="U338" s="17" t="n"/>
      <c r="V338" s="17" t="n"/>
      <c r="W338" s="17" t="n"/>
      <c r="X338" s="17" t="n"/>
      <c r="Y338" s="17" t="n">
        <v>1</v>
      </c>
      <c r="Z338" s="13">
        <f>SUMPRODUCT(N338:Y338,$N$2:$Y$2)*$K338*$L338*$M338</f>
        <v/>
      </c>
      <c r="AA338" s="14">
        <f>SUM(N338:Y338)</f>
        <v/>
      </c>
      <c r="AB338" s="14">
        <f>IFERROR(IF(UPPER($E338)="L",SUMPRODUCT(N338:Y338,$N$3:$Y$3,$N$2:$Y$2),SUMPRODUCT(N338:Y338,$N$4:$Y$4,$N$2:$Y$2))/(Z338/($K338*$L338*$M338)),"")</f>
        <v/>
      </c>
      <c r="AC338" s="18" t="n"/>
    </row>
    <row r="339">
      <c r="A339" s="9" t="n">
        <v>814450</v>
      </c>
      <c r="B339" s="9" t="inlineStr">
        <is>
          <t>Wehiwa Aloy</t>
        </is>
      </c>
      <c r="C339" s="9" t="inlineStr">
        <is>
          <t>BAL</t>
        </is>
      </c>
      <c r="D339" s="9" t="n">
        <v>23</v>
      </c>
      <c r="E339" s="16" t="inlineStr">
        <is>
          <t>R</t>
        </is>
      </c>
      <c r="F339" s="16" t="n"/>
      <c r="G339" s="9" t="n">
        <v>56</v>
      </c>
      <c r="H339" s="9" t="n">
        <v>56</v>
      </c>
      <c r="I339" s="9" t="inlineStr">
        <is>
          <t>Depth (no MLB PA)</t>
        </is>
      </c>
      <c r="J339" s="16" t="inlineStr">
        <is>
          <t>Opening Day</t>
        </is>
      </c>
      <c r="K339" s="11">
        <f>IFERROR(INDEX(Roles!$B$17:$B$20,MATCH(J339,Roles!$A$17:$A$20,0)),1)</f>
        <v/>
      </c>
      <c r="L339" s="17" t="n">
        <v>1</v>
      </c>
      <c r="M339" s="11" t="n">
        <v>1</v>
      </c>
      <c r="N339" s="17" t="n"/>
      <c r="O339" s="17" t="n"/>
      <c r="P339" s="17" t="n"/>
      <c r="Q339" s="17" t="n"/>
      <c r="R339" s="17" t="n"/>
      <c r="S339" s="17" t="n"/>
      <c r="T339" s="17" t="n"/>
      <c r="U339" s="17" t="n"/>
      <c r="V339" s="17" t="n"/>
      <c r="W339" s="17" t="n"/>
      <c r="X339" s="17" t="n"/>
      <c r="Y339" s="17" t="n">
        <v>1</v>
      </c>
      <c r="Z339" s="13">
        <f>SUMPRODUCT(N339:Y339,$N$2:$Y$2)*$K339*$L339*$M339</f>
        <v/>
      </c>
      <c r="AA339" s="14">
        <f>SUM(N339:Y339)</f>
        <v/>
      </c>
      <c r="AB339" s="14">
        <f>IFERROR(IF(UPPER($E339)="L",SUMPRODUCT(N339:Y339,$N$3:$Y$3,$N$2:$Y$2),SUMPRODUCT(N339:Y339,$N$4:$Y$4,$N$2:$Y$2))/(Z339/($K339*$L339*$M339)),"")</f>
        <v/>
      </c>
      <c r="AC339" s="18" t="n"/>
    </row>
    <row r="340">
      <c r="A340" s="9" t="n">
        <v>666624</v>
      </c>
      <c r="B340" s="9" t="inlineStr">
        <is>
          <t>Christopher Morel</t>
        </is>
      </c>
      <c r="C340" s="9" t="inlineStr">
        <is>
          <t>NYM</t>
        </is>
      </c>
      <c r="D340" s="9" t="n">
        <v>28</v>
      </c>
      <c r="E340" s="16" t="inlineStr">
        <is>
          <t>R</t>
        </is>
      </c>
      <c r="F340" s="16" t="inlineStr">
        <is>
          <t>1B</t>
        </is>
      </c>
      <c r="G340" s="9" t="n">
        <v>105</v>
      </c>
      <c r="H340" s="9" t="n">
        <v>1875</v>
      </c>
      <c r="I340" s="9" t="inlineStr">
        <is>
          <t>Utility IF</t>
        </is>
      </c>
      <c r="J340" s="16" t="inlineStr">
        <is>
          <t>Opening Day</t>
        </is>
      </c>
      <c r="K340" s="11">
        <f>IFERROR(INDEX(Roles!$B$17:$B$20,MATCH(J340,Roles!$A$17:$A$20,0)),1)</f>
        <v/>
      </c>
      <c r="L340" s="17" t="n">
        <v>1</v>
      </c>
      <c r="M340" s="11" t="n">
        <v>0.8548882644426538</v>
      </c>
      <c r="N340" s="17" t="n"/>
      <c r="O340" s="17" t="n"/>
      <c r="P340" s="17" t="n"/>
      <c r="Q340" s="17" t="n"/>
      <c r="R340" s="17" t="n"/>
      <c r="S340" s="17" t="n"/>
      <c r="T340" s="17" t="n"/>
      <c r="U340" s="17" t="n">
        <v>0.7</v>
      </c>
      <c r="V340" s="17" t="n"/>
      <c r="W340" s="17" t="n">
        <v>0.3</v>
      </c>
      <c r="X340" s="17" t="n"/>
      <c r="Y340" s="17" t="n"/>
      <c r="Z340" s="13">
        <f>SUMPRODUCT(N340:Y340,$N$2:$Y$2)*$K340*$L340*$M340</f>
        <v/>
      </c>
      <c r="AA340" s="14">
        <f>SUM(N340:Y340)</f>
        <v/>
      </c>
      <c r="AB340" s="14">
        <f>IFERROR(IF(UPPER($E340)="L",SUMPRODUCT(N340:Y340,$N$3:$Y$3,$N$2:$Y$2),SUMPRODUCT(N340:Y340,$N$4:$Y$4,$N$2:$Y$2))/(Z340/($K340*$L340*$M340)),"")</f>
        <v/>
      </c>
      <c r="AC340" s="18" t="n"/>
    </row>
    <row r="341">
      <c r="A341" s="9" t="n">
        <v>814307</v>
      </c>
      <c r="B341" s="9" t="inlineStr">
        <is>
          <t>Zyhir Hope</t>
        </is>
      </c>
      <c r="C341" s="9" t="inlineStr">
        <is>
          <t>DET</t>
        </is>
      </c>
      <c r="D341" s="9" t="n">
        <v>22</v>
      </c>
      <c r="E341" s="16" t="inlineStr">
        <is>
          <t>L</t>
        </is>
      </c>
      <c r="F341" s="16" t="n"/>
      <c r="G341" s="9" t="n">
        <v>198.5128205128205</v>
      </c>
      <c r="H341" s="9" t="n">
        <v>198.5128205128205</v>
      </c>
      <c r="I341" s="9" t="inlineStr">
        <is>
          <t>Bench Bat</t>
        </is>
      </c>
      <c r="J341" s="16" t="inlineStr">
        <is>
          <t>Mid Season (~July)</t>
        </is>
      </c>
      <c r="K341" s="11">
        <f>IFERROR(INDEX(Roles!$B$17:$B$20,MATCH(J341,Roles!$A$17:$A$20,0)),1)</f>
        <v/>
      </c>
      <c r="L341" s="17" t="n">
        <v>1</v>
      </c>
      <c r="M341" s="11" t="n">
        <v>1</v>
      </c>
      <c r="N341" s="17" t="n"/>
      <c r="O341" s="17" t="n"/>
      <c r="P341" s="17" t="n">
        <v>0.26</v>
      </c>
      <c r="Q341" s="17" t="n"/>
      <c r="R341" s="17" t="n"/>
      <c r="S341" s="17" t="n"/>
      <c r="T341" s="17" t="n"/>
      <c r="U341" s="17" t="n"/>
      <c r="V341" s="17" t="n"/>
      <c r="W341" s="17" t="n">
        <v>0.5</v>
      </c>
      <c r="X341" s="17" t="n">
        <v>0.24</v>
      </c>
      <c r="Y341" s="17" t="n"/>
      <c r="Z341" s="13">
        <f>SUMPRODUCT(N341:Y341,$N$2:$Y$2)*$K341*$L341*$M341</f>
        <v/>
      </c>
      <c r="AA341" s="14">
        <f>SUM(N341:Y341)</f>
        <v/>
      </c>
      <c r="AB341" s="14">
        <f>IFERROR(IF(UPPER($E341)="L",SUMPRODUCT(N341:Y341,$N$3:$Y$3,$N$2:$Y$2),SUMPRODUCT(N341:Y341,$N$4:$Y$4,$N$2:$Y$2))/(Z341/($K341*$L341*$M341)),"")</f>
        <v/>
      </c>
      <c r="AC341" s="18" t="n"/>
    </row>
    <row r="342">
      <c r="A342" s="9" t="n">
        <v>686759</v>
      </c>
      <c r="B342" s="9" t="inlineStr">
        <is>
          <t>TJ Hopkins</t>
        </is>
      </c>
      <c r="C342" s="9" t="inlineStr">
        <is>
          <t>CIN</t>
        </is>
      </c>
      <c r="D342" s="9" t="n">
        <v>30</v>
      </c>
      <c r="E342" s="16" t="inlineStr">
        <is>
          <t>R</t>
        </is>
      </c>
      <c r="F342" s="16" t="inlineStr">
        <is>
          <t>RF</t>
        </is>
      </c>
      <c r="G342" s="9" t="n">
        <v>44</v>
      </c>
      <c r="H342" s="9" t="n">
        <v>44</v>
      </c>
      <c r="I342" s="9" t="inlineStr">
        <is>
          <t>Depth (no MLB PA)</t>
        </is>
      </c>
      <c r="J342" s="16" t="inlineStr">
        <is>
          <t>Opening Day</t>
        </is>
      </c>
      <c r="K342" s="11">
        <f>IFERROR(INDEX(Roles!$B$17:$B$20,MATCH(J342,Roles!$A$17:$A$20,0)),1)</f>
        <v/>
      </c>
      <c r="L342" s="17" t="n">
        <v>1</v>
      </c>
      <c r="M342" s="11" t="n">
        <v>1</v>
      </c>
      <c r="N342" s="17" t="n"/>
      <c r="O342" s="17" t="n"/>
      <c r="P342" s="17" t="n"/>
      <c r="Q342" s="17" t="n"/>
      <c r="R342" s="17" t="n"/>
      <c r="S342" s="17" t="n"/>
      <c r="T342" s="17" t="n"/>
      <c r="U342" s="17" t="n"/>
      <c r="V342" s="17" t="n"/>
      <c r="W342" s="17" t="n"/>
      <c r="X342" s="17" t="n"/>
      <c r="Y342" s="17" t="n">
        <v>1</v>
      </c>
      <c r="Z342" s="13">
        <f>SUMPRODUCT(N342:Y342,$N$2:$Y$2)*$K342*$L342*$M342</f>
        <v/>
      </c>
      <c r="AA342" s="14">
        <f>SUM(N342:Y342)</f>
        <v/>
      </c>
      <c r="AB342" s="14">
        <f>IFERROR(IF(UPPER($E342)="L",SUMPRODUCT(N342:Y342,$N$3:$Y$3,$N$2:$Y$2),SUMPRODUCT(N342:Y342,$N$4:$Y$4,$N$2:$Y$2))/(Z342/($K342*$L342*$M342)),"")</f>
        <v/>
      </c>
      <c r="AC342" s="18" t="n"/>
    </row>
    <row r="343">
      <c r="A343" s="9" t="n">
        <v>681393</v>
      </c>
      <c r="B343" s="9" t="inlineStr">
        <is>
          <t>Connor Norby</t>
        </is>
      </c>
      <c r="C343" s="9" t="inlineStr">
        <is>
          <t>COL</t>
        </is>
      </c>
      <c r="D343" s="9" t="n">
        <v>27</v>
      </c>
      <c r="E343" s="16" t="inlineStr">
        <is>
          <t>R</t>
        </is>
      </c>
      <c r="F343" s="16" t="inlineStr">
        <is>
          <t>1B</t>
        </is>
      </c>
      <c r="G343" s="9" t="n">
        <v>383</v>
      </c>
      <c r="H343" s="9" t="n">
        <v>914</v>
      </c>
      <c r="I343" s="9" t="inlineStr">
        <is>
          <t>Full Time</t>
        </is>
      </c>
      <c r="J343" s="16" t="inlineStr">
        <is>
          <t>Opening Day</t>
        </is>
      </c>
      <c r="K343" s="11">
        <f>IFERROR(INDEX(Roles!$B$17:$B$20,MATCH(J343,Roles!$A$17:$A$20,0)),1)</f>
        <v/>
      </c>
      <c r="L343" s="17" t="n">
        <v>1</v>
      </c>
      <c r="M343" s="11" t="n">
        <v>0.8369579024954354</v>
      </c>
      <c r="N343" s="17" t="n">
        <v>0.9</v>
      </c>
      <c r="O343" s="17" t="n"/>
      <c r="P343" s="17" t="n">
        <v>0.1</v>
      </c>
      <c r="Q343" s="17" t="n"/>
      <c r="R343" s="17" t="n"/>
      <c r="S343" s="17" t="n"/>
      <c r="T343" s="17" t="n"/>
      <c r="U343" s="17" t="n"/>
      <c r="V343" s="17" t="n"/>
      <c r="W343" s="17" t="n"/>
      <c r="X343" s="17" t="n"/>
      <c r="Y343" s="17" t="n"/>
      <c r="Z343" s="13">
        <f>SUMPRODUCT(N343:Y343,$N$2:$Y$2)*$K343*$L343*$M343</f>
        <v/>
      </c>
      <c r="AA343" s="14">
        <f>SUM(N343:Y343)</f>
        <v/>
      </c>
      <c r="AB343" s="14">
        <f>IFERROR(IF(UPPER($E343)="L",SUMPRODUCT(N343:Y343,$N$3:$Y$3,$N$2:$Y$2),SUMPRODUCT(N343:Y343,$N$4:$Y$4,$N$2:$Y$2))/(Z343/($K343*$L343*$M343)),"")</f>
        <v/>
      </c>
      <c r="AC343" s="18" t="n"/>
    </row>
    <row r="344">
      <c r="A344" s="9" t="n">
        <v>703177</v>
      </c>
      <c r="B344" s="9" t="inlineStr">
        <is>
          <t>Jhonny Severino</t>
        </is>
      </c>
      <c r="C344" s="9" t="inlineStr">
        <is>
          <t>PIT</t>
        </is>
      </c>
      <c r="D344" s="9" t="n">
        <v>23</v>
      </c>
      <c r="E344" s="16" t="inlineStr">
        <is>
          <t>R</t>
        </is>
      </c>
      <c r="F344" s="16" t="n"/>
      <c r="G344" s="9" t="n">
        <v>95.58974358974361</v>
      </c>
      <c r="H344" s="9" t="n">
        <v>95.58974358974361</v>
      </c>
      <c r="I344" s="9" t="inlineStr">
        <is>
          <t>Depth (no MLB PA)</t>
        </is>
      </c>
      <c r="J344" s="16" t="inlineStr">
        <is>
          <t>Opening Day</t>
        </is>
      </c>
      <c r="K344" s="11">
        <f>IFERROR(INDEX(Roles!$B$17:$B$20,MATCH(J344,Roles!$A$17:$A$20,0)),1)</f>
        <v/>
      </c>
      <c r="L344" s="17" t="n">
        <v>1</v>
      </c>
      <c r="M344" s="11" t="n">
        <v>1</v>
      </c>
      <c r="N344" s="17" t="n"/>
      <c r="O344" s="17" t="n"/>
      <c r="P344" s="17" t="n"/>
      <c r="Q344" s="17" t="n"/>
      <c r="R344" s="17" t="n"/>
      <c r="S344" s="17" t="n"/>
      <c r="T344" s="17" t="n"/>
      <c r="U344" s="17" t="n"/>
      <c r="V344" s="17" t="n"/>
      <c r="W344" s="17" t="n"/>
      <c r="X344" s="17" t="n"/>
      <c r="Y344" s="17" t="n">
        <v>1</v>
      </c>
      <c r="Z344" s="13">
        <f>SUMPRODUCT(N344:Y344,$N$2:$Y$2)*$K344*$L344*$M344</f>
        <v/>
      </c>
      <c r="AA344" s="14">
        <f>SUM(N344:Y344)</f>
        <v/>
      </c>
      <c r="AB344" s="14">
        <f>IFERROR(IF(UPPER($E344)="L",SUMPRODUCT(N344:Y344,$N$3:$Y$3,$N$2:$Y$2),SUMPRODUCT(N344:Y344,$N$4:$Y$4,$N$2:$Y$2))/(Z344/($K344*$L344*$M344)),"")</f>
        <v/>
      </c>
      <c r="AC344" s="18" t="n"/>
    </row>
    <row r="345">
      <c r="A345" s="9" t="n">
        <v>813668</v>
      </c>
      <c r="B345" s="9" t="inlineStr">
        <is>
          <t>Jack Gurevitch</t>
        </is>
      </c>
      <c r="C345" s="9" t="inlineStr">
        <is>
          <t>STL</t>
        </is>
      </c>
      <c r="D345" s="9" t="n">
        <v>25</v>
      </c>
      <c r="E345" s="16" t="inlineStr">
        <is>
          <t>L</t>
        </is>
      </c>
      <c r="F345" s="16" t="n"/>
      <c r="G345" s="9" t="n">
        <v>49.17948717948718</v>
      </c>
      <c r="H345" s="9" t="n">
        <v>49.17948717948718</v>
      </c>
      <c r="I345" s="9" t="inlineStr">
        <is>
          <t>Depth (no MLB PA)</t>
        </is>
      </c>
      <c r="J345" s="16" t="inlineStr">
        <is>
          <t>Opening Day</t>
        </is>
      </c>
      <c r="K345" s="11">
        <f>IFERROR(INDEX(Roles!$B$17:$B$20,MATCH(J345,Roles!$A$17:$A$20,0)),1)</f>
        <v/>
      </c>
      <c r="L345" s="17" t="n">
        <v>1</v>
      </c>
      <c r="M345" s="11" t="n">
        <v>1</v>
      </c>
      <c r="N345" s="17" t="n"/>
      <c r="O345" s="17" t="n"/>
      <c r="P345" s="17" t="n"/>
      <c r="Q345" s="17" t="n"/>
      <c r="R345" s="17" t="n"/>
      <c r="S345" s="17" t="n"/>
      <c r="T345" s="17" t="n"/>
      <c r="U345" s="17" t="n"/>
      <c r="V345" s="17" t="n"/>
      <c r="W345" s="17" t="n"/>
      <c r="X345" s="17" t="n"/>
      <c r="Y345" s="17" t="n">
        <v>1</v>
      </c>
      <c r="Z345" s="13">
        <f>SUMPRODUCT(N345:Y345,$N$2:$Y$2)*$K345*$L345*$M345</f>
        <v/>
      </c>
      <c r="AA345" s="14">
        <f>SUM(N345:Y345)</f>
        <v/>
      </c>
      <c r="AB345" s="14">
        <f>IFERROR(IF(UPPER($E345)="L",SUMPRODUCT(N345:Y345,$N$3:$Y$3,$N$2:$Y$2),SUMPRODUCT(N345:Y345,$N$4:$Y$4,$N$2:$Y$2))/(Z345/($K345*$L345*$M345)),"")</f>
        <v/>
      </c>
      <c r="AC345" s="18" t="n"/>
    </row>
    <row r="346">
      <c r="A346" s="9" t="n">
        <v>801590</v>
      </c>
      <c r="B346" s="9" t="inlineStr">
        <is>
          <t>Aaron Parker</t>
        </is>
      </c>
      <c r="C346" s="9" t="inlineStr">
        <is>
          <t>TOR</t>
        </is>
      </c>
      <c r="D346" s="9" t="n">
        <v>25</v>
      </c>
      <c r="E346" s="16" t="inlineStr">
        <is>
          <t>R</t>
        </is>
      </c>
      <c r="F346" s="16" t="n"/>
      <c r="G346" s="9" t="n">
        <v>124.5641025641026</v>
      </c>
      <c r="H346" s="9" t="n">
        <v>124.5641025641026</v>
      </c>
      <c r="I346" s="9" t="inlineStr">
        <is>
          <t>Depth (no MLB PA)</t>
        </is>
      </c>
      <c r="J346" s="16" t="inlineStr">
        <is>
          <t>Opening Day</t>
        </is>
      </c>
      <c r="K346" s="11">
        <f>IFERROR(INDEX(Roles!$B$17:$B$20,MATCH(J346,Roles!$A$17:$A$20,0)),1)</f>
        <v/>
      </c>
      <c r="L346" s="17" t="n">
        <v>1</v>
      </c>
      <c r="M346" s="11" t="n">
        <v>1</v>
      </c>
      <c r="N346" s="17" t="n"/>
      <c r="O346" s="17" t="n"/>
      <c r="P346" s="17" t="n"/>
      <c r="Q346" s="17" t="n"/>
      <c r="R346" s="17" t="n"/>
      <c r="S346" s="17" t="n"/>
      <c r="T346" s="17" t="n"/>
      <c r="U346" s="17" t="n"/>
      <c r="V346" s="17" t="n"/>
      <c r="W346" s="17" t="n"/>
      <c r="X346" s="17" t="n"/>
      <c r="Y346" s="17" t="n">
        <v>1</v>
      </c>
      <c r="Z346" s="13">
        <f>SUMPRODUCT(N346:Y346,$N$2:$Y$2)*$K346*$L346*$M346</f>
        <v/>
      </c>
      <c r="AA346" s="14">
        <f>SUM(N346:Y346)</f>
        <v/>
      </c>
      <c r="AB346" s="14">
        <f>IFERROR(IF(UPPER($E346)="L",SUMPRODUCT(N346:Y346,$N$3:$Y$3,$N$2:$Y$2),SUMPRODUCT(N346:Y346,$N$4:$Y$4,$N$2:$Y$2))/(Z346/($K346*$L346*$M346)),"")</f>
        <v/>
      </c>
      <c r="AC346" s="18" t="n"/>
    </row>
    <row r="347">
      <c r="A347" s="9" t="n">
        <v>668752</v>
      </c>
      <c r="B347" s="9" t="inlineStr">
        <is>
          <t>Duke Ellis</t>
        </is>
      </c>
      <c r="C347" s="9" t="inlineStr">
        <is>
          <t>NYY</t>
        </is>
      </c>
      <c r="D347" s="9" t="n">
        <v>29</v>
      </c>
      <c r="E347" s="16" t="inlineStr">
        <is>
          <t>L</t>
        </is>
      </c>
      <c r="F347" s="16" t="inlineStr">
        <is>
          <t>CF</t>
        </is>
      </c>
      <c r="G347" s="9" t="n">
        <v>5</v>
      </c>
      <c r="H347" s="9" t="n">
        <v>5</v>
      </c>
      <c r="I347" s="9" t="inlineStr">
        <is>
          <t>Depth (no MLB PA)</t>
        </is>
      </c>
      <c r="J347" s="16" t="inlineStr">
        <is>
          <t>Opening Day</t>
        </is>
      </c>
      <c r="K347" s="11">
        <f>IFERROR(INDEX(Roles!$B$17:$B$20,MATCH(J347,Roles!$A$17:$A$20,0)),1)</f>
        <v/>
      </c>
      <c r="L347" s="17" t="n">
        <v>1</v>
      </c>
      <c r="M347" s="11" t="n">
        <v>1</v>
      </c>
      <c r="N347" s="17" t="n"/>
      <c r="O347" s="17" t="n"/>
      <c r="P347" s="17" t="n"/>
      <c r="Q347" s="17" t="n"/>
      <c r="R347" s="17" t="n"/>
      <c r="S347" s="17" t="n"/>
      <c r="T347" s="17" t="n"/>
      <c r="U347" s="17" t="n"/>
      <c r="V347" s="17" t="n"/>
      <c r="W347" s="17" t="n"/>
      <c r="X347" s="17" t="n"/>
      <c r="Y347" s="17" t="n">
        <v>1</v>
      </c>
      <c r="Z347" s="13">
        <f>SUMPRODUCT(N347:Y347,$N$2:$Y$2)*$K347*$L347*$M347</f>
        <v/>
      </c>
      <c r="AA347" s="14">
        <f>SUM(N347:Y347)</f>
        <v/>
      </c>
      <c r="AB347" s="14">
        <f>IFERROR(IF(UPPER($E347)="L",SUMPRODUCT(N347:Y347,$N$3:$Y$3,$N$2:$Y$2),SUMPRODUCT(N347:Y347,$N$4:$Y$4,$N$2:$Y$2))/(Z347/($K347*$L347*$M347)),"")</f>
        <v/>
      </c>
      <c r="AC347" s="18" t="n"/>
    </row>
    <row r="348">
      <c r="A348" s="9" t="n">
        <v>677956</v>
      </c>
      <c r="B348" s="9" t="inlineStr">
        <is>
          <t>Rece Hinds</t>
        </is>
      </c>
      <c r="C348" s="9" t="inlineStr">
        <is>
          <t>BAL</t>
        </is>
      </c>
      <c r="D348" s="9" t="n">
        <v>26</v>
      </c>
      <c r="E348" s="16" t="inlineStr">
        <is>
          <t>R</t>
        </is>
      </c>
      <c r="F348" s="16" t="inlineStr">
        <is>
          <t>RF</t>
        </is>
      </c>
      <c r="G348" s="9" t="n">
        <v>71</v>
      </c>
      <c r="H348" s="9" t="n">
        <v>166</v>
      </c>
      <c r="I348" s="9" t="inlineStr">
        <is>
          <t>Weak Side Platoon</t>
        </is>
      </c>
      <c r="J348" s="16" t="inlineStr">
        <is>
          <t>Opening Day</t>
        </is>
      </c>
      <c r="K348" s="11">
        <f>IFERROR(INDEX(Roles!$B$17:$B$20,MATCH(J348,Roles!$A$17:$A$20,0)),1)</f>
        <v/>
      </c>
      <c r="L348" s="17" t="n">
        <v>1</v>
      </c>
      <c r="M348" s="11" t="n">
        <v>1</v>
      </c>
      <c r="N348" s="17" t="n"/>
      <c r="O348" s="17" t="n"/>
      <c r="P348" s="17" t="n"/>
      <c r="Q348" s="17" t="n">
        <v>0.6</v>
      </c>
      <c r="R348" s="17" t="n"/>
      <c r="S348" s="17" t="n"/>
      <c r="T348" s="17" t="n"/>
      <c r="U348" s="17" t="n"/>
      <c r="V348" s="17" t="n">
        <v>0.4</v>
      </c>
      <c r="W348" s="17" t="n"/>
      <c r="X348" s="17" t="n"/>
      <c r="Y348" s="17" t="n"/>
      <c r="Z348" s="13">
        <f>SUMPRODUCT(N348:Y348,$N$2:$Y$2)*$K348*$L348*$M348</f>
        <v/>
      </c>
      <c r="AA348" s="14">
        <f>SUM(N348:Y348)</f>
        <v/>
      </c>
      <c r="AB348" s="14">
        <f>IFERROR(IF(UPPER($E348)="L",SUMPRODUCT(N348:Y348,$N$3:$Y$3,$N$2:$Y$2),SUMPRODUCT(N348:Y348,$N$4:$Y$4,$N$2:$Y$2))/(Z348/($K348*$L348*$M348)),"")</f>
        <v/>
      </c>
      <c r="AC348" s="18" t="n"/>
    </row>
    <row r="349">
      <c r="A349" s="9" t="n">
        <v>692390</v>
      </c>
      <c r="B349" s="9" t="inlineStr">
        <is>
          <t>Jose Cordoba</t>
        </is>
      </c>
      <c r="C349" s="9" t="inlineStr">
        <is>
          <t>STL</t>
        </is>
      </c>
      <c r="D349" s="9" t="n">
        <v>25</v>
      </c>
      <c r="E349" s="16" t="inlineStr">
        <is>
          <t>R</t>
        </is>
      </c>
      <c r="F349" s="16" t="n"/>
      <c r="G349" s="9" t="n">
        <v>12.56410256410256</v>
      </c>
      <c r="H349" s="9" t="n">
        <v>12.56410256410256</v>
      </c>
      <c r="I349" s="9" t="inlineStr">
        <is>
          <t>Depth (no MLB PA)</t>
        </is>
      </c>
      <c r="J349" s="16" t="inlineStr">
        <is>
          <t>Opening Day</t>
        </is>
      </c>
      <c r="K349" s="11">
        <f>IFERROR(INDEX(Roles!$B$17:$B$20,MATCH(J349,Roles!$A$17:$A$20,0)),1)</f>
        <v/>
      </c>
      <c r="L349" s="17" t="n">
        <v>1</v>
      </c>
      <c r="M349" s="11" t="n">
        <v>1</v>
      </c>
      <c r="N349" s="17" t="n"/>
      <c r="O349" s="17" t="n"/>
      <c r="P349" s="17" t="n"/>
      <c r="Q349" s="17" t="n"/>
      <c r="R349" s="17" t="n"/>
      <c r="S349" s="17" t="n"/>
      <c r="T349" s="17" t="n"/>
      <c r="U349" s="17" t="n"/>
      <c r="V349" s="17" t="n"/>
      <c r="W349" s="17" t="n"/>
      <c r="X349" s="17" t="n"/>
      <c r="Y349" s="17" t="n">
        <v>1</v>
      </c>
      <c r="Z349" s="13">
        <f>SUMPRODUCT(N349:Y349,$N$2:$Y$2)*$K349*$L349*$M349</f>
        <v/>
      </c>
      <c r="AA349" s="14">
        <f>SUM(N349:Y349)</f>
        <v/>
      </c>
      <c r="AB349" s="14">
        <f>IFERROR(IF(UPPER($E349)="L",SUMPRODUCT(N349:Y349,$N$3:$Y$3,$N$2:$Y$2),SUMPRODUCT(N349:Y349,$N$4:$Y$4,$N$2:$Y$2))/(Z349/($K349*$L349*$M349)),"")</f>
        <v/>
      </c>
      <c r="AC349" s="18" t="n"/>
    </row>
    <row r="350">
      <c r="A350" s="9" t="n">
        <v>690970</v>
      </c>
      <c r="B350" s="9" t="inlineStr">
        <is>
          <t>Corey Collins</t>
        </is>
      </c>
      <c r="C350" s="9" t="inlineStr">
        <is>
          <t>NYM</t>
        </is>
      </c>
      <c r="D350" s="9" t="n">
        <v>25</v>
      </c>
      <c r="E350" s="16" t="inlineStr">
        <is>
          <t>L</t>
        </is>
      </c>
      <c r="F350" s="16" t="n"/>
      <c r="G350" s="9" t="n">
        <v>58.15384615384615</v>
      </c>
      <c r="H350" s="9" t="n">
        <v>58.15384615384615</v>
      </c>
      <c r="I350" s="9" t="inlineStr">
        <is>
          <t>Depth (no MLB PA)</t>
        </is>
      </c>
      <c r="J350" s="16" t="inlineStr">
        <is>
          <t>Opening Day</t>
        </is>
      </c>
      <c r="K350" s="11">
        <f>IFERROR(INDEX(Roles!$B$17:$B$20,MATCH(J350,Roles!$A$17:$A$20,0)),1)</f>
        <v/>
      </c>
      <c r="L350" s="17" t="n">
        <v>1</v>
      </c>
      <c r="M350" s="11" t="n">
        <v>1</v>
      </c>
      <c r="N350" s="17" t="n"/>
      <c r="O350" s="17" t="n"/>
      <c r="P350" s="17" t="n"/>
      <c r="Q350" s="17" t="n"/>
      <c r="R350" s="17" t="n"/>
      <c r="S350" s="17" t="n"/>
      <c r="T350" s="17" t="n"/>
      <c r="U350" s="17" t="n"/>
      <c r="V350" s="17" t="n"/>
      <c r="W350" s="17" t="n"/>
      <c r="X350" s="17" t="n"/>
      <c r="Y350" s="17" t="n">
        <v>1</v>
      </c>
      <c r="Z350" s="13">
        <f>SUMPRODUCT(N350:Y350,$N$2:$Y$2)*$K350*$L350*$M350</f>
        <v/>
      </c>
      <c r="AA350" s="14">
        <f>SUM(N350:Y350)</f>
        <v/>
      </c>
      <c r="AB350" s="14">
        <f>IFERROR(IF(UPPER($E350)="L",SUMPRODUCT(N350:Y350,$N$3:$Y$3,$N$2:$Y$2),SUMPRODUCT(N350:Y350,$N$4:$Y$4,$N$2:$Y$2))/(Z350/($K350*$L350*$M350)),"")</f>
        <v/>
      </c>
      <c r="AC350" s="18" t="n"/>
    </row>
    <row r="351">
      <c r="A351" s="9" t="n">
        <v>682774</v>
      </c>
      <c r="B351" s="9" t="inlineStr">
        <is>
          <t>Andrick Nava</t>
        </is>
      </c>
      <c r="C351" s="9" t="inlineStr">
        <is>
          <t>MIL</t>
        </is>
      </c>
      <c r="D351" s="9" t="n">
        <v>25</v>
      </c>
      <c r="E351" s="16" t="inlineStr">
        <is>
          <t>S</t>
        </is>
      </c>
      <c r="F351" s="16" t="n"/>
      <c r="G351" s="9" t="n">
        <v>37.23076923076923</v>
      </c>
      <c r="H351" s="9" t="n">
        <v>37.23076923076923</v>
      </c>
      <c r="I351" s="9" t="inlineStr">
        <is>
          <t>Depth (no MLB PA)</t>
        </is>
      </c>
      <c r="J351" s="16" t="inlineStr">
        <is>
          <t>Opening Day</t>
        </is>
      </c>
      <c r="K351" s="11">
        <f>IFERROR(INDEX(Roles!$B$17:$B$20,MATCH(J351,Roles!$A$17:$A$20,0)),1)</f>
        <v/>
      </c>
      <c r="L351" s="17" t="n">
        <v>1</v>
      </c>
      <c r="M351" s="11" t="n">
        <v>1</v>
      </c>
      <c r="N351" s="17" t="n"/>
      <c r="O351" s="17" t="n"/>
      <c r="P351" s="17" t="n"/>
      <c r="Q351" s="17" t="n"/>
      <c r="R351" s="17" t="n"/>
      <c r="S351" s="17" t="n"/>
      <c r="T351" s="17" t="n"/>
      <c r="U351" s="17" t="n"/>
      <c r="V351" s="17" t="n"/>
      <c r="W351" s="17" t="n"/>
      <c r="X351" s="17" t="n"/>
      <c r="Y351" s="17" t="n">
        <v>1</v>
      </c>
      <c r="Z351" s="13">
        <f>SUMPRODUCT(N351:Y351,$N$2:$Y$2)*$K351*$L351*$M351</f>
        <v/>
      </c>
      <c r="AA351" s="14">
        <f>SUM(N351:Y351)</f>
        <v/>
      </c>
      <c r="AB351" s="14">
        <f>IFERROR(IF(UPPER($E351)="L",SUMPRODUCT(N351:Y351,$N$3:$Y$3,$N$2:$Y$2),SUMPRODUCT(N351:Y351,$N$4:$Y$4,$N$2:$Y$2))/(Z351/($K351*$L351*$M351)),"")</f>
        <v/>
      </c>
      <c r="AC351" s="18" t="n"/>
    </row>
    <row r="352">
      <c r="A352" s="9" t="n">
        <v>542364</v>
      </c>
      <c r="B352" s="9" t="inlineStr">
        <is>
          <t>Rafael Ortega</t>
        </is>
      </c>
      <c r="C352" s="9" t="inlineStr">
        <is>
          <t>NYM</t>
        </is>
      </c>
      <c r="D352" s="9" t="n">
        <v>36</v>
      </c>
      <c r="E352" s="16" t="inlineStr">
        <is>
          <t>L</t>
        </is>
      </c>
      <c r="F352" s="16" t="inlineStr">
        <is>
          <t>CF</t>
        </is>
      </c>
      <c r="G352" s="9" t="n">
        <v>17</v>
      </c>
      <c r="H352" s="9" t="n">
        <v>524</v>
      </c>
      <c r="I352" s="9" t="inlineStr">
        <is>
          <t>Depth (no MLB PA)</t>
        </is>
      </c>
      <c r="J352" s="16" t="inlineStr">
        <is>
          <t>Opening Day</t>
        </is>
      </c>
      <c r="K352" s="11">
        <f>IFERROR(INDEX(Roles!$B$17:$B$20,MATCH(J352,Roles!$A$17:$A$20,0)),1)</f>
        <v/>
      </c>
      <c r="L352" s="17" t="n">
        <v>1</v>
      </c>
      <c r="M352" s="11" t="n">
        <v>1</v>
      </c>
      <c r="N352" s="17" t="n"/>
      <c r="O352" s="17" t="n"/>
      <c r="P352" s="17" t="n"/>
      <c r="Q352" s="17" t="n"/>
      <c r="R352" s="17" t="n"/>
      <c r="S352" s="17" t="n"/>
      <c r="T352" s="17" t="n"/>
      <c r="U352" s="17" t="n"/>
      <c r="V352" s="17" t="n"/>
      <c r="W352" s="17" t="n"/>
      <c r="X352" s="17" t="n"/>
      <c r="Y352" s="17" t="n">
        <v>1</v>
      </c>
      <c r="Z352" s="13">
        <f>SUMPRODUCT(N352:Y352,$N$2:$Y$2)*$K352*$L352*$M352</f>
        <v/>
      </c>
      <c r="AA352" s="14">
        <f>SUM(N352:Y352)</f>
        <v/>
      </c>
      <c r="AB352" s="14">
        <f>IFERROR(IF(UPPER($E352)="L",SUMPRODUCT(N352:Y352,$N$3:$Y$3,$N$2:$Y$2),SUMPRODUCT(N352:Y352,$N$4:$Y$4,$N$2:$Y$2))/(Z352/($K352*$L352*$M352)),"")</f>
        <v/>
      </c>
      <c r="AC352" s="18" t="n"/>
    </row>
    <row r="353">
      <c r="A353" s="9" t="n">
        <v>641355</v>
      </c>
      <c r="B353" s="9" t="inlineStr">
        <is>
          <t>Cody Bellinger</t>
        </is>
      </c>
      <c r="C353" s="9" t="inlineStr">
        <is>
          <t>NYY</t>
        </is>
      </c>
      <c r="D353" s="9" t="n">
        <v>31</v>
      </c>
      <c r="E353" s="16" t="inlineStr">
        <is>
          <t>L</t>
        </is>
      </c>
      <c r="F353" s="16" t="inlineStr">
        <is>
          <t>LF</t>
        </is>
      </c>
      <c r="G353" s="9" t="n">
        <v>562</v>
      </c>
      <c r="H353" s="9" t="n">
        <v>2893</v>
      </c>
      <c r="I353" s="9" t="inlineStr">
        <is>
          <t>Full Time</t>
        </is>
      </c>
      <c r="J353" s="16" t="inlineStr">
        <is>
          <t>Opening Day</t>
        </is>
      </c>
      <c r="K353" s="11">
        <f>IFERROR(INDEX(Roles!$B$17:$B$20,MATCH(J353,Roles!$A$17:$A$20,0)),1)</f>
        <v/>
      </c>
      <c r="L353" s="17" t="n">
        <v>1</v>
      </c>
      <c r="M353" s="11" t="n">
        <v>1.15</v>
      </c>
      <c r="N353" s="17" t="n">
        <v>1</v>
      </c>
      <c r="O353" s="17" t="n"/>
      <c r="P353" s="17" t="n"/>
      <c r="Q353" s="17" t="n"/>
      <c r="R353" s="17" t="n"/>
      <c r="S353" s="17" t="n"/>
      <c r="T353" s="17" t="n"/>
      <c r="U353" s="17" t="n"/>
      <c r="V353" s="17" t="n"/>
      <c r="W353" s="17" t="n"/>
      <c r="X353" s="17" t="n"/>
      <c r="Y353" s="17" t="n"/>
      <c r="Z353" s="13">
        <f>SUMPRODUCT(N353:Y353,$N$2:$Y$2)*$K353*$L353*$M353</f>
        <v/>
      </c>
      <c r="AA353" s="14">
        <f>SUM(N353:Y353)</f>
        <v/>
      </c>
      <c r="AB353" s="14">
        <f>IFERROR(IF(UPPER($E353)="L",SUMPRODUCT(N353:Y353,$N$3:$Y$3,$N$2:$Y$2),SUMPRODUCT(N353:Y353,$N$4:$Y$4,$N$2:$Y$2))/(Z353/($K353*$L353*$M353)),"")</f>
        <v/>
      </c>
      <c r="AC353" s="18" t="n"/>
    </row>
    <row r="354">
      <c r="A354" s="9" t="n">
        <v>518692</v>
      </c>
      <c r="B354" s="9" t="inlineStr">
        <is>
          <t>Freddie Freeman</t>
        </is>
      </c>
      <c r="C354" s="9" t="inlineStr">
        <is>
          <t>LAD</t>
        </is>
      </c>
      <c r="D354" s="9" t="n">
        <v>37</v>
      </c>
      <c r="E354" s="16" t="inlineStr">
        <is>
          <t>L</t>
        </is>
      </c>
      <c r="F354" s="16" t="inlineStr">
        <is>
          <t>1B</t>
        </is>
      </c>
      <c r="G354" s="9" t="n">
        <v>657</v>
      </c>
      <c r="H354" s="9" t="n">
        <v>3360</v>
      </c>
      <c r="I354" s="9" t="inlineStr">
        <is>
          <t>Full Time</t>
        </is>
      </c>
      <c r="J354" s="16" t="inlineStr">
        <is>
          <t>Opening Day</t>
        </is>
      </c>
      <c r="K354" s="11">
        <f>IFERROR(INDEX(Roles!$B$17:$B$20,MATCH(J354,Roles!$A$17:$A$20,0)),1)</f>
        <v/>
      </c>
      <c r="L354" s="17" t="n">
        <v>1</v>
      </c>
      <c r="M354" s="11" t="n">
        <v>1.138691660266144</v>
      </c>
      <c r="N354" s="17" t="n">
        <v>1</v>
      </c>
      <c r="O354" s="17" t="n"/>
      <c r="P354" s="17" t="n"/>
      <c r="Q354" s="17" t="n"/>
      <c r="R354" s="17" t="n"/>
      <c r="S354" s="17" t="n"/>
      <c r="T354" s="17" t="n"/>
      <c r="U354" s="17" t="n"/>
      <c r="V354" s="17" t="n"/>
      <c r="W354" s="17" t="n"/>
      <c r="X354" s="17" t="n"/>
      <c r="Y354" s="17" t="n"/>
      <c r="Z354" s="13">
        <f>SUMPRODUCT(N354:Y354,$N$2:$Y$2)*$K354*$L354*$M354</f>
        <v/>
      </c>
      <c r="AA354" s="14">
        <f>SUM(N354:Y354)</f>
        <v/>
      </c>
      <c r="AB354" s="14">
        <f>IFERROR(IF(UPPER($E354)="L",SUMPRODUCT(N354:Y354,$N$3:$Y$3,$N$2:$Y$2),SUMPRODUCT(N354:Y354,$N$4:$Y$4,$N$2:$Y$2))/(Z354/($K354*$L354*$M354)),"")</f>
        <v/>
      </c>
      <c r="AC354" s="18" t="n"/>
    </row>
    <row r="355">
      <c r="A355" s="9" t="n">
        <v>671218</v>
      </c>
      <c r="B355" s="9" t="inlineStr">
        <is>
          <t>Heliot Ramos</t>
        </is>
      </c>
      <c r="C355" s="9" t="inlineStr">
        <is>
          <t>NYY</t>
        </is>
      </c>
      <c r="D355" s="9" t="n">
        <v>27</v>
      </c>
      <c r="E355" s="16" t="inlineStr">
        <is>
          <t>R</t>
        </is>
      </c>
      <c r="F355" s="16" t="inlineStr">
        <is>
          <t>LF</t>
        </is>
      </c>
      <c r="G355" s="9" t="n">
        <v>442</v>
      </c>
      <c r="H355" s="9" t="n">
        <v>1737</v>
      </c>
      <c r="I355" s="9" t="inlineStr">
        <is>
          <t>Full Time</t>
        </is>
      </c>
      <c r="J355" s="16" t="inlineStr">
        <is>
          <t>Opening Day</t>
        </is>
      </c>
      <c r="K355" s="11">
        <f>IFERROR(INDEX(Roles!$B$17:$B$20,MATCH(J355,Roles!$A$17:$A$20,0)),1)</f>
        <v/>
      </c>
      <c r="L355" s="17" t="n">
        <v>1</v>
      </c>
      <c r="M355" s="11" t="n">
        <v>1.034997242102689</v>
      </c>
      <c r="N355" s="17" t="n">
        <v>1</v>
      </c>
      <c r="O355" s="17" t="n"/>
      <c r="P355" s="17" t="n"/>
      <c r="Q355" s="17" t="n"/>
      <c r="R355" s="17" t="n"/>
      <c r="S355" s="17" t="n"/>
      <c r="T355" s="17" t="n"/>
      <c r="U355" s="17" t="n"/>
      <c r="V355" s="17" t="n"/>
      <c r="W355" s="17" t="n"/>
      <c r="X355" s="17" t="n"/>
      <c r="Y355" s="17" t="n"/>
      <c r="Z355" s="13">
        <f>SUMPRODUCT(N355:Y355,$N$2:$Y$2)*$K355*$L355*$M355</f>
        <v/>
      </c>
      <c r="AA355" s="14">
        <f>SUM(N355:Y355)</f>
        <v/>
      </c>
      <c r="AB355" s="14">
        <f>IFERROR(IF(UPPER($E355)="L",SUMPRODUCT(N355:Y355,$N$3:$Y$3,$N$2:$Y$2),SUMPRODUCT(N355:Y355,$N$4:$Y$4,$N$2:$Y$2))/(Z355/($K355*$L355*$M355)),"")</f>
        <v/>
      </c>
      <c r="AC355" s="18" t="n"/>
    </row>
    <row r="356">
      <c r="A356" s="9" t="n">
        <v>608070</v>
      </c>
      <c r="B356" s="9" t="inlineStr">
        <is>
          <t>José Ramírez</t>
        </is>
      </c>
      <c r="C356" s="9" t="inlineStr">
        <is>
          <t>CLE</t>
        </is>
      </c>
      <c r="D356" s="9" t="n">
        <v>34</v>
      </c>
      <c r="E356" s="16" t="inlineStr">
        <is>
          <t>S</t>
        </is>
      </c>
      <c r="F356" s="16" t="inlineStr">
        <is>
          <t>3B</t>
        </is>
      </c>
      <c r="G356" s="9" t="n">
        <v>544</v>
      </c>
      <c r="H356" s="9" t="n">
        <v>3275</v>
      </c>
      <c r="I356" s="9" t="inlineStr">
        <is>
          <t>Full Time</t>
        </is>
      </c>
      <c r="J356" s="16" t="inlineStr">
        <is>
          <t>Opening Day</t>
        </is>
      </c>
      <c r="K356" s="11">
        <f>IFERROR(INDEX(Roles!$B$17:$B$20,MATCH(J356,Roles!$A$17:$A$20,0)),1)</f>
        <v/>
      </c>
      <c r="L356" s="17" t="n">
        <v>1</v>
      </c>
      <c r="M356" s="11" t="n">
        <v>1.097893856398555</v>
      </c>
      <c r="N356" s="17" t="n">
        <v>1</v>
      </c>
      <c r="O356" s="17" t="n"/>
      <c r="P356" s="17" t="n"/>
      <c r="Q356" s="17" t="n"/>
      <c r="R356" s="17" t="n"/>
      <c r="S356" s="17" t="n"/>
      <c r="T356" s="17" t="n"/>
      <c r="U356" s="17" t="n"/>
      <c r="V356" s="17" t="n"/>
      <c r="W356" s="17" t="n"/>
      <c r="X356" s="17" t="n"/>
      <c r="Y356" s="17" t="n"/>
      <c r="Z356" s="13">
        <f>SUMPRODUCT(N356:Y356,$N$2:$Y$2)*$K356*$L356*$M356</f>
        <v/>
      </c>
      <c r="AA356" s="14">
        <f>SUM(N356:Y356)</f>
        <v/>
      </c>
      <c r="AB356" s="14">
        <f>IFERROR(IF(UPPER($E356)="L",SUMPRODUCT(N356:Y356,$N$3:$Y$3,$N$2:$Y$2),SUMPRODUCT(N356:Y356,$N$4:$Y$4,$N$2:$Y$2))/(Z356/($K356*$L356*$M356)),"")</f>
        <v/>
      </c>
      <c r="AC356" s="18" t="n"/>
    </row>
    <row r="357">
      <c r="A357" s="9" t="n">
        <v>542194</v>
      </c>
      <c r="B357" s="9" t="inlineStr">
        <is>
          <t>Christian Bethancourt</t>
        </is>
      </c>
      <c r="C357" s="9" t="inlineStr">
        <is>
          <t>CHC</t>
        </is>
      </c>
      <c r="D357" s="9" t="n">
        <v>35</v>
      </c>
      <c r="E357" s="16" t="inlineStr">
        <is>
          <t>R</t>
        </is>
      </c>
      <c r="F357" s="16" t="inlineStr">
        <is>
          <t>C</t>
        </is>
      </c>
      <c r="G357" s="9" t="n">
        <v>147</v>
      </c>
      <c r="H357" s="9" t="n">
        <v>812</v>
      </c>
      <c r="I357" s="9" t="inlineStr">
        <is>
          <t>Depth (no MLB PA)</t>
        </is>
      </c>
      <c r="J357" s="16" t="inlineStr">
        <is>
          <t>Opening Day</t>
        </is>
      </c>
      <c r="K357" s="11">
        <f>IFERROR(INDEX(Roles!$B$17:$B$20,MATCH(J357,Roles!$A$17:$A$20,0)),1)</f>
        <v/>
      </c>
      <c r="L357" s="17" t="n">
        <v>1</v>
      </c>
      <c r="M357" s="11" t="n">
        <v>1</v>
      </c>
      <c r="N357" s="17" t="n"/>
      <c r="O357" s="17" t="n"/>
      <c r="P357" s="17" t="n"/>
      <c r="Q357" s="17" t="n"/>
      <c r="R357" s="17" t="n"/>
      <c r="S357" s="17" t="n"/>
      <c r="T357" s="17" t="n"/>
      <c r="U357" s="17" t="n"/>
      <c r="V357" s="17" t="n"/>
      <c r="W357" s="17" t="n"/>
      <c r="X357" s="17" t="n"/>
      <c r="Y357" s="17" t="n">
        <v>1</v>
      </c>
      <c r="Z357" s="13">
        <f>SUMPRODUCT(N357:Y357,$N$2:$Y$2)*$K357*$L357*$M357</f>
        <v/>
      </c>
      <c r="AA357" s="14">
        <f>SUM(N357:Y357)</f>
        <v/>
      </c>
      <c r="AB357" s="14">
        <f>IFERROR(IF(UPPER($E357)="L",SUMPRODUCT(N357:Y357,$N$3:$Y$3,$N$2:$Y$2),SUMPRODUCT(N357:Y357,$N$4:$Y$4,$N$2:$Y$2))/(Z357/($K357*$L357*$M357)),"")</f>
        <v/>
      </c>
      <c r="AC357" s="18" t="n"/>
    </row>
    <row r="358">
      <c r="A358" s="9" t="n">
        <v>694580</v>
      </c>
      <c r="B358" s="9" t="inlineStr">
        <is>
          <t>Kemp Alderman</t>
        </is>
      </c>
      <c r="C358" s="9" t="inlineStr">
        <is>
          <t>MIA</t>
        </is>
      </c>
      <c r="D358" s="9" t="n">
        <v>25</v>
      </c>
      <c r="E358" s="16" t="inlineStr">
        <is>
          <t>R</t>
        </is>
      </c>
      <c r="F358" s="16" t="n"/>
      <c r="G358" s="9" t="n">
        <v>240.8717948717949</v>
      </c>
      <c r="H358" s="9" t="n">
        <v>240.8717948717949</v>
      </c>
      <c r="I358" s="9" t="inlineStr">
        <is>
          <t>Bench Bat</t>
        </is>
      </c>
      <c r="J358" s="16" t="inlineStr">
        <is>
          <t>Mid Season (~July)</t>
        </is>
      </c>
      <c r="K358" s="11">
        <f>IFERROR(INDEX(Roles!$B$17:$B$20,MATCH(J358,Roles!$A$17:$A$20,0)),1)</f>
        <v/>
      </c>
      <c r="L358" s="17" t="n">
        <v>1</v>
      </c>
      <c r="M358" s="11" t="n">
        <v>1</v>
      </c>
      <c r="N358" s="17" t="n"/>
      <c r="O358" s="17" t="n"/>
      <c r="P358" s="17" t="n">
        <v>0.35</v>
      </c>
      <c r="Q358" s="17" t="n"/>
      <c r="R358" s="17" t="n"/>
      <c r="S358" s="17" t="n"/>
      <c r="T358" s="17" t="n"/>
      <c r="U358" s="17" t="n"/>
      <c r="V358" s="17" t="n"/>
      <c r="W358" s="17" t="n">
        <v>0.45</v>
      </c>
      <c r="X358" s="17" t="n">
        <v>0.2</v>
      </c>
      <c r="Y358" s="17" t="n"/>
      <c r="Z358" s="13">
        <f>SUMPRODUCT(N358:Y358,$N$2:$Y$2)*$K358*$L358*$M358</f>
        <v/>
      </c>
      <c r="AA358" s="14">
        <f>SUM(N358:Y358)</f>
        <v/>
      </c>
      <c r="AB358" s="14">
        <f>IFERROR(IF(UPPER($E358)="L",SUMPRODUCT(N358:Y358,$N$3:$Y$3,$N$2:$Y$2),SUMPRODUCT(N358:Y358,$N$4:$Y$4,$N$2:$Y$2))/(Z358/($K358*$L358*$M358)),"")</f>
        <v/>
      </c>
      <c r="AC358" s="18" t="n"/>
    </row>
    <row r="359">
      <c r="A359" s="9" t="n">
        <v>806230</v>
      </c>
      <c r="B359" s="9" t="inlineStr">
        <is>
          <t>Sammy Stafura</t>
        </is>
      </c>
      <c r="C359" s="9" t="inlineStr">
        <is>
          <t>NYM</t>
        </is>
      </c>
      <c r="D359" s="9" t="n">
        <v>23</v>
      </c>
      <c r="E359" s="16" t="inlineStr">
        <is>
          <t>R</t>
        </is>
      </c>
      <c r="F359" s="16" t="n"/>
      <c r="G359" s="9" t="n">
        <v>61.33333333333334</v>
      </c>
      <c r="H359" s="9" t="n">
        <v>61.33333333333334</v>
      </c>
      <c r="I359" s="9" t="inlineStr">
        <is>
          <t>Depth (no MLB PA)</t>
        </is>
      </c>
      <c r="J359" s="16" t="inlineStr">
        <is>
          <t>Opening Day</t>
        </is>
      </c>
      <c r="K359" s="11">
        <f>IFERROR(INDEX(Roles!$B$17:$B$20,MATCH(J359,Roles!$A$17:$A$20,0)),1)</f>
        <v/>
      </c>
      <c r="L359" s="17" t="n">
        <v>1</v>
      </c>
      <c r="M359" s="11" t="n">
        <v>1</v>
      </c>
      <c r="N359" s="17" t="n"/>
      <c r="O359" s="17" t="n"/>
      <c r="P359" s="17" t="n"/>
      <c r="Q359" s="17" t="n"/>
      <c r="R359" s="17" t="n"/>
      <c r="S359" s="17" t="n"/>
      <c r="T359" s="17" t="n"/>
      <c r="U359" s="17" t="n"/>
      <c r="V359" s="17" t="n"/>
      <c r="W359" s="17" t="n"/>
      <c r="X359" s="17" t="n"/>
      <c r="Y359" s="17" t="n">
        <v>1</v>
      </c>
      <c r="Z359" s="13">
        <f>SUMPRODUCT(N359:Y359,$N$2:$Y$2)*$K359*$L359*$M359</f>
        <v/>
      </c>
      <c r="AA359" s="14">
        <f>SUM(N359:Y359)</f>
        <v/>
      </c>
      <c r="AB359" s="14">
        <f>IFERROR(IF(UPPER($E359)="L",SUMPRODUCT(N359:Y359,$N$3:$Y$3,$N$2:$Y$2),SUMPRODUCT(N359:Y359,$N$4:$Y$4,$N$2:$Y$2))/(Z359/($K359*$L359*$M359)),"")</f>
        <v/>
      </c>
      <c r="AC359" s="18" t="n"/>
    </row>
    <row r="360">
      <c r="A360" s="9" t="n">
        <v>702593</v>
      </c>
      <c r="B360" s="9" t="inlineStr">
        <is>
          <t>Jace LaViolette</t>
        </is>
      </c>
      <c r="C360" s="9" t="inlineStr">
        <is>
          <t>CLE</t>
        </is>
      </c>
      <c r="D360" s="9" t="n">
        <v>25</v>
      </c>
      <c r="E360" s="16" t="inlineStr">
        <is>
          <t>L</t>
        </is>
      </c>
      <c r="F360" s="16" t="n"/>
      <c r="G360" s="9" t="n">
        <v>44.15384615384615</v>
      </c>
      <c r="H360" s="9" t="n">
        <v>44.15384615384615</v>
      </c>
      <c r="I360" s="9" t="inlineStr">
        <is>
          <t>Depth (no MLB PA)</t>
        </is>
      </c>
      <c r="J360" s="16" t="inlineStr">
        <is>
          <t>Opening Day</t>
        </is>
      </c>
      <c r="K360" s="11">
        <f>IFERROR(INDEX(Roles!$B$17:$B$20,MATCH(J360,Roles!$A$17:$A$20,0)),1)</f>
        <v/>
      </c>
      <c r="L360" s="17" t="n">
        <v>1</v>
      </c>
      <c r="M360" s="11" t="n">
        <v>1</v>
      </c>
      <c r="N360" s="17" t="n"/>
      <c r="O360" s="17" t="n"/>
      <c r="P360" s="17" t="n"/>
      <c r="Q360" s="17" t="n"/>
      <c r="R360" s="17" t="n"/>
      <c r="S360" s="17" t="n"/>
      <c r="T360" s="17" t="n"/>
      <c r="U360" s="17" t="n"/>
      <c r="V360" s="17" t="n"/>
      <c r="W360" s="17" t="n"/>
      <c r="X360" s="17" t="n"/>
      <c r="Y360" s="17" t="n">
        <v>1</v>
      </c>
      <c r="Z360" s="13">
        <f>SUMPRODUCT(N360:Y360,$N$2:$Y$2)*$K360*$L360*$M360</f>
        <v/>
      </c>
      <c r="AA360" s="14">
        <f>SUM(N360:Y360)</f>
        <v/>
      </c>
      <c r="AB360" s="14">
        <f>IFERROR(IF(UPPER($E360)="L",SUMPRODUCT(N360:Y360,$N$3:$Y$3,$N$2:$Y$2),SUMPRODUCT(N360:Y360,$N$4:$Y$4,$N$2:$Y$2))/(Z360/($K360*$L360*$M360)),"")</f>
        <v/>
      </c>
      <c r="AC360" s="18" t="n"/>
    </row>
    <row r="361">
      <c r="A361" s="9" t="n">
        <v>572191</v>
      </c>
      <c r="B361" s="9" t="inlineStr">
        <is>
          <t>Michael A. Taylor</t>
        </is>
      </c>
      <c r="C361" s="9" t="inlineStr">
        <is>
          <t>CWS</t>
        </is>
      </c>
      <c r="D361" s="9" t="n">
        <v>36</v>
      </c>
      <c r="E361" s="16" t="inlineStr">
        <is>
          <t>R</t>
        </is>
      </c>
      <c r="F361" s="16" t="inlineStr">
        <is>
          <t>CF</t>
        </is>
      </c>
      <c r="G361" s="9" t="n">
        <v>325</v>
      </c>
      <c r="H361" s="9" t="n">
        <v>1469</v>
      </c>
      <c r="I361" s="9" t="inlineStr">
        <is>
          <t>Utility OF / 4th OF</t>
        </is>
      </c>
      <c r="J361" s="16" t="inlineStr">
        <is>
          <t>Opening Day</t>
        </is>
      </c>
      <c r="K361" s="11">
        <f>IFERROR(INDEX(Roles!$B$17:$B$20,MATCH(J361,Roles!$A$17:$A$20,0)),1)</f>
        <v/>
      </c>
      <c r="L361" s="17" t="n">
        <v>1</v>
      </c>
      <c r="M361" s="11" t="n">
        <v>1.12216607089677</v>
      </c>
      <c r="N361" s="17" t="n"/>
      <c r="O361" s="17" t="n"/>
      <c r="P361" s="17" t="n"/>
      <c r="Q361" s="17" t="n"/>
      <c r="R361" s="17" t="n"/>
      <c r="S361" s="17" t="n"/>
      <c r="T361" s="17" t="n"/>
      <c r="U361" s="17" t="n"/>
      <c r="V361" s="17" t="n">
        <v>1</v>
      </c>
      <c r="W361" s="17" t="n"/>
      <c r="X361" s="17" t="n"/>
      <c r="Y361" s="17" t="n"/>
      <c r="Z361" s="13">
        <f>SUMPRODUCT(N361:Y361,$N$2:$Y$2)*$K361*$L361*$M361</f>
        <v/>
      </c>
      <c r="AA361" s="14">
        <f>SUM(N361:Y361)</f>
        <v/>
      </c>
      <c r="AB361" s="14">
        <f>IFERROR(IF(UPPER($E361)="L",SUMPRODUCT(N361:Y361,$N$3:$Y$3,$N$2:$Y$2),SUMPRODUCT(N361:Y361,$N$4:$Y$4,$N$2:$Y$2))/(Z361/($K361*$L361*$M361)),"")</f>
        <v/>
      </c>
      <c r="AC361" s="18" t="n"/>
    </row>
    <row r="362">
      <c r="A362" s="9" t="n">
        <v>677551</v>
      </c>
      <c r="B362" s="9" t="inlineStr">
        <is>
          <t>Wander Franco</t>
        </is>
      </c>
      <c r="C362" s="9" t="inlineStr">
        <is>
          <t>TB</t>
        </is>
      </c>
      <c r="D362" s="9" t="n">
        <v>26</v>
      </c>
      <c r="E362" s="16" t="inlineStr">
        <is>
          <t>S</t>
        </is>
      </c>
      <c r="F362" s="16" t="inlineStr">
        <is>
          <t>SS</t>
        </is>
      </c>
      <c r="G362" s="9" t="n">
        <v>491</v>
      </c>
      <c r="H362" s="9" t="n">
        <v>835</v>
      </c>
      <c r="I362" s="9" t="inlineStr">
        <is>
          <t>Bench Bat</t>
        </is>
      </c>
      <c r="J362" s="16" t="inlineStr">
        <is>
          <t>Opening Day</t>
        </is>
      </c>
      <c r="K362" s="11">
        <f>IFERROR(INDEX(Roles!$B$17:$B$20,MATCH(J362,Roles!$A$17:$A$20,0)),1)</f>
        <v/>
      </c>
      <c r="L362" s="17" t="n">
        <v>1</v>
      </c>
      <c r="M362" s="11" t="n">
        <v>1</v>
      </c>
      <c r="N362" s="17" t="n"/>
      <c r="O362" s="17" t="n"/>
      <c r="P362" s="17" t="n"/>
      <c r="Q362" s="17" t="n"/>
      <c r="R362" s="17" t="n"/>
      <c r="S362" s="17" t="n"/>
      <c r="T362" s="17" t="n"/>
      <c r="U362" s="17" t="n"/>
      <c r="V362" s="17" t="n"/>
      <c r="W362" s="17" t="n">
        <v>0.85</v>
      </c>
      <c r="X362" s="17" t="n">
        <v>0.15</v>
      </c>
      <c r="Y362" s="17" t="n"/>
      <c r="Z362" s="13">
        <f>SUMPRODUCT(N362:Y362,$N$2:$Y$2)*$K362*$L362*$M362</f>
        <v/>
      </c>
      <c r="AA362" s="14">
        <f>SUM(N362:Y362)</f>
        <v/>
      </c>
      <c r="AB362" s="14">
        <f>IFERROR(IF(UPPER($E362)="L",SUMPRODUCT(N362:Y362,$N$3:$Y$3,$N$2:$Y$2),SUMPRODUCT(N362:Y362,$N$4:$Y$4,$N$2:$Y$2))/(Z362/($K362*$L362*$M362)),"")</f>
        <v/>
      </c>
      <c r="AC362" s="18" t="n"/>
    </row>
    <row r="363">
      <c r="A363" s="9" t="n">
        <v>695735</v>
      </c>
      <c r="B363" s="9" t="inlineStr">
        <is>
          <t>Creed Willems</t>
        </is>
      </c>
      <c r="C363" s="9" t="inlineStr">
        <is>
          <t>BAL</t>
        </is>
      </c>
      <c r="D363" s="9" t="n">
        <v>25</v>
      </c>
      <c r="E363" s="16" t="inlineStr">
        <is>
          <t>L</t>
        </is>
      </c>
      <c r="F363" s="16" t="n"/>
      <c r="G363" s="9" t="n">
        <v>244.2564102564103</v>
      </c>
      <c r="H363" s="9" t="n">
        <v>244.2564102564103</v>
      </c>
      <c r="I363" s="9" t="inlineStr">
        <is>
          <t>Depth (no MLB PA)</t>
        </is>
      </c>
      <c r="J363" s="16" t="inlineStr">
        <is>
          <t>Opening Day</t>
        </is>
      </c>
      <c r="K363" s="11">
        <f>IFERROR(INDEX(Roles!$B$17:$B$20,MATCH(J363,Roles!$A$17:$A$20,0)),1)</f>
        <v/>
      </c>
      <c r="L363" s="17" t="n">
        <v>1</v>
      </c>
      <c r="M363" s="11" t="n">
        <v>1</v>
      </c>
      <c r="N363" s="17" t="n"/>
      <c r="O363" s="17" t="n"/>
      <c r="P363" s="17" t="n"/>
      <c r="Q363" s="17" t="n"/>
      <c r="R363" s="17" t="n"/>
      <c r="S363" s="17" t="n"/>
      <c r="T363" s="17" t="n"/>
      <c r="U363" s="17" t="n"/>
      <c r="V363" s="17" t="n"/>
      <c r="W363" s="17" t="n"/>
      <c r="X363" s="17" t="n"/>
      <c r="Y363" s="17" t="n">
        <v>1</v>
      </c>
      <c r="Z363" s="13">
        <f>SUMPRODUCT(N363:Y363,$N$2:$Y$2)*$K363*$L363*$M363</f>
        <v/>
      </c>
      <c r="AA363" s="14">
        <f>SUM(N363:Y363)</f>
        <v/>
      </c>
      <c r="AB363" s="14">
        <f>IFERROR(IF(UPPER($E363)="L",SUMPRODUCT(N363:Y363,$N$3:$Y$3,$N$2:$Y$2),SUMPRODUCT(N363:Y363,$N$4:$Y$4,$N$2:$Y$2))/(Z363/($K363*$L363*$M363)),"")</f>
        <v/>
      </c>
      <c r="AC363" s="18" t="n"/>
    </row>
    <row r="364">
      <c r="A364" s="9" t="n">
        <v>691023</v>
      </c>
      <c r="B364" s="9" t="inlineStr">
        <is>
          <t>Jordan Walker</t>
        </is>
      </c>
      <c r="C364" s="9" t="inlineStr">
        <is>
          <t>STL</t>
        </is>
      </c>
      <c r="D364" s="9" t="n">
        <v>25</v>
      </c>
      <c r="E364" s="16" t="inlineStr">
        <is>
          <t>R</t>
        </is>
      </c>
      <c r="F364" s="16" t="inlineStr">
        <is>
          <t>RF</t>
        </is>
      </c>
      <c r="G364" s="9" t="n">
        <v>667</v>
      </c>
      <c r="H364" s="9" t="n">
        <v>1706</v>
      </c>
      <c r="I364" s="9" t="inlineStr">
        <is>
          <t>Full Time</t>
        </is>
      </c>
      <c r="J364" s="16" t="inlineStr">
        <is>
          <t>Opening Day</t>
        </is>
      </c>
      <c r="K364" s="11">
        <f>IFERROR(INDEX(Roles!$B$17:$B$20,MATCH(J364,Roles!$A$17:$A$20,0)),1)</f>
        <v/>
      </c>
      <c r="L364" s="17" t="n">
        <v>1</v>
      </c>
      <c r="M364" s="11" t="n">
        <v>1.00014911796579</v>
      </c>
      <c r="N364" s="17" t="n">
        <v>1</v>
      </c>
      <c r="O364" s="17" t="n"/>
      <c r="P364" s="17" t="n"/>
      <c r="Q364" s="17" t="n"/>
      <c r="R364" s="17" t="n"/>
      <c r="S364" s="17" t="n"/>
      <c r="T364" s="17" t="n"/>
      <c r="U364" s="17" t="n"/>
      <c r="V364" s="17" t="n"/>
      <c r="W364" s="17" t="n"/>
      <c r="X364" s="17" t="n"/>
      <c r="Y364" s="17" t="n"/>
      <c r="Z364" s="13">
        <f>SUMPRODUCT(N364:Y364,$N$2:$Y$2)*$K364*$L364*$M364</f>
        <v/>
      </c>
      <c r="AA364" s="14">
        <f>SUM(N364:Y364)</f>
        <v/>
      </c>
      <c r="AB364" s="14">
        <f>IFERROR(IF(UPPER($E364)="L",SUMPRODUCT(N364:Y364,$N$3:$Y$3,$N$2:$Y$2),SUMPRODUCT(N364:Y364,$N$4:$Y$4,$N$2:$Y$2))/(Z364/($K364*$L364*$M364)),"")</f>
        <v/>
      </c>
      <c r="AC364" s="18" t="n"/>
    </row>
    <row r="365">
      <c r="A365" s="9" t="n">
        <v>668904</v>
      </c>
      <c r="B365" s="9" t="inlineStr">
        <is>
          <t>Royce Lewis</t>
        </is>
      </c>
      <c r="C365" s="9" t="inlineStr">
        <is>
          <t>MIN</t>
        </is>
      </c>
      <c r="D365" s="9" t="n">
        <v>28</v>
      </c>
      <c r="E365" s="16" t="inlineStr">
        <is>
          <t>R</t>
        </is>
      </c>
      <c r="F365" s="16" t="inlineStr">
        <is>
          <t>1B</t>
        </is>
      </c>
      <c r="G365" s="9" t="n">
        <v>509</v>
      </c>
      <c r="H365" s="9" t="n">
        <v>1517</v>
      </c>
      <c r="I365" s="9" t="inlineStr">
        <is>
          <t>Weak Side Platoon</t>
        </is>
      </c>
      <c r="J365" s="16" t="inlineStr">
        <is>
          <t>Opening Day</t>
        </is>
      </c>
      <c r="K365" s="11">
        <f>IFERROR(INDEX(Roles!$B$17:$B$20,MATCH(J365,Roles!$A$17:$A$20,0)),1)</f>
        <v/>
      </c>
      <c r="L365" s="17" t="n">
        <v>1</v>
      </c>
      <c r="M365" s="11" t="n">
        <v>1.15</v>
      </c>
      <c r="N365" s="17" t="n"/>
      <c r="O365" s="17" t="n"/>
      <c r="P365" s="17" t="n"/>
      <c r="Q365" s="17" t="n">
        <v>0.6</v>
      </c>
      <c r="R365" s="17" t="n"/>
      <c r="S365" s="17" t="n"/>
      <c r="T365" s="17" t="n"/>
      <c r="U365" s="17" t="n">
        <v>0.4</v>
      </c>
      <c r="V365" s="17" t="n"/>
      <c r="W365" s="17" t="n"/>
      <c r="X365" s="17" t="n"/>
      <c r="Y365" s="17" t="n"/>
      <c r="Z365" s="13">
        <f>SUMPRODUCT(N365:Y365,$N$2:$Y$2)*$K365*$L365*$M365</f>
        <v/>
      </c>
      <c r="AA365" s="14">
        <f>SUM(N365:Y365)</f>
        <v/>
      </c>
      <c r="AB365" s="14">
        <f>IFERROR(IF(UPPER($E365)="L",SUMPRODUCT(N365:Y365,$N$3:$Y$3,$N$2:$Y$2),SUMPRODUCT(N365:Y365,$N$4:$Y$4,$N$2:$Y$2))/(Z365/($K365*$L365*$M365)),"")</f>
        <v/>
      </c>
      <c r="AC365" s="18" t="n"/>
    </row>
    <row r="366">
      <c r="A366" s="9" t="n">
        <v>814522</v>
      </c>
      <c r="B366" s="9" t="inlineStr">
        <is>
          <t>Caden Kendle</t>
        </is>
      </c>
      <c r="C366" s="9" t="inlineStr">
        <is>
          <t>MIN</t>
        </is>
      </c>
      <c r="D366" s="9" t="n">
        <v>25</v>
      </c>
      <c r="E366" s="16" t="inlineStr">
        <is>
          <t>R</t>
        </is>
      </c>
      <c r="F366" s="16" t="n"/>
      <c r="G366" s="9" t="n">
        <v>67.84615384615384</v>
      </c>
      <c r="H366" s="9" t="n">
        <v>67.84615384615384</v>
      </c>
      <c r="I366" s="9" t="inlineStr">
        <is>
          <t>Depth (no MLB PA)</t>
        </is>
      </c>
      <c r="J366" s="16" t="inlineStr">
        <is>
          <t>Opening Day</t>
        </is>
      </c>
      <c r="K366" s="11">
        <f>IFERROR(INDEX(Roles!$B$17:$B$20,MATCH(J366,Roles!$A$17:$A$20,0)),1)</f>
        <v/>
      </c>
      <c r="L366" s="17" t="n">
        <v>1</v>
      </c>
      <c r="M366" s="11" t="n">
        <v>1</v>
      </c>
      <c r="N366" s="17" t="n"/>
      <c r="O366" s="17" t="n"/>
      <c r="P366" s="17" t="n"/>
      <c r="Q366" s="17" t="n"/>
      <c r="R366" s="17" t="n"/>
      <c r="S366" s="17" t="n"/>
      <c r="T366" s="17" t="n"/>
      <c r="U366" s="17" t="n"/>
      <c r="V366" s="17" t="n"/>
      <c r="W366" s="17" t="n"/>
      <c r="X366" s="17" t="n"/>
      <c r="Y366" s="17" t="n">
        <v>1</v>
      </c>
      <c r="Z366" s="13">
        <f>SUMPRODUCT(N366:Y366,$N$2:$Y$2)*$K366*$L366*$M366</f>
        <v/>
      </c>
      <c r="AA366" s="14">
        <f>SUM(N366:Y366)</f>
        <v/>
      </c>
      <c r="AB366" s="14">
        <f>IFERROR(IF(UPPER($E366)="L",SUMPRODUCT(N366:Y366,$N$3:$Y$3,$N$2:$Y$2),SUMPRODUCT(N366:Y366,$N$4:$Y$4,$N$2:$Y$2))/(Z366/($K366*$L366*$M366)),"")</f>
        <v/>
      </c>
      <c r="AC366" s="18" t="n"/>
    </row>
    <row r="367">
      <c r="A367" s="9" t="n">
        <v>686638</v>
      </c>
      <c r="B367" s="9" t="inlineStr">
        <is>
          <t>Hunter Fitz-Gerald</t>
        </is>
      </c>
      <c r="C367" s="9" t="inlineStr">
        <is>
          <t>SEA</t>
        </is>
      </c>
      <c r="D367" s="9" t="n">
        <v>25</v>
      </c>
      <c r="E367" s="16" t="inlineStr">
        <is>
          <t>L</t>
        </is>
      </c>
      <c r="F367" s="16" t="n"/>
      <c r="G367" s="9" t="n">
        <v>204.2564102564103</v>
      </c>
      <c r="H367" s="9" t="n">
        <v>204.2564102564103</v>
      </c>
      <c r="I367" s="9" t="inlineStr">
        <is>
          <t>Depth (no MLB PA)</t>
        </is>
      </c>
      <c r="J367" s="16" t="inlineStr">
        <is>
          <t>Opening Day</t>
        </is>
      </c>
      <c r="K367" s="11">
        <f>IFERROR(INDEX(Roles!$B$17:$B$20,MATCH(J367,Roles!$A$17:$A$20,0)),1)</f>
        <v/>
      </c>
      <c r="L367" s="17" t="n">
        <v>1</v>
      </c>
      <c r="M367" s="11" t="n">
        <v>1</v>
      </c>
      <c r="N367" s="17" t="n"/>
      <c r="O367" s="17" t="n"/>
      <c r="P367" s="17" t="n"/>
      <c r="Q367" s="17" t="n"/>
      <c r="R367" s="17" t="n"/>
      <c r="S367" s="17" t="n"/>
      <c r="T367" s="17" t="n"/>
      <c r="U367" s="17" t="n"/>
      <c r="V367" s="17" t="n"/>
      <c r="W367" s="17" t="n"/>
      <c r="X367" s="17" t="n"/>
      <c r="Y367" s="17" t="n">
        <v>1</v>
      </c>
      <c r="Z367" s="13">
        <f>SUMPRODUCT(N367:Y367,$N$2:$Y$2)*$K367*$L367*$M367</f>
        <v/>
      </c>
      <c r="AA367" s="14">
        <f>SUM(N367:Y367)</f>
        <v/>
      </c>
      <c r="AB367" s="14">
        <f>IFERROR(IF(UPPER($E367)="L",SUMPRODUCT(N367:Y367,$N$3:$Y$3,$N$2:$Y$2),SUMPRODUCT(N367:Y367,$N$4:$Y$4,$N$2:$Y$2))/(Z367/($K367*$L367*$M367)),"")</f>
        <v/>
      </c>
      <c r="AC367" s="18" t="n"/>
    </row>
    <row r="368">
      <c r="A368" s="9" t="n">
        <v>691024</v>
      </c>
      <c r="B368" s="9" t="inlineStr">
        <is>
          <t>Cayden Wallace</t>
        </is>
      </c>
      <c r="C368" s="9" t="inlineStr">
        <is>
          <t>WSH</t>
        </is>
      </c>
      <c r="D368" s="9" t="n">
        <v>25</v>
      </c>
      <c r="E368" s="16" t="inlineStr">
        <is>
          <t>R</t>
        </is>
      </c>
      <c r="F368" s="16" t="n"/>
      <c r="G368" s="9" t="n">
        <v>136.5128205128205</v>
      </c>
      <c r="H368" s="9" t="n">
        <v>136.5128205128205</v>
      </c>
      <c r="I368" s="9" t="inlineStr">
        <is>
          <t>Depth (no MLB PA)</t>
        </is>
      </c>
      <c r="J368" s="16" t="inlineStr">
        <is>
          <t>Opening Day</t>
        </is>
      </c>
      <c r="K368" s="11">
        <f>IFERROR(INDEX(Roles!$B$17:$B$20,MATCH(J368,Roles!$A$17:$A$20,0)),1)</f>
        <v/>
      </c>
      <c r="L368" s="17" t="n">
        <v>1</v>
      </c>
      <c r="M368" s="11" t="n">
        <v>1</v>
      </c>
      <c r="N368" s="17" t="n"/>
      <c r="O368" s="17" t="n"/>
      <c r="P368" s="17" t="n"/>
      <c r="Q368" s="17" t="n"/>
      <c r="R368" s="17" t="n"/>
      <c r="S368" s="17" t="n"/>
      <c r="T368" s="17" t="n"/>
      <c r="U368" s="17" t="n"/>
      <c r="V368" s="17" t="n"/>
      <c r="W368" s="17" t="n"/>
      <c r="X368" s="17" t="n"/>
      <c r="Y368" s="17" t="n">
        <v>1</v>
      </c>
      <c r="Z368" s="13">
        <f>SUMPRODUCT(N368:Y368,$N$2:$Y$2)*$K368*$L368*$M368</f>
        <v/>
      </c>
      <c r="AA368" s="14">
        <f>SUM(N368:Y368)</f>
        <v/>
      </c>
      <c r="AB368" s="14">
        <f>IFERROR(IF(UPPER($E368)="L",SUMPRODUCT(N368:Y368,$N$3:$Y$3,$N$2:$Y$2),SUMPRODUCT(N368:Y368,$N$4:$Y$4,$N$2:$Y$2))/(Z368/($K368*$L368*$M368)),"")</f>
        <v/>
      </c>
      <c r="AC368" s="18" t="n"/>
    </row>
    <row r="369">
      <c r="A369" s="9" t="n">
        <v>701337</v>
      </c>
      <c r="B369" s="9" t="inlineStr">
        <is>
          <t>Ethan Petry</t>
        </is>
      </c>
      <c r="C369" s="9" t="inlineStr">
        <is>
          <t>WSH</t>
        </is>
      </c>
      <c r="D369" s="9" t="n">
        <v>25</v>
      </c>
      <c r="E369" s="16" t="inlineStr">
        <is>
          <t>R</t>
        </is>
      </c>
      <c r="F369" s="16" t="n"/>
      <c r="G369" s="9" t="n">
        <v>98</v>
      </c>
      <c r="H369" s="9" t="n">
        <v>98</v>
      </c>
      <c r="I369" s="9" t="inlineStr">
        <is>
          <t>Depth (no MLB PA)</t>
        </is>
      </c>
      <c r="J369" s="16" t="inlineStr">
        <is>
          <t>Opening Day</t>
        </is>
      </c>
      <c r="K369" s="11">
        <f>IFERROR(INDEX(Roles!$B$17:$B$20,MATCH(J369,Roles!$A$17:$A$20,0)),1)</f>
        <v/>
      </c>
      <c r="L369" s="17" t="n">
        <v>1</v>
      </c>
      <c r="M369" s="11" t="n">
        <v>1</v>
      </c>
      <c r="N369" s="17" t="n"/>
      <c r="O369" s="17" t="n"/>
      <c r="P369" s="17" t="n"/>
      <c r="Q369" s="17" t="n"/>
      <c r="R369" s="17" t="n"/>
      <c r="S369" s="17" t="n"/>
      <c r="T369" s="17" t="n"/>
      <c r="U369" s="17" t="n"/>
      <c r="V369" s="17" t="n"/>
      <c r="W369" s="17" t="n"/>
      <c r="X369" s="17" t="n"/>
      <c r="Y369" s="17" t="n">
        <v>1</v>
      </c>
      <c r="Z369" s="13">
        <f>SUMPRODUCT(N369:Y369,$N$2:$Y$2)*$K369*$L369*$M369</f>
        <v/>
      </c>
      <c r="AA369" s="14">
        <f>SUM(N369:Y369)</f>
        <v/>
      </c>
      <c r="AB369" s="14">
        <f>IFERROR(IF(UPPER($E369)="L",SUMPRODUCT(N369:Y369,$N$3:$Y$3,$N$2:$Y$2),SUMPRODUCT(N369:Y369,$N$4:$Y$4,$N$2:$Y$2))/(Z369/($K369*$L369*$M369)),"")</f>
        <v/>
      </c>
      <c r="AC369" s="18" t="n"/>
    </row>
    <row r="370">
      <c r="A370" s="9" t="n">
        <v>680996</v>
      </c>
      <c r="B370" s="9" t="inlineStr">
        <is>
          <t>Luke Mann</t>
        </is>
      </c>
      <c r="C370" s="9" t="inlineStr">
        <is>
          <t>OAK</t>
        </is>
      </c>
      <c r="D370" s="9" t="n">
        <v>25</v>
      </c>
      <c r="E370" s="16" t="inlineStr">
        <is>
          <t>L</t>
        </is>
      </c>
      <c r="F370" s="16" t="n"/>
      <c r="G370" s="9" t="n">
        <v>53.02564102564103</v>
      </c>
      <c r="H370" s="9" t="n">
        <v>53.02564102564103</v>
      </c>
      <c r="I370" s="9" t="inlineStr">
        <is>
          <t>Depth (no MLB PA)</t>
        </is>
      </c>
      <c r="J370" s="16" t="inlineStr">
        <is>
          <t>Opening Day</t>
        </is>
      </c>
      <c r="K370" s="11">
        <f>IFERROR(INDEX(Roles!$B$17:$B$20,MATCH(J370,Roles!$A$17:$A$20,0)),1)</f>
        <v/>
      </c>
      <c r="L370" s="17" t="n">
        <v>1</v>
      </c>
      <c r="M370" s="11" t="n">
        <v>1</v>
      </c>
      <c r="N370" s="17" t="n"/>
      <c r="O370" s="17" t="n"/>
      <c r="P370" s="17" t="n"/>
      <c r="Q370" s="17" t="n"/>
      <c r="R370" s="17" t="n"/>
      <c r="S370" s="17" t="n"/>
      <c r="T370" s="17" t="n"/>
      <c r="U370" s="17" t="n"/>
      <c r="V370" s="17" t="n"/>
      <c r="W370" s="17" t="n"/>
      <c r="X370" s="17" t="n"/>
      <c r="Y370" s="17" t="n">
        <v>1</v>
      </c>
      <c r="Z370" s="13">
        <f>SUMPRODUCT(N370:Y370,$N$2:$Y$2)*$K370*$L370*$M370</f>
        <v/>
      </c>
      <c r="AA370" s="14">
        <f>SUM(N370:Y370)</f>
        <v/>
      </c>
      <c r="AB370" s="14">
        <f>IFERROR(IF(UPPER($E370)="L",SUMPRODUCT(N370:Y370,$N$3:$Y$3,$N$2:$Y$2),SUMPRODUCT(N370:Y370,$N$4:$Y$4,$N$2:$Y$2))/(Z370/($K370*$L370*$M370)),"")</f>
        <v/>
      </c>
      <c r="AC370" s="18" t="n"/>
    </row>
    <row r="371">
      <c r="A371" s="9" t="n">
        <v>803175</v>
      </c>
      <c r="B371" s="9" t="inlineStr">
        <is>
          <t>Ethan Anderson</t>
        </is>
      </c>
      <c r="C371" s="9" t="inlineStr">
        <is>
          <t>BAL</t>
        </is>
      </c>
      <c r="D371" s="9" t="n">
        <v>24</v>
      </c>
      <c r="E371" s="16" t="inlineStr">
        <is>
          <t>S</t>
        </is>
      </c>
      <c r="F371" s="16" t="n"/>
      <c r="G371" s="9" t="n">
        <v>11.84615384615385</v>
      </c>
      <c r="H371" s="9" t="n">
        <v>11.84615384615385</v>
      </c>
      <c r="I371" s="9" t="inlineStr">
        <is>
          <t>Depth (no MLB PA)</t>
        </is>
      </c>
      <c r="J371" s="16" t="inlineStr">
        <is>
          <t>Opening Day</t>
        </is>
      </c>
      <c r="K371" s="11">
        <f>IFERROR(INDEX(Roles!$B$17:$B$20,MATCH(J371,Roles!$A$17:$A$20,0)),1)</f>
        <v/>
      </c>
      <c r="L371" s="17" t="n">
        <v>1</v>
      </c>
      <c r="M371" s="11" t="n">
        <v>1</v>
      </c>
      <c r="N371" s="17" t="n"/>
      <c r="O371" s="17" t="n"/>
      <c r="P371" s="17" t="n"/>
      <c r="Q371" s="17" t="n"/>
      <c r="R371" s="17" t="n"/>
      <c r="S371" s="17" t="n"/>
      <c r="T371" s="17" t="n"/>
      <c r="U371" s="17" t="n"/>
      <c r="V371" s="17" t="n"/>
      <c r="W371" s="17" t="n"/>
      <c r="X371" s="17" t="n"/>
      <c r="Y371" s="17" t="n">
        <v>1</v>
      </c>
      <c r="Z371" s="13">
        <f>SUMPRODUCT(N371:Y371,$N$2:$Y$2)*$K371*$L371*$M371</f>
        <v/>
      </c>
      <c r="AA371" s="14">
        <f>SUM(N371:Y371)</f>
        <v/>
      </c>
      <c r="AB371" s="14">
        <f>IFERROR(IF(UPPER($E371)="L",SUMPRODUCT(N371:Y371,$N$3:$Y$3,$N$2:$Y$2),SUMPRODUCT(N371:Y371,$N$4:$Y$4,$N$2:$Y$2))/(Z371/($K371*$L371*$M371)),"")</f>
        <v/>
      </c>
      <c r="AC371" s="18" t="n"/>
    </row>
    <row r="372">
      <c r="A372" s="9" t="n">
        <v>605119</v>
      </c>
      <c r="B372" s="9" t="inlineStr">
        <is>
          <t>Brian Anderson</t>
        </is>
      </c>
      <c r="C372" s="9" t="inlineStr">
        <is>
          <t>MIL</t>
        </is>
      </c>
      <c r="D372" s="9" t="n">
        <v>34</v>
      </c>
      <c r="E372" s="16" t="inlineStr">
        <is>
          <t>R</t>
        </is>
      </c>
      <c r="F372" s="16" t="inlineStr">
        <is>
          <t>RF</t>
        </is>
      </c>
      <c r="G372" s="9" t="n">
        <v>5</v>
      </c>
      <c r="H372" s="9" t="n">
        <v>749</v>
      </c>
      <c r="I372" s="9" t="inlineStr">
        <is>
          <t>Depth (no MLB PA)</t>
        </is>
      </c>
      <c r="J372" s="16" t="inlineStr">
        <is>
          <t>Opening Day</t>
        </is>
      </c>
      <c r="K372" s="11">
        <f>IFERROR(INDEX(Roles!$B$17:$B$20,MATCH(J372,Roles!$A$17:$A$20,0)),1)</f>
        <v/>
      </c>
      <c r="L372" s="17" t="n">
        <v>1</v>
      </c>
      <c r="M372" s="11" t="n">
        <v>1</v>
      </c>
      <c r="N372" s="17" t="n"/>
      <c r="O372" s="17" t="n"/>
      <c r="P372" s="17" t="n"/>
      <c r="Q372" s="17" t="n"/>
      <c r="R372" s="17" t="n"/>
      <c r="S372" s="17" t="n"/>
      <c r="T372" s="17" t="n"/>
      <c r="U372" s="17" t="n"/>
      <c r="V372" s="17" t="n"/>
      <c r="W372" s="17" t="n"/>
      <c r="X372" s="17" t="n"/>
      <c r="Y372" s="17" t="n">
        <v>1</v>
      </c>
      <c r="Z372" s="13">
        <f>SUMPRODUCT(N372:Y372,$N$2:$Y$2)*$K372*$L372*$M372</f>
        <v/>
      </c>
      <c r="AA372" s="14">
        <f>SUM(N372:Y372)</f>
        <v/>
      </c>
      <c r="AB372" s="14">
        <f>IFERROR(IF(UPPER($E372)="L",SUMPRODUCT(N372:Y372,$N$3:$Y$3,$N$2:$Y$2),SUMPRODUCT(N372:Y372,$N$4:$Y$4,$N$2:$Y$2))/(Z372/($K372*$L372*$M372)),"")</f>
        <v/>
      </c>
      <c r="AC372" s="18" t="n"/>
    </row>
    <row r="373">
      <c r="A373" s="9" t="n">
        <v>694310</v>
      </c>
      <c r="B373" s="9" t="inlineStr">
        <is>
          <t>Bryson Ware</t>
        </is>
      </c>
      <c r="C373" s="9" t="inlineStr">
        <is>
          <t>PHI</t>
        </is>
      </c>
      <c r="D373" s="9" t="n">
        <v>25</v>
      </c>
      <c r="E373" s="16" t="inlineStr">
        <is>
          <t>R</t>
        </is>
      </c>
      <c r="F373" s="16" t="n"/>
      <c r="G373" s="9" t="n">
        <v>106.6153846153846</v>
      </c>
      <c r="H373" s="9" t="n">
        <v>106.6153846153846</v>
      </c>
      <c r="I373" s="9" t="inlineStr">
        <is>
          <t>Depth (no MLB PA)</t>
        </is>
      </c>
      <c r="J373" s="16" t="inlineStr">
        <is>
          <t>Opening Day</t>
        </is>
      </c>
      <c r="K373" s="11">
        <f>IFERROR(INDEX(Roles!$B$17:$B$20,MATCH(J373,Roles!$A$17:$A$20,0)),1)</f>
        <v/>
      </c>
      <c r="L373" s="17" t="n">
        <v>1</v>
      </c>
      <c r="M373" s="11" t="n">
        <v>1</v>
      </c>
      <c r="N373" s="17" t="n"/>
      <c r="O373" s="17" t="n"/>
      <c r="P373" s="17" t="n"/>
      <c r="Q373" s="17" t="n"/>
      <c r="R373" s="17" t="n"/>
      <c r="S373" s="17" t="n"/>
      <c r="T373" s="17" t="n"/>
      <c r="U373" s="17" t="n"/>
      <c r="V373" s="17" t="n"/>
      <c r="W373" s="17" t="n"/>
      <c r="X373" s="17" t="n"/>
      <c r="Y373" s="17" t="n">
        <v>1</v>
      </c>
      <c r="Z373" s="13">
        <f>SUMPRODUCT(N373:Y373,$N$2:$Y$2)*$K373*$L373*$M373</f>
        <v/>
      </c>
      <c r="AA373" s="14">
        <f>SUM(N373:Y373)</f>
        <v/>
      </c>
      <c r="AB373" s="14">
        <f>IFERROR(IF(UPPER($E373)="L",SUMPRODUCT(N373:Y373,$N$3:$Y$3,$N$2:$Y$2),SUMPRODUCT(N373:Y373,$N$4:$Y$4,$N$2:$Y$2))/(Z373/($K373*$L373*$M373)),"")</f>
        <v/>
      </c>
      <c r="AC373" s="18" t="n"/>
    </row>
    <row r="374">
      <c r="A374" s="9" t="n">
        <v>702556</v>
      </c>
      <c r="B374" s="9" t="inlineStr">
        <is>
          <t>Austin Overn</t>
        </is>
      </c>
      <c r="C374" s="9" t="inlineStr">
        <is>
          <t>TB</t>
        </is>
      </c>
      <c r="D374" s="9" t="n">
        <v>24</v>
      </c>
      <c r="E374" s="16" t="inlineStr">
        <is>
          <t>L</t>
        </is>
      </c>
      <c r="F374" s="16" t="n"/>
      <c r="G374" s="9" t="n">
        <v>99.07692307692308</v>
      </c>
      <c r="H374" s="9" t="n">
        <v>99.07692307692308</v>
      </c>
      <c r="I374" s="9" t="inlineStr">
        <is>
          <t>Depth (no MLB PA)</t>
        </is>
      </c>
      <c r="J374" s="16" t="inlineStr">
        <is>
          <t>Opening Day</t>
        </is>
      </c>
      <c r="K374" s="11">
        <f>IFERROR(INDEX(Roles!$B$17:$B$20,MATCH(J374,Roles!$A$17:$A$20,0)),1)</f>
        <v/>
      </c>
      <c r="L374" s="17" t="n">
        <v>1</v>
      </c>
      <c r="M374" s="11" t="n">
        <v>1</v>
      </c>
      <c r="N374" s="17" t="n"/>
      <c r="O374" s="17" t="n"/>
      <c r="P374" s="17" t="n"/>
      <c r="Q374" s="17" t="n"/>
      <c r="R374" s="17" t="n"/>
      <c r="S374" s="17" t="n"/>
      <c r="T374" s="17" t="n"/>
      <c r="U374" s="17" t="n"/>
      <c r="V374" s="17" t="n"/>
      <c r="W374" s="17" t="n"/>
      <c r="X374" s="17" t="n"/>
      <c r="Y374" s="17" t="n">
        <v>1</v>
      </c>
      <c r="Z374" s="13">
        <f>SUMPRODUCT(N374:Y374,$N$2:$Y$2)*$K374*$L374*$M374</f>
        <v/>
      </c>
      <c r="AA374" s="14">
        <f>SUM(N374:Y374)</f>
        <v/>
      </c>
      <c r="AB374" s="14">
        <f>IFERROR(IF(UPPER($E374)="L",SUMPRODUCT(N374:Y374,$N$3:$Y$3,$N$2:$Y$2),SUMPRODUCT(N374:Y374,$N$4:$Y$4,$N$2:$Y$2))/(Z374/($K374*$L374*$M374)),"")</f>
        <v/>
      </c>
      <c r="AC374" s="18" t="n"/>
    </row>
    <row r="375">
      <c r="A375" s="9" t="n">
        <v>686611</v>
      </c>
      <c r="B375" s="9" t="inlineStr">
        <is>
          <t>Dylan Crews</t>
        </is>
      </c>
      <c r="C375" s="9" t="inlineStr">
        <is>
          <t>WSH</t>
        </is>
      </c>
      <c r="D375" s="9" t="n">
        <v>25</v>
      </c>
      <c r="E375" s="16" t="inlineStr">
        <is>
          <t>R</t>
        </is>
      </c>
      <c r="F375" s="16" t="inlineStr">
        <is>
          <t>RF</t>
        </is>
      </c>
      <c r="G375" s="9" t="n">
        <v>443</v>
      </c>
      <c r="H375" s="9" t="n">
        <v>897</v>
      </c>
      <c r="I375" s="9" t="inlineStr">
        <is>
          <t>Full Time</t>
        </is>
      </c>
      <c r="J375" s="16" t="inlineStr">
        <is>
          <t>Opening Day</t>
        </is>
      </c>
      <c r="K375" s="11">
        <f>IFERROR(INDEX(Roles!$B$17:$B$20,MATCH(J375,Roles!$A$17:$A$20,0)),1)</f>
        <v/>
      </c>
      <c r="L375" s="17" t="n">
        <v>1</v>
      </c>
      <c r="M375" s="11" t="n">
        <v>0.8922049285661284</v>
      </c>
      <c r="N375" s="17" t="n">
        <v>0.8</v>
      </c>
      <c r="O375" s="17" t="n"/>
      <c r="P375" s="17" t="n">
        <v>0.2</v>
      </c>
      <c r="Q375" s="17" t="n"/>
      <c r="R375" s="17" t="n"/>
      <c r="S375" s="17" t="n"/>
      <c r="T375" s="17" t="n"/>
      <c r="U375" s="17" t="n"/>
      <c r="V375" s="17" t="n"/>
      <c r="W375" s="17" t="n"/>
      <c r="X375" s="17" t="n"/>
      <c r="Y375" s="17" t="n"/>
      <c r="Z375" s="13">
        <f>SUMPRODUCT(N375:Y375,$N$2:$Y$2)*$K375*$L375*$M375</f>
        <v/>
      </c>
      <c r="AA375" s="14">
        <f>SUM(N375:Y375)</f>
        <v/>
      </c>
      <c r="AB375" s="14">
        <f>IFERROR(IF(UPPER($E375)="L",SUMPRODUCT(N375:Y375,$N$3:$Y$3,$N$2:$Y$2),SUMPRODUCT(N375:Y375,$N$4:$Y$4,$N$2:$Y$2))/(Z375/($K375*$L375*$M375)),"")</f>
        <v/>
      </c>
      <c r="AC375" s="18" t="n"/>
    </row>
    <row r="376">
      <c r="A376" s="9" t="n">
        <v>683079</v>
      </c>
      <c r="B376" s="9" t="inlineStr">
        <is>
          <t>Omar Martinez</t>
        </is>
      </c>
      <c r="C376" s="9" t="inlineStr">
        <is>
          <t>LAA</t>
        </is>
      </c>
      <c r="D376" s="9" t="n">
        <v>25</v>
      </c>
      <c r="E376" s="16" t="inlineStr">
        <is>
          <t>L</t>
        </is>
      </c>
      <c r="F376" s="16" t="inlineStr">
        <is>
          <t>C</t>
        </is>
      </c>
      <c r="G376" s="9" t="n">
        <v>3</v>
      </c>
      <c r="H376" s="9" t="n">
        <v>3</v>
      </c>
      <c r="I376" s="9" t="inlineStr">
        <is>
          <t>Depth (no MLB PA)</t>
        </is>
      </c>
      <c r="J376" s="16" t="inlineStr">
        <is>
          <t>Opening Day</t>
        </is>
      </c>
      <c r="K376" s="11">
        <f>IFERROR(INDEX(Roles!$B$17:$B$20,MATCH(J376,Roles!$A$17:$A$20,0)),1)</f>
        <v/>
      </c>
      <c r="L376" s="17" t="n">
        <v>1</v>
      </c>
      <c r="M376" s="11" t="n">
        <v>1</v>
      </c>
      <c r="N376" s="17" t="n"/>
      <c r="O376" s="17" t="n"/>
      <c r="P376" s="17" t="n"/>
      <c r="Q376" s="17" t="n"/>
      <c r="R376" s="17" t="n"/>
      <c r="S376" s="17" t="n"/>
      <c r="T376" s="17" t="n"/>
      <c r="U376" s="17" t="n"/>
      <c r="V376" s="17" t="n"/>
      <c r="W376" s="17" t="n"/>
      <c r="X376" s="17" t="n"/>
      <c r="Y376" s="17" t="n">
        <v>1</v>
      </c>
      <c r="Z376" s="13">
        <f>SUMPRODUCT(N376:Y376,$N$2:$Y$2)*$K376*$L376*$M376</f>
        <v/>
      </c>
      <c r="AA376" s="14">
        <f>SUM(N376:Y376)</f>
        <v/>
      </c>
      <c r="AB376" s="14">
        <f>IFERROR(IF(UPPER($E376)="L",SUMPRODUCT(N376:Y376,$N$3:$Y$3,$N$2:$Y$2),SUMPRODUCT(N376:Y376,$N$4:$Y$4,$N$2:$Y$2))/(Z376/($K376*$L376*$M376)),"")</f>
        <v/>
      </c>
      <c r="AC376" s="18" t="n"/>
    </row>
    <row r="377">
      <c r="A377" s="9" t="n">
        <v>642201</v>
      </c>
      <c r="B377" s="9" t="inlineStr">
        <is>
          <t>Eli White</t>
        </is>
      </c>
      <c r="C377" s="9" t="inlineStr">
        <is>
          <t>BOS</t>
        </is>
      </c>
      <c r="D377" s="9" t="n">
        <v>33</v>
      </c>
      <c r="E377" s="16" t="inlineStr">
        <is>
          <t>R</t>
        </is>
      </c>
      <c r="F377" s="16" t="inlineStr">
        <is>
          <t>RF</t>
        </is>
      </c>
      <c r="G377" s="9" t="n">
        <v>204</v>
      </c>
      <c r="H377" s="9" t="n">
        <v>651</v>
      </c>
      <c r="I377" s="9" t="inlineStr">
        <is>
          <t>Bench Bat</t>
        </is>
      </c>
      <c r="J377" s="16" t="inlineStr">
        <is>
          <t>Opening Day</t>
        </is>
      </c>
      <c r="K377" s="11">
        <f>IFERROR(INDEX(Roles!$B$17:$B$20,MATCH(J377,Roles!$A$17:$A$20,0)),1)</f>
        <v/>
      </c>
      <c r="L377" s="17" t="n">
        <v>1</v>
      </c>
      <c r="M377" s="11" t="n">
        <v>0.9515689639712884</v>
      </c>
      <c r="N377" s="17" t="n"/>
      <c r="O377" s="17" t="n"/>
      <c r="P377" s="17" t="n"/>
      <c r="Q377" s="17" t="n"/>
      <c r="R377" s="17" t="n"/>
      <c r="S377" s="17" t="n"/>
      <c r="T377" s="17" t="n"/>
      <c r="U377" s="17" t="n"/>
      <c r="V377" s="17" t="n"/>
      <c r="W377" s="17" t="n">
        <v>0.85</v>
      </c>
      <c r="X377" s="17" t="n">
        <v>0.15</v>
      </c>
      <c r="Y377" s="17" t="n"/>
      <c r="Z377" s="13">
        <f>SUMPRODUCT(N377:Y377,$N$2:$Y$2)*$K377*$L377*$M377</f>
        <v/>
      </c>
      <c r="AA377" s="14">
        <f>SUM(N377:Y377)</f>
        <v/>
      </c>
      <c r="AB377" s="14">
        <f>IFERROR(IF(UPPER($E377)="L",SUMPRODUCT(N377:Y377,$N$3:$Y$3,$N$2:$Y$2),SUMPRODUCT(N377:Y377,$N$4:$Y$4,$N$2:$Y$2))/(Z377/($K377*$L377*$M377)),"")</f>
        <v/>
      </c>
      <c r="AC377" s="18" t="n"/>
    </row>
    <row r="378">
      <c r="A378" s="9" t="n">
        <v>683006</v>
      </c>
      <c r="B378" s="9" t="inlineStr">
        <is>
          <t>Chris Newell</t>
        </is>
      </c>
      <c r="C378" s="9" t="inlineStr">
        <is>
          <t>LAD</t>
        </is>
      </c>
      <c r="D378" s="9" t="n">
        <v>25</v>
      </c>
      <c r="E378" s="16" t="inlineStr">
        <is>
          <t>L</t>
        </is>
      </c>
      <c r="F378" s="16" t="n"/>
      <c r="G378" s="9" t="n">
        <v>26.51282051282051</v>
      </c>
      <c r="H378" s="9" t="n">
        <v>26.51282051282051</v>
      </c>
      <c r="I378" s="9" t="inlineStr">
        <is>
          <t>Depth (no MLB PA)</t>
        </is>
      </c>
      <c r="J378" s="16" t="inlineStr">
        <is>
          <t>Opening Day</t>
        </is>
      </c>
      <c r="K378" s="11">
        <f>IFERROR(INDEX(Roles!$B$17:$B$20,MATCH(J378,Roles!$A$17:$A$20,0)),1)</f>
        <v/>
      </c>
      <c r="L378" s="17" t="n">
        <v>1</v>
      </c>
      <c r="M378" s="11" t="n">
        <v>1</v>
      </c>
      <c r="N378" s="17" t="n"/>
      <c r="O378" s="17" t="n"/>
      <c r="P378" s="17" t="n"/>
      <c r="Q378" s="17" t="n"/>
      <c r="R378" s="17" t="n"/>
      <c r="S378" s="17" t="n"/>
      <c r="T378" s="17" t="n"/>
      <c r="U378" s="17" t="n"/>
      <c r="V378" s="17" t="n"/>
      <c r="W378" s="17" t="n"/>
      <c r="X378" s="17" t="n"/>
      <c r="Y378" s="17" t="n">
        <v>1</v>
      </c>
      <c r="Z378" s="13">
        <f>SUMPRODUCT(N378:Y378,$N$2:$Y$2)*$K378*$L378*$M378</f>
        <v/>
      </c>
      <c r="AA378" s="14">
        <f>SUM(N378:Y378)</f>
        <v/>
      </c>
      <c r="AB378" s="14">
        <f>IFERROR(IF(UPPER($E378)="L",SUMPRODUCT(N378:Y378,$N$3:$Y$3,$N$2:$Y$2),SUMPRODUCT(N378:Y378,$N$4:$Y$4,$N$2:$Y$2))/(Z378/($K378*$L378*$M378)),"")</f>
        <v/>
      </c>
      <c r="AC378" s="18" t="n"/>
    </row>
    <row r="379">
      <c r="A379" s="9" t="n">
        <v>671056</v>
      </c>
      <c r="B379" s="9" t="inlineStr">
        <is>
          <t>Iván Herrera</t>
        </is>
      </c>
      <c r="C379" s="9" t="inlineStr">
        <is>
          <t>STL</t>
        </is>
      </c>
      <c r="D379" s="9" t="n">
        <v>27</v>
      </c>
      <c r="E379" s="16" t="inlineStr">
        <is>
          <t>R</t>
        </is>
      </c>
      <c r="F379" s="16" t="inlineStr">
        <is>
          <t>C</t>
        </is>
      </c>
      <c r="G379" s="9" t="n">
        <v>717</v>
      </c>
      <c r="H379" s="9" t="n">
        <v>1494</v>
      </c>
      <c r="I379" s="9" t="inlineStr">
        <is>
          <t>Everyday DH / 1B-DH</t>
        </is>
      </c>
      <c r="J379" s="16" t="inlineStr">
        <is>
          <t>Opening Day</t>
        </is>
      </c>
      <c r="K379" s="11">
        <f>IFERROR(INDEX(Roles!$B$17:$B$20,MATCH(J379,Roles!$A$17:$A$20,0)),1)</f>
        <v/>
      </c>
      <c r="L379" s="17" t="n">
        <v>1</v>
      </c>
      <c r="M379" s="11" t="n">
        <v>1.020381172738134</v>
      </c>
      <c r="N379" s="17" t="n"/>
      <c r="O379" s="17" t="n">
        <v>1</v>
      </c>
      <c r="P379" s="17" t="n"/>
      <c r="Q379" s="17" t="n"/>
      <c r="R379" s="17" t="n"/>
      <c r="S379" s="17" t="n"/>
      <c r="T379" s="17" t="n"/>
      <c r="U379" s="17" t="n"/>
      <c r="V379" s="17" t="n"/>
      <c r="W379" s="17" t="n"/>
      <c r="X379" s="17" t="n"/>
      <c r="Y379" s="17" t="n"/>
      <c r="Z379" s="13">
        <f>SUMPRODUCT(N379:Y379,$N$2:$Y$2)*$K379*$L379*$M379</f>
        <v/>
      </c>
      <c r="AA379" s="14">
        <f>SUM(N379:Y379)</f>
        <v/>
      </c>
      <c r="AB379" s="14">
        <f>IFERROR(IF(UPPER($E379)="L",SUMPRODUCT(N379:Y379,$N$3:$Y$3,$N$2:$Y$2),SUMPRODUCT(N379:Y379,$N$4:$Y$4,$N$2:$Y$2))/(Z379/($K379*$L379*$M379)),"")</f>
        <v/>
      </c>
      <c r="AC379" s="18" t="n"/>
    </row>
    <row r="380">
      <c r="A380" s="9" t="n">
        <v>703190</v>
      </c>
      <c r="B380" s="9" t="inlineStr">
        <is>
          <t>Johanfran Garcia</t>
        </is>
      </c>
      <c r="C380" s="9" t="inlineStr">
        <is>
          <t>BOS</t>
        </is>
      </c>
      <c r="D380" s="9" t="n">
        <v>25</v>
      </c>
      <c r="E380" s="16" t="inlineStr">
        <is>
          <t>R</t>
        </is>
      </c>
      <c r="F380" s="16" t="n"/>
      <c r="G380" s="9" t="n">
        <v>122.7692307692308</v>
      </c>
      <c r="H380" s="9" t="n">
        <v>122.7692307692308</v>
      </c>
      <c r="I380" s="9" t="inlineStr">
        <is>
          <t>Depth (no MLB PA)</t>
        </is>
      </c>
      <c r="J380" s="16" t="inlineStr">
        <is>
          <t>Opening Day</t>
        </is>
      </c>
      <c r="K380" s="11">
        <f>IFERROR(INDEX(Roles!$B$17:$B$20,MATCH(J380,Roles!$A$17:$A$20,0)),1)</f>
        <v/>
      </c>
      <c r="L380" s="17" t="n">
        <v>1</v>
      </c>
      <c r="M380" s="11" t="n">
        <v>1</v>
      </c>
      <c r="N380" s="17" t="n"/>
      <c r="O380" s="17" t="n"/>
      <c r="P380" s="17" t="n"/>
      <c r="Q380" s="17" t="n"/>
      <c r="R380" s="17" t="n"/>
      <c r="S380" s="17" t="n"/>
      <c r="T380" s="17" t="n"/>
      <c r="U380" s="17" t="n"/>
      <c r="V380" s="17" t="n"/>
      <c r="W380" s="17" t="n"/>
      <c r="X380" s="17" t="n"/>
      <c r="Y380" s="17" t="n">
        <v>1</v>
      </c>
      <c r="Z380" s="13">
        <f>SUMPRODUCT(N380:Y380,$N$2:$Y$2)*$K380*$L380*$M380</f>
        <v/>
      </c>
      <c r="AA380" s="14">
        <f>SUM(N380:Y380)</f>
        <v/>
      </c>
      <c r="AB380" s="14">
        <f>IFERROR(IF(UPPER($E380)="L",SUMPRODUCT(N380:Y380,$N$3:$Y$3,$N$2:$Y$2),SUMPRODUCT(N380:Y380,$N$4:$Y$4,$N$2:$Y$2))/(Z380/($K380*$L380*$M380)),"")</f>
        <v/>
      </c>
      <c r="AC380" s="18" t="n"/>
    </row>
    <row r="381">
      <c r="A381" s="9" t="n">
        <v>680695</v>
      </c>
      <c r="B381" s="9" t="inlineStr">
        <is>
          <t>Brennen Davis</t>
        </is>
      </c>
      <c r="C381" s="9" t="inlineStr">
        <is>
          <t>SEA</t>
        </is>
      </c>
      <c r="D381" s="9" t="n">
        <v>25</v>
      </c>
      <c r="E381" s="16" t="inlineStr">
        <is>
          <t>R</t>
        </is>
      </c>
      <c r="F381" s="16" t="n"/>
      <c r="G381" s="9" t="n">
        <v>109.4358974358974</v>
      </c>
      <c r="H381" s="9" t="n">
        <v>109.4358974358974</v>
      </c>
      <c r="I381" s="9" t="inlineStr">
        <is>
          <t>Bench Bat</t>
        </is>
      </c>
      <c r="J381" s="16" t="inlineStr">
        <is>
          <t>Opening Day</t>
        </is>
      </c>
      <c r="K381" s="11">
        <f>IFERROR(INDEX(Roles!$B$17:$B$20,MATCH(J381,Roles!$A$17:$A$20,0)),1)</f>
        <v/>
      </c>
      <c r="L381" s="17" t="n">
        <v>1</v>
      </c>
      <c r="M381" s="11" t="n">
        <v>1</v>
      </c>
      <c r="N381" s="17" t="n"/>
      <c r="O381" s="17" t="n"/>
      <c r="P381" s="17" t="n"/>
      <c r="Q381" s="17" t="n"/>
      <c r="R381" s="17" t="n"/>
      <c r="S381" s="17" t="n"/>
      <c r="T381" s="17" t="n"/>
      <c r="U381" s="17" t="n"/>
      <c r="V381" s="17" t="n"/>
      <c r="W381" s="17" t="n">
        <v>0.85</v>
      </c>
      <c r="X381" s="17" t="n">
        <v>0.15</v>
      </c>
      <c r="Y381" s="17" t="n"/>
      <c r="Z381" s="13">
        <f>SUMPRODUCT(N381:Y381,$N$2:$Y$2)*$K381*$L381*$M381</f>
        <v/>
      </c>
      <c r="AA381" s="14">
        <f>SUM(N381:Y381)</f>
        <v/>
      </c>
      <c r="AB381" s="14">
        <f>IFERROR(IF(UPPER($E381)="L",SUMPRODUCT(N381:Y381,$N$3:$Y$3,$N$2:$Y$2),SUMPRODUCT(N381:Y381,$N$4:$Y$4,$N$2:$Y$2))/(Z381/($K381*$L381*$M381)),"")</f>
        <v/>
      </c>
      <c r="AC381" s="18" t="n"/>
    </row>
    <row r="382">
      <c r="A382" s="9" t="n">
        <v>488726</v>
      </c>
      <c r="B382" s="9" t="inlineStr">
        <is>
          <t>Michael Brantley</t>
        </is>
      </c>
      <c r="C382" s="9" t="inlineStr">
        <is>
          <t>HOU</t>
        </is>
      </c>
      <c r="D382" s="9" t="n">
        <v>40</v>
      </c>
      <c r="E382" s="16" t="inlineStr">
        <is>
          <t>L</t>
        </is>
      </c>
      <c r="F382" s="16" t="inlineStr">
        <is>
          <t>LF</t>
        </is>
      </c>
      <c r="G382" s="9" t="n">
        <v>57</v>
      </c>
      <c r="H382" s="9" t="n">
        <v>334</v>
      </c>
      <c r="I382" s="9" t="inlineStr">
        <is>
          <t>Depth (no MLB PA)</t>
        </is>
      </c>
      <c r="J382" s="16" t="inlineStr">
        <is>
          <t>Opening Day</t>
        </is>
      </c>
      <c r="K382" s="11">
        <f>IFERROR(INDEX(Roles!$B$17:$B$20,MATCH(J382,Roles!$A$17:$A$20,0)),1)</f>
        <v/>
      </c>
      <c r="L382" s="17" t="n">
        <v>1</v>
      </c>
      <c r="M382" s="11" t="n">
        <v>1</v>
      </c>
      <c r="N382" s="17" t="n"/>
      <c r="O382" s="17" t="n"/>
      <c r="P382" s="17" t="n"/>
      <c r="Q382" s="17" t="n"/>
      <c r="R382" s="17" t="n"/>
      <c r="S382" s="17" t="n"/>
      <c r="T382" s="17" t="n"/>
      <c r="U382" s="17" t="n"/>
      <c r="V382" s="17" t="n"/>
      <c r="W382" s="17" t="n"/>
      <c r="X382" s="17" t="n"/>
      <c r="Y382" s="17" t="n">
        <v>1</v>
      </c>
      <c r="Z382" s="13">
        <f>SUMPRODUCT(N382:Y382,$N$2:$Y$2)*$K382*$L382*$M382</f>
        <v/>
      </c>
      <c r="AA382" s="14">
        <f>SUM(N382:Y382)</f>
        <v/>
      </c>
      <c r="AB382" s="14">
        <f>IFERROR(IF(UPPER($E382)="L",SUMPRODUCT(N382:Y382,$N$3:$Y$3,$N$2:$Y$2),SUMPRODUCT(N382:Y382,$N$4:$Y$4,$N$2:$Y$2))/(Z382/($K382*$L382*$M382)),"")</f>
        <v/>
      </c>
      <c r="AC382" s="18" t="n"/>
    </row>
    <row r="383">
      <c r="A383" s="9" t="n">
        <v>701862</v>
      </c>
      <c r="B383" s="9" t="inlineStr">
        <is>
          <t>Jacob Walsh</t>
        </is>
      </c>
      <c r="C383" s="9" t="inlineStr">
        <is>
          <t>WSH</t>
        </is>
      </c>
      <c r="D383" s="9" t="n">
        <v>25</v>
      </c>
      <c r="E383" s="16" t="inlineStr">
        <is>
          <t>L</t>
        </is>
      </c>
      <c r="F383" s="16" t="n"/>
      <c r="G383" s="9" t="n">
        <v>57.02564102564103</v>
      </c>
      <c r="H383" s="9" t="n">
        <v>57.02564102564103</v>
      </c>
      <c r="I383" s="9" t="inlineStr">
        <is>
          <t>Depth (no MLB PA)</t>
        </is>
      </c>
      <c r="J383" s="16" t="inlineStr">
        <is>
          <t>Opening Day</t>
        </is>
      </c>
      <c r="K383" s="11">
        <f>IFERROR(INDEX(Roles!$B$17:$B$20,MATCH(J383,Roles!$A$17:$A$20,0)),1)</f>
        <v/>
      </c>
      <c r="L383" s="17" t="n">
        <v>1</v>
      </c>
      <c r="M383" s="11" t="n">
        <v>1</v>
      </c>
      <c r="N383" s="17" t="n"/>
      <c r="O383" s="17" t="n"/>
      <c r="P383" s="17" t="n"/>
      <c r="Q383" s="17" t="n"/>
      <c r="R383" s="17" t="n"/>
      <c r="S383" s="17" t="n"/>
      <c r="T383" s="17" t="n"/>
      <c r="U383" s="17" t="n"/>
      <c r="V383" s="17" t="n"/>
      <c r="W383" s="17" t="n"/>
      <c r="X383" s="17" t="n"/>
      <c r="Y383" s="17" t="n">
        <v>1</v>
      </c>
      <c r="Z383" s="13">
        <f>SUMPRODUCT(N383:Y383,$N$2:$Y$2)*$K383*$L383*$M383</f>
        <v/>
      </c>
      <c r="AA383" s="14">
        <f>SUM(N383:Y383)</f>
        <v/>
      </c>
      <c r="AB383" s="14">
        <f>IFERROR(IF(UPPER($E383)="L",SUMPRODUCT(N383:Y383,$N$3:$Y$3,$N$2:$Y$2),SUMPRODUCT(N383:Y383,$N$4:$Y$4,$N$2:$Y$2))/(Z383/($K383*$L383*$M383)),"")</f>
        <v/>
      </c>
      <c r="AC383" s="18" t="n"/>
    </row>
    <row r="384">
      <c r="A384" s="9" t="n">
        <v>675455</v>
      </c>
      <c r="B384" s="9" t="inlineStr">
        <is>
          <t>Milan Tolentino</t>
        </is>
      </c>
      <c r="C384" s="9" t="inlineStr">
        <is>
          <t>CLE</t>
        </is>
      </c>
      <c r="D384" s="9" t="n">
        <v>25</v>
      </c>
      <c r="E384" s="16" t="inlineStr">
        <is>
          <t>L</t>
        </is>
      </c>
      <c r="F384" s="16" t="n"/>
      <c r="G384" s="9" t="n">
        <v>274.7179487179488</v>
      </c>
      <c r="H384" s="9" t="n">
        <v>274.7179487179488</v>
      </c>
      <c r="I384" s="9" t="inlineStr">
        <is>
          <t>Depth (no MLB PA)</t>
        </is>
      </c>
      <c r="J384" s="16" t="inlineStr">
        <is>
          <t>Opening Day</t>
        </is>
      </c>
      <c r="K384" s="11">
        <f>IFERROR(INDEX(Roles!$B$17:$B$20,MATCH(J384,Roles!$A$17:$A$20,0)),1)</f>
        <v/>
      </c>
      <c r="L384" s="17" t="n">
        <v>1</v>
      </c>
      <c r="M384" s="11" t="n">
        <v>1</v>
      </c>
      <c r="N384" s="17" t="n"/>
      <c r="O384" s="17" t="n"/>
      <c r="P384" s="17" t="n"/>
      <c r="Q384" s="17" t="n"/>
      <c r="R384" s="17" t="n"/>
      <c r="S384" s="17" t="n"/>
      <c r="T384" s="17" t="n"/>
      <c r="U384" s="17" t="n"/>
      <c r="V384" s="17" t="n"/>
      <c r="W384" s="17" t="n"/>
      <c r="X384" s="17" t="n"/>
      <c r="Y384" s="17" t="n">
        <v>1</v>
      </c>
      <c r="Z384" s="13">
        <f>SUMPRODUCT(N384:Y384,$N$2:$Y$2)*$K384*$L384*$M384</f>
        <v/>
      </c>
      <c r="AA384" s="14">
        <f>SUM(N384:Y384)</f>
        <v/>
      </c>
      <c r="AB384" s="14">
        <f>IFERROR(IF(UPPER($E384)="L",SUMPRODUCT(N384:Y384,$N$3:$Y$3,$N$2:$Y$2),SUMPRODUCT(N384:Y384,$N$4:$Y$4,$N$2:$Y$2))/(Z384/($K384*$L384*$M384)),"")</f>
        <v/>
      </c>
      <c r="AC384" s="18" t="n"/>
    </row>
    <row r="385">
      <c r="A385" s="9" t="n">
        <v>516416</v>
      </c>
      <c r="B385" s="9" t="inlineStr">
        <is>
          <t>Jean Segura</t>
        </is>
      </c>
      <c r="C385" s="9" t="inlineStr">
        <is>
          <t>MIA</t>
        </is>
      </c>
      <c r="D385" s="9" t="n">
        <v>37</v>
      </c>
      <c r="E385" s="16" t="inlineStr">
        <is>
          <t>R</t>
        </is>
      </c>
      <c r="F385" s="16" t="inlineStr">
        <is>
          <t>3B</t>
        </is>
      </c>
      <c r="G385" s="9" t="n">
        <v>326</v>
      </c>
      <c r="H385" s="9" t="n">
        <v>713</v>
      </c>
      <c r="I385" s="9" t="inlineStr">
        <is>
          <t>Depth (no MLB PA)</t>
        </is>
      </c>
      <c r="J385" s="16" t="inlineStr">
        <is>
          <t>Opening Day</t>
        </is>
      </c>
      <c r="K385" s="11">
        <f>IFERROR(INDEX(Roles!$B$17:$B$20,MATCH(J385,Roles!$A$17:$A$20,0)),1)</f>
        <v/>
      </c>
      <c r="L385" s="17" t="n">
        <v>1</v>
      </c>
      <c r="M385" s="11" t="n">
        <v>1</v>
      </c>
      <c r="N385" s="17" t="n"/>
      <c r="O385" s="17" t="n"/>
      <c r="P385" s="17" t="n"/>
      <c r="Q385" s="17" t="n"/>
      <c r="R385" s="17" t="n"/>
      <c r="S385" s="17" t="n"/>
      <c r="T385" s="17" t="n"/>
      <c r="U385" s="17" t="n"/>
      <c r="V385" s="17" t="n"/>
      <c r="W385" s="17" t="n"/>
      <c r="X385" s="17" t="n"/>
      <c r="Y385" s="17" t="n">
        <v>1</v>
      </c>
      <c r="Z385" s="13">
        <f>SUMPRODUCT(N385:Y385,$N$2:$Y$2)*$K385*$L385*$M385</f>
        <v/>
      </c>
      <c r="AA385" s="14">
        <f>SUM(N385:Y385)</f>
        <v/>
      </c>
      <c r="AB385" s="14">
        <f>IFERROR(IF(UPPER($E385)="L",SUMPRODUCT(N385:Y385,$N$3:$Y$3,$N$2:$Y$2),SUMPRODUCT(N385:Y385,$N$4:$Y$4,$N$2:$Y$2))/(Z385/($K385*$L385*$M385)),"")</f>
        <v/>
      </c>
      <c r="AC385" s="18" t="n"/>
    </row>
    <row r="386">
      <c r="A386" s="9" t="n">
        <v>694266</v>
      </c>
      <c r="B386" s="9" t="inlineStr">
        <is>
          <t>D'Andre Smith</t>
        </is>
      </c>
      <c r="C386" s="9" t="inlineStr">
        <is>
          <t>NYM</t>
        </is>
      </c>
      <c r="D386" s="9" t="n">
        <v>25</v>
      </c>
      <c r="E386" s="16" t="inlineStr">
        <is>
          <t>R</t>
        </is>
      </c>
      <c r="F386" s="16" t="n"/>
      <c r="G386" s="9" t="n">
        <v>69.38461538461539</v>
      </c>
      <c r="H386" s="9" t="n">
        <v>69.38461538461539</v>
      </c>
      <c r="I386" s="9" t="inlineStr">
        <is>
          <t>Depth (no MLB PA)</t>
        </is>
      </c>
      <c r="J386" s="16" t="inlineStr">
        <is>
          <t>Opening Day</t>
        </is>
      </c>
      <c r="K386" s="11">
        <f>IFERROR(INDEX(Roles!$B$17:$B$20,MATCH(J386,Roles!$A$17:$A$20,0)),1)</f>
        <v/>
      </c>
      <c r="L386" s="17" t="n">
        <v>1</v>
      </c>
      <c r="M386" s="11" t="n">
        <v>1</v>
      </c>
      <c r="N386" s="17" t="n"/>
      <c r="O386" s="17" t="n"/>
      <c r="P386" s="17" t="n"/>
      <c r="Q386" s="17" t="n"/>
      <c r="R386" s="17" t="n"/>
      <c r="S386" s="17" t="n"/>
      <c r="T386" s="17" t="n"/>
      <c r="U386" s="17" t="n"/>
      <c r="V386" s="17" t="n"/>
      <c r="W386" s="17" t="n"/>
      <c r="X386" s="17" t="n"/>
      <c r="Y386" s="17" t="n">
        <v>1</v>
      </c>
      <c r="Z386" s="13">
        <f>SUMPRODUCT(N386:Y386,$N$2:$Y$2)*$K386*$L386*$M386</f>
        <v/>
      </c>
      <c r="AA386" s="14">
        <f>SUM(N386:Y386)</f>
        <v/>
      </c>
      <c r="AB386" s="14">
        <f>IFERROR(IF(UPPER($E386)="L",SUMPRODUCT(N386:Y386,$N$3:$Y$3,$N$2:$Y$2),SUMPRODUCT(N386:Y386,$N$4:$Y$4,$N$2:$Y$2))/(Z386/($K386*$L386*$M386)),"")</f>
        <v/>
      </c>
      <c r="AC386" s="18" t="n"/>
    </row>
    <row r="387">
      <c r="A387" s="9" t="n">
        <v>800231</v>
      </c>
      <c r="B387" s="9" t="inlineStr">
        <is>
          <t>Won-Bin Cho</t>
        </is>
      </c>
      <c r="C387" s="9" t="inlineStr">
        <is>
          <t>STL</t>
        </is>
      </c>
      <c r="D387" s="9" t="n">
        <v>24</v>
      </c>
      <c r="E387" s="16" t="inlineStr">
        <is>
          <t>L</t>
        </is>
      </c>
      <c r="F387" s="16" t="n"/>
      <c r="G387" s="9" t="n">
        <v>78.61538461538461</v>
      </c>
      <c r="H387" s="9" t="n">
        <v>78.61538461538461</v>
      </c>
      <c r="I387" s="9" t="inlineStr">
        <is>
          <t>Depth (no MLB PA)</t>
        </is>
      </c>
      <c r="J387" s="16" t="inlineStr">
        <is>
          <t>Opening Day</t>
        </is>
      </c>
      <c r="K387" s="11">
        <f>IFERROR(INDEX(Roles!$B$17:$B$20,MATCH(J387,Roles!$A$17:$A$20,0)),1)</f>
        <v/>
      </c>
      <c r="L387" s="17" t="n">
        <v>1</v>
      </c>
      <c r="M387" s="11" t="n">
        <v>1</v>
      </c>
      <c r="N387" s="17" t="n"/>
      <c r="O387" s="17" t="n"/>
      <c r="P387" s="17" t="n"/>
      <c r="Q387" s="17" t="n"/>
      <c r="R387" s="17" t="n"/>
      <c r="S387" s="17" t="n"/>
      <c r="T387" s="17" t="n"/>
      <c r="U387" s="17" t="n"/>
      <c r="V387" s="17" t="n"/>
      <c r="W387" s="17" t="n"/>
      <c r="X387" s="17" t="n"/>
      <c r="Y387" s="17" t="n">
        <v>1</v>
      </c>
      <c r="Z387" s="13">
        <f>SUMPRODUCT(N387:Y387,$N$2:$Y$2)*$K387*$L387*$M387</f>
        <v/>
      </c>
      <c r="AA387" s="14">
        <f>SUM(N387:Y387)</f>
        <v/>
      </c>
      <c r="AB387" s="14">
        <f>IFERROR(IF(UPPER($E387)="L",SUMPRODUCT(N387:Y387,$N$3:$Y$3,$N$2:$Y$2),SUMPRODUCT(N387:Y387,$N$4:$Y$4,$N$2:$Y$2))/(Z387/($K387*$L387*$M387)),"")</f>
        <v/>
      </c>
      <c r="AC387" s="18" t="n"/>
    </row>
    <row r="388">
      <c r="A388" s="9" t="n">
        <v>804858</v>
      </c>
      <c r="B388" s="9" t="inlineStr">
        <is>
          <t>Bryan Rincon</t>
        </is>
      </c>
      <c r="C388" s="9" t="inlineStr">
        <is>
          <t>PHI</t>
        </is>
      </c>
      <c r="D388" s="9" t="n">
        <v>23</v>
      </c>
      <c r="E388" s="16" t="inlineStr">
        <is>
          <t>S</t>
        </is>
      </c>
      <c r="F388" s="16" t="n"/>
      <c r="G388" s="9" t="n">
        <v>186.3076923076923</v>
      </c>
      <c r="H388" s="9" t="n">
        <v>186.3076923076923</v>
      </c>
      <c r="I388" s="9" t="inlineStr">
        <is>
          <t>Bench Bat</t>
        </is>
      </c>
      <c r="J388" s="16" t="inlineStr">
        <is>
          <t>Mid Season (~July)</t>
        </is>
      </c>
      <c r="K388" s="11">
        <f>IFERROR(INDEX(Roles!$B$17:$B$20,MATCH(J388,Roles!$A$17:$A$20,0)),1)</f>
        <v/>
      </c>
      <c r="L388" s="17" t="n">
        <v>1</v>
      </c>
      <c r="M388" s="11" t="n">
        <v>1</v>
      </c>
      <c r="N388" s="17" t="n"/>
      <c r="O388" s="17" t="n"/>
      <c r="P388" s="17" t="n">
        <v>0.26</v>
      </c>
      <c r="Q388" s="17" t="n"/>
      <c r="R388" s="17" t="n"/>
      <c r="S388" s="17" t="n"/>
      <c r="T388" s="17" t="n"/>
      <c r="U388" s="17" t="n"/>
      <c r="V388" s="17" t="n"/>
      <c r="W388" s="17" t="n">
        <v>0.5</v>
      </c>
      <c r="X388" s="17" t="n">
        <v>0.24</v>
      </c>
      <c r="Y388" s="17" t="n"/>
      <c r="Z388" s="13">
        <f>SUMPRODUCT(N388:Y388,$N$2:$Y$2)*$K388*$L388*$M388</f>
        <v/>
      </c>
      <c r="AA388" s="14">
        <f>SUM(N388:Y388)</f>
        <v/>
      </c>
      <c r="AB388" s="14">
        <f>IFERROR(IF(UPPER($E388)="L",SUMPRODUCT(N388:Y388,$N$3:$Y$3,$N$2:$Y$2),SUMPRODUCT(N388:Y388,$N$4:$Y$4,$N$2:$Y$2))/(Z388/($K388*$L388*$M388)),"")</f>
        <v/>
      </c>
      <c r="AC388" s="18" t="n"/>
    </row>
    <row r="389">
      <c r="A389" s="9" t="n">
        <v>668723</v>
      </c>
      <c r="B389" s="9" t="inlineStr">
        <is>
          <t>Ryan Vilade</t>
        </is>
      </c>
      <c r="C389" s="9" t="inlineStr">
        <is>
          <t>TB</t>
        </is>
      </c>
      <c r="D389" s="9" t="n">
        <v>28</v>
      </c>
      <c r="E389" s="16" t="inlineStr">
        <is>
          <t>R</t>
        </is>
      </c>
      <c r="F389" s="16" t="inlineStr">
        <is>
          <t>RF</t>
        </is>
      </c>
      <c r="G389" s="9" t="n">
        <v>278</v>
      </c>
      <c r="H389" s="9" t="n">
        <v>342</v>
      </c>
      <c r="I389" s="9" t="inlineStr">
        <is>
          <t>Weak Side Platoon</t>
        </is>
      </c>
      <c r="J389" s="16" t="inlineStr">
        <is>
          <t>Opening Day</t>
        </is>
      </c>
      <c r="K389" s="11">
        <f>IFERROR(INDEX(Roles!$B$17:$B$20,MATCH(J389,Roles!$A$17:$A$20,0)),1)</f>
        <v/>
      </c>
      <c r="L389" s="17" t="n">
        <v>1</v>
      </c>
      <c r="M389" s="11" t="n">
        <v>1</v>
      </c>
      <c r="N389" s="17" t="n"/>
      <c r="O389" s="17" t="n"/>
      <c r="P389" s="17" t="n"/>
      <c r="Q389" s="17" t="n">
        <v>0.6</v>
      </c>
      <c r="R389" s="17" t="n"/>
      <c r="S389" s="17" t="n"/>
      <c r="T389" s="17" t="n"/>
      <c r="U389" s="17" t="n"/>
      <c r="V389" s="17" t="n">
        <v>0.4</v>
      </c>
      <c r="W389" s="17" t="n"/>
      <c r="X389" s="17" t="n"/>
      <c r="Y389" s="17" t="n"/>
      <c r="Z389" s="13">
        <f>SUMPRODUCT(N389:Y389,$N$2:$Y$2)*$K389*$L389*$M389</f>
        <v/>
      </c>
      <c r="AA389" s="14">
        <f>SUM(N389:Y389)</f>
        <v/>
      </c>
      <c r="AB389" s="14">
        <f>IFERROR(IF(UPPER($E389)="L",SUMPRODUCT(N389:Y389,$N$3:$Y$3,$N$2:$Y$2),SUMPRODUCT(N389:Y389,$N$4:$Y$4,$N$2:$Y$2))/(Z389/($K389*$L389*$M389)),"")</f>
        <v/>
      </c>
      <c r="AC389" s="18" t="n"/>
    </row>
    <row r="390">
      <c r="A390" s="9" t="n">
        <v>702262</v>
      </c>
      <c r="B390" s="9" t="inlineStr">
        <is>
          <t>Jared Jones</t>
        </is>
      </c>
      <c r="C390" s="9" t="inlineStr">
        <is>
          <t>PIT</t>
        </is>
      </c>
      <c r="D390" s="9" t="n">
        <v>25</v>
      </c>
      <c r="E390" s="16" t="inlineStr">
        <is>
          <t>R</t>
        </is>
      </c>
      <c r="F390" s="16" t="n"/>
      <c r="G390" s="9" t="n">
        <v>72.82051282051282</v>
      </c>
      <c r="H390" s="9" t="n">
        <v>72.82051282051282</v>
      </c>
      <c r="I390" s="9" t="inlineStr">
        <is>
          <t>Depth (no MLB PA)</t>
        </is>
      </c>
      <c r="J390" s="16" t="inlineStr">
        <is>
          <t>Opening Day</t>
        </is>
      </c>
      <c r="K390" s="11">
        <f>IFERROR(INDEX(Roles!$B$17:$B$20,MATCH(J390,Roles!$A$17:$A$20,0)),1)</f>
        <v/>
      </c>
      <c r="L390" s="17" t="n">
        <v>1</v>
      </c>
      <c r="M390" s="11" t="n">
        <v>1</v>
      </c>
      <c r="N390" s="17" t="n"/>
      <c r="O390" s="17" t="n"/>
      <c r="P390" s="17" t="n"/>
      <c r="Q390" s="17" t="n"/>
      <c r="R390" s="17" t="n"/>
      <c r="S390" s="17" t="n"/>
      <c r="T390" s="17" t="n"/>
      <c r="U390" s="17" t="n"/>
      <c r="V390" s="17" t="n"/>
      <c r="W390" s="17" t="n"/>
      <c r="X390" s="17" t="n"/>
      <c r="Y390" s="17" t="n">
        <v>1</v>
      </c>
      <c r="Z390" s="13">
        <f>SUMPRODUCT(N390:Y390,$N$2:$Y$2)*$K390*$L390*$M390</f>
        <v/>
      </c>
      <c r="AA390" s="14">
        <f>SUM(N390:Y390)</f>
        <v/>
      </c>
      <c r="AB390" s="14">
        <f>IFERROR(IF(UPPER($E390)="L",SUMPRODUCT(N390:Y390,$N$3:$Y$3,$N$2:$Y$2),SUMPRODUCT(N390:Y390,$N$4:$Y$4,$N$2:$Y$2))/(Z390/($K390*$L390*$M390)),"")</f>
        <v/>
      </c>
      <c r="AC390" s="18" t="n"/>
    </row>
    <row r="391">
      <c r="A391" s="9" t="n">
        <v>593643</v>
      </c>
      <c r="B391" s="9" t="inlineStr">
        <is>
          <t>Hanser Alberto</t>
        </is>
      </c>
      <c r="C391" s="9" t="inlineStr">
        <is>
          <t>CWS</t>
        </is>
      </c>
      <c r="D391" s="9" t="n">
        <v>34</v>
      </c>
      <c r="E391" s="16" t="inlineStr">
        <is>
          <t>R</t>
        </is>
      </c>
      <c r="F391" s="16" t="inlineStr">
        <is>
          <t>3B</t>
        </is>
      </c>
      <c r="G391" s="9" t="n">
        <v>90</v>
      </c>
      <c r="H391" s="9" t="n">
        <v>249</v>
      </c>
      <c r="I391" s="9" t="inlineStr">
        <is>
          <t>Depth (no MLB PA)</t>
        </is>
      </c>
      <c r="J391" s="16" t="inlineStr">
        <is>
          <t>Opening Day</t>
        </is>
      </c>
      <c r="K391" s="11">
        <f>IFERROR(INDEX(Roles!$B$17:$B$20,MATCH(J391,Roles!$A$17:$A$20,0)),1)</f>
        <v/>
      </c>
      <c r="L391" s="17" t="n">
        <v>1</v>
      </c>
      <c r="M391" s="11" t="n">
        <v>1</v>
      </c>
      <c r="N391" s="17" t="n"/>
      <c r="O391" s="17" t="n"/>
      <c r="P391" s="17" t="n"/>
      <c r="Q391" s="17" t="n"/>
      <c r="R391" s="17" t="n"/>
      <c r="S391" s="17" t="n"/>
      <c r="T391" s="17" t="n"/>
      <c r="U391" s="17" t="n"/>
      <c r="V391" s="17" t="n"/>
      <c r="W391" s="17" t="n"/>
      <c r="X391" s="17" t="n"/>
      <c r="Y391" s="17" t="n">
        <v>1</v>
      </c>
      <c r="Z391" s="13">
        <f>SUMPRODUCT(N391:Y391,$N$2:$Y$2)*$K391*$L391*$M391</f>
        <v/>
      </c>
      <c r="AA391" s="14">
        <f>SUM(N391:Y391)</f>
        <v/>
      </c>
      <c r="AB391" s="14">
        <f>IFERROR(IF(UPPER($E391)="L",SUMPRODUCT(N391:Y391,$N$3:$Y$3,$N$2:$Y$2),SUMPRODUCT(N391:Y391,$N$4:$Y$4,$N$2:$Y$2))/(Z391/($K391*$L391*$M391)),"")</f>
        <v/>
      </c>
      <c r="AC391" s="18" t="n"/>
    </row>
    <row r="392">
      <c r="A392" s="9" t="n">
        <v>806221</v>
      </c>
      <c r="B392" s="9" t="inlineStr">
        <is>
          <t>Easton Shelton</t>
        </is>
      </c>
      <c r="C392" s="9" t="inlineStr">
        <is>
          <t>LAD</t>
        </is>
      </c>
      <c r="D392" s="9" t="n">
        <v>25</v>
      </c>
      <c r="E392" s="16" t="inlineStr">
        <is>
          <t>R</t>
        </is>
      </c>
      <c r="F392" s="16" t="n"/>
      <c r="G392" s="9" t="n">
        <v>58.83076923076923</v>
      </c>
      <c r="H392" s="9" t="n">
        <v>58.83076923076923</v>
      </c>
      <c r="I392" s="9" t="inlineStr">
        <is>
          <t>Depth (no MLB PA)</t>
        </is>
      </c>
      <c r="J392" s="16" t="inlineStr">
        <is>
          <t>Opening Day</t>
        </is>
      </c>
      <c r="K392" s="11">
        <f>IFERROR(INDEX(Roles!$B$17:$B$20,MATCH(J392,Roles!$A$17:$A$20,0)),1)</f>
        <v/>
      </c>
      <c r="L392" s="17" t="n">
        <v>1</v>
      </c>
      <c r="M392" s="11" t="n">
        <v>1</v>
      </c>
      <c r="N392" s="17" t="n"/>
      <c r="O392" s="17" t="n"/>
      <c r="P392" s="17" t="n"/>
      <c r="Q392" s="17" t="n"/>
      <c r="R392" s="17" t="n"/>
      <c r="S392" s="17" t="n"/>
      <c r="T392" s="17" t="n"/>
      <c r="U392" s="17" t="n"/>
      <c r="V392" s="17" t="n"/>
      <c r="W392" s="17" t="n"/>
      <c r="X392" s="17" t="n"/>
      <c r="Y392" s="17" t="n">
        <v>1</v>
      </c>
      <c r="Z392" s="13">
        <f>SUMPRODUCT(N392:Y392,$N$2:$Y$2)*$K392*$L392*$M392</f>
        <v/>
      </c>
      <c r="AA392" s="14">
        <f>SUM(N392:Y392)</f>
        <v/>
      </c>
      <c r="AB392" s="14">
        <f>IFERROR(IF(UPPER($E392)="L",SUMPRODUCT(N392:Y392,$N$3:$Y$3,$N$2:$Y$2),SUMPRODUCT(N392:Y392,$N$4:$Y$4,$N$2:$Y$2))/(Z392/($K392*$L392*$M392)),"")</f>
        <v/>
      </c>
      <c r="AC392" s="18" t="n"/>
    </row>
    <row r="393">
      <c r="A393" s="9" t="n">
        <v>701177</v>
      </c>
      <c r="B393" s="9" t="inlineStr">
        <is>
          <t>Nick Cimillo</t>
        </is>
      </c>
      <c r="C393" s="9" t="inlineStr">
        <is>
          <t>PIT</t>
        </is>
      </c>
      <c r="D393" s="9" t="n">
        <v>25</v>
      </c>
      <c r="E393" s="16" t="inlineStr">
        <is>
          <t>R</t>
        </is>
      </c>
      <c r="F393" s="16" t="n"/>
      <c r="G393" s="9" t="n">
        <v>207.5897435897436</v>
      </c>
      <c r="H393" s="9" t="n">
        <v>207.5897435897436</v>
      </c>
      <c r="I393" s="9" t="inlineStr">
        <is>
          <t>Depth (no MLB PA)</t>
        </is>
      </c>
      <c r="J393" s="16" t="inlineStr">
        <is>
          <t>Opening Day</t>
        </is>
      </c>
      <c r="K393" s="11">
        <f>IFERROR(INDEX(Roles!$B$17:$B$20,MATCH(J393,Roles!$A$17:$A$20,0)),1)</f>
        <v/>
      </c>
      <c r="L393" s="17" t="n">
        <v>1</v>
      </c>
      <c r="M393" s="11" t="n">
        <v>1</v>
      </c>
      <c r="N393" s="17" t="n"/>
      <c r="O393" s="17" t="n"/>
      <c r="P393" s="17" t="n"/>
      <c r="Q393" s="17" t="n"/>
      <c r="R393" s="17" t="n"/>
      <c r="S393" s="17" t="n"/>
      <c r="T393" s="17" t="n"/>
      <c r="U393" s="17" t="n"/>
      <c r="V393" s="17" t="n"/>
      <c r="W393" s="17" t="n"/>
      <c r="X393" s="17" t="n"/>
      <c r="Y393" s="17" t="n">
        <v>1</v>
      </c>
      <c r="Z393" s="13">
        <f>SUMPRODUCT(N393:Y393,$N$2:$Y$2)*$K393*$L393*$M393</f>
        <v/>
      </c>
      <c r="AA393" s="14">
        <f>SUM(N393:Y393)</f>
        <v/>
      </c>
      <c r="AB393" s="14">
        <f>IFERROR(IF(UPPER($E393)="L",SUMPRODUCT(N393:Y393,$N$3:$Y$3,$N$2:$Y$2),SUMPRODUCT(N393:Y393,$N$4:$Y$4,$N$2:$Y$2))/(Z393/($K393*$L393*$M393)),"")</f>
        <v/>
      </c>
      <c r="AC393" s="18" t="n"/>
    </row>
    <row r="394">
      <c r="A394" s="9" t="n">
        <v>691385</v>
      </c>
      <c r="B394" s="9" t="inlineStr">
        <is>
          <t>Ronald Rosario</t>
        </is>
      </c>
      <c r="C394" s="9" t="inlineStr">
        <is>
          <t>BOS</t>
        </is>
      </c>
      <c r="D394" s="9" t="n">
        <v>25</v>
      </c>
      <c r="E394" s="16" t="inlineStr">
        <is>
          <t>R</t>
        </is>
      </c>
      <c r="F394" s="16" t="n"/>
      <c r="G394" s="9" t="n">
        <v>111.2820512820513</v>
      </c>
      <c r="H394" s="9" t="n">
        <v>111.2820512820513</v>
      </c>
      <c r="I394" s="9" t="inlineStr">
        <is>
          <t>Depth (no MLB PA)</t>
        </is>
      </c>
      <c r="J394" s="16" t="inlineStr">
        <is>
          <t>Opening Day</t>
        </is>
      </c>
      <c r="K394" s="11">
        <f>IFERROR(INDEX(Roles!$B$17:$B$20,MATCH(J394,Roles!$A$17:$A$20,0)),1)</f>
        <v/>
      </c>
      <c r="L394" s="17" t="n">
        <v>1</v>
      </c>
      <c r="M394" s="11" t="n">
        <v>1</v>
      </c>
      <c r="N394" s="17" t="n"/>
      <c r="O394" s="17" t="n"/>
      <c r="P394" s="17" t="n"/>
      <c r="Q394" s="17" t="n"/>
      <c r="R394" s="17" t="n"/>
      <c r="S394" s="17" t="n"/>
      <c r="T394" s="17" t="n"/>
      <c r="U394" s="17" t="n"/>
      <c r="V394" s="17" t="n"/>
      <c r="W394" s="17" t="n"/>
      <c r="X394" s="17" t="n"/>
      <c r="Y394" s="17" t="n">
        <v>1</v>
      </c>
      <c r="Z394" s="13">
        <f>SUMPRODUCT(N394:Y394,$N$2:$Y$2)*$K394*$L394*$M394</f>
        <v/>
      </c>
      <c r="AA394" s="14">
        <f>SUM(N394:Y394)</f>
        <v/>
      </c>
      <c r="AB394" s="14">
        <f>IFERROR(IF(UPPER($E394)="L",SUMPRODUCT(N394:Y394,$N$3:$Y$3,$N$2:$Y$2),SUMPRODUCT(N394:Y394,$N$4:$Y$4,$N$2:$Y$2))/(Z394/($K394*$L394*$M394)),"")</f>
        <v/>
      </c>
      <c r="AC394" s="18" t="n"/>
    </row>
    <row r="395">
      <c r="A395" s="9" t="n">
        <v>593934</v>
      </c>
      <c r="B395" s="9" t="inlineStr">
        <is>
          <t>Miguel Sanó</t>
        </is>
      </c>
      <c r="C395" s="9" t="inlineStr">
        <is>
          <t>LAA</t>
        </is>
      </c>
      <c r="D395" s="9" t="n">
        <v>34</v>
      </c>
      <c r="E395" s="16" t="inlineStr">
        <is>
          <t>R</t>
        </is>
      </c>
      <c r="F395" s="16" t="inlineStr">
        <is>
          <t>3B</t>
        </is>
      </c>
      <c r="G395" s="9" t="n">
        <v>95</v>
      </c>
      <c r="H395" s="9" t="n">
        <v>166</v>
      </c>
      <c r="I395" s="9" t="inlineStr">
        <is>
          <t>Depth (no MLB PA)</t>
        </is>
      </c>
      <c r="J395" s="16" t="inlineStr">
        <is>
          <t>Opening Day</t>
        </is>
      </c>
      <c r="K395" s="11">
        <f>IFERROR(INDEX(Roles!$B$17:$B$20,MATCH(J395,Roles!$A$17:$A$20,0)),1)</f>
        <v/>
      </c>
      <c r="L395" s="17" t="n">
        <v>1</v>
      </c>
      <c r="M395" s="11" t="n">
        <v>1</v>
      </c>
      <c r="N395" s="17" t="n"/>
      <c r="O395" s="17" t="n"/>
      <c r="P395" s="17" t="n"/>
      <c r="Q395" s="17" t="n"/>
      <c r="R395" s="17" t="n"/>
      <c r="S395" s="17" t="n"/>
      <c r="T395" s="17" t="n"/>
      <c r="U395" s="17" t="n"/>
      <c r="V395" s="17" t="n"/>
      <c r="W395" s="17" t="n"/>
      <c r="X395" s="17" t="n"/>
      <c r="Y395" s="17" t="n">
        <v>1</v>
      </c>
      <c r="Z395" s="13">
        <f>SUMPRODUCT(N395:Y395,$N$2:$Y$2)*$K395*$L395*$M395</f>
        <v/>
      </c>
      <c r="AA395" s="14">
        <f>SUM(N395:Y395)</f>
        <v/>
      </c>
      <c r="AB395" s="14">
        <f>IFERROR(IF(UPPER($E395)="L",SUMPRODUCT(N395:Y395,$N$3:$Y$3,$N$2:$Y$2),SUMPRODUCT(N395:Y395,$N$4:$Y$4,$N$2:$Y$2))/(Z395/($K395*$L395*$M395)),"")</f>
        <v/>
      </c>
      <c r="AC395" s="18" t="n"/>
    </row>
    <row r="396">
      <c r="A396" s="9" t="n">
        <v>680728</v>
      </c>
      <c r="B396" s="9" t="inlineStr">
        <is>
          <t>Adrian Del Castillo</t>
        </is>
      </c>
      <c r="C396" s="9" t="inlineStr">
        <is>
          <t>ARI</t>
        </is>
      </c>
      <c r="D396" s="9" t="n">
        <v>27</v>
      </c>
      <c r="E396" s="16" t="inlineStr">
        <is>
          <t>L</t>
        </is>
      </c>
      <c r="F396" s="16" t="inlineStr">
        <is>
          <t>C</t>
        </is>
      </c>
      <c r="G396" s="9" t="n">
        <v>197</v>
      </c>
      <c r="H396" s="9" t="n">
        <v>415</v>
      </c>
      <c r="I396" s="9" t="inlineStr">
        <is>
          <t>Everyday DH / 1B-DH</t>
        </is>
      </c>
      <c r="J396" s="16" t="inlineStr">
        <is>
          <t>Opening Day</t>
        </is>
      </c>
      <c r="K396" s="11">
        <f>IFERROR(INDEX(Roles!$B$17:$B$20,MATCH(J396,Roles!$A$17:$A$20,0)),1)</f>
        <v/>
      </c>
      <c r="L396" s="17" t="n">
        <v>1</v>
      </c>
      <c r="M396" s="11" t="n">
        <v>1</v>
      </c>
      <c r="N396" s="17" t="n"/>
      <c r="O396" s="17" t="n">
        <v>0.7</v>
      </c>
      <c r="P396" s="17" t="n"/>
      <c r="Q396" s="17" t="n"/>
      <c r="R396" s="17" t="n"/>
      <c r="S396" s="17" t="n"/>
      <c r="T396" s="17" t="n"/>
      <c r="U396" s="17" t="n"/>
      <c r="V396" s="17" t="n"/>
      <c r="W396" s="17" t="n">
        <v>0.3</v>
      </c>
      <c r="X396" s="17" t="n"/>
      <c r="Y396" s="17" t="n"/>
      <c r="Z396" s="13">
        <f>SUMPRODUCT(N396:Y396,$N$2:$Y$2)*$K396*$L396*$M396</f>
        <v/>
      </c>
      <c r="AA396" s="14">
        <f>SUM(N396:Y396)</f>
        <v/>
      </c>
      <c r="AB396" s="14">
        <f>IFERROR(IF(UPPER($E396)="L",SUMPRODUCT(N396:Y396,$N$3:$Y$3,$N$2:$Y$2),SUMPRODUCT(N396:Y396,$N$4:$Y$4,$N$2:$Y$2))/(Z396/($K396*$L396*$M396)),"")</f>
        <v/>
      </c>
      <c r="AC396" s="18" t="n"/>
    </row>
    <row r="397">
      <c r="A397" s="9" t="n">
        <v>688714</v>
      </c>
      <c r="B397" s="9" t="inlineStr">
        <is>
          <t>Ryan Cermak</t>
        </is>
      </c>
      <c r="C397" s="9" t="inlineStr">
        <is>
          <t>TB</t>
        </is>
      </c>
      <c r="D397" s="9" t="n">
        <v>25</v>
      </c>
      <c r="E397" s="16" t="inlineStr">
        <is>
          <t>R</t>
        </is>
      </c>
      <c r="F397" s="16" t="n"/>
      <c r="G397" s="9" t="n">
        <v>21.53846153846154</v>
      </c>
      <c r="H397" s="9" t="n">
        <v>21.53846153846154</v>
      </c>
      <c r="I397" s="9" t="inlineStr">
        <is>
          <t>Depth (no MLB PA)</t>
        </is>
      </c>
      <c r="J397" s="16" t="inlineStr">
        <is>
          <t>Opening Day</t>
        </is>
      </c>
      <c r="K397" s="11">
        <f>IFERROR(INDEX(Roles!$B$17:$B$20,MATCH(J397,Roles!$A$17:$A$20,0)),1)</f>
        <v/>
      </c>
      <c r="L397" s="17" t="n">
        <v>1</v>
      </c>
      <c r="M397" s="11" t="n">
        <v>1</v>
      </c>
      <c r="N397" s="17" t="n"/>
      <c r="O397" s="17" t="n"/>
      <c r="P397" s="17" t="n"/>
      <c r="Q397" s="17" t="n"/>
      <c r="R397" s="17" t="n"/>
      <c r="S397" s="17" t="n"/>
      <c r="T397" s="17" t="n"/>
      <c r="U397" s="17" t="n"/>
      <c r="V397" s="17" t="n"/>
      <c r="W397" s="17" t="n"/>
      <c r="X397" s="17" t="n"/>
      <c r="Y397" s="17" t="n">
        <v>1</v>
      </c>
      <c r="Z397" s="13">
        <f>SUMPRODUCT(N397:Y397,$N$2:$Y$2)*$K397*$L397*$M397</f>
        <v/>
      </c>
      <c r="AA397" s="14">
        <f>SUM(N397:Y397)</f>
        <v/>
      </c>
      <c r="AB397" s="14">
        <f>IFERROR(IF(UPPER($E397)="L",SUMPRODUCT(N397:Y397,$N$3:$Y$3,$N$2:$Y$2),SUMPRODUCT(N397:Y397,$N$4:$Y$4,$N$2:$Y$2))/(Z397/($K397*$L397*$M397)),"")</f>
        <v/>
      </c>
      <c r="AC397" s="18" t="n"/>
    </row>
    <row r="398">
      <c r="A398" s="9" t="n">
        <v>691627</v>
      </c>
      <c r="B398" s="9" t="inlineStr">
        <is>
          <t>Ricardo Olivar</t>
        </is>
      </c>
      <c r="C398" s="9" t="inlineStr">
        <is>
          <t>MIN</t>
        </is>
      </c>
      <c r="D398" s="9" t="n">
        <v>25</v>
      </c>
      <c r="E398" s="16" t="inlineStr">
        <is>
          <t>R</t>
        </is>
      </c>
      <c r="F398" s="16" t="n"/>
      <c r="G398" s="9" t="n">
        <v>15.23076923076923</v>
      </c>
      <c r="H398" s="9" t="n">
        <v>15.23076923076923</v>
      </c>
      <c r="I398" s="9" t="inlineStr">
        <is>
          <t>Depth (no MLB PA)</t>
        </is>
      </c>
      <c r="J398" s="16" t="inlineStr">
        <is>
          <t>Opening Day</t>
        </is>
      </c>
      <c r="K398" s="11">
        <f>IFERROR(INDEX(Roles!$B$17:$B$20,MATCH(J398,Roles!$A$17:$A$20,0)),1)</f>
        <v/>
      </c>
      <c r="L398" s="17" t="n">
        <v>1</v>
      </c>
      <c r="M398" s="11" t="n">
        <v>1</v>
      </c>
      <c r="N398" s="17" t="n"/>
      <c r="O398" s="17" t="n"/>
      <c r="P398" s="17" t="n"/>
      <c r="Q398" s="17" t="n"/>
      <c r="R398" s="17" t="n"/>
      <c r="S398" s="17" t="n"/>
      <c r="T398" s="17" t="n"/>
      <c r="U398" s="17" t="n"/>
      <c r="V398" s="17" t="n"/>
      <c r="W398" s="17" t="n"/>
      <c r="X398" s="17" t="n"/>
      <c r="Y398" s="17" t="n">
        <v>1</v>
      </c>
      <c r="Z398" s="13">
        <f>SUMPRODUCT(N398:Y398,$N$2:$Y$2)*$K398*$L398*$M398</f>
        <v/>
      </c>
      <c r="AA398" s="14">
        <f>SUM(N398:Y398)</f>
        <v/>
      </c>
      <c r="AB398" s="14">
        <f>IFERROR(IF(UPPER($E398)="L",SUMPRODUCT(N398:Y398,$N$3:$Y$3,$N$2:$Y$2),SUMPRODUCT(N398:Y398,$N$4:$Y$4,$N$2:$Y$2))/(Z398/($K398*$L398*$M398)),"")</f>
        <v/>
      </c>
      <c r="AC398" s="18" t="n"/>
    </row>
    <row r="399">
      <c r="A399" s="9" t="n">
        <v>695521</v>
      </c>
      <c r="B399" s="9" t="inlineStr">
        <is>
          <t>Gavin Conticello</t>
        </is>
      </c>
      <c r="C399" s="9" t="inlineStr">
        <is>
          <t>ARI</t>
        </is>
      </c>
      <c r="D399" s="9" t="n">
        <v>25</v>
      </c>
      <c r="E399" s="16" t="inlineStr">
        <is>
          <t>L</t>
        </is>
      </c>
      <c r="F399" s="16" t="n"/>
      <c r="G399" s="9" t="n">
        <v>99.84615384615384</v>
      </c>
      <c r="H399" s="9" t="n">
        <v>99.84615384615384</v>
      </c>
      <c r="I399" s="9" t="inlineStr">
        <is>
          <t>Depth (no MLB PA)</t>
        </is>
      </c>
      <c r="J399" s="16" t="inlineStr">
        <is>
          <t>Opening Day</t>
        </is>
      </c>
      <c r="K399" s="11">
        <f>IFERROR(INDEX(Roles!$B$17:$B$20,MATCH(J399,Roles!$A$17:$A$20,0)),1)</f>
        <v/>
      </c>
      <c r="L399" s="17" t="n">
        <v>1</v>
      </c>
      <c r="M399" s="11" t="n">
        <v>1</v>
      </c>
      <c r="N399" s="17" t="n"/>
      <c r="O399" s="17" t="n"/>
      <c r="P399" s="17" t="n"/>
      <c r="Q399" s="17" t="n"/>
      <c r="R399" s="17" t="n"/>
      <c r="S399" s="17" t="n"/>
      <c r="T399" s="17" t="n"/>
      <c r="U399" s="17" t="n"/>
      <c r="V399" s="17" t="n"/>
      <c r="W399" s="17" t="n"/>
      <c r="X399" s="17" t="n"/>
      <c r="Y399" s="17" t="n">
        <v>1</v>
      </c>
      <c r="Z399" s="13">
        <f>SUMPRODUCT(N399:Y399,$N$2:$Y$2)*$K399*$L399*$M399</f>
        <v/>
      </c>
      <c r="AA399" s="14">
        <f>SUM(N399:Y399)</f>
        <v/>
      </c>
      <c r="AB399" s="14">
        <f>IFERROR(IF(UPPER($E399)="L",SUMPRODUCT(N399:Y399,$N$3:$Y$3,$N$2:$Y$2),SUMPRODUCT(N399:Y399,$N$4:$Y$4,$N$2:$Y$2))/(Z399/($K399*$L399*$M399)),"")</f>
        <v/>
      </c>
      <c r="AC399" s="18" t="n"/>
    </row>
    <row r="400">
      <c r="A400" s="9" t="n">
        <v>572816</v>
      </c>
      <c r="B400" s="9" t="inlineStr">
        <is>
          <t>Corey Dickerson</t>
        </is>
      </c>
      <c r="C400" s="9" t="inlineStr">
        <is>
          <t>WSH</t>
        </is>
      </c>
      <c r="D400" s="9" t="n">
        <v>38</v>
      </c>
      <c r="E400" s="16" t="inlineStr">
        <is>
          <t>L</t>
        </is>
      </c>
      <c r="F400" s="16" t="inlineStr">
        <is>
          <t>LF</t>
        </is>
      </c>
      <c r="G400" s="9" t="n">
        <v>152</v>
      </c>
      <c r="H400" s="9" t="n">
        <v>449</v>
      </c>
      <c r="I400" s="9" t="inlineStr">
        <is>
          <t>Depth (no MLB PA)</t>
        </is>
      </c>
      <c r="J400" s="16" t="inlineStr">
        <is>
          <t>Opening Day</t>
        </is>
      </c>
      <c r="K400" s="11">
        <f>IFERROR(INDEX(Roles!$B$17:$B$20,MATCH(J400,Roles!$A$17:$A$20,0)),1)</f>
        <v/>
      </c>
      <c r="L400" s="17" t="n">
        <v>1</v>
      </c>
      <c r="M400" s="11" t="n">
        <v>1</v>
      </c>
      <c r="N400" s="17" t="n"/>
      <c r="O400" s="17" t="n"/>
      <c r="P400" s="17" t="n"/>
      <c r="Q400" s="17" t="n"/>
      <c r="R400" s="17" t="n"/>
      <c r="S400" s="17" t="n"/>
      <c r="T400" s="17" t="n"/>
      <c r="U400" s="17" t="n"/>
      <c r="V400" s="17" t="n"/>
      <c r="W400" s="17" t="n"/>
      <c r="X400" s="17" t="n"/>
      <c r="Y400" s="17" t="n">
        <v>1</v>
      </c>
      <c r="Z400" s="13">
        <f>SUMPRODUCT(N400:Y400,$N$2:$Y$2)*$K400*$L400*$M400</f>
        <v/>
      </c>
      <c r="AA400" s="14">
        <f>SUM(N400:Y400)</f>
        <v/>
      </c>
      <c r="AB400" s="14">
        <f>IFERROR(IF(UPPER($E400)="L",SUMPRODUCT(N400:Y400,$N$3:$Y$3,$N$2:$Y$2),SUMPRODUCT(N400:Y400,$N$4:$Y$4,$N$2:$Y$2))/(Z400/($K400*$L400*$M400)),"")</f>
        <v/>
      </c>
      <c r="AC400" s="18" t="n"/>
    </row>
    <row r="401">
      <c r="A401" s="9" t="n">
        <v>678554</v>
      </c>
      <c r="B401" s="9" t="inlineStr">
        <is>
          <t>Curtis Mead</t>
        </is>
      </c>
      <c r="C401" s="9" t="inlineStr">
        <is>
          <t>BOS</t>
        </is>
      </c>
      <c r="D401" s="9" t="n">
        <v>26</v>
      </c>
      <c r="E401" s="16" t="inlineStr">
        <is>
          <t>R</t>
        </is>
      </c>
      <c r="F401" s="16" t="inlineStr">
        <is>
          <t>3B</t>
        </is>
      </c>
      <c r="G401" s="9" t="n">
        <v>329</v>
      </c>
      <c r="H401" s="9" t="n">
        <v>817</v>
      </c>
      <c r="I401" s="9" t="inlineStr">
        <is>
          <t>Bench Bat</t>
        </is>
      </c>
      <c r="J401" s="16" t="inlineStr">
        <is>
          <t>Opening Day</t>
        </is>
      </c>
      <c r="K401" s="11">
        <f>IFERROR(INDEX(Roles!$B$17:$B$20,MATCH(J401,Roles!$A$17:$A$20,0)),1)</f>
        <v/>
      </c>
      <c r="L401" s="17" t="n">
        <v>1</v>
      </c>
      <c r="M401" s="11" t="n">
        <v>1</v>
      </c>
      <c r="N401" s="17" t="n"/>
      <c r="O401" s="17" t="n"/>
      <c r="P401" s="17" t="n"/>
      <c r="Q401" s="17" t="n"/>
      <c r="R401" s="17" t="n"/>
      <c r="S401" s="17" t="n"/>
      <c r="T401" s="17" t="n"/>
      <c r="U401" s="17" t="n">
        <v>0.4</v>
      </c>
      <c r="V401" s="17" t="n"/>
      <c r="W401" s="17" t="n">
        <v>0.6</v>
      </c>
      <c r="X401" s="17" t="n"/>
      <c r="Y401" s="17" t="n"/>
      <c r="Z401" s="13">
        <f>SUMPRODUCT(N401:Y401,$N$2:$Y$2)*$K401*$L401*$M401</f>
        <v/>
      </c>
      <c r="AA401" s="14">
        <f>SUM(N401:Y401)</f>
        <v/>
      </c>
      <c r="AB401" s="14">
        <f>IFERROR(IF(UPPER($E401)="L",SUMPRODUCT(N401:Y401,$N$3:$Y$3,$N$2:$Y$2),SUMPRODUCT(N401:Y401,$N$4:$Y$4,$N$2:$Y$2))/(Z401/($K401*$L401*$M401)),"")</f>
        <v/>
      </c>
      <c r="AC401" s="18" t="n"/>
    </row>
    <row r="402">
      <c r="A402" s="9" t="n">
        <v>809686</v>
      </c>
      <c r="B402" s="9" t="inlineStr">
        <is>
          <t>Cam Maldonado</t>
        </is>
      </c>
      <c r="C402" s="9" t="inlineStr">
        <is>
          <t>SF</t>
        </is>
      </c>
      <c r="D402" s="9" t="n">
        <v>24</v>
      </c>
      <c r="E402" s="16" t="inlineStr">
        <is>
          <t>R</t>
        </is>
      </c>
      <c r="F402" s="16" t="n"/>
      <c r="G402" s="9" t="n">
        <v>18.46153846153846</v>
      </c>
      <c r="H402" s="9" t="n">
        <v>18.46153846153846</v>
      </c>
      <c r="I402" s="9" t="inlineStr">
        <is>
          <t>Depth (no MLB PA)</t>
        </is>
      </c>
      <c r="J402" s="16" t="inlineStr">
        <is>
          <t>Opening Day</t>
        </is>
      </c>
      <c r="K402" s="11">
        <f>IFERROR(INDEX(Roles!$B$17:$B$20,MATCH(J402,Roles!$A$17:$A$20,0)),1)</f>
        <v/>
      </c>
      <c r="L402" s="17" t="n">
        <v>1</v>
      </c>
      <c r="M402" s="11" t="n">
        <v>1</v>
      </c>
      <c r="N402" s="17" t="n"/>
      <c r="O402" s="17" t="n"/>
      <c r="P402" s="17" t="n"/>
      <c r="Q402" s="17" t="n"/>
      <c r="R402" s="17" t="n"/>
      <c r="S402" s="17" t="n"/>
      <c r="T402" s="17" t="n"/>
      <c r="U402" s="17" t="n"/>
      <c r="V402" s="17" t="n"/>
      <c r="W402" s="17" t="n"/>
      <c r="X402" s="17" t="n"/>
      <c r="Y402" s="17" t="n">
        <v>1</v>
      </c>
      <c r="Z402" s="13">
        <f>SUMPRODUCT(N402:Y402,$N$2:$Y$2)*$K402*$L402*$M402</f>
        <v/>
      </c>
      <c r="AA402" s="14">
        <f>SUM(N402:Y402)</f>
        <v/>
      </c>
      <c r="AB402" s="14">
        <f>IFERROR(IF(UPPER($E402)="L",SUMPRODUCT(N402:Y402,$N$3:$Y$3,$N$2:$Y$2),SUMPRODUCT(N402:Y402,$N$4:$Y$4,$N$2:$Y$2))/(Z402/($K402*$L402*$M402)),"")</f>
        <v/>
      </c>
      <c r="AC402" s="18" t="n"/>
    </row>
    <row r="403">
      <c r="A403" s="9" t="n">
        <v>669720</v>
      </c>
      <c r="B403" s="9" t="inlineStr">
        <is>
          <t>Austin Hays</t>
        </is>
      </c>
      <c r="C403" s="9" t="inlineStr">
        <is>
          <t>SD</t>
        </is>
      </c>
      <c r="D403" s="9" t="n">
        <v>31</v>
      </c>
      <c r="E403" s="16" t="inlineStr">
        <is>
          <t>R</t>
        </is>
      </c>
      <c r="F403" s="16" t="inlineStr">
        <is>
          <t>LF</t>
        </is>
      </c>
      <c r="G403" s="9" t="n">
        <v>105</v>
      </c>
      <c r="H403" s="9" t="n">
        <v>1924</v>
      </c>
      <c r="I403" s="9" t="inlineStr">
        <is>
          <t>Full Time</t>
        </is>
      </c>
      <c r="J403" s="16" t="inlineStr">
        <is>
          <t>Opening Day</t>
        </is>
      </c>
      <c r="K403" s="11">
        <f>IFERROR(INDEX(Roles!$B$17:$B$20,MATCH(J403,Roles!$A$17:$A$20,0)),1)</f>
        <v/>
      </c>
      <c r="L403" s="17" t="n">
        <v>1</v>
      </c>
      <c r="M403" s="11" t="n">
        <v>0.6992653144423233</v>
      </c>
      <c r="N403" s="17" t="n">
        <v>1</v>
      </c>
      <c r="O403" s="17" t="n"/>
      <c r="P403" s="17" t="n"/>
      <c r="Q403" s="17" t="n"/>
      <c r="R403" s="17" t="n"/>
      <c r="S403" s="17" t="n"/>
      <c r="T403" s="17" t="n"/>
      <c r="U403" s="17" t="n"/>
      <c r="V403" s="17" t="n"/>
      <c r="W403" s="17" t="n"/>
      <c r="X403" s="17" t="n"/>
      <c r="Y403" s="17" t="n"/>
      <c r="Z403" s="13">
        <f>SUMPRODUCT(N403:Y403,$N$2:$Y$2)*$K403*$L403*$M403</f>
        <v/>
      </c>
      <c r="AA403" s="14">
        <f>SUM(N403:Y403)</f>
        <v/>
      </c>
      <c r="AB403" s="14">
        <f>IFERROR(IF(UPPER($E403)="L",SUMPRODUCT(N403:Y403,$N$3:$Y$3,$N$2:$Y$2),SUMPRODUCT(N403:Y403,$N$4:$Y$4,$N$2:$Y$2))/(Z403/($K403*$L403*$M403)),"")</f>
        <v/>
      </c>
      <c r="AC403" s="18" t="n"/>
    </row>
    <row r="404">
      <c r="A404" s="9" t="n">
        <v>696145</v>
      </c>
      <c r="B404" s="9" t="inlineStr">
        <is>
          <t>Lonnie White Jr.</t>
        </is>
      </c>
      <c r="C404" s="9" t="inlineStr">
        <is>
          <t>PIT</t>
        </is>
      </c>
      <c r="D404" s="9" t="n">
        <v>25</v>
      </c>
      <c r="E404" s="16" t="inlineStr">
        <is>
          <t>R</t>
        </is>
      </c>
      <c r="F404" s="16" t="n"/>
      <c r="G404" s="9" t="n">
        <v>134.6153846153846</v>
      </c>
      <c r="H404" s="9" t="n">
        <v>134.6153846153846</v>
      </c>
      <c r="I404" s="9" t="inlineStr">
        <is>
          <t>Depth (no MLB PA)</t>
        </is>
      </c>
      <c r="J404" s="16" t="inlineStr">
        <is>
          <t>Opening Day</t>
        </is>
      </c>
      <c r="K404" s="11">
        <f>IFERROR(INDEX(Roles!$B$17:$B$20,MATCH(J404,Roles!$A$17:$A$20,0)),1)</f>
        <v/>
      </c>
      <c r="L404" s="17" t="n">
        <v>1</v>
      </c>
      <c r="M404" s="11" t="n">
        <v>1</v>
      </c>
      <c r="N404" s="17" t="n"/>
      <c r="O404" s="17" t="n"/>
      <c r="P404" s="17" t="n"/>
      <c r="Q404" s="17" t="n"/>
      <c r="R404" s="17" t="n"/>
      <c r="S404" s="17" t="n"/>
      <c r="T404" s="17" t="n"/>
      <c r="U404" s="17" t="n"/>
      <c r="V404" s="17" t="n"/>
      <c r="W404" s="17" t="n"/>
      <c r="X404" s="17" t="n"/>
      <c r="Y404" s="17" t="n">
        <v>1</v>
      </c>
      <c r="Z404" s="13">
        <f>SUMPRODUCT(N404:Y404,$N$2:$Y$2)*$K404*$L404*$M404</f>
        <v/>
      </c>
      <c r="AA404" s="14">
        <f>SUM(N404:Y404)</f>
        <v/>
      </c>
      <c r="AB404" s="14">
        <f>IFERROR(IF(UPPER($E404)="L",SUMPRODUCT(N404:Y404,$N$3:$Y$3,$N$2:$Y$2),SUMPRODUCT(N404:Y404,$N$4:$Y$4,$N$2:$Y$2))/(Z404/($K404*$L404*$M404)),"")</f>
        <v/>
      </c>
      <c r="AC404" s="18" t="n"/>
    </row>
    <row r="405">
      <c r="A405" s="9" t="n">
        <v>809945</v>
      </c>
      <c r="B405" s="9" t="inlineStr">
        <is>
          <t>Jonah Advincula</t>
        </is>
      </c>
      <c r="C405" s="9" t="inlineStr">
        <is>
          <t>CLE</t>
        </is>
      </c>
      <c r="D405" s="9" t="n">
        <v>25</v>
      </c>
      <c r="E405" s="16" t="inlineStr">
        <is>
          <t>L</t>
        </is>
      </c>
      <c r="F405" s="16" t="n"/>
      <c r="G405" s="9" t="n">
        <v>11.48717948717949</v>
      </c>
      <c r="H405" s="9" t="n">
        <v>11.48717948717949</v>
      </c>
      <c r="I405" s="9" t="inlineStr">
        <is>
          <t>Depth (no MLB PA)</t>
        </is>
      </c>
      <c r="J405" s="16" t="inlineStr">
        <is>
          <t>Opening Day</t>
        </is>
      </c>
      <c r="K405" s="11">
        <f>IFERROR(INDEX(Roles!$B$17:$B$20,MATCH(J405,Roles!$A$17:$A$20,0)),1)</f>
        <v/>
      </c>
      <c r="L405" s="17" t="n">
        <v>1</v>
      </c>
      <c r="M405" s="11" t="n">
        <v>1</v>
      </c>
      <c r="N405" s="17" t="n"/>
      <c r="O405" s="17" t="n"/>
      <c r="P405" s="17" t="n"/>
      <c r="Q405" s="17" t="n"/>
      <c r="R405" s="17" t="n"/>
      <c r="S405" s="17" t="n"/>
      <c r="T405" s="17" t="n"/>
      <c r="U405" s="17" t="n"/>
      <c r="V405" s="17" t="n"/>
      <c r="W405" s="17" t="n"/>
      <c r="X405" s="17" t="n"/>
      <c r="Y405" s="17" t="n">
        <v>1</v>
      </c>
      <c r="Z405" s="13">
        <f>SUMPRODUCT(N405:Y405,$N$2:$Y$2)*$K405*$L405*$M405</f>
        <v/>
      </c>
      <c r="AA405" s="14">
        <f>SUM(N405:Y405)</f>
        <v/>
      </c>
      <c r="AB405" s="14">
        <f>IFERROR(IF(UPPER($E405)="L",SUMPRODUCT(N405:Y405,$N$3:$Y$3,$N$2:$Y$2),SUMPRODUCT(N405:Y405,$N$4:$Y$4,$N$2:$Y$2))/(Z405/($K405*$L405*$M405)),"")</f>
        <v/>
      </c>
      <c r="AC405" s="18" t="n"/>
    </row>
    <row r="406">
      <c r="A406" s="9" t="n">
        <v>683454</v>
      </c>
      <c r="B406" s="9" t="inlineStr">
        <is>
          <t>Brayan Buelvas</t>
        </is>
      </c>
      <c r="C406" s="9" t="inlineStr">
        <is>
          <t>OAK</t>
        </is>
      </c>
      <c r="D406" s="9" t="n">
        <v>25</v>
      </c>
      <c r="E406" s="16" t="inlineStr">
        <is>
          <t>R</t>
        </is>
      </c>
      <c r="F406" s="16" t="n"/>
      <c r="G406" s="9" t="n">
        <v>226.2051282051282</v>
      </c>
      <c r="H406" s="9" t="n">
        <v>226.2051282051282</v>
      </c>
      <c r="I406" s="9" t="inlineStr">
        <is>
          <t>Depth (no MLB PA)</t>
        </is>
      </c>
      <c r="J406" s="16" t="inlineStr">
        <is>
          <t>Opening Day</t>
        </is>
      </c>
      <c r="K406" s="11">
        <f>IFERROR(INDEX(Roles!$B$17:$B$20,MATCH(J406,Roles!$A$17:$A$20,0)),1)</f>
        <v/>
      </c>
      <c r="L406" s="17" t="n">
        <v>1</v>
      </c>
      <c r="M406" s="11" t="n">
        <v>1</v>
      </c>
      <c r="N406" s="17" t="n"/>
      <c r="O406" s="17" t="n"/>
      <c r="P406" s="17" t="n"/>
      <c r="Q406" s="17" t="n"/>
      <c r="R406" s="17" t="n"/>
      <c r="S406" s="17" t="n"/>
      <c r="T406" s="17" t="n"/>
      <c r="U406" s="17" t="n"/>
      <c r="V406" s="17" t="n"/>
      <c r="W406" s="17" t="n"/>
      <c r="X406" s="17" t="n"/>
      <c r="Y406" s="17" t="n">
        <v>1</v>
      </c>
      <c r="Z406" s="13">
        <f>SUMPRODUCT(N406:Y406,$N$2:$Y$2)*$K406*$L406*$M406</f>
        <v/>
      </c>
      <c r="AA406" s="14">
        <f>SUM(N406:Y406)</f>
        <v/>
      </c>
      <c r="AB406" s="14">
        <f>IFERROR(IF(UPPER($E406)="L",SUMPRODUCT(N406:Y406,$N$3:$Y$3,$N$2:$Y$2),SUMPRODUCT(N406:Y406,$N$4:$Y$4,$N$2:$Y$2))/(Z406/($K406*$L406*$M406)),"")</f>
        <v/>
      </c>
      <c r="AC406" s="18" t="n"/>
    </row>
    <row r="407">
      <c r="A407" s="9" t="n">
        <v>701162</v>
      </c>
      <c r="B407" s="9" t="inlineStr">
        <is>
          <t>Ben Malgeri</t>
        </is>
      </c>
      <c r="C407" s="9" t="inlineStr">
        <is>
          <t>DET</t>
        </is>
      </c>
      <c r="D407" s="9" t="n">
        <v>27</v>
      </c>
      <c r="E407" s="16" t="inlineStr">
        <is>
          <t>R</t>
        </is>
      </c>
      <c r="F407" s="16" t="inlineStr">
        <is>
          <t>RF</t>
        </is>
      </c>
      <c r="G407" s="9" t="n">
        <v>140</v>
      </c>
      <c r="H407" s="9" t="n">
        <v>140</v>
      </c>
      <c r="I407" s="9" t="inlineStr">
        <is>
          <t>Weak Side Platoon</t>
        </is>
      </c>
      <c r="J407" s="16" t="inlineStr">
        <is>
          <t>Opening Day</t>
        </is>
      </c>
      <c r="K407" s="11">
        <f>IFERROR(INDEX(Roles!$B$17:$B$20,MATCH(J407,Roles!$A$17:$A$20,0)),1)</f>
        <v/>
      </c>
      <c r="L407" s="17" t="n">
        <v>1</v>
      </c>
      <c r="M407" s="11" t="n">
        <v>1</v>
      </c>
      <c r="N407" s="17" t="n"/>
      <c r="O407" s="17" t="n"/>
      <c r="P407" s="17" t="n"/>
      <c r="Q407" s="17" t="n">
        <v>0.6</v>
      </c>
      <c r="R407" s="17" t="n"/>
      <c r="S407" s="17" t="n"/>
      <c r="T407" s="17" t="n"/>
      <c r="U407" s="17" t="n"/>
      <c r="V407" s="17" t="n">
        <v>0.4</v>
      </c>
      <c r="W407" s="17" t="n"/>
      <c r="X407" s="17" t="n"/>
      <c r="Y407" s="17" t="n"/>
      <c r="Z407" s="13">
        <f>SUMPRODUCT(N407:Y407,$N$2:$Y$2)*$K407*$L407*$M407</f>
        <v/>
      </c>
      <c r="AA407" s="14">
        <f>SUM(N407:Y407)</f>
        <v/>
      </c>
      <c r="AB407" s="14">
        <f>IFERROR(IF(UPPER($E407)="L",SUMPRODUCT(N407:Y407,$N$3:$Y$3,$N$2:$Y$2),SUMPRODUCT(N407:Y407,$N$4:$Y$4,$N$2:$Y$2))/(Z407/($K407*$L407*$M407)),"")</f>
        <v/>
      </c>
      <c r="AC407" s="18" t="n"/>
    </row>
    <row r="408">
      <c r="A408" s="9" t="n">
        <v>663698</v>
      </c>
      <c r="B408" s="9" t="inlineStr">
        <is>
          <t>Joey Bart</t>
        </is>
      </c>
      <c r="C408" s="9" t="inlineStr">
        <is>
          <t>CWS</t>
        </is>
      </c>
      <c r="D408" s="9" t="n">
        <v>30</v>
      </c>
      <c r="E408" s="16" t="inlineStr">
        <is>
          <t>R</t>
        </is>
      </c>
      <c r="F408" s="16" t="inlineStr">
        <is>
          <t>C</t>
        </is>
      </c>
      <c r="G408" s="9" t="n">
        <v>128</v>
      </c>
      <c r="H408" s="9" t="n">
        <v>1128</v>
      </c>
      <c r="I408" s="9" t="inlineStr">
        <is>
          <t>Injury Replacement / 26th Man</t>
        </is>
      </c>
      <c r="J408" s="16" t="inlineStr">
        <is>
          <t>Opening Day</t>
        </is>
      </c>
      <c r="K408" s="11">
        <f>IFERROR(INDEX(Roles!$B$17:$B$20,MATCH(J408,Roles!$A$17:$A$20,0)),1)</f>
        <v/>
      </c>
      <c r="L408" s="17" t="n">
        <v>1</v>
      </c>
      <c r="M408" s="11" t="n">
        <v>1</v>
      </c>
      <c r="N408" s="17" t="n"/>
      <c r="O408" s="17" t="n"/>
      <c r="P408" s="17" t="n"/>
      <c r="Q408" s="17" t="n"/>
      <c r="R408" s="17" t="n"/>
      <c r="S408" s="17" t="n"/>
      <c r="T408" s="17" t="n"/>
      <c r="U408" s="17" t="n"/>
      <c r="V408" s="17" t="n"/>
      <c r="W408" s="17" t="n"/>
      <c r="X408" s="17" t="n">
        <v>1</v>
      </c>
      <c r="Y408" s="17" t="n"/>
      <c r="Z408" s="13">
        <f>SUMPRODUCT(N408:Y408,$N$2:$Y$2)*$K408*$L408*$M408</f>
        <v/>
      </c>
      <c r="AA408" s="14">
        <f>SUM(N408:Y408)</f>
        <v/>
      </c>
      <c r="AB408" s="14">
        <f>IFERROR(IF(UPPER($E408)="L",SUMPRODUCT(N408:Y408,$N$3:$Y$3,$N$2:$Y$2),SUMPRODUCT(N408:Y408,$N$4:$Y$4,$N$2:$Y$2))/(Z408/($K408*$L408*$M408)),"")</f>
        <v/>
      </c>
      <c r="AC408" s="18" t="n"/>
    </row>
    <row r="409">
      <c r="A409" s="9" t="n">
        <v>668751</v>
      </c>
      <c r="B409" s="9" t="inlineStr">
        <is>
          <t>Cal Mitchell</t>
        </is>
      </c>
      <c r="C409" s="9" t="inlineStr">
        <is>
          <t>PIT</t>
        </is>
      </c>
      <c r="D409" s="9" t="n">
        <v>28</v>
      </c>
      <c r="E409" s="16" t="inlineStr">
        <is>
          <t>L</t>
        </is>
      </c>
      <c r="F409" s="16" t="inlineStr">
        <is>
          <t>RF</t>
        </is>
      </c>
      <c r="G409" s="9" t="n">
        <v>5</v>
      </c>
      <c r="H409" s="9" t="n">
        <v>237</v>
      </c>
      <c r="I409" s="9" t="inlineStr">
        <is>
          <t>Depth (no MLB PA)</t>
        </is>
      </c>
      <c r="J409" s="16" t="inlineStr">
        <is>
          <t>Opening Day</t>
        </is>
      </c>
      <c r="K409" s="11">
        <f>IFERROR(INDEX(Roles!$B$17:$B$20,MATCH(J409,Roles!$A$17:$A$20,0)),1)</f>
        <v/>
      </c>
      <c r="L409" s="17" t="n">
        <v>1</v>
      </c>
      <c r="M409" s="11" t="n">
        <v>1</v>
      </c>
      <c r="N409" s="17" t="n"/>
      <c r="O409" s="17" t="n"/>
      <c r="P409" s="17" t="n"/>
      <c r="Q409" s="17" t="n"/>
      <c r="R409" s="17" t="n"/>
      <c r="S409" s="17" t="n"/>
      <c r="T409" s="17" t="n"/>
      <c r="U409" s="17" t="n"/>
      <c r="V409" s="17" t="n"/>
      <c r="W409" s="17" t="n"/>
      <c r="X409" s="17" t="n"/>
      <c r="Y409" s="17" t="n">
        <v>1</v>
      </c>
      <c r="Z409" s="13">
        <f>SUMPRODUCT(N409:Y409,$N$2:$Y$2)*$K409*$L409*$M409</f>
        <v/>
      </c>
      <c r="AA409" s="14">
        <f>SUM(N409:Y409)</f>
        <v/>
      </c>
      <c r="AB409" s="14">
        <f>IFERROR(IF(UPPER($E409)="L",SUMPRODUCT(N409:Y409,$N$3:$Y$3,$N$2:$Y$2),SUMPRODUCT(N409:Y409,$N$4:$Y$4,$N$2:$Y$2))/(Z409/($K409*$L409*$M409)),"")</f>
        <v/>
      </c>
      <c r="AC409" s="18" t="n"/>
    </row>
    <row r="410">
      <c r="A410" s="9" t="n">
        <v>602074</v>
      </c>
      <c r="B410" s="9" t="inlineStr">
        <is>
          <t>Yonathan Daza</t>
        </is>
      </c>
      <c r="C410" s="9" t="inlineStr">
        <is>
          <t>COL</t>
        </is>
      </c>
      <c r="D410" s="9" t="n">
        <v>33</v>
      </c>
      <c r="E410" s="16" t="inlineStr">
        <is>
          <t>R</t>
        </is>
      </c>
      <c r="F410" s="16" t="inlineStr">
        <is>
          <t>CF</t>
        </is>
      </c>
      <c r="G410" s="9" t="n">
        <v>80</v>
      </c>
      <c r="H410" s="9" t="n">
        <v>488</v>
      </c>
      <c r="I410" s="9" t="inlineStr">
        <is>
          <t>Depth (no MLB PA)</t>
        </is>
      </c>
      <c r="J410" s="16" t="inlineStr">
        <is>
          <t>Opening Day</t>
        </is>
      </c>
      <c r="K410" s="11">
        <f>IFERROR(INDEX(Roles!$B$17:$B$20,MATCH(J410,Roles!$A$17:$A$20,0)),1)</f>
        <v/>
      </c>
      <c r="L410" s="17" t="n">
        <v>1</v>
      </c>
      <c r="M410" s="11" t="n">
        <v>1</v>
      </c>
      <c r="N410" s="17" t="n"/>
      <c r="O410" s="17" t="n"/>
      <c r="P410" s="17" t="n"/>
      <c r="Q410" s="17" t="n"/>
      <c r="R410" s="17" t="n"/>
      <c r="S410" s="17" t="n"/>
      <c r="T410" s="17" t="n"/>
      <c r="U410" s="17" t="n"/>
      <c r="V410" s="17" t="n"/>
      <c r="W410" s="17" t="n"/>
      <c r="X410" s="17" t="n"/>
      <c r="Y410" s="17" t="n">
        <v>1</v>
      </c>
      <c r="Z410" s="13">
        <f>SUMPRODUCT(N410:Y410,$N$2:$Y$2)*$K410*$L410*$M410</f>
        <v/>
      </c>
      <c r="AA410" s="14">
        <f>SUM(N410:Y410)</f>
        <v/>
      </c>
      <c r="AB410" s="14">
        <f>IFERROR(IF(UPPER($E410)="L",SUMPRODUCT(N410:Y410,$N$3:$Y$3,$N$2:$Y$2),SUMPRODUCT(N410:Y410,$N$4:$Y$4,$N$2:$Y$2))/(Z410/($K410*$L410*$M410)),"")</f>
        <v/>
      </c>
      <c r="AC410" s="18" t="n"/>
    </row>
    <row r="411">
      <c r="A411" s="9" t="n">
        <v>680777</v>
      </c>
      <c r="B411" s="9" t="inlineStr">
        <is>
          <t>Ryan Jeffers</t>
        </is>
      </c>
      <c r="C411" s="9" t="inlineStr">
        <is>
          <t>MIN</t>
        </is>
      </c>
      <c r="D411" s="9" t="n">
        <v>30</v>
      </c>
      <c r="E411" s="16" t="inlineStr">
        <is>
          <t>R</t>
        </is>
      </c>
      <c r="F411" s="16" t="inlineStr">
        <is>
          <t>C</t>
        </is>
      </c>
      <c r="G411" s="9" t="n">
        <v>369</v>
      </c>
      <c r="H411" s="9" t="n">
        <v>1869</v>
      </c>
      <c r="I411" s="9" t="inlineStr">
        <is>
          <t>Catcher - Primary</t>
        </is>
      </c>
      <c r="J411" s="16" t="inlineStr">
        <is>
          <t>Opening Day</t>
        </is>
      </c>
      <c r="K411" s="11">
        <f>IFERROR(INDEX(Roles!$B$17:$B$20,MATCH(J411,Roles!$A$17:$A$20,0)),1)</f>
        <v/>
      </c>
      <c r="L411" s="17" t="n">
        <v>1</v>
      </c>
      <c r="M411" s="11" t="n">
        <v>0.9571034744634632</v>
      </c>
      <c r="N411" s="17" t="n"/>
      <c r="O411" s="17" t="n"/>
      <c r="P411" s="17" t="n"/>
      <c r="Q411" s="17" t="n"/>
      <c r="R411" s="17" t="n">
        <v>1</v>
      </c>
      <c r="S411" s="17" t="n"/>
      <c r="T411" s="17" t="n"/>
      <c r="U411" s="17" t="n"/>
      <c r="V411" s="17" t="n"/>
      <c r="W411" s="17" t="n"/>
      <c r="X411" s="17" t="n"/>
      <c r="Y411" s="17" t="n"/>
      <c r="Z411" s="13">
        <f>SUMPRODUCT(N411:Y411,$N$2:$Y$2)*$K411*$L411*$M411</f>
        <v/>
      </c>
      <c r="AA411" s="14">
        <f>SUM(N411:Y411)</f>
        <v/>
      </c>
      <c r="AB411" s="14">
        <f>IFERROR(IF(UPPER($E411)="L",SUMPRODUCT(N411:Y411,$N$3:$Y$3,$N$2:$Y$2),SUMPRODUCT(N411:Y411,$N$4:$Y$4,$N$2:$Y$2))/(Z411/($K411*$L411*$M411)),"")</f>
        <v/>
      </c>
      <c r="AC411" s="18" t="n"/>
    </row>
    <row r="412">
      <c r="A412" s="9" t="n">
        <v>806154</v>
      </c>
      <c r="B412" s="9" t="inlineStr">
        <is>
          <t>David McCann</t>
        </is>
      </c>
      <c r="C412" s="9" t="inlineStr">
        <is>
          <t>NYY</t>
        </is>
      </c>
      <c r="D412" s="9" t="n">
        <v>25</v>
      </c>
      <c r="E412" s="16" t="inlineStr">
        <is>
          <t>L</t>
        </is>
      </c>
      <c r="F412" s="16" t="n"/>
      <c r="G412" s="9" t="n">
        <v>19.07692307692308</v>
      </c>
      <c r="H412" s="9" t="n">
        <v>19.07692307692308</v>
      </c>
      <c r="I412" s="9" t="inlineStr">
        <is>
          <t>Depth (no MLB PA)</t>
        </is>
      </c>
      <c r="J412" s="16" t="inlineStr">
        <is>
          <t>Opening Day</t>
        </is>
      </c>
      <c r="K412" s="11">
        <f>IFERROR(INDEX(Roles!$B$17:$B$20,MATCH(J412,Roles!$A$17:$A$20,0)),1)</f>
        <v/>
      </c>
      <c r="L412" s="17" t="n">
        <v>1</v>
      </c>
      <c r="M412" s="11" t="n">
        <v>1</v>
      </c>
      <c r="N412" s="17" t="n"/>
      <c r="O412" s="17" t="n"/>
      <c r="P412" s="17" t="n"/>
      <c r="Q412" s="17" t="n"/>
      <c r="R412" s="17" t="n"/>
      <c r="S412" s="17" t="n"/>
      <c r="T412" s="17" t="n"/>
      <c r="U412" s="17" t="n"/>
      <c r="V412" s="17" t="n"/>
      <c r="W412" s="17" t="n"/>
      <c r="X412" s="17" t="n"/>
      <c r="Y412" s="17" t="n">
        <v>1</v>
      </c>
      <c r="Z412" s="13">
        <f>SUMPRODUCT(N412:Y412,$N$2:$Y$2)*$K412*$L412*$M412</f>
        <v/>
      </c>
      <c r="AA412" s="14">
        <f>SUM(N412:Y412)</f>
        <v/>
      </c>
      <c r="AB412" s="14">
        <f>IFERROR(IF(UPPER($E412)="L",SUMPRODUCT(N412:Y412,$N$3:$Y$3,$N$2:$Y$2),SUMPRODUCT(N412:Y412,$N$4:$Y$4,$N$2:$Y$2))/(Z412/($K412*$L412*$M412)),"")</f>
        <v/>
      </c>
      <c r="AC412" s="18" t="n"/>
    </row>
    <row r="413">
      <c r="A413" s="9" t="n">
        <v>687394</v>
      </c>
      <c r="B413" s="9" t="inlineStr">
        <is>
          <t>Jack Brannigan</t>
        </is>
      </c>
      <c r="C413" s="9" t="inlineStr">
        <is>
          <t>PIT</t>
        </is>
      </c>
      <c r="D413" s="9" t="n">
        <v>26</v>
      </c>
      <c r="E413" s="16" t="inlineStr">
        <is>
          <t>R</t>
        </is>
      </c>
      <c r="F413" s="16" t="inlineStr">
        <is>
          <t>3B</t>
        </is>
      </c>
      <c r="G413" s="9" t="n">
        <v>1</v>
      </c>
      <c r="H413" s="9" t="n">
        <v>1</v>
      </c>
      <c r="I413" s="9" t="inlineStr">
        <is>
          <t>Depth (no MLB PA)</t>
        </is>
      </c>
      <c r="J413" s="16" t="inlineStr">
        <is>
          <t>Opening Day</t>
        </is>
      </c>
      <c r="K413" s="11">
        <f>IFERROR(INDEX(Roles!$B$17:$B$20,MATCH(J413,Roles!$A$17:$A$20,0)),1)</f>
        <v/>
      </c>
      <c r="L413" s="17" t="n">
        <v>1</v>
      </c>
      <c r="M413" s="11" t="n">
        <v>1</v>
      </c>
      <c r="N413" s="17" t="n"/>
      <c r="O413" s="17" t="n"/>
      <c r="P413" s="17" t="n"/>
      <c r="Q413" s="17" t="n"/>
      <c r="R413" s="17" t="n"/>
      <c r="S413" s="17" t="n"/>
      <c r="T413" s="17" t="n"/>
      <c r="U413" s="17" t="n"/>
      <c r="V413" s="17" t="n"/>
      <c r="W413" s="17" t="n"/>
      <c r="X413" s="17" t="n"/>
      <c r="Y413" s="17" t="n">
        <v>1</v>
      </c>
      <c r="Z413" s="13">
        <f>SUMPRODUCT(N413:Y413,$N$2:$Y$2)*$K413*$L413*$M413</f>
        <v/>
      </c>
      <c r="AA413" s="14">
        <f>SUM(N413:Y413)</f>
        <v/>
      </c>
      <c r="AB413" s="14">
        <f>IFERROR(IF(UPPER($E413)="L",SUMPRODUCT(N413:Y413,$N$3:$Y$3,$N$2:$Y$2),SUMPRODUCT(N413:Y413,$N$4:$Y$4,$N$2:$Y$2))/(Z413/($K413*$L413*$M413)),"")</f>
        <v/>
      </c>
      <c r="AC413" s="18" t="n"/>
    </row>
    <row r="414">
      <c r="A414" s="9" t="n">
        <v>801954</v>
      </c>
      <c r="B414" s="9" t="inlineStr">
        <is>
          <t>Beau Ankeney</t>
        </is>
      </c>
      <c r="C414" s="9" t="inlineStr">
        <is>
          <t>DET</t>
        </is>
      </c>
      <c r="D414" s="9" t="n">
        <v>25</v>
      </c>
      <c r="E414" s="16" t="inlineStr">
        <is>
          <t>R</t>
        </is>
      </c>
      <c r="F414" s="16" t="n"/>
      <c r="G414" s="9" t="n">
        <v>23.17948717948718</v>
      </c>
      <c r="H414" s="9" t="n">
        <v>23.17948717948718</v>
      </c>
      <c r="I414" s="9" t="inlineStr">
        <is>
          <t>Depth (no MLB PA)</t>
        </is>
      </c>
      <c r="J414" s="16" t="inlineStr">
        <is>
          <t>Opening Day</t>
        </is>
      </c>
      <c r="K414" s="11">
        <f>IFERROR(INDEX(Roles!$B$17:$B$20,MATCH(J414,Roles!$A$17:$A$20,0)),1)</f>
        <v/>
      </c>
      <c r="L414" s="17" t="n">
        <v>1</v>
      </c>
      <c r="M414" s="11" t="n">
        <v>1</v>
      </c>
      <c r="N414" s="17" t="n"/>
      <c r="O414" s="17" t="n"/>
      <c r="P414" s="17" t="n"/>
      <c r="Q414" s="17" t="n"/>
      <c r="R414" s="17" t="n"/>
      <c r="S414" s="17" t="n"/>
      <c r="T414" s="17" t="n"/>
      <c r="U414" s="17" t="n"/>
      <c r="V414" s="17" t="n"/>
      <c r="W414" s="17" t="n"/>
      <c r="X414" s="17" t="n"/>
      <c r="Y414" s="17" t="n">
        <v>1</v>
      </c>
      <c r="Z414" s="13">
        <f>SUMPRODUCT(N414:Y414,$N$2:$Y$2)*$K414*$L414*$M414</f>
        <v/>
      </c>
      <c r="AA414" s="14">
        <f>SUM(N414:Y414)</f>
        <v/>
      </c>
      <c r="AB414" s="14">
        <f>IFERROR(IF(UPPER($E414)="L",SUMPRODUCT(N414:Y414,$N$3:$Y$3,$N$2:$Y$2),SUMPRODUCT(N414:Y414,$N$4:$Y$4,$N$2:$Y$2))/(Z414/($K414*$L414*$M414)),"")</f>
        <v/>
      </c>
      <c r="AC414" s="18" t="n"/>
    </row>
    <row r="415">
      <c r="A415" s="9" t="n">
        <v>670868</v>
      </c>
      <c r="B415" s="9" t="inlineStr">
        <is>
          <t>Abrahan Gutierrez</t>
        </is>
      </c>
      <c r="C415" s="9" t="inlineStr">
        <is>
          <t>NYY</t>
        </is>
      </c>
      <c r="D415" s="9" t="n">
        <v>25</v>
      </c>
      <c r="E415" s="16" t="inlineStr">
        <is>
          <t>R</t>
        </is>
      </c>
      <c r="F415" s="16" t="n"/>
      <c r="G415" s="9" t="n">
        <v>31.02564102564103</v>
      </c>
      <c r="H415" s="9" t="n">
        <v>31.02564102564103</v>
      </c>
      <c r="I415" s="9" t="inlineStr">
        <is>
          <t>Depth (no MLB PA)</t>
        </is>
      </c>
      <c r="J415" s="16" t="inlineStr">
        <is>
          <t>Opening Day</t>
        </is>
      </c>
      <c r="K415" s="11">
        <f>IFERROR(INDEX(Roles!$B$17:$B$20,MATCH(J415,Roles!$A$17:$A$20,0)),1)</f>
        <v/>
      </c>
      <c r="L415" s="17" t="n">
        <v>1</v>
      </c>
      <c r="M415" s="11" t="n">
        <v>1</v>
      </c>
      <c r="N415" s="17" t="n"/>
      <c r="O415" s="17" t="n"/>
      <c r="P415" s="17" t="n"/>
      <c r="Q415" s="17" t="n"/>
      <c r="R415" s="17" t="n"/>
      <c r="S415" s="17" t="n"/>
      <c r="T415" s="17" t="n"/>
      <c r="U415" s="17" t="n"/>
      <c r="V415" s="17" t="n"/>
      <c r="W415" s="17" t="n"/>
      <c r="X415" s="17" t="n"/>
      <c r="Y415" s="17" t="n">
        <v>1</v>
      </c>
      <c r="Z415" s="13">
        <f>SUMPRODUCT(N415:Y415,$N$2:$Y$2)*$K415*$L415*$M415</f>
        <v/>
      </c>
      <c r="AA415" s="14">
        <f>SUM(N415:Y415)</f>
        <v/>
      </c>
      <c r="AB415" s="14">
        <f>IFERROR(IF(UPPER($E415)="L",SUMPRODUCT(N415:Y415,$N$3:$Y$3,$N$2:$Y$2),SUMPRODUCT(N415:Y415,$N$4:$Y$4,$N$2:$Y$2))/(Z415/($K415*$L415*$M415)),"")</f>
        <v/>
      </c>
      <c r="AC415" s="18" t="n"/>
    </row>
    <row r="416">
      <c r="A416" s="9" t="n">
        <v>694374</v>
      </c>
      <c r="B416" s="9" t="inlineStr">
        <is>
          <t>Tim Tawa</t>
        </is>
      </c>
      <c r="C416" s="9" t="inlineStr">
        <is>
          <t>ARI</t>
        </is>
      </c>
      <c r="D416" s="9" t="n">
        <v>28</v>
      </c>
      <c r="E416" s="16" t="inlineStr">
        <is>
          <t>R</t>
        </is>
      </c>
      <c r="F416" s="16" t="inlineStr">
        <is>
          <t>1B</t>
        </is>
      </c>
      <c r="G416" s="9" t="n">
        <v>351</v>
      </c>
      <c r="H416" s="9" t="n">
        <v>576</v>
      </c>
      <c r="I416" s="9" t="inlineStr">
        <is>
          <t>Full Time</t>
        </is>
      </c>
      <c r="J416" s="16" t="inlineStr">
        <is>
          <t>Opening Day</t>
        </is>
      </c>
      <c r="K416" s="11">
        <f>IFERROR(INDEX(Roles!$B$17:$B$20,MATCH(J416,Roles!$A$17:$A$20,0)),1)</f>
        <v/>
      </c>
      <c r="L416" s="17" t="n">
        <v>1</v>
      </c>
      <c r="M416" s="11" t="n">
        <v>0.9206166380893728</v>
      </c>
      <c r="N416" s="17" t="n">
        <v>0.7</v>
      </c>
      <c r="O416" s="17" t="n"/>
      <c r="P416" s="17" t="n">
        <v>0.3</v>
      </c>
      <c r="Q416" s="17" t="n"/>
      <c r="R416" s="17" t="n"/>
      <c r="S416" s="17" t="n"/>
      <c r="T416" s="17" t="n"/>
      <c r="U416" s="17" t="n"/>
      <c r="V416" s="17" t="n"/>
      <c r="W416" s="17" t="n"/>
      <c r="X416" s="17" t="n"/>
      <c r="Y416" s="17" t="n"/>
      <c r="Z416" s="13">
        <f>SUMPRODUCT(N416:Y416,$N$2:$Y$2)*$K416*$L416*$M416</f>
        <v/>
      </c>
      <c r="AA416" s="14">
        <f>SUM(N416:Y416)</f>
        <v/>
      </c>
      <c r="AB416" s="14">
        <f>IFERROR(IF(UPPER($E416)="L",SUMPRODUCT(N416:Y416,$N$3:$Y$3,$N$2:$Y$2),SUMPRODUCT(N416:Y416,$N$4:$Y$4,$N$2:$Y$2))/(Z416/($K416*$L416*$M416)),"")</f>
        <v/>
      </c>
      <c r="AC416" s="18" t="n"/>
    </row>
    <row r="417">
      <c r="A417" s="9" t="n">
        <v>672569</v>
      </c>
      <c r="B417" s="9" t="inlineStr">
        <is>
          <t>Gustavo Campero</t>
        </is>
      </c>
      <c r="C417" s="9" t="inlineStr">
        <is>
          <t>LAA</t>
        </is>
      </c>
      <c r="D417" s="9" t="n">
        <v>29</v>
      </c>
      <c r="E417" s="16" t="inlineStr">
        <is>
          <t>S</t>
        </is>
      </c>
      <c r="F417" s="16" t="inlineStr">
        <is>
          <t>LF</t>
        </is>
      </c>
      <c r="G417" s="9" t="n">
        <v>12</v>
      </c>
      <c r="H417" s="9" t="n">
        <v>126</v>
      </c>
      <c r="I417" s="9" t="inlineStr">
        <is>
          <t>Injury Replacement / 26th Man</t>
        </is>
      </c>
      <c r="J417" s="16" t="inlineStr">
        <is>
          <t>Opening Day</t>
        </is>
      </c>
      <c r="K417" s="11">
        <f>IFERROR(INDEX(Roles!$B$17:$B$20,MATCH(J417,Roles!$A$17:$A$20,0)),1)</f>
        <v/>
      </c>
      <c r="L417" s="17" t="n">
        <v>1</v>
      </c>
      <c r="M417" s="11" t="n">
        <v>1</v>
      </c>
      <c r="N417" s="17" t="n"/>
      <c r="O417" s="17" t="n"/>
      <c r="P417" s="17" t="n"/>
      <c r="Q417" s="17" t="n"/>
      <c r="R417" s="17" t="n"/>
      <c r="S417" s="17" t="n"/>
      <c r="T417" s="17" t="n"/>
      <c r="U417" s="17" t="n"/>
      <c r="V417" s="17" t="n"/>
      <c r="W417" s="17" t="n"/>
      <c r="X417" s="17" t="n">
        <v>1</v>
      </c>
      <c r="Y417" s="17" t="n"/>
      <c r="Z417" s="13">
        <f>SUMPRODUCT(N417:Y417,$N$2:$Y$2)*$K417*$L417*$M417</f>
        <v/>
      </c>
      <c r="AA417" s="14">
        <f>SUM(N417:Y417)</f>
        <v/>
      </c>
      <c r="AB417" s="14">
        <f>IFERROR(IF(UPPER($E417)="L",SUMPRODUCT(N417:Y417,$N$3:$Y$3,$N$2:$Y$2),SUMPRODUCT(N417:Y417,$N$4:$Y$4,$N$2:$Y$2))/(Z417/($K417*$L417*$M417)),"")</f>
        <v/>
      </c>
      <c r="AC417" s="18" t="n"/>
    </row>
    <row r="418">
      <c r="A418" s="9" t="n">
        <v>593871</v>
      </c>
      <c r="B418" s="9" t="inlineStr">
        <is>
          <t>Jorge Polanco</t>
        </is>
      </c>
      <c r="C418" s="9" t="inlineStr">
        <is>
          <t>NYM</t>
        </is>
      </c>
      <c r="D418" s="9" t="n">
        <v>33</v>
      </c>
      <c r="E418" s="16" t="inlineStr">
        <is>
          <t>S</t>
        </is>
      </c>
      <c r="F418" s="16" t="inlineStr">
        <is>
          <t>1B</t>
        </is>
      </c>
      <c r="G418" s="9" t="n">
        <v>145</v>
      </c>
      <c r="H418" s="9" t="n">
        <v>1926</v>
      </c>
      <c r="I418" s="9" t="inlineStr">
        <is>
          <t>Full Time</t>
        </is>
      </c>
      <c r="J418" s="16" t="inlineStr">
        <is>
          <t>Opening Day</t>
        </is>
      </c>
      <c r="K418" s="11">
        <f>IFERROR(INDEX(Roles!$B$17:$B$20,MATCH(J418,Roles!$A$17:$A$20,0)),1)</f>
        <v/>
      </c>
      <c r="L418" s="17" t="n">
        <v>1</v>
      </c>
      <c r="M418" s="11" t="n">
        <v>0.791060373144398</v>
      </c>
      <c r="N418" s="17" t="n">
        <v>1</v>
      </c>
      <c r="O418" s="17" t="n"/>
      <c r="P418" s="17" t="n"/>
      <c r="Q418" s="17" t="n"/>
      <c r="R418" s="17" t="n"/>
      <c r="S418" s="17" t="n"/>
      <c r="T418" s="17" t="n"/>
      <c r="U418" s="17" t="n"/>
      <c r="V418" s="17" t="n"/>
      <c r="W418" s="17" t="n"/>
      <c r="X418" s="17" t="n"/>
      <c r="Y418" s="17" t="n"/>
      <c r="Z418" s="13">
        <f>SUMPRODUCT(N418:Y418,$N$2:$Y$2)*$K418*$L418*$M418</f>
        <v/>
      </c>
      <c r="AA418" s="14">
        <f>SUM(N418:Y418)</f>
        <v/>
      </c>
      <c r="AB418" s="14">
        <f>IFERROR(IF(UPPER($E418)="L",SUMPRODUCT(N418:Y418,$N$3:$Y$3,$N$2:$Y$2),SUMPRODUCT(N418:Y418,$N$4:$Y$4,$N$2:$Y$2))/(Z418/($K418*$L418*$M418)),"")</f>
        <v/>
      </c>
      <c r="AC418" s="18" t="n"/>
    </row>
    <row r="419">
      <c r="A419" s="9" t="n">
        <v>656448</v>
      </c>
      <c r="B419" s="9" t="inlineStr">
        <is>
          <t>Stone Garrett</t>
        </is>
      </c>
      <c r="C419" s="9" t="inlineStr">
        <is>
          <t>WSH</t>
        </is>
      </c>
      <c r="D419" s="9" t="n">
        <v>31</v>
      </c>
      <c r="E419" s="16" t="inlineStr">
        <is>
          <t>R</t>
        </is>
      </c>
      <c r="F419" s="16" t="inlineStr">
        <is>
          <t>LF</t>
        </is>
      </c>
      <c r="G419" s="9" t="n">
        <v>6</v>
      </c>
      <c r="H419" s="9" t="n">
        <v>361</v>
      </c>
      <c r="I419" s="9" t="inlineStr">
        <is>
          <t>Depth (no MLB PA)</t>
        </is>
      </c>
      <c r="J419" s="16" t="inlineStr">
        <is>
          <t>Opening Day</t>
        </is>
      </c>
      <c r="K419" s="11">
        <f>IFERROR(INDEX(Roles!$B$17:$B$20,MATCH(J419,Roles!$A$17:$A$20,0)),1)</f>
        <v/>
      </c>
      <c r="L419" s="17" t="n">
        <v>1</v>
      </c>
      <c r="M419" s="11" t="n">
        <v>1</v>
      </c>
      <c r="N419" s="17" t="n"/>
      <c r="O419" s="17" t="n"/>
      <c r="P419" s="17" t="n"/>
      <c r="Q419" s="17" t="n"/>
      <c r="R419" s="17" t="n"/>
      <c r="S419" s="17" t="n"/>
      <c r="T419" s="17" t="n"/>
      <c r="U419" s="17" t="n"/>
      <c r="V419" s="17" t="n"/>
      <c r="W419" s="17" t="n"/>
      <c r="X419" s="17" t="n"/>
      <c r="Y419" s="17" t="n">
        <v>1</v>
      </c>
      <c r="Z419" s="13">
        <f>SUMPRODUCT(N419:Y419,$N$2:$Y$2)*$K419*$L419*$M419</f>
        <v/>
      </c>
      <c r="AA419" s="14">
        <f>SUM(N419:Y419)</f>
        <v/>
      </c>
      <c r="AB419" s="14">
        <f>IFERROR(IF(UPPER($E419)="L",SUMPRODUCT(N419:Y419,$N$3:$Y$3,$N$2:$Y$2),SUMPRODUCT(N419:Y419,$N$4:$Y$4,$N$2:$Y$2))/(Z419/($K419*$L419*$M419)),"")</f>
        <v/>
      </c>
      <c r="AC419" s="18" t="n"/>
    </row>
    <row r="420">
      <c r="A420" s="9" t="n">
        <v>677601</v>
      </c>
      <c r="B420" s="9" t="inlineStr">
        <is>
          <t>Keyber Rodriguez</t>
        </is>
      </c>
      <c r="C420" s="9" t="inlineStr">
        <is>
          <t>TEX</t>
        </is>
      </c>
      <c r="D420" s="9" t="n">
        <v>25</v>
      </c>
      <c r="E420" s="16" t="inlineStr">
        <is>
          <t>R</t>
        </is>
      </c>
      <c r="F420" s="16" t="n"/>
      <c r="G420" s="9" t="n">
        <v>187.2820512820513</v>
      </c>
      <c r="H420" s="9" t="n">
        <v>187.2820512820513</v>
      </c>
      <c r="I420" s="9" t="inlineStr">
        <is>
          <t>Depth (no MLB PA)</t>
        </is>
      </c>
      <c r="J420" s="16" t="inlineStr">
        <is>
          <t>Opening Day</t>
        </is>
      </c>
      <c r="K420" s="11">
        <f>IFERROR(INDEX(Roles!$B$17:$B$20,MATCH(J420,Roles!$A$17:$A$20,0)),1)</f>
        <v/>
      </c>
      <c r="L420" s="17" t="n">
        <v>1</v>
      </c>
      <c r="M420" s="11" t="n">
        <v>1</v>
      </c>
      <c r="N420" s="17" t="n"/>
      <c r="O420" s="17" t="n"/>
      <c r="P420" s="17" t="n"/>
      <c r="Q420" s="17" t="n"/>
      <c r="R420" s="17" t="n"/>
      <c r="S420" s="17" t="n"/>
      <c r="T420" s="17" t="n"/>
      <c r="U420" s="17" t="n"/>
      <c r="V420" s="17" t="n"/>
      <c r="W420" s="17" t="n"/>
      <c r="X420" s="17" t="n"/>
      <c r="Y420" s="17" t="n">
        <v>1</v>
      </c>
      <c r="Z420" s="13">
        <f>SUMPRODUCT(N420:Y420,$N$2:$Y$2)*$K420*$L420*$M420</f>
        <v/>
      </c>
      <c r="AA420" s="14">
        <f>SUM(N420:Y420)</f>
        <v/>
      </c>
      <c r="AB420" s="14">
        <f>IFERROR(IF(UPPER($E420)="L",SUMPRODUCT(N420:Y420,$N$3:$Y$3,$N$2:$Y$2),SUMPRODUCT(N420:Y420,$N$4:$Y$4,$N$2:$Y$2))/(Z420/($K420*$L420*$M420)),"")</f>
        <v/>
      </c>
      <c r="AC420" s="18" t="n"/>
    </row>
    <row r="421">
      <c r="A421" s="9" t="n">
        <v>694728</v>
      </c>
      <c r="B421" s="9" t="inlineStr">
        <is>
          <t>Brice Matthews</t>
        </is>
      </c>
      <c r="C421" s="9" t="inlineStr">
        <is>
          <t>HOU</t>
        </is>
      </c>
      <c r="D421" s="9" t="n">
        <v>25</v>
      </c>
      <c r="E421" s="16" t="inlineStr">
        <is>
          <t>R</t>
        </is>
      </c>
      <c r="F421" s="16" t="inlineStr">
        <is>
          <t>CF</t>
        </is>
      </c>
      <c r="G421" s="9" t="n">
        <v>233</v>
      </c>
      <c r="H421" s="9" t="n">
        <v>280</v>
      </c>
      <c r="I421" s="9" t="inlineStr">
        <is>
          <t>Bench Bat</t>
        </is>
      </c>
      <c r="J421" s="16" t="inlineStr">
        <is>
          <t>Opening Day</t>
        </is>
      </c>
      <c r="K421" s="11">
        <f>IFERROR(INDEX(Roles!$B$17:$B$20,MATCH(J421,Roles!$A$17:$A$20,0)),1)</f>
        <v/>
      </c>
      <c r="L421" s="17" t="n">
        <v>1</v>
      </c>
      <c r="M421" s="11" t="n">
        <v>0.9001940382467615</v>
      </c>
      <c r="N421" s="17" t="n"/>
      <c r="O421" s="17" t="n"/>
      <c r="P421" s="17" t="n"/>
      <c r="Q421" s="17" t="n"/>
      <c r="R421" s="17" t="n"/>
      <c r="S421" s="17" t="n"/>
      <c r="T421" s="17" t="n"/>
      <c r="U421" s="17" t="n">
        <v>0.4</v>
      </c>
      <c r="V421" s="17" t="n"/>
      <c r="W421" s="17" t="n">
        <v>0.6</v>
      </c>
      <c r="X421" s="17" t="n"/>
      <c r="Y421" s="17" t="n"/>
      <c r="Z421" s="13">
        <f>SUMPRODUCT(N421:Y421,$N$2:$Y$2)*$K421*$L421*$M421</f>
        <v/>
      </c>
      <c r="AA421" s="14">
        <f>SUM(N421:Y421)</f>
        <v/>
      </c>
      <c r="AB421" s="14">
        <f>IFERROR(IF(UPPER($E421)="L",SUMPRODUCT(N421:Y421,$N$3:$Y$3,$N$2:$Y$2),SUMPRODUCT(N421:Y421,$N$4:$Y$4,$N$2:$Y$2))/(Z421/($K421*$L421*$M421)),"")</f>
        <v/>
      </c>
      <c r="AC421" s="18" t="n"/>
    </row>
    <row r="422">
      <c r="A422" s="9" t="n">
        <v>663897</v>
      </c>
      <c r="B422" s="9" t="inlineStr">
        <is>
          <t>Luke Williams</t>
        </is>
      </c>
      <c r="C422" s="9" t="inlineStr">
        <is>
          <t>ATL</t>
        </is>
      </c>
      <c r="D422" s="9" t="n">
        <v>30</v>
      </c>
      <c r="E422" s="16" t="inlineStr">
        <is>
          <t>R</t>
        </is>
      </c>
      <c r="F422" s="16" t="inlineStr">
        <is>
          <t>LF</t>
        </is>
      </c>
      <c r="G422" s="9" t="n">
        <v>1</v>
      </c>
      <c r="H422" s="9" t="n">
        <v>242</v>
      </c>
      <c r="I422" s="9" t="inlineStr">
        <is>
          <t>Bench Bat</t>
        </is>
      </c>
      <c r="J422" s="16" t="inlineStr">
        <is>
          <t>Late Season (~Sept)</t>
        </is>
      </c>
      <c r="K422" s="11">
        <f>IFERROR(INDEX(Roles!$B$17:$B$20,MATCH(J422,Roles!$A$17:$A$20,0)),1)</f>
        <v/>
      </c>
      <c r="L422" s="17" t="n">
        <v>1</v>
      </c>
      <c r="M422" s="11" t="n">
        <v>1</v>
      </c>
      <c r="N422" s="17" t="n"/>
      <c r="O422" s="17" t="n"/>
      <c r="P422" s="17" t="n"/>
      <c r="Q422" s="17" t="n"/>
      <c r="R422" s="17" t="n"/>
      <c r="S422" s="17" t="n"/>
      <c r="T422" s="17" t="n"/>
      <c r="U422" s="17" t="n">
        <v>0.4</v>
      </c>
      <c r="V422" s="17" t="n"/>
      <c r="W422" s="17" t="n">
        <v>0.6</v>
      </c>
      <c r="X422" s="17" t="n"/>
      <c r="Y422" s="17" t="n"/>
      <c r="Z422" s="13">
        <f>SUMPRODUCT(N422:Y422,$N$2:$Y$2)*$K422*$L422*$M422</f>
        <v/>
      </c>
      <c r="AA422" s="14">
        <f>SUM(N422:Y422)</f>
        <v/>
      </c>
      <c r="AB422" s="14">
        <f>IFERROR(IF(UPPER($E422)="L",SUMPRODUCT(N422:Y422,$N$3:$Y$3,$N$2:$Y$2),SUMPRODUCT(N422:Y422,$N$4:$Y$4,$N$2:$Y$2))/(Z422/($K422*$L422*$M422)),"")</f>
        <v/>
      </c>
      <c r="AC422" s="18" t="n"/>
    </row>
    <row r="423">
      <c r="A423" s="9" t="n">
        <v>824615</v>
      </c>
      <c r="B423" s="9" t="inlineStr">
        <is>
          <t>Connor Hujsak</t>
        </is>
      </c>
      <c r="C423" s="9" t="inlineStr">
        <is>
          <t>TB</t>
        </is>
      </c>
      <c r="D423" s="9" t="n">
        <v>25</v>
      </c>
      <c r="E423" s="16" t="inlineStr">
        <is>
          <t>R</t>
        </is>
      </c>
      <c r="F423" s="16" t="n"/>
      <c r="G423" s="9" t="n">
        <v>17.48717948717949</v>
      </c>
      <c r="H423" s="9" t="n">
        <v>17.48717948717949</v>
      </c>
      <c r="I423" s="9" t="inlineStr">
        <is>
          <t>Depth (no MLB PA)</t>
        </is>
      </c>
      <c r="J423" s="16" t="inlineStr">
        <is>
          <t>Opening Day</t>
        </is>
      </c>
      <c r="K423" s="11">
        <f>IFERROR(INDEX(Roles!$B$17:$B$20,MATCH(J423,Roles!$A$17:$A$20,0)),1)</f>
        <v/>
      </c>
      <c r="L423" s="17" t="n">
        <v>1</v>
      </c>
      <c r="M423" s="11" t="n">
        <v>1</v>
      </c>
      <c r="N423" s="17" t="n"/>
      <c r="O423" s="17" t="n"/>
      <c r="P423" s="17" t="n"/>
      <c r="Q423" s="17" t="n"/>
      <c r="R423" s="17" t="n"/>
      <c r="S423" s="17" t="n"/>
      <c r="T423" s="17" t="n"/>
      <c r="U423" s="17" t="n"/>
      <c r="V423" s="17" t="n"/>
      <c r="W423" s="17" t="n"/>
      <c r="X423" s="17" t="n"/>
      <c r="Y423" s="17" t="n">
        <v>1</v>
      </c>
      <c r="Z423" s="13">
        <f>SUMPRODUCT(N423:Y423,$N$2:$Y$2)*$K423*$L423*$M423</f>
        <v/>
      </c>
      <c r="AA423" s="14">
        <f>SUM(N423:Y423)</f>
        <v/>
      </c>
      <c r="AB423" s="14">
        <f>IFERROR(IF(UPPER($E423)="L",SUMPRODUCT(N423:Y423,$N$3:$Y$3,$N$2:$Y$2),SUMPRODUCT(N423:Y423,$N$4:$Y$4,$N$2:$Y$2))/(Z423/($K423*$L423*$M423)),"")</f>
        <v/>
      </c>
      <c r="AC423" s="18" t="n"/>
    </row>
    <row r="424">
      <c r="A424" s="9" t="n">
        <v>702563</v>
      </c>
      <c r="B424" s="9" t="inlineStr">
        <is>
          <t>Mason Neville</t>
        </is>
      </c>
      <c r="C424" s="9" t="inlineStr">
        <is>
          <t>CIN</t>
        </is>
      </c>
      <c r="D424" s="9" t="n">
        <v>25</v>
      </c>
      <c r="E424" s="16" t="inlineStr">
        <is>
          <t>L</t>
        </is>
      </c>
      <c r="F424" s="16" t="n"/>
      <c r="G424" s="9" t="n">
        <v>27.69230769230769</v>
      </c>
      <c r="H424" s="9" t="n">
        <v>27.69230769230769</v>
      </c>
      <c r="I424" s="9" t="inlineStr">
        <is>
          <t>Depth (no MLB PA)</t>
        </is>
      </c>
      <c r="J424" s="16" t="inlineStr">
        <is>
          <t>Opening Day</t>
        </is>
      </c>
      <c r="K424" s="11">
        <f>IFERROR(INDEX(Roles!$B$17:$B$20,MATCH(J424,Roles!$A$17:$A$20,0)),1)</f>
        <v/>
      </c>
      <c r="L424" s="17" t="n">
        <v>1</v>
      </c>
      <c r="M424" s="11" t="n">
        <v>1</v>
      </c>
      <c r="N424" s="17" t="n"/>
      <c r="O424" s="17" t="n"/>
      <c r="P424" s="17" t="n"/>
      <c r="Q424" s="17" t="n"/>
      <c r="R424" s="17" t="n"/>
      <c r="S424" s="17" t="n"/>
      <c r="T424" s="17" t="n"/>
      <c r="U424" s="17" t="n"/>
      <c r="V424" s="17" t="n"/>
      <c r="W424" s="17" t="n"/>
      <c r="X424" s="17" t="n"/>
      <c r="Y424" s="17" t="n">
        <v>1</v>
      </c>
      <c r="Z424" s="13">
        <f>SUMPRODUCT(N424:Y424,$N$2:$Y$2)*$K424*$L424*$M424</f>
        <v/>
      </c>
      <c r="AA424" s="14">
        <f>SUM(N424:Y424)</f>
        <v/>
      </c>
      <c r="AB424" s="14">
        <f>IFERROR(IF(UPPER($E424)="L",SUMPRODUCT(N424:Y424,$N$3:$Y$3,$N$2:$Y$2),SUMPRODUCT(N424:Y424,$N$4:$Y$4,$N$2:$Y$2))/(Z424/($K424*$L424*$M424)),"")</f>
        <v/>
      </c>
      <c r="AC424" s="18" t="n"/>
    </row>
    <row r="425">
      <c r="A425" s="9" t="n">
        <v>834962</v>
      </c>
      <c r="B425" s="9" t="inlineStr">
        <is>
          <t>Anthony DePino</t>
        </is>
      </c>
      <c r="C425" s="9" t="inlineStr">
        <is>
          <t>CWS</t>
        </is>
      </c>
      <c r="D425" s="9" t="n">
        <v>25</v>
      </c>
      <c r="E425" s="16" t="inlineStr">
        <is>
          <t>R</t>
        </is>
      </c>
      <c r="F425" s="16" t="n"/>
      <c r="G425" s="9" t="n">
        <v>137.8461538461538</v>
      </c>
      <c r="H425" s="9" t="n">
        <v>137.8461538461538</v>
      </c>
      <c r="I425" s="9" t="inlineStr">
        <is>
          <t>Depth (no MLB PA)</t>
        </is>
      </c>
      <c r="J425" s="16" t="inlineStr">
        <is>
          <t>Opening Day</t>
        </is>
      </c>
      <c r="K425" s="11">
        <f>IFERROR(INDEX(Roles!$B$17:$B$20,MATCH(J425,Roles!$A$17:$A$20,0)),1)</f>
        <v/>
      </c>
      <c r="L425" s="17" t="n">
        <v>1</v>
      </c>
      <c r="M425" s="11" t="n">
        <v>1</v>
      </c>
      <c r="N425" s="17" t="n"/>
      <c r="O425" s="17" t="n"/>
      <c r="P425" s="17" t="n"/>
      <c r="Q425" s="17" t="n"/>
      <c r="R425" s="17" t="n"/>
      <c r="S425" s="17" t="n"/>
      <c r="T425" s="17" t="n"/>
      <c r="U425" s="17" t="n"/>
      <c r="V425" s="17" t="n"/>
      <c r="W425" s="17" t="n"/>
      <c r="X425" s="17" t="n"/>
      <c r="Y425" s="17" t="n">
        <v>1</v>
      </c>
      <c r="Z425" s="13">
        <f>SUMPRODUCT(N425:Y425,$N$2:$Y$2)*$K425*$L425*$M425</f>
        <v/>
      </c>
      <c r="AA425" s="14">
        <f>SUM(N425:Y425)</f>
        <v/>
      </c>
      <c r="AB425" s="14">
        <f>IFERROR(IF(UPPER($E425)="L",SUMPRODUCT(N425:Y425,$N$3:$Y$3,$N$2:$Y$2),SUMPRODUCT(N425:Y425,$N$4:$Y$4,$N$2:$Y$2))/(Z425/($K425*$L425*$M425)),"")</f>
        <v/>
      </c>
      <c r="AC425" s="18" t="n"/>
    </row>
    <row r="426">
      <c r="A426" s="9" t="n">
        <v>689200</v>
      </c>
      <c r="B426" s="9" t="inlineStr">
        <is>
          <t>Jacob Melton</t>
        </is>
      </c>
      <c r="C426" s="9" t="inlineStr">
        <is>
          <t>HOU</t>
        </is>
      </c>
      <c r="D426" s="9" t="n">
        <v>26</v>
      </c>
      <c r="E426" s="16" t="inlineStr">
        <is>
          <t>L</t>
        </is>
      </c>
      <c r="F426" s="16" t="inlineStr">
        <is>
          <t>CF</t>
        </is>
      </c>
      <c r="G426" s="9" t="n">
        <v>78</v>
      </c>
      <c r="H426" s="9" t="n">
        <v>78</v>
      </c>
      <c r="I426" s="9" t="inlineStr">
        <is>
          <t>Bench Bat</t>
        </is>
      </c>
      <c r="J426" s="16" t="inlineStr">
        <is>
          <t>Opening Day</t>
        </is>
      </c>
      <c r="K426" s="11">
        <f>IFERROR(INDEX(Roles!$B$17:$B$20,MATCH(J426,Roles!$A$17:$A$20,0)),1)</f>
        <v/>
      </c>
      <c r="L426" s="17" t="n">
        <v>1</v>
      </c>
      <c r="M426" s="11" t="n">
        <v>1</v>
      </c>
      <c r="N426" s="17" t="n"/>
      <c r="O426" s="17" t="n"/>
      <c r="P426" s="17" t="n"/>
      <c r="Q426" s="17" t="n"/>
      <c r="R426" s="17" t="n"/>
      <c r="S426" s="17" t="n"/>
      <c r="T426" s="17" t="n"/>
      <c r="U426" s="17" t="n"/>
      <c r="V426" s="17" t="n"/>
      <c r="W426" s="17" t="n">
        <v>0.85</v>
      </c>
      <c r="X426" s="17" t="n">
        <v>0.15</v>
      </c>
      <c r="Y426" s="17" t="n"/>
      <c r="Z426" s="13">
        <f>SUMPRODUCT(N426:Y426,$N$2:$Y$2)*$K426*$L426*$M426</f>
        <v/>
      </c>
      <c r="AA426" s="14">
        <f>SUM(N426:Y426)</f>
        <v/>
      </c>
      <c r="AB426" s="14">
        <f>IFERROR(IF(UPPER($E426)="L",SUMPRODUCT(N426:Y426,$N$3:$Y$3,$N$2:$Y$2),SUMPRODUCT(N426:Y426,$N$4:$Y$4,$N$2:$Y$2))/(Z426/($K426*$L426*$M426)),"")</f>
        <v/>
      </c>
      <c r="AC426" s="18" t="n"/>
    </row>
    <row r="427">
      <c r="A427" s="9" t="n">
        <v>676205</v>
      </c>
      <c r="B427" s="9" t="inlineStr">
        <is>
          <t>Tyler Hardman</t>
        </is>
      </c>
      <c r="C427" s="9" t="inlineStr">
        <is>
          <t>NYY</t>
        </is>
      </c>
      <c r="D427" s="9" t="n">
        <v>25</v>
      </c>
      <c r="E427" s="16" t="inlineStr">
        <is>
          <t>R</t>
        </is>
      </c>
      <c r="F427" s="16" t="n"/>
      <c r="G427" s="9" t="n">
        <v>201.948717948718</v>
      </c>
      <c r="H427" s="9" t="n">
        <v>201.948717948718</v>
      </c>
      <c r="I427" s="9" t="inlineStr">
        <is>
          <t>Depth (no MLB PA)</t>
        </is>
      </c>
      <c r="J427" s="16" t="inlineStr">
        <is>
          <t>Opening Day</t>
        </is>
      </c>
      <c r="K427" s="11">
        <f>IFERROR(INDEX(Roles!$B$17:$B$20,MATCH(J427,Roles!$A$17:$A$20,0)),1)</f>
        <v/>
      </c>
      <c r="L427" s="17" t="n">
        <v>1</v>
      </c>
      <c r="M427" s="11" t="n">
        <v>1</v>
      </c>
      <c r="N427" s="17" t="n"/>
      <c r="O427" s="17" t="n"/>
      <c r="P427" s="17" t="n"/>
      <c r="Q427" s="17" t="n"/>
      <c r="R427" s="17" t="n"/>
      <c r="S427" s="17" t="n"/>
      <c r="T427" s="17" t="n"/>
      <c r="U427" s="17" t="n"/>
      <c r="V427" s="17" t="n"/>
      <c r="W427" s="17" t="n"/>
      <c r="X427" s="17" t="n"/>
      <c r="Y427" s="17" t="n">
        <v>1</v>
      </c>
      <c r="Z427" s="13">
        <f>SUMPRODUCT(N427:Y427,$N$2:$Y$2)*$K427*$L427*$M427</f>
        <v/>
      </c>
      <c r="AA427" s="14">
        <f>SUM(N427:Y427)</f>
        <v/>
      </c>
      <c r="AB427" s="14">
        <f>IFERROR(IF(UPPER($E427)="L",SUMPRODUCT(N427:Y427,$N$3:$Y$3,$N$2:$Y$2),SUMPRODUCT(N427:Y427,$N$4:$Y$4,$N$2:$Y$2))/(Z427/($K427*$L427*$M427)),"")</f>
        <v/>
      </c>
      <c r="AC427" s="18" t="n"/>
    </row>
    <row r="428">
      <c r="A428" s="9" t="n">
        <v>802991</v>
      </c>
      <c r="B428" s="9" t="inlineStr">
        <is>
          <t>E.J. Exposito</t>
        </is>
      </c>
      <c r="C428" s="9" t="inlineStr">
        <is>
          <t>DET</t>
        </is>
      </c>
      <c r="D428" s="9" t="n">
        <v>25</v>
      </c>
      <c r="E428" s="16" t="inlineStr">
        <is>
          <t>R</t>
        </is>
      </c>
      <c r="F428" s="16" t="n"/>
      <c r="G428" s="9" t="n">
        <v>169.7948717948718</v>
      </c>
      <c r="H428" s="9" t="n">
        <v>169.7948717948718</v>
      </c>
      <c r="I428" s="9" t="inlineStr">
        <is>
          <t>Depth (no MLB PA)</t>
        </is>
      </c>
      <c r="J428" s="16" t="inlineStr">
        <is>
          <t>Opening Day</t>
        </is>
      </c>
      <c r="K428" s="11">
        <f>IFERROR(INDEX(Roles!$B$17:$B$20,MATCH(J428,Roles!$A$17:$A$20,0)),1)</f>
        <v/>
      </c>
      <c r="L428" s="17" t="n">
        <v>1</v>
      </c>
      <c r="M428" s="11" t="n">
        <v>1</v>
      </c>
      <c r="N428" s="17" t="n"/>
      <c r="O428" s="17" t="n"/>
      <c r="P428" s="17" t="n"/>
      <c r="Q428" s="17" t="n"/>
      <c r="R428" s="17" t="n"/>
      <c r="S428" s="17" t="n"/>
      <c r="T428" s="17" t="n"/>
      <c r="U428" s="17" t="n"/>
      <c r="V428" s="17" t="n"/>
      <c r="W428" s="17" t="n"/>
      <c r="X428" s="17" t="n"/>
      <c r="Y428" s="17" t="n">
        <v>1</v>
      </c>
      <c r="Z428" s="13">
        <f>SUMPRODUCT(N428:Y428,$N$2:$Y$2)*$K428*$L428*$M428</f>
        <v/>
      </c>
      <c r="AA428" s="14">
        <f>SUM(N428:Y428)</f>
        <v/>
      </c>
      <c r="AB428" s="14">
        <f>IFERROR(IF(UPPER($E428)="L",SUMPRODUCT(N428:Y428,$N$3:$Y$3,$N$2:$Y$2),SUMPRODUCT(N428:Y428,$N$4:$Y$4,$N$2:$Y$2))/(Z428/($K428*$L428*$M428)),"")</f>
        <v/>
      </c>
      <c r="AC428" s="18" t="n"/>
    </row>
    <row r="429">
      <c r="A429" s="9" t="n">
        <v>676116</v>
      </c>
      <c r="B429" s="9" t="inlineStr">
        <is>
          <t>Ryan Noda</t>
        </is>
      </c>
      <c r="C429" s="9" t="inlineStr">
        <is>
          <t>BAL</t>
        </is>
      </c>
      <c r="D429" s="9" t="n">
        <v>31</v>
      </c>
      <c r="E429" s="16" t="inlineStr">
        <is>
          <t>L</t>
        </is>
      </c>
      <c r="F429" s="16" t="inlineStr">
        <is>
          <t>1B</t>
        </is>
      </c>
      <c r="G429" s="9" t="n">
        <v>59</v>
      </c>
      <c r="H429" s="9" t="n">
        <v>665</v>
      </c>
      <c r="I429" s="9" t="inlineStr">
        <is>
          <t>Bench Bat</t>
        </is>
      </c>
      <c r="J429" s="16" t="inlineStr">
        <is>
          <t>Opening Day</t>
        </is>
      </c>
      <c r="K429" s="11">
        <f>IFERROR(INDEX(Roles!$B$17:$B$20,MATCH(J429,Roles!$A$17:$A$20,0)),1)</f>
        <v/>
      </c>
      <c r="L429" s="17" t="n">
        <v>1</v>
      </c>
      <c r="M429" s="11" t="n">
        <v>1</v>
      </c>
      <c r="N429" s="17" t="n"/>
      <c r="O429" s="17" t="n"/>
      <c r="P429" s="17" t="n"/>
      <c r="Q429" s="17" t="n"/>
      <c r="R429" s="17" t="n"/>
      <c r="S429" s="17" t="n"/>
      <c r="T429" s="17" t="n"/>
      <c r="U429" s="17" t="n"/>
      <c r="V429" s="17" t="n"/>
      <c r="W429" s="17" t="n">
        <v>1</v>
      </c>
      <c r="X429" s="17" t="n"/>
      <c r="Y429" s="17" t="n"/>
      <c r="Z429" s="13">
        <f>SUMPRODUCT(N429:Y429,$N$2:$Y$2)*$K429*$L429*$M429</f>
        <v/>
      </c>
      <c r="AA429" s="14">
        <f>SUM(N429:Y429)</f>
        <v/>
      </c>
      <c r="AB429" s="14">
        <f>IFERROR(IF(UPPER($E429)="L",SUMPRODUCT(N429:Y429,$N$3:$Y$3,$N$2:$Y$2),SUMPRODUCT(N429:Y429,$N$4:$Y$4,$N$2:$Y$2))/(Z429/($K429*$L429*$M429)),"")</f>
        <v/>
      </c>
      <c r="AC429" s="18" t="n"/>
    </row>
    <row r="430">
      <c r="A430" s="9" t="n">
        <v>696513</v>
      </c>
      <c r="B430" s="9" t="inlineStr">
        <is>
          <t>Andy Garriola</t>
        </is>
      </c>
      <c r="C430" s="9" t="inlineStr">
        <is>
          <t>CHC</t>
        </is>
      </c>
      <c r="D430" s="9" t="n">
        <v>25</v>
      </c>
      <c r="E430" s="16" t="inlineStr">
        <is>
          <t>R</t>
        </is>
      </c>
      <c r="F430" s="16" t="n"/>
      <c r="G430" s="9" t="n">
        <v>163.3333333333333</v>
      </c>
      <c r="H430" s="9" t="n">
        <v>163.3333333333333</v>
      </c>
      <c r="I430" s="9" t="inlineStr">
        <is>
          <t>Depth (no MLB PA)</t>
        </is>
      </c>
      <c r="J430" s="16" t="inlineStr">
        <is>
          <t>Opening Day</t>
        </is>
      </c>
      <c r="K430" s="11">
        <f>IFERROR(INDEX(Roles!$B$17:$B$20,MATCH(J430,Roles!$A$17:$A$20,0)),1)</f>
        <v/>
      </c>
      <c r="L430" s="17" t="n">
        <v>1</v>
      </c>
      <c r="M430" s="11" t="n">
        <v>1</v>
      </c>
      <c r="N430" s="17" t="n"/>
      <c r="O430" s="17" t="n"/>
      <c r="P430" s="17" t="n"/>
      <c r="Q430" s="17" t="n"/>
      <c r="R430" s="17" t="n"/>
      <c r="S430" s="17" t="n"/>
      <c r="T430" s="17" t="n"/>
      <c r="U430" s="17" t="n"/>
      <c r="V430" s="17" t="n"/>
      <c r="W430" s="17" t="n"/>
      <c r="X430" s="17" t="n"/>
      <c r="Y430" s="17" t="n">
        <v>1</v>
      </c>
      <c r="Z430" s="13">
        <f>SUMPRODUCT(N430:Y430,$N$2:$Y$2)*$K430*$L430*$M430</f>
        <v/>
      </c>
      <c r="AA430" s="14">
        <f>SUM(N430:Y430)</f>
        <v/>
      </c>
      <c r="AB430" s="14">
        <f>IFERROR(IF(UPPER($E430)="L",SUMPRODUCT(N430:Y430,$N$3:$Y$3,$N$2:$Y$2),SUMPRODUCT(N430:Y430,$N$4:$Y$4,$N$2:$Y$2))/(Z430/($K430*$L430*$M430)),"")</f>
        <v/>
      </c>
      <c r="AC430" s="18" t="n"/>
    </row>
    <row r="431">
      <c r="A431" s="9" t="n">
        <v>543760</v>
      </c>
      <c r="B431" s="9" t="inlineStr">
        <is>
          <t>Marcus Semien</t>
        </is>
      </c>
      <c r="C431" s="9" t="inlineStr">
        <is>
          <t>NYM</t>
        </is>
      </c>
      <c r="D431" s="9" t="n">
        <v>36</v>
      </c>
      <c r="E431" s="16" t="inlineStr">
        <is>
          <t>R</t>
        </is>
      </c>
      <c r="F431" s="16" t="inlineStr">
        <is>
          <t>2B</t>
        </is>
      </c>
      <c r="G431" s="9" t="n">
        <v>547</v>
      </c>
      <c r="H431" s="9" t="n">
        <v>3276</v>
      </c>
      <c r="I431" s="9" t="inlineStr">
        <is>
          <t>Full Time</t>
        </is>
      </c>
      <c r="J431" s="16" t="inlineStr">
        <is>
          <t>Opening Day</t>
        </is>
      </c>
      <c r="K431" s="11">
        <f>IFERROR(INDEX(Roles!$B$17:$B$20,MATCH(J431,Roles!$A$17:$A$20,0)),1)</f>
        <v/>
      </c>
      <c r="L431" s="17" t="n">
        <v>1</v>
      </c>
      <c r="M431" s="11" t="n">
        <v>1.080894771453726</v>
      </c>
      <c r="N431" s="17" t="n">
        <v>1</v>
      </c>
      <c r="O431" s="17" t="n"/>
      <c r="P431" s="17" t="n"/>
      <c r="Q431" s="17" t="n"/>
      <c r="R431" s="17" t="n"/>
      <c r="S431" s="17" t="n"/>
      <c r="T431" s="17" t="n"/>
      <c r="U431" s="17" t="n"/>
      <c r="V431" s="17" t="n"/>
      <c r="W431" s="17" t="n"/>
      <c r="X431" s="17" t="n"/>
      <c r="Y431" s="17" t="n"/>
      <c r="Z431" s="13">
        <f>SUMPRODUCT(N431:Y431,$N$2:$Y$2)*$K431*$L431*$M431</f>
        <v/>
      </c>
      <c r="AA431" s="14">
        <f>SUM(N431:Y431)</f>
        <v/>
      </c>
      <c r="AB431" s="14">
        <f>IFERROR(IF(UPPER($E431)="L",SUMPRODUCT(N431:Y431,$N$3:$Y$3,$N$2:$Y$2),SUMPRODUCT(N431:Y431,$N$4:$Y$4,$N$2:$Y$2))/(Z431/($K431*$L431*$M431)),"")</f>
        <v/>
      </c>
      <c r="AC431" s="18" t="n"/>
    </row>
    <row r="432">
      <c r="A432" s="9" t="n">
        <v>701689</v>
      </c>
      <c r="B432" s="9" t="inlineStr">
        <is>
          <t>Vance Honeycutt</t>
        </is>
      </c>
      <c r="C432" s="9" t="inlineStr">
        <is>
          <t>BAL</t>
        </is>
      </c>
      <c r="D432" s="9" t="n">
        <v>25</v>
      </c>
      <c r="E432" s="16" t="inlineStr">
        <is>
          <t>R</t>
        </is>
      </c>
      <c r="F432" s="16" t="n"/>
      <c r="G432" s="9" t="n">
        <v>29.43589743589743</v>
      </c>
      <c r="H432" s="9" t="n">
        <v>29.43589743589743</v>
      </c>
      <c r="I432" s="9" t="inlineStr">
        <is>
          <t>Depth (no MLB PA)</t>
        </is>
      </c>
      <c r="J432" s="16" t="inlineStr">
        <is>
          <t>Opening Day</t>
        </is>
      </c>
      <c r="K432" s="11">
        <f>IFERROR(INDEX(Roles!$B$17:$B$20,MATCH(J432,Roles!$A$17:$A$20,0)),1)</f>
        <v/>
      </c>
      <c r="L432" s="17" t="n">
        <v>1</v>
      </c>
      <c r="M432" s="11" t="n">
        <v>1</v>
      </c>
      <c r="N432" s="17" t="n"/>
      <c r="O432" s="17" t="n"/>
      <c r="P432" s="17" t="n"/>
      <c r="Q432" s="17" t="n"/>
      <c r="R432" s="17" t="n"/>
      <c r="S432" s="17" t="n"/>
      <c r="T432" s="17" t="n"/>
      <c r="U432" s="17" t="n"/>
      <c r="V432" s="17" t="n"/>
      <c r="W432" s="17" t="n"/>
      <c r="X432" s="17" t="n"/>
      <c r="Y432" s="17" t="n">
        <v>1</v>
      </c>
      <c r="Z432" s="13">
        <f>SUMPRODUCT(N432:Y432,$N$2:$Y$2)*$K432*$L432*$M432</f>
        <v/>
      </c>
      <c r="AA432" s="14">
        <f>SUM(N432:Y432)</f>
        <v/>
      </c>
      <c r="AB432" s="14">
        <f>IFERROR(IF(UPPER($E432)="L",SUMPRODUCT(N432:Y432,$N$3:$Y$3,$N$2:$Y$2),SUMPRODUCT(N432:Y432,$N$4:$Y$4,$N$2:$Y$2))/(Z432/($K432*$L432*$M432)),"")</f>
        <v/>
      </c>
      <c r="AC432" s="18" t="n"/>
    </row>
    <row r="433">
      <c r="A433" s="9" t="n">
        <v>624523</v>
      </c>
      <c r="B433" s="9" t="inlineStr">
        <is>
          <t>Riley Unroe</t>
        </is>
      </c>
      <c r="C433" s="9" t="inlineStr">
        <is>
          <t>CWS</t>
        </is>
      </c>
      <c r="D433" s="9" t="n">
        <v>25</v>
      </c>
      <c r="E433" s="16" t="inlineStr">
        <is>
          <t>S</t>
        </is>
      </c>
      <c r="F433" s="16" t="n"/>
      <c r="G433" s="9" t="n">
        <v>186.7179487179488</v>
      </c>
      <c r="H433" s="9" t="n">
        <v>186.7179487179488</v>
      </c>
      <c r="I433" s="9" t="inlineStr">
        <is>
          <t>Depth (no MLB PA)</t>
        </is>
      </c>
      <c r="J433" s="16" t="inlineStr">
        <is>
          <t>Opening Day</t>
        </is>
      </c>
      <c r="K433" s="11">
        <f>IFERROR(INDEX(Roles!$B$17:$B$20,MATCH(J433,Roles!$A$17:$A$20,0)),1)</f>
        <v/>
      </c>
      <c r="L433" s="17" t="n">
        <v>1</v>
      </c>
      <c r="M433" s="11" t="n">
        <v>1</v>
      </c>
      <c r="N433" s="17" t="n"/>
      <c r="O433" s="17" t="n"/>
      <c r="P433" s="17" t="n"/>
      <c r="Q433" s="17" t="n"/>
      <c r="R433" s="17" t="n"/>
      <c r="S433" s="17" t="n"/>
      <c r="T433" s="17" t="n"/>
      <c r="U433" s="17" t="n"/>
      <c r="V433" s="17" t="n"/>
      <c r="W433" s="17" t="n"/>
      <c r="X433" s="17" t="n"/>
      <c r="Y433" s="17" t="n">
        <v>1</v>
      </c>
      <c r="Z433" s="13">
        <f>SUMPRODUCT(N433:Y433,$N$2:$Y$2)*$K433*$L433*$M433</f>
        <v/>
      </c>
      <c r="AA433" s="14">
        <f>SUM(N433:Y433)</f>
        <v/>
      </c>
      <c r="AB433" s="14">
        <f>IFERROR(IF(UPPER($E433)="L",SUMPRODUCT(N433:Y433,$N$3:$Y$3,$N$2:$Y$2),SUMPRODUCT(N433:Y433,$N$4:$Y$4,$N$2:$Y$2))/(Z433/($K433*$L433*$M433)),"")</f>
        <v/>
      </c>
      <c r="AC433" s="18" t="n"/>
    </row>
    <row r="434">
      <c r="A434" s="9" t="n">
        <v>815044</v>
      </c>
      <c r="B434" s="9" t="inlineStr">
        <is>
          <t>Sam Mongelli</t>
        </is>
      </c>
      <c r="C434" s="9" t="inlineStr">
        <is>
          <t>LAD</t>
        </is>
      </c>
      <c r="D434" s="9" t="n">
        <v>25</v>
      </c>
      <c r="E434" s="16" t="inlineStr">
        <is>
          <t>R</t>
        </is>
      </c>
      <c r="F434" s="16" t="n"/>
      <c r="G434" s="9" t="n">
        <v>14</v>
      </c>
      <c r="H434" s="9" t="n">
        <v>14</v>
      </c>
      <c r="I434" s="9" t="inlineStr">
        <is>
          <t>Depth (no MLB PA)</t>
        </is>
      </c>
      <c r="J434" s="16" t="inlineStr">
        <is>
          <t>Opening Day</t>
        </is>
      </c>
      <c r="K434" s="11">
        <f>IFERROR(INDEX(Roles!$B$17:$B$20,MATCH(J434,Roles!$A$17:$A$20,0)),1)</f>
        <v/>
      </c>
      <c r="L434" s="17" t="n">
        <v>1</v>
      </c>
      <c r="M434" s="11" t="n">
        <v>1</v>
      </c>
      <c r="N434" s="17" t="n"/>
      <c r="O434" s="17" t="n"/>
      <c r="P434" s="17" t="n"/>
      <c r="Q434" s="17" t="n"/>
      <c r="R434" s="17" t="n"/>
      <c r="S434" s="17" t="n"/>
      <c r="T434" s="17" t="n"/>
      <c r="U434" s="17" t="n"/>
      <c r="V434" s="17" t="n"/>
      <c r="W434" s="17" t="n"/>
      <c r="X434" s="17" t="n"/>
      <c r="Y434" s="17" t="n">
        <v>1</v>
      </c>
      <c r="Z434" s="13">
        <f>SUMPRODUCT(N434:Y434,$N$2:$Y$2)*$K434*$L434*$M434</f>
        <v/>
      </c>
      <c r="AA434" s="14">
        <f>SUM(N434:Y434)</f>
        <v/>
      </c>
      <c r="AB434" s="14">
        <f>IFERROR(IF(UPPER($E434)="L",SUMPRODUCT(N434:Y434,$N$3:$Y$3,$N$2:$Y$2),SUMPRODUCT(N434:Y434,$N$4:$Y$4,$N$2:$Y$2))/(Z434/($K434*$L434*$M434)),"")</f>
        <v/>
      </c>
      <c r="AC434" s="18" t="n"/>
    </row>
    <row r="435">
      <c r="A435" s="9" t="n">
        <v>624641</v>
      </c>
      <c r="B435" s="9" t="inlineStr">
        <is>
          <t>Edmundo Sosa</t>
        </is>
      </c>
      <c r="C435" s="9" t="inlineStr">
        <is>
          <t>PHI</t>
        </is>
      </c>
      <c r="D435" s="9" t="n">
        <v>31</v>
      </c>
      <c r="E435" s="16" t="inlineStr">
        <is>
          <t>R</t>
        </is>
      </c>
      <c r="F435" s="16" t="inlineStr">
        <is>
          <t>LF</t>
        </is>
      </c>
      <c r="G435" s="9" t="n">
        <v>250</v>
      </c>
      <c r="H435" s="9" t="n">
        <v>1275</v>
      </c>
      <c r="I435" s="9" t="inlineStr">
        <is>
          <t>Full Time</t>
        </is>
      </c>
      <c r="J435" s="16" t="inlineStr">
        <is>
          <t>Opening Day</t>
        </is>
      </c>
      <c r="K435" s="11">
        <f>IFERROR(INDEX(Roles!$B$17:$B$20,MATCH(J435,Roles!$A$17:$A$20,0)),1)</f>
        <v/>
      </c>
      <c r="L435" s="17" t="n">
        <v>1</v>
      </c>
      <c r="M435" s="11" t="n">
        <v>1</v>
      </c>
      <c r="N435" s="17" t="n">
        <v>0.6</v>
      </c>
      <c r="O435" s="17" t="n"/>
      <c r="P435" s="17" t="n"/>
      <c r="Q435" s="17" t="n"/>
      <c r="R435" s="17" t="n"/>
      <c r="S435" s="17" t="n"/>
      <c r="T435" s="17" t="n"/>
      <c r="U435" s="17" t="n"/>
      <c r="V435" s="17" t="n">
        <v>0.4</v>
      </c>
      <c r="W435" s="17" t="n"/>
      <c r="X435" s="17" t="n"/>
      <c r="Y435" s="17" t="n"/>
      <c r="Z435" s="13">
        <f>SUMPRODUCT(N435:Y435,$N$2:$Y$2)*$K435*$L435*$M435</f>
        <v/>
      </c>
      <c r="AA435" s="14">
        <f>SUM(N435:Y435)</f>
        <v/>
      </c>
      <c r="AB435" s="14">
        <f>IFERROR(IF(UPPER($E435)="L",SUMPRODUCT(N435:Y435,$N$3:$Y$3,$N$2:$Y$2),SUMPRODUCT(N435:Y435,$N$4:$Y$4,$N$2:$Y$2))/(Z435/($K435*$L435*$M435)),"")</f>
        <v/>
      </c>
      <c r="AC435" s="18" t="n"/>
    </row>
    <row r="436">
      <c r="A436" s="9" t="n">
        <v>822578</v>
      </c>
      <c r="B436" s="9" t="inlineStr">
        <is>
          <t>Brandon Butterworth</t>
        </is>
      </c>
      <c r="C436" s="9" t="inlineStr">
        <is>
          <t>BAL</t>
        </is>
      </c>
      <c r="D436" s="9" t="n">
        <v>25</v>
      </c>
      <c r="E436" s="16" t="inlineStr">
        <is>
          <t>R</t>
        </is>
      </c>
      <c r="F436" s="16" t="n"/>
      <c r="G436" s="9" t="n">
        <v>60.92307692307693</v>
      </c>
      <c r="H436" s="9" t="n">
        <v>60.92307692307693</v>
      </c>
      <c r="I436" s="9" t="inlineStr">
        <is>
          <t>Depth (no MLB PA)</t>
        </is>
      </c>
      <c r="J436" s="16" t="inlineStr">
        <is>
          <t>Opening Day</t>
        </is>
      </c>
      <c r="K436" s="11">
        <f>IFERROR(INDEX(Roles!$B$17:$B$20,MATCH(J436,Roles!$A$17:$A$20,0)),1)</f>
        <v/>
      </c>
      <c r="L436" s="17" t="n">
        <v>1</v>
      </c>
      <c r="M436" s="11" t="n">
        <v>1</v>
      </c>
      <c r="N436" s="17" t="n"/>
      <c r="O436" s="17" t="n"/>
      <c r="P436" s="17" t="n"/>
      <c r="Q436" s="17" t="n"/>
      <c r="R436" s="17" t="n"/>
      <c r="S436" s="17" t="n"/>
      <c r="T436" s="17" t="n"/>
      <c r="U436" s="17" t="n"/>
      <c r="V436" s="17" t="n"/>
      <c r="W436" s="17" t="n"/>
      <c r="X436" s="17" t="n"/>
      <c r="Y436" s="17" t="n">
        <v>1</v>
      </c>
      <c r="Z436" s="13">
        <f>SUMPRODUCT(N436:Y436,$N$2:$Y$2)*$K436*$L436*$M436</f>
        <v/>
      </c>
      <c r="AA436" s="14">
        <f>SUM(N436:Y436)</f>
        <v/>
      </c>
      <c r="AB436" s="14">
        <f>IFERROR(IF(UPPER($E436)="L",SUMPRODUCT(N436:Y436,$N$3:$Y$3,$N$2:$Y$2),SUMPRODUCT(N436:Y436,$N$4:$Y$4,$N$2:$Y$2))/(Z436/($K436*$L436*$M436)),"")</f>
        <v/>
      </c>
      <c r="AC436" s="18" t="n"/>
    </row>
    <row r="437">
      <c r="A437" s="9" t="n">
        <v>689134</v>
      </c>
      <c r="B437" s="9" t="inlineStr">
        <is>
          <t>Wyatt Hendrie</t>
        </is>
      </c>
      <c r="C437" s="9" t="inlineStr">
        <is>
          <t>PIT</t>
        </is>
      </c>
      <c r="D437" s="9" t="n">
        <v>25</v>
      </c>
      <c r="E437" s="16" t="inlineStr">
        <is>
          <t>R</t>
        </is>
      </c>
      <c r="F437" s="16" t="n"/>
      <c r="G437" s="9" t="n">
        <v>4.512820512820514</v>
      </c>
      <c r="H437" s="9" t="n">
        <v>4.512820512820514</v>
      </c>
      <c r="I437" s="9" t="inlineStr">
        <is>
          <t>Depth (no MLB PA)</t>
        </is>
      </c>
      <c r="J437" s="16" t="inlineStr">
        <is>
          <t>Opening Day</t>
        </is>
      </c>
      <c r="K437" s="11">
        <f>IFERROR(INDEX(Roles!$B$17:$B$20,MATCH(J437,Roles!$A$17:$A$20,0)),1)</f>
        <v/>
      </c>
      <c r="L437" s="17" t="n">
        <v>1</v>
      </c>
      <c r="M437" s="11" t="n">
        <v>1</v>
      </c>
      <c r="N437" s="17" t="n"/>
      <c r="O437" s="17" t="n"/>
      <c r="P437" s="17" t="n"/>
      <c r="Q437" s="17" t="n"/>
      <c r="R437" s="17" t="n"/>
      <c r="S437" s="17" t="n"/>
      <c r="T437" s="17" t="n"/>
      <c r="U437" s="17" t="n"/>
      <c r="V437" s="17" t="n"/>
      <c r="W437" s="17" t="n"/>
      <c r="X437" s="17" t="n"/>
      <c r="Y437" s="17" t="n">
        <v>1</v>
      </c>
      <c r="Z437" s="13">
        <f>SUMPRODUCT(N437:Y437,$N$2:$Y$2)*$K437*$L437*$M437</f>
        <v/>
      </c>
      <c r="AA437" s="14">
        <f>SUM(N437:Y437)</f>
        <v/>
      </c>
      <c r="AB437" s="14">
        <f>IFERROR(IF(UPPER($E437)="L",SUMPRODUCT(N437:Y437,$N$3:$Y$3,$N$2:$Y$2),SUMPRODUCT(N437:Y437,$N$4:$Y$4,$N$2:$Y$2))/(Z437/($K437*$L437*$M437)),"")</f>
        <v/>
      </c>
      <c r="AC437" s="18" t="n"/>
    </row>
    <row r="438">
      <c r="A438" s="9" t="n">
        <v>807311</v>
      </c>
      <c r="B438" s="9" t="inlineStr">
        <is>
          <t>Justin Lebron</t>
        </is>
      </c>
      <c r="C438" s="9" t="inlineStr">
        <is>
          <t>CIN</t>
        </is>
      </c>
      <c r="D438" s="9" t="n">
        <v>23</v>
      </c>
      <c r="E438" s="16" t="inlineStr">
        <is>
          <t>R</t>
        </is>
      </c>
      <c r="F438" s="16" t="n"/>
      <c r="G438" s="9" t="n">
        <v>21.33333333333334</v>
      </c>
      <c r="H438" s="9" t="n">
        <v>21.33333333333334</v>
      </c>
      <c r="I438" s="9" t="inlineStr">
        <is>
          <t>Depth (no MLB PA)</t>
        </is>
      </c>
      <c r="J438" s="16" t="inlineStr">
        <is>
          <t>Opening Day</t>
        </is>
      </c>
      <c r="K438" s="11">
        <f>IFERROR(INDEX(Roles!$B$17:$B$20,MATCH(J438,Roles!$A$17:$A$20,0)),1)</f>
        <v/>
      </c>
      <c r="L438" s="17" t="n">
        <v>1</v>
      </c>
      <c r="M438" s="11" t="n">
        <v>1</v>
      </c>
      <c r="N438" s="17" t="n"/>
      <c r="O438" s="17" t="n"/>
      <c r="P438" s="17" t="n"/>
      <c r="Q438" s="17" t="n"/>
      <c r="R438" s="17" t="n"/>
      <c r="S438" s="17" t="n"/>
      <c r="T438" s="17" t="n"/>
      <c r="U438" s="17" t="n"/>
      <c r="V438" s="17" t="n"/>
      <c r="W438" s="17" t="n"/>
      <c r="X438" s="17" t="n"/>
      <c r="Y438" s="17" t="n">
        <v>1</v>
      </c>
      <c r="Z438" s="13">
        <f>SUMPRODUCT(N438:Y438,$N$2:$Y$2)*$K438*$L438*$M438</f>
        <v/>
      </c>
      <c r="AA438" s="14">
        <f>SUM(N438:Y438)</f>
        <v/>
      </c>
      <c r="AB438" s="14">
        <f>IFERROR(IF(UPPER($E438)="L",SUMPRODUCT(N438:Y438,$N$3:$Y$3,$N$2:$Y$2),SUMPRODUCT(N438:Y438,$N$4:$Y$4,$N$2:$Y$2))/(Z438/($K438*$L438*$M438)),"")</f>
        <v/>
      </c>
      <c r="AC438" s="18" t="n"/>
    </row>
    <row r="439">
      <c r="A439" s="9" t="n">
        <v>805207</v>
      </c>
      <c r="B439" s="9" t="inlineStr">
        <is>
          <t>Caden Bodine</t>
        </is>
      </c>
      <c r="C439" s="9" t="inlineStr">
        <is>
          <t>TB</t>
        </is>
      </c>
      <c r="D439" s="9" t="n">
        <v>24</v>
      </c>
      <c r="E439" s="16" t="inlineStr">
        <is>
          <t>S</t>
        </is>
      </c>
      <c r="F439" s="16" t="n"/>
      <c r="G439" s="9" t="n">
        <v>33.28205128205128</v>
      </c>
      <c r="H439" s="9" t="n">
        <v>33.28205128205128</v>
      </c>
      <c r="I439" s="9" t="inlineStr">
        <is>
          <t>Bench Bat</t>
        </is>
      </c>
      <c r="J439" s="16" t="inlineStr">
        <is>
          <t>Mid Season (~July)</t>
        </is>
      </c>
      <c r="K439" s="11">
        <f>IFERROR(INDEX(Roles!$B$17:$B$20,MATCH(J439,Roles!$A$17:$A$20,0)),1)</f>
        <v/>
      </c>
      <c r="L439" s="17" t="n">
        <v>1</v>
      </c>
      <c r="M439" s="11" t="n">
        <v>1</v>
      </c>
      <c r="N439" s="17" t="n"/>
      <c r="O439" s="17" t="n"/>
      <c r="P439" s="17" t="n">
        <v>0.35</v>
      </c>
      <c r="Q439" s="17" t="n"/>
      <c r="R439" s="17" t="n"/>
      <c r="S439" s="17" t="n"/>
      <c r="T439" s="17" t="n"/>
      <c r="U439" s="17" t="n"/>
      <c r="V439" s="17" t="n"/>
      <c r="W439" s="17" t="n">
        <v>0.45</v>
      </c>
      <c r="X439" s="17" t="n">
        <v>0.2</v>
      </c>
      <c r="Y439" s="17" t="n"/>
      <c r="Z439" s="13">
        <f>SUMPRODUCT(N439:Y439,$N$2:$Y$2)*$K439*$L439*$M439</f>
        <v/>
      </c>
      <c r="AA439" s="14">
        <f>SUM(N439:Y439)</f>
        <v/>
      </c>
      <c r="AB439" s="14">
        <f>IFERROR(IF(UPPER($E439)="L",SUMPRODUCT(N439:Y439,$N$3:$Y$3,$N$2:$Y$2),SUMPRODUCT(N439:Y439,$N$4:$Y$4,$N$2:$Y$2))/(Z439/($K439*$L439*$M439)),"")</f>
        <v/>
      </c>
      <c r="AC439" s="18" t="n"/>
    </row>
    <row r="440">
      <c r="A440" s="9" t="n">
        <v>681584</v>
      </c>
      <c r="B440" s="9" t="inlineStr">
        <is>
          <t>David Villar</t>
        </is>
      </c>
      <c r="C440" s="9" t="inlineStr">
        <is>
          <t>SF</t>
        </is>
      </c>
      <c r="D440" s="9" t="n">
        <v>30</v>
      </c>
      <c r="E440" s="16" t="inlineStr">
        <is>
          <t>R</t>
        </is>
      </c>
      <c r="F440" s="16" t="inlineStr">
        <is>
          <t>1B</t>
        </is>
      </c>
      <c r="G440" s="9" t="n">
        <v>25</v>
      </c>
      <c r="H440" s="9" t="n">
        <v>383</v>
      </c>
      <c r="I440" s="9" t="inlineStr">
        <is>
          <t>Bench Bat</t>
        </is>
      </c>
      <c r="J440" s="16" t="inlineStr">
        <is>
          <t>Opening Day</t>
        </is>
      </c>
      <c r="K440" s="11">
        <f>IFERROR(INDEX(Roles!$B$17:$B$20,MATCH(J440,Roles!$A$17:$A$20,0)),1)</f>
        <v/>
      </c>
      <c r="L440" s="17" t="n">
        <v>1</v>
      </c>
      <c r="M440" s="11" t="n">
        <v>1</v>
      </c>
      <c r="N440" s="17" t="n"/>
      <c r="O440" s="17" t="n"/>
      <c r="P440" s="17" t="n"/>
      <c r="Q440" s="17" t="n"/>
      <c r="R440" s="17" t="n"/>
      <c r="S440" s="17" t="n"/>
      <c r="T440" s="17" t="n"/>
      <c r="U440" s="17" t="n"/>
      <c r="V440" s="17" t="n"/>
      <c r="W440" s="17" t="n">
        <v>1</v>
      </c>
      <c r="X440" s="17" t="n"/>
      <c r="Y440" s="17" t="n"/>
      <c r="Z440" s="13">
        <f>SUMPRODUCT(N440:Y440,$N$2:$Y$2)*$K440*$L440*$M440</f>
        <v/>
      </c>
      <c r="AA440" s="14">
        <f>SUM(N440:Y440)</f>
        <v/>
      </c>
      <c r="AB440" s="14">
        <f>IFERROR(IF(UPPER($E440)="L",SUMPRODUCT(N440:Y440,$N$3:$Y$3,$N$2:$Y$2),SUMPRODUCT(N440:Y440,$N$4:$Y$4,$N$2:$Y$2))/(Z440/($K440*$L440*$M440)),"")</f>
        <v/>
      </c>
      <c r="AC440" s="18" t="n"/>
    </row>
    <row r="441">
      <c r="A441" s="9" t="n">
        <v>669261</v>
      </c>
      <c r="B441" s="9" t="inlineStr">
        <is>
          <t>Jack Suwinski</t>
        </is>
      </c>
      <c r="C441" s="9" t="inlineStr">
        <is>
          <t>PIT</t>
        </is>
      </c>
      <c r="D441" s="9" t="n">
        <v>28</v>
      </c>
      <c r="E441" s="16" t="inlineStr">
        <is>
          <t>L</t>
        </is>
      </c>
      <c r="F441" s="16" t="inlineStr">
        <is>
          <t>CF</t>
        </is>
      </c>
      <c r="G441" s="9" t="n">
        <v>178</v>
      </c>
      <c r="H441" s="9" t="n">
        <v>1361</v>
      </c>
      <c r="I441" s="9" t="inlineStr">
        <is>
          <t>Bench Bat</t>
        </is>
      </c>
      <c r="J441" s="16" t="inlineStr">
        <is>
          <t>Opening Day</t>
        </is>
      </c>
      <c r="K441" s="11">
        <f>IFERROR(INDEX(Roles!$B$17:$B$20,MATCH(J441,Roles!$A$17:$A$20,0)),1)</f>
        <v/>
      </c>
      <c r="L441" s="17" t="n">
        <v>1</v>
      </c>
      <c r="M441" s="11" t="n">
        <v>0.9333789166059072</v>
      </c>
      <c r="N441" s="17" t="n"/>
      <c r="O441" s="17" t="n"/>
      <c r="P441" s="17" t="n"/>
      <c r="Q441" s="17" t="n"/>
      <c r="R441" s="17" t="n"/>
      <c r="S441" s="17" t="n"/>
      <c r="T441" s="17" t="n"/>
      <c r="U441" s="17" t="n"/>
      <c r="V441" s="17" t="n"/>
      <c r="W441" s="17" t="n">
        <v>1</v>
      </c>
      <c r="X441" s="17" t="n"/>
      <c r="Y441" s="17" t="n"/>
      <c r="Z441" s="13">
        <f>SUMPRODUCT(N441:Y441,$N$2:$Y$2)*$K441*$L441*$M441</f>
        <v/>
      </c>
      <c r="AA441" s="14">
        <f>SUM(N441:Y441)</f>
        <v/>
      </c>
      <c r="AB441" s="14">
        <f>IFERROR(IF(UPPER($E441)="L",SUMPRODUCT(N441:Y441,$N$3:$Y$3,$N$2:$Y$2),SUMPRODUCT(N441:Y441,$N$4:$Y$4,$N$2:$Y$2))/(Z441/($K441*$L441*$M441)),"")</f>
        <v/>
      </c>
      <c r="AC441" s="18" t="n"/>
    </row>
    <row r="442">
      <c r="A442" s="9" t="n">
        <v>687554</v>
      </c>
      <c r="B442" s="9" t="inlineStr">
        <is>
          <t>DJ Gladney</t>
        </is>
      </c>
      <c r="C442" s="9" t="inlineStr">
        <is>
          <t>NYY</t>
        </is>
      </c>
      <c r="D442" s="9" t="n">
        <v>25</v>
      </c>
      <c r="E442" s="16" t="inlineStr">
        <is>
          <t>R</t>
        </is>
      </c>
      <c r="F442" s="16" t="n"/>
      <c r="G442" s="9" t="n">
        <v>170.1538461538462</v>
      </c>
      <c r="H442" s="9" t="n">
        <v>170.1538461538462</v>
      </c>
      <c r="I442" s="9" t="inlineStr">
        <is>
          <t>Depth (no MLB PA)</t>
        </is>
      </c>
      <c r="J442" s="16" t="inlineStr">
        <is>
          <t>Opening Day</t>
        </is>
      </c>
      <c r="K442" s="11">
        <f>IFERROR(INDEX(Roles!$B$17:$B$20,MATCH(J442,Roles!$A$17:$A$20,0)),1)</f>
        <v/>
      </c>
      <c r="L442" s="17" t="n">
        <v>1</v>
      </c>
      <c r="M442" s="11" t="n">
        <v>1</v>
      </c>
      <c r="N442" s="17" t="n"/>
      <c r="O442" s="17" t="n"/>
      <c r="P442" s="17" t="n"/>
      <c r="Q442" s="17" t="n"/>
      <c r="R442" s="17" t="n"/>
      <c r="S442" s="17" t="n"/>
      <c r="T442" s="17" t="n"/>
      <c r="U442" s="17" t="n"/>
      <c r="V442" s="17" t="n"/>
      <c r="W442" s="17" t="n"/>
      <c r="X442" s="17" t="n"/>
      <c r="Y442" s="17" t="n">
        <v>1</v>
      </c>
      <c r="Z442" s="13">
        <f>SUMPRODUCT(N442:Y442,$N$2:$Y$2)*$K442*$L442*$M442</f>
        <v/>
      </c>
      <c r="AA442" s="14">
        <f>SUM(N442:Y442)</f>
        <v/>
      </c>
      <c r="AB442" s="14">
        <f>IFERROR(IF(UPPER($E442)="L",SUMPRODUCT(N442:Y442,$N$3:$Y$3,$N$2:$Y$2),SUMPRODUCT(N442:Y442,$N$4:$Y$4,$N$2:$Y$2))/(Z442/($K442*$L442*$M442)),"")</f>
        <v/>
      </c>
      <c r="AC442" s="18" t="n"/>
    </row>
    <row r="443">
      <c r="A443" s="9" t="n">
        <v>827665</v>
      </c>
      <c r="B443" s="9" t="inlineStr">
        <is>
          <t>Dillon Lewis</t>
        </is>
      </c>
      <c r="C443" s="9" t="inlineStr">
        <is>
          <t>MIA</t>
        </is>
      </c>
      <c r="D443" s="9" t="n">
        <v>24</v>
      </c>
      <c r="E443" s="16" t="inlineStr">
        <is>
          <t>R</t>
        </is>
      </c>
      <c r="F443" s="16" t="n"/>
      <c r="G443" s="9" t="n">
        <v>131.7435897435897</v>
      </c>
      <c r="H443" s="9" t="n">
        <v>131.7435897435897</v>
      </c>
      <c r="I443" s="9" t="inlineStr">
        <is>
          <t>Depth (no MLB PA)</t>
        </is>
      </c>
      <c r="J443" s="16" t="inlineStr">
        <is>
          <t>Opening Day</t>
        </is>
      </c>
      <c r="K443" s="11">
        <f>IFERROR(INDEX(Roles!$B$17:$B$20,MATCH(J443,Roles!$A$17:$A$20,0)),1)</f>
        <v/>
      </c>
      <c r="L443" s="17" t="n">
        <v>1</v>
      </c>
      <c r="M443" s="11" t="n">
        <v>1</v>
      </c>
      <c r="N443" s="17" t="n"/>
      <c r="O443" s="17" t="n"/>
      <c r="P443" s="17" t="n"/>
      <c r="Q443" s="17" t="n"/>
      <c r="R443" s="17" t="n"/>
      <c r="S443" s="17" t="n"/>
      <c r="T443" s="17" t="n"/>
      <c r="U443" s="17" t="n"/>
      <c r="V443" s="17" t="n"/>
      <c r="W443" s="17" t="n"/>
      <c r="X443" s="17" t="n"/>
      <c r="Y443" s="17" t="n">
        <v>1</v>
      </c>
      <c r="Z443" s="13">
        <f>SUMPRODUCT(N443:Y443,$N$2:$Y$2)*$K443*$L443*$M443</f>
        <v/>
      </c>
      <c r="AA443" s="14">
        <f>SUM(N443:Y443)</f>
        <v/>
      </c>
      <c r="AB443" s="14">
        <f>IFERROR(IF(UPPER($E443)="L",SUMPRODUCT(N443:Y443,$N$3:$Y$3,$N$2:$Y$2),SUMPRODUCT(N443:Y443,$N$4:$Y$4,$N$2:$Y$2))/(Z443/($K443*$L443*$M443)),"")</f>
        <v/>
      </c>
      <c r="AC443" s="18" t="n"/>
    </row>
    <row r="444">
      <c r="A444" s="9" t="n">
        <v>682622</v>
      </c>
      <c r="B444" s="9" t="inlineStr">
        <is>
          <t>Noelvi Marte</t>
        </is>
      </c>
      <c r="C444" s="9" t="inlineStr">
        <is>
          <t>CIN</t>
        </is>
      </c>
      <c r="D444" s="9" t="n">
        <v>25</v>
      </c>
      <c r="E444" s="16" t="inlineStr">
        <is>
          <t>R</t>
        </is>
      </c>
      <c r="F444" s="16" t="inlineStr">
        <is>
          <t>RF</t>
        </is>
      </c>
      <c r="G444" s="9" t="n">
        <v>201</v>
      </c>
      <c r="H444" s="9" t="n">
        <v>926</v>
      </c>
      <c r="I444" s="9" t="inlineStr">
        <is>
          <t>Utility OF / 4th OF</t>
        </is>
      </c>
      <c r="J444" s="16" t="inlineStr">
        <is>
          <t>Opening Day</t>
        </is>
      </c>
      <c r="K444" s="11">
        <f>IFERROR(INDEX(Roles!$B$17:$B$20,MATCH(J444,Roles!$A$17:$A$20,0)),1)</f>
        <v/>
      </c>
      <c r="L444" s="17" t="n">
        <v>1</v>
      </c>
      <c r="M444" s="11" t="n">
        <v>1</v>
      </c>
      <c r="N444" s="17" t="n"/>
      <c r="O444" s="17" t="n"/>
      <c r="P444" s="17" t="n"/>
      <c r="Q444" s="17" t="n"/>
      <c r="R444" s="17" t="n"/>
      <c r="S444" s="17" t="n"/>
      <c r="T444" s="17" t="n"/>
      <c r="U444" s="17" t="n"/>
      <c r="V444" s="17" t="n">
        <v>1</v>
      </c>
      <c r="W444" s="17" t="n"/>
      <c r="X444" s="17" t="n"/>
      <c r="Y444" s="17" t="n"/>
      <c r="Z444" s="13">
        <f>SUMPRODUCT(N444:Y444,$N$2:$Y$2)*$K444*$L444*$M444</f>
        <v/>
      </c>
      <c r="AA444" s="14">
        <f>SUM(N444:Y444)</f>
        <v/>
      </c>
      <c r="AB444" s="14">
        <f>IFERROR(IF(UPPER($E444)="L",SUMPRODUCT(N444:Y444,$N$3:$Y$3,$N$2:$Y$2),SUMPRODUCT(N444:Y444,$N$4:$Y$4,$N$2:$Y$2))/(Z444/($K444*$L444*$M444)),"")</f>
        <v/>
      </c>
      <c r="AC444" s="18" t="n"/>
    </row>
    <row r="445">
      <c r="A445" s="9" t="n">
        <v>573262</v>
      </c>
      <c r="B445" s="9" t="inlineStr">
        <is>
          <t>Mike Yastrzemski</t>
        </is>
      </c>
      <c r="C445" s="9" t="inlineStr">
        <is>
          <t>ATL</t>
        </is>
      </c>
      <c r="D445" s="9" t="n">
        <v>36</v>
      </c>
      <c r="E445" s="16" t="inlineStr">
        <is>
          <t>L</t>
        </is>
      </c>
      <c r="F445" s="16" t="inlineStr">
        <is>
          <t>LF</t>
        </is>
      </c>
      <c r="G445" s="9" t="n">
        <v>408</v>
      </c>
      <c r="H445" s="9" t="n">
        <v>2379</v>
      </c>
      <c r="I445" s="9" t="inlineStr">
        <is>
          <t>Strong Side Platoon</t>
        </is>
      </c>
      <c r="J445" s="16" t="inlineStr">
        <is>
          <t>Opening Day</t>
        </is>
      </c>
      <c r="K445" s="11">
        <f>IFERROR(INDEX(Roles!$B$17:$B$20,MATCH(J445,Roles!$A$17:$A$20,0)),1)</f>
        <v/>
      </c>
      <c r="L445" s="17" t="n">
        <v>1</v>
      </c>
      <c r="M445" s="11" t="n">
        <v>1.15</v>
      </c>
      <c r="N445" s="17" t="n">
        <v>0.4</v>
      </c>
      <c r="O445" s="17" t="n"/>
      <c r="P445" s="17" t="n">
        <v>0.6</v>
      </c>
      <c r="Q445" s="17" t="n"/>
      <c r="R445" s="17" t="n"/>
      <c r="S445" s="17" t="n"/>
      <c r="T445" s="17" t="n"/>
      <c r="U445" s="17" t="n"/>
      <c r="V445" s="17" t="n"/>
      <c r="W445" s="17" t="n"/>
      <c r="X445" s="17" t="n"/>
      <c r="Y445" s="17" t="n"/>
      <c r="Z445" s="13">
        <f>SUMPRODUCT(N445:Y445,$N$2:$Y$2)*$K445*$L445*$M445</f>
        <v/>
      </c>
      <c r="AA445" s="14">
        <f>SUM(N445:Y445)</f>
        <v/>
      </c>
      <c r="AB445" s="14">
        <f>IFERROR(IF(UPPER($E445)="L",SUMPRODUCT(N445:Y445,$N$3:$Y$3,$N$2:$Y$2),SUMPRODUCT(N445:Y445,$N$4:$Y$4,$N$2:$Y$2))/(Z445/($K445*$L445*$M445)),"")</f>
        <v/>
      </c>
      <c r="AC445" s="18" t="n"/>
    </row>
    <row r="446">
      <c r="A446" s="9" t="n">
        <v>687783</v>
      </c>
      <c r="B446" s="9" t="inlineStr">
        <is>
          <t>Matthew Wood</t>
        </is>
      </c>
      <c r="C446" s="9" t="inlineStr">
        <is>
          <t>MIL</t>
        </is>
      </c>
      <c r="D446" s="9" t="n">
        <v>25</v>
      </c>
      <c r="E446" s="16" t="inlineStr">
        <is>
          <t>L</t>
        </is>
      </c>
      <c r="F446" s="16" t="n"/>
      <c r="G446" s="9" t="n">
        <v>134.2564102564102</v>
      </c>
      <c r="H446" s="9" t="n">
        <v>134.2564102564102</v>
      </c>
      <c r="I446" s="9" t="inlineStr">
        <is>
          <t>Depth (no MLB PA)</t>
        </is>
      </c>
      <c r="J446" s="16" t="inlineStr">
        <is>
          <t>Opening Day</t>
        </is>
      </c>
      <c r="K446" s="11">
        <f>IFERROR(INDEX(Roles!$B$17:$B$20,MATCH(J446,Roles!$A$17:$A$20,0)),1)</f>
        <v/>
      </c>
      <c r="L446" s="17" t="n">
        <v>1</v>
      </c>
      <c r="M446" s="11" t="n">
        <v>1</v>
      </c>
      <c r="N446" s="17" t="n"/>
      <c r="O446" s="17" t="n"/>
      <c r="P446" s="17" t="n"/>
      <c r="Q446" s="17" t="n"/>
      <c r="R446" s="17" t="n"/>
      <c r="S446" s="17" t="n"/>
      <c r="T446" s="17" t="n"/>
      <c r="U446" s="17" t="n"/>
      <c r="V446" s="17" t="n"/>
      <c r="W446" s="17" t="n"/>
      <c r="X446" s="17" t="n"/>
      <c r="Y446" s="17" t="n">
        <v>1</v>
      </c>
      <c r="Z446" s="13">
        <f>SUMPRODUCT(N446:Y446,$N$2:$Y$2)*$K446*$L446*$M446</f>
        <v/>
      </c>
      <c r="AA446" s="14">
        <f>SUM(N446:Y446)</f>
        <v/>
      </c>
      <c r="AB446" s="14">
        <f>IFERROR(IF(UPPER($E446)="L",SUMPRODUCT(N446:Y446,$N$3:$Y$3,$N$2:$Y$2),SUMPRODUCT(N446:Y446,$N$4:$Y$4,$N$2:$Y$2))/(Z446/($K446*$L446*$M446)),"")</f>
        <v/>
      </c>
      <c r="AC446" s="18" t="n"/>
    </row>
    <row r="447">
      <c r="A447" s="9" t="n">
        <v>801928</v>
      </c>
      <c r="B447" s="9" t="inlineStr">
        <is>
          <t>Owen Carapellotti</t>
        </is>
      </c>
      <c r="C447" s="9" t="inlineStr">
        <is>
          <t>TOR</t>
        </is>
      </c>
      <c r="D447" s="9" t="n">
        <v>25</v>
      </c>
      <c r="E447" s="16" t="inlineStr">
        <is>
          <t>L</t>
        </is>
      </c>
      <c r="F447" s="16" t="n"/>
      <c r="G447" s="9" t="n">
        <v>21.41538461538461</v>
      </c>
      <c r="H447" s="9" t="n">
        <v>21.41538461538461</v>
      </c>
      <c r="I447" s="9" t="inlineStr">
        <is>
          <t>Depth (no MLB PA)</t>
        </is>
      </c>
      <c r="J447" s="16" t="inlineStr">
        <is>
          <t>Opening Day</t>
        </is>
      </c>
      <c r="K447" s="11">
        <f>IFERROR(INDEX(Roles!$B$17:$B$20,MATCH(J447,Roles!$A$17:$A$20,0)),1)</f>
        <v/>
      </c>
      <c r="L447" s="17" t="n">
        <v>1</v>
      </c>
      <c r="M447" s="11" t="n">
        <v>1</v>
      </c>
      <c r="N447" s="17" t="n"/>
      <c r="O447" s="17" t="n"/>
      <c r="P447" s="17" t="n"/>
      <c r="Q447" s="17" t="n"/>
      <c r="R447" s="17" t="n"/>
      <c r="S447" s="17" t="n"/>
      <c r="T447" s="17" t="n"/>
      <c r="U447" s="17" t="n"/>
      <c r="V447" s="17" t="n"/>
      <c r="W447" s="17" t="n"/>
      <c r="X447" s="17" t="n"/>
      <c r="Y447" s="17" t="n">
        <v>1</v>
      </c>
      <c r="Z447" s="13">
        <f>SUMPRODUCT(N447:Y447,$N$2:$Y$2)*$K447*$L447*$M447</f>
        <v/>
      </c>
      <c r="AA447" s="14">
        <f>SUM(N447:Y447)</f>
        <v/>
      </c>
      <c r="AB447" s="14">
        <f>IFERROR(IF(UPPER($E447)="L",SUMPRODUCT(N447:Y447,$N$3:$Y$3,$N$2:$Y$2),SUMPRODUCT(N447:Y447,$N$4:$Y$4,$N$2:$Y$2))/(Z447/($K447*$L447*$M447)),"")</f>
        <v/>
      </c>
      <c r="AC447" s="18" t="n"/>
    </row>
    <row r="448">
      <c r="A448" s="9" t="n">
        <v>801629</v>
      </c>
      <c r="B448" s="9" t="inlineStr">
        <is>
          <t>Cade McGee</t>
        </is>
      </c>
      <c r="C448" s="9" t="inlineStr">
        <is>
          <t>STL</t>
        </is>
      </c>
      <c r="D448" s="9" t="n">
        <v>25</v>
      </c>
      <c r="E448" s="16" t="inlineStr">
        <is>
          <t>R</t>
        </is>
      </c>
      <c r="F448" s="16" t="n"/>
      <c r="G448" s="9" t="n">
        <v>15.07692307692308</v>
      </c>
      <c r="H448" s="9" t="n">
        <v>15.07692307692308</v>
      </c>
      <c r="I448" s="9" t="inlineStr">
        <is>
          <t>Depth (no MLB PA)</t>
        </is>
      </c>
      <c r="J448" s="16" t="inlineStr">
        <is>
          <t>Opening Day</t>
        </is>
      </c>
      <c r="K448" s="11">
        <f>IFERROR(INDEX(Roles!$B$17:$B$20,MATCH(J448,Roles!$A$17:$A$20,0)),1)</f>
        <v/>
      </c>
      <c r="L448" s="17" t="n">
        <v>1</v>
      </c>
      <c r="M448" s="11" t="n">
        <v>1</v>
      </c>
      <c r="N448" s="17" t="n"/>
      <c r="O448" s="17" t="n"/>
      <c r="P448" s="17" t="n"/>
      <c r="Q448" s="17" t="n"/>
      <c r="R448" s="17" t="n"/>
      <c r="S448" s="17" t="n"/>
      <c r="T448" s="17" t="n"/>
      <c r="U448" s="17" t="n"/>
      <c r="V448" s="17" t="n"/>
      <c r="W448" s="17" t="n"/>
      <c r="X448" s="17" t="n"/>
      <c r="Y448" s="17" t="n">
        <v>1</v>
      </c>
      <c r="Z448" s="13">
        <f>SUMPRODUCT(N448:Y448,$N$2:$Y$2)*$K448*$L448*$M448</f>
        <v/>
      </c>
      <c r="AA448" s="14">
        <f>SUM(N448:Y448)</f>
        <v/>
      </c>
      <c r="AB448" s="14">
        <f>IFERROR(IF(UPPER($E448)="L",SUMPRODUCT(N448:Y448,$N$3:$Y$3,$N$2:$Y$2),SUMPRODUCT(N448:Y448,$N$4:$Y$4,$N$2:$Y$2))/(Z448/($K448*$L448*$M448)),"")</f>
        <v/>
      </c>
      <c r="AC448" s="18" t="n"/>
    </row>
    <row r="449">
      <c r="A449" s="9" t="n">
        <v>651016</v>
      </c>
      <c r="B449" s="9" t="inlineStr">
        <is>
          <t>Matt Lloyd</t>
        </is>
      </c>
      <c r="C449" s="9" t="inlineStr">
        <is>
          <t>BOS</t>
        </is>
      </c>
      <c r="D449" s="9" t="n">
        <v>25</v>
      </c>
      <c r="E449" s="16" t="inlineStr">
        <is>
          <t>L</t>
        </is>
      </c>
      <c r="F449" s="16" t="n"/>
      <c r="G449" s="9" t="n">
        <v>62.05128205128206</v>
      </c>
      <c r="H449" s="9" t="n">
        <v>62.05128205128206</v>
      </c>
      <c r="I449" s="9" t="inlineStr">
        <is>
          <t>Depth (no MLB PA)</t>
        </is>
      </c>
      <c r="J449" s="16" t="inlineStr">
        <is>
          <t>Opening Day</t>
        </is>
      </c>
      <c r="K449" s="11">
        <f>IFERROR(INDEX(Roles!$B$17:$B$20,MATCH(J449,Roles!$A$17:$A$20,0)),1)</f>
        <v/>
      </c>
      <c r="L449" s="17" t="n">
        <v>1</v>
      </c>
      <c r="M449" s="11" t="n">
        <v>1</v>
      </c>
      <c r="N449" s="17" t="n"/>
      <c r="O449" s="17" t="n"/>
      <c r="P449" s="17" t="n"/>
      <c r="Q449" s="17" t="n"/>
      <c r="R449" s="17" t="n"/>
      <c r="S449" s="17" t="n"/>
      <c r="T449" s="17" t="n"/>
      <c r="U449" s="17" t="n"/>
      <c r="V449" s="17" t="n"/>
      <c r="W449" s="17" t="n"/>
      <c r="X449" s="17" t="n"/>
      <c r="Y449" s="17" t="n">
        <v>1</v>
      </c>
      <c r="Z449" s="13">
        <f>SUMPRODUCT(N449:Y449,$N$2:$Y$2)*$K449*$L449*$M449</f>
        <v/>
      </c>
      <c r="AA449" s="14">
        <f>SUM(N449:Y449)</f>
        <v/>
      </c>
      <c r="AB449" s="14">
        <f>IFERROR(IF(UPPER($E449)="L",SUMPRODUCT(N449:Y449,$N$3:$Y$3,$N$2:$Y$2),SUMPRODUCT(N449:Y449,$N$4:$Y$4,$N$2:$Y$2))/(Z449/($K449*$L449*$M449)),"")</f>
        <v/>
      </c>
      <c r="AC449" s="18" t="n"/>
    </row>
    <row r="450">
      <c r="A450" s="9" t="n">
        <v>691777</v>
      </c>
      <c r="B450" s="9" t="inlineStr">
        <is>
          <t>Max Muncy</t>
        </is>
      </c>
      <c r="C450" s="9" t="inlineStr">
        <is>
          <t>OAK</t>
        </is>
      </c>
      <c r="D450" s="9" t="n">
        <v>24</v>
      </c>
      <c r="E450" s="16" t="inlineStr">
        <is>
          <t>R</t>
        </is>
      </c>
      <c r="F450" s="16" t="inlineStr">
        <is>
          <t>3B</t>
        </is>
      </c>
      <c r="G450" s="9" t="n">
        <v>284</v>
      </c>
      <c r="H450" s="9" t="n">
        <v>504</v>
      </c>
      <c r="I450" s="9" t="inlineStr">
        <is>
          <t>Bench Bat</t>
        </is>
      </c>
      <c r="J450" s="16" t="inlineStr">
        <is>
          <t>Opening Day</t>
        </is>
      </c>
      <c r="K450" s="11">
        <f>IFERROR(INDEX(Roles!$B$17:$B$20,MATCH(J450,Roles!$A$17:$A$20,0)),1)</f>
        <v/>
      </c>
      <c r="L450" s="17" t="n">
        <v>1</v>
      </c>
      <c r="M450" s="11" t="n">
        <v>1</v>
      </c>
      <c r="N450" s="17" t="n"/>
      <c r="O450" s="17" t="n"/>
      <c r="P450" s="17" t="n"/>
      <c r="Q450" s="17" t="n"/>
      <c r="R450" s="17" t="n"/>
      <c r="S450" s="17" t="n"/>
      <c r="T450" s="17" t="n"/>
      <c r="U450" s="17" t="n">
        <v>0.4</v>
      </c>
      <c r="V450" s="17" t="n"/>
      <c r="W450" s="17" t="n">
        <v>0.6</v>
      </c>
      <c r="X450" s="17" t="n"/>
      <c r="Y450" s="17" t="n"/>
      <c r="Z450" s="13">
        <f>SUMPRODUCT(N450:Y450,$N$2:$Y$2)*$K450*$L450*$M450</f>
        <v/>
      </c>
      <c r="AA450" s="14">
        <f>SUM(N450:Y450)</f>
        <v/>
      </c>
      <c r="AB450" s="14">
        <f>IFERROR(IF(UPPER($E450)="L",SUMPRODUCT(N450:Y450,$N$3:$Y$3,$N$2:$Y$2),SUMPRODUCT(N450:Y450,$N$4:$Y$4,$N$2:$Y$2))/(Z450/($K450*$L450*$M450)),"")</f>
        <v/>
      </c>
      <c r="AC450" s="18" t="n"/>
    </row>
    <row r="451">
      <c r="A451" s="9" t="n">
        <v>683104</v>
      </c>
      <c r="B451" s="9" t="inlineStr">
        <is>
          <t>Trey Faltine</t>
        </is>
      </c>
      <c r="C451" s="9" t="inlineStr">
        <is>
          <t>CIN</t>
        </is>
      </c>
      <c r="D451" s="9" t="n">
        <v>25</v>
      </c>
      <c r="E451" s="16" t="inlineStr">
        <is>
          <t>R</t>
        </is>
      </c>
      <c r="F451" s="16" t="n"/>
      <c r="G451" s="9" t="n">
        <v>5.641025641025642</v>
      </c>
      <c r="H451" s="9" t="n">
        <v>5.641025641025642</v>
      </c>
      <c r="I451" s="9" t="inlineStr">
        <is>
          <t>Depth (no MLB PA)</t>
        </is>
      </c>
      <c r="J451" s="16" t="inlineStr">
        <is>
          <t>Opening Day</t>
        </is>
      </c>
      <c r="K451" s="11">
        <f>IFERROR(INDEX(Roles!$B$17:$B$20,MATCH(J451,Roles!$A$17:$A$20,0)),1)</f>
        <v/>
      </c>
      <c r="L451" s="17" t="n">
        <v>1</v>
      </c>
      <c r="M451" s="11" t="n">
        <v>1</v>
      </c>
      <c r="N451" s="17" t="n"/>
      <c r="O451" s="17" t="n"/>
      <c r="P451" s="17" t="n"/>
      <c r="Q451" s="17" t="n"/>
      <c r="R451" s="17" t="n"/>
      <c r="S451" s="17" t="n"/>
      <c r="T451" s="17" t="n"/>
      <c r="U451" s="17" t="n"/>
      <c r="V451" s="17" t="n"/>
      <c r="W451" s="17" t="n"/>
      <c r="X451" s="17" t="n"/>
      <c r="Y451" s="17" t="n">
        <v>1</v>
      </c>
      <c r="Z451" s="13">
        <f>SUMPRODUCT(N451:Y451,$N$2:$Y$2)*$K451*$L451*$M451</f>
        <v/>
      </c>
      <c r="AA451" s="14">
        <f>SUM(N451:Y451)</f>
        <v/>
      </c>
      <c r="AB451" s="14">
        <f>IFERROR(IF(UPPER($E451)="L",SUMPRODUCT(N451:Y451,$N$3:$Y$3,$N$2:$Y$2),SUMPRODUCT(N451:Y451,$N$4:$Y$4,$N$2:$Y$2))/(Z451/($K451*$L451*$M451)),"")</f>
        <v/>
      </c>
      <c r="AC451" s="18" t="n"/>
    </row>
    <row r="452">
      <c r="A452" s="9" t="n">
        <v>700283</v>
      </c>
      <c r="B452" s="9" t="inlineStr">
        <is>
          <t>Derlin Figueroa</t>
        </is>
      </c>
      <c r="C452" s="9" t="inlineStr">
        <is>
          <t>KC</t>
        </is>
      </c>
      <c r="D452" s="9" t="n">
        <v>25</v>
      </c>
      <c r="E452" s="16" t="inlineStr">
        <is>
          <t>L</t>
        </is>
      </c>
      <c r="F452" s="16" t="n"/>
      <c r="G452" s="9" t="n">
        <v>91.4871794871795</v>
      </c>
      <c r="H452" s="9" t="n">
        <v>91.4871794871795</v>
      </c>
      <c r="I452" s="9" t="inlineStr">
        <is>
          <t>Depth (no MLB PA)</t>
        </is>
      </c>
      <c r="J452" s="16" t="inlineStr">
        <is>
          <t>Opening Day</t>
        </is>
      </c>
      <c r="K452" s="11">
        <f>IFERROR(INDEX(Roles!$B$17:$B$20,MATCH(J452,Roles!$A$17:$A$20,0)),1)</f>
        <v/>
      </c>
      <c r="L452" s="17" t="n">
        <v>1</v>
      </c>
      <c r="M452" s="11" t="n">
        <v>1</v>
      </c>
      <c r="N452" s="17" t="n"/>
      <c r="O452" s="17" t="n"/>
      <c r="P452" s="17" t="n"/>
      <c r="Q452" s="17" t="n"/>
      <c r="R452" s="17" t="n"/>
      <c r="S452" s="17" t="n"/>
      <c r="T452" s="17" t="n"/>
      <c r="U452" s="17" t="n"/>
      <c r="V452" s="17" t="n"/>
      <c r="W452" s="17" t="n"/>
      <c r="X452" s="17" t="n"/>
      <c r="Y452" s="17" t="n">
        <v>1</v>
      </c>
      <c r="Z452" s="13">
        <f>SUMPRODUCT(N452:Y452,$N$2:$Y$2)*$K452*$L452*$M452</f>
        <v/>
      </c>
      <c r="AA452" s="14">
        <f>SUM(N452:Y452)</f>
        <v/>
      </c>
      <c r="AB452" s="14">
        <f>IFERROR(IF(UPPER($E452)="L",SUMPRODUCT(N452:Y452,$N$3:$Y$3,$N$2:$Y$2),SUMPRODUCT(N452:Y452,$N$4:$Y$4,$N$2:$Y$2))/(Z452/($K452*$L452*$M452)),"")</f>
        <v/>
      </c>
      <c r="AC452" s="18" t="n"/>
    </row>
    <row r="453">
      <c r="A453" s="9" t="n">
        <v>695734</v>
      </c>
      <c r="B453" s="9" t="inlineStr">
        <is>
          <t>Daylen Lile</t>
        </is>
      </c>
      <c r="C453" s="9" t="inlineStr">
        <is>
          <t>WSH</t>
        </is>
      </c>
      <c r="D453" s="9" t="n">
        <v>24</v>
      </c>
      <c r="E453" s="16" t="inlineStr">
        <is>
          <t>L</t>
        </is>
      </c>
      <c r="F453" s="16" t="inlineStr">
        <is>
          <t>LF</t>
        </is>
      </c>
      <c r="G453" s="9" t="n">
        <v>655</v>
      </c>
      <c r="H453" s="9" t="n">
        <v>1006</v>
      </c>
      <c r="I453" s="9" t="inlineStr">
        <is>
          <t>Strong Side Platoon</t>
        </is>
      </c>
      <c r="J453" s="16" t="inlineStr">
        <is>
          <t>Opening Day</t>
        </is>
      </c>
      <c r="K453" s="11">
        <f>IFERROR(INDEX(Roles!$B$17:$B$20,MATCH(J453,Roles!$A$17:$A$20,0)),1)</f>
        <v/>
      </c>
      <c r="L453" s="17" t="n">
        <v>1</v>
      </c>
      <c r="M453" s="11" t="n">
        <v>1.087778459030107</v>
      </c>
      <c r="N453" s="17" t="n">
        <v>0.4</v>
      </c>
      <c r="O453" s="17" t="n"/>
      <c r="P453" s="17" t="n">
        <v>0.6</v>
      </c>
      <c r="Q453" s="17" t="n"/>
      <c r="R453" s="17" t="n"/>
      <c r="S453" s="17" t="n"/>
      <c r="T453" s="17" t="n"/>
      <c r="U453" s="17" t="n"/>
      <c r="V453" s="17" t="n"/>
      <c r="W453" s="17" t="n"/>
      <c r="X453" s="17" t="n"/>
      <c r="Y453" s="17" t="n"/>
      <c r="Z453" s="13">
        <f>SUMPRODUCT(N453:Y453,$N$2:$Y$2)*$K453*$L453*$M453</f>
        <v/>
      </c>
      <c r="AA453" s="14">
        <f>SUM(N453:Y453)</f>
        <v/>
      </c>
      <c r="AB453" s="14">
        <f>IFERROR(IF(UPPER($E453)="L",SUMPRODUCT(N453:Y453,$N$3:$Y$3,$N$2:$Y$2),SUMPRODUCT(N453:Y453,$N$4:$Y$4,$N$2:$Y$2))/(Z453/($K453*$L453*$M453)),"")</f>
        <v/>
      </c>
      <c r="AC453" s="18" t="n"/>
    </row>
    <row r="454">
      <c r="A454" s="9" t="n">
        <v>687148</v>
      </c>
      <c r="B454" s="9" t="inlineStr">
        <is>
          <t>Adam Fogel</t>
        </is>
      </c>
      <c r="C454" s="9" t="inlineStr">
        <is>
          <t>CWS</t>
        </is>
      </c>
      <c r="D454" s="9" t="n">
        <v>25</v>
      </c>
      <c r="E454" s="16" t="inlineStr">
        <is>
          <t>R</t>
        </is>
      </c>
      <c r="F454" s="16" t="n"/>
      <c r="G454" s="9" t="n">
        <v>31.23076923076922</v>
      </c>
      <c r="H454" s="9" t="n">
        <v>31.23076923076922</v>
      </c>
      <c r="I454" s="9" t="inlineStr">
        <is>
          <t>Depth (no MLB PA)</t>
        </is>
      </c>
      <c r="J454" s="16" t="inlineStr">
        <is>
          <t>Opening Day</t>
        </is>
      </c>
      <c r="K454" s="11">
        <f>IFERROR(INDEX(Roles!$B$17:$B$20,MATCH(J454,Roles!$A$17:$A$20,0)),1)</f>
        <v/>
      </c>
      <c r="L454" s="17" t="n">
        <v>1</v>
      </c>
      <c r="M454" s="11" t="n">
        <v>1</v>
      </c>
      <c r="N454" s="17" t="n"/>
      <c r="O454" s="17" t="n"/>
      <c r="P454" s="17" t="n"/>
      <c r="Q454" s="17" t="n"/>
      <c r="R454" s="17" t="n"/>
      <c r="S454" s="17" t="n"/>
      <c r="T454" s="17" t="n"/>
      <c r="U454" s="17" t="n"/>
      <c r="V454" s="17" t="n"/>
      <c r="W454" s="17" t="n"/>
      <c r="X454" s="17" t="n"/>
      <c r="Y454" s="17" t="n">
        <v>1</v>
      </c>
      <c r="Z454" s="13">
        <f>SUMPRODUCT(N454:Y454,$N$2:$Y$2)*$K454*$L454*$M454</f>
        <v/>
      </c>
      <c r="AA454" s="14">
        <f>SUM(N454:Y454)</f>
        <v/>
      </c>
      <c r="AB454" s="14">
        <f>IFERROR(IF(UPPER($E454)="L",SUMPRODUCT(N454:Y454,$N$3:$Y$3,$N$2:$Y$2),SUMPRODUCT(N454:Y454,$N$4:$Y$4,$N$2:$Y$2))/(Z454/($K454*$L454*$M454)),"")</f>
        <v/>
      </c>
      <c r="AC454" s="18" t="n"/>
    </row>
    <row r="455">
      <c r="A455" s="9" t="n">
        <v>684715</v>
      </c>
      <c r="B455" s="9" t="inlineStr">
        <is>
          <t>Nic Kent</t>
        </is>
      </c>
      <c r="C455" s="9" t="inlineStr">
        <is>
          <t>COL</t>
        </is>
      </c>
      <c r="D455" s="9" t="n">
        <v>25</v>
      </c>
      <c r="E455" s="16" t="inlineStr">
        <is>
          <t>R</t>
        </is>
      </c>
      <c r="F455" s="16" t="n"/>
      <c r="G455" s="9" t="n">
        <v>205.3333333333333</v>
      </c>
      <c r="H455" s="9" t="n">
        <v>205.3333333333333</v>
      </c>
      <c r="I455" s="9" t="inlineStr">
        <is>
          <t>Depth (no MLB PA)</t>
        </is>
      </c>
      <c r="J455" s="16" t="inlineStr">
        <is>
          <t>Opening Day</t>
        </is>
      </c>
      <c r="K455" s="11">
        <f>IFERROR(INDEX(Roles!$B$17:$B$20,MATCH(J455,Roles!$A$17:$A$20,0)),1)</f>
        <v/>
      </c>
      <c r="L455" s="17" t="n">
        <v>1</v>
      </c>
      <c r="M455" s="11" t="n">
        <v>1</v>
      </c>
      <c r="N455" s="17" t="n"/>
      <c r="O455" s="17" t="n"/>
      <c r="P455" s="17" t="n"/>
      <c r="Q455" s="17" t="n"/>
      <c r="R455" s="17" t="n"/>
      <c r="S455" s="17" t="n"/>
      <c r="T455" s="17" t="n"/>
      <c r="U455" s="17" t="n"/>
      <c r="V455" s="17" t="n"/>
      <c r="W455" s="17" t="n"/>
      <c r="X455" s="17" t="n"/>
      <c r="Y455" s="17" t="n">
        <v>1</v>
      </c>
      <c r="Z455" s="13">
        <f>SUMPRODUCT(N455:Y455,$N$2:$Y$2)*$K455*$L455*$M455</f>
        <v/>
      </c>
      <c r="AA455" s="14">
        <f>SUM(N455:Y455)</f>
        <v/>
      </c>
      <c r="AB455" s="14">
        <f>IFERROR(IF(UPPER($E455)="L",SUMPRODUCT(N455:Y455,$N$3:$Y$3,$N$2:$Y$2),SUMPRODUCT(N455:Y455,$N$4:$Y$4,$N$2:$Y$2))/(Z455/($K455*$L455*$M455)),"")</f>
        <v/>
      </c>
      <c r="AC455" s="18" t="n"/>
    </row>
    <row r="456">
      <c r="A456" s="9" t="n">
        <v>694974</v>
      </c>
      <c r="B456" s="9" t="inlineStr">
        <is>
          <t>Colby Shade</t>
        </is>
      </c>
      <c r="C456" s="9" t="inlineStr">
        <is>
          <t>MIA</t>
        </is>
      </c>
      <c r="D456" s="9" t="n">
        <v>25</v>
      </c>
      <c r="E456" s="16" t="inlineStr">
        <is>
          <t>R</t>
        </is>
      </c>
      <c r="F456" s="16" t="n"/>
      <c r="G456" s="9" t="n">
        <v>39.48717948717948</v>
      </c>
      <c r="H456" s="9" t="n">
        <v>39.48717948717948</v>
      </c>
      <c r="I456" s="9" t="inlineStr">
        <is>
          <t>Depth (no MLB PA)</t>
        </is>
      </c>
      <c r="J456" s="16" t="inlineStr">
        <is>
          <t>Opening Day</t>
        </is>
      </c>
      <c r="K456" s="11">
        <f>IFERROR(INDEX(Roles!$B$17:$B$20,MATCH(J456,Roles!$A$17:$A$20,0)),1)</f>
        <v/>
      </c>
      <c r="L456" s="17" t="n">
        <v>1</v>
      </c>
      <c r="M456" s="11" t="n">
        <v>1</v>
      </c>
      <c r="N456" s="17" t="n"/>
      <c r="O456" s="17" t="n"/>
      <c r="P456" s="17" t="n"/>
      <c r="Q456" s="17" t="n"/>
      <c r="R456" s="17" t="n"/>
      <c r="S456" s="17" t="n"/>
      <c r="T456" s="17" t="n"/>
      <c r="U456" s="17" t="n"/>
      <c r="V456" s="17" t="n"/>
      <c r="W456" s="17" t="n"/>
      <c r="X456" s="17" t="n"/>
      <c r="Y456" s="17" t="n">
        <v>1</v>
      </c>
      <c r="Z456" s="13">
        <f>SUMPRODUCT(N456:Y456,$N$2:$Y$2)*$K456*$L456*$M456</f>
        <v/>
      </c>
      <c r="AA456" s="14">
        <f>SUM(N456:Y456)</f>
        <v/>
      </c>
      <c r="AB456" s="14">
        <f>IFERROR(IF(UPPER($E456)="L",SUMPRODUCT(N456:Y456,$N$3:$Y$3,$N$2:$Y$2),SUMPRODUCT(N456:Y456,$N$4:$Y$4,$N$2:$Y$2))/(Z456/($K456*$L456*$M456)),"")</f>
        <v/>
      </c>
      <c r="AC456" s="18" t="n"/>
    </row>
    <row r="457">
      <c r="A457" s="9" t="n">
        <v>668952</v>
      </c>
      <c r="B457" s="9" t="inlineStr">
        <is>
          <t>Ryan Kreidler</t>
        </is>
      </c>
      <c r="C457" s="9" t="inlineStr">
        <is>
          <t>MIN</t>
        </is>
      </c>
      <c r="D457" s="9" t="n">
        <v>29</v>
      </c>
      <c r="E457" s="16" t="inlineStr">
        <is>
          <t>R</t>
        </is>
      </c>
      <c r="F457" s="16" t="inlineStr">
        <is>
          <t>SS</t>
        </is>
      </c>
      <c r="G457" s="9" t="n">
        <v>267</v>
      </c>
      <c r="H457" s="9" t="n">
        <v>478</v>
      </c>
      <c r="I457" s="9" t="inlineStr">
        <is>
          <t>Bench Bat</t>
        </is>
      </c>
      <c r="J457" s="16" t="inlineStr">
        <is>
          <t>Opening Day</t>
        </is>
      </c>
      <c r="K457" s="11">
        <f>IFERROR(INDEX(Roles!$B$17:$B$20,MATCH(J457,Roles!$A$17:$A$20,0)),1)</f>
        <v/>
      </c>
      <c r="L457" s="17" t="n">
        <v>1</v>
      </c>
      <c r="M457" s="11" t="n">
        <v>0.8469350107776557</v>
      </c>
      <c r="N457" s="17" t="n"/>
      <c r="O457" s="17" t="n"/>
      <c r="P457" s="17" t="n"/>
      <c r="Q457" s="17" t="n"/>
      <c r="R457" s="17" t="n"/>
      <c r="S457" s="17" t="n"/>
      <c r="T457" s="17" t="n"/>
      <c r="U457" s="17" t="n">
        <v>0.4</v>
      </c>
      <c r="V457" s="17" t="n"/>
      <c r="W457" s="17" t="n">
        <v>0.6</v>
      </c>
      <c r="X457" s="17" t="n"/>
      <c r="Y457" s="17" t="n"/>
      <c r="Z457" s="13">
        <f>SUMPRODUCT(N457:Y457,$N$2:$Y$2)*$K457*$L457*$M457</f>
        <v/>
      </c>
      <c r="AA457" s="14">
        <f>SUM(N457:Y457)</f>
        <v/>
      </c>
      <c r="AB457" s="14">
        <f>IFERROR(IF(UPPER($E457)="L",SUMPRODUCT(N457:Y457,$N$3:$Y$3,$N$2:$Y$2),SUMPRODUCT(N457:Y457,$N$4:$Y$4,$N$2:$Y$2))/(Z457/($K457*$L457*$M457)),"")</f>
        <v/>
      </c>
      <c r="AC457" s="18" t="n"/>
    </row>
    <row r="458">
      <c r="A458" s="9" t="n">
        <v>602104</v>
      </c>
      <c r="B458" s="9" t="inlineStr">
        <is>
          <t>Ramón Urías</t>
        </is>
      </c>
      <c r="C458" s="9" t="inlineStr">
        <is>
          <t>STL</t>
        </is>
      </c>
      <c r="D458" s="9" t="n">
        <v>33</v>
      </c>
      <c r="E458" s="16" t="inlineStr">
        <is>
          <t>R</t>
        </is>
      </c>
      <c r="F458" s="16" t="inlineStr">
        <is>
          <t>3B</t>
        </is>
      </c>
      <c r="G458" s="9" t="n">
        <v>100</v>
      </c>
      <c r="H458" s="9" t="n">
        <v>1633</v>
      </c>
      <c r="I458" s="9" t="inlineStr">
        <is>
          <t>Utility IF</t>
        </is>
      </c>
      <c r="J458" s="16" t="inlineStr">
        <is>
          <t>Opening Day</t>
        </is>
      </c>
      <c r="K458" s="11">
        <f>IFERROR(INDEX(Roles!$B$17:$B$20,MATCH(J458,Roles!$A$17:$A$20,0)),1)</f>
        <v/>
      </c>
      <c r="L458" s="17" t="n">
        <v>1</v>
      </c>
      <c r="M458" s="11" t="n">
        <v>0.8735002763864069</v>
      </c>
      <c r="N458" s="17" t="n"/>
      <c r="O458" s="17" t="n"/>
      <c r="P458" s="17" t="n"/>
      <c r="Q458" s="17" t="n"/>
      <c r="R458" s="17" t="n"/>
      <c r="S458" s="17" t="n"/>
      <c r="T458" s="17" t="n"/>
      <c r="U458" s="17" t="n">
        <v>1</v>
      </c>
      <c r="V458" s="17" t="n"/>
      <c r="W458" s="17" t="n"/>
      <c r="X458" s="17" t="n"/>
      <c r="Y458" s="17" t="n"/>
      <c r="Z458" s="13">
        <f>SUMPRODUCT(N458:Y458,$N$2:$Y$2)*$K458*$L458*$M458</f>
        <v/>
      </c>
      <c r="AA458" s="14">
        <f>SUM(N458:Y458)</f>
        <v/>
      </c>
      <c r="AB458" s="14">
        <f>IFERROR(IF(UPPER($E458)="L",SUMPRODUCT(N458:Y458,$N$3:$Y$3,$N$2:$Y$2),SUMPRODUCT(N458:Y458,$N$4:$Y$4,$N$2:$Y$2))/(Z458/($K458*$L458*$M458)),"")</f>
        <v/>
      </c>
      <c r="AC458" s="18" t="n"/>
    </row>
    <row r="459">
      <c r="A459" s="9" t="n">
        <v>669450</v>
      </c>
      <c r="B459" s="9" t="inlineStr">
        <is>
          <t>Cooper Hummel</t>
        </is>
      </c>
      <c r="C459" s="9" t="inlineStr">
        <is>
          <t>HOU</t>
        </is>
      </c>
      <c r="D459" s="9" t="n">
        <v>32</v>
      </c>
      <c r="E459" s="16" t="inlineStr">
        <is>
          <t>S</t>
        </is>
      </c>
      <c r="F459" s="16" t="inlineStr">
        <is>
          <t>LF</t>
        </is>
      </c>
      <c r="G459" s="9" t="n">
        <v>105</v>
      </c>
      <c r="H459" s="9" t="n">
        <v>340</v>
      </c>
      <c r="I459" s="9" t="inlineStr">
        <is>
          <t>Bench Bat</t>
        </is>
      </c>
      <c r="J459" s="16" t="inlineStr">
        <is>
          <t>Opening Day</t>
        </is>
      </c>
      <c r="K459" s="11">
        <f>IFERROR(INDEX(Roles!$B$17:$B$20,MATCH(J459,Roles!$A$17:$A$20,0)),1)</f>
        <v/>
      </c>
      <c r="L459" s="17" t="n">
        <v>1</v>
      </c>
      <c r="M459" s="11" t="n">
        <v>1</v>
      </c>
      <c r="N459" s="17" t="n"/>
      <c r="O459" s="17" t="n"/>
      <c r="P459" s="17" t="n"/>
      <c r="Q459" s="17" t="n"/>
      <c r="R459" s="17" t="n"/>
      <c r="S459" s="17" t="n"/>
      <c r="T459" s="17" t="n"/>
      <c r="U459" s="17" t="n"/>
      <c r="V459" s="17" t="n"/>
      <c r="W459" s="17" t="n">
        <v>1</v>
      </c>
      <c r="X459" s="17" t="n"/>
      <c r="Y459" s="17" t="n"/>
      <c r="Z459" s="13">
        <f>SUMPRODUCT(N459:Y459,$N$2:$Y$2)*$K459*$L459*$M459</f>
        <v/>
      </c>
      <c r="AA459" s="14">
        <f>SUM(N459:Y459)</f>
        <v/>
      </c>
      <c r="AB459" s="14">
        <f>IFERROR(IF(UPPER($E459)="L",SUMPRODUCT(N459:Y459,$N$3:$Y$3,$N$2:$Y$2),SUMPRODUCT(N459:Y459,$N$4:$Y$4,$N$2:$Y$2))/(Z459/($K459*$L459*$M459)),"")</f>
        <v/>
      </c>
      <c r="AC459" s="18" t="n"/>
    </row>
    <row r="460">
      <c r="A460" s="9" t="n">
        <v>686797</v>
      </c>
      <c r="B460" s="9" t="inlineStr">
        <is>
          <t>Brooks Lee</t>
        </is>
      </c>
      <c r="C460" s="9" t="inlineStr">
        <is>
          <t>MIN</t>
        </is>
      </c>
      <c r="D460" s="9" t="n">
        <v>26</v>
      </c>
      <c r="E460" s="16" t="inlineStr">
        <is>
          <t>S</t>
        </is>
      </c>
      <c r="F460" s="16" t="inlineStr">
        <is>
          <t>3B</t>
        </is>
      </c>
      <c r="G460" s="9" t="n">
        <v>631</v>
      </c>
      <c r="H460" s="9" t="n">
        <v>1343</v>
      </c>
      <c r="I460" s="9" t="inlineStr">
        <is>
          <t>Full Time</t>
        </is>
      </c>
      <c r="J460" s="16" t="inlineStr">
        <is>
          <t>Opening Day</t>
        </is>
      </c>
      <c r="K460" s="11">
        <f>IFERROR(INDEX(Roles!$B$17:$B$20,MATCH(J460,Roles!$A$17:$A$20,0)),1)</f>
        <v/>
      </c>
      <c r="L460" s="17" t="n">
        <v>1</v>
      </c>
      <c r="M460" s="11" t="n">
        <v>1.091944176667865</v>
      </c>
      <c r="N460" s="17" t="n">
        <v>1</v>
      </c>
      <c r="O460" s="17" t="n"/>
      <c r="P460" s="17" t="n"/>
      <c r="Q460" s="17" t="n"/>
      <c r="R460" s="17" t="n"/>
      <c r="S460" s="17" t="n"/>
      <c r="T460" s="17" t="n"/>
      <c r="U460" s="17" t="n"/>
      <c r="V460" s="17" t="n"/>
      <c r="W460" s="17" t="n"/>
      <c r="X460" s="17" t="n"/>
      <c r="Y460" s="17" t="n"/>
      <c r="Z460" s="13">
        <f>SUMPRODUCT(N460:Y460,$N$2:$Y$2)*$K460*$L460*$M460</f>
        <v/>
      </c>
      <c r="AA460" s="14">
        <f>SUM(N460:Y460)</f>
        <v/>
      </c>
      <c r="AB460" s="14">
        <f>IFERROR(IF(UPPER($E460)="L",SUMPRODUCT(N460:Y460,$N$3:$Y$3,$N$2:$Y$2),SUMPRODUCT(N460:Y460,$N$4:$Y$4,$N$2:$Y$2))/(Z460/($K460*$L460*$M460)),"")</f>
        <v/>
      </c>
      <c r="AC460" s="18" t="n"/>
    </row>
    <row r="461">
      <c r="A461" s="9" t="n">
        <v>806275</v>
      </c>
      <c r="B461" s="9" t="inlineStr">
        <is>
          <t>Jack Goodman</t>
        </is>
      </c>
      <c r="C461" s="9" t="inlineStr">
        <is>
          <t>DET</t>
        </is>
      </c>
      <c r="D461" s="9" t="n">
        <v>25</v>
      </c>
      <c r="E461" s="16" t="inlineStr">
        <is>
          <t>R</t>
        </is>
      </c>
      <c r="F461" s="16" t="n"/>
      <c r="G461" s="9" t="n">
        <v>7.333333333333334</v>
      </c>
      <c r="H461" s="9" t="n">
        <v>7.333333333333334</v>
      </c>
      <c r="I461" s="9" t="inlineStr">
        <is>
          <t>Depth (no MLB PA)</t>
        </is>
      </c>
      <c r="J461" s="16" t="inlineStr">
        <is>
          <t>Opening Day</t>
        </is>
      </c>
      <c r="K461" s="11">
        <f>IFERROR(INDEX(Roles!$B$17:$B$20,MATCH(J461,Roles!$A$17:$A$20,0)),1)</f>
        <v/>
      </c>
      <c r="L461" s="17" t="n">
        <v>1</v>
      </c>
      <c r="M461" s="11" t="n">
        <v>1</v>
      </c>
      <c r="N461" s="17" t="n"/>
      <c r="O461" s="17" t="n"/>
      <c r="P461" s="17" t="n"/>
      <c r="Q461" s="17" t="n"/>
      <c r="R461" s="17" t="n"/>
      <c r="S461" s="17" t="n"/>
      <c r="T461" s="17" t="n"/>
      <c r="U461" s="17" t="n"/>
      <c r="V461" s="17" t="n"/>
      <c r="W461" s="17" t="n"/>
      <c r="X461" s="17" t="n"/>
      <c r="Y461" s="17" t="n">
        <v>1</v>
      </c>
      <c r="Z461" s="13">
        <f>SUMPRODUCT(N461:Y461,$N$2:$Y$2)*$K461*$L461*$M461</f>
        <v/>
      </c>
      <c r="AA461" s="14">
        <f>SUM(N461:Y461)</f>
        <v/>
      </c>
      <c r="AB461" s="14">
        <f>IFERROR(IF(UPPER($E461)="L",SUMPRODUCT(N461:Y461,$N$3:$Y$3,$N$2:$Y$2),SUMPRODUCT(N461:Y461,$N$4:$Y$4,$N$2:$Y$2))/(Z461/($K461*$L461*$M461)),"")</f>
        <v/>
      </c>
      <c r="AC461" s="18" t="n"/>
    </row>
    <row r="462">
      <c r="A462" s="9" t="n">
        <v>671976</v>
      </c>
      <c r="B462" s="9" t="inlineStr">
        <is>
          <t>Tristan Peters</t>
        </is>
      </c>
      <c r="C462" s="9" t="inlineStr">
        <is>
          <t>CWS</t>
        </is>
      </c>
      <c r="D462" s="9" t="n">
        <v>27</v>
      </c>
      <c r="E462" s="16" t="inlineStr">
        <is>
          <t>L</t>
        </is>
      </c>
      <c r="F462" s="16" t="inlineStr">
        <is>
          <t>CF</t>
        </is>
      </c>
      <c r="G462" s="9" t="n">
        <v>491</v>
      </c>
      <c r="H462" s="9" t="n">
        <v>503</v>
      </c>
      <c r="I462" s="9" t="inlineStr">
        <is>
          <t>Full Time</t>
        </is>
      </c>
      <c r="J462" s="16" t="inlineStr">
        <is>
          <t>Opening Day</t>
        </is>
      </c>
      <c r="K462" s="11">
        <f>IFERROR(INDEX(Roles!$B$17:$B$20,MATCH(J462,Roles!$A$17:$A$20,0)),1)</f>
        <v/>
      </c>
      <c r="L462" s="17" t="n">
        <v>1</v>
      </c>
      <c r="M462" s="11" t="n">
        <v>0.8891683309414395</v>
      </c>
      <c r="N462" s="17" t="n">
        <v>0.7</v>
      </c>
      <c r="O462" s="17" t="n"/>
      <c r="P462" s="17" t="n">
        <v>0.3</v>
      </c>
      <c r="Q462" s="17" t="n"/>
      <c r="R462" s="17" t="n"/>
      <c r="S462" s="17" t="n"/>
      <c r="T462" s="17" t="n"/>
      <c r="U462" s="17" t="n"/>
      <c r="V462" s="17" t="n"/>
      <c r="W462" s="17" t="n"/>
      <c r="X462" s="17" t="n"/>
      <c r="Y462" s="17" t="n"/>
      <c r="Z462" s="13">
        <f>SUMPRODUCT(N462:Y462,$N$2:$Y$2)*$K462*$L462*$M462</f>
        <v/>
      </c>
      <c r="AA462" s="14">
        <f>SUM(N462:Y462)</f>
        <v/>
      </c>
      <c r="AB462" s="14">
        <f>IFERROR(IF(UPPER($E462)="L",SUMPRODUCT(N462:Y462,$N$3:$Y$3,$N$2:$Y$2),SUMPRODUCT(N462:Y462,$N$4:$Y$4,$N$2:$Y$2))/(Z462/($K462*$L462*$M462)),"")</f>
        <v/>
      </c>
      <c r="AC462" s="18" t="n"/>
    </row>
    <row r="463">
      <c r="A463" s="9" t="n">
        <v>666211</v>
      </c>
      <c r="B463" s="9" t="inlineStr">
        <is>
          <t>Taylor Trammell</t>
        </is>
      </c>
      <c r="C463" s="9" t="inlineStr">
        <is>
          <t>HOU</t>
        </is>
      </c>
      <c r="D463" s="9" t="n">
        <v>29</v>
      </c>
      <c r="E463" s="16" t="inlineStr">
        <is>
          <t>L</t>
        </is>
      </c>
      <c r="F463" s="16" t="inlineStr">
        <is>
          <t>LF</t>
        </is>
      </c>
      <c r="G463" s="9" t="n">
        <v>289</v>
      </c>
      <c r="H463" s="9" t="n">
        <v>605</v>
      </c>
      <c r="I463" s="9" t="inlineStr">
        <is>
          <t>Strong Side Platoon</t>
        </is>
      </c>
      <c r="J463" s="16" t="inlineStr">
        <is>
          <t>Opening Day</t>
        </is>
      </c>
      <c r="K463" s="11">
        <f>IFERROR(INDEX(Roles!$B$17:$B$20,MATCH(J463,Roles!$A$17:$A$20,0)),1)</f>
        <v/>
      </c>
      <c r="L463" s="17" t="n">
        <v>1</v>
      </c>
      <c r="M463" s="11" t="n">
        <v>0.7905207188580672</v>
      </c>
      <c r="N463" s="17" t="n">
        <v>0.4</v>
      </c>
      <c r="O463" s="17" t="n"/>
      <c r="P463" s="17" t="n">
        <v>0.6</v>
      </c>
      <c r="Q463" s="17" t="n"/>
      <c r="R463" s="17" t="n"/>
      <c r="S463" s="17" t="n"/>
      <c r="T463" s="17" t="n"/>
      <c r="U463" s="17" t="n"/>
      <c r="V463" s="17" t="n"/>
      <c r="W463" s="17" t="n"/>
      <c r="X463" s="17" t="n"/>
      <c r="Y463" s="17" t="n"/>
      <c r="Z463" s="13">
        <f>SUMPRODUCT(N463:Y463,$N$2:$Y$2)*$K463*$L463*$M463</f>
        <v/>
      </c>
      <c r="AA463" s="14">
        <f>SUM(N463:Y463)</f>
        <v/>
      </c>
      <c r="AB463" s="14">
        <f>IFERROR(IF(UPPER($E463)="L",SUMPRODUCT(N463:Y463,$N$3:$Y$3,$N$2:$Y$2),SUMPRODUCT(N463:Y463,$N$4:$Y$4,$N$2:$Y$2))/(Z463/($K463*$L463*$M463)),"")</f>
        <v/>
      </c>
      <c r="AC463" s="18" t="n"/>
    </row>
    <row r="464">
      <c r="A464" s="9" t="n">
        <v>664670</v>
      </c>
      <c r="B464" s="9" t="inlineStr">
        <is>
          <t>Alejo Lopez</t>
        </is>
      </c>
      <c r="C464" s="9" t="inlineStr">
        <is>
          <t>CIN</t>
        </is>
      </c>
      <c r="D464" s="9" t="n">
        <v>31</v>
      </c>
      <c r="E464" s="16" t="inlineStr">
        <is>
          <t>S</t>
        </is>
      </c>
      <c r="F464" s="16" t="inlineStr">
        <is>
          <t>2B</t>
        </is>
      </c>
      <c r="G464" s="9" t="n">
        <v>2</v>
      </c>
      <c r="H464" s="9" t="n">
        <v>158</v>
      </c>
      <c r="I464" s="9" t="inlineStr">
        <is>
          <t>Depth (no MLB PA)</t>
        </is>
      </c>
      <c r="J464" s="16" t="inlineStr">
        <is>
          <t>Opening Day</t>
        </is>
      </c>
      <c r="K464" s="11">
        <f>IFERROR(INDEX(Roles!$B$17:$B$20,MATCH(J464,Roles!$A$17:$A$20,0)),1)</f>
        <v/>
      </c>
      <c r="L464" s="17" t="n">
        <v>1</v>
      </c>
      <c r="M464" s="11" t="n">
        <v>1</v>
      </c>
      <c r="N464" s="17" t="n"/>
      <c r="O464" s="17" t="n"/>
      <c r="P464" s="17" t="n"/>
      <c r="Q464" s="17" t="n"/>
      <c r="R464" s="17" t="n"/>
      <c r="S464" s="17" t="n"/>
      <c r="T464" s="17" t="n"/>
      <c r="U464" s="17" t="n"/>
      <c r="V464" s="17" t="n"/>
      <c r="W464" s="17" t="n"/>
      <c r="X464" s="17" t="n"/>
      <c r="Y464" s="17" t="n">
        <v>1</v>
      </c>
      <c r="Z464" s="13">
        <f>SUMPRODUCT(N464:Y464,$N$2:$Y$2)*$K464*$L464*$M464</f>
        <v/>
      </c>
      <c r="AA464" s="14">
        <f>SUM(N464:Y464)</f>
        <v/>
      </c>
      <c r="AB464" s="14">
        <f>IFERROR(IF(UPPER($E464)="L",SUMPRODUCT(N464:Y464,$N$3:$Y$3,$N$2:$Y$2),SUMPRODUCT(N464:Y464,$N$4:$Y$4,$N$2:$Y$2))/(Z464/($K464*$L464*$M464)),"")</f>
        <v/>
      </c>
      <c r="AC464" s="18" t="n"/>
    </row>
    <row r="465">
      <c r="A465" s="9" t="n">
        <v>543333</v>
      </c>
      <c r="B465" s="9" t="inlineStr">
        <is>
          <t>Eric Hosmer</t>
        </is>
      </c>
      <c r="C465" s="9" t="inlineStr">
        <is>
          <t>CHC</t>
        </is>
      </c>
      <c r="D465" s="9" t="n">
        <v>37</v>
      </c>
      <c r="E465" s="16" t="inlineStr">
        <is>
          <t>L</t>
        </is>
      </c>
      <c r="F465" s="16" t="inlineStr">
        <is>
          <t>1B</t>
        </is>
      </c>
      <c r="G465" s="9" t="n">
        <v>100</v>
      </c>
      <c r="H465" s="9" t="n">
        <v>519</v>
      </c>
      <c r="I465" s="9" t="inlineStr">
        <is>
          <t>Depth (no MLB PA)</t>
        </is>
      </c>
      <c r="J465" s="16" t="inlineStr">
        <is>
          <t>Opening Day</t>
        </is>
      </c>
      <c r="K465" s="11">
        <f>IFERROR(INDEX(Roles!$B$17:$B$20,MATCH(J465,Roles!$A$17:$A$20,0)),1)</f>
        <v/>
      </c>
      <c r="L465" s="17" t="n">
        <v>1</v>
      </c>
      <c r="M465" s="11" t="n">
        <v>1</v>
      </c>
      <c r="N465" s="17" t="n"/>
      <c r="O465" s="17" t="n"/>
      <c r="P465" s="17" t="n"/>
      <c r="Q465" s="17" t="n"/>
      <c r="R465" s="17" t="n"/>
      <c r="S465" s="17" t="n"/>
      <c r="T465" s="17" t="n"/>
      <c r="U465" s="17" t="n"/>
      <c r="V465" s="17" t="n"/>
      <c r="W465" s="17" t="n"/>
      <c r="X465" s="17" t="n"/>
      <c r="Y465" s="17" t="n">
        <v>1</v>
      </c>
      <c r="Z465" s="13">
        <f>SUMPRODUCT(N465:Y465,$N$2:$Y$2)*$K465*$L465*$M465</f>
        <v/>
      </c>
      <c r="AA465" s="14">
        <f>SUM(N465:Y465)</f>
        <v/>
      </c>
      <c r="AB465" s="14">
        <f>IFERROR(IF(UPPER($E465)="L",SUMPRODUCT(N465:Y465,$N$3:$Y$3,$N$2:$Y$2),SUMPRODUCT(N465:Y465,$N$4:$Y$4,$N$2:$Y$2))/(Z465/($K465*$L465*$M465)),"")</f>
        <v/>
      </c>
      <c r="AC465" s="18" t="n"/>
    </row>
    <row r="466">
      <c r="A466" s="9" t="n">
        <v>813860</v>
      </c>
      <c r="B466" s="9" t="inlineStr">
        <is>
          <t>Charlie Pagliarini</t>
        </is>
      </c>
      <c r="C466" s="9" t="inlineStr">
        <is>
          <t>SEA</t>
        </is>
      </c>
      <c r="D466" s="9" t="n">
        <v>25</v>
      </c>
      <c r="E466" s="16" t="inlineStr">
        <is>
          <t>L</t>
        </is>
      </c>
      <c r="F466" s="16" t="n"/>
      <c r="G466" s="9" t="n">
        <v>207.1282051282052</v>
      </c>
      <c r="H466" s="9" t="n">
        <v>207.1282051282052</v>
      </c>
      <c r="I466" s="9" t="inlineStr">
        <is>
          <t>Depth (no MLB PA)</t>
        </is>
      </c>
      <c r="J466" s="16" t="inlineStr">
        <is>
          <t>Opening Day</t>
        </is>
      </c>
      <c r="K466" s="11">
        <f>IFERROR(INDEX(Roles!$B$17:$B$20,MATCH(J466,Roles!$A$17:$A$20,0)),1)</f>
        <v/>
      </c>
      <c r="L466" s="17" t="n">
        <v>1</v>
      </c>
      <c r="M466" s="11" t="n">
        <v>1</v>
      </c>
      <c r="N466" s="17" t="n"/>
      <c r="O466" s="17" t="n"/>
      <c r="P466" s="17" t="n"/>
      <c r="Q466" s="17" t="n"/>
      <c r="R466" s="17" t="n"/>
      <c r="S466" s="17" t="n"/>
      <c r="T466" s="17" t="n"/>
      <c r="U466" s="17" t="n"/>
      <c r="V466" s="17" t="n"/>
      <c r="W466" s="17" t="n"/>
      <c r="X466" s="17" t="n"/>
      <c r="Y466" s="17" t="n">
        <v>1</v>
      </c>
      <c r="Z466" s="13">
        <f>SUMPRODUCT(N466:Y466,$N$2:$Y$2)*$K466*$L466*$M466</f>
        <v/>
      </c>
      <c r="AA466" s="14">
        <f>SUM(N466:Y466)</f>
        <v/>
      </c>
      <c r="AB466" s="14">
        <f>IFERROR(IF(UPPER($E466)="L",SUMPRODUCT(N466:Y466,$N$3:$Y$3,$N$2:$Y$2),SUMPRODUCT(N466:Y466,$N$4:$Y$4,$N$2:$Y$2))/(Z466/($K466*$L466*$M466)),"")</f>
        <v/>
      </c>
      <c r="AC466" s="18" t="n"/>
    </row>
    <row r="467">
      <c r="A467" s="9" t="n">
        <v>823079</v>
      </c>
      <c r="B467" s="9" t="inlineStr">
        <is>
          <t>Ben North</t>
        </is>
      </c>
      <c r="C467" s="9" t="inlineStr">
        <is>
          <t>KC</t>
        </is>
      </c>
      <c r="D467" s="9" t="n">
        <v>25</v>
      </c>
      <c r="E467" s="16" t="inlineStr">
        <is>
          <t>R</t>
        </is>
      </c>
      <c r="F467" s="16" t="n"/>
      <c r="G467" s="9" t="n">
        <v>12.92307692307692</v>
      </c>
      <c r="H467" s="9" t="n">
        <v>12.92307692307692</v>
      </c>
      <c r="I467" s="9" t="inlineStr">
        <is>
          <t>Depth (no MLB PA)</t>
        </is>
      </c>
      <c r="J467" s="16" t="inlineStr">
        <is>
          <t>Opening Day</t>
        </is>
      </c>
      <c r="K467" s="11">
        <f>IFERROR(INDEX(Roles!$B$17:$B$20,MATCH(J467,Roles!$A$17:$A$20,0)),1)</f>
        <v/>
      </c>
      <c r="L467" s="17" t="n">
        <v>1</v>
      </c>
      <c r="M467" s="11" t="n">
        <v>1</v>
      </c>
      <c r="N467" s="17" t="n"/>
      <c r="O467" s="17" t="n"/>
      <c r="P467" s="17" t="n"/>
      <c r="Q467" s="17" t="n"/>
      <c r="R467" s="17" t="n"/>
      <c r="S467" s="17" t="n"/>
      <c r="T467" s="17" t="n"/>
      <c r="U467" s="17" t="n"/>
      <c r="V467" s="17" t="n"/>
      <c r="W467" s="17" t="n"/>
      <c r="X467" s="17" t="n"/>
      <c r="Y467" s="17" t="n">
        <v>1</v>
      </c>
      <c r="Z467" s="13">
        <f>SUMPRODUCT(N467:Y467,$N$2:$Y$2)*$K467*$L467*$M467</f>
        <v/>
      </c>
      <c r="AA467" s="14">
        <f>SUM(N467:Y467)</f>
        <v/>
      </c>
      <c r="AB467" s="14">
        <f>IFERROR(IF(UPPER($E467)="L",SUMPRODUCT(N467:Y467,$N$3:$Y$3,$N$2:$Y$2),SUMPRODUCT(N467:Y467,$N$4:$Y$4,$N$2:$Y$2))/(Z467/($K467*$L467*$M467)),"")</f>
        <v/>
      </c>
      <c r="AC467" s="18" t="n"/>
    </row>
    <row r="468">
      <c r="A468" s="9" t="n">
        <v>804466</v>
      </c>
      <c r="B468" s="9" t="inlineStr">
        <is>
          <t>Carter Garate</t>
        </is>
      </c>
      <c r="C468" s="9" t="inlineStr">
        <is>
          <t>TEX</t>
        </is>
      </c>
      <c r="D468" s="9" t="n">
        <v>25</v>
      </c>
      <c r="E468" s="16" t="inlineStr">
        <is>
          <t>L</t>
        </is>
      </c>
      <c r="F468" s="16" t="n"/>
      <c r="G468" s="9" t="n">
        <v>2.256410256410257</v>
      </c>
      <c r="H468" s="9" t="n">
        <v>2.256410256410257</v>
      </c>
      <c r="I468" s="9" t="inlineStr">
        <is>
          <t>Depth (no MLB PA)</t>
        </is>
      </c>
      <c r="J468" s="16" t="inlineStr">
        <is>
          <t>Opening Day</t>
        </is>
      </c>
      <c r="K468" s="11">
        <f>IFERROR(INDEX(Roles!$B$17:$B$20,MATCH(J468,Roles!$A$17:$A$20,0)),1)</f>
        <v/>
      </c>
      <c r="L468" s="17" t="n">
        <v>1</v>
      </c>
      <c r="M468" s="11" t="n">
        <v>1</v>
      </c>
      <c r="N468" s="17" t="n"/>
      <c r="O468" s="17" t="n"/>
      <c r="P468" s="17" t="n"/>
      <c r="Q468" s="17" t="n"/>
      <c r="R468" s="17" t="n"/>
      <c r="S468" s="17" t="n"/>
      <c r="T468" s="17" t="n"/>
      <c r="U468" s="17" t="n"/>
      <c r="V468" s="17" t="n"/>
      <c r="W468" s="17" t="n"/>
      <c r="X468" s="17" t="n"/>
      <c r="Y468" s="17" t="n">
        <v>1</v>
      </c>
      <c r="Z468" s="13">
        <f>SUMPRODUCT(N468:Y468,$N$2:$Y$2)*$K468*$L468*$M468</f>
        <v/>
      </c>
      <c r="AA468" s="14">
        <f>SUM(N468:Y468)</f>
        <v/>
      </c>
      <c r="AB468" s="14">
        <f>IFERROR(IF(UPPER($E468)="L",SUMPRODUCT(N468:Y468,$N$3:$Y$3,$N$2:$Y$2),SUMPRODUCT(N468:Y468,$N$4:$Y$4,$N$2:$Y$2))/(Z468/($K468*$L468*$M468)),"")</f>
        <v/>
      </c>
      <c r="AC468" s="18" t="n"/>
    </row>
    <row r="469">
      <c r="A469" s="9" t="n">
        <v>842249</v>
      </c>
      <c r="B469" s="9" t="inlineStr">
        <is>
          <t>Graham Brown</t>
        </is>
      </c>
      <c r="C469" s="9" t="inlineStr">
        <is>
          <t>MIN</t>
        </is>
      </c>
      <c r="D469" s="9" t="n">
        <v>25</v>
      </c>
      <c r="E469" s="16" t="inlineStr">
        <is>
          <t>R</t>
        </is>
      </c>
      <c r="F469" s="16" t="n"/>
      <c r="G469" s="9" t="n">
        <v>2.256410256410257</v>
      </c>
      <c r="H469" s="9" t="n">
        <v>2.256410256410257</v>
      </c>
      <c r="I469" s="9" t="inlineStr">
        <is>
          <t>Depth (no MLB PA)</t>
        </is>
      </c>
      <c r="J469" s="16" t="inlineStr">
        <is>
          <t>Opening Day</t>
        </is>
      </c>
      <c r="K469" s="11">
        <f>IFERROR(INDEX(Roles!$B$17:$B$20,MATCH(J469,Roles!$A$17:$A$20,0)),1)</f>
        <v/>
      </c>
      <c r="L469" s="17" t="n">
        <v>1</v>
      </c>
      <c r="M469" s="11" t="n">
        <v>1</v>
      </c>
      <c r="N469" s="17" t="n"/>
      <c r="O469" s="17" t="n"/>
      <c r="P469" s="17" t="n"/>
      <c r="Q469" s="17" t="n"/>
      <c r="R469" s="17" t="n"/>
      <c r="S469" s="17" t="n"/>
      <c r="T469" s="17" t="n"/>
      <c r="U469" s="17" t="n"/>
      <c r="V469" s="17" t="n"/>
      <c r="W469" s="17" t="n"/>
      <c r="X469" s="17" t="n"/>
      <c r="Y469" s="17" t="n">
        <v>1</v>
      </c>
      <c r="Z469" s="13">
        <f>SUMPRODUCT(N469:Y469,$N$2:$Y$2)*$K469*$L469*$M469</f>
        <v/>
      </c>
      <c r="AA469" s="14">
        <f>SUM(N469:Y469)</f>
        <v/>
      </c>
      <c r="AB469" s="14">
        <f>IFERROR(IF(UPPER($E469)="L",SUMPRODUCT(N469:Y469,$N$3:$Y$3,$N$2:$Y$2),SUMPRODUCT(N469:Y469,$N$4:$Y$4,$N$2:$Y$2))/(Z469/($K469*$L469*$M469)),"")</f>
        <v/>
      </c>
      <c r="AC469" s="18" t="n"/>
    </row>
    <row r="470">
      <c r="A470" s="9" t="n">
        <v>596146</v>
      </c>
      <c r="B470" s="9" t="inlineStr">
        <is>
          <t>Max Kepler</t>
        </is>
      </c>
      <c r="C470" s="9" t="inlineStr">
        <is>
          <t>ARI</t>
        </is>
      </c>
      <c r="D470" s="9" t="n">
        <v>34</v>
      </c>
      <c r="E470" s="16" t="inlineStr">
        <is>
          <t>L</t>
        </is>
      </c>
      <c r="F470" s="16" t="inlineStr">
        <is>
          <t>LF</t>
        </is>
      </c>
      <c r="G470" s="9" t="n">
        <v>145</v>
      </c>
      <c r="H470" s="9" t="n">
        <v>1955</v>
      </c>
      <c r="I470" s="9" t="inlineStr">
        <is>
          <t>Full Time</t>
        </is>
      </c>
      <c r="J470" s="16" t="inlineStr">
        <is>
          <t>Opening Day</t>
        </is>
      </c>
      <c r="K470" s="11">
        <f>IFERROR(INDEX(Roles!$B$17:$B$20,MATCH(J470,Roles!$A$17:$A$20,0)),1)</f>
        <v/>
      </c>
      <c r="L470" s="17" t="n">
        <v>1</v>
      </c>
      <c r="M470" s="11" t="n">
        <v>0.804659641100261</v>
      </c>
      <c r="N470" s="17" t="n">
        <v>1</v>
      </c>
      <c r="O470" s="17" t="n"/>
      <c r="P470" s="17" t="n"/>
      <c r="Q470" s="17" t="n"/>
      <c r="R470" s="17" t="n"/>
      <c r="S470" s="17" t="n"/>
      <c r="T470" s="17" t="n"/>
      <c r="U470" s="17" t="n"/>
      <c r="V470" s="17" t="n"/>
      <c r="W470" s="17" t="n"/>
      <c r="X470" s="17" t="n"/>
      <c r="Y470" s="17" t="n"/>
      <c r="Z470" s="13">
        <f>SUMPRODUCT(N470:Y470,$N$2:$Y$2)*$K470*$L470*$M470</f>
        <v/>
      </c>
      <c r="AA470" s="14">
        <f>SUM(N470:Y470)</f>
        <v/>
      </c>
      <c r="AB470" s="14">
        <f>IFERROR(IF(UPPER($E470)="L",SUMPRODUCT(N470:Y470,$N$3:$Y$3,$N$2:$Y$2),SUMPRODUCT(N470:Y470,$N$4:$Y$4,$N$2:$Y$2))/(Z470/($K470*$L470*$M470)),"")</f>
        <v/>
      </c>
      <c r="AC470" s="18" t="n"/>
    </row>
    <row r="471">
      <c r="A471" s="9" t="n">
        <v>811287</v>
      </c>
      <c r="B471" s="9" t="inlineStr">
        <is>
          <t>Carson Roccaforte</t>
        </is>
      </c>
      <c r="C471" s="9" t="inlineStr">
        <is>
          <t>KC</t>
        </is>
      </c>
      <c r="D471" s="9" t="n">
        <v>25</v>
      </c>
      <c r="E471" s="16" t="inlineStr">
        <is>
          <t>L</t>
        </is>
      </c>
      <c r="F471" s="16" t="n"/>
      <c r="G471" s="9" t="n">
        <v>64.87179487179488</v>
      </c>
      <c r="H471" s="9" t="n">
        <v>64.87179487179488</v>
      </c>
      <c r="I471" s="9" t="inlineStr">
        <is>
          <t>Depth (no MLB PA)</t>
        </is>
      </c>
      <c r="J471" s="16" t="inlineStr">
        <is>
          <t>Opening Day</t>
        </is>
      </c>
      <c r="K471" s="11">
        <f>IFERROR(INDEX(Roles!$B$17:$B$20,MATCH(J471,Roles!$A$17:$A$20,0)),1)</f>
        <v/>
      </c>
      <c r="L471" s="17" t="n">
        <v>1</v>
      </c>
      <c r="M471" s="11" t="n">
        <v>1</v>
      </c>
      <c r="N471" s="17" t="n"/>
      <c r="O471" s="17" t="n"/>
      <c r="P471" s="17" t="n"/>
      <c r="Q471" s="17" t="n"/>
      <c r="R471" s="17" t="n"/>
      <c r="S471" s="17" t="n"/>
      <c r="T471" s="17" t="n"/>
      <c r="U471" s="17" t="n"/>
      <c r="V471" s="17" t="n"/>
      <c r="W471" s="17" t="n"/>
      <c r="X471" s="17" t="n"/>
      <c r="Y471" s="17" t="n">
        <v>1</v>
      </c>
      <c r="Z471" s="13">
        <f>SUMPRODUCT(N471:Y471,$N$2:$Y$2)*$K471*$L471*$M471</f>
        <v/>
      </c>
      <c r="AA471" s="14">
        <f>SUM(N471:Y471)</f>
        <v/>
      </c>
      <c r="AB471" s="14">
        <f>IFERROR(IF(UPPER($E471)="L",SUMPRODUCT(N471:Y471,$N$3:$Y$3,$N$2:$Y$2),SUMPRODUCT(N471:Y471,$N$4:$Y$4,$N$2:$Y$2))/(Z471/($K471*$L471*$M471)),"")</f>
        <v/>
      </c>
      <c r="AC471" s="18" t="n"/>
    </row>
    <row r="472">
      <c r="A472" s="9" t="n">
        <v>828600</v>
      </c>
      <c r="B472" s="9" t="inlineStr">
        <is>
          <t>Hayden Gilliland</t>
        </is>
      </c>
      <c r="C472" s="9" t="inlineStr">
        <is>
          <t>LAD</t>
        </is>
      </c>
      <c r="D472" s="9" t="n">
        <v>25</v>
      </c>
      <c r="E472" s="16" t="inlineStr">
        <is>
          <t>L</t>
        </is>
      </c>
      <c r="F472" s="16" t="n"/>
      <c r="G472" s="9" t="n">
        <v>17.58974358974359</v>
      </c>
      <c r="H472" s="9" t="n">
        <v>17.58974358974359</v>
      </c>
      <c r="I472" s="9" t="inlineStr">
        <is>
          <t>Depth (no MLB PA)</t>
        </is>
      </c>
      <c r="J472" s="16" t="inlineStr">
        <is>
          <t>Opening Day</t>
        </is>
      </c>
      <c r="K472" s="11">
        <f>IFERROR(INDEX(Roles!$B$17:$B$20,MATCH(J472,Roles!$A$17:$A$20,0)),1)</f>
        <v/>
      </c>
      <c r="L472" s="17" t="n">
        <v>1</v>
      </c>
      <c r="M472" s="11" t="n">
        <v>1</v>
      </c>
      <c r="N472" s="17" t="n"/>
      <c r="O472" s="17" t="n"/>
      <c r="P472" s="17" t="n"/>
      <c r="Q472" s="17" t="n"/>
      <c r="R472" s="17" t="n"/>
      <c r="S472" s="17" t="n"/>
      <c r="T472" s="17" t="n"/>
      <c r="U472" s="17" t="n"/>
      <c r="V472" s="17" t="n"/>
      <c r="W472" s="17" t="n"/>
      <c r="X472" s="17" t="n"/>
      <c r="Y472" s="17" t="n">
        <v>1</v>
      </c>
      <c r="Z472" s="13">
        <f>SUMPRODUCT(N472:Y472,$N$2:$Y$2)*$K472*$L472*$M472</f>
        <v/>
      </c>
      <c r="AA472" s="14">
        <f>SUM(N472:Y472)</f>
        <v/>
      </c>
      <c r="AB472" s="14">
        <f>IFERROR(IF(UPPER($E472)="L",SUMPRODUCT(N472:Y472,$N$3:$Y$3,$N$2:$Y$2),SUMPRODUCT(N472:Y472,$N$4:$Y$4,$N$2:$Y$2))/(Z472/($K472*$L472*$M472)),"")</f>
        <v/>
      </c>
      <c r="AC472" s="18" t="n"/>
    </row>
    <row r="473">
      <c r="A473" s="9" t="n">
        <v>814413</v>
      </c>
      <c r="B473" s="9" t="inlineStr">
        <is>
          <t>Ian Petrutz</t>
        </is>
      </c>
      <c r="C473" s="9" t="inlineStr">
        <is>
          <t>STL</t>
        </is>
      </c>
      <c r="D473" s="9" t="n">
        <v>25</v>
      </c>
      <c r="E473" s="16" t="inlineStr">
        <is>
          <t>L</t>
        </is>
      </c>
      <c r="F473" s="16" t="n"/>
      <c r="G473" s="9" t="n">
        <v>9.692307692307692</v>
      </c>
      <c r="H473" s="9" t="n">
        <v>9.692307692307692</v>
      </c>
      <c r="I473" s="9" t="inlineStr">
        <is>
          <t>Depth (no MLB PA)</t>
        </is>
      </c>
      <c r="J473" s="16" t="inlineStr">
        <is>
          <t>Opening Day</t>
        </is>
      </c>
      <c r="K473" s="11">
        <f>IFERROR(INDEX(Roles!$B$17:$B$20,MATCH(J473,Roles!$A$17:$A$20,0)),1)</f>
        <v/>
      </c>
      <c r="L473" s="17" t="n">
        <v>1</v>
      </c>
      <c r="M473" s="11" t="n">
        <v>1</v>
      </c>
      <c r="N473" s="17" t="n"/>
      <c r="O473" s="17" t="n"/>
      <c r="P473" s="17" t="n"/>
      <c r="Q473" s="17" t="n"/>
      <c r="R473" s="17" t="n"/>
      <c r="S473" s="17" t="n"/>
      <c r="T473" s="17" t="n"/>
      <c r="U473" s="17" t="n"/>
      <c r="V473" s="17" t="n"/>
      <c r="W473" s="17" t="n"/>
      <c r="X473" s="17" t="n"/>
      <c r="Y473" s="17" t="n">
        <v>1</v>
      </c>
      <c r="Z473" s="13">
        <f>SUMPRODUCT(N473:Y473,$N$2:$Y$2)*$K473*$L473*$M473</f>
        <v/>
      </c>
      <c r="AA473" s="14">
        <f>SUM(N473:Y473)</f>
        <v/>
      </c>
      <c r="AB473" s="14">
        <f>IFERROR(IF(UPPER($E473)="L",SUMPRODUCT(N473:Y473,$N$3:$Y$3,$N$2:$Y$2),SUMPRODUCT(N473:Y473,$N$4:$Y$4,$N$2:$Y$2))/(Z473/($K473*$L473*$M473)),"")</f>
        <v/>
      </c>
      <c r="AC473" s="18" t="n"/>
    </row>
    <row r="474">
      <c r="A474" s="9" t="n">
        <v>686981</v>
      </c>
      <c r="B474" s="9" t="inlineStr">
        <is>
          <t>Brenden Dixon</t>
        </is>
      </c>
      <c r="C474" s="9" t="inlineStr">
        <is>
          <t>CWS</t>
        </is>
      </c>
      <c r="D474" s="9" t="n">
        <v>25</v>
      </c>
      <c r="E474" s="16" t="inlineStr">
        <is>
          <t>R</t>
        </is>
      </c>
      <c r="F474" s="16" t="n"/>
      <c r="G474" s="9" t="n">
        <v>33.74358974358974</v>
      </c>
      <c r="H474" s="9" t="n">
        <v>33.74358974358974</v>
      </c>
      <c r="I474" s="9" t="inlineStr">
        <is>
          <t>Depth (no MLB PA)</t>
        </is>
      </c>
      <c r="J474" s="16" t="inlineStr">
        <is>
          <t>Opening Day</t>
        </is>
      </c>
      <c r="K474" s="11">
        <f>IFERROR(INDEX(Roles!$B$17:$B$20,MATCH(J474,Roles!$A$17:$A$20,0)),1)</f>
        <v/>
      </c>
      <c r="L474" s="17" t="n">
        <v>1</v>
      </c>
      <c r="M474" s="11" t="n">
        <v>1</v>
      </c>
      <c r="N474" s="17" t="n"/>
      <c r="O474" s="17" t="n"/>
      <c r="P474" s="17" t="n"/>
      <c r="Q474" s="17" t="n"/>
      <c r="R474" s="17" t="n"/>
      <c r="S474" s="17" t="n"/>
      <c r="T474" s="17" t="n"/>
      <c r="U474" s="17" t="n"/>
      <c r="V474" s="17" t="n"/>
      <c r="W474" s="17" t="n"/>
      <c r="X474" s="17" t="n"/>
      <c r="Y474" s="17" t="n">
        <v>1</v>
      </c>
      <c r="Z474" s="13">
        <f>SUMPRODUCT(N474:Y474,$N$2:$Y$2)*$K474*$L474*$M474</f>
        <v/>
      </c>
      <c r="AA474" s="14">
        <f>SUM(N474:Y474)</f>
        <v/>
      </c>
      <c r="AB474" s="14">
        <f>IFERROR(IF(UPPER($E474)="L",SUMPRODUCT(N474:Y474,$N$3:$Y$3,$N$2:$Y$2),SUMPRODUCT(N474:Y474,$N$4:$Y$4,$N$2:$Y$2))/(Z474/($K474*$L474*$M474)),"")</f>
        <v/>
      </c>
      <c r="AC474" s="18" t="n"/>
    </row>
    <row r="475">
      <c r="A475" s="9" t="n">
        <v>821273</v>
      </c>
      <c r="B475" s="9" t="inlineStr">
        <is>
          <t>Edward Florentino</t>
        </is>
      </c>
      <c r="C475" s="9" t="inlineStr">
        <is>
          <t>PIT</t>
        </is>
      </c>
      <c r="D475" s="9" t="n">
        <v>21</v>
      </c>
      <c r="E475" s="16" t="inlineStr">
        <is>
          <t>L</t>
        </is>
      </c>
      <c r="F475" s="16" t="n"/>
      <c r="G475" s="9" t="n">
        <v>86.97435897435898</v>
      </c>
      <c r="H475" s="9" t="n">
        <v>86.97435897435898</v>
      </c>
      <c r="I475" s="9" t="inlineStr">
        <is>
          <t>Depth (no MLB PA)</t>
        </is>
      </c>
      <c r="J475" s="16" t="inlineStr">
        <is>
          <t>Opening Day</t>
        </is>
      </c>
      <c r="K475" s="11">
        <f>IFERROR(INDEX(Roles!$B$17:$B$20,MATCH(J475,Roles!$A$17:$A$20,0)),1)</f>
        <v/>
      </c>
      <c r="L475" s="17" t="n">
        <v>1</v>
      </c>
      <c r="M475" s="11" t="n">
        <v>1</v>
      </c>
      <c r="N475" s="17" t="n"/>
      <c r="O475" s="17" t="n"/>
      <c r="P475" s="17" t="n"/>
      <c r="Q475" s="17" t="n"/>
      <c r="R475" s="17" t="n"/>
      <c r="S475" s="17" t="n"/>
      <c r="T475" s="17" t="n"/>
      <c r="U475" s="17" t="n"/>
      <c r="V475" s="17" t="n"/>
      <c r="W475" s="17" t="n"/>
      <c r="X475" s="17" t="n"/>
      <c r="Y475" s="17" t="n">
        <v>1</v>
      </c>
      <c r="Z475" s="13">
        <f>SUMPRODUCT(N475:Y475,$N$2:$Y$2)*$K475*$L475*$M475</f>
        <v/>
      </c>
      <c r="AA475" s="14">
        <f>SUM(N475:Y475)</f>
        <v/>
      </c>
      <c r="AB475" s="14">
        <f>IFERROR(IF(UPPER($E475)="L",SUMPRODUCT(N475:Y475,$N$3:$Y$3,$N$2:$Y$2),SUMPRODUCT(N475:Y475,$N$4:$Y$4,$N$2:$Y$2))/(Z475/($K475*$L475*$M475)),"")</f>
        <v/>
      </c>
      <c r="AC475" s="18" t="n"/>
    </row>
    <row r="476">
      <c r="A476" s="9" t="n">
        <v>825927</v>
      </c>
      <c r="B476" s="9" t="inlineStr">
        <is>
          <t>Rafe Perich</t>
        </is>
      </c>
      <c r="C476" s="9" t="inlineStr">
        <is>
          <t>TEX</t>
        </is>
      </c>
      <c r="D476" s="9" t="n">
        <v>25</v>
      </c>
      <c r="E476" s="16" t="inlineStr">
        <is>
          <t>S</t>
        </is>
      </c>
      <c r="F476" s="16" t="n"/>
      <c r="G476" s="9" t="n">
        <v>122.4102564102564</v>
      </c>
      <c r="H476" s="9" t="n">
        <v>122.4102564102564</v>
      </c>
      <c r="I476" s="9" t="inlineStr">
        <is>
          <t>Depth (no MLB PA)</t>
        </is>
      </c>
      <c r="J476" s="16" t="inlineStr">
        <is>
          <t>Opening Day</t>
        </is>
      </c>
      <c r="K476" s="11">
        <f>IFERROR(INDEX(Roles!$B$17:$B$20,MATCH(J476,Roles!$A$17:$A$20,0)),1)</f>
        <v/>
      </c>
      <c r="L476" s="17" t="n">
        <v>1</v>
      </c>
      <c r="M476" s="11" t="n">
        <v>1</v>
      </c>
      <c r="N476" s="17" t="n"/>
      <c r="O476" s="17" t="n"/>
      <c r="P476" s="17" t="n"/>
      <c r="Q476" s="17" t="n"/>
      <c r="R476" s="17" t="n"/>
      <c r="S476" s="17" t="n"/>
      <c r="T476" s="17" t="n"/>
      <c r="U476" s="17" t="n"/>
      <c r="V476" s="17" t="n"/>
      <c r="W476" s="17" t="n"/>
      <c r="X476" s="17" t="n"/>
      <c r="Y476" s="17" t="n">
        <v>1</v>
      </c>
      <c r="Z476" s="13">
        <f>SUMPRODUCT(N476:Y476,$N$2:$Y$2)*$K476*$L476*$M476</f>
        <v/>
      </c>
      <c r="AA476" s="14">
        <f>SUM(N476:Y476)</f>
        <v/>
      </c>
      <c r="AB476" s="14">
        <f>IFERROR(IF(UPPER($E476)="L",SUMPRODUCT(N476:Y476,$N$3:$Y$3,$N$2:$Y$2),SUMPRODUCT(N476:Y476,$N$4:$Y$4,$N$2:$Y$2))/(Z476/($K476*$L476*$M476)),"")</f>
        <v/>
      </c>
      <c r="AC476" s="18" t="n"/>
    </row>
    <row r="477">
      <c r="A477" s="9" t="n">
        <v>606132</v>
      </c>
      <c r="B477" s="9" t="inlineStr">
        <is>
          <t>Raimel Tapia</t>
        </is>
      </c>
      <c r="C477" s="9" t="inlineStr">
        <is>
          <t>TB</t>
        </is>
      </c>
      <c r="D477" s="9" t="n">
        <v>33</v>
      </c>
      <c r="E477" s="16" t="inlineStr">
        <is>
          <t>L</t>
        </is>
      </c>
      <c r="F477" s="16" t="inlineStr">
        <is>
          <t>RF</t>
        </is>
      </c>
      <c r="G477" s="9" t="n">
        <v>169</v>
      </c>
      <c r="H477" s="9" t="n">
        <v>602</v>
      </c>
      <c r="I477" s="9" t="inlineStr">
        <is>
          <t>Depth (no MLB PA)</t>
        </is>
      </c>
      <c r="J477" s="16" t="inlineStr">
        <is>
          <t>Opening Day</t>
        </is>
      </c>
      <c r="K477" s="11">
        <f>IFERROR(INDEX(Roles!$B$17:$B$20,MATCH(J477,Roles!$A$17:$A$20,0)),1)</f>
        <v/>
      </c>
      <c r="L477" s="17" t="n">
        <v>1</v>
      </c>
      <c r="M477" s="11" t="n">
        <v>1</v>
      </c>
      <c r="N477" s="17" t="n"/>
      <c r="O477" s="17" t="n"/>
      <c r="P477" s="17" t="n"/>
      <c r="Q477" s="17" t="n"/>
      <c r="R477" s="17" t="n"/>
      <c r="S477" s="17" t="n"/>
      <c r="T477" s="17" t="n"/>
      <c r="U477" s="17" t="n"/>
      <c r="V477" s="17" t="n"/>
      <c r="W477" s="17" t="n"/>
      <c r="X477" s="17" t="n"/>
      <c r="Y477" s="17" t="n">
        <v>1</v>
      </c>
      <c r="Z477" s="13">
        <f>SUMPRODUCT(N477:Y477,$N$2:$Y$2)*$K477*$L477*$M477</f>
        <v/>
      </c>
      <c r="AA477" s="14">
        <f>SUM(N477:Y477)</f>
        <v/>
      </c>
      <c r="AB477" s="14">
        <f>IFERROR(IF(UPPER($E477)="L",SUMPRODUCT(N477:Y477,$N$3:$Y$3,$N$2:$Y$2),SUMPRODUCT(N477:Y477,$N$4:$Y$4,$N$2:$Y$2))/(Z477/($K477*$L477*$M477)),"")</f>
        <v/>
      </c>
      <c r="AC477" s="18" t="n"/>
    </row>
    <row r="478">
      <c r="A478" s="9" t="n">
        <v>700652</v>
      </c>
      <c r="B478" s="9" t="inlineStr">
        <is>
          <t>Kenny Piper</t>
        </is>
      </c>
      <c r="C478" s="9" t="inlineStr">
        <is>
          <t>TB</t>
        </is>
      </c>
      <c r="D478" s="9" t="n">
        <v>28</v>
      </c>
      <c r="E478" s="16" t="inlineStr">
        <is>
          <t>R</t>
        </is>
      </c>
      <c r="F478" s="16" t="inlineStr">
        <is>
          <t>C</t>
        </is>
      </c>
      <c r="G478" s="9" t="n">
        <v>11</v>
      </c>
      <c r="H478" s="9" t="n">
        <v>11</v>
      </c>
      <c r="I478" s="9" t="inlineStr">
        <is>
          <t>Depth (no MLB PA)</t>
        </is>
      </c>
      <c r="J478" s="16" t="inlineStr">
        <is>
          <t>Opening Day</t>
        </is>
      </c>
      <c r="K478" s="11">
        <f>IFERROR(INDEX(Roles!$B$17:$B$20,MATCH(J478,Roles!$A$17:$A$20,0)),1)</f>
        <v/>
      </c>
      <c r="L478" s="17" t="n">
        <v>1</v>
      </c>
      <c r="M478" s="11" t="n">
        <v>1</v>
      </c>
      <c r="N478" s="17" t="n"/>
      <c r="O478" s="17" t="n"/>
      <c r="P478" s="17" t="n"/>
      <c r="Q478" s="17" t="n"/>
      <c r="R478" s="17" t="n"/>
      <c r="S478" s="17" t="n"/>
      <c r="T478" s="17" t="n"/>
      <c r="U478" s="17" t="n"/>
      <c r="V478" s="17" t="n"/>
      <c r="W478" s="17" t="n"/>
      <c r="X478" s="17" t="n"/>
      <c r="Y478" s="17" t="n">
        <v>1</v>
      </c>
      <c r="Z478" s="13">
        <f>SUMPRODUCT(N478:Y478,$N$2:$Y$2)*$K478*$L478*$M478</f>
        <v/>
      </c>
      <c r="AA478" s="14">
        <f>SUM(N478:Y478)</f>
        <v/>
      </c>
      <c r="AB478" s="14">
        <f>IFERROR(IF(UPPER($E478)="L",SUMPRODUCT(N478:Y478,$N$3:$Y$3,$N$2:$Y$2),SUMPRODUCT(N478:Y478,$N$4:$Y$4,$N$2:$Y$2))/(Z478/($K478*$L478*$M478)),"")</f>
        <v/>
      </c>
      <c r="AC478" s="18" t="n"/>
    </row>
    <row r="479">
      <c r="A479" s="9" t="n">
        <v>621466</v>
      </c>
      <c r="B479" s="9" t="inlineStr">
        <is>
          <t>DJ Stewart</t>
        </is>
      </c>
      <c r="C479" s="9" t="inlineStr">
        <is>
          <t>NYM</t>
        </is>
      </c>
      <c r="D479" s="9" t="n">
        <v>33</v>
      </c>
      <c r="E479" s="16" t="inlineStr">
        <is>
          <t>L</t>
        </is>
      </c>
      <c r="F479" s="16" t="inlineStr">
        <is>
          <t>RF</t>
        </is>
      </c>
      <c r="G479" s="9" t="n">
        <v>194</v>
      </c>
      <c r="H479" s="9" t="n">
        <v>382</v>
      </c>
      <c r="I479" s="9" t="inlineStr">
        <is>
          <t>Depth (no MLB PA)</t>
        </is>
      </c>
      <c r="J479" s="16" t="inlineStr">
        <is>
          <t>Opening Day</t>
        </is>
      </c>
      <c r="K479" s="11">
        <f>IFERROR(INDEX(Roles!$B$17:$B$20,MATCH(J479,Roles!$A$17:$A$20,0)),1)</f>
        <v/>
      </c>
      <c r="L479" s="17" t="n">
        <v>1</v>
      </c>
      <c r="M479" s="11" t="n">
        <v>1</v>
      </c>
      <c r="N479" s="17" t="n"/>
      <c r="O479" s="17" t="n"/>
      <c r="P479" s="17" t="n"/>
      <c r="Q479" s="17" t="n"/>
      <c r="R479" s="17" t="n"/>
      <c r="S479" s="17" t="n"/>
      <c r="T479" s="17" t="n"/>
      <c r="U479" s="17" t="n"/>
      <c r="V479" s="17" t="n"/>
      <c r="W479" s="17" t="n"/>
      <c r="X479" s="17" t="n"/>
      <c r="Y479" s="17" t="n">
        <v>1</v>
      </c>
      <c r="Z479" s="13">
        <f>SUMPRODUCT(N479:Y479,$N$2:$Y$2)*$K479*$L479*$M479</f>
        <v/>
      </c>
      <c r="AA479" s="14">
        <f>SUM(N479:Y479)</f>
        <v/>
      </c>
      <c r="AB479" s="14">
        <f>IFERROR(IF(UPPER($E479)="L",SUMPRODUCT(N479:Y479,$N$3:$Y$3,$N$2:$Y$2),SUMPRODUCT(N479:Y479,$N$4:$Y$4,$N$2:$Y$2))/(Z479/($K479*$L479*$M479)),"")</f>
        <v/>
      </c>
      <c r="AC479" s="18" t="n"/>
    </row>
    <row r="480">
      <c r="A480" s="9" t="n">
        <v>809092</v>
      </c>
      <c r="B480" s="9" t="inlineStr">
        <is>
          <t>Murf Gray</t>
        </is>
      </c>
      <c r="C480" s="9" t="inlineStr">
        <is>
          <t>PIT</t>
        </is>
      </c>
      <c r="D480" s="9" t="n">
        <v>24</v>
      </c>
      <c r="E480" s="16" t="inlineStr">
        <is>
          <t>R</t>
        </is>
      </c>
      <c r="F480" s="16" t="n"/>
      <c r="G480" s="9" t="n">
        <v>66.05128205128206</v>
      </c>
      <c r="H480" s="9" t="n">
        <v>66.05128205128206</v>
      </c>
      <c r="I480" s="9" t="inlineStr">
        <is>
          <t>Depth (no MLB PA)</t>
        </is>
      </c>
      <c r="J480" s="16" t="inlineStr">
        <is>
          <t>Opening Day</t>
        </is>
      </c>
      <c r="K480" s="11">
        <f>IFERROR(INDEX(Roles!$B$17:$B$20,MATCH(J480,Roles!$A$17:$A$20,0)),1)</f>
        <v/>
      </c>
      <c r="L480" s="17" t="n">
        <v>1</v>
      </c>
      <c r="M480" s="11" t="n">
        <v>1</v>
      </c>
      <c r="N480" s="17" t="n"/>
      <c r="O480" s="17" t="n"/>
      <c r="P480" s="17" t="n"/>
      <c r="Q480" s="17" t="n"/>
      <c r="R480" s="17" t="n"/>
      <c r="S480" s="17" t="n"/>
      <c r="T480" s="17" t="n"/>
      <c r="U480" s="17" t="n"/>
      <c r="V480" s="17" t="n"/>
      <c r="W480" s="17" t="n"/>
      <c r="X480" s="17" t="n"/>
      <c r="Y480" s="17" t="n">
        <v>1</v>
      </c>
      <c r="Z480" s="13">
        <f>SUMPRODUCT(N480:Y480,$N$2:$Y$2)*$K480*$L480*$M480</f>
        <v/>
      </c>
      <c r="AA480" s="14">
        <f>SUM(N480:Y480)</f>
        <v/>
      </c>
      <c r="AB480" s="14">
        <f>IFERROR(IF(UPPER($E480)="L",SUMPRODUCT(N480:Y480,$N$3:$Y$3,$N$2:$Y$2),SUMPRODUCT(N480:Y480,$N$4:$Y$4,$N$2:$Y$2))/(Z480/($K480*$L480*$M480)),"")</f>
        <v/>
      </c>
      <c r="AC480" s="18" t="n"/>
    </row>
    <row r="481">
      <c r="A481" s="9" t="n">
        <v>800448</v>
      </c>
      <c r="B481" s="9" t="inlineStr">
        <is>
          <t>Echedry Vargas</t>
        </is>
      </c>
      <c r="C481" s="9" t="inlineStr">
        <is>
          <t>MIA</t>
        </is>
      </c>
      <c r="D481" s="9" t="n">
        <v>25</v>
      </c>
      <c r="E481" s="16" t="inlineStr">
        <is>
          <t>R</t>
        </is>
      </c>
      <c r="F481" s="16" t="n"/>
      <c r="G481" s="9" t="n">
        <v>49.47692307692308</v>
      </c>
      <c r="H481" s="9" t="n">
        <v>49.47692307692308</v>
      </c>
      <c r="I481" s="9" t="inlineStr">
        <is>
          <t>Depth (no MLB PA)</t>
        </is>
      </c>
      <c r="J481" s="16" t="inlineStr">
        <is>
          <t>Opening Day</t>
        </is>
      </c>
      <c r="K481" s="11">
        <f>IFERROR(INDEX(Roles!$B$17:$B$20,MATCH(J481,Roles!$A$17:$A$20,0)),1)</f>
        <v/>
      </c>
      <c r="L481" s="17" t="n">
        <v>1</v>
      </c>
      <c r="M481" s="11" t="n">
        <v>1</v>
      </c>
      <c r="N481" s="17" t="n"/>
      <c r="O481" s="17" t="n"/>
      <c r="P481" s="17" t="n"/>
      <c r="Q481" s="17" t="n"/>
      <c r="R481" s="17" t="n"/>
      <c r="S481" s="17" t="n"/>
      <c r="T481" s="17" t="n"/>
      <c r="U481" s="17" t="n"/>
      <c r="V481" s="17" t="n"/>
      <c r="W481" s="17" t="n"/>
      <c r="X481" s="17" t="n"/>
      <c r="Y481" s="17" t="n">
        <v>1</v>
      </c>
      <c r="Z481" s="13">
        <f>SUMPRODUCT(N481:Y481,$N$2:$Y$2)*$K481*$L481*$M481</f>
        <v/>
      </c>
      <c r="AA481" s="14">
        <f>SUM(N481:Y481)</f>
        <v/>
      </c>
      <c r="AB481" s="14">
        <f>IFERROR(IF(UPPER($E481)="L",SUMPRODUCT(N481:Y481,$N$3:$Y$3,$N$2:$Y$2),SUMPRODUCT(N481:Y481,$N$4:$Y$4,$N$2:$Y$2))/(Z481/($K481*$L481*$M481)),"")</f>
        <v/>
      </c>
      <c r="AC481" s="18" t="n"/>
    </row>
    <row r="482">
      <c r="A482" s="9" t="n">
        <v>543281</v>
      </c>
      <c r="B482" s="9" t="inlineStr">
        <is>
          <t>Josh Harrison</t>
        </is>
      </c>
      <c r="C482" s="9" t="inlineStr">
        <is>
          <t>PHI</t>
        </is>
      </c>
      <c r="D482" s="9" t="n">
        <v>39</v>
      </c>
      <c r="E482" s="16" t="inlineStr">
        <is>
          <t>R</t>
        </is>
      </c>
      <c r="F482" s="16" t="inlineStr">
        <is>
          <t>2B</t>
        </is>
      </c>
      <c r="G482" s="9" t="n">
        <v>114</v>
      </c>
      <c r="H482" s="9" t="n">
        <v>539</v>
      </c>
      <c r="I482" s="9" t="inlineStr">
        <is>
          <t>Depth (no MLB PA)</t>
        </is>
      </c>
      <c r="J482" s="16" t="inlineStr">
        <is>
          <t>Opening Day</t>
        </is>
      </c>
      <c r="K482" s="11">
        <f>IFERROR(INDEX(Roles!$B$17:$B$20,MATCH(J482,Roles!$A$17:$A$20,0)),1)</f>
        <v/>
      </c>
      <c r="L482" s="17" t="n">
        <v>1</v>
      </c>
      <c r="M482" s="11" t="n">
        <v>1</v>
      </c>
      <c r="N482" s="17" t="n"/>
      <c r="O482" s="17" t="n"/>
      <c r="P482" s="17" t="n"/>
      <c r="Q482" s="17" t="n"/>
      <c r="R482" s="17" t="n"/>
      <c r="S482" s="17" t="n"/>
      <c r="T482" s="17" t="n"/>
      <c r="U482" s="17" t="n"/>
      <c r="V482" s="17" t="n"/>
      <c r="W482" s="17" t="n"/>
      <c r="X482" s="17" t="n"/>
      <c r="Y482" s="17" t="n">
        <v>1</v>
      </c>
      <c r="Z482" s="13">
        <f>SUMPRODUCT(N482:Y482,$N$2:$Y$2)*$K482*$L482*$M482</f>
        <v/>
      </c>
      <c r="AA482" s="14">
        <f>SUM(N482:Y482)</f>
        <v/>
      </c>
      <c r="AB482" s="14">
        <f>IFERROR(IF(UPPER($E482)="L",SUMPRODUCT(N482:Y482,$N$3:$Y$3,$N$2:$Y$2),SUMPRODUCT(N482:Y482,$N$4:$Y$4,$N$2:$Y$2))/(Z482/($K482*$L482*$M482)),"")</f>
        <v/>
      </c>
      <c r="AC482" s="18" t="n"/>
    </row>
    <row r="483">
      <c r="A483" s="9" t="n">
        <v>703680</v>
      </c>
      <c r="B483" s="9" t="inlineStr">
        <is>
          <t>Brandon Compton</t>
        </is>
      </c>
      <c r="C483" s="9" t="inlineStr">
        <is>
          <t>MIA</t>
        </is>
      </c>
      <c r="D483" s="9" t="n">
        <v>24</v>
      </c>
      <c r="E483" s="16" t="inlineStr">
        <is>
          <t>L</t>
        </is>
      </c>
      <c r="F483" s="16" t="n"/>
      <c r="G483" s="9" t="n">
        <v>37.23076923076923</v>
      </c>
      <c r="H483" s="9" t="n">
        <v>37.23076923076923</v>
      </c>
      <c r="I483" s="9" t="inlineStr">
        <is>
          <t>Depth (no MLB PA)</t>
        </is>
      </c>
      <c r="J483" s="16" t="inlineStr">
        <is>
          <t>Opening Day</t>
        </is>
      </c>
      <c r="K483" s="11">
        <f>IFERROR(INDEX(Roles!$B$17:$B$20,MATCH(J483,Roles!$A$17:$A$20,0)),1)</f>
        <v/>
      </c>
      <c r="L483" s="17" t="n">
        <v>1</v>
      </c>
      <c r="M483" s="11" t="n">
        <v>1</v>
      </c>
      <c r="N483" s="17" t="n"/>
      <c r="O483" s="17" t="n"/>
      <c r="P483" s="17" t="n"/>
      <c r="Q483" s="17" t="n"/>
      <c r="R483" s="17" t="n"/>
      <c r="S483" s="17" t="n"/>
      <c r="T483" s="17" t="n"/>
      <c r="U483" s="17" t="n"/>
      <c r="V483" s="17" t="n"/>
      <c r="W483" s="17" t="n"/>
      <c r="X483" s="17" t="n"/>
      <c r="Y483" s="17" t="n">
        <v>1</v>
      </c>
      <c r="Z483" s="13">
        <f>SUMPRODUCT(N483:Y483,$N$2:$Y$2)*$K483*$L483*$M483</f>
        <v/>
      </c>
      <c r="AA483" s="14">
        <f>SUM(N483:Y483)</f>
        <v/>
      </c>
      <c r="AB483" s="14">
        <f>IFERROR(IF(UPPER($E483)="L",SUMPRODUCT(N483:Y483,$N$3:$Y$3,$N$2:$Y$2),SUMPRODUCT(N483:Y483,$N$4:$Y$4,$N$2:$Y$2))/(Z483/($K483*$L483*$M483)),"")</f>
        <v/>
      </c>
      <c r="AC483" s="18" t="n"/>
    </row>
    <row r="484">
      <c r="A484" s="9" t="n">
        <v>840332</v>
      </c>
      <c r="B484" s="9" t="inlineStr">
        <is>
          <t>Joe Tiroly</t>
        </is>
      </c>
      <c r="C484" s="9" t="inlineStr">
        <is>
          <t>SD</t>
        </is>
      </c>
      <c r="D484" s="9" t="n">
        <v>25</v>
      </c>
      <c r="E484" s="16" t="inlineStr">
        <is>
          <t>R</t>
        </is>
      </c>
      <c r="F484" s="16" t="n"/>
      <c r="G484" s="9" t="n">
        <v>8.615384615384615</v>
      </c>
      <c r="H484" s="9" t="n">
        <v>8.615384615384615</v>
      </c>
      <c r="I484" s="9" t="inlineStr">
        <is>
          <t>Depth (no MLB PA)</t>
        </is>
      </c>
      <c r="J484" s="16" t="inlineStr">
        <is>
          <t>Opening Day</t>
        </is>
      </c>
      <c r="K484" s="11">
        <f>IFERROR(INDEX(Roles!$B$17:$B$20,MATCH(J484,Roles!$A$17:$A$20,0)),1)</f>
        <v/>
      </c>
      <c r="L484" s="17" t="n">
        <v>1</v>
      </c>
      <c r="M484" s="11" t="n">
        <v>1</v>
      </c>
      <c r="N484" s="17" t="n"/>
      <c r="O484" s="17" t="n"/>
      <c r="P484" s="17" t="n"/>
      <c r="Q484" s="17" t="n"/>
      <c r="R484" s="17" t="n"/>
      <c r="S484" s="17" t="n"/>
      <c r="T484" s="17" t="n"/>
      <c r="U484" s="17" t="n"/>
      <c r="V484" s="17" t="n"/>
      <c r="W484" s="17" t="n"/>
      <c r="X484" s="17" t="n"/>
      <c r="Y484" s="17" t="n">
        <v>1</v>
      </c>
      <c r="Z484" s="13">
        <f>SUMPRODUCT(N484:Y484,$N$2:$Y$2)*$K484*$L484*$M484</f>
        <v/>
      </c>
      <c r="AA484" s="14">
        <f>SUM(N484:Y484)</f>
        <v/>
      </c>
      <c r="AB484" s="14">
        <f>IFERROR(IF(UPPER($E484)="L",SUMPRODUCT(N484:Y484,$N$3:$Y$3,$N$2:$Y$2),SUMPRODUCT(N484:Y484,$N$4:$Y$4,$N$2:$Y$2))/(Z484/($K484*$L484*$M484)),"")</f>
        <v/>
      </c>
      <c r="AC484" s="18" t="n"/>
    </row>
    <row r="485">
      <c r="A485" s="9" t="n">
        <v>572041</v>
      </c>
      <c r="B485" s="9" t="inlineStr">
        <is>
          <t>AJ Pollock</t>
        </is>
      </c>
      <c r="C485" s="9" t="inlineStr">
        <is>
          <t>SF</t>
        </is>
      </c>
      <c r="D485" s="9" t="n">
        <v>39</v>
      </c>
      <c r="E485" s="16" t="inlineStr">
        <is>
          <t>R</t>
        </is>
      </c>
      <c r="F485" s="16" t="inlineStr">
        <is>
          <t>LF</t>
        </is>
      </c>
      <c r="G485" s="9" t="n">
        <v>144</v>
      </c>
      <c r="H485" s="9" t="n">
        <v>671</v>
      </c>
      <c r="I485" s="9" t="inlineStr">
        <is>
          <t>Depth (no MLB PA)</t>
        </is>
      </c>
      <c r="J485" s="16" t="inlineStr">
        <is>
          <t>Opening Day</t>
        </is>
      </c>
      <c r="K485" s="11">
        <f>IFERROR(INDEX(Roles!$B$17:$B$20,MATCH(J485,Roles!$A$17:$A$20,0)),1)</f>
        <v/>
      </c>
      <c r="L485" s="17" t="n">
        <v>1</v>
      </c>
      <c r="M485" s="11" t="n">
        <v>1</v>
      </c>
      <c r="N485" s="17" t="n"/>
      <c r="O485" s="17" t="n"/>
      <c r="P485" s="17" t="n"/>
      <c r="Q485" s="17" t="n"/>
      <c r="R485" s="17" t="n"/>
      <c r="S485" s="17" t="n"/>
      <c r="T485" s="17" t="n"/>
      <c r="U485" s="17" t="n"/>
      <c r="V485" s="17" t="n"/>
      <c r="W485" s="17" t="n"/>
      <c r="X485" s="17" t="n"/>
      <c r="Y485" s="17" t="n">
        <v>1</v>
      </c>
      <c r="Z485" s="13">
        <f>SUMPRODUCT(N485:Y485,$N$2:$Y$2)*$K485*$L485*$M485</f>
        <v/>
      </c>
      <c r="AA485" s="14">
        <f>SUM(N485:Y485)</f>
        <v/>
      </c>
      <c r="AB485" s="14">
        <f>IFERROR(IF(UPPER($E485)="L",SUMPRODUCT(N485:Y485,$N$3:$Y$3,$N$2:$Y$2),SUMPRODUCT(N485:Y485,$N$4:$Y$4,$N$2:$Y$2))/(Z485/($K485*$L485*$M485)),"")</f>
        <v/>
      </c>
      <c r="AC485" s="18" t="n"/>
    </row>
    <row r="486">
      <c r="A486" s="9" t="n">
        <v>677319</v>
      </c>
      <c r="B486" s="9" t="inlineStr">
        <is>
          <t>Cameron Barstad</t>
        </is>
      </c>
      <c r="C486" s="9" t="inlineStr">
        <is>
          <t>PIT</t>
        </is>
      </c>
      <c r="D486" s="9" t="n">
        <v>25</v>
      </c>
      <c r="E486" s="16" t="inlineStr">
        <is>
          <t>L</t>
        </is>
      </c>
      <c r="F486" s="16" t="n"/>
      <c r="G486" s="9" t="n">
        <v>37.23076923076923</v>
      </c>
      <c r="H486" s="9" t="n">
        <v>37.23076923076923</v>
      </c>
      <c r="I486" s="9" t="inlineStr">
        <is>
          <t>Depth (no MLB PA)</t>
        </is>
      </c>
      <c r="J486" s="16" t="inlineStr">
        <is>
          <t>Opening Day</t>
        </is>
      </c>
      <c r="K486" s="11">
        <f>IFERROR(INDEX(Roles!$B$17:$B$20,MATCH(J486,Roles!$A$17:$A$20,0)),1)</f>
        <v/>
      </c>
      <c r="L486" s="17" t="n">
        <v>1</v>
      </c>
      <c r="M486" s="11" t="n">
        <v>1</v>
      </c>
      <c r="N486" s="17" t="n"/>
      <c r="O486" s="17" t="n"/>
      <c r="P486" s="17" t="n"/>
      <c r="Q486" s="17" t="n"/>
      <c r="R486" s="17" t="n"/>
      <c r="S486" s="17" t="n"/>
      <c r="T486" s="17" t="n"/>
      <c r="U486" s="17" t="n"/>
      <c r="V486" s="17" t="n"/>
      <c r="W486" s="17" t="n"/>
      <c r="X486" s="17" t="n"/>
      <c r="Y486" s="17" t="n">
        <v>1</v>
      </c>
      <c r="Z486" s="13">
        <f>SUMPRODUCT(N486:Y486,$N$2:$Y$2)*$K486*$L486*$M486</f>
        <v/>
      </c>
      <c r="AA486" s="14">
        <f>SUM(N486:Y486)</f>
        <v/>
      </c>
      <c r="AB486" s="14">
        <f>IFERROR(IF(UPPER($E486)="L",SUMPRODUCT(N486:Y486,$N$3:$Y$3,$N$2:$Y$2),SUMPRODUCT(N486:Y486,$N$4:$Y$4,$N$2:$Y$2))/(Z486/($K486*$L486*$M486)),"")</f>
        <v/>
      </c>
      <c r="AC486" s="18" t="n"/>
    </row>
    <row r="487">
      <c r="A487" s="9" t="n">
        <v>815697</v>
      </c>
      <c r="B487" s="9" t="inlineStr">
        <is>
          <t>Arturo Disla</t>
        </is>
      </c>
      <c r="C487" s="9" t="inlineStr">
        <is>
          <t>TEX</t>
        </is>
      </c>
      <c r="D487" s="9" t="n">
        <v>25</v>
      </c>
      <c r="E487" s="16" t="inlineStr">
        <is>
          <t>R</t>
        </is>
      </c>
      <c r="F487" s="16" t="n"/>
      <c r="G487" s="9" t="n">
        <v>146.8205128205128</v>
      </c>
      <c r="H487" s="9" t="n">
        <v>146.8205128205128</v>
      </c>
      <c r="I487" s="9" t="inlineStr">
        <is>
          <t>Depth (no MLB PA)</t>
        </is>
      </c>
      <c r="J487" s="16" t="inlineStr">
        <is>
          <t>Opening Day</t>
        </is>
      </c>
      <c r="K487" s="11">
        <f>IFERROR(INDEX(Roles!$B$17:$B$20,MATCH(J487,Roles!$A$17:$A$20,0)),1)</f>
        <v/>
      </c>
      <c r="L487" s="17" t="n">
        <v>1</v>
      </c>
      <c r="M487" s="11" t="n">
        <v>1</v>
      </c>
      <c r="N487" s="17" t="n"/>
      <c r="O487" s="17" t="n"/>
      <c r="P487" s="17" t="n"/>
      <c r="Q487" s="17" t="n"/>
      <c r="R487" s="17" t="n"/>
      <c r="S487" s="17" t="n"/>
      <c r="T487" s="17" t="n"/>
      <c r="U487" s="17" t="n"/>
      <c r="V487" s="17" t="n"/>
      <c r="W487" s="17" t="n"/>
      <c r="X487" s="17" t="n"/>
      <c r="Y487" s="17" t="n">
        <v>1</v>
      </c>
      <c r="Z487" s="13">
        <f>SUMPRODUCT(N487:Y487,$N$2:$Y$2)*$K487*$L487*$M487</f>
        <v/>
      </c>
      <c r="AA487" s="14">
        <f>SUM(N487:Y487)</f>
        <v/>
      </c>
      <c r="AB487" s="14">
        <f>IFERROR(IF(UPPER($E487)="L",SUMPRODUCT(N487:Y487,$N$3:$Y$3,$N$2:$Y$2),SUMPRODUCT(N487:Y487,$N$4:$Y$4,$N$2:$Y$2))/(Z487/($K487*$L487*$M487)),"")</f>
        <v/>
      </c>
      <c r="AC487" s="18" t="n"/>
    </row>
    <row r="488">
      <c r="A488" s="9" t="n">
        <v>690469</v>
      </c>
      <c r="B488" s="9" t="inlineStr">
        <is>
          <t>Kyle Hayes</t>
        </is>
      </c>
      <c r="C488" s="9" t="inlineStr">
        <is>
          <t>WSH</t>
        </is>
      </c>
      <c r="D488" s="9" t="n">
        <v>25</v>
      </c>
      <c r="E488" s="16" t="inlineStr">
        <is>
          <t>R</t>
        </is>
      </c>
      <c r="F488" s="16" t="n"/>
      <c r="G488" s="9" t="n">
        <v>9.025641025641027</v>
      </c>
      <c r="H488" s="9" t="n">
        <v>9.025641025641027</v>
      </c>
      <c r="I488" s="9" t="inlineStr">
        <is>
          <t>Depth (no MLB PA)</t>
        </is>
      </c>
      <c r="J488" s="16" t="inlineStr">
        <is>
          <t>Opening Day</t>
        </is>
      </c>
      <c r="K488" s="11">
        <f>IFERROR(INDEX(Roles!$B$17:$B$20,MATCH(J488,Roles!$A$17:$A$20,0)),1)</f>
        <v/>
      </c>
      <c r="L488" s="17" t="n">
        <v>1</v>
      </c>
      <c r="M488" s="11" t="n">
        <v>1</v>
      </c>
      <c r="N488" s="17" t="n"/>
      <c r="O488" s="17" t="n"/>
      <c r="P488" s="17" t="n"/>
      <c r="Q488" s="17" t="n"/>
      <c r="R488" s="17" t="n"/>
      <c r="S488" s="17" t="n"/>
      <c r="T488" s="17" t="n"/>
      <c r="U488" s="17" t="n"/>
      <c r="V488" s="17" t="n"/>
      <c r="W488" s="17" t="n"/>
      <c r="X488" s="17" t="n"/>
      <c r="Y488" s="17" t="n">
        <v>1</v>
      </c>
      <c r="Z488" s="13">
        <f>SUMPRODUCT(N488:Y488,$N$2:$Y$2)*$K488*$L488*$M488</f>
        <v/>
      </c>
      <c r="AA488" s="14">
        <f>SUM(N488:Y488)</f>
        <v/>
      </c>
      <c r="AB488" s="14">
        <f>IFERROR(IF(UPPER($E488)="L",SUMPRODUCT(N488:Y488,$N$3:$Y$3,$N$2:$Y$2),SUMPRODUCT(N488:Y488,$N$4:$Y$4,$N$2:$Y$2))/(Z488/($K488*$L488*$M488)),"")</f>
        <v/>
      </c>
      <c r="AC488" s="18" t="n"/>
    </row>
    <row r="489">
      <c r="A489" s="9" t="n">
        <v>702239</v>
      </c>
      <c r="B489" s="9" t="inlineStr">
        <is>
          <t>Colin Tuft</t>
        </is>
      </c>
      <c r="C489" s="9" t="inlineStr">
        <is>
          <t>BAL</t>
        </is>
      </c>
      <c r="D489" s="9" t="n">
        <v>25</v>
      </c>
      <c r="E489" s="16" t="inlineStr">
        <is>
          <t>R</t>
        </is>
      </c>
      <c r="F489" s="16" t="n"/>
      <c r="G489" s="9" t="n">
        <v>18.66666666666667</v>
      </c>
      <c r="H489" s="9" t="n">
        <v>18.66666666666667</v>
      </c>
      <c r="I489" s="9" t="inlineStr">
        <is>
          <t>Depth (no MLB PA)</t>
        </is>
      </c>
      <c r="J489" s="16" t="inlineStr">
        <is>
          <t>Opening Day</t>
        </is>
      </c>
      <c r="K489" s="11">
        <f>IFERROR(INDEX(Roles!$B$17:$B$20,MATCH(J489,Roles!$A$17:$A$20,0)),1)</f>
        <v/>
      </c>
      <c r="L489" s="17" t="n">
        <v>1</v>
      </c>
      <c r="M489" s="11" t="n">
        <v>1</v>
      </c>
      <c r="N489" s="17" t="n"/>
      <c r="O489" s="17" t="n"/>
      <c r="P489" s="17" t="n"/>
      <c r="Q489" s="17" t="n"/>
      <c r="R489" s="17" t="n"/>
      <c r="S489" s="17" t="n"/>
      <c r="T489" s="17" t="n"/>
      <c r="U489" s="17" t="n"/>
      <c r="V489" s="17" t="n"/>
      <c r="W489" s="17" t="n"/>
      <c r="X489" s="17" t="n"/>
      <c r="Y489" s="17" t="n">
        <v>1</v>
      </c>
      <c r="Z489" s="13">
        <f>SUMPRODUCT(N489:Y489,$N$2:$Y$2)*$K489*$L489*$M489</f>
        <v/>
      </c>
      <c r="AA489" s="14">
        <f>SUM(N489:Y489)</f>
        <v/>
      </c>
      <c r="AB489" s="14">
        <f>IFERROR(IF(UPPER($E489)="L",SUMPRODUCT(N489:Y489,$N$3:$Y$3,$N$2:$Y$2),SUMPRODUCT(N489:Y489,$N$4:$Y$4,$N$2:$Y$2))/(Z489/($K489*$L489*$M489)),"")</f>
        <v/>
      </c>
      <c r="AC489" s="18" t="n"/>
    </row>
    <row r="490">
      <c r="A490" s="9" t="n">
        <v>687262</v>
      </c>
      <c r="B490" s="9" t="inlineStr">
        <is>
          <t>Jorge Corona</t>
        </is>
      </c>
      <c r="C490" s="9" t="inlineStr">
        <is>
          <t>CWS</t>
        </is>
      </c>
      <c r="D490" s="9" t="n">
        <v>25</v>
      </c>
      <c r="E490" s="16" t="inlineStr">
        <is>
          <t>R</t>
        </is>
      </c>
      <c r="F490" s="16" t="n"/>
      <c r="G490" s="9" t="n">
        <v>74.30769230769231</v>
      </c>
      <c r="H490" s="9" t="n">
        <v>74.30769230769231</v>
      </c>
      <c r="I490" s="9" t="inlineStr">
        <is>
          <t>Depth (no MLB PA)</t>
        </is>
      </c>
      <c r="J490" s="16" t="inlineStr">
        <is>
          <t>Opening Day</t>
        </is>
      </c>
      <c r="K490" s="11">
        <f>IFERROR(INDEX(Roles!$B$17:$B$20,MATCH(J490,Roles!$A$17:$A$20,0)),1)</f>
        <v/>
      </c>
      <c r="L490" s="17" t="n">
        <v>1</v>
      </c>
      <c r="M490" s="11" t="n">
        <v>1</v>
      </c>
      <c r="N490" s="17" t="n"/>
      <c r="O490" s="17" t="n"/>
      <c r="P490" s="17" t="n"/>
      <c r="Q490" s="17" t="n"/>
      <c r="R490" s="17" t="n"/>
      <c r="S490" s="17" t="n"/>
      <c r="T490" s="17" t="n"/>
      <c r="U490" s="17" t="n"/>
      <c r="V490" s="17" t="n"/>
      <c r="W490" s="17" t="n"/>
      <c r="X490" s="17" t="n"/>
      <c r="Y490" s="17" t="n">
        <v>1</v>
      </c>
      <c r="Z490" s="13">
        <f>SUMPRODUCT(N490:Y490,$N$2:$Y$2)*$K490*$L490*$M490</f>
        <v/>
      </c>
      <c r="AA490" s="14">
        <f>SUM(N490:Y490)</f>
        <v/>
      </c>
      <c r="AB490" s="14">
        <f>IFERROR(IF(UPPER($E490)="L",SUMPRODUCT(N490:Y490,$N$3:$Y$3,$N$2:$Y$2),SUMPRODUCT(N490:Y490,$N$4:$Y$4,$N$2:$Y$2))/(Z490/($K490*$L490*$M490)),"")</f>
        <v/>
      </c>
      <c r="AC490" s="18" t="n"/>
    </row>
    <row r="491">
      <c r="A491" s="9" t="n">
        <v>668843</v>
      </c>
      <c r="B491" s="9" t="inlineStr">
        <is>
          <t>Conner Capel</t>
        </is>
      </c>
      <c r="C491" s="9" t="inlineStr">
        <is>
          <t>OAK</t>
        </is>
      </c>
      <c r="D491" s="9" t="n">
        <v>30</v>
      </c>
      <c r="E491" s="16" t="inlineStr">
        <is>
          <t>L</t>
        </is>
      </c>
      <c r="F491" s="16" t="inlineStr">
        <is>
          <t>LF</t>
        </is>
      </c>
      <c r="G491" s="9" t="n">
        <v>8</v>
      </c>
      <c r="H491" s="9" t="n">
        <v>153</v>
      </c>
      <c r="I491" s="9" t="inlineStr">
        <is>
          <t>Depth (no MLB PA)</t>
        </is>
      </c>
      <c r="J491" s="16" t="inlineStr">
        <is>
          <t>Opening Day</t>
        </is>
      </c>
      <c r="K491" s="11">
        <f>IFERROR(INDEX(Roles!$B$17:$B$20,MATCH(J491,Roles!$A$17:$A$20,0)),1)</f>
        <v/>
      </c>
      <c r="L491" s="17" t="n">
        <v>1</v>
      </c>
      <c r="M491" s="11" t="n">
        <v>1</v>
      </c>
      <c r="N491" s="17" t="n"/>
      <c r="O491" s="17" t="n"/>
      <c r="P491" s="17" t="n"/>
      <c r="Q491" s="17" t="n"/>
      <c r="R491" s="17" t="n"/>
      <c r="S491" s="17" t="n"/>
      <c r="T491" s="17" t="n"/>
      <c r="U491" s="17" t="n"/>
      <c r="V491" s="17" t="n"/>
      <c r="W491" s="17" t="n"/>
      <c r="X491" s="17" t="n"/>
      <c r="Y491" s="17" t="n">
        <v>1</v>
      </c>
      <c r="Z491" s="13">
        <f>SUMPRODUCT(N491:Y491,$N$2:$Y$2)*$K491*$L491*$M491</f>
        <v/>
      </c>
      <c r="AA491" s="14">
        <f>SUM(N491:Y491)</f>
        <v/>
      </c>
      <c r="AB491" s="14">
        <f>IFERROR(IF(UPPER($E491)="L",SUMPRODUCT(N491:Y491,$N$3:$Y$3,$N$2:$Y$2),SUMPRODUCT(N491:Y491,$N$4:$Y$4,$N$2:$Y$2))/(Z491/($K491*$L491*$M491)),"")</f>
        <v/>
      </c>
      <c r="AC491" s="18" t="n"/>
    </row>
    <row r="492">
      <c r="A492" s="9" t="n">
        <v>808234</v>
      </c>
      <c r="B492" s="9" t="inlineStr">
        <is>
          <t>Eduardo Quintero</t>
        </is>
      </c>
      <c r="C492" s="9" t="inlineStr">
        <is>
          <t>LAD</t>
        </is>
      </c>
      <c r="D492" s="9" t="n">
        <v>22</v>
      </c>
      <c r="E492" s="16" t="inlineStr">
        <is>
          <t>R</t>
        </is>
      </c>
      <c r="F492" s="16" t="n"/>
      <c r="G492" s="9" t="n">
        <v>1.794871794871795</v>
      </c>
      <c r="H492" s="9" t="n">
        <v>1.794871794871795</v>
      </c>
      <c r="I492" s="9" t="inlineStr">
        <is>
          <t>Depth (no MLB PA)</t>
        </is>
      </c>
      <c r="J492" s="16" t="inlineStr">
        <is>
          <t>Opening Day</t>
        </is>
      </c>
      <c r="K492" s="11">
        <f>IFERROR(INDEX(Roles!$B$17:$B$20,MATCH(J492,Roles!$A$17:$A$20,0)),1)</f>
        <v/>
      </c>
      <c r="L492" s="17" t="n">
        <v>1</v>
      </c>
      <c r="M492" s="11" t="n">
        <v>1</v>
      </c>
      <c r="N492" s="17" t="n"/>
      <c r="O492" s="17" t="n"/>
      <c r="P492" s="17" t="n"/>
      <c r="Q492" s="17" t="n"/>
      <c r="R492" s="17" t="n"/>
      <c r="S492" s="17" t="n"/>
      <c r="T492" s="17" t="n"/>
      <c r="U492" s="17" t="n"/>
      <c r="V492" s="17" t="n"/>
      <c r="W492" s="17" t="n"/>
      <c r="X492" s="17" t="n"/>
      <c r="Y492" s="17" t="n">
        <v>1</v>
      </c>
      <c r="Z492" s="13">
        <f>SUMPRODUCT(N492:Y492,$N$2:$Y$2)*$K492*$L492*$M492</f>
        <v/>
      </c>
      <c r="AA492" s="14">
        <f>SUM(N492:Y492)</f>
        <v/>
      </c>
      <c r="AB492" s="14">
        <f>IFERROR(IF(UPPER($E492)="L",SUMPRODUCT(N492:Y492,$N$3:$Y$3,$N$2:$Y$2),SUMPRODUCT(N492:Y492,$N$4:$Y$4,$N$2:$Y$2))/(Z492/($K492*$L492*$M492)),"")</f>
        <v/>
      </c>
      <c r="AC492" s="18" t="n"/>
    </row>
    <row r="493">
      <c r="A493" s="9" t="n">
        <v>695596</v>
      </c>
      <c r="B493" s="9" t="inlineStr">
        <is>
          <t>Nick Raposo</t>
        </is>
      </c>
      <c r="C493" s="9" t="inlineStr">
        <is>
          <t>SEA</t>
        </is>
      </c>
      <c r="D493" s="9" t="n">
        <v>25</v>
      </c>
      <c r="E493" s="16" t="inlineStr">
        <is>
          <t>R</t>
        </is>
      </c>
      <c r="F493" s="16" t="n"/>
      <c r="G493" s="9" t="n">
        <v>67.12820512820514</v>
      </c>
      <c r="H493" s="9" t="n">
        <v>67.12820512820514</v>
      </c>
      <c r="I493" s="9" t="inlineStr">
        <is>
          <t>Depth (no MLB PA)</t>
        </is>
      </c>
      <c r="J493" s="16" t="inlineStr">
        <is>
          <t>Opening Day</t>
        </is>
      </c>
      <c r="K493" s="11">
        <f>IFERROR(INDEX(Roles!$B$17:$B$20,MATCH(J493,Roles!$A$17:$A$20,0)),1)</f>
        <v/>
      </c>
      <c r="L493" s="17" t="n">
        <v>1</v>
      </c>
      <c r="M493" s="11" t="n">
        <v>1</v>
      </c>
      <c r="N493" s="17" t="n"/>
      <c r="O493" s="17" t="n"/>
      <c r="P493" s="17" t="n"/>
      <c r="Q493" s="17" t="n"/>
      <c r="R493" s="17" t="n"/>
      <c r="S493" s="17" t="n"/>
      <c r="T493" s="17" t="n"/>
      <c r="U493" s="17" t="n"/>
      <c r="V493" s="17" t="n"/>
      <c r="W493" s="17" t="n"/>
      <c r="X493" s="17" t="n"/>
      <c r="Y493" s="17" t="n">
        <v>1</v>
      </c>
      <c r="Z493" s="13">
        <f>SUMPRODUCT(N493:Y493,$N$2:$Y$2)*$K493*$L493*$M493</f>
        <v/>
      </c>
      <c r="AA493" s="14">
        <f>SUM(N493:Y493)</f>
        <v/>
      </c>
      <c r="AB493" s="14">
        <f>IFERROR(IF(UPPER($E493)="L",SUMPRODUCT(N493:Y493,$N$3:$Y$3,$N$2:$Y$2),SUMPRODUCT(N493:Y493,$N$4:$Y$4,$N$2:$Y$2))/(Z493/($K493*$L493*$M493)),"")</f>
        <v/>
      </c>
      <c r="AC493" s="18" t="n"/>
    </row>
    <row r="494">
      <c r="A494" s="9" t="n">
        <v>802494</v>
      </c>
      <c r="B494" s="9" t="inlineStr">
        <is>
          <t>Ty Doucette</t>
        </is>
      </c>
      <c r="C494" s="9" t="inlineStr">
        <is>
          <t>CIN</t>
        </is>
      </c>
      <c r="D494" s="9" t="n">
        <v>25</v>
      </c>
      <c r="E494" s="16" t="inlineStr">
        <is>
          <t>L</t>
        </is>
      </c>
      <c r="F494" s="16" t="n"/>
      <c r="G494" s="9" t="n">
        <v>22.56410256410257</v>
      </c>
      <c r="H494" s="9" t="n">
        <v>22.56410256410257</v>
      </c>
      <c r="I494" s="9" t="inlineStr">
        <is>
          <t>Depth (no MLB PA)</t>
        </is>
      </c>
      <c r="J494" s="16" t="inlineStr">
        <is>
          <t>Opening Day</t>
        </is>
      </c>
      <c r="K494" s="11">
        <f>IFERROR(INDEX(Roles!$B$17:$B$20,MATCH(J494,Roles!$A$17:$A$20,0)),1)</f>
        <v/>
      </c>
      <c r="L494" s="17" t="n">
        <v>1</v>
      </c>
      <c r="M494" s="11" t="n">
        <v>1</v>
      </c>
      <c r="N494" s="17" t="n"/>
      <c r="O494" s="17" t="n"/>
      <c r="P494" s="17" t="n"/>
      <c r="Q494" s="17" t="n"/>
      <c r="R494" s="17" t="n"/>
      <c r="S494" s="17" t="n"/>
      <c r="T494" s="17" t="n"/>
      <c r="U494" s="17" t="n"/>
      <c r="V494" s="17" t="n"/>
      <c r="W494" s="17" t="n"/>
      <c r="X494" s="17" t="n"/>
      <c r="Y494" s="17" t="n">
        <v>1</v>
      </c>
      <c r="Z494" s="13">
        <f>SUMPRODUCT(N494:Y494,$N$2:$Y$2)*$K494*$L494*$M494</f>
        <v/>
      </c>
      <c r="AA494" s="14">
        <f>SUM(N494:Y494)</f>
        <v/>
      </c>
      <c r="AB494" s="14">
        <f>IFERROR(IF(UPPER($E494)="L",SUMPRODUCT(N494:Y494,$N$3:$Y$3,$N$2:$Y$2),SUMPRODUCT(N494:Y494,$N$4:$Y$4,$N$2:$Y$2))/(Z494/($K494*$L494*$M494)),"")</f>
        <v/>
      </c>
      <c r="AC494" s="18" t="n"/>
    </row>
    <row r="495">
      <c r="A495" s="9" t="n">
        <v>805249</v>
      </c>
      <c r="B495" s="9" t="inlineStr">
        <is>
          <t>Otto Kemp</t>
        </is>
      </c>
      <c r="C495" s="9" t="inlineStr">
        <is>
          <t>PHI</t>
        </is>
      </c>
      <c r="D495" s="9" t="n">
        <v>27</v>
      </c>
      <c r="E495" s="16" t="inlineStr">
        <is>
          <t>R</t>
        </is>
      </c>
      <c r="F495" s="16" t="inlineStr">
        <is>
          <t>LF</t>
        </is>
      </c>
      <c r="G495" s="9" t="n">
        <v>27</v>
      </c>
      <c r="H495" s="9" t="n">
        <v>245</v>
      </c>
      <c r="I495" s="9" t="inlineStr">
        <is>
          <t>Bench Bat</t>
        </is>
      </c>
      <c r="J495" s="16" t="inlineStr">
        <is>
          <t>Opening Day</t>
        </is>
      </c>
      <c r="K495" s="11">
        <f>IFERROR(INDEX(Roles!$B$17:$B$20,MATCH(J495,Roles!$A$17:$A$20,0)),1)</f>
        <v/>
      </c>
      <c r="L495" s="17" t="n">
        <v>1</v>
      </c>
      <c r="M495" s="11" t="n">
        <v>1</v>
      </c>
      <c r="N495" s="17" t="n"/>
      <c r="O495" s="17" t="n"/>
      <c r="P495" s="17" t="n"/>
      <c r="Q495" s="17" t="n"/>
      <c r="R495" s="17" t="n"/>
      <c r="S495" s="17" t="n"/>
      <c r="T495" s="17" t="n"/>
      <c r="U495" s="17" t="n">
        <v>0.4</v>
      </c>
      <c r="V495" s="17" t="n"/>
      <c r="W495" s="17" t="n">
        <v>0.6</v>
      </c>
      <c r="X495" s="17" t="n"/>
      <c r="Y495" s="17" t="n"/>
      <c r="Z495" s="13">
        <f>SUMPRODUCT(N495:Y495,$N$2:$Y$2)*$K495*$L495*$M495</f>
        <v/>
      </c>
      <c r="AA495" s="14">
        <f>SUM(N495:Y495)</f>
        <v/>
      </c>
      <c r="AB495" s="14">
        <f>IFERROR(IF(UPPER($E495)="L",SUMPRODUCT(N495:Y495,$N$3:$Y$3,$N$2:$Y$2),SUMPRODUCT(N495:Y495,$N$4:$Y$4,$N$2:$Y$2))/(Z495/($K495*$L495*$M495)),"")</f>
        <v/>
      </c>
      <c r="AC495" s="18" t="n"/>
    </row>
    <row r="496">
      <c r="A496" s="9" t="n">
        <v>681377</v>
      </c>
      <c r="B496" s="9" t="inlineStr">
        <is>
          <t>Josh Hood</t>
        </is>
      </c>
      <c r="C496" s="9" t="inlineStr">
        <is>
          <t>SEA</t>
        </is>
      </c>
      <c r="D496" s="9" t="n">
        <v>25</v>
      </c>
      <c r="E496" s="16" t="inlineStr">
        <is>
          <t>R</t>
        </is>
      </c>
      <c r="F496" s="16" t="n"/>
      <c r="G496" s="9" t="n">
        <v>106.2564102564102</v>
      </c>
      <c r="H496" s="9" t="n">
        <v>106.2564102564102</v>
      </c>
      <c r="I496" s="9" t="inlineStr">
        <is>
          <t>Depth (no MLB PA)</t>
        </is>
      </c>
      <c r="J496" s="16" t="inlineStr">
        <is>
          <t>Opening Day</t>
        </is>
      </c>
      <c r="K496" s="11">
        <f>IFERROR(INDEX(Roles!$B$17:$B$20,MATCH(J496,Roles!$A$17:$A$20,0)),1)</f>
        <v/>
      </c>
      <c r="L496" s="17" t="n">
        <v>1</v>
      </c>
      <c r="M496" s="11" t="n">
        <v>1</v>
      </c>
      <c r="N496" s="17" t="n"/>
      <c r="O496" s="17" t="n"/>
      <c r="P496" s="17" t="n"/>
      <c r="Q496" s="17" t="n"/>
      <c r="R496" s="17" t="n"/>
      <c r="S496" s="17" t="n"/>
      <c r="T496" s="17" t="n"/>
      <c r="U496" s="17" t="n"/>
      <c r="V496" s="17" t="n"/>
      <c r="W496" s="17" t="n"/>
      <c r="X496" s="17" t="n"/>
      <c r="Y496" s="17" t="n">
        <v>1</v>
      </c>
      <c r="Z496" s="13">
        <f>SUMPRODUCT(N496:Y496,$N$2:$Y$2)*$K496*$L496*$M496</f>
        <v/>
      </c>
      <c r="AA496" s="14">
        <f>SUM(N496:Y496)</f>
        <v/>
      </c>
      <c r="AB496" s="14">
        <f>IFERROR(IF(UPPER($E496)="L",SUMPRODUCT(N496:Y496,$N$3:$Y$3,$N$2:$Y$2),SUMPRODUCT(N496:Y496,$N$4:$Y$4,$N$2:$Y$2))/(Z496/($K496*$L496*$M496)),"")</f>
        <v/>
      </c>
      <c r="AC496" s="18" t="n"/>
    </row>
    <row r="497">
      <c r="A497" s="9" t="n">
        <v>640457</v>
      </c>
      <c r="B497" s="9" t="inlineStr">
        <is>
          <t>Austin Meadows</t>
        </is>
      </c>
      <c r="C497" s="9" t="inlineStr">
        <is>
          <t>DET</t>
        </is>
      </c>
      <c r="D497" s="9" t="n">
        <v>32</v>
      </c>
      <c r="E497" s="16" t="inlineStr">
        <is>
          <t>L</t>
        </is>
      </c>
      <c r="F497" s="16" t="inlineStr">
        <is>
          <t>LF</t>
        </is>
      </c>
      <c r="G497" s="9" t="n">
        <v>21</v>
      </c>
      <c r="H497" s="9" t="n">
        <v>168</v>
      </c>
      <c r="I497" s="9" t="inlineStr">
        <is>
          <t>Depth (no MLB PA)</t>
        </is>
      </c>
      <c r="J497" s="16" t="inlineStr">
        <is>
          <t>Opening Day</t>
        </is>
      </c>
      <c r="K497" s="11">
        <f>IFERROR(INDEX(Roles!$B$17:$B$20,MATCH(J497,Roles!$A$17:$A$20,0)),1)</f>
        <v/>
      </c>
      <c r="L497" s="17" t="n">
        <v>1</v>
      </c>
      <c r="M497" s="11" t="n">
        <v>1</v>
      </c>
      <c r="N497" s="17" t="n"/>
      <c r="O497" s="17" t="n"/>
      <c r="P497" s="17" t="n"/>
      <c r="Q497" s="17" t="n"/>
      <c r="R497" s="17" t="n"/>
      <c r="S497" s="17" t="n"/>
      <c r="T497" s="17" t="n"/>
      <c r="U497" s="17" t="n"/>
      <c r="V497" s="17" t="n"/>
      <c r="W497" s="17" t="n"/>
      <c r="X497" s="17" t="n"/>
      <c r="Y497" s="17" t="n">
        <v>1</v>
      </c>
      <c r="Z497" s="13">
        <f>SUMPRODUCT(N497:Y497,$N$2:$Y$2)*$K497*$L497*$M497</f>
        <v/>
      </c>
      <c r="AA497" s="14">
        <f>SUM(N497:Y497)</f>
        <v/>
      </c>
      <c r="AB497" s="14">
        <f>IFERROR(IF(UPPER($E497)="L",SUMPRODUCT(N497:Y497,$N$3:$Y$3,$N$2:$Y$2),SUMPRODUCT(N497:Y497,$N$4:$Y$4,$N$2:$Y$2))/(Z497/($K497*$L497*$M497)),"")</f>
        <v/>
      </c>
      <c r="AC497" s="18" t="n"/>
    </row>
    <row r="498">
      <c r="A498" s="9" t="n">
        <v>823719</v>
      </c>
      <c r="B498" s="9" t="inlineStr">
        <is>
          <t>Ramiro Dominguez</t>
        </is>
      </c>
      <c r="C498" s="9" t="inlineStr">
        <is>
          <t>MIN</t>
        </is>
      </c>
      <c r="D498" s="9" t="n">
        <v>25</v>
      </c>
      <c r="E498" s="16" t="inlineStr">
        <is>
          <t>R</t>
        </is>
      </c>
      <c r="F498" s="16" t="n"/>
      <c r="G498" s="9" t="n">
        <v>6.974358974358975</v>
      </c>
      <c r="H498" s="9" t="n">
        <v>6.974358974358975</v>
      </c>
      <c r="I498" s="9" t="inlineStr">
        <is>
          <t>Depth (no MLB PA)</t>
        </is>
      </c>
      <c r="J498" s="16" t="inlineStr">
        <is>
          <t>Opening Day</t>
        </is>
      </c>
      <c r="K498" s="11">
        <f>IFERROR(INDEX(Roles!$B$17:$B$20,MATCH(J498,Roles!$A$17:$A$20,0)),1)</f>
        <v/>
      </c>
      <c r="L498" s="17" t="n">
        <v>1</v>
      </c>
      <c r="M498" s="11" t="n">
        <v>1</v>
      </c>
      <c r="N498" s="17" t="n"/>
      <c r="O498" s="17" t="n"/>
      <c r="P498" s="17" t="n"/>
      <c r="Q498" s="17" t="n"/>
      <c r="R498" s="17" t="n"/>
      <c r="S498" s="17" t="n"/>
      <c r="T498" s="17" t="n"/>
      <c r="U498" s="17" t="n"/>
      <c r="V498" s="17" t="n"/>
      <c r="W498" s="17" t="n"/>
      <c r="X498" s="17" t="n"/>
      <c r="Y498" s="17" t="n">
        <v>1</v>
      </c>
      <c r="Z498" s="13">
        <f>SUMPRODUCT(N498:Y498,$N$2:$Y$2)*$K498*$L498*$M498</f>
        <v/>
      </c>
      <c r="AA498" s="14">
        <f>SUM(N498:Y498)</f>
        <v/>
      </c>
      <c r="AB498" s="14">
        <f>IFERROR(IF(UPPER($E498)="L",SUMPRODUCT(N498:Y498,$N$3:$Y$3,$N$2:$Y$2),SUMPRODUCT(N498:Y498,$N$4:$Y$4,$N$2:$Y$2))/(Z498/($K498*$L498*$M498)),"")</f>
        <v/>
      </c>
      <c r="AC498" s="18" t="n"/>
    </row>
    <row r="499">
      <c r="A499" s="9" t="n">
        <v>807728</v>
      </c>
      <c r="B499" s="9" t="inlineStr">
        <is>
          <t>Carter Graham</t>
        </is>
      </c>
      <c r="C499" s="9" t="inlineStr">
        <is>
          <t>CIN</t>
        </is>
      </c>
      <c r="D499" s="9" t="n">
        <v>25</v>
      </c>
      <c r="E499" s="16" t="inlineStr">
        <is>
          <t>R</t>
        </is>
      </c>
      <c r="F499" s="16" t="n"/>
      <c r="G499" s="9" t="n">
        <v>91.53846153846152</v>
      </c>
      <c r="H499" s="9" t="n">
        <v>91.53846153846152</v>
      </c>
      <c r="I499" s="9" t="inlineStr">
        <is>
          <t>Depth (no MLB PA)</t>
        </is>
      </c>
      <c r="J499" s="16" t="inlineStr">
        <is>
          <t>Opening Day</t>
        </is>
      </c>
      <c r="K499" s="11">
        <f>IFERROR(INDEX(Roles!$B$17:$B$20,MATCH(J499,Roles!$A$17:$A$20,0)),1)</f>
        <v/>
      </c>
      <c r="L499" s="17" t="n">
        <v>1</v>
      </c>
      <c r="M499" s="11" t="n">
        <v>1</v>
      </c>
      <c r="N499" s="17" t="n"/>
      <c r="O499" s="17" t="n"/>
      <c r="P499" s="17" t="n"/>
      <c r="Q499" s="17" t="n"/>
      <c r="R499" s="17" t="n"/>
      <c r="S499" s="17" t="n"/>
      <c r="T499" s="17" t="n"/>
      <c r="U499" s="17" t="n"/>
      <c r="V499" s="17" t="n"/>
      <c r="W499" s="17" t="n"/>
      <c r="X499" s="17" t="n"/>
      <c r="Y499" s="17" t="n">
        <v>1</v>
      </c>
      <c r="Z499" s="13">
        <f>SUMPRODUCT(N499:Y499,$N$2:$Y$2)*$K499*$L499*$M499</f>
        <v/>
      </c>
      <c r="AA499" s="14">
        <f>SUM(N499:Y499)</f>
        <v/>
      </c>
      <c r="AB499" s="14">
        <f>IFERROR(IF(UPPER($E499)="L",SUMPRODUCT(N499:Y499,$N$3:$Y$3,$N$2:$Y$2),SUMPRODUCT(N499:Y499,$N$4:$Y$4,$N$2:$Y$2))/(Z499/($K499*$L499*$M499)),"")</f>
        <v/>
      </c>
      <c r="AC499" s="18" t="n"/>
    </row>
    <row r="500">
      <c r="A500" s="9" t="n">
        <v>592696</v>
      </c>
      <c r="B500" s="9" t="inlineStr">
        <is>
          <t>Eddie Rosario</t>
        </is>
      </c>
      <c r="C500" s="9" t="inlineStr">
        <is>
          <t>ATL</t>
        </is>
      </c>
      <c r="D500" s="9" t="n">
        <v>35</v>
      </c>
      <c r="E500" s="16" t="inlineStr">
        <is>
          <t>L</t>
        </is>
      </c>
      <c r="F500" s="16" t="inlineStr">
        <is>
          <t>RF</t>
        </is>
      </c>
      <c r="G500" s="9" t="n">
        <v>8</v>
      </c>
      <c r="H500" s="9" t="n">
        <v>1113</v>
      </c>
      <c r="I500" s="9" t="inlineStr">
        <is>
          <t>Depth (no MLB PA)</t>
        </is>
      </c>
      <c r="J500" s="16" t="inlineStr">
        <is>
          <t>Opening Day</t>
        </is>
      </c>
      <c r="K500" s="11">
        <f>IFERROR(INDEX(Roles!$B$17:$B$20,MATCH(J500,Roles!$A$17:$A$20,0)),1)</f>
        <v/>
      </c>
      <c r="L500" s="17" t="n">
        <v>1</v>
      </c>
      <c r="M500" s="11" t="n">
        <v>0.7865101589575723</v>
      </c>
      <c r="N500" s="17" t="n"/>
      <c r="O500" s="17" t="n"/>
      <c r="P500" s="17" t="n"/>
      <c r="Q500" s="17" t="n"/>
      <c r="R500" s="17" t="n"/>
      <c r="S500" s="17" t="n"/>
      <c r="T500" s="17" t="n"/>
      <c r="U500" s="17" t="n"/>
      <c r="V500" s="17" t="n"/>
      <c r="W500" s="17" t="n"/>
      <c r="X500" s="17" t="n"/>
      <c r="Y500" s="17" t="n">
        <v>1</v>
      </c>
      <c r="Z500" s="13">
        <f>SUMPRODUCT(N500:Y500,$N$2:$Y$2)*$K500*$L500*$M500</f>
        <v/>
      </c>
      <c r="AA500" s="14">
        <f>SUM(N500:Y500)</f>
        <v/>
      </c>
      <c r="AB500" s="14">
        <f>IFERROR(IF(UPPER($E500)="L",SUMPRODUCT(N500:Y500,$N$3:$Y$3,$N$2:$Y$2),SUMPRODUCT(N500:Y500,$N$4:$Y$4,$N$2:$Y$2))/(Z500/($K500*$L500*$M500)),"")</f>
        <v/>
      </c>
      <c r="AC500" s="18" t="n"/>
    </row>
    <row r="501">
      <c r="A501" s="9" t="n">
        <v>672779</v>
      </c>
      <c r="B501" s="9" t="inlineStr">
        <is>
          <t>Tucupita Marcano</t>
        </is>
      </c>
      <c r="C501" s="9" t="inlineStr">
        <is>
          <t>PIT</t>
        </is>
      </c>
      <c r="D501" s="9" t="n">
        <v>27</v>
      </c>
      <c r="E501" s="16" t="inlineStr">
        <is>
          <t>L</t>
        </is>
      </c>
      <c r="F501" s="16" t="inlineStr">
        <is>
          <t>SS</t>
        </is>
      </c>
      <c r="G501" s="9" t="n">
        <v>220</v>
      </c>
      <c r="H501" s="9" t="n">
        <v>397</v>
      </c>
      <c r="I501" s="9" t="inlineStr">
        <is>
          <t>Depth (no MLB PA)</t>
        </is>
      </c>
      <c r="J501" s="16" t="inlineStr">
        <is>
          <t>Opening Day</t>
        </is>
      </c>
      <c r="K501" s="11">
        <f>IFERROR(INDEX(Roles!$B$17:$B$20,MATCH(J501,Roles!$A$17:$A$20,0)),1)</f>
        <v/>
      </c>
      <c r="L501" s="17" t="n">
        <v>1</v>
      </c>
      <c r="M501" s="11" t="n">
        <v>1</v>
      </c>
      <c r="N501" s="17" t="n"/>
      <c r="O501" s="17" t="n"/>
      <c r="P501" s="17" t="n"/>
      <c r="Q501" s="17" t="n"/>
      <c r="R501" s="17" t="n"/>
      <c r="S501" s="17" t="n"/>
      <c r="T501" s="17" t="n"/>
      <c r="U501" s="17" t="n"/>
      <c r="V501" s="17" t="n"/>
      <c r="W501" s="17" t="n"/>
      <c r="X501" s="17" t="n"/>
      <c r="Y501" s="17" t="n">
        <v>1</v>
      </c>
      <c r="Z501" s="13">
        <f>SUMPRODUCT(N501:Y501,$N$2:$Y$2)*$K501*$L501*$M501</f>
        <v/>
      </c>
      <c r="AA501" s="14">
        <f>SUM(N501:Y501)</f>
        <v/>
      </c>
      <c r="AB501" s="14">
        <f>IFERROR(IF(UPPER($E501)="L",SUMPRODUCT(N501:Y501,$N$3:$Y$3,$N$2:$Y$2),SUMPRODUCT(N501:Y501,$N$4:$Y$4,$N$2:$Y$2))/(Z501/($K501*$L501*$M501)),"")</f>
        <v/>
      </c>
      <c r="AC501" s="18" t="n"/>
    </row>
    <row r="502">
      <c r="A502" s="9" t="n">
        <v>691292</v>
      </c>
      <c r="B502" s="9" t="inlineStr">
        <is>
          <t>Angel Ortiz</t>
        </is>
      </c>
      <c r="C502" s="9" t="inlineStr">
        <is>
          <t>ARI</t>
        </is>
      </c>
      <c r="D502" s="9" t="n">
        <v>25</v>
      </c>
      <c r="E502" s="16" t="inlineStr">
        <is>
          <t>L</t>
        </is>
      </c>
      <c r="F502" s="16" t="n"/>
      <c r="G502" s="9" t="n">
        <v>82.92307692307693</v>
      </c>
      <c r="H502" s="9" t="n">
        <v>82.92307692307693</v>
      </c>
      <c r="I502" s="9" t="inlineStr">
        <is>
          <t>Depth (no MLB PA)</t>
        </is>
      </c>
      <c r="J502" s="16" t="inlineStr">
        <is>
          <t>Opening Day</t>
        </is>
      </c>
      <c r="K502" s="11">
        <f>IFERROR(INDEX(Roles!$B$17:$B$20,MATCH(J502,Roles!$A$17:$A$20,0)),1)</f>
        <v/>
      </c>
      <c r="L502" s="17" t="n">
        <v>1</v>
      </c>
      <c r="M502" s="11" t="n">
        <v>1</v>
      </c>
      <c r="N502" s="17" t="n"/>
      <c r="O502" s="17" t="n"/>
      <c r="P502" s="17" t="n"/>
      <c r="Q502" s="17" t="n"/>
      <c r="R502" s="17" t="n"/>
      <c r="S502" s="17" t="n"/>
      <c r="T502" s="17" t="n"/>
      <c r="U502" s="17" t="n"/>
      <c r="V502" s="17" t="n"/>
      <c r="W502" s="17" t="n"/>
      <c r="X502" s="17" t="n"/>
      <c r="Y502" s="17" t="n">
        <v>1</v>
      </c>
      <c r="Z502" s="13">
        <f>SUMPRODUCT(N502:Y502,$N$2:$Y$2)*$K502*$L502*$M502</f>
        <v/>
      </c>
      <c r="AA502" s="14">
        <f>SUM(N502:Y502)</f>
        <v/>
      </c>
      <c r="AB502" s="14">
        <f>IFERROR(IF(UPPER($E502)="L",SUMPRODUCT(N502:Y502,$N$3:$Y$3,$N$2:$Y$2),SUMPRODUCT(N502:Y502,$N$4:$Y$4,$N$2:$Y$2))/(Z502/($K502*$L502*$M502)),"")</f>
        <v/>
      </c>
      <c r="AC502" s="18" t="n"/>
    </row>
    <row r="503">
      <c r="A503" s="9" t="n">
        <v>805127</v>
      </c>
      <c r="B503" s="9" t="inlineStr">
        <is>
          <t>Devin Taylor</t>
        </is>
      </c>
      <c r="C503" s="9" t="inlineStr">
        <is>
          <t>OAK</t>
        </is>
      </c>
      <c r="D503" s="9" t="n">
        <v>23</v>
      </c>
      <c r="E503" s="16" t="inlineStr">
        <is>
          <t>L</t>
        </is>
      </c>
      <c r="F503" s="16" t="n"/>
      <c r="G503" s="9" t="n">
        <v>38.35897435897436</v>
      </c>
      <c r="H503" s="9" t="n">
        <v>38.35897435897436</v>
      </c>
      <c r="I503" s="9" t="inlineStr">
        <is>
          <t>Bench Bat</t>
        </is>
      </c>
      <c r="J503" s="16" t="inlineStr">
        <is>
          <t>Mid Season (~July)</t>
        </is>
      </c>
      <c r="K503" s="11">
        <f>IFERROR(INDEX(Roles!$B$17:$B$20,MATCH(J503,Roles!$A$17:$A$20,0)),1)</f>
        <v/>
      </c>
      <c r="L503" s="17" t="n">
        <v>1</v>
      </c>
      <c r="M503" s="11" t="n">
        <v>1</v>
      </c>
      <c r="N503" s="17" t="n"/>
      <c r="O503" s="17" t="n"/>
      <c r="P503" s="17" t="n">
        <v>0.35</v>
      </c>
      <c r="Q503" s="17" t="n"/>
      <c r="R503" s="17" t="n"/>
      <c r="S503" s="17" t="n"/>
      <c r="T503" s="17" t="n"/>
      <c r="U503" s="17" t="n"/>
      <c r="V503" s="17" t="n"/>
      <c r="W503" s="17" t="n">
        <v>0.45</v>
      </c>
      <c r="X503" s="17" t="n">
        <v>0.2</v>
      </c>
      <c r="Y503" s="17" t="n"/>
      <c r="Z503" s="13">
        <f>SUMPRODUCT(N503:Y503,$N$2:$Y$2)*$K503*$L503*$M503</f>
        <v/>
      </c>
      <c r="AA503" s="14">
        <f>SUM(N503:Y503)</f>
        <v/>
      </c>
      <c r="AB503" s="14">
        <f>IFERROR(IF(UPPER($E503)="L",SUMPRODUCT(N503:Y503,$N$3:$Y$3,$N$2:$Y$2),SUMPRODUCT(N503:Y503,$N$4:$Y$4,$N$2:$Y$2))/(Z503/($K503*$L503*$M503)),"")</f>
        <v/>
      </c>
      <c r="AC503" s="18" t="n"/>
    </row>
    <row r="504">
      <c r="A504" s="9" t="n">
        <v>600303</v>
      </c>
      <c r="B504" s="9" t="inlineStr">
        <is>
          <t>Tommy La Stella</t>
        </is>
      </c>
      <c r="C504" s="9" t="inlineStr">
        <is>
          <t>SF</t>
        </is>
      </c>
      <c r="D504" s="9" t="n">
        <v>38</v>
      </c>
      <c r="E504" s="16" t="inlineStr">
        <is>
          <t>L</t>
        </is>
      </c>
      <c r="F504" s="16" t="inlineStr">
        <is>
          <t>3B</t>
        </is>
      </c>
      <c r="G504" s="9" t="n">
        <v>24</v>
      </c>
      <c r="H504" s="9" t="n">
        <v>219</v>
      </c>
      <c r="I504" s="9" t="inlineStr">
        <is>
          <t>Depth (no MLB PA)</t>
        </is>
      </c>
      <c r="J504" s="16" t="inlineStr">
        <is>
          <t>Opening Day</t>
        </is>
      </c>
      <c r="K504" s="11">
        <f>IFERROR(INDEX(Roles!$B$17:$B$20,MATCH(J504,Roles!$A$17:$A$20,0)),1)</f>
        <v/>
      </c>
      <c r="L504" s="17" t="n">
        <v>1</v>
      </c>
      <c r="M504" s="11" t="n">
        <v>1</v>
      </c>
      <c r="N504" s="17" t="n"/>
      <c r="O504" s="17" t="n"/>
      <c r="P504" s="17" t="n"/>
      <c r="Q504" s="17" t="n"/>
      <c r="R504" s="17" t="n"/>
      <c r="S504" s="17" t="n"/>
      <c r="T504" s="17" t="n"/>
      <c r="U504" s="17" t="n"/>
      <c r="V504" s="17" t="n"/>
      <c r="W504" s="17" t="n"/>
      <c r="X504" s="17" t="n"/>
      <c r="Y504" s="17" t="n">
        <v>1</v>
      </c>
      <c r="Z504" s="13">
        <f>SUMPRODUCT(N504:Y504,$N$2:$Y$2)*$K504*$L504*$M504</f>
        <v/>
      </c>
      <c r="AA504" s="14">
        <f>SUM(N504:Y504)</f>
        <v/>
      </c>
      <c r="AB504" s="14">
        <f>IFERROR(IF(UPPER($E504)="L",SUMPRODUCT(N504:Y504,$N$3:$Y$3,$N$2:$Y$2),SUMPRODUCT(N504:Y504,$N$4:$Y$4,$N$2:$Y$2))/(Z504/($K504*$L504*$M504)),"")</f>
        <v/>
      </c>
      <c r="AC504" s="18" t="n"/>
    </row>
    <row r="505">
      <c r="A505" s="9" t="n">
        <v>700845</v>
      </c>
      <c r="B505" s="9" t="inlineStr">
        <is>
          <t>Adam Zebrowski</t>
        </is>
      </c>
      <c r="C505" s="9" t="inlineStr">
        <is>
          <t>ATL</t>
        </is>
      </c>
      <c r="D505" s="9" t="n">
        <v>25</v>
      </c>
      <c r="E505" s="16" t="inlineStr">
        <is>
          <t>R</t>
        </is>
      </c>
      <c r="F505" s="16" t="n"/>
      <c r="G505" s="9" t="n">
        <v>38.92307692307693</v>
      </c>
      <c r="H505" s="9" t="n">
        <v>38.92307692307693</v>
      </c>
      <c r="I505" s="9" t="inlineStr">
        <is>
          <t>Depth (no MLB PA)</t>
        </is>
      </c>
      <c r="J505" s="16" t="inlineStr">
        <is>
          <t>Opening Day</t>
        </is>
      </c>
      <c r="K505" s="11">
        <f>IFERROR(INDEX(Roles!$B$17:$B$20,MATCH(J505,Roles!$A$17:$A$20,0)),1)</f>
        <v/>
      </c>
      <c r="L505" s="17" t="n">
        <v>1</v>
      </c>
      <c r="M505" s="11" t="n">
        <v>1</v>
      </c>
      <c r="N505" s="17" t="n"/>
      <c r="O505" s="17" t="n"/>
      <c r="P505" s="17" t="n"/>
      <c r="Q505" s="17" t="n"/>
      <c r="R505" s="17" t="n"/>
      <c r="S505" s="17" t="n"/>
      <c r="T505" s="17" t="n"/>
      <c r="U505" s="17" t="n"/>
      <c r="V505" s="17" t="n"/>
      <c r="W505" s="17" t="n"/>
      <c r="X505" s="17" t="n"/>
      <c r="Y505" s="17" t="n">
        <v>1</v>
      </c>
      <c r="Z505" s="13">
        <f>SUMPRODUCT(N505:Y505,$N$2:$Y$2)*$K505*$L505*$M505</f>
        <v/>
      </c>
      <c r="AA505" s="14">
        <f>SUM(N505:Y505)</f>
        <v/>
      </c>
      <c r="AB505" s="14">
        <f>IFERROR(IF(UPPER($E505)="L",SUMPRODUCT(N505:Y505,$N$3:$Y$3,$N$2:$Y$2),SUMPRODUCT(N505:Y505,$N$4:$Y$4,$N$2:$Y$2))/(Z505/($K505*$L505*$M505)),"")</f>
        <v/>
      </c>
      <c r="AC505" s="18" t="n"/>
    </row>
    <row r="506">
      <c r="A506" s="9" t="n">
        <v>671732</v>
      </c>
      <c r="B506" s="9" t="inlineStr">
        <is>
          <t>Lawrence Butler</t>
        </is>
      </c>
      <c r="C506" s="9" t="inlineStr">
        <is>
          <t>OAK</t>
        </is>
      </c>
      <c r="D506" s="9" t="n">
        <v>26</v>
      </c>
      <c r="E506" s="16" t="inlineStr">
        <is>
          <t>L</t>
        </is>
      </c>
      <c r="F506" s="16" t="inlineStr">
        <is>
          <t>RF</t>
        </is>
      </c>
      <c r="G506" s="9" t="n">
        <v>539</v>
      </c>
      <c r="H506" s="9" t="n">
        <v>1749</v>
      </c>
      <c r="I506" s="9" t="inlineStr">
        <is>
          <t>Full Time</t>
        </is>
      </c>
      <c r="J506" s="16" t="inlineStr">
        <is>
          <t>Opening Day</t>
        </is>
      </c>
      <c r="K506" s="11">
        <f>IFERROR(INDEX(Roles!$B$17:$B$20,MATCH(J506,Roles!$A$17:$A$20,0)),1)</f>
        <v/>
      </c>
      <c r="L506" s="17" t="n">
        <v>1</v>
      </c>
      <c r="M506" s="11" t="n">
        <v>1.15</v>
      </c>
      <c r="N506" s="17" t="n">
        <v>1</v>
      </c>
      <c r="O506" s="17" t="n"/>
      <c r="P506" s="17" t="n"/>
      <c r="Q506" s="17" t="n"/>
      <c r="R506" s="17" t="n"/>
      <c r="S506" s="17" t="n"/>
      <c r="T506" s="17" t="n"/>
      <c r="U506" s="17" t="n"/>
      <c r="V506" s="17" t="n"/>
      <c r="W506" s="17" t="n"/>
      <c r="X506" s="17" t="n"/>
      <c r="Y506" s="17" t="n"/>
      <c r="Z506" s="13">
        <f>SUMPRODUCT(N506:Y506,$N$2:$Y$2)*$K506*$L506*$M506</f>
        <v/>
      </c>
      <c r="AA506" s="14">
        <f>SUM(N506:Y506)</f>
        <v/>
      </c>
      <c r="AB506" s="14">
        <f>IFERROR(IF(UPPER($E506)="L",SUMPRODUCT(N506:Y506,$N$3:$Y$3,$N$2:$Y$2),SUMPRODUCT(N506:Y506,$N$4:$Y$4,$N$2:$Y$2))/(Z506/($K506*$L506*$M506)),"")</f>
        <v/>
      </c>
      <c r="AC506" s="18" t="n"/>
    </row>
    <row r="507">
      <c r="A507" s="9" t="n">
        <v>806263</v>
      </c>
      <c r="B507" s="9" t="inlineStr">
        <is>
          <t>Brandon Winokur</t>
        </is>
      </c>
      <c r="C507" s="9" t="inlineStr">
        <is>
          <t>MIN</t>
        </is>
      </c>
      <c r="D507" s="9" t="n">
        <v>23</v>
      </c>
      <c r="E507" s="16" t="inlineStr">
        <is>
          <t>R</t>
        </is>
      </c>
      <c r="F507" s="16" t="n"/>
      <c r="G507" s="9" t="n">
        <v>84</v>
      </c>
      <c r="H507" s="9" t="n">
        <v>84</v>
      </c>
      <c r="I507" s="9" t="inlineStr">
        <is>
          <t>Depth (no MLB PA)</t>
        </is>
      </c>
      <c r="J507" s="16" t="inlineStr">
        <is>
          <t>Opening Day</t>
        </is>
      </c>
      <c r="K507" s="11">
        <f>IFERROR(INDEX(Roles!$B$17:$B$20,MATCH(J507,Roles!$A$17:$A$20,0)),1)</f>
        <v/>
      </c>
      <c r="L507" s="17" t="n">
        <v>1</v>
      </c>
      <c r="M507" s="11" t="n">
        <v>1</v>
      </c>
      <c r="N507" s="17" t="n"/>
      <c r="O507" s="17" t="n"/>
      <c r="P507" s="17" t="n"/>
      <c r="Q507" s="17" t="n"/>
      <c r="R507" s="17" t="n"/>
      <c r="S507" s="17" t="n"/>
      <c r="T507" s="17" t="n"/>
      <c r="U507" s="17" t="n"/>
      <c r="V507" s="17" t="n"/>
      <c r="W507" s="17" t="n"/>
      <c r="X507" s="17" t="n"/>
      <c r="Y507" s="17" t="n">
        <v>1</v>
      </c>
      <c r="Z507" s="13">
        <f>SUMPRODUCT(N507:Y507,$N$2:$Y$2)*$K507*$L507*$M507</f>
        <v/>
      </c>
      <c r="AA507" s="14">
        <f>SUM(N507:Y507)</f>
        <v/>
      </c>
      <c r="AB507" s="14">
        <f>IFERROR(IF(UPPER($E507)="L",SUMPRODUCT(N507:Y507,$N$3:$Y$3,$N$2:$Y$2),SUMPRODUCT(N507:Y507,$N$4:$Y$4,$N$2:$Y$2))/(Z507/($K507*$L507*$M507)),"")</f>
        <v/>
      </c>
      <c r="AC507" s="18" t="n"/>
    </row>
    <row r="508">
      <c r="A508" s="9" t="n">
        <v>821327</v>
      </c>
      <c r="B508" s="9" t="inlineStr">
        <is>
          <t>Jake Bennett</t>
        </is>
      </c>
      <c r="C508" s="9" t="inlineStr">
        <is>
          <t>TOR</t>
        </is>
      </c>
      <c r="D508" s="9" t="n">
        <v>25</v>
      </c>
      <c r="E508" s="16" t="inlineStr">
        <is>
          <t>R</t>
        </is>
      </c>
      <c r="F508" s="16" t="n"/>
      <c r="G508" s="9" t="n">
        <v>9.846153846153848</v>
      </c>
      <c r="H508" s="9" t="n">
        <v>9.846153846153848</v>
      </c>
      <c r="I508" s="9" t="inlineStr">
        <is>
          <t>Depth (no MLB PA)</t>
        </is>
      </c>
      <c r="J508" s="16" t="inlineStr">
        <is>
          <t>Opening Day</t>
        </is>
      </c>
      <c r="K508" s="11">
        <f>IFERROR(INDEX(Roles!$B$17:$B$20,MATCH(J508,Roles!$A$17:$A$20,0)),1)</f>
        <v/>
      </c>
      <c r="L508" s="17" t="n">
        <v>1</v>
      </c>
      <c r="M508" s="11" t="n">
        <v>1</v>
      </c>
      <c r="N508" s="17" t="n"/>
      <c r="O508" s="17" t="n"/>
      <c r="P508" s="17" t="n"/>
      <c r="Q508" s="17" t="n"/>
      <c r="R508" s="17" t="n"/>
      <c r="S508" s="17" t="n"/>
      <c r="T508" s="17" t="n"/>
      <c r="U508" s="17" t="n"/>
      <c r="V508" s="17" t="n"/>
      <c r="W508" s="17" t="n"/>
      <c r="X508" s="17" t="n"/>
      <c r="Y508" s="17" t="n">
        <v>1</v>
      </c>
      <c r="Z508" s="13">
        <f>SUMPRODUCT(N508:Y508,$N$2:$Y$2)*$K508*$L508*$M508</f>
        <v/>
      </c>
      <c r="AA508" s="14">
        <f>SUM(N508:Y508)</f>
        <v/>
      </c>
      <c r="AB508" s="14">
        <f>IFERROR(IF(UPPER($E508)="L",SUMPRODUCT(N508:Y508,$N$3:$Y$3,$N$2:$Y$2),SUMPRODUCT(N508:Y508,$N$4:$Y$4,$N$2:$Y$2))/(Z508/($K508*$L508*$M508)),"")</f>
        <v/>
      </c>
      <c r="AC508" s="18" t="n"/>
    </row>
    <row r="509">
      <c r="A509" s="9" t="n">
        <v>815896</v>
      </c>
      <c r="B509" s="9" t="inlineStr">
        <is>
          <t>Emil Morales</t>
        </is>
      </c>
      <c r="C509" s="9" t="inlineStr">
        <is>
          <t>LAD</t>
        </is>
      </c>
      <c r="D509" s="9" t="n">
        <v>21</v>
      </c>
      <c r="E509" s="16" t="inlineStr">
        <is>
          <t>R</t>
        </is>
      </c>
      <c r="F509" s="16" t="n"/>
      <c r="G509" s="9" t="n">
        <v>74.05128205128206</v>
      </c>
      <c r="H509" s="9" t="n">
        <v>74.05128205128206</v>
      </c>
      <c r="I509" s="9" t="inlineStr">
        <is>
          <t>Depth (no MLB PA)</t>
        </is>
      </c>
      <c r="J509" s="16" t="inlineStr">
        <is>
          <t>Opening Day</t>
        </is>
      </c>
      <c r="K509" s="11">
        <f>IFERROR(INDEX(Roles!$B$17:$B$20,MATCH(J509,Roles!$A$17:$A$20,0)),1)</f>
        <v/>
      </c>
      <c r="L509" s="17" t="n">
        <v>1</v>
      </c>
      <c r="M509" s="11" t="n">
        <v>1</v>
      </c>
      <c r="N509" s="17" t="n"/>
      <c r="O509" s="17" t="n"/>
      <c r="P509" s="17" t="n"/>
      <c r="Q509" s="17" t="n"/>
      <c r="R509" s="17" t="n"/>
      <c r="S509" s="17" t="n"/>
      <c r="T509" s="17" t="n"/>
      <c r="U509" s="17" t="n"/>
      <c r="V509" s="17" t="n"/>
      <c r="W509" s="17" t="n"/>
      <c r="X509" s="17" t="n"/>
      <c r="Y509" s="17" t="n">
        <v>1</v>
      </c>
      <c r="Z509" s="13">
        <f>SUMPRODUCT(N509:Y509,$N$2:$Y$2)*$K509*$L509*$M509</f>
        <v/>
      </c>
      <c r="AA509" s="14">
        <f>SUM(N509:Y509)</f>
        <v/>
      </c>
      <c r="AB509" s="14">
        <f>IFERROR(IF(UPPER($E509)="L",SUMPRODUCT(N509:Y509,$N$3:$Y$3,$N$2:$Y$2),SUMPRODUCT(N509:Y509,$N$4:$Y$4,$N$2:$Y$2))/(Z509/($K509*$L509*$M509)),"")</f>
        <v/>
      </c>
      <c r="AC509" s="18" t="n"/>
    </row>
    <row r="510">
      <c r="A510" s="9" t="n">
        <v>805082</v>
      </c>
      <c r="B510" s="9" t="inlineStr">
        <is>
          <t>Ronny Hernandez</t>
        </is>
      </c>
      <c r="C510" s="9" t="inlineStr">
        <is>
          <t>BOS</t>
        </is>
      </c>
      <c r="D510" s="9" t="n">
        <v>25</v>
      </c>
      <c r="E510" s="16" t="inlineStr">
        <is>
          <t>L</t>
        </is>
      </c>
      <c r="F510" s="16" t="n"/>
      <c r="G510" s="9" t="n">
        <v>55.38461538461539</v>
      </c>
      <c r="H510" s="9" t="n">
        <v>55.38461538461539</v>
      </c>
      <c r="I510" s="9" t="inlineStr">
        <is>
          <t>Depth (no MLB PA)</t>
        </is>
      </c>
      <c r="J510" s="16" t="inlineStr">
        <is>
          <t>Opening Day</t>
        </is>
      </c>
      <c r="K510" s="11">
        <f>IFERROR(INDEX(Roles!$B$17:$B$20,MATCH(J510,Roles!$A$17:$A$20,0)),1)</f>
        <v/>
      </c>
      <c r="L510" s="17" t="n">
        <v>1</v>
      </c>
      <c r="M510" s="11" t="n">
        <v>1</v>
      </c>
      <c r="N510" s="17" t="n"/>
      <c r="O510" s="17" t="n"/>
      <c r="P510" s="17" t="n"/>
      <c r="Q510" s="17" t="n"/>
      <c r="R510" s="17" t="n"/>
      <c r="S510" s="17" t="n"/>
      <c r="T510" s="17" t="n"/>
      <c r="U510" s="17" t="n"/>
      <c r="V510" s="17" t="n"/>
      <c r="W510" s="17" t="n"/>
      <c r="X510" s="17" t="n"/>
      <c r="Y510" s="17" t="n">
        <v>1</v>
      </c>
      <c r="Z510" s="13">
        <f>SUMPRODUCT(N510:Y510,$N$2:$Y$2)*$K510*$L510*$M510</f>
        <v/>
      </c>
      <c r="AA510" s="14">
        <f>SUM(N510:Y510)</f>
        <v/>
      </c>
      <c r="AB510" s="14">
        <f>IFERROR(IF(UPPER($E510)="L",SUMPRODUCT(N510:Y510,$N$3:$Y$3,$N$2:$Y$2),SUMPRODUCT(N510:Y510,$N$4:$Y$4,$N$2:$Y$2))/(Z510/($K510*$L510*$M510)),"")</f>
        <v/>
      </c>
      <c r="AC510" s="18" t="n"/>
    </row>
    <row r="511">
      <c r="A511" s="9" t="n">
        <v>691794</v>
      </c>
      <c r="B511" s="9" t="inlineStr">
        <is>
          <t>Cody Schrier</t>
        </is>
      </c>
      <c r="C511" s="9" t="inlineStr">
        <is>
          <t>MIA</t>
        </is>
      </c>
      <c r="D511" s="9" t="n">
        <v>25</v>
      </c>
      <c r="E511" s="16" t="inlineStr">
        <is>
          <t>R</t>
        </is>
      </c>
      <c r="F511" s="16" t="n"/>
      <c r="G511" s="9" t="n">
        <v>59.07692307692309</v>
      </c>
      <c r="H511" s="9" t="n">
        <v>59.07692307692309</v>
      </c>
      <c r="I511" s="9" t="inlineStr">
        <is>
          <t>Depth (no MLB PA)</t>
        </is>
      </c>
      <c r="J511" s="16" t="inlineStr">
        <is>
          <t>Opening Day</t>
        </is>
      </c>
      <c r="K511" s="11">
        <f>IFERROR(INDEX(Roles!$B$17:$B$20,MATCH(J511,Roles!$A$17:$A$20,0)),1)</f>
        <v/>
      </c>
      <c r="L511" s="17" t="n">
        <v>1</v>
      </c>
      <c r="M511" s="11" t="n">
        <v>1</v>
      </c>
      <c r="N511" s="17" t="n"/>
      <c r="O511" s="17" t="n"/>
      <c r="P511" s="17" t="n"/>
      <c r="Q511" s="17" t="n"/>
      <c r="R511" s="17" t="n"/>
      <c r="S511" s="17" t="n"/>
      <c r="T511" s="17" t="n"/>
      <c r="U511" s="17" t="n"/>
      <c r="V511" s="17" t="n"/>
      <c r="W511" s="17" t="n"/>
      <c r="X511" s="17" t="n"/>
      <c r="Y511" s="17" t="n">
        <v>1</v>
      </c>
      <c r="Z511" s="13">
        <f>SUMPRODUCT(N511:Y511,$N$2:$Y$2)*$K511*$L511*$M511</f>
        <v/>
      </c>
      <c r="AA511" s="14">
        <f>SUM(N511:Y511)</f>
        <v/>
      </c>
      <c r="AB511" s="14">
        <f>IFERROR(IF(UPPER($E511)="L",SUMPRODUCT(N511:Y511,$N$3:$Y$3,$N$2:$Y$2),SUMPRODUCT(N511:Y511,$N$4:$Y$4,$N$2:$Y$2))/(Z511/($K511*$L511*$M511)),"")</f>
        <v/>
      </c>
      <c r="AC511" s="18" t="n"/>
    </row>
    <row r="512">
      <c r="A512" s="9" t="n">
        <v>802511</v>
      </c>
      <c r="B512" s="9" t="inlineStr">
        <is>
          <t>Sam Shaw</t>
        </is>
      </c>
      <c r="C512" s="9" t="inlineStr">
        <is>
          <t>TOR</t>
        </is>
      </c>
      <c r="D512" s="9" t="n">
        <v>22</v>
      </c>
      <c r="E512" s="16" t="inlineStr">
        <is>
          <t>L</t>
        </is>
      </c>
      <c r="F512" s="16" t="n"/>
      <c r="G512" s="9" t="n">
        <v>19.48717948717949</v>
      </c>
      <c r="H512" s="9" t="n">
        <v>19.48717948717949</v>
      </c>
      <c r="I512" s="9" t="inlineStr">
        <is>
          <t>Depth (no MLB PA)</t>
        </is>
      </c>
      <c r="J512" s="16" t="inlineStr">
        <is>
          <t>Opening Day</t>
        </is>
      </c>
      <c r="K512" s="11">
        <f>IFERROR(INDEX(Roles!$B$17:$B$20,MATCH(J512,Roles!$A$17:$A$20,0)),1)</f>
        <v/>
      </c>
      <c r="L512" s="17" t="n">
        <v>1</v>
      </c>
      <c r="M512" s="11" t="n">
        <v>1</v>
      </c>
      <c r="N512" s="17" t="n"/>
      <c r="O512" s="17" t="n"/>
      <c r="P512" s="17" t="n"/>
      <c r="Q512" s="17" t="n"/>
      <c r="R512" s="17" t="n"/>
      <c r="S512" s="17" t="n"/>
      <c r="T512" s="17" t="n"/>
      <c r="U512" s="17" t="n"/>
      <c r="V512" s="17" t="n"/>
      <c r="W512" s="17" t="n"/>
      <c r="X512" s="17" t="n"/>
      <c r="Y512" s="17" t="n">
        <v>1</v>
      </c>
      <c r="Z512" s="13">
        <f>SUMPRODUCT(N512:Y512,$N$2:$Y$2)*$K512*$L512*$M512</f>
        <v/>
      </c>
      <c r="AA512" s="14">
        <f>SUM(N512:Y512)</f>
        <v/>
      </c>
      <c r="AB512" s="14">
        <f>IFERROR(IF(UPPER($E512)="L",SUMPRODUCT(N512:Y512,$N$3:$Y$3,$N$2:$Y$2),SUMPRODUCT(N512:Y512,$N$4:$Y$4,$N$2:$Y$2))/(Z512/($K512*$L512*$M512)),"")</f>
        <v/>
      </c>
      <c r="AC512" s="18" t="n"/>
    </row>
    <row r="513">
      <c r="A513" s="9" t="n">
        <v>806518</v>
      </c>
      <c r="B513" s="9" t="inlineStr">
        <is>
          <t>Guillermo Rosario</t>
        </is>
      </c>
      <c r="C513" s="9" t="inlineStr">
        <is>
          <t>PHI</t>
        </is>
      </c>
      <c r="D513" s="9" t="n">
        <v>25</v>
      </c>
      <c r="E513" s="16" t="inlineStr">
        <is>
          <t>R</t>
        </is>
      </c>
      <c r="F513" s="16" t="n"/>
      <c r="G513" s="9" t="n">
        <v>1.435897435897436</v>
      </c>
      <c r="H513" s="9" t="n">
        <v>1.435897435897436</v>
      </c>
      <c r="I513" s="9" t="inlineStr">
        <is>
          <t>Depth (no MLB PA)</t>
        </is>
      </c>
      <c r="J513" s="16" t="inlineStr">
        <is>
          <t>Opening Day</t>
        </is>
      </c>
      <c r="K513" s="11">
        <f>IFERROR(INDEX(Roles!$B$17:$B$20,MATCH(J513,Roles!$A$17:$A$20,0)),1)</f>
        <v/>
      </c>
      <c r="L513" s="17" t="n">
        <v>1</v>
      </c>
      <c r="M513" s="11" t="n">
        <v>1</v>
      </c>
      <c r="N513" s="17" t="n"/>
      <c r="O513" s="17" t="n"/>
      <c r="P513" s="17" t="n"/>
      <c r="Q513" s="17" t="n"/>
      <c r="R513" s="17" t="n"/>
      <c r="S513" s="17" t="n"/>
      <c r="T513" s="17" t="n"/>
      <c r="U513" s="17" t="n"/>
      <c r="V513" s="17" t="n"/>
      <c r="W513" s="17" t="n"/>
      <c r="X513" s="17" t="n"/>
      <c r="Y513" s="17" t="n">
        <v>1</v>
      </c>
      <c r="Z513" s="13">
        <f>SUMPRODUCT(N513:Y513,$N$2:$Y$2)*$K513*$L513*$M513</f>
        <v/>
      </c>
      <c r="AA513" s="14">
        <f>SUM(N513:Y513)</f>
        <v/>
      </c>
      <c r="AB513" s="14">
        <f>IFERROR(IF(UPPER($E513)="L",SUMPRODUCT(N513:Y513,$N$3:$Y$3,$N$2:$Y$2),SUMPRODUCT(N513:Y513,$N$4:$Y$4,$N$2:$Y$2))/(Z513/($K513*$L513*$M513)),"")</f>
        <v/>
      </c>
      <c r="AC513" s="18" t="n"/>
    </row>
    <row r="514">
      <c r="A514" s="9" t="n">
        <v>650490</v>
      </c>
      <c r="B514" s="9" t="inlineStr">
        <is>
          <t>Yandy Díaz</t>
        </is>
      </c>
      <c r="C514" s="9" t="inlineStr">
        <is>
          <t>TB</t>
        </is>
      </c>
      <c r="D514" s="9" t="n">
        <v>35</v>
      </c>
      <c r="E514" s="16" t="inlineStr">
        <is>
          <t>R</t>
        </is>
      </c>
      <c r="F514" s="16" t="inlineStr">
        <is>
          <t>1B</t>
        </is>
      </c>
      <c r="G514" s="9" t="n">
        <v>686</v>
      </c>
      <c r="H514" s="9" t="n">
        <v>3116</v>
      </c>
      <c r="I514" s="9" t="inlineStr">
        <is>
          <t>Everyday DH / 1B-DH</t>
        </is>
      </c>
      <c r="J514" s="16" t="inlineStr">
        <is>
          <t>Opening Day</t>
        </is>
      </c>
      <c r="K514" s="11">
        <f>IFERROR(INDEX(Roles!$B$17:$B$20,MATCH(J514,Roles!$A$17:$A$20,0)),1)</f>
        <v/>
      </c>
      <c r="L514" s="17" t="n">
        <v>1</v>
      </c>
      <c r="M514" s="11" t="n">
        <v>1.139609339993804</v>
      </c>
      <c r="N514" s="17" t="n"/>
      <c r="O514" s="17" t="n">
        <v>1</v>
      </c>
      <c r="P514" s="17" t="n"/>
      <c r="Q514" s="17" t="n"/>
      <c r="R514" s="17" t="n"/>
      <c r="S514" s="17" t="n"/>
      <c r="T514" s="17" t="n"/>
      <c r="U514" s="17" t="n"/>
      <c r="V514" s="17" t="n"/>
      <c r="W514" s="17" t="n"/>
      <c r="X514" s="17" t="n"/>
      <c r="Y514" s="17" t="n"/>
      <c r="Z514" s="13">
        <f>SUMPRODUCT(N514:Y514,$N$2:$Y$2)*$K514*$L514*$M514</f>
        <v/>
      </c>
      <c r="AA514" s="14">
        <f>SUM(N514:Y514)</f>
        <v/>
      </c>
      <c r="AB514" s="14">
        <f>IFERROR(IF(UPPER($E514)="L",SUMPRODUCT(N514:Y514,$N$3:$Y$3,$N$2:$Y$2),SUMPRODUCT(N514:Y514,$N$4:$Y$4,$N$2:$Y$2))/(Z514/($K514*$L514*$M514)),"")</f>
        <v/>
      </c>
      <c r="AC514" s="18" t="n"/>
    </row>
    <row r="515">
      <c r="A515" s="9" t="n">
        <v>703192</v>
      </c>
      <c r="B515" s="9" t="inlineStr">
        <is>
          <t>Abdias De La Cruz</t>
        </is>
      </c>
      <c r="C515" s="9" t="inlineStr">
        <is>
          <t>ARI</t>
        </is>
      </c>
      <c r="D515" s="9" t="n">
        <v>25</v>
      </c>
      <c r="E515" s="16" t="inlineStr">
        <is>
          <t>R</t>
        </is>
      </c>
      <c r="F515" s="16" t="n"/>
      <c r="G515" s="9" t="n">
        <v>11.8974358974359</v>
      </c>
      <c r="H515" s="9" t="n">
        <v>11.8974358974359</v>
      </c>
      <c r="I515" s="9" t="inlineStr">
        <is>
          <t>Depth (no MLB PA)</t>
        </is>
      </c>
      <c r="J515" s="16" t="inlineStr">
        <is>
          <t>Opening Day</t>
        </is>
      </c>
      <c r="K515" s="11">
        <f>IFERROR(INDEX(Roles!$B$17:$B$20,MATCH(J515,Roles!$A$17:$A$20,0)),1)</f>
        <v/>
      </c>
      <c r="L515" s="17" t="n">
        <v>1</v>
      </c>
      <c r="M515" s="11" t="n">
        <v>1</v>
      </c>
      <c r="N515" s="17" t="n"/>
      <c r="O515" s="17" t="n"/>
      <c r="P515" s="17" t="n"/>
      <c r="Q515" s="17" t="n"/>
      <c r="R515" s="17" t="n"/>
      <c r="S515" s="17" t="n"/>
      <c r="T515" s="17" t="n"/>
      <c r="U515" s="17" t="n"/>
      <c r="V515" s="17" t="n"/>
      <c r="W515" s="17" t="n"/>
      <c r="X515" s="17" t="n"/>
      <c r="Y515" s="17" t="n">
        <v>1</v>
      </c>
      <c r="Z515" s="13">
        <f>SUMPRODUCT(N515:Y515,$N$2:$Y$2)*$K515*$L515*$M515</f>
        <v/>
      </c>
      <c r="AA515" s="14">
        <f>SUM(N515:Y515)</f>
        <v/>
      </c>
      <c r="AB515" s="14">
        <f>IFERROR(IF(UPPER($E515)="L",SUMPRODUCT(N515:Y515,$N$3:$Y$3,$N$2:$Y$2),SUMPRODUCT(N515:Y515,$N$4:$Y$4,$N$2:$Y$2))/(Z515/($K515*$L515*$M515)),"")</f>
        <v/>
      </c>
      <c r="AC515" s="18" t="n"/>
    </row>
    <row r="516">
      <c r="A516" s="9" t="n">
        <v>806245</v>
      </c>
      <c r="B516" s="9" t="inlineStr">
        <is>
          <t>Carson Tinney</t>
        </is>
      </c>
      <c r="C516" s="9" t="inlineStr">
        <is>
          <t>MIN</t>
        </is>
      </c>
      <c r="D516" s="9" t="n">
        <v>25</v>
      </c>
      <c r="E516" s="16" t="inlineStr">
        <is>
          <t>R</t>
        </is>
      </c>
      <c r="F516" s="16" t="n"/>
      <c r="G516" s="9" t="n">
        <v>12.55384615384615</v>
      </c>
      <c r="H516" s="9" t="n">
        <v>12.55384615384615</v>
      </c>
      <c r="I516" s="9" t="inlineStr">
        <is>
          <t>Depth (no MLB PA)</t>
        </is>
      </c>
      <c r="J516" s="16" t="inlineStr">
        <is>
          <t>Opening Day</t>
        </is>
      </c>
      <c r="K516" s="11">
        <f>IFERROR(INDEX(Roles!$B$17:$B$20,MATCH(J516,Roles!$A$17:$A$20,0)),1)</f>
        <v/>
      </c>
      <c r="L516" s="17" t="n">
        <v>1</v>
      </c>
      <c r="M516" s="11" t="n">
        <v>1</v>
      </c>
      <c r="N516" s="17" t="n"/>
      <c r="O516" s="17" t="n"/>
      <c r="P516" s="17" t="n"/>
      <c r="Q516" s="17" t="n"/>
      <c r="R516" s="17" t="n"/>
      <c r="S516" s="17" t="n"/>
      <c r="T516" s="17" t="n"/>
      <c r="U516" s="17" t="n"/>
      <c r="V516" s="17" t="n"/>
      <c r="W516" s="17" t="n"/>
      <c r="X516" s="17" t="n"/>
      <c r="Y516" s="17" t="n">
        <v>1</v>
      </c>
      <c r="Z516" s="13">
        <f>SUMPRODUCT(N516:Y516,$N$2:$Y$2)*$K516*$L516*$M516</f>
        <v/>
      </c>
      <c r="AA516" s="14">
        <f>SUM(N516:Y516)</f>
        <v/>
      </c>
      <c r="AB516" s="14">
        <f>IFERROR(IF(UPPER($E516)="L",SUMPRODUCT(N516:Y516,$N$3:$Y$3,$N$2:$Y$2),SUMPRODUCT(N516:Y516,$N$4:$Y$4,$N$2:$Y$2))/(Z516/($K516*$L516*$M516)),"")</f>
        <v/>
      </c>
      <c r="AC516" s="18" t="n"/>
    </row>
    <row r="517">
      <c r="A517" s="9" t="n">
        <v>641943</v>
      </c>
      <c r="B517" s="9" t="inlineStr">
        <is>
          <t>Joshua Palacios</t>
        </is>
      </c>
      <c r="C517" s="9" t="inlineStr">
        <is>
          <t>CWS</t>
        </is>
      </c>
      <c r="D517" s="9" t="n">
        <v>31</v>
      </c>
      <c r="E517" s="16" t="inlineStr">
        <is>
          <t>L</t>
        </is>
      </c>
      <c r="F517" s="16" t="inlineStr">
        <is>
          <t>RF</t>
        </is>
      </c>
      <c r="G517" s="9" t="n">
        <v>145</v>
      </c>
      <c r="H517" s="9" t="n">
        <v>536</v>
      </c>
      <c r="I517" s="9" t="inlineStr">
        <is>
          <t>Bench Bat</t>
        </is>
      </c>
      <c r="J517" s="16" t="inlineStr">
        <is>
          <t>Opening Day</t>
        </is>
      </c>
      <c r="K517" s="11">
        <f>IFERROR(INDEX(Roles!$B$17:$B$20,MATCH(J517,Roles!$A$17:$A$20,0)),1)</f>
        <v/>
      </c>
      <c r="L517" s="17" t="n">
        <v>1</v>
      </c>
      <c r="M517" s="11" t="n">
        <v>1</v>
      </c>
      <c r="N517" s="17" t="n"/>
      <c r="O517" s="17" t="n"/>
      <c r="P517" s="17" t="n"/>
      <c r="Q517" s="17" t="n"/>
      <c r="R517" s="17" t="n"/>
      <c r="S517" s="17" t="n"/>
      <c r="T517" s="17" t="n"/>
      <c r="U517" s="17" t="n"/>
      <c r="V517" s="17" t="n"/>
      <c r="W517" s="17" t="n">
        <v>1</v>
      </c>
      <c r="X517" s="17" t="n"/>
      <c r="Y517" s="17" t="n"/>
      <c r="Z517" s="13">
        <f>SUMPRODUCT(N517:Y517,$N$2:$Y$2)*$K517*$L517*$M517</f>
        <v/>
      </c>
      <c r="AA517" s="14">
        <f>SUM(N517:Y517)</f>
        <v/>
      </c>
      <c r="AB517" s="14">
        <f>IFERROR(IF(UPPER($E517)="L",SUMPRODUCT(N517:Y517,$N$3:$Y$3,$N$2:$Y$2),SUMPRODUCT(N517:Y517,$N$4:$Y$4,$N$2:$Y$2))/(Z517/($K517*$L517*$M517)),"")</f>
        <v/>
      </c>
      <c r="AC517" s="18" t="n"/>
    </row>
    <row r="518">
      <c r="A518" s="9" t="n">
        <v>687751</v>
      </c>
      <c r="B518" s="9" t="inlineStr">
        <is>
          <t>Cortland Lawson</t>
        </is>
      </c>
      <c r="C518" s="9" t="inlineStr">
        <is>
          <t>WSH</t>
        </is>
      </c>
      <c r="D518" s="9" t="n">
        <v>25</v>
      </c>
      <c r="E518" s="16" t="inlineStr">
        <is>
          <t>R</t>
        </is>
      </c>
      <c r="F518" s="16" t="n"/>
      <c r="G518" s="9" t="n">
        <v>10.71794871794872</v>
      </c>
      <c r="H518" s="9" t="n">
        <v>10.71794871794872</v>
      </c>
      <c r="I518" s="9" t="inlineStr">
        <is>
          <t>Depth (no MLB PA)</t>
        </is>
      </c>
      <c r="J518" s="16" t="inlineStr">
        <is>
          <t>Opening Day</t>
        </is>
      </c>
      <c r="K518" s="11">
        <f>IFERROR(INDEX(Roles!$B$17:$B$20,MATCH(J518,Roles!$A$17:$A$20,0)),1)</f>
        <v/>
      </c>
      <c r="L518" s="17" t="n">
        <v>1</v>
      </c>
      <c r="M518" s="11" t="n">
        <v>1</v>
      </c>
      <c r="N518" s="17" t="n"/>
      <c r="O518" s="17" t="n"/>
      <c r="P518" s="17" t="n"/>
      <c r="Q518" s="17" t="n"/>
      <c r="R518" s="17" t="n"/>
      <c r="S518" s="17" t="n"/>
      <c r="T518" s="17" t="n"/>
      <c r="U518" s="17" t="n"/>
      <c r="V518" s="17" t="n"/>
      <c r="W518" s="17" t="n"/>
      <c r="X518" s="17" t="n"/>
      <c r="Y518" s="17" t="n">
        <v>1</v>
      </c>
      <c r="Z518" s="13">
        <f>SUMPRODUCT(N518:Y518,$N$2:$Y$2)*$K518*$L518*$M518</f>
        <v/>
      </c>
      <c r="AA518" s="14">
        <f>SUM(N518:Y518)</f>
        <v/>
      </c>
      <c r="AB518" s="14">
        <f>IFERROR(IF(UPPER($E518)="L",SUMPRODUCT(N518:Y518,$N$3:$Y$3,$N$2:$Y$2),SUMPRODUCT(N518:Y518,$N$4:$Y$4,$N$2:$Y$2))/(Z518/($K518*$L518*$M518)),"")</f>
        <v/>
      </c>
      <c r="AC518" s="18" t="n"/>
    </row>
    <row r="519">
      <c r="A519" s="9" t="n">
        <v>821154</v>
      </c>
      <c r="B519" s="9" t="inlineStr">
        <is>
          <t>Givian Sirvania</t>
        </is>
      </c>
      <c r="C519" s="9" t="inlineStr">
        <is>
          <t>BOS</t>
        </is>
      </c>
      <c r="D519" s="9" t="n">
        <v>25</v>
      </c>
      <c r="E519" s="16" t="inlineStr">
        <is>
          <t>R</t>
        </is>
      </c>
      <c r="F519" s="16" t="n"/>
      <c r="G519" s="9" t="n">
        <v>4.102564102564103</v>
      </c>
      <c r="H519" s="9" t="n">
        <v>4.102564102564103</v>
      </c>
      <c r="I519" s="9" t="inlineStr">
        <is>
          <t>Depth (no MLB PA)</t>
        </is>
      </c>
      <c r="J519" s="16" t="inlineStr">
        <is>
          <t>Opening Day</t>
        </is>
      </c>
      <c r="K519" s="11">
        <f>IFERROR(INDEX(Roles!$B$17:$B$20,MATCH(J519,Roles!$A$17:$A$20,0)),1)</f>
        <v/>
      </c>
      <c r="L519" s="17" t="n">
        <v>1</v>
      </c>
      <c r="M519" s="11" t="n">
        <v>1</v>
      </c>
      <c r="N519" s="17" t="n"/>
      <c r="O519" s="17" t="n"/>
      <c r="P519" s="17" t="n"/>
      <c r="Q519" s="17" t="n"/>
      <c r="R519" s="17" t="n"/>
      <c r="S519" s="17" t="n"/>
      <c r="T519" s="17" t="n"/>
      <c r="U519" s="17" t="n"/>
      <c r="V519" s="17" t="n"/>
      <c r="W519" s="17" t="n"/>
      <c r="X519" s="17" t="n"/>
      <c r="Y519" s="17" t="n">
        <v>1</v>
      </c>
      <c r="Z519" s="13">
        <f>SUMPRODUCT(N519:Y519,$N$2:$Y$2)*$K519*$L519*$M519</f>
        <v/>
      </c>
      <c r="AA519" s="14">
        <f>SUM(N519:Y519)</f>
        <v/>
      </c>
      <c r="AB519" s="14">
        <f>IFERROR(IF(UPPER($E519)="L",SUMPRODUCT(N519:Y519,$N$3:$Y$3,$N$2:$Y$2),SUMPRODUCT(N519:Y519,$N$4:$Y$4,$N$2:$Y$2))/(Z519/($K519*$L519*$M519)),"")</f>
        <v/>
      </c>
      <c r="AC519" s="18" t="n"/>
    </row>
    <row r="520">
      <c r="A520" s="9" t="n">
        <v>809231</v>
      </c>
      <c r="B520" s="9" t="inlineStr">
        <is>
          <t>Tom Poole</t>
        </is>
      </c>
      <c r="C520" s="9" t="inlineStr">
        <is>
          <t>TB</t>
        </is>
      </c>
      <c r="D520" s="9" t="n">
        <v>25</v>
      </c>
      <c r="E520" s="16" t="inlineStr">
        <is>
          <t>L</t>
        </is>
      </c>
      <c r="F520" s="16" t="n"/>
      <c r="G520" s="9" t="n">
        <v>23.7948717948718</v>
      </c>
      <c r="H520" s="9" t="n">
        <v>23.7948717948718</v>
      </c>
      <c r="I520" s="9" t="inlineStr">
        <is>
          <t>Depth (no MLB PA)</t>
        </is>
      </c>
      <c r="J520" s="16" t="inlineStr">
        <is>
          <t>Opening Day</t>
        </is>
      </c>
      <c r="K520" s="11">
        <f>IFERROR(INDEX(Roles!$B$17:$B$20,MATCH(J520,Roles!$A$17:$A$20,0)),1)</f>
        <v/>
      </c>
      <c r="L520" s="17" t="n">
        <v>1</v>
      </c>
      <c r="M520" s="11" t="n">
        <v>1</v>
      </c>
      <c r="N520" s="17" t="n"/>
      <c r="O520" s="17" t="n"/>
      <c r="P520" s="17" t="n"/>
      <c r="Q520" s="17" t="n"/>
      <c r="R520" s="17" t="n"/>
      <c r="S520" s="17" t="n"/>
      <c r="T520" s="17" t="n"/>
      <c r="U520" s="17" t="n"/>
      <c r="V520" s="17" t="n"/>
      <c r="W520" s="17" t="n"/>
      <c r="X520" s="17" t="n"/>
      <c r="Y520" s="17" t="n">
        <v>1</v>
      </c>
      <c r="Z520" s="13">
        <f>SUMPRODUCT(N520:Y520,$N$2:$Y$2)*$K520*$L520*$M520</f>
        <v/>
      </c>
      <c r="AA520" s="14">
        <f>SUM(N520:Y520)</f>
        <v/>
      </c>
      <c r="AB520" s="14">
        <f>IFERROR(IF(UPPER($E520)="L",SUMPRODUCT(N520:Y520,$N$3:$Y$3,$N$2:$Y$2),SUMPRODUCT(N520:Y520,$N$4:$Y$4,$N$2:$Y$2))/(Z520/($K520*$L520*$M520)),"")</f>
        <v/>
      </c>
      <c r="AC520" s="18" t="n"/>
    </row>
    <row r="521">
      <c r="A521" s="9" t="n">
        <v>805796</v>
      </c>
      <c r="B521" s="9" t="inlineStr">
        <is>
          <t>Arjun Nimmala</t>
        </is>
      </c>
      <c r="C521" s="9" t="inlineStr">
        <is>
          <t>LAA</t>
        </is>
      </c>
      <c r="D521" s="9" t="n">
        <v>22</v>
      </c>
      <c r="E521" s="16" t="inlineStr">
        <is>
          <t>R</t>
        </is>
      </c>
      <c r="F521" s="16" t="n"/>
      <c r="G521" s="9" t="n">
        <v>93.33333333333331</v>
      </c>
      <c r="H521" s="9" t="n">
        <v>93.33333333333331</v>
      </c>
      <c r="I521" s="9" t="inlineStr">
        <is>
          <t>Bench Bat</t>
        </is>
      </c>
      <c r="J521" s="16" t="inlineStr">
        <is>
          <t>Mid Season (~July)</t>
        </is>
      </c>
      <c r="K521" s="11">
        <f>IFERROR(INDEX(Roles!$B$17:$B$20,MATCH(J521,Roles!$A$17:$A$20,0)),1)</f>
        <v/>
      </c>
      <c r="L521" s="17" t="n">
        <v>1</v>
      </c>
      <c r="M521" s="11" t="n">
        <v>1</v>
      </c>
      <c r="N521" s="17" t="n"/>
      <c r="O521" s="17" t="n"/>
      <c r="P521" s="17" t="n">
        <v>0.26</v>
      </c>
      <c r="Q521" s="17" t="n"/>
      <c r="R521" s="17" t="n"/>
      <c r="S521" s="17" t="n"/>
      <c r="T521" s="17" t="n"/>
      <c r="U521" s="17" t="n"/>
      <c r="V521" s="17" t="n"/>
      <c r="W521" s="17" t="n">
        <v>0.5</v>
      </c>
      <c r="X521" s="17" t="n">
        <v>0.24</v>
      </c>
      <c r="Y521" s="17" t="n"/>
      <c r="Z521" s="13">
        <f>SUMPRODUCT(N521:Y521,$N$2:$Y$2)*$K521*$L521*$M521</f>
        <v/>
      </c>
      <c r="AA521" s="14">
        <f>SUM(N521:Y521)</f>
        <v/>
      </c>
      <c r="AB521" s="14">
        <f>IFERROR(IF(UPPER($E521)="L",SUMPRODUCT(N521:Y521,$N$3:$Y$3,$N$2:$Y$2),SUMPRODUCT(N521:Y521,$N$4:$Y$4,$N$2:$Y$2))/(Z521/($K521*$L521*$M521)),"")</f>
        <v/>
      </c>
      <c r="AC521" s="18" t="n"/>
    </row>
    <row r="522">
      <c r="A522" s="9" t="n">
        <v>800606</v>
      </c>
      <c r="B522" s="9" t="inlineStr">
        <is>
          <t>Gavin Grahovac</t>
        </is>
      </c>
      <c r="C522" s="9" t="inlineStr">
        <is>
          <t>LAA</t>
        </is>
      </c>
      <c r="D522" s="9" t="n">
        <v>22</v>
      </c>
      <c r="E522" s="16" t="inlineStr">
        <is>
          <t>R</t>
        </is>
      </c>
      <c r="F522" s="16" t="n"/>
      <c r="G522" s="9" t="n">
        <v>12.92307692307692</v>
      </c>
      <c r="H522" s="9" t="n">
        <v>12.92307692307692</v>
      </c>
      <c r="I522" s="9" t="inlineStr">
        <is>
          <t>Depth (no MLB PA)</t>
        </is>
      </c>
      <c r="J522" s="16" t="inlineStr">
        <is>
          <t>Opening Day</t>
        </is>
      </c>
      <c r="K522" s="11">
        <f>IFERROR(INDEX(Roles!$B$17:$B$20,MATCH(J522,Roles!$A$17:$A$20,0)),1)</f>
        <v/>
      </c>
      <c r="L522" s="17" t="n">
        <v>1</v>
      </c>
      <c r="M522" s="11" t="n">
        <v>1</v>
      </c>
      <c r="N522" s="17" t="n"/>
      <c r="O522" s="17" t="n"/>
      <c r="P522" s="17" t="n"/>
      <c r="Q522" s="17" t="n"/>
      <c r="R522" s="17" t="n"/>
      <c r="S522" s="17" t="n"/>
      <c r="T522" s="17" t="n"/>
      <c r="U522" s="17" t="n"/>
      <c r="V522" s="17" t="n"/>
      <c r="W522" s="17" t="n"/>
      <c r="X522" s="17" t="n"/>
      <c r="Y522" s="17" t="n">
        <v>1</v>
      </c>
      <c r="Z522" s="13">
        <f>SUMPRODUCT(N522:Y522,$N$2:$Y$2)*$K522*$L522*$M522</f>
        <v/>
      </c>
      <c r="AA522" s="14">
        <f>SUM(N522:Y522)</f>
        <v/>
      </c>
      <c r="AB522" s="14">
        <f>IFERROR(IF(UPPER($E522)="L",SUMPRODUCT(N522:Y522,$N$3:$Y$3,$N$2:$Y$2),SUMPRODUCT(N522:Y522,$N$4:$Y$4,$N$2:$Y$2))/(Z522/($K522*$L522*$M522)),"")</f>
        <v/>
      </c>
      <c r="AC522" s="18" t="n"/>
    </row>
    <row r="523">
      <c r="A523" s="9" t="n">
        <v>814430</v>
      </c>
      <c r="B523" s="9" t="inlineStr">
        <is>
          <t>Brett Callahan</t>
        </is>
      </c>
      <c r="C523" s="9" t="inlineStr">
        <is>
          <t>DET</t>
        </is>
      </c>
      <c r="D523" s="9" t="n">
        <v>25</v>
      </c>
      <c r="E523" s="16" t="inlineStr">
        <is>
          <t>L</t>
        </is>
      </c>
      <c r="F523" s="16" t="inlineStr">
        <is>
          <t>LF</t>
        </is>
      </c>
      <c r="G523" s="9" t="n">
        <v>80</v>
      </c>
      <c r="H523" s="9" t="n">
        <v>80</v>
      </c>
      <c r="I523" s="9" t="inlineStr">
        <is>
          <t>Strong Side Platoon</t>
        </is>
      </c>
      <c r="J523" s="16" t="inlineStr">
        <is>
          <t>Opening Day</t>
        </is>
      </c>
      <c r="K523" s="11">
        <f>IFERROR(INDEX(Roles!$B$17:$B$20,MATCH(J523,Roles!$A$17:$A$20,0)),1)</f>
        <v/>
      </c>
      <c r="L523" s="17" t="n">
        <v>1</v>
      </c>
      <c r="M523" s="11" t="n">
        <v>1</v>
      </c>
      <c r="N523" s="17" t="n">
        <v>0.4</v>
      </c>
      <c r="O523" s="17" t="n"/>
      <c r="P523" s="17" t="n">
        <v>0.6</v>
      </c>
      <c r="Q523" s="17" t="n"/>
      <c r="R523" s="17" t="n"/>
      <c r="S523" s="17" t="n"/>
      <c r="T523" s="17" t="n"/>
      <c r="U523" s="17" t="n"/>
      <c r="V523" s="17" t="n"/>
      <c r="W523" s="17" t="n"/>
      <c r="X523" s="17" t="n"/>
      <c r="Y523" s="17" t="n"/>
      <c r="Z523" s="13">
        <f>SUMPRODUCT(N523:Y523,$N$2:$Y$2)*$K523*$L523*$M523</f>
        <v/>
      </c>
      <c r="AA523" s="14">
        <f>SUM(N523:Y523)</f>
        <v/>
      </c>
      <c r="AB523" s="14">
        <f>IFERROR(IF(UPPER($E523)="L",SUMPRODUCT(N523:Y523,$N$3:$Y$3,$N$2:$Y$2),SUMPRODUCT(N523:Y523,$N$4:$Y$4,$N$2:$Y$2))/(Z523/($K523*$L523*$M523)),"")</f>
        <v/>
      </c>
      <c r="AC523" s="18" t="n"/>
    </row>
    <row r="524">
      <c r="A524" s="9" t="n">
        <v>678662</v>
      </c>
      <c r="B524" s="9" t="inlineStr">
        <is>
          <t>Ezequiel Tovar</t>
        </is>
      </c>
      <c r="C524" s="9" t="inlineStr">
        <is>
          <t>COL</t>
        </is>
      </c>
      <c r="D524" s="9" t="n">
        <v>25</v>
      </c>
      <c r="E524" s="16" t="inlineStr">
        <is>
          <t>R</t>
        </is>
      </c>
      <c r="F524" s="16" t="inlineStr">
        <is>
          <t>SS</t>
        </is>
      </c>
      <c r="G524" s="9" t="n">
        <v>506</v>
      </c>
      <c r="H524" s="9" t="n">
        <v>2241</v>
      </c>
      <c r="I524" s="9" t="inlineStr">
        <is>
          <t>Full Time</t>
        </is>
      </c>
      <c r="J524" s="16" t="inlineStr">
        <is>
          <t>Opening Day</t>
        </is>
      </c>
      <c r="K524" s="11">
        <f>IFERROR(INDEX(Roles!$B$17:$B$20,MATCH(J524,Roles!$A$17:$A$20,0)),1)</f>
        <v/>
      </c>
      <c r="L524" s="17" t="n">
        <v>1</v>
      </c>
      <c r="M524" s="11" t="n">
        <v>1.042646830327862</v>
      </c>
      <c r="N524" s="17" t="n">
        <v>0.58</v>
      </c>
      <c r="O524" s="17" t="n"/>
      <c r="P524" s="17" t="n">
        <v>0.42</v>
      </c>
      <c r="Q524" s="17" t="n"/>
      <c r="R524" s="17" t="n"/>
      <c r="S524" s="17" t="n"/>
      <c r="T524" s="17" t="n"/>
      <c r="U524" s="17" t="n"/>
      <c r="V524" s="17" t="n"/>
      <c r="W524" s="17" t="n"/>
      <c r="X524" s="17" t="n"/>
      <c r="Y524" s="17" t="n"/>
      <c r="Z524" s="13">
        <f>SUMPRODUCT(N524:Y524,$N$2:$Y$2)*$K524*$L524*$M524</f>
        <v/>
      </c>
      <c r="AA524" s="14">
        <f>SUM(N524:Y524)</f>
        <v/>
      </c>
      <c r="AB524" s="14">
        <f>IFERROR(IF(UPPER($E524)="L",SUMPRODUCT(N524:Y524,$N$3:$Y$3,$N$2:$Y$2),SUMPRODUCT(N524:Y524,$N$4:$Y$4,$N$2:$Y$2))/(Z524/($K524*$L524*$M524)),"")</f>
        <v/>
      </c>
      <c r="AC524" s="18" t="n"/>
    </row>
    <row r="525">
      <c r="A525" s="9" t="n">
        <v>805957</v>
      </c>
      <c r="B525" s="9" t="inlineStr">
        <is>
          <t>Caleb Farmer</t>
        </is>
      </c>
      <c r="C525" s="9" t="inlineStr">
        <is>
          <t>WSH</t>
        </is>
      </c>
      <c r="D525" s="9" t="n">
        <v>25</v>
      </c>
      <c r="E525" s="16" t="inlineStr">
        <is>
          <t>R</t>
        </is>
      </c>
      <c r="F525" s="16" t="n"/>
      <c r="G525" s="9" t="n">
        <v>12.92307692307692</v>
      </c>
      <c r="H525" s="9" t="n">
        <v>12.92307692307692</v>
      </c>
      <c r="I525" s="9" t="inlineStr">
        <is>
          <t>Depth (no MLB PA)</t>
        </is>
      </c>
      <c r="J525" s="16" t="inlineStr">
        <is>
          <t>Opening Day</t>
        </is>
      </c>
      <c r="K525" s="11">
        <f>IFERROR(INDEX(Roles!$B$17:$B$20,MATCH(J525,Roles!$A$17:$A$20,0)),1)</f>
        <v/>
      </c>
      <c r="L525" s="17" t="n">
        <v>1</v>
      </c>
      <c r="M525" s="11" t="n">
        <v>1</v>
      </c>
      <c r="N525" s="17" t="n"/>
      <c r="O525" s="17" t="n"/>
      <c r="P525" s="17" t="n"/>
      <c r="Q525" s="17" t="n"/>
      <c r="R525" s="17" t="n"/>
      <c r="S525" s="17" t="n"/>
      <c r="T525" s="17" t="n"/>
      <c r="U525" s="17" t="n"/>
      <c r="V525" s="17" t="n"/>
      <c r="W525" s="17" t="n"/>
      <c r="X525" s="17" t="n"/>
      <c r="Y525" s="17" t="n">
        <v>1</v>
      </c>
      <c r="Z525" s="13">
        <f>SUMPRODUCT(N525:Y525,$N$2:$Y$2)*$K525*$L525*$M525</f>
        <v/>
      </c>
      <c r="AA525" s="14">
        <f>SUM(N525:Y525)</f>
        <v/>
      </c>
      <c r="AB525" s="14">
        <f>IFERROR(IF(UPPER($E525)="L",SUMPRODUCT(N525:Y525,$N$3:$Y$3,$N$2:$Y$2),SUMPRODUCT(N525:Y525,$N$4:$Y$4,$N$2:$Y$2))/(Z525/($K525*$L525*$M525)),"")</f>
        <v/>
      </c>
      <c r="AC525" s="18" t="n"/>
    </row>
    <row r="526">
      <c r="A526" s="9" t="n">
        <v>805808</v>
      </c>
      <c r="B526" s="9" t="inlineStr">
        <is>
          <t>Kevin McGonigle</t>
        </is>
      </c>
      <c r="C526" s="9" t="inlineStr">
        <is>
          <t>DET</t>
        </is>
      </c>
      <c r="D526" s="9" t="n">
        <v>22</v>
      </c>
      <c r="E526" s="16" t="inlineStr">
        <is>
          <t>L</t>
        </is>
      </c>
      <c r="F526" s="16" t="inlineStr">
        <is>
          <t>SS</t>
        </is>
      </c>
      <c r="G526" s="9" t="n">
        <v>707</v>
      </c>
      <c r="H526" s="9" t="n">
        <v>707</v>
      </c>
      <c r="I526" s="9" t="inlineStr">
        <is>
          <t>Full Time</t>
        </is>
      </c>
      <c r="J526" s="16" t="inlineStr">
        <is>
          <t>Opening Day</t>
        </is>
      </c>
      <c r="K526" s="11">
        <f>IFERROR(INDEX(Roles!$B$17:$B$20,MATCH(J526,Roles!$A$17:$A$20,0)),1)</f>
        <v/>
      </c>
      <c r="L526" s="17" t="n">
        <v>1</v>
      </c>
      <c r="M526" s="11" t="n">
        <v>1.084696537249269</v>
      </c>
      <c r="N526" s="17" t="n">
        <v>1</v>
      </c>
      <c r="O526" s="17" t="n"/>
      <c r="P526" s="17" t="n"/>
      <c r="Q526" s="17" t="n"/>
      <c r="R526" s="17" t="n"/>
      <c r="S526" s="17" t="n"/>
      <c r="T526" s="17" t="n"/>
      <c r="U526" s="17" t="n"/>
      <c r="V526" s="17" t="n"/>
      <c r="W526" s="17" t="n"/>
      <c r="X526" s="17" t="n"/>
      <c r="Y526" s="17" t="n"/>
      <c r="Z526" s="13">
        <f>SUMPRODUCT(N526:Y526,$N$2:$Y$2)*$K526*$L526*$M526</f>
        <v/>
      </c>
      <c r="AA526" s="14">
        <f>SUM(N526:Y526)</f>
        <v/>
      </c>
      <c r="AB526" s="14">
        <f>IFERROR(IF(UPPER($E526)="L",SUMPRODUCT(N526:Y526,$N$3:$Y$3,$N$2:$Y$2),SUMPRODUCT(N526:Y526,$N$4:$Y$4,$N$2:$Y$2))/(Z526/($K526*$L526*$M526)),"")</f>
        <v/>
      </c>
      <c r="AC526" s="18" t="n"/>
    </row>
    <row r="527">
      <c r="A527" s="9" t="n">
        <v>669699</v>
      </c>
      <c r="B527" s="9" t="inlineStr">
        <is>
          <t>Braden Shewmake</t>
        </is>
      </c>
      <c r="C527" s="9" t="inlineStr">
        <is>
          <t>MIL</t>
        </is>
      </c>
      <c r="D527" s="9" t="n">
        <v>29</v>
      </c>
      <c r="E527" s="16" t="inlineStr">
        <is>
          <t>L</t>
        </is>
      </c>
      <c r="F527" s="16" t="inlineStr">
        <is>
          <t>SS</t>
        </is>
      </c>
      <c r="G527" s="9" t="n">
        <v>91</v>
      </c>
      <c r="H527" s="9" t="n">
        <v>162</v>
      </c>
      <c r="I527" s="9" t="inlineStr">
        <is>
          <t>Bench Bat</t>
        </is>
      </c>
      <c r="J527" s="16" t="inlineStr">
        <is>
          <t>Opening Day</t>
        </is>
      </c>
      <c r="K527" s="11">
        <f>IFERROR(INDEX(Roles!$B$17:$B$20,MATCH(J527,Roles!$A$17:$A$20,0)),1)</f>
        <v/>
      </c>
      <c r="L527" s="17" t="n">
        <v>1</v>
      </c>
      <c r="M527" s="11" t="n">
        <v>1</v>
      </c>
      <c r="N527" s="17" t="n"/>
      <c r="O527" s="17" t="n"/>
      <c r="P527" s="17" t="n"/>
      <c r="Q527" s="17" t="n"/>
      <c r="R527" s="17" t="n"/>
      <c r="S527" s="17" t="n"/>
      <c r="T527" s="17" t="n"/>
      <c r="U527" s="17" t="n"/>
      <c r="V527" s="17" t="n"/>
      <c r="W527" s="17" t="n">
        <v>1</v>
      </c>
      <c r="X527" s="17" t="n"/>
      <c r="Y527" s="17" t="n"/>
      <c r="Z527" s="13">
        <f>SUMPRODUCT(N527:Y527,$N$2:$Y$2)*$K527*$L527*$M527</f>
        <v/>
      </c>
      <c r="AA527" s="14">
        <f>SUM(N527:Y527)</f>
        <v/>
      </c>
      <c r="AB527" s="14">
        <f>IFERROR(IF(UPPER($E527)="L",SUMPRODUCT(N527:Y527,$N$3:$Y$3,$N$2:$Y$2),SUMPRODUCT(N527:Y527,$N$4:$Y$4,$N$2:$Y$2))/(Z527/($K527*$L527*$M527)),"")</f>
        <v/>
      </c>
      <c r="AC527" s="18" t="n"/>
    </row>
    <row r="528">
      <c r="A528" s="9" t="n">
        <v>695554</v>
      </c>
      <c r="B528" s="9" t="inlineStr">
        <is>
          <t>Tayden Hall</t>
        </is>
      </c>
      <c r="C528" s="9" t="inlineStr">
        <is>
          <t>MIL</t>
        </is>
      </c>
      <c r="D528" s="9" t="n">
        <v>25</v>
      </c>
      <c r="E528" s="16" t="inlineStr">
        <is>
          <t>L</t>
        </is>
      </c>
      <c r="F528" s="16" t="n"/>
      <c r="G528" s="9" t="n">
        <v>5.025641025641026</v>
      </c>
      <c r="H528" s="9" t="n">
        <v>5.025641025641026</v>
      </c>
      <c r="I528" s="9" t="inlineStr">
        <is>
          <t>Depth (no MLB PA)</t>
        </is>
      </c>
      <c r="J528" s="16" t="inlineStr">
        <is>
          <t>Opening Day</t>
        </is>
      </c>
      <c r="K528" s="11">
        <f>IFERROR(INDEX(Roles!$B$17:$B$20,MATCH(J528,Roles!$A$17:$A$20,0)),1)</f>
        <v/>
      </c>
      <c r="L528" s="17" t="n">
        <v>1</v>
      </c>
      <c r="M528" s="11" t="n">
        <v>1</v>
      </c>
      <c r="N528" s="17" t="n"/>
      <c r="O528" s="17" t="n"/>
      <c r="P528" s="17" t="n"/>
      <c r="Q528" s="17" t="n"/>
      <c r="R528" s="17" t="n"/>
      <c r="S528" s="17" t="n"/>
      <c r="T528" s="17" t="n"/>
      <c r="U528" s="17" t="n"/>
      <c r="V528" s="17" t="n"/>
      <c r="W528" s="17" t="n"/>
      <c r="X528" s="17" t="n"/>
      <c r="Y528" s="17" t="n">
        <v>1</v>
      </c>
      <c r="Z528" s="13">
        <f>SUMPRODUCT(N528:Y528,$N$2:$Y$2)*$K528*$L528*$M528</f>
        <v/>
      </c>
      <c r="AA528" s="14">
        <f>SUM(N528:Y528)</f>
        <v/>
      </c>
      <c r="AB528" s="14">
        <f>IFERROR(IF(UPPER($E528)="L",SUMPRODUCT(N528:Y528,$N$3:$Y$3,$N$2:$Y$2),SUMPRODUCT(N528:Y528,$N$4:$Y$4,$N$2:$Y$2))/(Z528/($K528*$L528*$M528)),"")</f>
        <v/>
      </c>
      <c r="AC528" s="18" t="n"/>
    </row>
    <row r="529">
      <c r="A529" s="9" t="n">
        <v>671217</v>
      </c>
      <c r="B529" s="9" t="inlineStr">
        <is>
          <t>Sam Praytor</t>
        </is>
      </c>
      <c r="C529" s="9" t="inlineStr">
        <is>
          <t>MIA</t>
        </is>
      </c>
      <c r="D529" s="9" t="n">
        <v>25</v>
      </c>
      <c r="E529" s="16" t="inlineStr">
        <is>
          <t>R</t>
        </is>
      </c>
      <c r="F529" s="16" t="n"/>
      <c r="G529" s="9" t="n">
        <v>5.025641025641026</v>
      </c>
      <c r="H529" s="9" t="n">
        <v>5.025641025641026</v>
      </c>
      <c r="I529" s="9" t="inlineStr">
        <is>
          <t>Depth (no MLB PA)</t>
        </is>
      </c>
      <c r="J529" s="16" t="inlineStr">
        <is>
          <t>Opening Day</t>
        </is>
      </c>
      <c r="K529" s="11">
        <f>IFERROR(INDEX(Roles!$B$17:$B$20,MATCH(J529,Roles!$A$17:$A$20,0)),1)</f>
        <v/>
      </c>
      <c r="L529" s="17" t="n">
        <v>1</v>
      </c>
      <c r="M529" s="11" t="n">
        <v>1</v>
      </c>
      <c r="N529" s="17" t="n"/>
      <c r="O529" s="17" t="n"/>
      <c r="P529" s="17" t="n"/>
      <c r="Q529" s="17" t="n"/>
      <c r="R529" s="17" t="n"/>
      <c r="S529" s="17" t="n"/>
      <c r="T529" s="17" t="n"/>
      <c r="U529" s="17" t="n"/>
      <c r="V529" s="17" t="n"/>
      <c r="W529" s="17" t="n"/>
      <c r="X529" s="17" t="n"/>
      <c r="Y529" s="17" t="n">
        <v>1</v>
      </c>
      <c r="Z529" s="13">
        <f>SUMPRODUCT(N529:Y529,$N$2:$Y$2)*$K529*$L529*$M529</f>
        <v/>
      </c>
      <c r="AA529" s="14">
        <f>SUM(N529:Y529)</f>
        <v/>
      </c>
      <c r="AB529" s="14">
        <f>IFERROR(IF(UPPER($E529)="L",SUMPRODUCT(N529:Y529,$N$3:$Y$3,$N$2:$Y$2),SUMPRODUCT(N529:Y529,$N$4:$Y$4,$N$2:$Y$2))/(Z529/($K529*$L529*$M529)),"")</f>
        <v/>
      </c>
      <c r="AC529" s="18" t="n"/>
    </row>
    <row r="530">
      <c r="A530" s="9" t="n">
        <v>694808</v>
      </c>
      <c r="B530" s="9" t="inlineStr">
        <is>
          <t>Zach Kokoska</t>
        </is>
      </c>
      <c r="C530" s="9" t="inlineStr">
        <is>
          <t>COL</t>
        </is>
      </c>
      <c r="D530" s="9" t="n">
        <v>25</v>
      </c>
      <c r="E530" s="16" t="inlineStr">
        <is>
          <t>L</t>
        </is>
      </c>
      <c r="F530" s="16" t="n"/>
      <c r="G530" s="9" t="n">
        <v>101.9487179487179</v>
      </c>
      <c r="H530" s="9" t="n">
        <v>101.9487179487179</v>
      </c>
      <c r="I530" s="9" t="inlineStr">
        <is>
          <t>Depth (no MLB PA)</t>
        </is>
      </c>
      <c r="J530" s="16" t="inlineStr">
        <is>
          <t>Opening Day</t>
        </is>
      </c>
      <c r="K530" s="11">
        <f>IFERROR(INDEX(Roles!$B$17:$B$20,MATCH(J530,Roles!$A$17:$A$20,0)),1)</f>
        <v/>
      </c>
      <c r="L530" s="17" t="n">
        <v>1</v>
      </c>
      <c r="M530" s="11" t="n">
        <v>1</v>
      </c>
      <c r="N530" s="17" t="n"/>
      <c r="O530" s="17" t="n"/>
      <c r="P530" s="17" t="n"/>
      <c r="Q530" s="17" t="n"/>
      <c r="R530" s="17" t="n"/>
      <c r="S530" s="17" t="n"/>
      <c r="T530" s="17" t="n"/>
      <c r="U530" s="17" t="n"/>
      <c r="V530" s="17" t="n"/>
      <c r="W530" s="17" t="n"/>
      <c r="X530" s="17" t="n"/>
      <c r="Y530" s="17" t="n">
        <v>1</v>
      </c>
      <c r="Z530" s="13">
        <f>SUMPRODUCT(N530:Y530,$N$2:$Y$2)*$K530*$L530*$M530</f>
        <v/>
      </c>
      <c r="AA530" s="14">
        <f>SUM(N530:Y530)</f>
        <v/>
      </c>
      <c r="AB530" s="14">
        <f>IFERROR(IF(UPPER($E530)="L",SUMPRODUCT(N530:Y530,$N$3:$Y$3,$N$2:$Y$2),SUMPRODUCT(N530:Y530,$N$4:$Y$4,$N$2:$Y$2))/(Z530/($K530*$L530*$M530)),"")</f>
        <v/>
      </c>
      <c r="AC530" s="18" t="n"/>
    </row>
    <row r="531">
      <c r="A531" s="9" t="n">
        <v>823770</v>
      </c>
      <c r="B531" s="9" t="inlineStr">
        <is>
          <t>JP Smith II</t>
        </is>
      </c>
      <c r="C531" s="9" t="inlineStr">
        <is>
          <t>MIN</t>
        </is>
      </c>
      <c r="D531" s="9" t="n">
        <v>25</v>
      </c>
      <c r="E531" s="16" t="inlineStr">
        <is>
          <t>R</t>
        </is>
      </c>
      <c r="F531" s="16" t="n"/>
      <c r="G531" s="9" t="n">
        <v>25.02564102564103</v>
      </c>
      <c r="H531" s="9" t="n">
        <v>25.02564102564103</v>
      </c>
      <c r="I531" s="9" t="inlineStr">
        <is>
          <t>Depth (no MLB PA)</t>
        </is>
      </c>
      <c r="J531" s="16" t="inlineStr">
        <is>
          <t>Opening Day</t>
        </is>
      </c>
      <c r="K531" s="11">
        <f>IFERROR(INDEX(Roles!$B$17:$B$20,MATCH(J531,Roles!$A$17:$A$20,0)),1)</f>
        <v/>
      </c>
      <c r="L531" s="17" t="n">
        <v>1</v>
      </c>
      <c r="M531" s="11" t="n">
        <v>1</v>
      </c>
      <c r="N531" s="17" t="n"/>
      <c r="O531" s="17" t="n"/>
      <c r="P531" s="17" t="n"/>
      <c r="Q531" s="17" t="n"/>
      <c r="R531" s="17" t="n"/>
      <c r="S531" s="17" t="n"/>
      <c r="T531" s="17" t="n"/>
      <c r="U531" s="17" t="n"/>
      <c r="V531" s="17" t="n"/>
      <c r="W531" s="17" t="n"/>
      <c r="X531" s="17" t="n"/>
      <c r="Y531" s="17" t="n">
        <v>1</v>
      </c>
      <c r="Z531" s="13">
        <f>SUMPRODUCT(N531:Y531,$N$2:$Y$2)*$K531*$L531*$M531</f>
        <v/>
      </c>
      <c r="AA531" s="14">
        <f>SUM(N531:Y531)</f>
        <v/>
      </c>
      <c r="AB531" s="14">
        <f>IFERROR(IF(UPPER($E531)="L",SUMPRODUCT(N531:Y531,$N$3:$Y$3,$N$2:$Y$2),SUMPRODUCT(N531:Y531,$N$4:$Y$4,$N$2:$Y$2))/(Z531/($K531*$L531*$M531)),"")</f>
        <v/>
      </c>
      <c r="AC531" s="18" t="n"/>
    </row>
    <row r="532">
      <c r="A532" s="9" t="n">
        <v>682796</v>
      </c>
      <c r="B532" s="9" t="inlineStr">
        <is>
          <t>Eddinson Paulino</t>
        </is>
      </c>
      <c r="C532" s="9" t="inlineStr">
        <is>
          <t>NYM</t>
        </is>
      </c>
      <c r="D532" s="9" t="n">
        <v>25</v>
      </c>
      <c r="E532" s="16" t="inlineStr">
        <is>
          <t>L</t>
        </is>
      </c>
      <c r="F532" s="16" t="n"/>
      <c r="G532" s="9" t="n">
        <v>5.384615384615384</v>
      </c>
      <c r="H532" s="9" t="n">
        <v>5.384615384615384</v>
      </c>
      <c r="I532" s="9" t="inlineStr">
        <is>
          <t>Depth (no MLB PA)</t>
        </is>
      </c>
      <c r="J532" s="16" t="inlineStr">
        <is>
          <t>Opening Day</t>
        </is>
      </c>
      <c r="K532" s="11">
        <f>IFERROR(INDEX(Roles!$B$17:$B$20,MATCH(J532,Roles!$A$17:$A$20,0)),1)</f>
        <v/>
      </c>
      <c r="L532" s="17" t="n">
        <v>1</v>
      </c>
      <c r="M532" s="11" t="n">
        <v>1</v>
      </c>
      <c r="N532" s="17" t="n"/>
      <c r="O532" s="17" t="n"/>
      <c r="P532" s="17" t="n"/>
      <c r="Q532" s="17" t="n"/>
      <c r="R532" s="17" t="n"/>
      <c r="S532" s="17" t="n"/>
      <c r="T532" s="17" t="n"/>
      <c r="U532" s="17" t="n"/>
      <c r="V532" s="17" t="n"/>
      <c r="W532" s="17" t="n"/>
      <c r="X532" s="17" t="n"/>
      <c r="Y532" s="17" t="n">
        <v>1</v>
      </c>
      <c r="Z532" s="13">
        <f>SUMPRODUCT(N532:Y532,$N$2:$Y$2)*$K532*$L532*$M532</f>
        <v/>
      </c>
      <c r="AA532" s="14">
        <f>SUM(N532:Y532)</f>
        <v/>
      </c>
      <c r="AB532" s="14">
        <f>IFERROR(IF(UPPER($E532)="L",SUMPRODUCT(N532:Y532,$N$3:$Y$3,$N$2:$Y$2),SUMPRODUCT(N532:Y532,$N$4:$Y$4,$N$2:$Y$2))/(Z532/($K532*$L532*$M532)),"")</f>
        <v/>
      </c>
      <c r="AC532" s="18" t="n"/>
    </row>
    <row r="533">
      <c r="A533" s="9" t="n">
        <v>687310</v>
      </c>
      <c r="B533" s="9" t="inlineStr">
        <is>
          <t>Will Simpson</t>
        </is>
      </c>
      <c r="C533" s="9" t="inlineStr">
        <is>
          <t>TB</t>
        </is>
      </c>
      <c r="D533" s="9" t="n">
        <v>25</v>
      </c>
      <c r="E533" s="16" t="inlineStr">
        <is>
          <t>R</t>
        </is>
      </c>
      <c r="F533" s="16" t="n"/>
      <c r="G533" s="9" t="n">
        <v>11.84615384615385</v>
      </c>
      <c r="H533" s="9" t="n">
        <v>11.84615384615385</v>
      </c>
      <c r="I533" s="9" t="inlineStr">
        <is>
          <t>Depth (no MLB PA)</t>
        </is>
      </c>
      <c r="J533" s="16" t="inlineStr">
        <is>
          <t>Opening Day</t>
        </is>
      </c>
      <c r="K533" s="11">
        <f>IFERROR(INDEX(Roles!$B$17:$B$20,MATCH(J533,Roles!$A$17:$A$20,0)),1)</f>
        <v/>
      </c>
      <c r="L533" s="17" t="n">
        <v>1</v>
      </c>
      <c r="M533" s="11" t="n">
        <v>1</v>
      </c>
      <c r="N533" s="17" t="n"/>
      <c r="O533" s="17" t="n"/>
      <c r="P533" s="17" t="n"/>
      <c r="Q533" s="17" t="n"/>
      <c r="R533" s="17" t="n"/>
      <c r="S533" s="17" t="n"/>
      <c r="T533" s="17" t="n"/>
      <c r="U533" s="17" t="n"/>
      <c r="V533" s="17" t="n"/>
      <c r="W533" s="17" t="n"/>
      <c r="X533" s="17" t="n"/>
      <c r="Y533" s="17" t="n">
        <v>1</v>
      </c>
      <c r="Z533" s="13">
        <f>SUMPRODUCT(N533:Y533,$N$2:$Y$2)*$K533*$L533*$M533</f>
        <v/>
      </c>
      <c r="AA533" s="14">
        <f>SUM(N533:Y533)</f>
        <v/>
      </c>
      <c r="AB533" s="14">
        <f>IFERROR(IF(UPPER($E533)="L",SUMPRODUCT(N533:Y533,$N$3:$Y$3,$N$2:$Y$2),SUMPRODUCT(N533:Y533,$N$4:$Y$4,$N$2:$Y$2))/(Z533/($K533*$L533*$M533)),"")</f>
        <v/>
      </c>
      <c r="AC533" s="18" t="n"/>
    </row>
    <row r="534">
      <c r="A534" s="9" t="n">
        <v>696521</v>
      </c>
      <c r="B534" s="9" t="inlineStr">
        <is>
          <t>Garrett Spain</t>
        </is>
      </c>
      <c r="C534" s="9" t="inlineStr">
        <is>
          <t>MIN</t>
        </is>
      </c>
      <c r="D534" s="9" t="n">
        <v>25</v>
      </c>
      <c r="E534" s="16" t="inlineStr">
        <is>
          <t>L</t>
        </is>
      </c>
      <c r="F534" s="16" t="n"/>
      <c r="G534" s="9" t="n">
        <v>175.1794871794872</v>
      </c>
      <c r="H534" s="9" t="n">
        <v>175.1794871794872</v>
      </c>
      <c r="I534" s="9" t="inlineStr">
        <is>
          <t>Depth (no MLB PA)</t>
        </is>
      </c>
      <c r="J534" s="16" t="inlineStr">
        <is>
          <t>Opening Day</t>
        </is>
      </c>
      <c r="K534" s="11">
        <f>IFERROR(INDEX(Roles!$B$17:$B$20,MATCH(J534,Roles!$A$17:$A$20,0)),1)</f>
        <v/>
      </c>
      <c r="L534" s="17" t="n">
        <v>1</v>
      </c>
      <c r="M534" s="11" t="n">
        <v>1</v>
      </c>
      <c r="N534" s="17" t="n"/>
      <c r="O534" s="17" t="n"/>
      <c r="P534" s="17" t="n"/>
      <c r="Q534" s="17" t="n"/>
      <c r="R534" s="17" t="n"/>
      <c r="S534" s="17" t="n"/>
      <c r="T534" s="17" t="n"/>
      <c r="U534" s="17" t="n"/>
      <c r="V534" s="17" t="n"/>
      <c r="W534" s="17" t="n"/>
      <c r="X534" s="17" t="n"/>
      <c r="Y534" s="17" t="n">
        <v>1</v>
      </c>
      <c r="Z534" s="13">
        <f>SUMPRODUCT(N534:Y534,$N$2:$Y$2)*$K534*$L534*$M534</f>
        <v/>
      </c>
      <c r="AA534" s="14">
        <f>SUM(N534:Y534)</f>
        <v/>
      </c>
      <c r="AB534" s="14">
        <f>IFERROR(IF(UPPER($E534)="L",SUMPRODUCT(N534:Y534,$N$3:$Y$3,$N$2:$Y$2),SUMPRODUCT(N534:Y534,$N$4:$Y$4,$N$2:$Y$2))/(Z534/($K534*$L534*$M534)),"")</f>
        <v/>
      </c>
      <c r="AC534" s="18" t="n"/>
    </row>
    <row r="535">
      <c r="A535" s="9" t="n">
        <v>827629</v>
      </c>
      <c r="B535" s="9" t="inlineStr">
        <is>
          <t>Austin Machado</t>
        </is>
      </c>
      <c r="C535" s="9" t="inlineStr">
        <is>
          <t>ATL</t>
        </is>
      </c>
      <c r="D535" s="9" t="n">
        <v>25</v>
      </c>
      <c r="E535" s="16" t="inlineStr">
        <is>
          <t>L</t>
        </is>
      </c>
      <c r="F535" s="16" t="n"/>
      <c r="G535" s="9" t="n">
        <v>5.384615384615384</v>
      </c>
      <c r="H535" s="9" t="n">
        <v>5.384615384615384</v>
      </c>
      <c r="I535" s="9" t="inlineStr">
        <is>
          <t>Depth (no MLB PA)</t>
        </is>
      </c>
      <c r="J535" s="16" t="inlineStr">
        <is>
          <t>Opening Day</t>
        </is>
      </c>
      <c r="K535" s="11">
        <f>IFERROR(INDEX(Roles!$B$17:$B$20,MATCH(J535,Roles!$A$17:$A$20,0)),1)</f>
        <v/>
      </c>
      <c r="L535" s="17" t="n">
        <v>1</v>
      </c>
      <c r="M535" s="11" t="n">
        <v>1</v>
      </c>
      <c r="N535" s="17" t="n"/>
      <c r="O535" s="17" t="n"/>
      <c r="P535" s="17" t="n"/>
      <c r="Q535" s="17" t="n"/>
      <c r="R535" s="17" t="n"/>
      <c r="S535" s="17" t="n"/>
      <c r="T535" s="17" t="n"/>
      <c r="U535" s="17" t="n"/>
      <c r="V535" s="17" t="n"/>
      <c r="W535" s="17" t="n"/>
      <c r="X535" s="17" t="n"/>
      <c r="Y535" s="17" t="n">
        <v>1</v>
      </c>
      <c r="Z535" s="13">
        <f>SUMPRODUCT(N535:Y535,$N$2:$Y$2)*$K535*$L535*$M535</f>
        <v/>
      </c>
      <c r="AA535" s="14">
        <f>SUM(N535:Y535)</f>
        <v/>
      </c>
      <c r="AB535" s="14">
        <f>IFERROR(IF(UPPER($E535)="L",SUMPRODUCT(N535:Y535,$N$3:$Y$3,$N$2:$Y$2),SUMPRODUCT(N535:Y535,$N$4:$Y$4,$N$2:$Y$2))/(Z535/($K535*$L535*$M535)),"")</f>
        <v/>
      </c>
      <c r="AC535" s="18" t="n"/>
    </row>
    <row r="536">
      <c r="A536" s="9" t="n">
        <v>808024</v>
      </c>
      <c r="B536" s="9" t="inlineStr">
        <is>
          <t>Carlos Virahonda</t>
        </is>
      </c>
      <c r="C536" s="9" t="inlineStr">
        <is>
          <t>ARI</t>
        </is>
      </c>
      <c r="D536" s="9" t="n">
        <v>22</v>
      </c>
      <c r="E536" s="16" t="inlineStr">
        <is>
          <t>R</t>
        </is>
      </c>
      <c r="F536" s="16" t="n"/>
      <c r="G536" s="9" t="n">
        <v>5.384615384615384</v>
      </c>
      <c r="H536" s="9" t="n">
        <v>5.384615384615384</v>
      </c>
      <c r="I536" s="9" t="inlineStr">
        <is>
          <t>Depth (no MLB PA)</t>
        </is>
      </c>
      <c r="J536" s="16" t="inlineStr">
        <is>
          <t>Opening Day</t>
        </is>
      </c>
      <c r="K536" s="11">
        <f>IFERROR(INDEX(Roles!$B$17:$B$20,MATCH(J536,Roles!$A$17:$A$20,0)),1)</f>
        <v/>
      </c>
      <c r="L536" s="17" t="n">
        <v>1</v>
      </c>
      <c r="M536" s="11" t="n">
        <v>1</v>
      </c>
      <c r="N536" s="17" t="n"/>
      <c r="O536" s="17" t="n"/>
      <c r="P536" s="17" t="n"/>
      <c r="Q536" s="17" t="n"/>
      <c r="R536" s="17" t="n"/>
      <c r="S536" s="17" t="n"/>
      <c r="T536" s="17" t="n"/>
      <c r="U536" s="17" t="n"/>
      <c r="V536" s="17" t="n"/>
      <c r="W536" s="17" t="n"/>
      <c r="X536" s="17" t="n"/>
      <c r="Y536" s="17" t="n">
        <v>1</v>
      </c>
      <c r="Z536" s="13">
        <f>SUMPRODUCT(N536:Y536,$N$2:$Y$2)*$K536*$L536*$M536</f>
        <v/>
      </c>
      <c r="AA536" s="14">
        <f>SUM(N536:Y536)</f>
        <v/>
      </c>
      <c r="AB536" s="14">
        <f>IFERROR(IF(UPPER($E536)="L",SUMPRODUCT(N536:Y536,$N$3:$Y$3,$N$2:$Y$2),SUMPRODUCT(N536:Y536,$N$4:$Y$4,$N$2:$Y$2))/(Z536/($K536*$L536*$M536)),"")</f>
        <v/>
      </c>
      <c r="AC536" s="18" t="n"/>
    </row>
    <row r="537">
      <c r="A537" s="9" t="n">
        <v>830339</v>
      </c>
      <c r="B537" s="9" t="inlineStr">
        <is>
          <t>Luke Pettitte</t>
        </is>
      </c>
      <c r="C537" s="9" t="inlineStr">
        <is>
          <t>NYY</t>
        </is>
      </c>
      <c r="D537" s="9" t="n">
        <v>25</v>
      </c>
      <c r="E537" s="16" t="inlineStr">
        <is>
          <t>R</t>
        </is>
      </c>
      <c r="F537" s="16" t="n"/>
      <c r="G537" s="9" t="n">
        <v>5.538461538461538</v>
      </c>
      <c r="H537" s="9" t="n">
        <v>5.538461538461538</v>
      </c>
      <c r="I537" s="9" t="inlineStr">
        <is>
          <t>Depth (no MLB PA)</t>
        </is>
      </c>
      <c r="J537" s="16" t="inlineStr">
        <is>
          <t>Opening Day</t>
        </is>
      </c>
      <c r="K537" s="11">
        <f>IFERROR(INDEX(Roles!$B$17:$B$20,MATCH(J537,Roles!$A$17:$A$20,0)),1)</f>
        <v/>
      </c>
      <c r="L537" s="17" t="n">
        <v>1</v>
      </c>
      <c r="M537" s="11" t="n">
        <v>1</v>
      </c>
      <c r="N537" s="17" t="n"/>
      <c r="O537" s="17" t="n"/>
      <c r="P537" s="17" t="n"/>
      <c r="Q537" s="17" t="n"/>
      <c r="R537" s="17" t="n"/>
      <c r="S537" s="17" t="n"/>
      <c r="T537" s="17" t="n"/>
      <c r="U537" s="17" t="n"/>
      <c r="V537" s="17" t="n"/>
      <c r="W537" s="17" t="n"/>
      <c r="X537" s="17" t="n"/>
      <c r="Y537" s="17" t="n">
        <v>1</v>
      </c>
      <c r="Z537" s="13">
        <f>SUMPRODUCT(N537:Y537,$N$2:$Y$2)*$K537*$L537*$M537</f>
        <v/>
      </c>
      <c r="AA537" s="14">
        <f>SUM(N537:Y537)</f>
        <v/>
      </c>
      <c r="AB537" s="14">
        <f>IFERROR(IF(UPPER($E537)="L",SUMPRODUCT(N537:Y537,$N$3:$Y$3,$N$2:$Y$2),SUMPRODUCT(N537:Y537,$N$4:$Y$4,$N$2:$Y$2))/(Z537/($K537*$L537*$M537)),"")</f>
        <v/>
      </c>
      <c r="AC537" s="18" t="n"/>
    </row>
    <row r="538">
      <c r="A538" s="9" t="n">
        <v>824713</v>
      </c>
      <c r="B538" s="9" t="inlineStr">
        <is>
          <t>Andrew Williamson</t>
        </is>
      </c>
      <c r="C538" s="9" t="inlineStr">
        <is>
          <t>STL</t>
        </is>
      </c>
      <c r="D538" s="9" t="n">
        <v>25</v>
      </c>
      <c r="E538" s="16" t="inlineStr">
        <is>
          <t>L</t>
        </is>
      </c>
      <c r="F538" s="16" t="n"/>
      <c r="G538" s="9" t="n">
        <v>17.23076923076923</v>
      </c>
      <c r="H538" s="9" t="n">
        <v>17.23076923076923</v>
      </c>
      <c r="I538" s="9" t="inlineStr">
        <is>
          <t>Depth (no MLB PA)</t>
        </is>
      </c>
      <c r="J538" s="16" t="inlineStr">
        <is>
          <t>Opening Day</t>
        </is>
      </c>
      <c r="K538" s="11">
        <f>IFERROR(INDEX(Roles!$B$17:$B$20,MATCH(J538,Roles!$A$17:$A$20,0)),1)</f>
        <v/>
      </c>
      <c r="L538" s="17" t="n">
        <v>1</v>
      </c>
      <c r="M538" s="11" t="n">
        <v>1</v>
      </c>
      <c r="N538" s="17" t="n"/>
      <c r="O538" s="17" t="n"/>
      <c r="P538" s="17" t="n"/>
      <c r="Q538" s="17" t="n"/>
      <c r="R538" s="17" t="n"/>
      <c r="S538" s="17" t="n"/>
      <c r="T538" s="17" t="n"/>
      <c r="U538" s="17" t="n"/>
      <c r="V538" s="17" t="n"/>
      <c r="W538" s="17" t="n"/>
      <c r="X538" s="17" t="n"/>
      <c r="Y538" s="17" t="n">
        <v>1</v>
      </c>
      <c r="Z538" s="13">
        <f>SUMPRODUCT(N538:Y538,$N$2:$Y$2)*$K538*$L538*$M538</f>
        <v/>
      </c>
      <c r="AA538" s="14">
        <f>SUM(N538:Y538)</f>
        <v/>
      </c>
      <c r="AB538" s="14">
        <f>IFERROR(IF(UPPER($E538)="L",SUMPRODUCT(N538:Y538,$N$3:$Y$3,$N$2:$Y$2),SUMPRODUCT(N538:Y538,$N$4:$Y$4,$N$2:$Y$2))/(Z538/($K538*$L538*$M538)),"")</f>
        <v/>
      </c>
      <c r="AC538" s="18" t="n"/>
    </row>
    <row r="539">
      <c r="A539" s="9" t="n">
        <v>683001</v>
      </c>
      <c r="B539" s="9" t="inlineStr">
        <is>
          <t>Ethan Hearn</t>
        </is>
      </c>
      <c r="C539" s="9" t="inlineStr">
        <is>
          <t>CHC</t>
        </is>
      </c>
      <c r="D539" s="9" t="n">
        <v>25</v>
      </c>
      <c r="E539" s="16" t="inlineStr">
        <is>
          <t>L</t>
        </is>
      </c>
      <c r="F539" s="16" t="n"/>
      <c r="G539" s="9" t="n">
        <v>40.61538461538462</v>
      </c>
      <c r="H539" s="9" t="n">
        <v>40.61538461538462</v>
      </c>
      <c r="I539" s="9" t="inlineStr">
        <is>
          <t>Depth (no MLB PA)</t>
        </is>
      </c>
      <c r="J539" s="16" t="inlineStr">
        <is>
          <t>Opening Day</t>
        </is>
      </c>
      <c r="K539" s="11">
        <f>IFERROR(INDEX(Roles!$B$17:$B$20,MATCH(J539,Roles!$A$17:$A$20,0)),1)</f>
        <v/>
      </c>
      <c r="L539" s="17" t="n">
        <v>1</v>
      </c>
      <c r="M539" s="11" t="n">
        <v>1</v>
      </c>
      <c r="N539" s="17" t="n"/>
      <c r="O539" s="17" t="n"/>
      <c r="P539" s="17" t="n"/>
      <c r="Q539" s="17" t="n"/>
      <c r="R539" s="17" t="n"/>
      <c r="S539" s="17" t="n"/>
      <c r="T539" s="17" t="n"/>
      <c r="U539" s="17" t="n"/>
      <c r="V539" s="17" t="n"/>
      <c r="W539" s="17" t="n"/>
      <c r="X539" s="17" t="n"/>
      <c r="Y539" s="17" t="n">
        <v>1</v>
      </c>
      <c r="Z539" s="13">
        <f>SUMPRODUCT(N539:Y539,$N$2:$Y$2)*$K539*$L539*$M539</f>
        <v/>
      </c>
      <c r="AA539" s="14">
        <f>SUM(N539:Y539)</f>
        <v/>
      </c>
      <c r="AB539" s="14">
        <f>IFERROR(IF(UPPER($E539)="L",SUMPRODUCT(N539:Y539,$N$3:$Y$3,$N$2:$Y$2),SUMPRODUCT(N539:Y539,$N$4:$Y$4,$N$2:$Y$2))/(Z539/($K539*$L539*$M539)),"")</f>
        <v/>
      </c>
      <c r="AC539" s="18" t="n"/>
    </row>
    <row r="540">
      <c r="A540" s="9" t="n">
        <v>680118</v>
      </c>
      <c r="B540" s="9" t="inlineStr">
        <is>
          <t>Dairon Blanco</t>
        </is>
      </c>
      <c r="C540" s="9" t="inlineStr">
        <is>
          <t>KC</t>
        </is>
      </c>
      <c r="D540" s="9" t="n">
        <v>34</v>
      </c>
      <c r="E540" s="16" t="inlineStr">
        <is>
          <t>R</t>
        </is>
      </c>
      <c r="F540" s="16" t="inlineStr">
        <is>
          <t>CF</t>
        </is>
      </c>
      <c r="G540" s="9" t="n">
        <v>8</v>
      </c>
      <c r="H540" s="9" t="n">
        <v>285</v>
      </c>
      <c r="I540" s="9" t="inlineStr">
        <is>
          <t>Depth (no MLB PA)</t>
        </is>
      </c>
      <c r="J540" s="16" t="inlineStr">
        <is>
          <t>Opening Day</t>
        </is>
      </c>
      <c r="K540" s="11">
        <f>IFERROR(INDEX(Roles!$B$17:$B$20,MATCH(J540,Roles!$A$17:$A$20,0)),1)</f>
        <v/>
      </c>
      <c r="L540" s="17" t="n">
        <v>1</v>
      </c>
      <c r="M540" s="11" t="n">
        <v>1</v>
      </c>
      <c r="N540" s="17" t="n"/>
      <c r="O540" s="17" t="n"/>
      <c r="P540" s="17" t="n"/>
      <c r="Q540" s="17" t="n"/>
      <c r="R540" s="17" t="n"/>
      <c r="S540" s="17" t="n"/>
      <c r="T540" s="17" t="n"/>
      <c r="U540" s="17" t="n"/>
      <c r="V540" s="17" t="n"/>
      <c r="W540" s="17" t="n"/>
      <c r="X540" s="17" t="n"/>
      <c r="Y540" s="17" t="n">
        <v>1</v>
      </c>
      <c r="Z540" s="13">
        <f>SUMPRODUCT(N540:Y540,$N$2:$Y$2)*$K540*$L540*$M540</f>
        <v/>
      </c>
      <c r="AA540" s="14">
        <f>SUM(N540:Y540)</f>
        <v/>
      </c>
      <c r="AB540" s="14">
        <f>IFERROR(IF(UPPER($E540)="L",SUMPRODUCT(N540:Y540,$N$3:$Y$3,$N$2:$Y$2),SUMPRODUCT(N540:Y540,$N$4:$Y$4,$N$2:$Y$2))/(Z540/($K540*$L540*$M540)),"")</f>
        <v/>
      </c>
      <c r="AC540" s="18" t="n"/>
    </row>
    <row r="541">
      <c r="A541" s="9" t="n">
        <v>699213</v>
      </c>
      <c r="B541" s="9" t="inlineStr">
        <is>
          <t>Gleider Figuereo</t>
        </is>
      </c>
      <c r="C541" s="9" t="inlineStr">
        <is>
          <t>TEX</t>
        </is>
      </c>
      <c r="D541" s="9" t="n">
        <v>25</v>
      </c>
      <c r="E541" s="16" t="inlineStr">
        <is>
          <t>L</t>
        </is>
      </c>
      <c r="F541" s="16" t="n"/>
      <c r="G541" s="9" t="n">
        <v>13.64102564102564</v>
      </c>
      <c r="H541" s="9" t="n">
        <v>13.64102564102564</v>
      </c>
      <c r="I541" s="9" t="inlineStr">
        <is>
          <t>Depth (no MLB PA)</t>
        </is>
      </c>
      <c r="J541" s="16" t="inlineStr">
        <is>
          <t>Opening Day</t>
        </is>
      </c>
      <c r="K541" s="11">
        <f>IFERROR(INDEX(Roles!$B$17:$B$20,MATCH(J541,Roles!$A$17:$A$20,0)),1)</f>
        <v/>
      </c>
      <c r="L541" s="17" t="n">
        <v>1</v>
      </c>
      <c r="M541" s="11" t="n">
        <v>1</v>
      </c>
      <c r="N541" s="17" t="n"/>
      <c r="O541" s="17" t="n"/>
      <c r="P541" s="17" t="n"/>
      <c r="Q541" s="17" t="n"/>
      <c r="R541" s="17" t="n"/>
      <c r="S541" s="17" t="n"/>
      <c r="T541" s="17" t="n"/>
      <c r="U541" s="17" t="n"/>
      <c r="V541" s="17" t="n"/>
      <c r="W541" s="17" t="n"/>
      <c r="X541" s="17" t="n"/>
      <c r="Y541" s="17" t="n">
        <v>1</v>
      </c>
      <c r="Z541" s="13">
        <f>SUMPRODUCT(N541:Y541,$N$2:$Y$2)*$K541*$L541*$M541</f>
        <v/>
      </c>
      <c r="AA541" s="14">
        <f>SUM(N541:Y541)</f>
        <v/>
      </c>
      <c r="AB541" s="14">
        <f>IFERROR(IF(UPPER($E541)="L",SUMPRODUCT(N541:Y541,$N$3:$Y$3,$N$2:$Y$2),SUMPRODUCT(N541:Y541,$N$4:$Y$4,$N$2:$Y$2))/(Z541/($K541*$L541*$M541)),"")</f>
        <v/>
      </c>
      <c r="AC541" s="18" t="n"/>
    </row>
    <row r="542">
      <c r="A542" s="9" t="n">
        <v>678173</v>
      </c>
      <c r="B542" s="9" t="inlineStr">
        <is>
          <t>David McCabe</t>
        </is>
      </c>
      <c r="C542" s="9" t="inlineStr">
        <is>
          <t>ATL</t>
        </is>
      </c>
      <c r="D542" s="9" t="n">
        <v>25</v>
      </c>
      <c r="E542" s="16" t="inlineStr">
        <is>
          <t>S</t>
        </is>
      </c>
      <c r="F542" s="16" t="n"/>
      <c r="G542" s="9" t="n">
        <v>55.84615384615385</v>
      </c>
      <c r="H542" s="9" t="n">
        <v>55.84615384615385</v>
      </c>
      <c r="I542" s="9" t="inlineStr">
        <is>
          <t>Depth (no MLB PA)</t>
        </is>
      </c>
      <c r="J542" s="16" t="inlineStr">
        <is>
          <t>Opening Day</t>
        </is>
      </c>
      <c r="K542" s="11">
        <f>IFERROR(INDEX(Roles!$B$17:$B$20,MATCH(J542,Roles!$A$17:$A$20,0)),1)</f>
        <v/>
      </c>
      <c r="L542" s="17" t="n">
        <v>1</v>
      </c>
      <c r="M542" s="11" t="n">
        <v>1</v>
      </c>
      <c r="N542" s="17" t="n"/>
      <c r="O542" s="17" t="n"/>
      <c r="P542" s="17" t="n"/>
      <c r="Q542" s="17" t="n"/>
      <c r="R542" s="17" t="n"/>
      <c r="S542" s="17" t="n"/>
      <c r="T542" s="17" t="n"/>
      <c r="U542" s="17" t="n"/>
      <c r="V542" s="17" t="n"/>
      <c r="W542" s="17" t="n"/>
      <c r="X542" s="17" t="n"/>
      <c r="Y542" s="17" t="n">
        <v>1</v>
      </c>
      <c r="Z542" s="13">
        <f>SUMPRODUCT(N542:Y542,$N$2:$Y$2)*$K542*$L542*$M542</f>
        <v/>
      </c>
      <c r="AA542" s="14">
        <f>SUM(N542:Y542)</f>
        <v/>
      </c>
      <c r="AB542" s="14">
        <f>IFERROR(IF(UPPER($E542)="L",SUMPRODUCT(N542:Y542,$N$3:$Y$3,$N$2:$Y$2),SUMPRODUCT(N542:Y542,$N$4:$Y$4,$N$2:$Y$2))/(Z542/($K542*$L542*$M542)),"")</f>
        <v/>
      </c>
      <c r="AC542" s="18" t="n"/>
    </row>
    <row r="543">
      <c r="A543" s="9" t="n">
        <v>805891</v>
      </c>
      <c r="B543" s="9" t="inlineStr">
        <is>
          <t>Taylor Young</t>
        </is>
      </c>
      <c r="C543" s="9" t="inlineStr">
        <is>
          <t>LAD</t>
        </is>
      </c>
      <c r="D543" s="9" t="n">
        <v>25</v>
      </c>
      <c r="E543" s="16" t="inlineStr">
        <is>
          <t>R</t>
        </is>
      </c>
      <c r="F543" s="16" t="n"/>
      <c r="G543" s="9" t="n">
        <v>27.07692307692308</v>
      </c>
      <c r="H543" s="9" t="n">
        <v>27.07692307692308</v>
      </c>
      <c r="I543" s="9" t="inlineStr">
        <is>
          <t>Depth (no MLB PA)</t>
        </is>
      </c>
      <c r="J543" s="16" t="inlineStr">
        <is>
          <t>Opening Day</t>
        </is>
      </c>
      <c r="K543" s="11">
        <f>IFERROR(INDEX(Roles!$B$17:$B$20,MATCH(J543,Roles!$A$17:$A$20,0)),1)</f>
        <v/>
      </c>
      <c r="L543" s="17" t="n">
        <v>1</v>
      </c>
      <c r="M543" s="11" t="n">
        <v>1</v>
      </c>
      <c r="N543" s="17" t="n"/>
      <c r="O543" s="17" t="n"/>
      <c r="P543" s="17" t="n"/>
      <c r="Q543" s="17" t="n"/>
      <c r="R543" s="17" t="n"/>
      <c r="S543" s="17" t="n"/>
      <c r="T543" s="17" t="n"/>
      <c r="U543" s="17" t="n"/>
      <c r="V543" s="17" t="n"/>
      <c r="W543" s="17" t="n"/>
      <c r="X543" s="17" t="n"/>
      <c r="Y543" s="17" t="n">
        <v>1</v>
      </c>
      <c r="Z543" s="13">
        <f>SUMPRODUCT(N543:Y543,$N$2:$Y$2)*$K543*$L543*$M543</f>
        <v/>
      </c>
      <c r="AA543" s="14">
        <f>SUM(N543:Y543)</f>
        <v/>
      </c>
      <c r="AB543" s="14">
        <f>IFERROR(IF(UPPER($E543)="L",SUMPRODUCT(N543:Y543,$N$3:$Y$3,$N$2:$Y$2),SUMPRODUCT(N543:Y543,$N$4:$Y$4,$N$2:$Y$2))/(Z543/($K543*$L543*$M543)),"")</f>
        <v/>
      </c>
      <c r="AC543" s="18" t="n"/>
    </row>
    <row r="544">
      <c r="A544" s="9" t="n">
        <v>821018</v>
      </c>
      <c r="B544" s="9" t="inlineStr">
        <is>
          <t>Alexi Quiroz</t>
        </is>
      </c>
      <c r="C544" s="9" t="inlineStr">
        <is>
          <t>HOU</t>
        </is>
      </c>
      <c r="D544" s="9" t="n">
        <v>25</v>
      </c>
      <c r="E544" s="16" t="inlineStr">
        <is>
          <t>R</t>
        </is>
      </c>
      <c r="F544" s="16" t="n"/>
      <c r="G544" s="9" t="n">
        <v>1.435897435897436</v>
      </c>
      <c r="H544" s="9" t="n">
        <v>1.435897435897436</v>
      </c>
      <c r="I544" s="9" t="inlineStr">
        <is>
          <t>Depth (no MLB PA)</t>
        </is>
      </c>
      <c r="J544" s="16" t="inlineStr">
        <is>
          <t>Opening Day</t>
        </is>
      </c>
      <c r="K544" s="11">
        <f>IFERROR(INDEX(Roles!$B$17:$B$20,MATCH(J544,Roles!$A$17:$A$20,0)),1)</f>
        <v/>
      </c>
      <c r="L544" s="17" t="n">
        <v>1</v>
      </c>
      <c r="M544" s="11" t="n">
        <v>1</v>
      </c>
      <c r="N544" s="17" t="n"/>
      <c r="O544" s="17" t="n"/>
      <c r="P544" s="17" t="n"/>
      <c r="Q544" s="17" t="n"/>
      <c r="R544" s="17" t="n"/>
      <c r="S544" s="17" t="n"/>
      <c r="T544" s="17" t="n"/>
      <c r="U544" s="17" t="n"/>
      <c r="V544" s="17" t="n"/>
      <c r="W544" s="17" t="n"/>
      <c r="X544" s="17" t="n"/>
      <c r="Y544" s="17" t="n">
        <v>1</v>
      </c>
      <c r="Z544" s="13">
        <f>SUMPRODUCT(N544:Y544,$N$2:$Y$2)*$K544*$L544*$M544</f>
        <v/>
      </c>
      <c r="AA544" s="14">
        <f>SUM(N544:Y544)</f>
        <v/>
      </c>
      <c r="AB544" s="14">
        <f>IFERROR(IF(UPPER($E544)="L",SUMPRODUCT(N544:Y544,$N$3:$Y$3,$N$2:$Y$2),SUMPRODUCT(N544:Y544,$N$4:$Y$4,$N$2:$Y$2))/(Z544/($K544*$L544*$M544)),"")</f>
        <v/>
      </c>
      <c r="AC544" s="18" t="n"/>
    </row>
    <row r="545">
      <c r="A545" s="9" t="n">
        <v>805964</v>
      </c>
      <c r="B545" s="9" t="inlineStr">
        <is>
          <t>Stanley Tucker</t>
        </is>
      </c>
      <c r="C545" s="9" t="inlineStr">
        <is>
          <t>BOS</t>
        </is>
      </c>
      <c r="D545" s="9" t="n">
        <v>25</v>
      </c>
      <c r="E545" s="16" t="inlineStr">
        <is>
          <t>R</t>
        </is>
      </c>
      <c r="F545" s="16" t="n"/>
      <c r="G545" s="9" t="n">
        <v>5.743589743589744</v>
      </c>
      <c r="H545" s="9" t="n">
        <v>5.743589743589744</v>
      </c>
      <c r="I545" s="9" t="inlineStr">
        <is>
          <t>Depth (no MLB PA)</t>
        </is>
      </c>
      <c r="J545" s="16" t="inlineStr">
        <is>
          <t>Opening Day</t>
        </is>
      </c>
      <c r="K545" s="11">
        <f>IFERROR(INDEX(Roles!$B$17:$B$20,MATCH(J545,Roles!$A$17:$A$20,0)),1)</f>
        <v/>
      </c>
      <c r="L545" s="17" t="n">
        <v>1</v>
      </c>
      <c r="M545" s="11" t="n">
        <v>1</v>
      </c>
      <c r="N545" s="17" t="n"/>
      <c r="O545" s="17" t="n"/>
      <c r="P545" s="17" t="n"/>
      <c r="Q545" s="17" t="n"/>
      <c r="R545" s="17" t="n"/>
      <c r="S545" s="17" t="n"/>
      <c r="T545" s="17" t="n"/>
      <c r="U545" s="17" t="n"/>
      <c r="V545" s="17" t="n"/>
      <c r="W545" s="17" t="n"/>
      <c r="X545" s="17" t="n"/>
      <c r="Y545" s="17" t="n">
        <v>1</v>
      </c>
      <c r="Z545" s="13">
        <f>SUMPRODUCT(N545:Y545,$N$2:$Y$2)*$K545*$L545*$M545</f>
        <v/>
      </c>
      <c r="AA545" s="14">
        <f>SUM(N545:Y545)</f>
        <v/>
      </c>
      <c r="AB545" s="14">
        <f>IFERROR(IF(UPPER($E545)="L",SUMPRODUCT(N545:Y545,$N$3:$Y$3,$N$2:$Y$2),SUMPRODUCT(N545:Y545,$N$4:$Y$4,$N$2:$Y$2))/(Z545/($K545*$L545*$M545)),"")</f>
        <v/>
      </c>
      <c r="AC545" s="18" t="n"/>
    </row>
    <row r="546">
      <c r="A546" s="9" t="n">
        <v>681974</v>
      </c>
      <c r="B546" s="9" t="inlineStr">
        <is>
          <t>Onix Vega</t>
        </is>
      </c>
      <c r="C546" s="9" t="inlineStr">
        <is>
          <t>NYM</t>
        </is>
      </c>
      <c r="D546" s="9" t="n">
        <v>25</v>
      </c>
      <c r="E546" s="16" t="inlineStr">
        <is>
          <t>R</t>
        </is>
      </c>
      <c r="F546" s="16" t="n"/>
      <c r="G546" s="9" t="n">
        <v>12.41025641025641</v>
      </c>
      <c r="H546" s="9" t="n">
        <v>12.41025641025641</v>
      </c>
      <c r="I546" s="9" t="inlineStr">
        <is>
          <t>Depth (no MLB PA)</t>
        </is>
      </c>
      <c r="J546" s="16" t="inlineStr">
        <is>
          <t>Opening Day</t>
        </is>
      </c>
      <c r="K546" s="11">
        <f>IFERROR(INDEX(Roles!$B$17:$B$20,MATCH(J546,Roles!$A$17:$A$20,0)),1)</f>
        <v/>
      </c>
      <c r="L546" s="17" t="n">
        <v>1</v>
      </c>
      <c r="M546" s="11" t="n">
        <v>1</v>
      </c>
      <c r="N546" s="17" t="n"/>
      <c r="O546" s="17" t="n"/>
      <c r="P546" s="17" t="n"/>
      <c r="Q546" s="17" t="n"/>
      <c r="R546" s="17" t="n"/>
      <c r="S546" s="17" t="n"/>
      <c r="T546" s="17" t="n"/>
      <c r="U546" s="17" t="n"/>
      <c r="V546" s="17" t="n"/>
      <c r="W546" s="17" t="n"/>
      <c r="X546" s="17" t="n"/>
      <c r="Y546" s="17" t="n">
        <v>1</v>
      </c>
      <c r="Z546" s="13">
        <f>SUMPRODUCT(N546:Y546,$N$2:$Y$2)*$K546*$L546*$M546</f>
        <v/>
      </c>
      <c r="AA546" s="14">
        <f>SUM(N546:Y546)</f>
        <v/>
      </c>
      <c r="AB546" s="14">
        <f>IFERROR(IF(UPPER($E546)="L",SUMPRODUCT(N546:Y546,$N$3:$Y$3,$N$2:$Y$2),SUMPRODUCT(N546:Y546,$N$4:$Y$4,$N$2:$Y$2))/(Z546/($K546*$L546*$M546)),"")</f>
        <v/>
      </c>
      <c r="AC546" s="18" t="n"/>
    </row>
    <row r="547">
      <c r="A547" s="9" t="n">
        <v>676724</v>
      </c>
      <c r="B547" s="9" t="inlineStr">
        <is>
          <t>Jared Young</t>
        </is>
      </c>
      <c r="C547" s="9" t="inlineStr">
        <is>
          <t>NYM</t>
        </is>
      </c>
      <c r="D547" s="9" t="n">
        <v>31</v>
      </c>
      <c r="E547" s="16" t="inlineStr">
        <is>
          <t>L</t>
        </is>
      </c>
      <c r="F547" s="16" t="inlineStr">
        <is>
          <t>1B</t>
        </is>
      </c>
      <c r="G547" s="9" t="n">
        <v>342</v>
      </c>
      <c r="H547" s="9" t="n">
        <v>458</v>
      </c>
      <c r="I547" s="9" t="inlineStr">
        <is>
          <t>Bench Bat</t>
        </is>
      </c>
      <c r="J547" s="16" t="inlineStr">
        <is>
          <t>Opening Day</t>
        </is>
      </c>
      <c r="K547" s="11">
        <f>IFERROR(INDEX(Roles!$B$17:$B$20,MATCH(J547,Roles!$A$17:$A$20,0)),1)</f>
        <v/>
      </c>
      <c r="L547" s="17" t="n">
        <v>1</v>
      </c>
      <c r="M547" s="11" t="n">
        <v>0.8991781746235223</v>
      </c>
      <c r="N547" s="17" t="n"/>
      <c r="O547" s="17" t="n"/>
      <c r="P547" s="17" t="n"/>
      <c r="Q547" s="17" t="n"/>
      <c r="R547" s="17" t="n"/>
      <c r="S547" s="17" t="n"/>
      <c r="T547" s="17" t="n"/>
      <c r="U547" s="17" t="n"/>
      <c r="V547" s="17" t="n"/>
      <c r="W547" s="17" t="n">
        <v>0.7</v>
      </c>
      <c r="X547" s="17" t="n">
        <v>0.3</v>
      </c>
      <c r="Y547" s="17" t="n"/>
      <c r="Z547" s="13">
        <f>SUMPRODUCT(N547:Y547,$N$2:$Y$2)*$K547*$L547*$M547</f>
        <v/>
      </c>
      <c r="AA547" s="14">
        <f>SUM(N547:Y547)</f>
        <v/>
      </c>
      <c r="AB547" s="14">
        <f>IFERROR(IF(UPPER($E547)="L",SUMPRODUCT(N547:Y547,$N$3:$Y$3,$N$2:$Y$2),SUMPRODUCT(N547:Y547,$N$4:$Y$4,$N$2:$Y$2))/(Z547/($K547*$L547*$M547)),"")</f>
        <v/>
      </c>
      <c r="AC547" s="18" t="n"/>
    </row>
    <row r="548">
      <c r="A548" s="9" t="n">
        <v>800406</v>
      </c>
      <c r="B548" s="9" t="inlineStr">
        <is>
          <t>Aron Estrada</t>
        </is>
      </c>
      <c r="C548" s="9" t="inlineStr">
        <is>
          <t>BAL</t>
        </is>
      </c>
      <c r="D548" s="9" t="n">
        <v>22</v>
      </c>
      <c r="E548" s="16" t="inlineStr">
        <is>
          <t>S</t>
        </is>
      </c>
      <c r="F548" s="16" t="n"/>
      <c r="G548" s="9" t="n">
        <v>12.41025641025641</v>
      </c>
      <c r="H548" s="9" t="n">
        <v>12.41025641025641</v>
      </c>
      <c r="I548" s="9" t="inlineStr">
        <is>
          <t>Depth (no MLB PA)</t>
        </is>
      </c>
      <c r="J548" s="16" t="inlineStr">
        <is>
          <t>Opening Day</t>
        </is>
      </c>
      <c r="K548" s="11">
        <f>IFERROR(INDEX(Roles!$B$17:$B$20,MATCH(J548,Roles!$A$17:$A$20,0)),1)</f>
        <v/>
      </c>
      <c r="L548" s="17" t="n">
        <v>1</v>
      </c>
      <c r="M548" s="11" t="n">
        <v>1</v>
      </c>
      <c r="N548" s="17" t="n"/>
      <c r="O548" s="17" t="n"/>
      <c r="P548" s="17" t="n"/>
      <c r="Q548" s="17" t="n"/>
      <c r="R548" s="17" t="n"/>
      <c r="S548" s="17" t="n"/>
      <c r="T548" s="17" t="n"/>
      <c r="U548" s="17" t="n"/>
      <c r="V548" s="17" t="n"/>
      <c r="W548" s="17" t="n"/>
      <c r="X548" s="17" t="n"/>
      <c r="Y548" s="17" t="n">
        <v>1</v>
      </c>
      <c r="Z548" s="13">
        <f>SUMPRODUCT(N548:Y548,$N$2:$Y$2)*$K548*$L548*$M548</f>
        <v/>
      </c>
      <c r="AA548" s="14">
        <f>SUM(N548:Y548)</f>
        <v/>
      </c>
      <c r="AB548" s="14">
        <f>IFERROR(IF(UPPER($E548)="L",SUMPRODUCT(N548:Y548,$N$3:$Y$3,$N$2:$Y$2),SUMPRODUCT(N548:Y548,$N$4:$Y$4,$N$2:$Y$2))/(Z548/($K548*$L548*$M548)),"")</f>
        <v/>
      </c>
      <c r="AC548" s="18" t="n"/>
    </row>
    <row r="549">
      <c r="A549" s="9" t="n">
        <v>702488</v>
      </c>
      <c r="B549" s="9" t="inlineStr">
        <is>
          <t>Logan Wagner</t>
        </is>
      </c>
      <c r="C549" s="9" t="inlineStr">
        <is>
          <t>LAD</t>
        </is>
      </c>
      <c r="D549" s="9" t="n">
        <v>25</v>
      </c>
      <c r="E549" s="16" t="inlineStr">
        <is>
          <t>S</t>
        </is>
      </c>
      <c r="F549" s="16" t="n"/>
      <c r="G549" s="9" t="n">
        <v>45.94871794871795</v>
      </c>
      <c r="H549" s="9" t="n">
        <v>45.94871794871795</v>
      </c>
      <c r="I549" s="9" t="inlineStr">
        <is>
          <t>Depth (no MLB PA)</t>
        </is>
      </c>
      <c r="J549" s="16" t="inlineStr">
        <is>
          <t>Opening Day</t>
        </is>
      </c>
      <c r="K549" s="11">
        <f>IFERROR(INDEX(Roles!$B$17:$B$20,MATCH(J549,Roles!$A$17:$A$20,0)),1)</f>
        <v/>
      </c>
      <c r="L549" s="17" t="n">
        <v>1</v>
      </c>
      <c r="M549" s="11" t="n">
        <v>1</v>
      </c>
      <c r="N549" s="17" t="n"/>
      <c r="O549" s="17" t="n"/>
      <c r="P549" s="17" t="n"/>
      <c r="Q549" s="17" t="n"/>
      <c r="R549" s="17" t="n"/>
      <c r="S549" s="17" t="n"/>
      <c r="T549" s="17" t="n"/>
      <c r="U549" s="17" t="n"/>
      <c r="V549" s="17" t="n"/>
      <c r="W549" s="17" t="n"/>
      <c r="X549" s="17" t="n"/>
      <c r="Y549" s="17" t="n">
        <v>1</v>
      </c>
      <c r="Z549" s="13">
        <f>SUMPRODUCT(N549:Y549,$N$2:$Y$2)*$K549*$L549*$M549</f>
        <v/>
      </c>
      <c r="AA549" s="14">
        <f>SUM(N549:Y549)</f>
        <v/>
      </c>
      <c r="AB549" s="14">
        <f>IFERROR(IF(UPPER($E549)="L",SUMPRODUCT(N549:Y549,$N$3:$Y$3,$N$2:$Y$2),SUMPRODUCT(N549:Y549,$N$4:$Y$4,$N$2:$Y$2))/(Z549/($K549*$L549*$M549)),"")</f>
        <v/>
      </c>
      <c r="AC549" s="18" t="n"/>
    </row>
    <row r="550">
      <c r="A550" s="9" t="n">
        <v>683002</v>
      </c>
      <c r="B550" s="9" t="inlineStr">
        <is>
          <t>Gunnar Henderson</t>
        </is>
      </c>
      <c r="C550" s="9" t="inlineStr">
        <is>
          <t>BAL</t>
        </is>
      </c>
      <c r="D550" s="9" t="n">
        <v>26</v>
      </c>
      <c r="E550" s="16" t="inlineStr">
        <is>
          <t>L</t>
        </is>
      </c>
      <c r="F550" s="16" t="inlineStr">
        <is>
          <t>SS</t>
        </is>
      </c>
      <c r="G550" s="9" t="n">
        <v>702</v>
      </c>
      <c r="H550" s="9" t="n">
        <v>2826</v>
      </c>
      <c r="I550" s="9" t="inlineStr">
        <is>
          <t>Full Time</t>
        </is>
      </c>
      <c r="J550" s="16" t="inlineStr">
        <is>
          <t>Opening Day</t>
        </is>
      </c>
      <c r="K550" s="11">
        <f>IFERROR(INDEX(Roles!$B$17:$B$20,MATCH(J550,Roles!$A$17:$A$20,0)),1)</f>
        <v/>
      </c>
      <c r="L550" s="17" t="n">
        <v>1</v>
      </c>
      <c r="M550" s="11" t="n">
        <v>1.15</v>
      </c>
      <c r="N550" s="17" t="n">
        <v>1</v>
      </c>
      <c r="O550" s="17" t="n"/>
      <c r="P550" s="17" t="n"/>
      <c r="Q550" s="17" t="n"/>
      <c r="R550" s="17" t="n"/>
      <c r="S550" s="17" t="n"/>
      <c r="T550" s="17" t="n"/>
      <c r="U550" s="17" t="n"/>
      <c r="V550" s="17" t="n"/>
      <c r="W550" s="17" t="n"/>
      <c r="X550" s="17" t="n"/>
      <c r="Y550" s="17" t="n"/>
      <c r="Z550" s="13">
        <f>SUMPRODUCT(N550:Y550,$N$2:$Y$2)*$K550*$L550*$M550</f>
        <v/>
      </c>
      <c r="AA550" s="14">
        <f>SUM(N550:Y550)</f>
        <v/>
      </c>
      <c r="AB550" s="14">
        <f>IFERROR(IF(UPPER($E550)="L",SUMPRODUCT(N550:Y550,$N$3:$Y$3,$N$2:$Y$2),SUMPRODUCT(N550:Y550,$N$4:$Y$4,$N$2:$Y$2))/(Z550/($K550*$L550*$M550)),"")</f>
        <v/>
      </c>
      <c r="AC550" s="18" t="n"/>
    </row>
    <row r="551">
      <c r="A551" s="9" t="n">
        <v>800060</v>
      </c>
      <c r="B551" s="9" t="inlineStr">
        <is>
          <t>Xavier Isaac</t>
        </is>
      </c>
      <c r="C551" s="9" t="inlineStr">
        <is>
          <t>TB</t>
        </is>
      </c>
      <c r="D551" s="9" t="n">
        <v>24</v>
      </c>
      <c r="E551" s="16" t="inlineStr">
        <is>
          <t>L</t>
        </is>
      </c>
      <c r="F551" s="16" t="n"/>
      <c r="G551" s="9" t="n">
        <v>41.17948717948718</v>
      </c>
      <c r="H551" s="9" t="n">
        <v>41.17948717948718</v>
      </c>
      <c r="I551" s="9" t="inlineStr">
        <is>
          <t>Bench Bat</t>
        </is>
      </c>
      <c r="J551" s="16" t="inlineStr">
        <is>
          <t>Mid Season (~July)</t>
        </is>
      </c>
      <c r="K551" s="11">
        <f>IFERROR(INDEX(Roles!$B$17:$B$20,MATCH(J551,Roles!$A$17:$A$20,0)),1)</f>
        <v/>
      </c>
      <c r="L551" s="17" t="n">
        <v>1</v>
      </c>
      <c r="M551" s="11" t="n">
        <v>1</v>
      </c>
      <c r="N551" s="17" t="n"/>
      <c r="O551" s="17" t="n"/>
      <c r="P551" s="17" t="n">
        <v>0.35</v>
      </c>
      <c r="Q551" s="17" t="n"/>
      <c r="R551" s="17" t="n"/>
      <c r="S551" s="17" t="n"/>
      <c r="T551" s="17" t="n"/>
      <c r="U551" s="17" t="n"/>
      <c r="V551" s="17" t="n"/>
      <c r="W551" s="17" t="n">
        <v>0.45</v>
      </c>
      <c r="X551" s="17" t="n">
        <v>0.2</v>
      </c>
      <c r="Y551" s="17" t="n"/>
      <c r="Z551" s="13">
        <f>SUMPRODUCT(N551:Y551,$N$2:$Y$2)*$K551*$L551*$M551</f>
        <v/>
      </c>
      <c r="AA551" s="14">
        <f>SUM(N551:Y551)</f>
        <v/>
      </c>
      <c r="AB551" s="14">
        <f>IFERROR(IF(UPPER($E551)="L",SUMPRODUCT(N551:Y551,$N$3:$Y$3,$N$2:$Y$2),SUMPRODUCT(N551:Y551,$N$4:$Y$4,$N$2:$Y$2))/(Z551/($K551*$L551*$M551)),"")</f>
        <v/>
      </c>
      <c r="AC551" s="18" t="n"/>
    </row>
    <row r="552">
      <c r="A552" s="9" t="n">
        <v>804109</v>
      </c>
      <c r="B552" s="9" t="inlineStr">
        <is>
          <t>Aiva Arquette</t>
        </is>
      </c>
      <c r="C552" s="9" t="inlineStr">
        <is>
          <t>MIA</t>
        </is>
      </c>
      <c r="D552" s="9" t="n">
        <v>24</v>
      </c>
      <c r="E552" s="16" t="inlineStr">
        <is>
          <t>R</t>
        </is>
      </c>
      <c r="F552" s="16" t="n"/>
      <c r="G552" s="9" t="n">
        <v>80.41025641025641</v>
      </c>
      <c r="H552" s="9" t="n">
        <v>80.41025641025641</v>
      </c>
      <c r="I552" s="9" t="inlineStr">
        <is>
          <t>Bench Bat</t>
        </is>
      </c>
      <c r="J552" s="16" t="inlineStr">
        <is>
          <t>Mid Season (~July)</t>
        </is>
      </c>
      <c r="K552" s="11">
        <f>IFERROR(INDEX(Roles!$B$17:$B$20,MATCH(J552,Roles!$A$17:$A$20,0)),1)</f>
        <v/>
      </c>
      <c r="L552" s="17" t="n">
        <v>1</v>
      </c>
      <c r="M552" s="11" t="n">
        <v>1</v>
      </c>
      <c r="N552" s="17" t="n"/>
      <c r="O552" s="17" t="n"/>
      <c r="P552" s="17" t="n">
        <v>0.26</v>
      </c>
      <c r="Q552" s="17" t="n"/>
      <c r="R552" s="17" t="n"/>
      <c r="S552" s="17" t="n"/>
      <c r="T552" s="17" t="n"/>
      <c r="U552" s="17" t="n"/>
      <c r="V552" s="17" t="n"/>
      <c r="W552" s="17" t="n">
        <v>0.5</v>
      </c>
      <c r="X552" s="17" t="n">
        <v>0.24</v>
      </c>
      <c r="Y552" s="17" t="n"/>
      <c r="Z552" s="13">
        <f>SUMPRODUCT(N552:Y552,$N$2:$Y$2)*$K552*$L552*$M552</f>
        <v/>
      </c>
      <c r="AA552" s="14">
        <f>SUM(N552:Y552)</f>
        <v/>
      </c>
      <c r="AB552" s="14">
        <f>IFERROR(IF(UPPER($E552)="L",SUMPRODUCT(N552:Y552,$N$3:$Y$3,$N$2:$Y$2),SUMPRODUCT(N552:Y552,$N$4:$Y$4,$N$2:$Y$2))/(Z552/($K552*$L552*$M552)),"")</f>
        <v/>
      </c>
      <c r="AC552" s="18" t="n"/>
    </row>
    <row r="553">
      <c r="A553" s="9" t="n">
        <v>667803</v>
      </c>
      <c r="B553" s="9" t="inlineStr">
        <is>
          <t>Ernesto Martinez Jr.</t>
        </is>
      </c>
      <c r="C553" s="9" t="inlineStr">
        <is>
          <t>NYY</t>
        </is>
      </c>
      <c r="D553" s="9" t="n">
        <v>25</v>
      </c>
      <c r="E553" s="16" t="inlineStr">
        <is>
          <t>L</t>
        </is>
      </c>
      <c r="F553" s="16" t="n"/>
      <c r="G553" s="9" t="n">
        <v>247.0769230769231</v>
      </c>
      <c r="H553" s="9" t="n">
        <v>247.0769230769231</v>
      </c>
      <c r="I553" s="9" t="inlineStr">
        <is>
          <t>Depth (no MLB PA)</t>
        </is>
      </c>
      <c r="J553" s="16" t="inlineStr">
        <is>
          <t>Opening Day</t>
        </is>
      </c>
      <c r="K553" s="11">
        <f>IFERROR(INDEX(Roles!$B$17:$B$20,MATCH(J553,Roles!$A$17:$A$20,0)),1)</f>
        <v/>
      </c>
      <c r="L553" s="17" t="n">
        <v>1</v>
      </c>
      <c r="M553" s="11" t="n">
        <v>1</v>
      </c>
      <c r="N553" s="17" t="n"/>
      <c r="O553" s="17" t="n"/>
      <c r="P553" s="17" t="n"/>
      <c r="Q553" s="17" t="n"/>
      <c r="R553" s="17" t="n"/>
      <c r="S553" s="17" t="n"/>
      <c r="T553" s="17" t="n"/>
      <c r="U553" s="17" t="n"/>
      <c r="V553" s="17" t="n"/>
      <c r="W553" s="17" t="n"/>
      <c r="X553" s="17" t="n"/>
      <c r="Y553" s="17" t="n">
        <v>1</v>
      </c>
      <c r="Z553" s="13">
        <f>SUMPRODUCT(N553:Y553,$N$2:$Y$2)*$K553*$L553*$M553</f>
        <v/>
      </c>
      <c r="AA553" s="14">
        <f>SUM(N553:Y553)</f>
        <v/>
      </c>
      <c r="AB553" s="14">
        <f>IFERROR(IF(UPPER($E553)="L",SUMPRODUCT(N553:Y553,$N$3:$Y$3,$N$2:$Y$2),SUMPRODUCT(N553:Y553,$N$4:$Y$4,$N$2:$Y$2))/(Z553/($K553*$L553*$M553)),"")</f>
        <v/>
      </c>
      <c r="AC553" s="18" t="n"/>
    </row>
    <row r="554">
      <c r="A554" s="9" t="n">
        <v>692046</v>
      </c>
      <c r="B554" s="9" t="inlineStr">
        <is>
          <t>Axel Sanchez</t>
        </is>
      </c>
      <c r="C554" s="9" t="inlineStr">
        <is>
          <t>SEA</t>
        </is>
      </c>
      <c r="D554" s="9" t="n">
        <v>25</v>
      </c>
      <c r="E554" s="16" t="inlineStr">
        <is>
          <t>R</t>
        </is>
      </c>
      <c r="F554" s="16" t="n"/>
      <c r="G554" s="9" t="n">
        <v>41.74358974358975</v>
      </c>
      <c r="H554" s="9" t="n">
        <v>41.74358974358975</v>
      </c>
      <c r="I554" s="9" t="inlineStr">
        <is>
          <t>Depth (no MLB PA)</t>
        </is>
      </c>
      <c r="J554" s="16" t="inlineStr">
        <is>
          <t>Opening Day</t>
        </is>
      </c>
      <c r="K554" s="11">
        <f>IFERROR(INDEX(Roles!$B$17:$B$20,MATCH(J554,Roles!$A$17:$A$20,0)),1)</f>
        <v/>
      </c>
      <c r="L554" s="17" t="n">
        <v>1</v>
      </c>
      <c r="M554" s="11" t="n">
        <v>1</v>
      </c>
      <c r="N554" s="17" t="n"/>
      <c r="O554" s="17" t="n"/>
      <c r="P554" s="17" t="n"/>
      <c r="Q554" s="17" t="n"/>
      <c r="R554" s="17" t="n"/>
      <c r="S554" s="17" t="n"/>
      <c r="T554" s="17" t="n"/>
      <c r="U554" s="17" t="n"/>
      <c r="V554" s="17" t="n"/>
      <c r="W554" s="17" t="n"/>
      <c r="X554" s="17" t="n"/>
      <c r="Y554" s="17" t="n">
        <v>1</v>
      </c>
      <c r="Z554" s="13">
        <f>SUMPRODUCT(N554:Y554,$N$2:$Y$2)*$K554*$L554*$M554</f>
        <v/>
      </c>
      <c r="AA554" s="14">
        <f>SUM(N554:Y554)</f>
        <v/>
      </c>
      <c r="AB554" s="14">
        <f>IFERROR(IF(UPPER($E554)="L",SUMPRODUCT(N554:Y554,$N$3:$Y$3,$N$2:$Y$2),SUMPRODUCT(N554:Y554,$N$4:$Y$4,$N$2:$Y$2))/(Z554/($K554*$L554*$M554)),"")</f>
        <v/>
      </c>
      <c r="AC554" s="18" t="n"/>
    </row>
    <row r="555">
      <c r="A555" s="9" t="n">
        <v>801489</v>
      </c>
      <c r="B555" s="9" t="inlineStr">
        <is>
          <t>Tyce Armstrong</t>
        </is>
      </c>
      <c r="C555" s="9" t="inlineStr">
        <is>
          <t>NYY</t>
        </is>
      </c>
      <c r="D555" s="9" t="n">
        <v>25</v>
      </c>
      <c r="E555" s="16" t="inlineStr">
        <is>
          <t>R</t>
        </is>
      </c>
      <c r="F555" s="16" t="n"/>
      <c r="G555" s="9" t="n">
        <v>10.33846153846154</v>
      </c>
      <c r="H555" s="9" t="n">
        <v>10.33846153846154</v>
      </c>
      <c r="I555" s="9" t="inlineStr">
        <is>
          <t>Depth (no MLB PA)</t>
        </is>
      </c>
      <c r="J555" s="16" t="inlineStr">
        <is>
          <t>Opening Day</t>
        </is>
      </c>
      <c r="K555" s="11">
        <f>IFERROR(INDEX(Roles!$B$17:$B$20,MATCH(J555,Roles!$A$17:$A$20,0)),1)</f>
        <v/>
      </c>
      <c r="L555" s="17" t="n">
        <v>1</v>
      </c>
      <c r="M555" s="11" t="n">
        <v>1</v>
      </c>
      <c r="N555" s="17" t="n"/>
      <c r="O555" s="17" t="n"/>
      <c r="P555" s="17" t="n"/>
      <c r="Q555" s="17" t="n"/>
      <c r="R555" s="17" t="n"/>
      <c r="S555" s="17" t="n"/>
      <c r="T555" s="17" t="n"/>
      <c r="U555" s="17" t="n"/>
      <c r="V555" s="17" t="n"/>
      <c r="W555" s="17" t="n"/>
      <c r="X555" s="17" t="n"/>
      <c r="Y555" s="17" t="n">
        <v>1</v>
      </c>
      <c r="Z555" s="13">
        <f>SUMPRODUCT(N555:Y555,$N$2:$Y$2)*$K555*$L555*$M555</f>
        <v/>
      </c>
      <c r="AA555" s="14">
        <f>SUM(N555:Y555)</f>
        <v/>
      </c>
      <c r="AB555" s="14">
        <f>IFERROR(IF(UPPER($E555)="L",SUMPRODUCT(N555:Y555,$N$3:$Y$3,$N$2:$Y$2),SUMPRODUCT(N555:Y555,$N$4:$Y$4,$N$2:$Y$2))/(Z555/($K555*$L555*$M555)),"")</f>
        <v/>
      </c>
      <c r="AC555" s="18" t="n"/>
    </row>
    <row r="556">
      <c r="A556" s="9" t="n">
        <v>699471</v>
      </c>
      <c r="B556" s="9" t="inlineStr">
        <is>
          <t>Ivan Melendez</t>
        </is>
      </c>
      <c r="C556" s="9" t="inlineStr">
        <is>
          <t>ARI</t>
        </is>
      </c>
      <c r="D556" s="9" t="n">
        <v>25</v>
      </c>
      <c r="E556" s="16" t="inlineStr">
        <is>
          <t>R</t>
        </is>
      </c>
      <c r="F556" s="16" t="n"/>
      <c r="G556" s="9" t="n">
        <v>27.07692307692308</v>
      </c>
      <c r="H556" s="9" t="n">
        <v>27.07692307692308</v>
      </c>
      <c r="I556" s="9" t="inlineStr">
        <is>
          <t>Depth (no MLB PA)</t>
        </is>
      </c>
      <c r="J556" s="16" t="inlineStr">
        <is>
          <t>Opening Day</t>
        </is>
      </c>
      <c r="K556" s="11">
        <f>IFERROR(INDEX(Roles!$B$17:$B$20,MATCH(J556,Roles!$A$17:$A$20,0)),1)</f>
        <v/>
      </c>
      <c r="L556" s="17" t="n">
        <v>1</v>
      </c>
      <c r="M556" s="11" t="n">
        <v>1</v>
      </c>
      <c r="N556" s="17" t="n"/>
      <c r="O556" s="17" t="n"/>
      <c r="P556" s="17" t="n"/>
      <c r="Q556" s="17" t="n"/>
      <c r="R556" s="17" t="n"/>
      <c r="S556" s="17" t="n"/>
      <c r="T556" s="17" t="n"/>
      <c r="U556" s="17" t="n"/>
      <c r="V556" s="17" t="n"/>
      <c r="W556" s="17" t="n"/>
      <c r="X556" s="17" t="n"/>
      <c r="Y556" s="17" t="n">
        <v>1</v>
      </c>
      <c r="Z556" s="13">
        <f>SUMPRODUCT(N556:Y556,$N$2:$Y$2)*$K556*$L556*$M556</f>
        <v/>
      </c>
      <c r="AA556" s="14">
        <f>SUM(N556:Y556)</f>
        <v/>
      </c>
      <c r="AB556" s="14">
        <f>IFERROR(IF(UPPER($E556)="L",SUMPRODUCT(N556:Y556,$N$3:$Y$3,$N$2:$Y$2),SUMPRODUCT(N556:Y556,$N$4:$Y$4,$N$2:$Y$2))/(Z556/($K556*$L556*$M556)),"")</f>
        <v/>
      </c>
      <c r="AC556" s="18" t="n"/>
    </row>
    <row r="557">
      <c r="A557" s="9" t="n">
        <v>829038</v>
      </c>
      <c r="B557" s="9" t="inlineStr">
        <is>
          <t>Cris Rodriguez</t>
        </is>
      </c>
      <c r="C557" s="9" t="inlineStr">
        <is>
          <t>DET</t>
        </is>
      </c>
      <c r="D557" s="9" t="n">
        <v>25</v>
      </c>
      <c r="E557" s="16" t="inlineStr">
        <is>
          <t>R</t>
        </is>
      </c>
      <c r="F557" s="16" t="n"/>
      <c r="G557" s="9" t="n">
        <v>4.061538461538461</v>
      </c>
      <c r="H557" s="9" t="n">
        <v>4.061538461538461</v>
      </c>
      <c r="I557" s="9" t="inlineStr">
        <is>
          <t>Depth (no MLB PA)</t>
        </is>
      </c>
      <c r="J557" s="16" t="inlineStr">
        <is>
          <t>Opening Day</t>
        </is>
      </c>
      <c r="K557" s="11">
        <f>IFERROR(INDEX(Roles!$B$17:$B$20,MATCH(J557,Roles!$A$17:$A$20,0)),1)</f>
        <v/>
      </c>
      <c r="L557" s="17" t="n">
        <v>1</v>
      </c>
      <c r="M557" s="11" t="n">
        <v>1</v>
      </c>
      <c r="N557" s="17" t="n"/>
      <c r="O557" s="17" t="n"/>
      <c r="P557" s="17" t="n"/>
      <c r="Q557" s="17" t="n"/>
      <c r="R557" s="17" t="n"/>
      <c r="S557" s="17" t="n"/>
      <c r="T557" s="17" t="n"/>
      <c r="U557" s="17" t="n"/>
      <c r="V557" s="17" t="n"/>
      <c r="W557" s="17" t="n"/>
      <c r="X557" s="17" t="n"/>
      <c r="Y557" s="17" t="n">
        <v>1</v>
      </c>
      <c r="Z557" s="13">
        <f>SUMPRODUCT(N557:Y557,$N$2:$Y$2)*$K557*$L557*$M557</f>
        <v/>
      </c>
      <c r="AA557" s="14">
        <f>SUM(N557:Y557)</f>
        <v/>
      </c>
      <c r="AB557" s="14">
        <f>IFERROR(IF(UPPER($E557)="L",SUMPRODUCT(N557:Y557,$N$3:$Y$3,$N$2:$Y$2),SUMPRODUCT(N557:Y557,$N$4:$Y$4,$N$2:$Y$2))/(Z557/($K557*$L557*$M557)),"")</f>
        <v/>
      </c>
      <c r="AC557" s="18" t="n"/>
    </row>
    <row r="558">
      <c r="A558" s="9" t="n">
        <v>801187</v>
      </c>
      <c r="B558" s="9" t="inlineStr">
        <is>
          <t>Chase Adkison</t>
        </is>
      </c>
      <c r="C558" s="9" t="inlineStr">
        <is>
          <t>STL</t>
        </is>
      </c>
      <c r="D558" s="9" t="n">
        <v>25</v>
      </c>
      <c r="E558" s="16" t="inlineStr">
        <is>
          <t>R</t>
        </is>
      </c>
      <c r="F558" s="16" t="n"/>
      <c r="G558" s="9" t="n">
        <v>6.102564102564103</v>
      </c>
      <c r="H558" s="9" t="n">
        <v>6.102564102564103</v>
      </c>
      <c r="I558" s="9" t="inlineStr">
        <is>
          <t>Depth (no MLB PA)</t>
        </is>
      </c>
      <c r="J558" s="16" t="inlineStr">
        <is>
          <t>Opening Day</t>
        </is>
      </c>
      <c r="K558" s="11">
        <f>IFERROR(INDEX(Roles!$B$17:$B$20,MATCH(J558,Roles!$A$17:$A$20,0)),1)</f>
        <v/>
      </c>
      <c r="L558" s="17" t="n">
        <v>1</v>
      </c>
      <c r="M558" s="11" t="n">
        <v>1</v>
      </c>
      <c r="N558" s="17" t="n"/>
      <c r="O558" s="17" t="n"/>
      <c r="P558" s="17" t="n"/>
      <c r="Q558" s="17" t="n"/>
      <c r="R558" s="17" t="n"/>
      <c r="S558" s="17" t="n"/>
      <c r="T558" s="17" t="n"/>
      <c r="U558" s="17" t="n"/>
      <c r="V558" s="17" t="n"/>
      <c r="W558" s="17" t="n"/>
      <c r="X558" s="17" t="n"/>
      <c r="Y558" s="17" t="n">
        <v>1</v>
      </c>
      <c r="Z558" s="13">
        <f>SUMPRODUCT(N558:Y558,$N$2:$Y$2)*$K558*$L558*$M558</f>
        <v/>
      </c>
      <c r="AA558" s="14">
        <f>SUM(N558:Y558)</f>
        <v/>
      </c>
      <c r="AB558" s="14">
        <f>IFERROR(IF(UPPER($E558)="L",SUMPRODUCT(N558:Y558,$N$3:$Y$3,$N$2:$Y$2),SUMPRODUCT(N558:Y558,$N$4:$Y$4,$N$2:$Y$2))/(Z558/($K558*$L558*$M558)),"")</f>
        <v/>
      </c>
      <c r="AC558" s="18" t="n"/>
    </row>
    <row r="559">
      <c r="A559" s="9" t="n">
        <v>663993</v>
      </c>
      <c r="B559" s="9" t="inlineStr">
        <is>
          <t>Nathaniel Lowe</t>
        </is>
      </c>
      <c r="C559" s="9" t="inlineStr">
        <is>
          <t>CLE</t>
        </is>
      </c>
      <c r="D559" s="9" t="n">
        <v>31</v>
      </c>
      <c r="E559" s="16" t="inlineStr">
        <is>
          <t>L</t>
        </is>
      </c>
      <c r="F559" s="16" t="inlineStr">
        <is>
          <t>1B</t>
        </is>
      </c>
      <c r="G559" s="9" t="n">
        <v>429</v>
      </c>
      <c r="H559" s="9" t="n">
        <v>2972</v>
      </c>
      <c r="I559" s="9" t="inlineStr">
        <is>
          <t>Strong Side Platoon</t>
        </is>
      </c>
      <c r="J559" s="16" t="inlineStr">
        <is>
          <t>Opening Day</t>
        </is>
      </c>
      <c r="K559" s="11">
        <f>IFERROR(INDEX(Roles!$B$17:$B$20,MATCH(J559,Roles!$A$17:$A$20,0)),1)</f>
        <v/>
      </c>
      <c r="L559" s="17" t="n">
        <v>1</v>
      </c>
      <c r="M559" s="11" t="n">
        <v>1.098095737720217</v>
      </c>
      <c r="N559" s="17" t="n">
        <v>0.4</v>
      </c>
      <c r="O559" s="17" t="n"/>
      <c r="P559" s="17" t="n">
        <v>0.6</v>
      </c>
      <c r="Q559" s="17" t="n"/>
      <c r="R559" s="17" t="n"/>
      <c r="S559" s="17" t="n"/>
      <c r="T559" s="17" t="n"/>
      <c r="U559" s="17" t="n"/>
      <c r="V559" s="17" t="n"/>
      <c r="W559" s="17" t="n"/>
      <c r="X559" s="17" t="n"/>
      <c r="Y559" s="17" t="n"/>
      <c r="Z559" s="13">
        <f>SUMPRODUCT(N559:Y559,$N$2:$Y$2)*$K559*$L559*$M559</f>
        <v/>
      </c>
      <c r="AA559" s="14">
        <f>SUM(N559:Y559)</f>
        <v/>
      </c>
      <c r="AB559" s="14">
        <f>IFERROR(IF(UPPER($E559)="L",SUMPRODUCT(N559:Y559,$N$3:$Y$3,$N$2:$Y$2),SUMPRODUCT(N559:Y559,$N$4:$Y$4,$N$2:$Y$2))/(Z559/($K559*$L559*$M559)),"")</f>
        <v/>
      </c>
      <c r="AC559" s="18" t="n"/>
    </row>
    <row r="560">
      <c r="A560" s="9" t="n">
        <v>702112</v>
      </c>
      <c r="B560" s="9" t="inlineStr">
        <is>
          <t>Hogan Windish</t>
        </is>
      </c>
      <c r="C560" s="9" t="inlineStr">
        <is>
          <t>SEA</t>
        </is>
      </c>
      <c r="D560" s="9" t="n">
        <v>25</v>
      </c>
      <c r="E560" s="16" t="inlineStr">
        <is>
          <t>R</t>
        </is>
      </c>
      <c r="F560" s="16" t="n"/>
      <c r="G560" s="9" t="n">
        <v>41.74358974358975</v>
      </c>
      <c r="H560" s="9" t="n">
        <v>41.74358974358975</v>
      </c>
      <c r="I560" s="9" t="inlineStr">
        <is>
          <t>Depth (no MLB PA)</t>
        </is>
      </c>
      <c r="J560" s="16" t="inlineStr">
        <is>
          <t>Opening Day</t>
        </is>
      </c>
      <c r="K560" s="11">
        <f>IFERROR(INDEX(Roles!$B$17:$B$20,MATCH(J560,Roles!$A$17:$A$20,0)),1)</f>
        <v/>
      </c>
      <c r="L560" s="17" t="n">
        <v>1</v>
      </c>
      <c r="M560" s="11" t="n">
        <v>1</v>
      </c>
      <c r="N560" s="17" t="n"/>
      <c r="O560" s="17" t="n"/>
      <c r="P560" s="17" t="n"/>
      <c r="Q560" s="17" t="n"/>
      <c r="R560" s="17" t="n"/>
      <c r="S560" s="17" t="n"/>
      <c r="T560" s="17" t="n"/>
      <c r="U560" s="17" t="n"/>
      <c r="V560" s="17" t="n"/>
      <c r="W560" s="17" t="n"/>
      <c r="X560" s="17" t="n"/>
      <c r="Y560" s="17" t="n">
        <v>1</v>
      </c>
      <c r="Z560" s="13">
        <f>SUMPRODUCT(N560:Y560,$N$2:$Y$2)*$K560*$L560*$M560</f>
        <v/>
      </c>
      <c r="AA560" s="14">
        <f>SUM(N560:Y560)</f>
        <v/>
      </c>
      <c r="AB560" s="14">
        <f>IFERROR(IF(UPPER($E560)="L",SUMPRODUCT(N560:Y560,$N$3:$Y$3,$N$2:$Y$2),SUMPRODUCT(N560:Y560,$N$4:$Y$4,$N$2:$Y$2))/(Z560/($K560*$L560*$M560)),"")</f>
        <v/>
      </c>
      <c r="AC560" s="18" t="n"/>
    </row>
    <row r="561">
      <c r="A561" s="9" t="n">
        <v>815520</v>
      </c>
      <c r="B561" s="9" t="inlineStr">
        <is>
          <t>Braylon Payne</t>
        </is>
      </c>
      <c r="C561" s="9" t="inlineStr">
        <is>
          <t>MIL</t>
        </is>
      </c>
      <c r="D561" s="9" t="n">
        <v>21</v>
      </c>
      <c r="E561" s="16" t="inlineStr">
        <is>
          <t>L</t>
        </is>
      </c>
      <c r="F561" s="16" t="n"/>
      <c r="G561" s="9" t="n">
        <v>38.76923076923077</v>
      </c>
      <c r="H561" s="9" t="n">
        <v>38.76923076923077</v>
      </c>
      <c r="I561" s="9" t="inlineStr">
        <is>
          <t>Bench Bat</t>
        </is>
      </c>
      <c r="J561" s="16" t="inlineStr">
        <is>
          <t>Mid Season (~July)</t>
        </is>
      </c>
      <c r="K561" s="11">
        <f>IFERROR(INDEX(Roles!$B$17:$B$20,MATCH(J561,Roles!$A$17:$A$20,0)),1)</f>
        <v/>
      </c>
      <c r="L561" s="17" t="n">
        <v>1</v>
      </c>
      <c r="M561" s="11" t="n">
        <v>1</v>
      </c>
      <c r="N561" s="17" t="n"/>
      <c r="O561" s="17" t="n"/>
      <c r="P561" s="17" t="n">
        <v>0.26</v>
      </c>
      <c r="Q561" s="17" t="n"/>
      <c r="R561" s="17" t="n"/>
      <c r="S561" s="17" t="n"/>
      <c r="T561" s="17" t="n"/>
      <c r="U561" s="17" t="n"/>
      <c r="V561" s="17" t="n"/>
      <c r="W561" s="17" t="n">
        <v>0.5</v>
      </c>
      <c r="X561" s="17" t="n">
        <v>0.24</v>
      </c>
      <c r="Y561" s="17" t="n"/>
      <c r="Z561" s="13">
        <f>SUMPRODUCT(N561:Y561,$N$2:$Y$2)*$K561*$L561*$M561</f>
        <v/>
      </c>
      <c r="AA561" s="14">
        <f>SUM(N561:Y561)</f>
        <v/>
      </c>
      <c r="AB561" s="14">
        <f>IFERROR(IF(UPPER($E561)="L",SUMPRODUCT(N561:Y561,$N$3:$Y$3,$N$2:$Y$2),SUMPRODUCT(N561:Y561,$N$4:$Y$4,$N$2:$Y$2))/(Z561/($K561*$L561*$M561)),"")</f>
        <v/>
      </c>
      <c r="AC561" s="18" t="n"/>
    </row>
    <row r="562">
      <c r="A562" s="9" t="n">
        <v>816113</v>
      </c>
      <c r="B562" s="9" t="inlineStr">
        <is>
          <t>Eli Willits</t>
        </is>
      </c>
      <c r="C562" s="9" t="inlineStr">
        <is>
          <t>WSH</t>
        </is>
      </c>
      <c r="D562" s="9" t="n">
        <v>20</v>
      </c>
      <c r="E562" s="16" t="inlineStr">
        <is>
          <t>S</t>
        </is>
      </c>
      <c r="F562" s="16" t="n"/>
      <c r="G562" s="9" t="n">
        <v>6.102564102564103</v>
      </c>
      <c r="H562" s="9" t="n">
        <v>6.102564102564103</v>
      </c>
      <c r="I562" s="9" t="inlineStr">
        <is>
          <t>Bench Bat</t>
        </is>
      </c>
      <c r="J562" s="16" t="inlineStr">
        <is>
          <t>Mid Season (~July)</t>
        </is>
      </c>
      <c r="K562" s="11">
        <f>IFERROR(INDEX(Roles!$B$17:$B$20,MATCH(J562,Roles!$A$17:$A$20,0)),1)</f>
        <v/>
      </c>
      <c r="L562" s="17" t="n">
        <v>1</v>
      </c>
      <c r="M562" s="11" t="n">
        <v>1</v>
      </c>
      <c r="N562" s="17" t="n">
        <v>0.34</v>
      </c>
      <c r="O562" s="17" t="n"/>
      <c r="P562" s="17" t="n">
        <v>0.3</v>
      </c>
      <c r="Q562" s="17" t="n"/>
      <c r="R562" s="17" t="n"/>
      <c r="S562" s="17" t="n"/>
      <c r="T562" s="17" t="n"/>
      <c r="U562" s="17" t="n"/>
      <c r="V562" s="17" t="n"/>
      <c r="W562" s="17" t="n">
        <v>0.36</v>
      </c>
      <c r="X562" s="17" t="n"/>
      <c r="Y562" s="17" t="n"/>
      <c r="Z562" s="13">
        <f>SUMPRODUCT(N562:Y562,$N$2:$Y$2)*$K562*$L562*$M562</f>
        <v/>
      </c>
      <c r="AA562" s="14">
        <f>SUM(N562:Y562)</f>
        <v/>
      </c>
      <c r="AB562" s="14">
        <f>IFERROR(IF(UPPER($E562)="L",SUMPRODUCT(N562:Y562,$N$3:$Y$3,$N$2:$Y$2),SUMPRODUCT(N562:Y562,$N$4:$Y$4,$N$2:$Y$2))/(Z562/($K562*$L562*$M562)),"")</f>
        <v/>
      </c>
      <c r="AC562" s="18" t="n"/>
    </row>
    <row r="563">
      <c r="A563" s="9" t="n">
        <v>800540</v>
      </c>
      <c r="B563" s="9" t="inlineStr">
        <is>
          <t>Hector Osorio</t>
        </is>
      </c>
      <c r="C563" s="9" t="inlineStr">
        <is>
          <t>TEX</t>
        </is>
      </c>
      <c r="D563" s="9" t="n">
        <v>22</v>
      </c>
      <c r="E563" s="16" t="inlineStr">
        <is>
          <t>L</t>
        </is>
      </c>
      <c r="F563" s="16" t="n"/>
      <c r="G563" s="9" t="n">
        <v>30.35897435897436</v>
      </c>
      <c r="H563" s="9" t="n">
        <v>30.35897435897436</v>
      </c>
      <c r="I563" s="9" t="inlineStr">
        <is>
          <t>Depth (no MLB PA)</t>
        </is>
      </c>
      <c r="J563" s="16" t="inlineStr">
        <is>
          <t>Opening Day</t>
        </is>
      </c>
      <c r="K563" s="11">
        <f>IFERROR(INDEX(Roles!$B$17:$B$20,MATCH(J563,Roles!$A$17:$A$20,0)),1)</f>
        <v/>
      </c>
      <c r="L563" s="17" t="n">
        <v>1</v>
      </c>
      <c r="M563" s="11" t="n">
        <v>1</v>
      </c>
      <c r="N563" s="17" t="n"/>
      <c r="O563" s="17" t="n"/>
      <c r="P563" s="17" t="n"/>
      <c r="Q563" s="17" t="n"/>
      <c r="R563" s="17" t="n"/>
      <c r="S563" s="17" t="n"/>
      <c r="T563" s="17" t="n"/>
      <c r="U563" s="17" t="n"/>
      <c r="V563" s="17" t="n"/>
      <c r="W563" s="17" t="n"/>
      <c r="X563" s="17" t="n"/>
      <c r="Y563" s="17" t="n">
        <v>1</v>
      </c>
      <c r="Z563" s="13">
        <f>SUMPRODUCT(N563:Y563,$N$2:$Y$2)*$K563*$L563*$M563</f>
        <v/>
      </c>
      <c r="AA563" s="14">
        <f>SUM(N563:Y563)</f>
        <v/>
      </c>
      <c r="AB563" s="14">
        <f>IFERROR(IF(UPPER($E563)="L",SUMPRODUCT(N563:Y563,$N$3:$Y$3,$N$2:$Y$2),SUMPRODUCT(N563:Y563,$N$4:$Y$4,$N$2:$Y$2))/(Z563/($K563*$L563*$M563)),"")</f>
        <v/>
      </c>
      <c r="AC563" s="18" t="n"/>
    </row>
    <row r="564">
      <c r="A564" s="9" t="n">
        <v>598265</v>
      </c>
      <c r="B564" s="9" t="inlineStr">
        <is>
          <t>Jackie Bradley Jr.</t>
        </is>
      </c>
      <c r="C564" s="9" t="inlineStr">
        <is>
          <t>KC</t>
        </is>
      </c>
      <c r="D564" s="9" t="n">
        <v>37</v>
      </c>
      <c r="E564" s="16" t="inlineStr">
        <is>
          <t>L</t>
        </is>
      </c>
      <c r="F564" s="16" t="inlineStr">
        <is>
          <t>CF</t>
        </is>
      </c>
      <c r="G564" s="9" t="n">
        <v>113</v>
      </c>
      <c r="H564" s="9" t="n">
        <v>483</v>
      </c>
      <c r="I564" s="9" t="inlineStr">
        <is>
          <t>Depth (no MLB PA)</t>
        </is>
      </c>
      <c r="J564" s="16" t="inlineStr">
        <is>
          <t>Opening Day</t>
        </is>
      </c>
      <c r="K564" s="11">
        <f>IFERROR(INDEX(Roles!$B$17:$B$20,MATCH(J564,Roles!$A$17:$A$20,0)),1)</f>
        <v/>
      </c>
      <c r="L564" s="17" t="n">
        <v>1</v>
      </c>
      <c r="M564" s="11" t="n">
        <v>1</v>
      </c>
      <c r="N564" s="17" t="n"/>
      <c r="O564" s="17" t="n"/>
      <c r="P564" s="17" t="n"/>
      <c r="Q564" s="17" t="n"/>
      <c r="R564" s="17" t="n"/>
      <c r="S564" s="17" t="n"/>
      <c r="T564" s="17" t="n"/>
      <c r="U564" s="17" t="n"/>
      <c r="V564" s="17" t="n"/>
      <c r="W564" s="17" t="n"/>
      <c r="X564" s="17" t="n"/>
      <c r="Y564" s="17" t="n">
        <v>1</v>
      </c>
      <c r="Z564" s="13">
        <f>SUMPRODUCT(N564:Y564,$N$2:$Y$2)*$K564*$L564*$M564</f>
        <v/>
      </c>
      <c r="AA564" s="14">
        <f>SUM(N564:Y564)</f>
        <v/>
      </c>
      <c r="AB564" s="14">
        <f>IFERROR(IF(UPPER($E564)="L",SUMPRODUCT(N564:Y564,$N$3:$Y$3,$N$2:$Y$2),SUMPRODUCT(N564:Y564,$N$4:$Y$4,$N$2:$Y$2))/(Z564/($K564*$L564*$M564)),"")</f>
        <v/>
      </c>
      <c r="AC564" s="18" t="n"/>
    </row>
    <row r="565">
      <c r="A565" s="9" t="n">
        <v>813488</v>
      </c>
      <c r="B565" s="9" t="inlineStr">
        <is>
          <t>Jayden Lobliner</t>
        </is>
      </c>
      <c r="C565" s="9" t="inlineStr">
        <is>
          <t>STL</t>
        </is>
      </c>
      <c r="D565" s="9" t="n">
        <v>25</v>
      </c>
      <c r="E565" s="16" t="inlineStr">
        <is>
          <t>R</t>
        </is>
      </c>
      <c r="F565" s="16" t="n"/>
      <c r="G565" s="9" t="n">
        <v>6.523076923076923</v>
      </c>
      <c r="H565" s="9" t="n">
        <v>6.523076923076923</v>
      </c>
      <c r="I565" s="9" t="inlineStr">
        <is>
          <t>Depth (no MLB PA)</t>
        </is>
      </c>
      <c r="J565" s="16" t="inlineStr">
        <is>
          <t>Opening Day</t>
        </is>
      </c>
      <c r="K565" s="11">
        <f>IFERROR(INDEX(Roles!$B$17:$B$20,MATCH(J565,Roles!$A$17:$A$20,0)),1)</f>
        <v/>
      </c>
      <c r="L565" s="17" t="n">
        <v>1</v>
      </c>
      <c r="M565" s="11" t="n">
        <v>1</v>
      </c>
      <c r="N565" s="17" t="n"/>
      <c r="O565" s="17" t="n"/>
      <c r="P565" s="17" t="n"/>
      <c r="Q565" s="17" t="n"/>
      <c r="R565" s="17" t="n"/>
      <c r="S565" s="17" t="n"/>
      <c r="T565" s="17" t="n"/>
      <c r="U565" s="17" t="n"/>
      <c r="V565" s="17" t="n"/>
      <c r="W565" s="17" t="n"/>
      <c r="X565" s="17" t="n"/>
      <c r="Y565" s="17" t="n">
        <v>1</v>
      </c>
      <c r="Z565" s="13">
        <f>SUMPRODUCT(N565:Y565,$N$2:$Y$2)*$K565*$L565*$M565</f>
        <v/>
      </c>
      <c r="AA565" s="14">
        <f>SUM(N565:Y565)</f>
        <v/>
      </c>
      <c r="AB565" s="14">
        <f>IFERROR(IF(UPPER($E565)="L",SUMPRODUCT(N565:Y565,$N$3:$Y$3,$N$2:$Y$2),SUMPRODUCT(N565:Y565,$N$4:$Y$4,$N$2:$Y$2))/(Z565/($K565*$L565*$M565)),"")</f>
        <v/>
      </c>
      <c r="AC565" s="18" t="n"/>
    </row>
    <row r="566">
      <c r="A566" s="9" t="n">
        <v>701350</v>
      </c>
      <c r="B566" s="9" t="inlineStr">
        <is>
          <t>Roman Anthony</t>
        </is>
      </c>
      <c r="C566" s="9" t="inlineStr">
        <is>
          <t>BOS</t>
        </is>
      </c>
      <c r="D566" s="9" t="n">
        <v>23</v>
      </c>
      <c r="E566" s="16" t="inlineStr">
        <is>
          <t>L</t>
        </is>
      </c>
      <c r="F566" s="16" t="inlineStr">
        <is>
          <t>LF</t>
        </is>
      </c>
      <c r="G566" s="9" t="n">
        <v>242</v>
      </c>
      <c r="H566" s="9" t="n">
        <v>545</v>
      </c>
      <c r="I566" s="9" t="inlineStr">
        <is>
          <t>Bench Bat</t>
        </is>
      </c>
      <c r="J566" s="16" t="inlineStr">
        <is>
          <t>Opening Day</t>
        </is>
      </c>
      <c r="K566" s="11">
        <f>IFERROR(INDEX(Roles!$B$17:$B$20,MATCH(J566,Roles!$A$17:$A$20,0)),1)</f>
        <v/>
      </c>
      <c r="L566" s="17" t="n">
        <v>1</v>
      </c>
      <c r="M566" s="11" t="n">
        <v>1</v>
      </c>
      <c r="N566" s="17" t="n"/>
      <c r="O566" s="17" t="n">
        <v>0.4</v>
      </c>
      <c r="P566" s="17" t="n"/>
      <c r="Q566" s="17" t="n"/>
      <c r="R566" s="17" t="n"/>
      <c r="S566" s="17" t="n"/>
      <c r="T566" s="17" t="n"/>
      <c r="U566" s="17" t="n"/>
      <c r="V566" s="17" t="n"/>
      <c r="W566" s="17" t="n">
        <v>0.6</v>
      </c>
      <c r="X566" s="17" t="n"/>
      <c r="Y566" s="17" t="n"/>
      <c r="Z566" s="13">
        <f>SUMPRODUCT(N566:Y566,$N$2:$Y$2)*$K566*$L566*$M566</f>
        <v/>
      </c>
      <c r="AA566" s="14">
        <f>SUM(N566:Y566)</f>
        <v/>
      </c>
      <c r="AB566" s="14">
        <f>IFERROR(IF(UPPER($E566)="L",SUMPRODUCT(N566:Y566,$N$3:$Y$3,$N$2:$Y$2),SUMPRODUCT(N566:Y566,$N$4:$Y$4,$N$2:$Y$2))/(Z566/($K566*$L566*$M566)),"")</f>
        <v/>
      </c>
      <c r="AC566" s="18" t="n"/>
    </row>
    <row r="567">
      <c r="A567" s="9" t="n">
        <v>691278</v>
      </c>
      <c r="B567" s="9" t="inlineStr">
        <is>
          <t>Moises Alcala</t>
        </is>
      </c>
      <c r="C567" s="9" t="inlineStr">
        <is>
          <t>ARI</t>
        </is>
      </c>
      <c r="D567" s="9" t="n">
        <v>25</v>
      </c>
      <c r="E567" s="16" t="inlineStr">
        <is>
          <t>S</t>
        </is>
      </c>
      <c r="F567" s="16" t="n"/>
      <c r="G567" s="9" t="n">
        <v>2.338461538461539</v>
      </c>
      <c r="H567" s="9" t="n">
        <v>2.338461538461539</v>
      </c>
      <c r="I567" s="9" t="inlineStr">
        <is>
          <t>Depth (no MLB PA)</t>
        </is>
      </c>
      <c r="J567" s="16" t="inlineStr">
        <is>
          <t>Opening Day</t>
        </is>
      </c>
      <c r="K567" s="11">
        <f>IFERROR(INDEX(Roles!$B$17:$B$20,MATCH(J567,Roles!$A$17:$A$20,0)),1)</f>
        <v/>
      </c>
      <c r="L567" s="17" t="n">
        <v>1</v>
      </c>
      <c r="M567" s="11" t="n">
        <v>1</v>
      </c>
      <c r="N567" s="17" t="n"/>
      <c r="O567" s="17" t="n"/>
      <c r="P567" s="17" t="n"/>
      <c r="Q567" s="17" t="n"/>
      <c r="R567" s="17" t="n"/>
      <c r="S567" s="17" t="n"/>
      <c r="T567" s="17" t="n"/>
      <c r="U567" s="17" t="n"/>
      <c r="V567" s="17" t="n"/>
      <c r="W567" s="17" t="n"/>
      <c r="X567" s="17" t="n"/>
      <c r="Y567" s="17" t="n">
        <v>1</v>
      </c>
      <c r="Z567" s="13">
        <f>SUMPRODUCT(N567:Y567,$N$2:$Y$2)*$K567*$L567*$M567</f>
        <v/>
      </c>
      <c r="AA567" s="14">
        <f>SUM(N567:Y567)</f>
        <v/>
      </c>
      <c r="AB567" s="14">
        <f>IFERROR(IF(UPPER($E567)="L",SUMPRODUCT(N567:Y567,$N$3:$Y$3,$N$2:$Y$2),SUMPRODUCT(N567:Y567,$N$4:$Y$4,$N$2:$Y$2))/(Z567/($K567*$L567*$M567)),"")</f>
        <v/>
      </c>
      <c r="AC567" s="18" t="n"/>
    </row>
    <row r="568">
      <c r="A568" s="9" t="n">
        <v>703483</v>
      </c>
      <c r="B568" s="9" t="inlineStr">
        <is>
          <t>Dixon Williams</t>
        </is>
      </c>
      <c r="C568" s="9" t="inlineStr">
        <is>
          <t>ATL</t>
        </is>
      </c>
      <c r="D568" s="9" t="n">
        <v>25</v>
      </c>
      <c r="E568" s="16" t="inlineStr">
        <is>
          <t>L</t>
        </is>
      </c>
      <c r="F568" s="16" t="n"/>
      <c r="G568" s="9" t="n">
        <v>14.71794871794872</v>
      </c>
      <c r="H568" s="9" t="n">
        <v>14.71794871794872</v>
      </c>
      <c r="I568" s="9" t="inlineStr">
        <is>
          <t>Depth (no MLB PA)</t>
        </is>
      </c>
      <c r="J568" s="16" t="inlineStr">
        <is>
          <t>Opening Day</t>
        </is>
      </c>
      <c r="K568" s="11">
        <f>IFERROR(INDEX(Roles!$B$17:$B$20,MATCH(J568,Roles!$A$17:$A$20,0)),1)</f>
        <v/>
      </c>
      <c r="L568" s="17" t="n">
        <v>1</v>
      </c>
      <c r="M568" s="11" t="n">
        <v>1</v>
      </c>
      <c r="N568" s="17" t="n"/>
      <c r="O568" s="17" t="n"/>
      <c r="P568" s="17" t="n"/>
      <c r="Q568" s="17" t="n"/>
      <c r="R568" s="17" t="n"/>
      <c r="S568" s="17" t="n"/>
      <c r="T568" s="17" t="n"/>
      <c r="U568" s="17" t="n"/>
      <c r="V568" s="17" t="n"/>
      <c r="W568" s="17" t="n"/>
      <c r="X568" s="17" t="n"/>
      <c r="Y568" s="17" t="n">
        <v>1</v>
      </c>
      <c r="Z568" s="13">
        <f>SUMPRODUCT(N568:Y568,$N$2:$Y$2)*$K568*$L568*$M568</f>
        <v/>
      </c>
      <c r="AA568" s="14">
        <f>SUM(N568:Y568)</f>
        <v/>
      </c>
      <c r="AB568" s="14">
        <f>IFERROR(IF(UPPER($E568)="L",SUMPRODUCT(N568:Y568,$N$3:$Y$3,$N$2:$Y$2),SUMPRODUCT(N568:Y568,$N$4:$Y$4,$N$2:$Y$2))/(Z568/($K568*$L568*$M568)),"")</f>
        <v/>
      </c>
      <c r="AC568" s="18" t="n"/>
    </row>
    <row r="569">
      <c r="A569" s="9" t="n">
        <v>813620</v>
      </c>
      <c r="B569" s="9" t="inlineStr">
        <is>
          <t>Carson Rucker</t>
        </is>
      </c>
      <c r="C569" s="9" t="inlineStr">
        <is>
          <t>DET</t>
        </is>
      </c>
      <c r="D569" s="9" t="n">
        <v>25</v>
      </c>
      <c r="E569" s="16" t="inlineStr">
        <is>
          <t>R</t>
        </is>
      </c>
      <c r="F569" s="16" t="n"/>
      <c r="G569" s="9" t="n">
        <v>14.35897435897436</v>
      </c>
      <c r="H569" s="9" t="n">
        <v>14.35897435897436</v>
      </c>
      <c r="I569" s="9" t="inlineStr">
        <is>
          <t>Depth (no MLB PA)</t>
        </is>
      </c>
      <c r="J569" s="16" t="inlineStr">
        <is>
          <t>Opening Day</t>
        </is>
      </c>
      <c r="K569" s="11">
        <f>IFERROR(INDEX(Roles!$B$17:$B$20,MATCH(J569,Roles!$A$17:$A$20,0)),1)</f>
        <v/>
      </c>
      <c r="L569" s="17" t="n">
        <v>1</v>
      </c>
      <c r="M569" s="11" t="n">
        <v>1</v>
      </c>
      <c r="N569" s="17" t="n"/>
      <c r="O569" s="17" t="n"/>
      <c r="P569" s="17" t="n"/>
      <c r="Q569" s="17" t="n"/>
      <c r="R569" s="17" t="n"/>
      <c r="S569" s="17" t="n"/>
      <c r="T569" s="17" t="n"/>
      <c r="U569" s="17" t="n"/>
      <c r="V569" s="17" t="n"/>
      <c r="W569" s="17" t="n"/>
      <c r="X569" s="17" t="n"/>
      <c r="Y569" s="17" t="n">
        <v>1</v>
      </c>
      <c r="Z569" s="13">
        <f>SUMPRODUCT(N569:Y569,$N$2:$Y$2)*$K569*$L569*$M569</f>
        <v/>
      </c>
      <c r="AA569" s="14">
        <f>SUM(N569:Y569)</f>
        <v/>
      </c>
      <c r="AB569" s="14">
        <f>IFERROR(IF(UPPER($E569)="L",SUMPRODUCT(N569:Y569,$N$3:$Y$3,$N$2:$Y$2),SUMPRODUCT(N569:Y569,$N$4:$Y$4,$N$2:$Y$2))/(Z569/($K569*$L569*$M569)),"")</f>
        <v/>
      </c>
      <c r="AC569" s="18" t="n"/>
    </row>
    <row r="570">
      <c r="A570" s="9" t="n">
        <v>814822</v>
      </c>
      <c r="B570" s="9" t="inlineStr">
        <is>
          <t>Henry Ford</t>
        </is>
      </c>
      <c r="C570" s="9" t="inlineStr">
        <is>
          <t>SEA</t>
        </is>
      </c>
      <c r="D570" s="9" t="n">
        <v>25</v>
      </c>
      <c r="E570" s="16" t="inlineStr">
        <is>
          <t>R</t>
        </is>
      </c>
      <c r="F570" s="16" t="n"/>
      <c r="G570" s="9" t="n">
        <v>6.646153846153847</v>
      </c>
      <c r="H570" s="9" t="n">
        <v>6.646153846153847</v>
      </c>
      <c r="I570" s="9" t="inlineStr">
        <is>
          <t>Depth (no MLB PA)</t>
        </is>
      </c>
      <c r="J570" s="16" t="inlineStr">
        <is>
          <t>Opening Day</t>
        </is>
      </c>
      <c r="K570" s="11">
        <f>IFERROR(INDEX(Roles!$B$17:$B$20,MATCH(J570,Roles!$A$17:$A$20,0)),1)</f>
        <v/>
      </c>
      <c r="L570" s="17" t="n">
        <v>1</v>
      </c>
      <c r="M570" s="11" t="n">
        <v>1</v>
      </c>
      <c r="N570" s="17" t="n"/>
      <c r="O570" s="17" t="n"/>
      <c r="P570" s="17" t="n"/>
      <c r="Q570" s="17" t="n"/>
      <c r="R570" s="17" t="n"/>
      <c r="S570" s="17" t="n"/>
      <c r="T570" s="17" t="n"/>
      <c r="U570" s="17" t="n"/>
      <c r="V570" s="17" t="n"/>
      <c r="W570" s="17" t="n"/>
      <c r="X570" s="17" t="n"/>
      <c r="Y570" s="17" t="n">
        <v>1</v>
      </c>
      <c r="Z570" s="13">
        <f>SUMPRODUCT(N570:Y570,$N$2:$Y$2)*$K570*$L570*$M570</f>
        <v/>
      </c>
      <c r="AA570" s="14">
        <f>SUM(N570:Y570)</f>
        <v/>
      </c>
      <c r="AB570" s="14">
        <f>IFERROR(IF(UPPER($E570)="L",SUMPRODUCT(N570:Y570,$N$3:$Y$3,$N$2:$Y$2),SUMPRODUCT(N570:Y570,$N$4:$Y$4,$N$2:$Y$2))/(Z570/($K570*$L570*$M570)),"")</f>
        <v/>
      </c>
      <c r="AC570" s="18" t="n"/>
    </row>
    <row r="571">
      <c r="A571" s="9" t="n">
        <v>701333</v>
      </c>
      <c r="B571" s="9" t="inlineStr">
        <is>
          <t>Colby Shelton</t>
        </is>
      </c>
      <c r="C571" s="9" t="inlineStr">
        <is>
          <t>CWS</t>
        </is>
      </c>
      <c r="D571" s="9" t="n">
        <v>25</v>
      </c>
      <c r="E571" s="16" t="inlineStr">
        <is>
          <t>L</t>
        </is>
      </c>
      <c r="F571" s="16" t="n"/>
      <c r="G571" s="9" t="n">
        <v>137.4871794871795</v>
      </c>
      <c r="H571" s="9" t="n">
        <v>137.4871794871795</v>
      </c>
      <c r="I571" s="9" t="inlineStr">
        <is>
          <t>Depth (no MLB PA)</t>
        </is>
      </c>
      <c r="J571" s="16" t="inlineStr">
        <is>
          <t>Opening Day</t>
        </is>
      </c>
      <c r="K571" s="11">
        <f>IFERROR(INDEX(Roles!$B$17:$B$20,MATCH(J571,Roles!$A$17:$A$20,0)),1)</f>
        <v/>
      </c>
      <c r="L571" s="17" t="n">
        <v>1</v>
      </c>
      <c r="M571" s="11" t="n">
        <v>1</v>
      </c>
      <c r="N571" s="17" t="n"/>
      <c r="O571" s="17" t="n"/>
      <c r="P571" s="17" t="n"/>
      <c r="Q571" s="17" t="n"/>
      <c r="R571" s="17" t="n"/>
      <c r="S571" s="17" t="n"/>
      <c r="T571" s="17" t="n"/>
      <c r="U571" s="17" t="n"/>
      <c r="V571" s="17" t="n"/>
      <c r="W571" s="17" t="n"/>
      <c r="X571" s="17" t="n"/>
      <c r="Y571" s="17" t="n">
        <v>1</v>
      </c>
      <c r="Z571" s="13">
        <f>SUMPRODUCT(N571:Y571,$N$2:$Y$2)*$K571*$L571*$M571</f>
        <v/>
      </c>
      <c r="AA571" s="14">
        <f>SUM(N571:Y571)</f>
        <v/>
      </c>
      <c r="AB571" s="14">
        <f>IFERROR(IF(UPPER($E571)="L",SUMPRODUCT(N571:Y571,$N$3:$Y$3,$N$2:$Y$2),SUMPRODUCT(N571:Y571,$N$4:$Y$4,$N$2:$Y$2))/(Z571/($K571*$L571*$M571)),"")</f>
        <v/>
      </c>
      <c r="AC571" s="18" t="n"/>
    </row>
    <row r="572">
      <c r="A572" s="9" t="n">
        <v>800201</v>
      </c>
      <c r="B572" s="9" t="inlineStr">
        <is>
          <t>Rafael Ramirez Jr.</t>
        </is>
      </c>
      <c r="C572" s="9" t="inlineStr">
        <is>
          <t>WSH</t>
        </is>
      </c>
      <c r="D572" s="9" t="n">
        <v>25</v>
      </c>
      <c r="E572" s="16" t="inlineStr">
        <is>
          <t>L</t>
        </is>
      </c>
      <c r="F572" s="16" t="n"/>
      <c r="G572" s="9" t="n">
        <v>2.461538461538462</v>
      </c>
      <c r="H572" s="9" t="n">
        <v>2.461538461538462</v>
      </c>
      <c r="I572" s="9" t="inlineStr">
        <is>
          <t>Depth (no MLB PA)</t>
        </is>
      </c>
      <c r="J572" s="16" t="inlineStr">
        <is>
          <t>Opening Day</t>
        </is>
      </c>
      <c r="K572" s="11">
        <f>IFERROR(INDEX(Roles!$B$17:$B$20,MATCH(J572,Roles!$A$17:$A$20,0)),1)</f>
        <v/>
      </c>
      <c r="L572" s="17" t="n">
        <v>1</v>
      </c>
      <c r="M572" s="11" t="n">
        <v>1</v>
      </c>
      <c r="N572" s="17" t="n"/>
      <c r="O572" s="17" t="n"/>
      <c r="P572" s="17" t="n"/>
      <c r="Q572" s="17" t="n"/>
      <c r="R572" s="17" t="n"/>
      <c r="S572" s="17" t="n"/>
      <c r="T572" s="17" t="n"/>
      <c r="U572" s="17" t="n"/>
      <c r="V572" s="17" t="n"/>
      <c r="W572" s="17" t="n"/>
      <c r="X572" s="17" t="n"/>
      <c r="Y572" s="17" t="n">
        <v>1</v>
      </c>
      <c r="Z572" s="13">
        <f>SUMPRODUCT(N572:Y572,$N$2:$Y$2)*$K572*$L572*$M572</f>
        <v/>
      </c>
      <c r="AA572" s="14">
        <f>SUM(N572:Y572)</f>
        <v/>
      </c>
      <c r="AB572" s="14">
        <f>IFERROR(IF(UPPER($E572)="L",SUMPRODUCT(N572:Y572,$N$3:$Y$3,$N$2:$Y$2),SUMPRODUCT(N572:Y572,$N$4:$Y$4,$N$2:$Y$2))/(Z572/($K572*$L572*$M572)),"")</f>
        <v/>
      </c>
      <c r="AC572" s="18" t="n"/>
    </row>
    <row r="573">
      <c r="A573" s="9" t="n">
        <v>570731</v>
      </c>
      <c r="B573" s="9" t="inlineStr">
        <is>
          <t>Jonathan Schoop</t>
        </is>
      </c>
      <c r="C573" s="9" t="inlineStr">
        <is>
          <t>DET</t>
        </is>
      </c>
      <c r="D573" s="9" t="n">
        <v>35</v>
      </c>
      <c r="E573" s="16" t="inlineStr">
        <is>
          <t>R</t>
        </is>
      </c>
      <c r="F573" s="16" t="inlineStr">
        <is>
          <t>3B</t>
        </is>
      </c>
      <c r="G573" s="9" t="n">
        <v>151</v>
      </c>
      <c r="H573" s="9" t="n">
        <v>661</v>
      </c>
      <c r="I573" s="9" t="inlineStr">
        <is>
          <t>Depth (no MLB PA)</t>
        </is>
      </c>
      <c r="J573" s="16" t="inlineStr">
        <is>
          <t>Opening Day</t>
        </is>
      </c>
      <c r="K573" s="11">
        <f>IFERROR(INDEX(Roles!$B$17:$B$20,MATCH(J573,Roles!$A$17:$A$20,0)),1)</f>
        <v/>
      </c>
      <c r="L573" s="17" t="n">
        <v>1</v>
      </c>
      <c r="M573" s="11" t="n">
        <v>1</v>
      </c>
      <c r="N573" s="17" t="n"/>
      <c r="O573" s="17" t="n"/>
      <c r="P573" s="17" t="n"/>
      <c r="Q573" s="17" t="n"/>
      <c r="R573" s="17" t="n"/>
      <c r="S573" s="17" t="n"/>
      <c r="T573" s="17" t="n"/>
      <c r="U573" s="17" t="n"/>
      <c r="V573" s="17" t="n"/>
      <c r="W573" s="17" t="n"/>
      <c r="X573" s="17" t="n"/>
      <c r="Y573" s="17" t="n">
        <v>1</v>
      </c>
      <c r="Z573" s="13">
        <f>SUMPRODUCT(N573:Y573,$N$2:$Y$2)*$K573*$L573*$M573</f>
        <v/>
      </c>
      <c r="AA573" s="14">
        <f>SUM(N573:Y573)</f>
        <v/>
      </c>
      <c r="AB573" s="14">
        <f>IFERROR(IF(UPPER($E573)="L",SUMPRODUCT(N573:Y573,$N$3:$Y$3,$N$2:$Y$2),SUMPRODUCT(N573:Y573,$N$4:$Y$4,$N$2:$Y$2))/(Z573/($K573*$L573*$M573)),"")</f>
        <v/>
      </c>
      <c r="AC573" s="18" t="n"/>
    </row>
    <row r="574">
      <c r="A574" s="9" t="n">
        <v>681171</v>
      </c>
      <c r="B574" s="9" t="inlineStr">
        <is>
          <t>Gavin Dugas</t>
        </is>
      </c>
      <c r="C574" s="9" t="inlineStr">
        <is>
          <t>WSH</t>
        </is>
      </c>
      <c r="D574" s="9" t="n">
        <v>25</v>
      </c>
      <c r="E574" s="16" t="inlineStr">
        <is>
          <t>R</t>
        </is>
      </c>
      <c r="F574" s="16" t="n"/>
      <c r="G574" s="9" t="n">
        <v>6.564102564102566</v>
      </c>
      <c r="H574" s="9" t="n">
        <v>6.564102564102566</v>
      </c>
      <c r="I574" s="9" t="inlineStr">
        <is>
          <t>Depth (no MLB PA)</t>
        </is>
      </c>
      <c r="J574" s="16" t="inlineStr">
        <is>
          <t>Opening Day</t>
        </is>
      </c>
      <c r="K574" s="11">
        <f>IFERROR(INDEX(Roles!$B$17:$B$20,MATCH(J574,Roles!$A$17:$A$20,0)),1)</f>
        <v/>
      </c>
      <c r="L574" s="17" t="n">
        <v>1</v>
      </c>
      <c r="M574" s="11" t="n">
        <v>1</v>
      </c>
      <c r="N574" s="17" t="n"/>
      <c r="O574" s="17" t="n"/>
      <c r="P574" s="17" t="n"/>
      <c r="Q574" s="17" t="n"/>
      <c r="R574" s="17" t="n"/>
      <c r="S574" s="17" t="n"/>
      <c r="T574" s="17" t="n"/>
      <c r="U574" s="17" t="n"/>
      <c r="V574" s="17" t="n"/>
      <c r="W574" s="17" t="n"/>
      <c r="X574" s="17" t="n"/>
      <c r="Y574" s="17" t="n">
        <v>1</v>
      </c>
      <c r="Z574" s="13">
        <f>SUMPRODUCT(N574:Y574,$N$2:$Y$2)*$K574*$L574*$M574</f>
        <v/>
      </c>
      <c r="AA574" s="14">
        <f>SUM(N574:Y574)</f>
        <v/>
      </c>
      <c r="AB574" s="14">
        <f>IFERROR(IF(UPPER($E574)="L",SUMPRODUCT(N574:Y574,$N$3:$Y$3,$N$2:$Y$2),SUMPRODUCT(N574:Y574,$N$4:$Y$4,$N$2:$Y$2))/(Z574/($K574*$L574*$M574)),"")</f>
        <v/>
      </c>
      <c r="AC574" s="18" t="n"/>
    </row>
    <row r="575">
      <c r="A575" s="9" t="n">
        <v>805117</v>
      </c>
      <c r="B575" s="9" t="inlineStr">
        <is>
          <t>Jean Carlos Sió</t>
        </is>
      </c>
      <c r="C575" s="9" t="inlineStr">
        <is>
          <t>SF</t>
        </is>
      </c>
      <c r="D575" s="9" t="n">
        <v>25</v>
      </c>
      <c r="E575" s="16" t="inlineStr">
        <is>
          <t>L</t>
        </is>
      </c>
      <c r="F575" s="16" t="n"/>
      <c r="G575" s="9" t="n">
        <v>88.66666666666667</v>
      </c>
      <c r="H575" s="9" t="n">
        <v>88.66666666666667</v>
      </c>
      <c r="I575" s="9" t="inlineStr">
        <is>
          <t>Depth (no MLB PA)</t>
        </is>
      </c>
      <c r="J575" s="16" t="inlineStr">
        <is>
          <t>Opening Day</t>
        </is>
      </c>
      <c r="K575" s="11">
        <f>IFERROR(INDEX(Roles!$B$17:$B$20,MATCH(J575,Roles!$A$17:$A$20,0)),1)</f>
        <v/>
      </c>
      <c r="L575" s="17" t="n">
        <v>1</v>
      </c>
      <c r="M575" s="11" t="n">
        <v>1</v>
      </c>
      <c r="N575" s="17" t="n"/>
      <c r="O575" s="17" t="n"/>
      <c r="P575" s="17" t="n"/>
      <c r="Q575" s="17" t="n"/>
      <c r="R575" s="17" t="n"/>
      <c r="S575" s="17" t="n"/>
      <c r="T575" s="17" t="n"/>
      <c r="U575" s="17" t="n"/>
      <c r="V575" s="17" t="n"/>
      <c r="W575" s="17" t="n"/>
      <c r="X575" s="17" t="n"/>
      <c r="Y575" s="17" t="n">
        <v>1</v>
      </c>
      <c r="Z575" s="13">
        <f>SUMPRODUCT(N575:Y575,$N$2:$Y$2)*$K575*$L575*$M575</f>
        <v/>
      </c>
      <c r="AA575" s="14">
        <f>SUM(N575:Y575)</f>
        <v/>
      </c>
      <c r="AB575" s="14">
        <f>IFERROR(IF(UPPER($E575)="L",SUMPRODUCT(N575:Y575,$N$3:$Y$3,$N$2:$Y$2),SUMPRODUCT(N575:Y575,$N$4:$Y$4,$N$2:$Y$2))/(Z575/($K575*$L575*$M575)),"")</f>
        <v/>
      </c>
      <c r="AC575" s="18" t="n"/>
    </row>
    <row r="576">
      <c r="A576" s="9" t="n">
        <v>679602</v>
      </c>
      <c r="B576" s="9" t="inlineStr">
        <is>
          <t>Drew Ehrhard</t>
        </is>
      </c>
      <c r="C576" s="9" t="inlineStr">
        <is>
          <t>BOS</t>
        </is>
      </c>
      <c r="D576" s="9" t="n">
        <v>25</v>
      </c>
      <c r="E576" s="16" t="inlineStr">
        <is>
          <t>R</t>
        </is>
      </c>
      <c r="F576" s="16" t="n"/>
      <c r="G576" s="9" t="n">
        <v>15.07692307692308</v>
      </c>
      <c r="H576" s="9" t="n">
        <v>15.07692307692308</v>
      </c>
      <c r="I576" s="9" t="inlineStr">
        <is>
          <t>Depth (no MLB PA)</t>
        </is>
      </c>
      <c r="J576" s="16" t="inlineStr">
        <is>
          <t>Opening Day</t>
        </is>
      </c>
      <c r="K576" s="11">
        <f>IFERROR(INDEX(Roles!$B$17:$B$20,MATCH(J576,Roles!$A$17:$A$20,0)),1)</f>
        <v/>
      </c>
      <c r="L576" s="17" t="n">
        <v>1</v>
      </c>
      <c r="M576" s="11" t="n">
        <v>1</v>
      </c>
      <c r="N576" s="17" t="n"/>
      <c r="O576" s="17" t="n"/>
      <c r="P576" s="17" t="n"/>
      <c r="Q576" s="17" t="n"/>
      <c r="R576" s="17" t="n"/>
      <c r="S576" s="17" t="n"/>
      <c r="T576" s="17" t="n"/>
      <c r="U576" s="17" t="n"/>
      <c r="V576" s="17" t="n"/>
      <c r="W576" s="17" t="n"/>
      <c r="X576" s="17" t="n"/>
      <c r="Y576" s="17" t="n">
        <v>1</v>
      </c>
      <c r="Z576" s="13">
        <f>SUMPRODUCT(N576:Y576,$N$2:$Y$2)*$K576*$L576*$M576</f>
        <v/>
      </c>
      <c r="AA576" s="14">
        <f>SUM(N576:Y576)</f>
        <v/>
      </c>
      <c r="AB576" s="14">
        <f>IFERROR(IF(UPPER($E576)="L",SUMPRODUCT(N576:Y576,$N$3:$Y$3,$N$2:$Y$2),SUMPRODUCT(N576:Y576,$N$4:$Y$4,$N$2:$Y$2))/(Z576/($K576*$L576*$M576)),"")</f>
        <v/>
      </c>
      <c r="AC576" s="18" t="n"/>
    </row>
    <row r="577">
      <c r="A577" s="9" t="n">
        <v>703060</v>
      </c>
      <c r="B577" s="9" t="inlineStr">
        <is>
          <t>Alejandro Urias</t>
        </is>
      </c>
      <c r="C577" s="9" t="inlineStr">
        <is>
          <t>NYM</t>
        </is>
      </c>
      <c r="D577" s="9" t="n">
        <v>25</v>
      </c>
      <c r="E577" s="16" t="inlineStr">
        <is>
          <t>R</t>
        </is>
      </c>
      <c r="F577" s="16" t="n"/>
      <c r="G577" s="9" t="n">
        <v>2.666666666666667</v>
      </c>
      <c r="H577" s="9" t="n">
        <v>2.666666666666667</v>
      </c>
      <c r="I577" s="9" t="inlineStr">
        <is>
          <t>Depth (no MLB PA)</t>
        </is>
      </c>
      <c r="J577" s="16" t="inlineStr">
        <is>
          <t>Opening Day</t>
        </is>
      </c>
      <c r="K577" s="11">
        <f>IFERROR(INDEX(Roles!$B$17:$B$20,MATCH(J577,Roles!$A$17:$A$20,0)),1)</f>
        <v/>
      </c>
      <c r="L577" s="17" t="n">
        <v>1</v>
      </c>
      <c r="M577" s="11" t="n">
        <v>1</v>
      </c>
      <c r="N577" s="17" t="n"/>
      <c r="O577" s="17" t="n"/>
      <c r="P577" s="17" t="n"/>
      <c r="Q577" s="17" t="n"/>
      <c r="R577" s="17" t="n"/>
      <c r="S577" s="17" t="n"/>
      <c r="T577" s="17" t="n"/>
      <c r="U577" s="17" t="n"/>
      <c r="V577" s="17" t="n"/>
      <c r="W577" s="17" t="n"/>
      <c r="X577" s="17" t="n"/>
      <c r="Y577" s="17" t="n">
        <v>1</v>
      </c>
      <c r="Z577" s="13">
        <f>SUMPRODUCT(N577:Y577,$N$2:$Y$2)*$K577*$L577*$M577</f>
        <v/>
      </c>
      <c r="AA577" s="14">
        <f>SUM(N577:Y577)</f>
        <v/>
      </c>
      <c r="AB577" s="14">
        <f>IFERROR(IF(UPPER($E577)="L",SUMPRODUCT(N577:Y577,$N$3:$Y$3,$N$2:$Y$2),SUMPRODUCT(N577:Y577,$N$4:$Y$4,$N$2:$Y$2))/(Z577/($K577*$L577*$M577)),"")</f>
        <v/>
      </c>
      <c r="AC577" s="18" t="n"/>
    </row>
    <row r="578">
      <c r="A578" s="9" t="n">
        <v>691775</v>
      </c>
      <c r="B578" s="9" t="inlineStr">
        <is>
          <t>Ryan Clifford</t>
        </is>
      </c>
      <c r="C578" s="9" t="inlineStr">
        <is>
          <t>NYM</t>
        </is>
      </c>
      <c r="D578" s="9" t="n">
        <v>25</v>
      </c>
      <c r="E578" s="16" t="inlineStr">
        <is>
          <t>L</t>
        </is>
      </c>
      <c r="F578" s="16" t="n"/>
      <c r="G578" s="9" t="n">
        <v>261.1794871794872</v>
      </c>
      <c r="H578" s="9" t="n">
        <v>261.1794871794872</v>
      </c>
      <c r="I578" s="9" t="inlineStr">
        <is>
          <t>Depth (no MLB PA)</t>
        </is>
      </c>
      <c r="J578" s="16" t="inlineStr">
        <is>
          <t>Opening Day</t>
        </is>
      </c>
      <c r="K578" s="11">
        <f>IFERROR(INDEX(Roles!$B$17:$B$20,MATCH(J578,Roles!$A$17:$A$20,0)),1)</f>
        <v/>
      </c>
      <c r="L578" s="17" t="n">
        <v>1</v>
      </c>
      <c r="M578" s="11" t="n">
        <v>1</v>
      </c>
      <c r="N578" s="17" t="n"/>
      <c r="O578" s="17" t="n"/>
      <c r="P578" s="17" t="n"/>
      <c r="Q578" s="17" t="n"/>
      <c r="R578" s="17" t="n"/>
      <c r="S578" s="17" t="n"/>
      <c r="T578" s="17" t="n"/>
      <c r="U578" s="17" t="n"/>
      <c r="V578" s="17" t="n"/>
      <c r="W578" s="17" t="n"/>
      <c r="X578" s="17" t="n"/>
      <c r="Y578" s="17" t="n">
        <v>1</v>
      </c>
      <c r="Z578" s="13">
        <f>SUMPRODUCT(N578:Y578,$N$2:$Y$2)*$K578*$L578*$M578</f>
        <v/>
      </c>
      <c r="AA578" s="14">
        <f>SUM(N578:Y578)</f>
        <v/>
      </c>
      <c r="AB578" s="14">
        <f>IFERROR(IF(UPPER($E578)="L",SUMPRODUCT(N578:Y578,$N$3:$Y$3,$N$2:$Y$2),SUMPRODUCT(N578:Y578,$N$4:$Y$4,$N$2:$Y$2))/(Z578/($K578*$L578*$M578)),"")</f>
        <v/>
      </c>
      <c r="AC578" s="18" t="n"/>
    </row>
    <row r="579">
      <c r="A579" s="9" t="n">
        <v>815608</v>
      </c>
      <c r="B579" s="9" t="inlineStr">
        <is>
          <t>Wyatt Sanford</t>
        </is>
      </c>
      <c r="C579" s="9" t="inlineStr">
        <is>
          <t>PIT</t>
        </is>
      </c>
      <c r="D579" s="9" t="n">
        <v>22</v>
      </c>
      <c r="E579" s="16" t="inlineStr">
        <is>
          <t>L</t>
        </is>
      </c>
      <c r="F579" s="16" t="n"/>
      <c r="G579" s="9" t="n">
        <v>66.05128205128206</v>
      </c>
      <c r="H579" s="9" t="n">
        <v>66.05128205128206</v>
      </c>
      <c r="I579" s="9" t="inlineStr">
        <is>
          <t>Depth (no MLB PA)</t>
        </is>
      </c>
      <c r="J579" s="16" t="inlineStr">
        <is>
          <t>Opening Day</t>
        </is>
      </c>
      <c r="K579" s="11">
        <f>IFERROR(INDEX(Roles!$B$17:$B$20,MATCH(J579,Roles!$A$17:$A$20,0)),1)</f>
        <v/>
      </c>
      <c r="L579" s="17" t="n">
        <v>1</v>
      </c>
      <c r="M579" s="11" t="n">
        <v>1</v>
      </c>
      <c r="N579" s="17" t="n"/>
      <c r="O579" s="17" t="n"/>
      <c r="P579" s="17" t="n"/>
      <c r="Q579" s="17" t="n"/>
      <c r="R579" s="17" t="n"/>
      <c r="S579" s="17" t="n"/>
      <c r="T579" s="17" t="n"/>
      <c r="U579" s="17" t="n"/>
      <c r="V579" s="17" t="n"/>
      <c r="W579" s="17" t="n"/>
      <c r="X579" s="17" t="n"/>
      <c r="Y579" s="17" t="n">
        <v>1</v>
      </c>
      <c r="Z579" s="13">
        <f>SUMPRODUCT(N579:Y579,$N$2:$Y$2)*$K579*$L579*$M579</f>
        <v/>
      </c>
      <c r="AA579" s="14">
        <f>SUM(N579:Y579)</f>
        <v/>
      </c>
      <c r="AB579" s="14">
        <f>IFERROR(IF(UPPER($E579)="L",SUMPRODUCT(N579:Y579,$N$3:$Y$3,$N$2:$Y$2),SUMPRODUCT(N579:Y579,$N$4:$Y$4,$N$2:$Y$2))/(Z579/($K579*$L579*$M579)),"")</f>
        <v/>
      </c>
      <c r="AC579" s="18" t="n"/>
    </row>
    <row r="580">
      <c r="A580" s="9" t="n">
        <v>656811</v>
      </c>
      <c r="B580" s="9" t="inlineStr">
        <is>
          <t>Ryan O'Hearn</t>
        </is>
      </c>
      <c r="C580" s="9" t="inlineStr">
        <is>
          <t>PIT</t>
        </is>
      </c>
      <c r="D580" s="9" t="n">
        <v>33</v>
      </c>
      <c r="E580" s="16" t="inlineStr">
        <is>
          <t>L</t>
        </is>
      </c>
      <c r="F580" s="16" t="inlineStr">
        <is>
          <t>1B</t>
        </is>
      </c>
      <c r="G580" s="9" t="n">
        <v>451</v>
      </c>
      <c r="H580" s="9" t="n">
        <v>2002</v>
      </c>
      <c r="I580" s="9" t="inlineStr">
        <is>
          <t>Strong Side Platoon</t>
        </is>
      </c>
      <c r="J580" s="16" t="inlineStr">
        <is>
          <t>Opening Day</t>
        </is>
      </c>
      <c r="K580" s="11">
        <f>IFERROR(INDEX(Roles!$B$17:$B$20,MATCH(J580,Roles!$A$17:$A$20,0)),1)</f>
        <v/>
      </c>
      <c r="L580" s="17" t="n">
        <v>1</v>
      </c>
      <c r="M580" s="11" t="n">
        <v>1.103444868483037</v>
      </c>
      <c r="N580" s="17" t="n"/>
      <c r="O580" s="17" t="n">
        <v>0.4</v>
      </c>
      <c r="P580" s="17" t="n">
        <v>0.6</v>
      </c>
      <c r="Q580" s="17" t="n"/>
      <c r="R580" s="17" t="n"/>
      <c r="S580" s="17" t="n"/>
      <c r="T580" s="17" t="n"/>
      <c r="U580" s="17" t="n"/>
      <c r="V580" s="17" t="n"/>
      <c r="W580" s="17" t="n"/>
      <c r="X580" s="17" t="n"/>
      <c r="Y580" s="17" t="n"/>
      <c r="Z580" s="13">
        <f>SUMPRODUCT(N580:Y580,$N$2:$Y$2)*$K580*$L580*$M580</f>
        <v/>
      </c>
      <c r="AA580" s="14">
        <f>SUM(N580:Y580)</f>
        <v/>
      </c>
      <c r="AB580" s="14">
        <f>IFERROR(IF(UPPER($E580)="L",SUMPRODUCT(N580:Y580,$N$3:$Y$3,$N$2:$Y$2),SUMPRODUCT(N580:Y580,$N$4:$Y$4,$N$2:$Y$2))/(Z580/($K580*$L580*$M580)),"")</f>
        <v/>
      </c>
      <c r="AC580" s="18" t="n"/>
    </row>
    <row r="581">
      <c r="A581" s="9" t="n">
        <v>803734</v>
      </c>
      <c r="B581" s="9" t="inlineStr">
        <is>
          <t>Hayden Yost</t>
        </is>
      </c>
      <c r="C581" s="9" t="inlineStr">
        <is>
          <t>SEA</t>
        </is>
      </c>
      <c r="D581" s="9" t="n">
        <v>25</v>
      </c>
      <c r="E581" s="16" t="inlineStr">
        <is>
          <t>L</t>
        </is>
      </c>
      <c r="F581" s="16" t="n"/>
      <c r="G581" s="9" t="n">
        <v>13.41538461538462</v>
      </c>
      <c r="H581" s="9" t="n">
        <v>13.41538461538462</v>
      </c>
      <c r="I581" s="9" t="inlineStr">
        <is>
          <t>Depth (no MLB PA)</t>
        </is>
      </c>
      <c r="J581" s="16" t="inlineStr">
        <is>
          <t>Opening Day</t>
        </is>
      </c>
      <c r="K581" s="11">
        <f>IFERROR(INDEX(Roles!$B$17:$B$20,MATCH(J581,Roles!$A$17:$A$20,0)),1)</f>
        <v/>
      </c>
      <c r="L581" s="17" t="n">
        <v>1</v>
      </c>
      <c r="M581" s="11" t="n">
        <v>1</v>
      </c>
      <c r="N581" s="17" t="n"/>
      <c r="O581" s="17" t="n"/>
      <c r="P581" s="17" t="n"/>
      <c r="Q581" s="17" t="n"/>
      <c r="R581" s="17" t="n"/>
      <c r="S581" s="17" t="n"/>
      <c r="T581" s="17" t="n"/>
      <c r="U581" s="17" t="n"/>
      <c r="V581" s="17" t="n"/>
      <c r="W581" s="17" t="n"/>
      <c r="X581" s="17" t="n"/>
      <c r="Y581" s="17" t="n">
        <v>1</v>
      </c>
      <c r="Z581" s="13">
        <f>SUMPRODUCT(N581:Y581,$N$2:$Y$2)*$K581*$L581*$M581</f>
        <v/>
      </c>
      <c r="AA581" s="14">
        <f>SUM(N581:Y581)</f>
        <v/>
      </c>
      <c r="AB581" s="14">
        <f>IFERROR(IF(UPPER($E581)="L",SUMPRODUCT(N581:Y581,$N$3:$Y$3,$N$2:$Y$2),SUMPRODUCT(N581:Y581,$N$4:$Y$4,$N$2:$Y$2))/(Z581/($K581*$L581*$M581)),"")</f>
        <v/>
      </c>
      <c r="AC581" s="18" t="n"/>
    </row>
    <row r="582">
      <c r="A582" s="9" t="n">
        <v>835219</v>
      </c>
      <c r="B582" s="9" t="inlineStr">
        <is>
          <t>Anthony Potestio</t>
        </is>
      </c>
      <c r="C582" s="9" t="inlineStr">
        <is>
          <t>NYY</t>
        </is>
      </c>
      <c r="D582" s="9" t="n">
        <v>25</v>
      </c>
      <c r="E582" s="16" t="inlineStr">
        <is>
          <t>L</t>
        </is>
      </c>
      <c r="F582" s="16" t="n"/>
      <c r="G582" s="9" t="n">
        <v>9.353846153846154</v>
      </c>
      <c r="H582" s="9" t="n">
        <v>9.353846153846154</v>
      </c>
      <c r="I582" s="9" t="inlineStr">
        <is>
          <t>Depth (no MLB PA)</t>
        </is>
      </c>
      <c r="J582" s="16" t="inlineStr">
        <is>
          <t>Opening Day</t>
        </is>
      </c>
      <c r="K582" s="11">
        <f>IFERROR(INDEX(Roles!$B$17:$B$20,MATCH(J582,Roles!$A$17:$A$20,0)),1)</f>
        <v/>
      </c>
      <c r="L582" s="17" t="n">
        <v>1</v>
      </c>
      <c r="M582" s="11" t="n">
        <v>1</v>
      </c>
      <c r="N582" s="17" t="n"/>
      <c r="O582" s="17" t="n"/>
      <c r="P582" s="17" t="n"/>
      <c r="Q582" s="17" t="n"/>
      <c r="R582" s="17" t="n"/>
      <c r="S582" s="17" t="n"/>
      <c r="T582" s="17" t="n"/>
      <c r="U582" s="17" t="n"/>
      <c r="V582" s="17" t="n"/>
      <c r="W582" s="17" t="n"/>
      <c r="X582" s="17" t="n"/>
      <c r="Y582" s="17" t="n">
        <v>1</v>
      </c>
      <c r="Z582" s="13">
        <f>SUMPRODUCT(N582:Y582,$N$2:$Y$2)*$K582*$L582*$M582</f>
        <v/>
      </c>
      <c r="AA582" s="14">
        <f>SUM(N582:Y582)</f>
        <v/>
      </c>
      <c r="AB582" s="14">
        <f>IFERROR(IF(UPPER($E582)="L",SUMPRODUCT(N582:Y582,$N$3:$Y$3,$N$2:$Y$2),SUMPRODUCT(N582:Y582,$N$4:$Y$4,$N$2:$Y$2))/(Z582/($K582*$L582*$M582)),"")</f>
        <v/>
      </c>
      <c r="AC582" s="18" t="n"/>
    </row>
    <row r="583">
      <c r="A583" s="9" t="n">
        <v>701360</v>
      </c>
      <c r="B583" s="9" t="inlineStr">
        <is>
          <t>Chris Arroyo</t>
        </is>
      </c>
      <c r="C583" s="9" t="inlineStr">
        <is>
          <t>MIA</t>
        </is>
      </c>
      <c r="D583" s="9" t="n">
        <v>25</v>
      </c>
      <c r="E583" s="16" t="inlineStr">
        <is>
          <t>L</t>
        </is>
      </c>
      <c r="F583" s="16" t="n"/>
      <c r="G583" s="9" t="n">
        <v>1</v>
      </c>
      <c r="H583" s="9" t="n">
        <v>1</v>
      </c>
      <c r="I583" s="9" t="inlineStr">
        <is>
          <t>Depth (no MLB PA)</t>
        </is>
      </c>
      <c r="J583" s="16" t="inlineStr">
        <is>
          <t>Opening Day</t>
        </is>
      </c>
      <c r="K583" s="11">
        <f>IFERROR(INDEX(Roles!$B$17:$B$20,MATCH(J583,Roles!$A$17:$A$20,0)),1)</f>
        <v/>
      </c>
      <c r="L583" s="17" t="n">
        <v>1</v>
      </c>
      <c r="M583" s="11" t="n">
        <v>1</v>
      </c>
      <c r="N583" s="17" t="n"/>
      <c r="O583" s="17" t="n"/>
      <c r="P583" s="17" t="n"/>
      <c r="Q583" s="17" t="n"/>
      <c r="R583" s="17" t="n"/>
      <c r="S583" s="17" t="n"/>
      <c r="T583" s="17" t="n"/>
      <c r="U583" s="17" t="n"/>
      <c r="V583" s="17" t="n"/>
      <c r="W583" s="17" t="n"/>
      <c r="X583" s="17" t="n"/>
      <c r="Y583" s="17" t="n">
        <v>1</v>
      </c>
      <c r="Z583" s="13">
        <f>SUMPRODUCT(N583:Y583,$N$2:$Y$2)*$K583*$L583*$M583</f>
        <v/>
      </c>
      <c r="AA583" s="14">
        <f>SUM(N583:Y583)</f>
        <v/>
      </c>
      <c r="AB583" s="14">
        <f>IFERROR(IF(UPPER($E583)="L",SUMPRODUCT(N583:Y583,$N$3:$Y$3,$N$2:$Y$2),SUMPRODUCT(N583:Y583,$N$4:$Y$4,$N$2:$Y$2))/(Z583/($K583*$L583*$M583)),"")</f>
        <v/>
      </c>
      <c r="AC583" s="18" t="n"/>
    </row>
    <row r="584">
      <c r="A584" s="9" t="n">
        <v>624513</v>
      </c>
      <c r="B584" s="9" t="inlineStr">
        <is>
          <t>Dom Nuñez</t>
        </is>
      </c>
      <c r="C584" s="9" t="inlineStr">
        <is>
          <t>COL</t>
        </is>
      </c>
      <c r="D584" s="9" t="n">
        <v>32</v>
      </c>
      <c r="E584" s="16" t="inlineStr">
        <is>
          <t>L</t>
        </is>
      </c>
      <c r="F584" s="16" t="inlineStr">
        <is>
          <t>C</t>
        </is>
      </c>
      <c r="G584" s="9" t="n">
        <v>7</v>
      </c>
      <c r="H584" s="9" t="n">
        <v>48</v>
      </c>
      <c r="I584" s="9" t="inlineStr">
        <is>
          <t>Depth (no MLB PA)</t>
        </is>
      </c>
      <c r="J584" s="16" t="inlineStr">
        <is>
          <t>Opening Day</t>
        </is>
      </c>
      <c r="K584" s="11">
        <f>IFERROR(INDEX(Roles!$B$17:$B$20,MATCH(J584,Roles!$A$17:$A$20,0)),1)</f>
        <v/>
      </c>
      <c r="L584" s="17" t="n">
        <v>1</v>
      </c>
      <c r="M584" s="11" t="n">
        <v>1</v>
      </c>
      <c r="N584" s="17" t="n"/>
      <c r="O584" s="17" t="n"/>
      <c r="P584" s="17" t="n"/>
      <c r="Q584" s="17" t="n"/>
      <c r="R584" s="17" t="n"/>
      <c r="S584" s="17" t="n"/>
      <c r="T584" s="17" t="n"/>
      <c r="U584" s="17" t="n"/>
      <c r="V584" s="17" t="n"/>
      <c r="W584" s="17" t="n"/>
      <c r="X584" s="17" t="n"/>
      <c r="Y584" s="17" t="n">
        <v>1</v>
      </c>
      <c r="Z584" s="13">
        <f>SUMPRODUCT(N584:Y584,$N$2:$Y$2)*$K584*$L584*$M584</f>
        <v/>
      </c>
      <c r="AA584" s="14">
        <f>SUM(N584:Y584)</f>
        <v/>
      </c>
      <c r="AB584" s="14">
        <f>IFERROR(IF(UPPER($E584)="L",SUMPRODUCT(N584:Y584,$N$3:$Y$3,$N$2:$Y$2),SUMPRODUCT(N584:Y584,$N$4:$Y$4,$N$2:$Y$2))/(Z584/($K584*$L584*$M584)),"")</f>
        <v/>
      </c>
      <c r="AC584" s="18" t="n"/>
    </row>
    <row r="585">
      <c r="A585" s="9" t="n">
        <v>543063</v>
      </c>
      <c r="B585" s="9" t="inlineStr">
        <is>
          <t>Brandon Crawford</t>
        </is>
      </c>
      <c r="C585" s="9" t="inlineStr">
        <is>
          <t>STL</t>
        </is>
      </c>
      <c r="D585" s="9" t="n">
        <v>40</v>
      </c>
      <c r="E585" s="16" t="inlineStr">
        <is>
          <t>L</t>
        </is>
      </c>
      <c r="F585" s="16" t="inlineStr">
        <is>
          <t>SS</t>
        </is>
      </c>
      <c r="G585" s="9" t="n">
        <v>80</v>
      </c>
      <c r="H585" s="9" t="n">
        <v>858</v>
      </c>
      <c r="I585" s="9" t="inlineStr">
        <is>
          <t>Depth (no MLB PA)</t>
        </is>
      </c>
      <c r="J585" s="16" t="inlineStr">
        <is>
          <t>Opening Day</t>
        </is>
      </c>
      <c r="K585" s="11">
        <f>IFERROR(INDEX(Roles!$B$17:$B$20,MATCH(J585,Roles!$A$17:$A$20,0)),1)</f>
        <v/>
      </c>
      <c r="L585" s="17" t="n">
        <v>1</v>
      </c>
      <c r="M585" s="11" t="n">
        <v>1</v>
      </c>
      <c r="N585" s="17" t="n"/>
      <c r="O585" s="17" t="n"/>
      <c r="P585" s="17" t="n"/>
      <c r="Q585" s="17" t="n"/>
      <c r="R585" s="17" t="n"/>
      <c r="S585" s="17" t="n"/>
      <c r="T585" s="17" t="n"/>
      <c r="U585" s="17" t="n"/>
      <c r="V585" s="17" t="n"/>
      <c r="W585" s="17" t="n"/>
      <c r="X585" s="17" t="n"/>
      <c r="Y585" s="17" t="n">
        <v>1</v>
      </c>
      <c r="Z585" s="13">
        <f>SUMPRODUCT(N585:Y585,$N$2:$Y$2)*$K585*$L585*$M585</f>
        <v/>
      </c>
      <c r="AA585" s="14">
        <f>SUM(N585:Y585)</f>
        <v/>
      </c>
      <c r="AB585" s="14">
        <f>IFERROR(IF(UPPER($E585)="L",SUMPRODUCT(N585:Y585,$N$3:$Y$3,$N$2:$Y$2),SUMPRODUCT(N585:Y585,$N$4:$Y$4,$N$2:$Y$2))/(Z585/($K585*$L585*$M585)),"")</f>
        <v/>
      </c>
      <c r="AC585" s="18" t="n"/>
    </row>
    <row r="586">
      <c r="A586" s="9" t="n">
        <v>668939</v>
      </c>
      <c r="B586" s="9" t="inlineStr">
        <is>
          <t>Adley Rutschman</t>
        </is>
      </c>
      <c r="C586" s="9" t="inlineStr">
        <is>
          <t>BOS</t>
        </is>
      </c>
      <c r="D586" s="9" t="n">
        <v>29</v>
      </c>
      <c r="E586" s="16" t="inlineStr">
        <is>
          <t>S</t>
        </is>
      </c>
      <c r="F586" s="16" t="inlineStr">
        <is>
          <t>C</t>
        </is>
      </c>
      <c r="G586" s="9" t="n">
        <v>410</v>
      </c>
      <c r="H586" s="9" t="n">
        <v>2570</v>
      </c>
      <c r="I586" s="9" t="inlineStr">
        <is>
          <t>Catcher - Primary</t>
        </is>
      </c>
      <c r="J586" s="16" t="inlineStr">
        <is>
          <t>Opening Day</t>
        </is>
      </c>
      <c r="K586" s="11">
        <f>IFERROR(INDEX(Roles!$B$17:$B$20,MATCH(J586,Roles!$A$17:$A$20,0)),1)</f>
        <v/>
      </c>
      <c r="L586" s="17" t="n">
        <v>1</v>
      </c>
      <c r="M586" s="11" t="n">
        <v>0.9679723492294108</v>
      </c>
      <c r="N586" s="17" t="n"/>
      <c r="O586" s="17" t="n"/>
      <c r="P586" s="17" t="n"/>
      <c r="Q586" s="17" t="n"/>
      <c r="R586" s="17" t="n">
        <v>1</v>
      </c>
      <c r="S586" s="17" t="n"/>
      <c r="T586" s="17" t="n"/>
      <c r="U586" s="17" t="n"/>
      <c r="V586" s="17" t="n"/>
      <c r="W586" s="17" t="n"/>
      <c r="X586" s="17" t="n"/>
      <c r="Y586" s="17" t="n"/>
      <c r="Z586" s="13">
        <f>SUMPRODUCT(N586:Y586,$N$2:$Y$2)*$K586*$L586*$M586</f>
        <v/>
      </c>
      <c r="AA586" s="14">
        <f>SUM(N586:Y586)</f>
        <v/>
      </c>
      <c r="AB586" s="14">
        <f>IFERROR(IF(UPPER($E586)="L",SUMPRODUCT(N586:Y586,$N$3:$Y$3,$N$2:$Y$2),SUMPRODUCT(N586:Y586,$N$4:$Y$4,$N$2:$Y$2))/(Z586/($K586*$L586*$M586)),"")</f>
        <v/>
      </c>
      <c r="AC586" s="18" t="n"/>
    </row>
    <row r="587">
      <c r="A587" s="9" t="n">
        <v>828714</v>
      </c>
      <c r="B587" s="9" t="inlineStr">
        <is>
          <t>Daniel Jackson</t>
        </is>
      </c>
      <c r="C587" s="9" t="inlineStr">
        <is>
          <t>COL</t>
        </is>
      </c>
      <c r="D587" s="9" t="n">
        <v>23</v>
      </c>
      <c r="E587" s="16" t="inlineStr">
        <is>
          <t>R</t>
        </is>
      </c>
      <c r="F587" s="16" t="n"/>
      <c r="G587" s="9" t="n">
        <v>11.69230769230769</v>
      </c>
      <c r="H587" s="9" t="n">
        <v>11.69230769230769</v>
      </c>
      <c r="I587" s="9" t="inlineStr">
        <is>
          <t>Depth (no MLB PA)</t>
        </is>
      </c>
      <c r="J587" s="16" t="inlineStr">
        <is>
          <t>Opening Day</t>
        </is>
      </c>
      <c r="K587" s="11">
        <f>IFERROR(INDEX(Roles!$B$17:$B$20,MATCH(J587,Roles!$A$17:$A$20,0)),1)</f>
        <v/>
      </c>
      <c r="L587" s="17" t="n">
        <v>1</v>
      </c>
      <c r="M587" s="11" t="n">
        <v>1</v>
      </c>
      <c r="N587" s="17" t="n"/>
      <c r="O587" s="17" t="n"/>
      <c r="P587" s="17" t="n"/>
      <c r="Q587" s="17" t="n"/>
      <c r="R587" s="17" t="n"/>
      <c r="S587" s="17" t="n"/>
      <c r="T587" s="17" t="n"/>
      <c r="U587" s="17" t="n"/>
      <c r="V587" s="17" t="n"/>
      <c r="W587" s="17" t="n"/>
      <c r="X587" s="17" t="n"/>
      <c r="Y587" s="17" t="n">
        <v>1</v>
      </c>
      <c r="Z587" s="13">
        <f>SUMPRODUCT(N587:Y587,$N$2:$Y$2)*$K587*$L587*$M587</f>
        <v/>
      </c>
      <c r="AA587" s="14">
        <f>SUM(N587:Y587)</f>
        <v/>
      </c>
      <c r="AB587" s="14">
        <f>IFERROR(IF(UPPER($E587)="L",SUMPRODUCT(N587:Y587,$N$3:$Y$3,$N$2:$Y$2),SUMPRODUCT(N587:Y587,$N$4:$Y$4,$N$2:$Y$2))/(Z587/($K587*$L587*$M587)),"")</f>
        <v/>
      </c>
      <c r="AC587" s="18" t="n"/>
    </row>
    <row r="588">
      <c r="A588" s="9" t="n">
        <v>815787</v>
      </c>
      <c r="B588" s="9" t="inlineStr">
        <is>
          <t>Ethan Holliday</t>
        </is>
      </c>
      <c r="C588" s="9" t="inlineStr">
        <is>
          <t>COL</t>
        </is>
      </c>
      <c r="D588" s="9" t="n">
        <v>20</v>
      </c>
      <c r="E588" s="16" t="inlineStr">
        <is>
          <t>L</t>
        </is>
      </c>
      <c r="F588" s="16" t="n"/>
      <c r="G588" s="9" t="n">
        <v>17.84615384615385</v>
      </c>
      <c r="H588" s="9" t="n">
        <v>17.84615384615385</v>
      </c>
      <c r="I588" s="9" t="inlineStr">
        <is>
          <t>Depth (no MLB PA)</t>
        </is>
      </c>
      <c r="J588" s="16" t="inlineStr">
        <is>
          <t>Opening Day</t>
        </is>
      </c>
      <c r="K588" s="11">
        <f>IFERROR(INDEX(Roles!$B$17:$B$20,MATCH(J588,Roles!$A$17:$A$20,0)),1)</f>
        <v/>
      </c>
      <c r="L588" s="17" t="n">
        <v>1</v>
      </c>
      <c r="M588" s="11" t="n">
        <v>1</v>
      </c>
      <c r="N588" s="17" t="n"/>
      <c r="O588" s="17" t="n"/>
      <c r="P588" s="17" t="n"/>
      <c r="Q588" s="17" t="n"/>
      <c r="R588" s="17" t="n"/>
      <c r="S588" s="17" t="n"/>
      <c r="T588" s="17" t="n"/>
      <c r="U588" s="17" t="n"/>
      <c r="V588" s="17" t="n"/>
      <c r="W588" s="17" t="n"/>
      <c r="X588" s="17" t="n"/>
      <c r="Y588" s="17" t="n">
        <v>1</v>
      </c>
      <c r="Z588" s="13">
        <f>SUMPRODUCT(N588:Y588,$N$2:$Y$2)*$K588*$L588*$M588</f>
        <v/>
      </c>
      <c r="AA588" s="14">
        <f>SUM(N588:Y588)</f>
        <v/>
      </c>
      <c r="AB588" s="14">
        <f>IFERROR(IF(UPPER($E588)="L",SUMPRODUCT(N588:Y588,$N$3:$Y$3,$N$2:$Y$2),SUMPRODUCT(N588:Y588,$N$4:$Y$4,$N$2:$Y$2))/(Z588/($K588*$L588*$M588)),"")</f>
        <v/>
      </c>
      <c r="AC588" s="18" t="n"/>
    </row>
    <row r="589">
      <c r="A589" s="9" t="n">
        <v>703449</v>
      </c>
      <c r="B589" s="9" t="inlineStr">
        <is>
          <t>Nathan Hall</t>
        </is>
      </c>
      <c r="C589" s="9" t="inlineStr">
        <is>
          <t>ARI</t>
        </is>
      </c>
      <c r="D589" s="9" t="n">
        <v>25</v>
      </c>
      <c r="E589" s="16" t="inlineStr">
        <is>
          <t>R</t>
        </is>
      </c>
      <c r="F589" s="16" t="n"/>
      <c r="G589" s="9" t="n">
        <v>5.415384615384616</v>
      </c>
      <c r="H589" s="9" t="n">
        <v>5.415384615384616</v>
      </c>
      <c r="I589" s="9" t="inlineStr">
        <is>
          <t>Depth (no MLB PA)</t>
        </is>
      </c>
      <c r="J589" s="16" t="inlineStr">
        <is>
          <t>Opening Day</t>
        </is>
      </c>
      <c r="K589" s="11">
        <f>IFERROR(INDEX(Roles!$B$17:$B$20,MATCH(J589,Roles!$A$17:$A$20,0)),1)</f>
        <v/>
      </c>
      <c r="L589" s="17" t="n">
        <v>1</v>
      </c>
      <c r="M589" s="11" t="n">
        <v>1</v>
      </c>
      <c r="N589" s="17" t="n"/>
      <c r="O589" s="17" t="n"/>
      <c r="P589" s="17" t="n"/>
      <c r="Q589" s="17" t="n"/>
      <c r="R589" s="17" t="n"/>
      <c r="S589" s="17" t="n"/>
      <c r="T589" s="17" t="n"/>
      <c r="U589" s="17" t="n"/>
      <c r="V589" s="17" t="n"/>
      <c r="W589" s="17" t="n"/>
      <c r="X589" s="17" t="n"/>
      <c r="Y589" s="17" t="n">
        <v>1</v>
      </c>
      <c r="Z589" s="13">
        <f>SUMPRODUCT(N589:Y589,$N$2:$Y$2)*$K589*$L589*$M589</f>
        <v/>
      </c>
      <c r="AA589" s="14">
        <f>SUM(N589:Y589)</f>
        <v/>
      </c>
      <c r="AB589" s="14">
        <f>IFERROR(IF(UPPER($E589)="L",SUMPRODUCT(N589:Y589,$N$3:$Y$3,$N$2:$Y$2),SUMPRODUCT(N589:Y589,$N$4:$Y$4,$N$2:$Y$2))/(Z589/($K589*$L589*$M589)),"")</f>
        <v/>
      </c>
      <c r="AC589" s="18" t="n"/>
    </row>
    <row r="590">
      <c r="A590" s="9" t="n">
        <v>691003</v>
      </c>
      <c r="B590" s="9" t="inlineStr">
        <is>
          <t>Tre' Morgan</t>
        </is>
      </c>
      <c r="C590" s="9" t="inlineStr">
        <is>
          <t>TB</t>
        </is>
      </c>
      <c r="D590" s="9" t="n">
        <v>25</v>
      </c>
      <c r="E590" s="16" t="inlineStr">
        <is>
          <t>L</t>
        </is>
      </c>
      <c r="F590" s="16" t="n"/>
      <c r="G590" s="9" t="n">
        <v>131.4358974358975</v>
      </c>
      <c r="H590" s="9" t="n">
        <v>131.4358974358975</v>
      </c>
      <c r="I590" s="9" t="inlineStr">
        <is>
          <t>Depth (no MLB PA)</t>
        </is>
      </c>
      <c r="J590" s="16" t="inlineStr">
        <is>
          <t>Opening Day</t>
        </is>
      </c>
      <c r="K590" s="11">
        <f>IFERROR(INDEX(Roles!$B$17:$B$20,MATCH(J590,Roles!$A$17:$A$20,0)),1)</f>
        <v/>
      </c>
      <c r="L590" s="17" t="n">
        <v>1</v>
      </c>
      <c r="M590" s="11" t="n">
        <v>1</v>
      </c>
      <c r="N590" s="17" t="n"/>
      <c r="O590" s="17" t="n"/>
      <c r="P590" s="17" t="n"/>
      <c r="Q590" s="17" t="n"/>
      <c r="R590" s="17" t="n"/>
      <c r="S590" s="17" t="n"/>
      <c r="T590" s="17" t="n"/>
      <c r="U590" s="17" t="n"/>
      <c r="V590" s="17" t="n"/>
      <c r="W590" s="17" t="n"/>
      <c r="X590" s="17" t="n"/>
      <c r="Y590" s="17" t="n">
        <v>1</v>
      </c>
      <c r="Z590" s="13">
        <f>SUMPRODUCT(N590:Y590,$N$2:$Y$2)*$K590*$L590*$M590</f>
        <v/>
      </c>
      <c r="AA590" s="14">
        <f>SUM(N590:Y590)</f>
        <v/>
      </c>
      <c r="AB590" s="14">
        <f>IFERROR(IF(UPPER($E590)="L",SUMPRODUCT(N590:Y590,$N$3:$Y$3,$N$2:$Y$2),SUMPRODUCT(N590:Y590,$N$4:$Y$4,$N$2:$Y$2))/(Z590/($K590*$L590*$M590)),"")</f>
        <v/>
      </c>
      <c r="AC590" s="18" t="n"/>
    </row>
    <row r="591">
      <c r="A591" s="9" t="n">
        <v>809720</v>
      </c>
      <c r="B591" s="9" t="inlineStr">
        <is>
          <t>Damian Bravo</t>
        </is>
      </c>
      <c r="C591" s="9" t="inlineStr">
        <is>
          <t>SF</t>
        </is>
      </c>
      <c r="D591" s="9" t="n">
        <v>25</v>
      </c>
      <c r="E591" s="16" t="inlineStr">
        <is>
          <t>R</t>
        </is>
      </c>
      <c r="F591" s="16" t="n"/>
      <c r="G591" s="9" t="n">
        <v>15.17948717948718</v>
      </c>
      <c r="H591" s="9" t="n">
        <v>15.17948717948718</v>
      </c>
      <c r="I591" s="9" t="inlineStr">
        <is>
          <t>Depth (no MLB PA)</t>
        </is>
      </c>
      <c r="J591" s="16" t="inlineStr">
        <is>
          <t>Opening Day</t>
        </is>
      </c>
      <c r="K591" s="11">
        <f>IFERROR(INDEX(Roles!$B$17:$B$20,MATCH(J591,Roles!$A$17:$A$20,0)),1)</f>
        <v/>
      </c>
      <c r="L591" s="17" t="n">
        <v>1</v>
      </c>
      <c r="M591" s="11" t="n">
        <v>1</v>
      </c>
      <c r="N591" s="17" t="n"/>
      <c r="O591" s="17" t="n"/>
      <c r="P591" s="17" t="n"/>
      <c r="Q591" s="17" t="n"/>
      <c r="R591" s="17" t="n"/>
      <c r="S591" s="17" t="n"/>
      <c r="T591" s="17" t="n"/>
      <c r="U591" s="17" t="n"/>
      <c r="V591" s="17" t="n"/>
      <c r="W591" s="17" t="n"/>
      <c r="X591" s="17" t="n"/>
      <c r="Y591" s="17" t="n">
        <v>1</v>
      </c>
      <c r="Z591" s="13">
        <f>SUMPRODUCT(N591:Y591,$N$2:$Y$2)*$K591*$L591*$M591</f>
        <v/>
      </c>
      <c r="AA591" s="14">
        <f>SUM(N591:Y591)</f>
        <v/>
      </c>
      <c r="AB591" s="14">
        <f>IFERROR(IF(UPPER($E591)="L",SUMPRODUCT(N591:Y591,$N$3:$Y$3,$N$2:$Y$2),SUMPRODUCT(N591:Y591,$N$4:$Y$4,$N$2:$Y$2))/(Z591/($K591*$L591*$M591)),"")</f>
        <v/>
      </c>
      <c r="AC591" s="18" t="n"/>
    </row>
    <row r="592">
      <c r="A592" s="9" t="n">
        <v>814444</v>
      </c>
      <c r="B592" s="9" t="inlineStr">
        <is>
          <t>Will Turner</t>
        </is>
      </c>
      <c r="C592" s="9" t="inlineStr">
        <is>
          <t>BOS</t>
        </is>
      </c>
      <c r="D592" s="9" t="n">
        <v>25</v>
      </c>
      <c r="E592" s="16" t="inlineStr">
        <is>
          <t>L</t>
        </is>
      </c>
      <c r="F592" s="16" t="n"/>
      <c r="G592" s="9" t="n">
        <v>145.3846153846154</v>
      </c>
      <c r="H592" s="9" t="n">
        <v>145.3846153846154</v>
      </c>
      <c r="I592" s="9" t="inlineStr">
        <is>
          <t>Depth (no MLB PA)</t>
        </is>
      </c>
      <c r="J592" s="16" t="inlineStr">
        <is>
          <t>Opening Day</t>
        </is>
      </c>
      <c r="K592" s="11">
        <f>IFERROR(INDEX(Roles!$B$17:$B$20,MATCH(J592,Roles!$A$17:$A$20,0)),1)</f>
        <v/>
      </c>
      <c r="L592" s="17" t="n">
        <v>1</v>
      </c>
      <c r="M592" s="11" t="n">
        <v>1</v>
      </c>
      <c r="N592" s="17" t="n"/>
      <c r="O592" s="17" t="n"/>
      <c r="P592" s="17" t="n"/>
      <c r="Q592" s="17" t="n"/>
      <c r="R592" s="17" t="n"/>
      <c r="S592" s="17" t="n"/>
      <c r="T592" s="17" t="n"/>
      <c r="U592" s="17" t="n"/>
      <c r="V592" s="17" t="n"/>
      <c r="W592" s="17" t="n"/>
      <c r="X592" s="17" t="n"/>
      <c r="Y592" s="17" t="n">
        <v>1</v>
      </c>
      <c r="Z592" s="13">
        <f>SUMPRODUCT(N592:Y592,$N$2:$Y$2)*$K592*$L592*$M592</f>
        <v/>
      </c>
      <c r="AA592" s="14">
        <f>SUM(N592:Y592)</f>
        <v/>
      </c>
      <c r="AB592" s="14">
        <f>IFERROR(IF(UPPER($E592)="L",SUMPRODUCT(N592:Y592,$N$3:$Y$3,$N$2:$Y$2),SUMPRODUCT(N592:Y592,$N$4:$Y$4,$N$2:$Y$2))/(Z592/($K592*$L592*$M592)),"")</f>
        <v/>
      </c>
      <c r="AC592" s="18" t="n"/>
    </row>
    <row r="593">
      <c r="A593" s="9" t="n">
        <v>667690</v>
      </c>
      <c r="B593" s="9" t="inlineStr">
        <is>
          <t>C.J. Stubbs</t>
        </is>
      </c>
      <c r="C593" s="9" t="inlineStr">
        <is>
          <t>WSH</t>
        </is>
      </c>
      <c r="D593" s="9" t="n">
        <v>30</v>
      </c>
      <c r="E593" s="16" t="inlineStr">
        <is>
          <t>R</t>
        </is>
      </c>
      <c r="F593" s="16" t="inlineStr">
        <is>
          <t>C</t>
        </is>
      </c>
      <c r="G593" s="9" t="n">
        <v>3</v>
      </c>
      <c r="H593" s="9" t="n">
        <v>3</v>
      </c>
      <c r="I593" s="9" t="inlineStr">
        <is>
          <t>Depth (no MLB PA)</t>
        </is>
      </c>
      <c r="J593" s="16" t="inlineStr">
        <is>
          <t>Opening Day</t>
        </is>
      </c>
      <c r="K593" s="11">
        <f>IFERROR(INDEX(Roles!$B$17:$B$20,MATCH(J593,Roles!$A$17:$A$20,0)),1)</f>
        <v/>
      </c>
      <c r="L593" s="17" t="n">
        <v>1</v>
      </c>
      <c r="M593" s="11" t="n">
        <v>1</v>
      </c>
      <c r="N593" s="17" t="n"/>
      <c r="O593" s="17" t="n"/>
      <c r="P593" s="17" t="n"/>
      <c r="Q593" s="17" t="n"/>
      <c r="R593" s="17" t="n"/>
      <c r="S593" s="17" t="n"/>
      <c r="T593" s="17" t="n"/>
      <c r="U593" s="17" t="n"/>
      <c r="V593" s="17" t="n"/>
      <c r="W593" s="17" t="n"/>
      <c r="X593" s="17" t="n"/>
      <c r="Y593" s="17" t="n">
        <v>1</v>
      </c>
      <c r="Z593" s="13">
        <f>SUMPRODUCT(N593:Y593,$N$2:$Y$2)*$K593*$L593*$M593</f>
        <v/>
      </c>
      <c r="AA593" s="14">
        <f>SUM(N593:Y593)</f>
        <v/>
      </c>
      <c r="AB593" s="14">
        <f>IFERROR(IF(UPPER($E593)="L",SUMPRODUCT(N593:Y593,$N$3:$Y$3,$N$2:$Y$2),SUMPRODUCT(N593:Y593,$N$4:$Y$4,$N$2:$Y$2))/(Z593/($K593*$L593*$M593)),"")</f>
        <v/>
      </c>
      <c r="AC593" s="18" t="n"/>
    </row>
    <row r="594">
      <c r="A594" s="9" t="n">
        <v>821107</v>
      </c>
      <c r="B594" s="9" t="inlineStr">
        <is>
          <t>Yairo Padilla</t>
        </is>
      </c>
      <c r="C594" s="9" t="inlineStr">
        <is>
          <t>STL</t>
        </is>
      </c>
      <c r="D594" s="9" t="n">
        <v>20</v>
      </c>
      <c r="E594" s="16" t="inlineStr">
        <is>
          <t>S</t>
        </is>
      </c>
      <c r="F594" s="16" t="n"/>
      <c r="G594" s="9" t="n">
        <v>3.282051282051283</v>
      </c>
      <c r="H594" s="9" t="n">
        <v>3.282051282051283</v>
      </c>
      <c r="I594" s="9" t="inlineStr">
        <is>
          <t>Depth (no MLB PA)</t>
        </is>
      </c>
      <c r="J594" s="16" t="inlineStr">
        <is>
          <t>Opening Day</t>
        </is>
      </c>
      <c r="K594" s="11">
        <f>IFERROR(INDEX(Roles!$B$17:$B$20,MATCH(J594,Roles!$A$17:$A$20,0)),1)</f>
        <v/>
      </c>
      <c r="L594" s="17" t="n">
        <v>1</v>
      </c>
      <c r="M594" s="11" t="n">
        <v>1</v>
      </c>
      <c r="N594" s="17" t="n"/>
      <c r="O594" s="17" t="n"/>
      <c r="P594" s="17" t="n"/>
      <c r="Q594" s="17" t="n"/>
      <c r="R594" s="17" t="n"/>
      <c r="S594" s="17" t="n"/>
      <c r="T594" s="17" t="n"/>
      <c r="U594" s="17" t="n"/>
      <c r="V594" s="17" t="n"/>
      <c r="W594" s="17" t="n"/>
      <c r="X594" s="17" t="n"/>
      <c r="Y594" s="17" t="n">
        <v>1</v>
      </c>
      <c r="Z594" s="13">
        <f>SUMPRODUCT(N594:Y594,$N$2:$Y$2)*$K594*$L594*$M594</f>
        <v/>
      </c>
      <c r="AA594" s="14">
        <f>SUM(N594:Y594)</f>
        <v/>
      </c>
      <c r="AB594" s="14">
        <f>IFERROR(IF(UPPER($E594)="L",SUMPRODUCT(N594:Y594,$N$3:$Y$3,$N$2:$Y$2),SUMPRODUCT(N594:Y594,$N$4:$Y$4,$N$2:$Y$2))/(Z594/($K594*$L594*$M594)),"")</f>
        <v/>
      </c>
      <c r="AC594" s="18" t="n"/>
    </row>
    <row r="595">
      <c r="A595" s="9" t="n">
        <v>665839</v>
      </c>
      <c r="B595" s="9" t="inlineStr">
        <is>
          <t>Enmanuel Valdez</t>
        </is>
      </c>
      <c r="C595" s="9" t="inlineStr">
        <is>
          <t>PIT</t>
        </is>
      </c>
      <c r="D595" s="9" t="n">
        <v>28</v>
      </c>
      <c r="E595" s="16" t="inlineStr">
        <is>
          <t>L</t>
        </is>
      </c>
      <c r="F595" s="16" t="inlineStr">
        <is>
          <t>1B</t>
        </is>
      </c>
      <c r="G595" s="9" t="n">
        <v>102</v>
      </c>
      <c r="H595" s="9" t="n">
        <v>474</v>
      </c>
      <c r="I595" s="9" t="inlineStr">
        <is>
          <t>Bench Bat</t>
        </is>
      </c>
      <c r="J595" s="16" t="inlineStr">
        <is>
          <t>Opening Day</t>
        </is>
      </c>
      <c r="K595" s="11">
        <f>IFERROR(INDEX(Roles!$B$17:$B$20,MATCH(J595,Roles!$A$17:$A$20,0)),1)</f>
        <v/>
      </c>
      <c r="L595" s="17" t="n">
        <v>1</v>
      </c>
      <c r="M595" s="11" t="n">
        <v>1</v>
      </c>
      <c r="N595" s="17" t="n"/>
      <c r="O595" s="17" t="n"/>
      <c r="P595" s="17" t="n"/>
      <c r="Q595" s="17" t="n"/>
      <c r="R595" s="17" t="n"/>
      <c r="S595" s="17" t="n"/>
      <c r="T595" s="17" t="n"/>
      <c r="U595" s="17" t="n"/>
      <c r="V595" s="17" t="n"/>
      <c r="W595" s="17" t="n">
        <v>1</v>
      </c>
      <c r="X595" s="17" t="n"/>
      <c r="Y595" s="17" t="n"/>
      <c r="Z595" s="13">
        <f>SUMPRODUCT(N595:Y595,$N$2:$Y$2)*$K595*$L595*$M595</f>
        <v/>
      </c>
      <c r="AA595" s="14">
        <f>SUM(N595:Y595)</f>
        <v/>
      </c>
      <c r="AB595" s="14">
        <f>IFERROR(IF(UPPER($E595)="L",SUMPRODUCT(N595:Y595,$N$3:$Y$3,$N$2:$Y$2),SUMPRODUCT(N595:Y595,$N$4:$Y$4,$N$2:$Y$2))/(Z595/($K595*$L595*$M595)),"")</f>
        <v/>
      </c>
      <c r="AC595" s="18" t="n"/>
    </row>
    <row r="596">
      <c r="A596" s="9" t="n">
        <v>814385</v>
      </c>
      <c r="B596" s="9" t="inlineStr">
        <is>
          <t>Jack Natili</t>
        </is>
      </c>
      <c r="C596" s="9" t="inlineStr">
        <is>
          <t>COL</t>
        </is>
      </c>
      <c r="D596" s="9" t="n">
        <v>25</v>
      </c>
      <c r="E596" s="16" t="inlineStr">
        <is>
          <t>R</t>
        </is>
      </c>
      <c r="F596" s="16" t="n"/>
      <c r="G596" s="9" t="n">
        <v>7.63076923076923</v>
      </c>
      <c r="H596" s="9" t="n">
        <v>7.63076923076923</v>
      </c>
      <c r="I596" s="9" t="inlineStr">
        <is>
          <t>Depth (no MLB PA)</t>
        </is>
      </c>
      <c r="J596" s="16" t="inlineStr">
        <is>
          <t>Opening Day</t>
        </is>
      </c>
      <c r="K596" s="11">
        <f>IFERROR(INDEX(Roles!$B$17:$B$20,MATCH(J596,Roles!$A$17:$A$20,0)),1)</f>
        <v/>
      </c>
      <c r="L596" s="17" t="n">
        <v>1</v>
      </c>
      <c r="M596" s="11" t="n">
        <v>1</v>
      </c>
      <c r="N596" s="17" t="n"/>
      <c r="O596" s="17" t="n"/>
      <c r="P596" s="17" t="n"/>
      <c r="Q596" s="17" t="n"/>
      <c r="R596" s="17" t="n"/>
      <c r="S596" s="17" t="n"/>
      <c r="T596" s="17" t="n"/>
      <c r="U596" s="17" t="n"/>
      <c r="V596" s="17" t="n"/>
      <c r="W596" s="17" t="n"/>
      <c r="X596" s="17" t="n"/>
      <c r="Y596" s="17" t="n">
        <v>1</v>
      </c>
      <c r="Z596" s="13">
        <f>SUMPRODUCT(N596:Y596,$N$2:$Y$2)*$K596*$L596*$M596</f>
        <v/>
      </c>
      <c r="AA596" s="14">
        <f>SUM(N596:Y596)</f>
        <v/>
      </c>
      <c r="AB596" s="14">
        <f>IFERROR(IF(UPPER($E596)="L",SUMPRODUCT(N596:Y596,$N$3:$Y$3,$N$2:$Y$2),SUMPRODUCT(N596:Y596,$N$4:$Y$4,$N$2:$Y$2))/(Z596/($K596*$L596*$M596)),"")</f>
        <v/>
      </c>
      <c r="AC596" s="18" t="n"/>
    </row>
    <row r="597">
      <c r="A597" s="9" t="n">
        <v>686404</v>
      </c>
      <c r="B597" s="9" t="inlineStr">
        <is>
          <t>Wuilfredo Antunez</t>
        </is>
      </c>
      <c r="C597" s="9" t="inlineStr">
        <is>
          <t>PHI</t>
        </is>
      </c>
      <c r="D597" s="9" t="n">
        <v>25</v>
      </c>
      <c r="E597" s="16" t="inlineStr">
        <is>
          <t>L</t>
        </is>
      </c>
      <c r="F597" s="16" t="n"/>
      <c r="G597" s="9" t="n">
        <v>14.1025641025641</v>
      </c>
      <c r="H597" s="9" t="n">
        <v>14.1025641025641</v>
      </c>
      <c r="I597" s="9" t="inlineStr">
        <is>
          <t>Depth (no MLB PA)</t>
        </is>
      </c>
      <c r="J597" s="16" t="inlineStr">
        <is>
          <t>Opening Day</t>
        </is>
      </c>
      <c r="K597" s="11">
        <f>IFERROR(INDEX(Roles!$B$17:$B$20,MATCH(J597,Roles!$A$17:$A$20,0)),1)</f>
        <v/>
      </c>
      <c r="L597" s="17" t="n">
        <v>1</v>
      </c>
      <c r="M597" s="11" t="n">
        <v>1</v>
      </c>
      <c r="N597" s="17" t="n"/>
      <c r="O597" s="17" t="n"/>
      <c r="P597" s="17" t="n"/>
      <c r="Q597" s="17" t="n"/>
      <c r="R597" s="17" t="n"/>
      <c r="S597" s="17" t="n"/>
      <c r="T597" s="17" t="n"/>
      <c r="U597" s="17" t="n"/>
      <c r="V597" s="17" t="n"/>
      <c r="W597" s="17" t="n"/>
      <c r="X597" s="17" t="n"/>
      <c r="Y597" s="17" t="n">
        <v>1</v>
      </c>
      <c r="Z597" s="13">
        <f>SUMPRODUCT(N597:Y597,$N$2:$Y$2)*$K597*$L597*$M597</f>
        <v/>
      </c>
      <c r="AA597" s="14">
        <f>SUM(N597:Y597)</f>
        <v/>
      </c>
      <c r="AB597" s="14">
        <f>IFERROR(IF(UPPER($E597)="L",SUMPRODUCT(N597:Y597,$N$3:$Y$3,$N$2:$Y$2),SUMPRODUCT(N597:Y597,$N$4:$Y$4,$N$2:$Y$2))/(Z597/($K597*$L597*$M597)),"")</f>
        <v/>
      </c>
      <c r="AC597" s="18" t="n"/>
    </row>
    <row r="598">
      <c r="A598" s="9" t="n">
        <v>806988</v>
      </c>
      <c r="B598" s="9" t="inlineStr">
        <is>
          <t>Welbyn Francisca</t>
        </is>
      </c>
      <c r="C598" s="9" t="inlineStr">
        <is>
          <t>CLE</t>
        </is>
      </c>
      <c r="D598" s="9" t="n">
        <v>21</v>
      </c>
      <c r="E598" s="16" t="inlineStr">
        <is>
          <t>S</t>
        </is>
      </c>
      <c r="F598" s="16" t="n"/>
      <c r="G598" s="9" t="n">
        <v>7.538461538461538</v>
      </c>
      <c r="H598" s="9" t="n">
        <v>7.538461538461538</v>
      </c>
      <c r="I598" s="9" t="inlineStr">
        <is>
          <t>Depth (no MLB PA)</t>
        </is>
      </c>
      <c r="J598" s="16" t="inlineStr">
        <is>
          <t>Opening Day</t>
        </is>
      </c>
      <c r="K598" s="11">
        <f>IFERROR(INDEX(Roles!$B$17:$B$20,MATCH(J598,Roles!$A$17:$A$20,0)),1)</f>
        <v/>
      </c>
      <c r="L598" s="17" t="n">
        <v>1</v>
      </c>
      <c r="M598" s="11" t="n">
        <v>1</v>
      </c>
      <c r="N598" s="17" t="n"/>
      <c r="O598" s="17" t="n"/>
      <c r="P598" s="17" t="n"/>
      <c r="Q598" s="17" t="n"/>
      <c r="R598" s="17" t="n"/>
      <c r="S598" s="17" t="n"/>
      <c r="T598" s="17" t="n"/>
      <c r="U598" s="17" t="n"/>
      <c r="V598" s="17" t="n"/>
      <c r="W598" s="17" t="n"/>
      <c r="X598" s="17" t="n"/>
      <c r="Y598" s="17" t="n">
        <v>1</v>
      </c>
      <c r="Z598" s="13">
        <f>SUMPRODUCT(N598:Y598,$N$2:$Y$2)*$K598*$L598*$M598</f>
        <v/>
      </c>
      <c r="AA598" s="14">
        <f>SUM(N598:Y598)</f>
        <v/>
      </c>
      <c r="AB598" s="14">
        <f>IFERROR(IF(UPPER($E598)="L",SUMPRODUCT(N598:Y598,$N$3:$Y$3,$N$2:$Y$2),SUMPRODUCT(N598:Y598,$N$4:$Y$4,$N$2:$Y$2))/(Z598/($K598*$L598*$M598)),"")</f>
        <v/>
      </c>
      <c r="AC598" s="18" t="n"/>
    </row>
    <row r="599">
      <c r="A599" s="9" t="n">
        <v>800266</v>
      </c>
      <c r="B599" s="9" t="inlineStr">
        <is>
          <t>Yordalin Peña</t>
        </is>
      </c>
      <c r="C599" s="9" t="inlineStr">
        <is>
          <t>STL</t>
        </is>
      </c>
      <c r="D599" s="9" t="n">
        <v>25</v>
      </c>
      <c r="E599" s="16" t="inlineStr">
        <is>
          <t>R</t>
        </is>
      </c>
      <c r="F599" s="16" t="n"/>
      <c r="G599" s="9" t="n">
        <v>15.38461538461538</v>
      </c>
      <c r="H599" s="9" t="n">
        <v>15.38461538461538</v>
      </c>
      <c r="I599" s="9" t="inlineStr">
        <is>
          <t>Depth (no MLB PA)</t>
        </is>
      </c>
      <c r="J599" s="16" t="inlineStr">
        <is>
          <t>Opening Day</t>
        </is>
      </c>
      <c r="K599" s="11">
        <f>IFERROR(INDEX(Roles!$B$17:$B$20,MATCH(J599,Roles!$A$17:$A$20,0)),1)</f>
        <v/>
      </c>
      <c r="L599" s="17" t="n">
        <v>1</v>
      </c>
      <c r="M599" s="11" t="n">
        <v>1</v>
      </c>
      <c r="N599" s="17" t="n"/>
      <c r="O599" s="17" t="n"/>
      <c r="P599" s="17" t="n"/>
      <c r="Q599" s="17" t="n"/>
      <c r="R599" s="17" t="n"/>
      <c r="S599" s="17" t="n"/>
      <c r="T599" s="17" t="n"/>
      <c r="U599" s="17" t="n"/>
      <c r="V599" s="17" t="n"/>
      <c r="W599" s="17" t="n"/>
      <c r="X599" s="17" t="n"/>
      <c r="Y599" s="17" t="n">
        <v>1</v>
      </c>
      <c r="Z599" s="13">
        <f>SUMPRODUCT(N599:Y599,$N$2:$Y$2)*$K599*$L599*$M599</f>
        <v/>
      </c>
      <c r="AA599" s="14">
        <f>SUM(N599:Y599)</f>
        <v/>
      </c>
      <c r="AB599" s="14">
        <f>IFERROR(IF(UPPER($E599)="L",SUMPRODUCT(N599:Y599,$N$3:$Y$3,$N$2:$Y$2),SUMPRODUCT(N599:Y599,$N$4:$Y$4,$N$2:$Y$2))/(Z599/($K599*$L599*$M599)),"")</f>
        <v/>
      </c>
      <c r="AC599" s="18" t="n"/>
    </row>
    <row r="600">
      <c r="A600" s="9" t="n">
        <v>805021</v>
      </c>
      <c r="B600" s="9" t="inlineStr">
        <is>
          <t>Drew Smith</t>
        </is>
      </c>
      <c r="C600" s="9" t="inlineStr">
        <is>
          <t>SF</t>
        </is>
      </c>
      <c r="D600" s="9" t="n">
        <v>25</v>
      </c>
      <c r="E600" s="16" t="inlineStr">
        <is>
          <t>R</t>
        </is>
      </c>
      <c r="F600" s="16" t="n"/>
      <c r="G600" s="9" t="n">
        <v>1.476923076923077</v>
      </c>
      <c r="H600" s="9" t="n">
        <v>1.476923076923077</v>
      </c>
      <c r="I600" s="9" t="inlineStr">
        <is>
          <t>Depth (no MLB PA)</t>
        </is>
      </c>
      <c r="J600" s="16" t="inlineStr">
        <is>
          <t>Opening Day</t>
        </is>
      </c>
      <c r="K600" s="11">
        <f>IFERROR(INDEX(Roles!$B$17:$B$20,MATCH(J600,Roles!$A$17:$A$20,0)),1)</f>
        <v/>
      </c>
      <c r="L600" s="17" t="n">
        <v>1</v>
      </c>
      <c r="M600" s="11" t="n">
        <v>1</v>
      </c>
      <c r="N600" s="17" t="n"/>
      <c r="O600" s="17" t="n"/>
      <c r="P600" s="17" t="n"/>
      <c r="Q600" s="17" t="n"/>
      <c r="R600" s="17" t="n"/>
      <c r="S600" s="17" t="n"/>
      <c r="T600" s="17" t="n"/>
      <c r="U600" s="17" t="n"/>
      <c r="V600" s="17" t="n"/>
      <c r="W600" s="17" t="n"/>
      <c r="X600" s="17" t="n"/>
      <c r="Y600" s="17" t="n">
        <v>1</v>
      </c>
      <c r="Z600" s="13">
        <f>SUMPRODUCT(N600:Y600,$N$2:$Y$2)*$K600*$L600*$M600</f>
        <v/>
      </c>
      <c r="AA600" s="14">
        <f>SUM(N600:Y600)</f>
        <v/>
      </c>
      <c r="AB600" s="14">
        <f>IFERROR(IF(UPPER($E600)="L",SUMPRODUCT(N600:Y600,$N$3:$Y$3,$N$2:$Y$2),SUMPRODUCT(N600:Y600,$N$4:$Y$4,$N$2:$Y$2))/(Z600/($K600*$L600*$M600)),"")</f>
        <v/>
      </c>
      <c r="AC600" s="18" t="n"/>
    </row>
    <row r="601">
      <c r="A601" s="9" t="n">
        <v>701649</v>
      </c>
      <c r="B601" s="9" t="inlineStr">
        <is>
          <t>James Triantos</t>
        </is>
      </c>
      <c r="C601" s="9" t="inlineStr">
        <is>
          <t>CHC</t>
        </is>
      </c>
      <c r="D601" s="9" t="n">
        <v>24</v>
      </c>
      <c r="E601" s="16" t="inlineStr">
        <is>
          <t>R</t>
        </is>
      </c>
      <c r="F601" s="16" t="inlineStr">
        <is>
          <t>2B</t>
        </is>
      </c>
      <c r="G601" s="9" t="n">
        <v>9</v>
      </c>
      <c r="H601" s="9" t="n">
        <v>9</v>
      </c>
      <c r="I601" s="9" t="inlineStr">
        <is>
          <t>Depth (no MLB PA)</t>
        </is>
      </c>
      <c r="J601" s="16" t="inlineStr">
        <is>
          <t>Opening Day</t>
        </is>
      </c>
      <c r="K601" s="11">
        <f>IFERROR(INDEX(Roles!$B$17:$B$20,MATCH(J601,Roles!$A$17:$A$20,0)),1)</f>
        <v/>
      </c>
      <c r="L601" s="17" t="n">
        <v>1</v>
      </c>
      <c r="M601" s="11" t="n">
        <v>1</v>
      </c>
      <c r="N601" s="17" t="n"/>
      <c r="O601" s="17" t="n"/>
      <c r="P601" s="17" t="n"/>
      <c r="Q601" s="17" t="n"/>
      <c r="R601" s="17" t="n"/>
      <c r="S601" s="17" t="n"/>
      <c r="T601" s="17" t="n"/>
      <c r="U601" s="17" t="n"/>
      <c r="V601" s="17" t="n"/>
      <c r="W601" s="17" t="n"/>
      <c r="X601" s="17" t="n"/>
      <c r="Y601" s="17" t="n">
        <v>1</v>
      </c>
      <c r="Z601" s="13">
        <f>SUMPRODUCT(N601:Y601,$N$2:$Y$2)*$K601*$L601*$M601</f>
        <v/>
      </c>
      <c r="AA601" s="14">
        <f>SUM(N601:Y601)</f>
        <v/>
      </c>
      <c r="AB601" s="14">
        <f>IFERROR(IF(UPPER($E601)="L",SUMPRODUCT(N601:Y601,$N$3:$Y$3,$N$2:$Y$2),SUMPRODUCT(N601:Y601,$N$4:$Y$4,$N$2:$Y$2))/(Z601/($K601*$L601*$M601)),"")</f>
        <v/>
      </c>
      <c r="AC601" s="18" t="n"/>
    </row>
    <row r="602">
      <c r="A602" s="9" t="n">
        <v>816085</v>
      </c>
      <c r="B602" s="9" t="inlineStr">
        <is>
          <t>Juan Alvarez</t>
        </is>
      </c>
      <c r="C602" s="9" t="inlineStr">
        <is>
          <t>ARI</t>
        </is>
      </c>
      <c r="D602" s="9" t="n">
        <v>25</v>
      </c>
      <c r="E602" s="16" t="inlineStr">
        <is>
          <t>S</t>
        </is>
      </c>
      <c r="F602" s="16" t="n"/>
      <c r="G602" s="9" t="n">
        <v>1.476923076923077</v>
      </c>
      <c r="H602" s="9" t="n">
        <v>1.476923076923077</v>
      </c>
      <c r="I602" s="9" t="inlineStr">
        <is>
          <t>Depth (no MLB PA)</t>
        </is>
      </c>
      <c r="J602" s="16" t="inlineStr">
        <is>
          <t>Opening Day</t>
        </is>
      </c>
      <c r="K602" s="11">
        <f>IFERROR(INDEX(Roles!$B$17:$B$20,MATCH(J602,Roles!$A$17:$A$20,0)),1)</f>
        <v/>
      </c>
      <c r="L602" s="17" t="n">
        <v>1</v>
      </c>
      <c r="M602" s="11" t="n">
        <v>1</v>
      </c>
      <c r="N602" s="17" t="n"/>
      <c r="O602" s="17" t="n"/>
      <c r="P602" s="17" t="n"/>
      <c r="Q602" s="17" t="n"/>
      <c r="R602" s="17" t="n"/>
      <c r="S602" s="17" t="n"/>
      <c r="T602" s="17" t="n"/>
      <c r="U602" s="17" t="n"/>
      <c r="V602" s="17" t="n"/>
      <c r="W602" s="17" t="n"/>
      <c r="X602" s="17" t="n"/>
      <c r="Y602" s="17" t="n">
        <v>1</v>
      </c>
      <c r="Z602" s="13">
        <f>SUMPRODUCT(N602:Y602,$N$2:$Y$2)*$K602*$L602*$M602</f>
        <v/>
      </c>
      <c r="AA602" s="14">
        <f>SUM(N602:Y602)</f>
        <v/>
      </c>
      <c r="AB602" s="14">
        <f>IFERROR(IF(UPPER($E602)="L",SUMPRODUCT(N602:Y602,$N$3:$Y$3,$N$2:$Y$2),SUMPRODUCT(N602:Y602,$N$4:$Y$4,$N$2:$Y$2))/(Z602/($K602*$L602*$M602)),"")</f>
        <v/>
      </c>
      <c r="AC602" s="18" t="n"/>
    </row>
    <row r="603">
      <c r="A603" s="9" t="n">
        <v>842711</v>
      </c>
      <c r="B603" s="9" t="inlineStr">
        <is>
          <t>Owen Henne</t>
        </is>
      </c>
      <c r="C603" s="9" t="inlineStr">
        <is>
          <t>STL</t>
        </is>
      </c>
      <c r="D603" s="9" t="n">
        <v>25</v>
      </c>
      <c r="E603" s="16" t="inlineStr">
        <is>
          <t>R</t>
        </is>
      </c>
      <c r="F603" s="16" t="n"/>
      <c r="G603" s="9" t="n">
        <v>7.876923076923077</v>
      </c>
      <c r="H603" s="9" t="n">
        <v>7.876923076923077</v>
      </c>
      <c r="I603" s="9" t="inlineStr">
        <is>
          <t>Depth (no MLB PA)</t>
        </is>
      </c>
      <c r="J603" s="16" t="inlineStr">
        <is>
          <t>Opening Day</t>
        </is>
      </c>
      <c r="K603" s="11">
        <f>IFERROR(INDEX(Roles!$B$17:$B$20,MATCH(J603,Roles!$A$17:$A$20,0)),1)</f>
        <v/>
      </c>
      <c r="L603" s="17" t="n">
        <v>1</v>
      </c>
      <c r="M603" s="11" t="n">
        <v>1</v>
      </c>
      <c r="N603" s="17" t="n"/>
      <c r="O603" s="17" t="n"/>
      <c r="P603" s="17" t="n"/>
      <c r="Q603" s="17" t="n"/>
      <c r="R603" s="17" t="n"/>
      <c r="S603" s="17" t="n"/>
      <c r="T603" s="17" t="n"/>
      <c r="U603" s="17" t="n"/>
      <c r="V603" s="17" t="n"/>
      <c r="W603" s="17" t="n"/>
      <c r="X603" s="17" t="n"/>
      <c r="Y603" s="17" t="n">
        <v>1</v>
      </c>
      <c r="Z603" s="13">
        <f>SUMPRODUCT(N603:Y603,$N$2:$Y$2)*$K603*$L603*$M603</f>
        <v/>
      </c>
      <c r="AA603" s="14">
        <f>SUM(N603:Y603)</f>
        <v/>
      </c>
      <c r="AB603" s="14">
        <f>IFERROR(IF(UPPER($E603)="L",SUMPRODUCT(N603:Y603,$N$3:$Y$3,$N$2:$Y$2),SUMPRODUCT(N603:Y603,$N$4:$Y$4,$N$2:$Y$2))/(Z603/($K603*$L603*$M603)),"")</f>
        <v/>
      </c>
      <c r="AC603" s="18" t="n"/>
    </row>
    <row r="604">
      <c r="A604" s="9" t="n">
        <v>822487</v>
      </c>
      <c r="B604" s="9" t="inlineStr">
        <is>
          <t>Zach MacDonald</t>
        </is>
      </c>
      <c r="C604" s="9" t="inlineStr">
        <is>
          <t>DET</t>
        </is>
      </c>
      <c r="D604" s="9" t="n">
        <v>25</v>
      </c>
      <c r="E604" s="16" t="inlineStr">
        <is>
          <t>R</t>
        </is>
      </c>
      <c r="F604" s="16" t="n"/>
      <c r="G604" s="9" t="n">
        <v>3.487179487179488</v>
      </c>
      <c r="H604" s="9" t="n">
        <v>3.487179487179488</v>
      </c>
      <c r="I604" s="9" t="inlineStr">
        <is>
          <t>Depth (no MLB PA)</t>
        </is>
      </c>
      <c r="J604" s="16" t="inlineStr">
        <is>
          <t>Opening Day</t>
        </is>
      </c>
      <c r="K604" s="11">
        <f>IFERROR(INDEX(Roles!$B$17:$B$20,MATCH(J604,Roles!$A$17:$A$20,0)),1)</f>
        <v/>
      </c>
      <c r="L604" s="17" t="n">
        <v>1</v>
      </c>
      <c r="M604" s="11" t="n">
        <v>1</v>
      </c>
      <c r="N604" s="17" t="n"/>
      <c r="O604" s="17" t="n"/>
      <c r="P604" s="17" t="n"/>
      <c r="Q604" s="17" t="n"/>
      <c r="R604" s="17" t="n"/>
      <c r="S604" s="17" t="n"/>
      <c r="T604" s="17" t="n"/>
      <c r="U604" s="17" t="n"/>
      <c r="V604" s="17" t="n"/>
      <c r="W604" s="17" t="n"/>
      <c r="X604" s="17" t="n"/>
      <c r="Y604" s="17" t="n">
        <v>1</v>
      </c>
      <c r="Z604" s="13">
        <f>SUMPRODUCT(N604:Y604,$N$2:$Y$2)*$K604*$L604*$M604</f>
        <v/>
      </c>
      <c r="AA604" s="14">
        <f>SUM(N604:Y604)</f>
        <v/>
      </c>
      <c r="AB604" s="14">
        <f>IFERROR(IF(UPPER($E604)="L",SUMPRODUCT(N604:Y604,$N$3:$Y$3,$N$2:$Y$2),SUMPRODUCT(N604:Y604,$N$4:$Y$4,$N$2:$Y$2))/(Z604/($K604*$L604*$M604)),"")</f>
        <v/>
      </c>
      <c r="AC604" s="18" t="n"/>
    </row>
    <row r="605">
      <c r="A605" s="9" t="n">
        <v>663624</v>
      </c>
      <c r="B605" s="9" t="inlineStr">
        <is>
          <t>Ryan Mountcastle</t>
        </is>
      </c>
      <c r="C605" s="9" t="inlineStr">
        <is>
          <t>BAL</t>
        </is>
      </c>
      <c r="D605" s="9" t="n">
        <v>30</v>
      </c>
      <c r="E605" s="16" t="inlineStr">
        <is>
          <t>R</t>
        </is>
      </c>
      <c r="F605" s="16" t="inlineStr">
        <is>
          <t>1B</t>
        </is>
      </c>
      <c r="G605" s="9" t="n">
        <v>15</v>
      </c>
      <c r="H605" s="9" t="n">
        <v>1958</v>
      </c>
      <c r="I605" s="9" t="inlineStr">
        <is>
          <t>Full Time</t>
        </is>
      </c>
      <c r="J605" s="16" t="inlineStr">
        <is>
          <t>Opening Day</t>
        </is>
      </c>
      <c r="K605" s="11">
        <f>IFERROR(INDEX(Roles!$B$17:$B$20,MATCH(J605,Roles!$A$17:$A$20,0)),1)</f>
        <v/>
      </c>
      <c r="L605" s="17" t="n">
        <v>1</v>
      </c>
      <c r="M605" s="11" t="n">
        <v>0.6389185628881817</v>
      </c>
      <c r="N605" s="17" t="n">
        <v>1</v>
      </c>
      <c r="O605" s="17" t="n"/>
      <c r="P605" s="17" t="n"/>
      <c r="Q605" s="17" t="n"/>
      <c r="R605" s="17" t="n"/>
      <c r="S605" s="17" t="n"/>
      <c r="T605" s="17" t="n"/>
      <c r="U605" s="17" t="n"/>
      <c r="V605" s="17" t="n"/>
      <c r="W605" s="17" t="n"/>
      <c r="X605" s="17" t="n"/>
      <c r="Y605" s="17" t="n"/>
      <c r="Z605" s="13">
        <f>SUMPRODUCT(N605:Y605,$N$2:$Y$2)*$K605*$L605*$M605</f>
        <v/>
      </c>
      <c r="AA605" s="14">
        <f>SUM(N605:Y605)</f>
        <v/>
      </c>
      <c r="AB605" s="14">
        <f>IFERROR(IF(UPPER($E605)="L",SUMPRODUCT(N605:Y605,$N$3:$Y$3,$N$2:$Y$2),SUMPRODUCT(N605:Y605,$N$4:$Y$4,$N$2:$Y$2))/(Z605/($K605*$L605*$M605)),"")</f>
        <v/>
      </c>
      <c r="AC605" s="18" t="n"/>
    </row>
    <row r="606">
      <c r="A606" s="9" t="n">
        <v>683490</v>
      </c>
      <c r="B606" s="9" t="inlineStr">
        <is>
          <t>J.J. D'Orazio</t>
        </is>
      </c>
      <c r="C606" s="9" t="inlineStr">
        <is>
          <t>LAA</t>
        </is>
      </c>
      <c r="D606" s="9" t="n">
        <v>25</v>
      </c>
      <c r="E606" s="16" t="inlineStr">
        <is>
          <t>R</t>
        </is>
      </c>
      <c r="F606" s="16" t="n"/>
      <c r="G606" s="9" t="n">
        <v>57.43589743589744</v>
      </c>
      <c r="H606" s="9" t="n">
        <v>57.43589743589744</v>
      </c>
      <c r="I606" s="9" t="inlineStr">
        <is>
          <t>Depth (no MLB PA)</t>
        </is>
      </c>
      <c r="J606" s="16" t="inlineStr">
        <is>
          <t>Opening Day</t>
        </is>
      </c>
      <c r="K606" s="11">
        <f>IFERROR(INDEX(Roles!$B$17:$B$20,MATCH(J606,Roles!$A$17:$A$20,0)),1)</f>
        <v/>
      </c>
      <c r="L606" s="17" t="n">
        <v>1</v>
      </c>
      <c r="M606" s="11" t="n">
        <v>1</v>
      </c>
      <c r="N606" s="17" t="n"/>
      <c r="O606" s="17" t="n"/>
      <c r="P606" s="17" t="n"/>
      <c r="Q606" s="17" t="n"/>
      <c r="R606" s="17" t="n"/>
      <c r="S606" s="17" t="n"/>
      <c r="T606" s="17" t="n"/>
      <c r="U606" s="17" t="n"/>
      <c r="V606" s="17" t="n"/>
      <c r="W606" s="17" t="n"/>
      <c r="X606" s="17" t="n"/>
      <c r="Y606" s="17" t="n">
        <v>1</v>
      </c>
      <c r="Z606" s="13">
        <f>SUMPRODUCT(N606:Y606,$N$2:$Y$2)*$K606*$L606*$M606</f>
        <v/>
      </c>
      <c r="AA606" s="14">
        <f>SUM(N606:Y606)</f>
        <v/>
      </c>
      <c r="AB606" s="14">
        <f>IFERROR(IF(UPPER($E606)="L",SUMPRODUCT(N606:Y606,$N$3:$Y$3,$N$2:$Y$2),SUMPRODUCT(N606:Y606,$N$4:$Y$4,$N$2:$Y$2))/(Z606/($K606*$L606*$M606)),"")</f>
        <v/>
      </c>
      <c r="AC606" s="18" t="n"/>
    </row>
    <row r="607">
      <c r="A607" s="9" t="n">
        <v>689425</v>
      </c>
      <c r="B607" s="9" t="inlineStr">
        <is>
          <t>Charlie Muniz</t>
        </is>
      </c>
      <c r="C607" s="9" t="inlineStr">
        <is>
          <t>SF</t>
        </is>
      </c>
      <c r="D607" s="9" t="n">
        <v>25</v>
      </c>
      <c r="E607" s="16" t="inlineStr">
        <is>
          <t>R</t>
        </is>
      </c>
      <c r="F607" s="16" t="n"/>
      <c r="G607" s="9" t="n">
        <v>3.487179487179488</v>
      </c>
      <c r="H607" s="9" t="n">
        <v>3.487179487179488</v>
      </c>
      <c r="I607" s="9" t="inlineStr">
        <is>
          <t>Depth (no MLB PA)</t>
        </is>
      </c>
      <c r="J607" s="16" t="inlineStr">
        <is>
          <t>Opening Day</t>
        </is>
      </c>
      <c r="K607" s="11">
        <f>IFERROR(INDEX(Roles!$B$17:$B$20,MATCH(J607,Roles!$A$17:$A$20,0)),1)</f>
        <v/>
      </c>
      <c r="L607" s="17" t="n">
        <v>1</v>
      </c>
      <c r="M607" s="11" t="n">
        <v>1</v>
      </c>
      <c r="N607" s="17" t="n"/>
      <c r="O607" s="17" t="n"/>
      <c r="P607" s="17" t="n"/>
      <c r="Q607" s="17" t="n"/>
      <c r="R607" s="17" t="n"/>
      <c r="S607" s="17" t="n"/>
      <c r="T607" s="17" t="n"/>
      <c r="U607" s="17" t="n"/>
      <c r="V607" s="17" t="n"/>
      <c r="W607" s="17" t="n"/>
      <c r="X607" s="17" t="n"/>
      <c r="Y607" s="17" t="n">
        <v>1</v>
      </c>
      <c r="Z607" s="13">
        <f>SUMPRODUCT(N607:Y607,$N$2:$Y$2)*$K607*$L607*$M607</f>
        <v/>
      </c>
      <c r="AA607" s="14">
        <f>SUM(N607:Y607)</f>
        <v/>
      </c>
      <c r="AB607" s="14">
        <f>IFERROR(IF(UPPER($E607)="L",SUMPRODUCT(N607:Y607,$N$3:$Y$3,$N$2:$Y$2),SUMPRODUCT(N607:Y607,$N$4:$Y$4,$N$2:$Y$2))/(Z607/($K607*$L607*$M607)),"")</f>
        <v/>
      </c>
      <c r="AC607" s="18" t="n"/>
    </row>
    <row r="608">
      <c r="A608" s="9" t="n">
        <v>800463</v>
      </c>
      <c r="B608" s="9" t="inlineStr">
        <is>
          <t>Jean Joseph</t>
        </is>
      </c>
      <c r="C608" s="9" t="inlineStr">
        <is>
          <t>TOR</t>
        </is>
      </c>
      <c r="D608" s="9" t="n">
        <v>25</v>
      </c>
      <c r="E608" s="16" t="inlineStr">
        <is>
          <t>R</t>
        </is>
      </c>
      <c r="F608" s="16" t="n"/>
      <c r="G608" s="9" t="n">
        <v>15.7948717948718</v>
      </c>
      <c r="H608" s="9" t="n">
        <v>15.7948717948718</v>
      </c>
      <c r="I608" s="9" t="inlineStr">
        <is>
          <t>Depth (no MLB PA)</t>
        </is>
      </c>
      <c r="J608" s="16" t="inlineStr">
        <is>
          <t>Opening Day</t>
        </is>
      </c>
      <c r="K608" s="11">
        <f>IFERROR(INDEX(Roles!$B$17:$B$20,MATCH(J608,Roles!$A$17:$A$20,0)),1)</f>
        <v/>
      </c>
      <c r="L608" s="17" t="n">
        <v>1</v>
      </c>
      <c r="M608" s="11" t="n">
        <v>1</v>
      </c>
      <c r="N608" s="17" t="n"/>
      <c r="O608" s="17" t="n"/>
      <c r="P608" s="17" t="n"/>
      <c r="Q608" s="17" t="n"/>
      <c r="R608" s="17" t="n"/>
      <c r="S608" s="17" t="n"/>
      <c r="T608" s="17" t="n"/>
      <c r="U608" s="17" t="n"/>
      <c r="V608" s="17" t="n"/>
      <c r="W608" s="17" t="n"/>
      <c r="X608" s="17" t="n"/>
      <c r="Y608" s="17" t="n">
        <v>1</v>
      </c>
      <c r="Z608" s="13">
        <f>SUMPRODUCT(N608:Y608,$N$2:$Y$2)*$K608*$L608*$M608</f>
        <v/>
      </c>
      <c r="AA608" s="14">
        <f>SUM(N608:Y608)</f>
        <v/>
      </c>
      <c r="AB608" s="14">
        <f>IFERROR(IF(UPPER($E608)="L",SUMPRODUCT(N608:Y608,$N$3:$Y$3,$N$2:$Y$2),SUMPRODUCT(N608:Y608,$N$4:$Y$4,$N$2:$Y$2))/(Z608/($K608*$L608*$M608)),"")</f>
        <v/>
      </c>
      <c r="AC608" s="18" t="n"/>
    </row>
    <row r="609">
      <c r="A609" s="9" t="n">
        <v>821507</v>
      </c>
      <c r="B609" s="9" t="inlineStr">
        <is>
          <t>Tre Broussard</t>
        </is>
      </c>
      <c r="C609" s="9" t="inlineStr">
        <is>
          <t>CLE</t>
        </is>
      </c>
      <c r="D609" s="9" t="n">
        <v>22</v>
      </c>
      <c r="E609" s="16" t="inlineStr">
        <is>
          <t>L</t>
        </is>
      </c>
      <c r="F609" s="16" t="n"/>
      <c r="G609" s="9" t="n">
        <v>1.6</v>
      </c>
      <c r="H609" s="9" t="n">
        <v>1.6</v>
      </c>
      <c r="I609" s="9" t="inlineStr">
        <is>
          <t>Depth (no MLB PA)</t>
        </is>
      </c>
      <c r="J609" s="16" t="inlineStr">
        <is>
          <t>Opening Day</t>
        </is>
      </c>
      <c r="K609" s="11">
        <f>IFERROR(INDEX(Roles!$B$17:$B$20,MATCH(J609,Roles!$A$17:$A$20,0)),1)</f>
        <v/>
      </c>
      <c r="L609" s="17" t="n">
        <v>1</v>
      </c>
      <c r="M609" s="11" t="n">
        <v>1</v>
      </c>
      <c r="N609" s="17" t="n"/>
      <c r="O609" s="17" t="n"/>
      <c r="P609" s="17" t="n"/>
      <c r="Q609" s="17" t="n"/>
      <c r="R609" s="17" t="n"/>
      <c r="S609" s="17" t="n"/>
      <c r="T609" s="17" t="n"/>
      <c r="U609" s="17" t="n"/>
      <c r="V609" s="17" t="n"/>
      <c r="W609" s="17" t="n"/>
      <c r="X609" s="17" t="n"/>
      <c r="Y609" s="17" t="n">
        <v>1</v>
      </c>
      <c r="Z609" s="13">
        <f>SUMPRODUCT(N609:Y609,$N$2:$Y$2)*$K609*$L609*$M609</f>
        <v/>
      </c>
      <c r="AA609" s="14">
        <f>SUM(N609:Y609)</f>
        <v/>
      </c>
      <c r="AB609" s="14">
        <f>IFERROR(IF(UPPER($E609)="L",SUMPRODUCT(N609:Y609,$N$3:$Y$3,$N$2:$Y$2),SUMPRODUCT(N609:Y609,$N$4:$Y$4,$N$2:$Y$2))/(Z609/($K609*$L609*$M609)),"")</f>
        <v/>
      </c>
      <c r="AC609" s="18" t="n"/>
    </row>
    <row r="610">
      <c r="A610" s="9" t="n">
        <v>701136</v>
      </c>
      <c r="B610" s="9" t="inlineStr">
        <is>
          <t>Kerrington Cross</t>
        </is>
      </c>
      <c r="C610" s="9" t="inlineStr">
        <is>
          <t>SD</t>
        </is>
      </c>
      <c r="D610" s="9" t="n">
        <v>25</v>
      </c>
      <c r="E610" s="16" t="inlineStr">
        <is>
          <t>R</t>
        </is>
      </c>
      <c r="F610" s="16" t="n"/>
      <c r="G610" s="9" t="n">
        <v>7.897435897435898</v>
      </c>
      <c r="H610" s="9" t="n">
        <v>7.897435897435898</v>
      </c>
      <c r="I610" s="9" t="inlineStr">
        <is>
          <t>Depth (no MLB PA)</t>
        </is>
      </c>
      <c r="J610" s="16" t="inlineStr">
        <is>
          <t>Opening Day</t>
        </is>
      </c>
      <c r="K610" s="11">
        <f>IFERROR(INDEX(Roles!$B$17:$B$20,MATCH(J610,Roles!$A$17:$A$20,0)),1)</f>
        <v/>
      </c>
      <c r="L610" s="17" t="n">
        <v>1</v>
      </c>
      <c r="M610" s="11" t="n">
        <v>1</v>
      </c>
      <c r="N610" s="17" t="n"/>
      <c r="O610" s="17" t="n"/>
      <c r="P610" s="17" t="n"/>
      <c r="Q610" s="17" t="n"/>
      <c r="R610" s="17" t="n"/>
      <c r="S610" s="17" t="n"/>
      <c r="T610" s="17" t="n"/>
      <c r="U610" s="17" t="n"/>
      <c r="V610" s="17" t="n"/>
      <c r="W610" s="17" t="n"/>
      <c r="X610" s="17" t="n"/>
      <c r="Y610" s="17" t="n">
        <v>1</v>
      </c>
      <c r="Z610" s="13">
        <f>SUMPRODUCT(N610:Y610,$N$2:$Y$2)*$K610*$L610*$M610</f>
        <v/>
      </c>
      <c r="AA610" s="14">
        <f>SUM(N610:Y610)</f>
        <v/>
      </c>
      <c r="AB610" s="14">
        <f>IFERROR(IF(UPPER($E610)="L",SUMPRODUCT(N610:Y610,$N$3:$Y$3,$N$2:$Y$2),SUMPRODUCT(N610:Y610,$N$4:$Y$4,$N$2:$Y$2))/(Z610/($K610*$L610*$M610)),"")</f>
        <v/>
      </c>
      <c r="AC610" s="18" t="n"/>
    </row>
    <row r="611">
      <c r="A611" s="9" t="n">
        <v>656024</v>
      </c>
      <c r="B611" s="9" t="inlineStr">
        <is>
          <t>Carlos Pérez</t>
        </is>
      </c>
      <c r="C611" s="9" t="inlineStr">
        <is>
          <t>CWS</t>
        </is>
      </c>
      <c r="D611" s="9" t="n">
        <v>30</v>
      </c>
      <c r="E611" s="16" t="inlineStr">
        <is>
          <t>R</t>
        </is>
      </c>
      <c r="F611" s="16" t="inlineStr">
        <is>
          <t>C</t>
        </is>
      </c>
      <c r="G611" s="9" t="n">
        <v>53</v>
      </c>
      <c r="H611" s="9" t="n">
        <v>71</v>
      </c>
      <c r="I611" s="9" t="inlineStr">
        <is>
          <t>Depth (no MLB PA)</t>
        </is>
      </c>
      <c r="J611" s="16" t="inlineStr">
        <is>
          <t>Opening Day</t>
        </is>
      </c>
      <c r="K611" s="11">
        <f>IFERROR(INDEX(Roles!$B$17:$B$20,MATCH(J611,Roles!$A$17:$A$20,0)),1)</f>
        <v/>
      </c>
      <c r="L611" s="17" t="n">
        <v>1</v>
      </c>
      <c r="M611" s="11" t="n">
        <v>1</v>
      </c>
      <c r="N611" s="17" t="n"/>
      <c r="O611" s="17" t="n"/>
      <c r="P611" s="17" t="n"/>
      <c r="Q611" s="17" t="n"/>
      <c r="R611" s="17" t="n"/>
      <c r="S611" s="17" t="n"/>
      <c r="T611" s="17" t="n"/>
      <c r="U611" s="17" t="n"/>
      <c r="V611" s="17" t="n"/>
      <c r="W611" s="17" t="n"/>
      <c r="X611" s="17" t="n"/>
      <c r="Y611" s="17" t="n">
        <v>1</v>
      </c>
      <c r="Z611" s="13">
        <f>SUMPRODUCT(N611:Y611,$N$2:$Y$2)*$K611*$L611*$M611</f>
        <v/>
      </c>
      <c r="AA611" s="14">
        <f>SUM(N611:Y611)</f>
        <v/>
      </c>
      <c r="AB611" s="14">
        <f>IFERROR(IF(UPPER($E611)="L",SUMPRODUCT(N611:Y611,$N$3:$Y$3,$N$2:$Y$2),SUMPRODUCT(N611:Y611,$N$4:$Y$4,$N$2:$Y$2))/(Z611/($K611*$L611*$M611)),"")</f>
        <v/>
      </c>
      <c r="AC611" s="18" t="n"/>
    </row>
    <row r="612">
      <c r="A612" s="9" t="n">
        <v>800424</v>
      </c>
      <c r="B612" s="9" t="inlineStr">
        <is>
          <t>Oswaldo Osorio</t>
        </is>
      </c>
      <c r="C612" s="9" t="inlineStr">
        <is>
          <t>LAD</t>
        </is>
      </c>
      <c r="D612" s="9" t="n">
        <v>25</v>
      </c>
      <c r="E612" s="16" t="inlineStr">
        <is>
          <t>L</t>
        </is>
      </c>
      <c r="F612" s="16" t="n"/>
      <c r="G612" s="9" t="n">
        <v>26.83076923076923</v>
      </c>
      <c r="H612" s="9" t="n">
        <v>26.83076923076923</v>
      </c>
      <c r="I612" s="9" t="inlineStr">
        <is>
          <t>Depth (no MLB PA)</t>
        </is>
      </c>
      <c r="J612" s="16" t="inlineStr">
        <is>
          <t>Opening Day</t>
        </is>
      </c>
      <c r="K612" s="11">
        <f>IFERROR(INDEX(Roles!$B$17:$B$20,MATCH(J612,Roles!$A$17:$A$20,0)),1)</f>
        <v/>
      </c>
      <c r="L612" s="17" t="n">
        <v>1</v>
      </c>
      <c r="M612" s="11" t="n">
        <v>1</v>
      </c>
      <c r="N612" s="17" t="n"/>
      <c r="O612" s="17" t="n"/>
      <c r="P612" s="17" t="n"/>
      <c r="Q612" s="17" t="n"/>
      <c r="R612" s="17" t="n"/>
      <c r="S612" s="17" t="n"/>
      <c r="T612" s="17" t="n"/>
      <c r="U612" s="17" t="n"/>
      <c r="V612" s="17" t="n"/>
      <c r="W612" s="17" t="n"/>
      <c r="X612" s="17" t="n"/>
      <c r="Y612" s="17" t="n">
        <v>1</v>
      </c>
      <c r="Z612" s="13">
        <f>SUMPRODUCT(N612:Y612,$N$2:$Y$2)*$K612*$L612*$M612</f>
        <v/>
      </c>
      <c r="AA612" s="14">
        <f>SUM(N612:Y612)</f>
        <v/>
      </c>
      <c r="AB612" s="14">
        <f>IFERROR(IF(UPPER($E612)="L",SUMPRODUCT(N612:Y612,$N$3:$Y$3,$N$2:$Y$2),SUMPRODUCT(N612:Y612,$N$4:$Y$4,$N$2:$Y$2))/(Z612/($K612*$L612*$M612)),"")</f>
        <v/>
      </c>
      <c r="AC612" s="18" t="n"/>
    </row>
    <row r="613">
      <c r="A613" s="9" t="n">
        <v>829823</v>
      </c>
      <c r="B613" s="9" t="inlineStr">
        <is>
          <t>Juan Tomas</t>
        </is>
      </c>
      <c r="C613" s="9" t="inlineStr">
        <is>
          <t>CHC</t>
        </is>
      </c>
      <c r="D613" s="9" t="n">
        <v>25</v>
      </c>
      <c r="E613" s="16" t="inlineStr">
        <is>
          <t>S</t>
        </is>
      </c>
      <c r="F613" s="16" t="n"/>
      <c r="G613" s="9" t="n">
        <v>1.723076923076923</v>
      </c>
      <c r="H613" s="9" t="n">
        <v>1.723076923076923</v>
      </c>
      <c r="I613" s="9" t="inlineStr">
        <is>
          <t>Depth (no MLB PA)</t>
        </is>
      </c>
      <c r="J613" s="16" t="inlineStr">
        <is>
          <t>Opening Day</t>
        </is>
      </c>
      <c r="K613" s="11">
        <f>IFERROR(INDEX(Roles!$B$17:$B$20,MATCH(J613,Roles!$A$17:$A$20,0)),1)</f>
        <v/>
      </c>
      <c r="L613" s="17" t="n">
        <v>1</v>
      </c>
      <c r="M613" s="11" t="n">
        <v>1</v>
      </c>
      <c r="N613" s="17" t="n"/>
      <c r="O613" s="17" t="n"/>
      <c r="P613" s="17" t="n"/>
      <c r="Q613" s="17" t="n"/>
      <c r="R613" s="17" t="n"/>
      <c r="S613" s="17" t="n"/>
      <c r="T613" s="17" t="n"/>
      <c r="U613" s="17" t="n"/>
      <c r="V613" s="17" t="n"/>
      <c r="W613" s="17" t="n"/>
      <c r="X613" s="17" t="n"/>
      <c r="Y613" s="17" t="n">
        <v>1</v>
      </c>
      <c r="Z613" s="13">
        <f>SUMPRODUCT(N613:Y613,$N$2:$Y$2)*$K613*$L613*$M613</f>
        <v/>
      </c>
      <c r="AA613" s="14">
        <f>SUM(N613:Y613)</f>
        <v/>
      </c>
      <c r="AB613" s="14">
        <f>IFERROR(IF(UPPER($E613)="L",SUMPRODUCT(N613:Y613,$N$3:$Y$3,$N$2:$Y$2),SUMPRODUCT(N613:Y613,$N$4:$Y$4,$N$2:$Y$2))/(Z613/($K613*$L613*$M613)),"")</f>
        <v/>
      </c>
      <c r="AC613" s="18" t="n"/>
    </row>
    <row r="614">
      <c r="A614" s="9" t="n">
        <v>808083</v>
      </c>
      <c r="B614" s="9" t="inlineStr">
        <is>
          <t>Kelvin Alcantara</t>
        </is>
      </c>
      <c r="C614" s="9" t="inlineStr">
        <is>
          <t>SEA</t>
        </is>
      </c>
      <c r="D614" s="9" t="n">
        <v>25</v>
      </c>
      <c r="E614" s="16" t="inlineStr">
        <is>
          <t>L</t>
        </is>
      </c>
      <c r="F614" s="16" t="n"/>
      <c r="G614" s="9" t="n">
        <v>1.846153846153846</v>
      </c>
      <c r="H614" s="9" t="n">
        <v>1.846153846153846</v>
      </c>
      <c r="I614" s="9" t="inlineStr">
        <is>
          <t>Depth (no MLB PA)</t>
        </is>
      </c>
      <c r="J614" s="16" t="inlineStr">
        <is>
          <t>Opening Day</t>
        </is>
      </c>
      <c r="K614" s="11">
        <f>IFERROR(INDEX(Roles!$B$17:$B$20,MATCH(J614,Roles!$A$17:$A$20,0)),1)</f>
        <v/>
      </c>
      <c r="L614" s="17" t="n">
        <v>1</v>
      </c>
      <c r="M614" s="11" t="n">
        <v>1</v>
      </c>
      <c r="N614" s="17" t="n"/>
      <c r="O614" s="17" t="n"/>
      <c r="P614" s="17" t="n"/>
      <c r="Q614" s="17" t="n"/>
      <c r="R614" s="17" t="n"/>
      <c r="S614" s="17" t="n"/>
      <c r="T614" s="17" t="n"/>
      <c r="U614" s="17" t="n"/>
      <c r="V614" s="17" t="n"/>
      <c r="W614" s="17" t="n"/>
      <c r="X614" s="17" t="n"/>
      <c r="Y614" s="17" t="n">
        <v>1</v>
      </c>
      <c r="Z614" s="13">
        <f>SUMPRODUCT(N614:Y614,$N$2:$Y$2)*$K614*$L614*$M614</f>
        <v/>
      </c>
      <c r="AA614" s="14">
        <f>SUM(N614:Y614)</f>
        <v/>
      </c>
      <c r="AB614" s="14">
        <f>IFERROR(IF(UPPER($E614)="L",SUMPRODUCT(N614:Y614,$N$3:$Y$3,$N$2:$Y$2),SUMPRODUCT(N614:Y614,$N$4:$Y$4,$N$2:$Y$2))/(Z614/($K614*$L614*$M614)),"")</f>
        <v/>
      </c>
      <c r="AC614" s="18" t="n"/>
    </row>
    <row r="615">
      <c r="A615" s="9" t="n">
        <v>808141</v>
      </c>
      <c r="B615" s="9" t="inlineStr">
        <is>
          <t>José Pirela</t>
        </is>
      </c>
      <c r="C615" s="9" t="inlineStr">
        <is>
          <t>CLE</t>
        </is>
      </c>
      <c r="D615" s="9" t="n">
        <v>25</v>
      </c>
      <c r="E615" s="16" t="inlineStr">
        <is>
          <t>L</t>
        </is>
      </c>
      <c r="F615" s="16" t="n"/>
      <c r="G615" s="9" t="n">
        <v>19.89743589743589</v>
      </c>
      <c r="H615" s="9" t="n">
        <v>19.89743589743589</v>
      </c>
      <c r="I615" s="9" t="inlineStr">
        <is>
          <t>Depth (no MLB PA)</t>
        </is>
      </c>
      <c r="J615" s="16" t="inlineStr">
        <is>
          <t>Opening Day</t>
        </is>
      </c>
      <c r="K615" s="11">
        <f>IFERROR(INDEX(Roles!$B$17:$B$20,MATCH(J615,Roles!$A$17:$A$20,0)),1)</f>
        <v/>
      </c>
      <c r="L615" s="17" t="n">
        <v>1</v>
      </c>
      <c r="M615" s="11" t="n">
        <v>1</v>
      </c>
      <c r="N615" s="17" t="n"/>
      <c r="O615" s="17" t="n"/>
      <c r="P615" s="17" t="n"/>
      <c r="Q615" s="17" t="n"/>
      <c r="R615" s="17" t="n"/>
      <c r="S615" s="17" t="n"/>
      <c r="T615" s="17" t="n"/>
      <c r="U615" s="17" t="n"/>
      <c r="V615" s="17" t="n"/>
      <c r="W615" s="17" t="n"/>
      <c r="X615" s="17" t="n"/>
      <c r="Y615" s="17" t="n">
        <v>1</v>
      </c>
      <c r="Z615" s="13">
        <f>SUMPRODUCT(N615:Y615,$N$2:$Y$2)*$K615*$L615*$M615</f>
        <v/>
      </c>
      <c r="AA615" s="14">
        <f>SUM(N615:Y615)</f>
        <v/>
      </c>
      <c r="AB615" s="14">
        <f>IFERROR(IF(UPPER($E615)="L",SUMPRODUCT(N615:Y615,$N$3:$Y$3,$N$2:$Y$2),SUMPRODUCT(N615:Y615,$N$4:$Y$4,$N$2:$Y$2))/(Z615/($K615*$L615*$M615)),"")</f>
        <v/>
      </c>
      <c r="AC615" s="18" t="n"/>
    </row>
    <row r="616">
      <c r="A616" s="9" t="n">
        <v>691405</v>
      </c>
      <c r="B616" s="9" t="inlineStr">
        <is>
          <t>Juan Benjamin</t>
        </is>
      </c>
      <c r="C616" s="9" t="inlineStr">
        <is>
          <t>CLE</t>
        </is>
      </c>
      <c r="D616" s="9" t="n">
        <v>25</v>
      </c>
      <c r="E616" s="16" t="inlineStr">
        <is>
          <t>S</t>
        </is>
      </c>
      <c r="F616" s="16" t="n"/>
      <c r="G616" s="9" t="n">
        <v>29.33333333333334</v>
      </c>
      <c r="H616" s="9" t="n">
        <v>29.33333333333334</v>
      </c>
      <c r="I616" s="9" t="inlineStr">
        <is>
          <t>Depth (no MLB PA)</t>
        </is>
      </c>
      <c r="J616" s="16" t="inlineStr">
        <is>
          <t>Opening Day</t>
        </is>
      </c>
      <c r="K616" s="11">
        <f>IFERROR(INDEX(Roles!$B$17:$B$20,MATCH(J616,Roles!$A$17:$A$20,0)),1)</f>
        <v/>
      </c>
      <c r="L616" s="17" t="n">
        <v>1</v>
      </c>
      <c r="M616" s="11" t="n">
        <v>1</v>
      </c>
      <c r="N616" s="17" t="n"/>
      <c r="O616" s="17" t="n"/>
      <c r="P616" s="17" t="n"/>
      <c r="Q616" s="17" t="n"/>
      <c r="R616" s="17" t="n"/>
      <c r="S616" s="17" t="n"/>
      <c r="T616" s="17" t="n"/>
      <c r="U616" s="17" t="n"/>
      <c r="V616" s="17" t="n"/>
      <c r="W616" s="17" t="n"/>
      <c r="X616" s="17" t="n"/>
      <c r="Y616" s="17" t="n">
        <v>1</v>
      </c>
      <c r="Z616" s="13">
        <f>SUMPRODUCT(N616:Y616,$N$2:$Y$2)*$K616*$L616*$M616</f>
        <v/>
      </c>
      <c r="AA616" s="14">
        <f>SUM(N616:Y616)</f>
        <v/>
      </c>
      <c r="AB616" s="14">
        <f>IFERROR(IF(UPPER($E616)="L",SUMPRODUCT(N616:Y616,$N$3:$Y$3,$N$2:$Y$2),SUMPRODUCT(N616:Y616,$N$4:$Y$4,$N$2:$Y$2))/(Z616/($K616*$L616*$M616)),"")</f>
        <v/>
      </c>
      <c r="AC616" s="18" t="n"/>
    </row>
    <row r="617">
      <c r="A617" s="9" t="n">
        <v>815898</v>
      </c>
      <c r="B617" s="9" t="inlineStr">
        <is>
          <t>Yovanny Rodriguez</t>
        </is>
      </c>
      <c r="C617" s="9" t="inlineStr">
        <is>
          <t>NYM</t>
        </is>
      </c>
      <c r="D617" s="9" t="n">
        <v>25</v>
      </c>
      <c r="E617" s="16" t="inlineStr">
        <is>
          <t>R</t>
        </is>
      </c>
      <c r="F617" s="16" t="n"/>
      <c r="G617" s="9" t="n">
        <v>12.30769230769231</v>
      </c>
      <c r="H617" s="9" t="n">
        <v>12.30769230769231</v>
      </c>
      <c r="I617" s="9" t="inlineStr">
        <is>
          <t>Depth (no MLB PA)</t>
        </is>
      </c>
      <c r="J617" s="16" t="inlineStr">
        <is>
          <t>Opening Day</t>
        </is>
      </c>
      <c r="K617" s="11">
        <f>IFERROR(INDEX(Roles!$B$17:$B$20,MATCH(J617,Roles!$A$17:$A$20,0)),1)</f>
        <v/>
      </c>
      <c r="L617" s="17" t="n">
        <v>1</v>
      </c>
      <c r="M617" s="11" t="n">
        <v>1</v>
      </c>
      <c r="N617" s="17" t="n"/>
      <c r="O617" s="17" t="n"/>
      <c r="P617" s="17" t="n"/>
      <c r="Q617" s="17" t="n"/>
      <c r="R617" s="17" t="n"/>
      <c r="S617" s="17" t="n"/>
      <c r="T617" s="17" t="n"/>
      <c r="U617" s="17" t="n"/>
      <c r="V617" s="17" t="n"/>
      <c r="W617" s="17" t="n"/>
      <c r="X617" s="17" t="n"/>
      <c r="Y617" s="17" t="n">
        <v>1</v>
      </c>
      <c r="Z617" s="13">
        <f>SUMPRODUCT(N617:Y617,$N$2:$Y$2)*$K617*$L617*$M617</f>
        <v/>
      </c>
      <c r="AA617" s="14">
        <f>SUM(N617:Y617)</f>
        <v/>
      </c>
      <c r="AB617" s="14">
        <f>IFERROR(IF(UPPER($E617)="L",SUMPRODUCT(N617:Y617,$N$3:$Y$3,$N$2:$Y$2),SUMPRODUCT(N617:Y617,$N$4:$Y$4,$N$2:$Y$2))/(Z617/($K617*$L617*$M617)),"")</f>
        <v/>
      </c>
      <c r="AC617" s="18" t="n"/>
    </row>
    <row r="618">
      <c r="A618" s="9" t="n">
        <v>803033</v>
      </c>
      <c r="B618" s="9" t="inlineStr">
        <is>
          <t>Matthew Etzel</t>
        </is>
      </c>
      <c r="C618" s="9" t="inlineStr">
        <is>
          <t>MIA</t>
        </is>
      </c>
      <c r="D618" s="9" t="n">
        <v>25</v>
      </c>
      <c r="E618" s="16" t="inlineStr">
        <is>
          <t>L</t>
        </is>
      </c>
      <c r="F618" s="16" t="n"/>
      <c r="G618" s="9" t="n">
        <v>281.4871794871795</v>
      </c>
      <c r="H618" s="9" t="n">
        <v>281.4871794871795</v>
      </c>
      <c r="I618" s="9" t="inlineStr">
        <is>
          <t>Depth (no MLB PA)</t>
        </is>
      </c>
      <c r="J618" s="16" t="inlineStr">
        <is>
          <t>Opening Day</t>
        </is>
      </c>
      <c r="K618" s="11">
        <f>IFERROR(INDEX(Roles!$B$17:$B$20,MATCH(J618,Roles!$A$17:$A$20,0)),1)</f>
        <v/>
      </c>
      <c r="L618" s="17" t="n">
        <v>1</v>
      </c>
      <c r="M618" s="11" t="n">
        <v>1</v>
      </c>
      <c r="N618" s="17" t="n"/>
      <c r="O618" s="17" t="n"/>
      <c r="P618" s="17" t="n"/>
      <c r="Q618" s="17" t="n"/>
      <c r="R618" s="17" t="n"/>
      <c r="S618" s="17" t="n"/>
      <c r="T618" s="17" t="n"/>
      <c r="U618" s="17" t="n"/>
      <c r="V618" s="17" t="n"/>
      <c r="W618" s="17" t="n"/>
      <c r="X618" s="17" t="n"/>
      <c r="Y618" s="17" t="n">
        <v>1</v>
      </c>
      <c r="Z618" s="13">
        <f>SUMPRODUCT(N618:Y618,$N$2:$Y$2)*$K618*$L618*$M618</f>
        <v/>
      </c>
      <c r="AA618" s="14">
        <f>SUM(N618:Y618)</f>
        <v/>
      </c>
      <c r="AB618" s="14">
        <f>IFERROR(IF(UPPER($E618)="L",SUMPRODUCT(N618:Y618,$N$3:$Y$3,$N$2:$Y$2),SUMPRODUCT(N618:Y618,$N$4:$Y$4,$N$2:$Y$2))/(Z618/($K618*$L618*$M618)),"")</f>
        <v/>
      </c>
      <c r="AC618" s="18" t="n"/>
    </row>
    <row r="619">
      <c r="A619" s="9" t="n">
        <v>701326</v>
      </c>
      <c r="B619" s="9" t="inlineStr">
        <is>
          <t>Luke Heyman</t>
        </is>
      </c>
      <c r="C619" s="9" t="inlineStr">
        <is>
          <t>BOS</t>
        </is>
      </c>
      <c r="D619" s="9" t="n">
        <v>25</v>
      </c>
      <c r="E619" s="16" t="inlineStr">
        <is>
          <t>R</t>
        </is>
      </c>
      <c r="F619" s="16" t="n"/>
      <c r="G619" s="9" t="n">
        <v>56.20512820512821</v>
      </c>
      <c r="H619" s="9" t="n">
        <v>56.20512820512821</v>
      </c>
      <c r="I619" s="9" t="inlineStr">
        <is>
          <t>Depth (no MLB PA)</t>
        </is>
      </c>
      <c r="J619" s="16" t="inlineStr">
        <is>
          <t>Opening Day</t>
        </is>
      </c>
      <c r="K619" s="11">
        <f>IFERROR(INDEX(Roles!$B$17:$B$20,MATCH(J619,Roles!$A$17:$A$20,0)),1)</f>
        <v/>
      </c>
      <c r="L619" s="17" t="n">
        <v>1</v>
      </c>
      <c r="M619" s="11" t="n">
        <v>1</v>
      </c>
      <c r="N619" s="17" t="n"/>
      <c r="O619" s="17" t="n"/>
      <c r="P619" s="17" t="n"/>
      <c r="Q619" s="17" t="n"/>
      <c r="R619" s="17" t="n"/>
      <c r="S619" s="17" t="n"/>
      <c r="T619" s="17" t="n"/>
      <c r="U619" s="17" t="n"/>
      <c r="V619" s="17" t="n"/>
      <c r="W619" s="17" t="n"/>
      <c r="X619" s="17" t="n"/>
      <c r="Y619" s="17" t="n">
        <v>1</v>
      </c>
      <c r="Z619" s="13">
        <f>SUMPRODUCT(N619:Y619,$N$2:$Y$2)*$K619*$L619*$M619</f>
        <v/>
      </c>
      <c r="AA619" s="14">
        <f>SUM(N619:Y619)</f>
        <v/>
      </c>
      <c r="AB619" s="14">
        <f>IFERROR(IF(UPPER($E619)="L",SUMPRODUCT(N619:Y619,$N$3:$Y$3,$N$2:$Y$2),SUMPRODUCT(N619:Y619,$N$4:$Y$4,$N$2:$Y$2))/(Z619/($K619*$L619*$M619)),"")</f>
        <v/>
      </c>
      <c r="AC619" s="18" t="n"/>
    </row>
    <row r="620">
      <c r="A620" s="9" t="n">
        <v>815723</v>
      </c>
      <c r="B620" s="9" t="inlineStr">
        <is>
          <t>Jadyn Fielder</t>
        </is>
      </c>
      <c r="C620" s="9" t="inlineStr">
        <is>
          <t>HOU</t>
        </is>
      </c>
      <c r="D620" s="9" t="n">
        <v>25</v>
      </c>
      <c r="E620" s="16" t="inlineStr">
        <is>
          <t>L</t>
        </is>
      </c>
      <c r="F620" s="16" t="n"/>
      <c r="G620" s="9" t="n">
        <v>3.897435897435898</v>
      </c>
      <c r="H620" s="9" t="n">
        <v>3.897435897435898</v>
      </c>
      <c r="I620" s="9" t="inlineStr">
        <is>
          <t>Depth (no MLB PA)</t>
        </is>
      </c>
      <c r="J620" s="16" t="inlineStr">
        <is>
          <t>Opening Day</t>
        </is>
      </c>
      <c r="K620" s="11">
        <f>IFERROR(INDEX(Roles!$B$17:$B$20,MATCH(J620,Roles!$A$17:$A$20,0)),1)</f>
        <v/>
      </c>
      <c r="L620" s="17" t="n">
        <v>1</v>
      </c>
      <c r="M620" s="11" t="n">
        <v>1</v>
      </c>
      <c r="N620" s="17" t="n"/>
      <c r="O620" s="17" t="n"/>
      <c r="P620" s="17" t="n"/>
      <c r="Q620" s="17" t="n"/>
      <c r="R620" s="17" t="n"/>
      <c r="S620" s="17" t="n"/>
      <c r="T620" s="17" t="n"/>
      <c r="U620" s="17" t="n"/>
      <c r="V620" s="17" t="n"/>
      <c r="W620" s="17" t="n"/>
      <c r="X620" s="17" t="n"/>
      <c r="Y620" s="17" t="n">
        <v>1</v>
      </c>
      <c r="Z620" s="13">
        <f>SUMPRODUCT(N620:Y620,$N$2:$Y$2)*$K620*$L620*$M620</f>
        <v/>
      </c>
      <c r="AA620" s="14">
        <f>SUM(N620:Y620)</f>
        <v/>
      </c>
      <c r="AB620" s="14">
        <f>IFERROR(IF(UPPER($E620)="L",SUMPRODUCT(N620:Y620,$N$3:$Y$3,$N$2:$Y$2),SUMPRODUCT(N620:Y620,$N$4:$Y$4,$N$2:$Y$2))/(Z620/($K620*$L620*$M620)),"")</f>
        <v/>
      </c>
      <c r="AC620" s="18" t="n"/>
    </row>
    <row r="621">
      <c r="A621" s="9" t="n">
        <v>800302</v>
      </c>
      <c r="B621" s="9" t="inlineStr">
        <is>
          <t>Mairo Martinus</t>
        </is>
      </c>
      <c r="C621" s="9" t="inlineStr">
        <is>
          <t>LAD</t>
        </is>
      </c>
      <c r="D621" s="9" t="n">
        <v>25</v>
      </c>
      <c r="E621" s="16" t="inlineStr">
        <is>
          <t>R</t>
        </is>
      </c>
      <c r="F621" s="16" t="n"/>
      <c r="G621" s="9" t="n">
        <v>24.2051282051282</v>
      </c>
      <c r="H621" s="9" t="n">
        <v>24.2051282051282</v>
      </c>
      <c r="I621" s="9" t="inlineStr">
        <is>
          <t>Depth (no MLB PA)</t>
        </is>
      </c>
      <c r="J621" s="16" t="inlineStr">
        <is>
          <t>Opening Day</t>
        </is>
      </c>
      <c r="K621" s="11">
        <f>IFERROR(INDEX(Roles!$B$17:$B$20,MATCH(J621,Roles!$A$17:$A$20,0)),1)</f>
        <v/>
      </c>
      <c r="L621" s="17" t="n">
        <v>1</v>
      </c>
      <c r="M621" s="11" t="n">
        <v>1</v>
      </c>
      <c r="N621" s="17" t="n"/>
      <c r="O621" s="17" t="n"/>
      <c r="P621" s="17" t="n"/>
      <c r="Q621" s="17" t="n"/>
      <c r="R621" s="17" t="n"/>
      <c r="S621" s="17" t="n"/>
      <c r="T621" s="17" t="n"/>
      <c r="U621" s="17" t="n"/>
      <c r="V621" s="17" t="n"/>
      <c r="W621" s="17" t="n"/>
      <c r="X621" s="17" t="n"/>
      <c r="Y621" s="17" t="n">
        <v>1</v>
      </c>
      <c r="Z621" s="13">
        <f>SUMPRODUCT(N621:Y621,$N$2:$Y$2)*$K621*$L621*$M621</f>
        <v/>
      </c>
      <c r="AA621" s="14">
        <f>SUM(N621:Y621)</f>
        <v/>
      </c>
      <c r="AB621" s="14">
        <f>IFERROR(IF(UPPER($E621)="L",SUMPRODUCT(N621:Y621,$N$3:$Y$3,$N$2:$Y$2),SUMPRODUCT(N621:Y621,$N$4:$Y$4,$N$2:$Y$2))/(Z621/($K621*$L621*$M621)),"")</f>
        <v/>
      </c>
      <c r="AC621" s="18" t="n"/>
    </row>
    <row r="622">
      <c r="A622" s="9" t="n">
        <v>836051</v>
      </c>
      <c r="B622" s="9" t="inlineStr">
        <is>
          <t>Zach Rogacki</t>
        </is>
      </c>
      <c r="C622" s="9" t="inlineStr">
        <is>
          <t>COL</t>
        </is>
      </c>
      <c r="D622" s="9" t="n">
        <v>25</v>
      </c>
      <c r="E622" s="16" t="inlineStr">
        <is>
          <t>L</t>
        </is>
      </c>
      <c r="F622" s="16" t="n"/>
      <c r="G622" s="9" t="n">
        <v>2.092307692307692</v>
      </c>
      <c r="H622" s="9" t="n">
        <v>2.092307692307692</v>
      </c>
      <c r="I622" s="9" t="inlineStr">
        <is>
          <t>Depth (no MLB PA)</t>
        </is>
      </c>
      <c r="J622" s="16" t="inlineStr">
        <is>
          <t>Opening Day</t>
        </is>
      </c>
      <c r="K622" s="11">
        <f>IFERROR(INDEX(Roles!$B$17:$B$20,MATCH(J622,Roles!$A$17:$A$20,0)),1)</f>
        <v/>
      </c>
      <c r="L622" s="17" t="n">
        <v>1</v>
      </c>
      <c r="M622" s="11" t="n">
        <v>1</v>
      </c>
      <c r="N622" s="17" t="n"/>
      <c r="O622" s="17" t="n"/>
      <c r="P622" s="17" t="n"/>
      <c r="Q622" s="17" t="n"/>
      <c r="R622" s="17" t="n"/>
      <c r="S622" s="17" t="n"/>
      <c r="T622" s="17" t="n"/>
      <c r="U622" s="17" t="n"/>
      <c r="V622" s="17" t="n"/>
      <c r="W622" s="17" t="n"/>
      <c r="X622" s="17" t="n"/>
      <c r="Y622" s="17" t="n">
        <v>1</v>
      </c>
      <c r="Z622" s="13">
        <f>SUMPRODUCT(N622:Y622,$N$2:$Y$2)*$K622*$L622*$M622</f>
        <v/>
      </c>
      <c r="AA622" s="14">
        <f>SUM(N622:Y622)</f>
        <v/>
      </c>
      <c r="AB622" s="14">
        <f>IFERROR(IF(UPPER($E622)="L",SUMPRODUCT(N622:Y622,$N$3:$Y$3,$N$2:$Y$2),SUMPRODUCT(N622:Y622,$N$4:$Y$4,$N$2:$Y$2))/(Z622/($K622*$L622*$M622)),"")</f>
        <v/>
      </c>
      <c r="AC622" s="18" t="n"/>
    </row>
    <row r="623">
      <c r="A623" s="9" t="n">
        <v>672478</v>
      </c>
      <c r="B623" s="9" t="inlineStr">
        <is>
          <t>Jordan Diaz</t>
        </is>
      </c>
      <c r="C623" s="9" t="inlineStr">
        <is>
          <t>OAK</t>
        </is>
      </c>
      <c r="D623" s="9" t="n">
        <v>26</v>
      </c>
      <c r="E623" s="16" t="inlineStr">
        <is>
          <t>R</t>
        </is>
      </c>
      <c r="F623" s="16" t="inlineStr">
        <is>
          <t>3B</t>
        </is>
      </c>
      <c r="G623" s="9" t="n">
        <v>293</v>
      </c>
      <c r="H623" s="9" t="n">
        <v>344</v>
      </c>
      <c r="I623" s="9" t="inlineStr">
        <is>
          <t>Depth (no MLB PA)</t>
        </is>
      </c>
      <c r="J623" s="16" t="inlineStr">
        <is>
          <t>Opening Day</t>
        </is>
      </c>
      <c r="K623" s="11">
        <f>IFERROR(INDEX(Roles!$B$17:$B$20,MATCH(J623,Roles!$A$17:$A$20,0)),1)</f>
        <v/>
      </c>
      <c r="L623" s="17" t="n">
        <v>1</v>
      </c>
      <c r="M623" s="11" t="n">
        <v>1</v>
      </c>
      <c r="N623" s="17" t="n"/>
      <c r="O623" s="17" t="n"/>
      <c r="P623" s="17" t="n"/>
      <c r="Q623" s="17" t="n"/>
      <c r="R623" s="17" t="n"/>
      <c r="S623" s="17" t="n"/>
      <c r="T623" s="17" t="n"/>
      <c r="U623" s="17" t="n"/>
      <c r="V623" s="17" t="n"/>
      <c r="W623" s="17" t="n"/>
      <c r="X623" s="17" t="n"/>
      <c r="Y623" s="17" t="n">
        <v>1</v>
      </c>
      <c r="Z623" s="13">
        <f>SUMPRODUCT(N623:Y623,$N$2:$Y$2)*$K623*$L623*$M623</f>
        <v/>
      </c>
      <c r="AA623" s="14">
        <f>SUM(N623:Y623)</f>
        <v/>
      </c>
      <c r="AB623" s="14">
        <f>IFERROR(IF(UPPER($E623)="L",SUMPRODUCT(N623:Y623,$N$3:$Y$3,$N$2:$Y$2),SUMPRODUCT(N623:Y623,$N$4:$Y$4,$N$2:$Y$2))/(Z623/($K623*$L623*$M623)),"")</f>
        <v/>
      </c>
      <c r="AC623" s="18" t="n"/>
    </row>
    <row r="624">
      <c r="A624" s="9" t="n">
        <v>690804</v>
      </c>
      <c r="B624" s="9" t="inlineStr">
        <is>
          <t>Ryan Nicholson</t>
        </is>
      </c>
      <c r="C624" s="9" t="inlineStr">
        <is>
          <t>LAA</t>
        </is>
      </c>
      <c r="D624" s="9" t="n">
        <v>25</v>
      </c>
      <c r="E624" s="16" t="inlineStr">
        <is>
          <t>L</t>
        </is>
      </c>
      <c r="F624" s="16" t="n"/>
      <c r="G624" s="9" t="n">
        <v>44.56410256410257</v>
      </c>
      <c r="H624" s="9" t="n">
        <v>44.56410256410257</v>
      </c>
      <c r="I624" s="9" t="inlineStr">
        <is>
          <t>Depth (no MLB PA)</t>
        </is>
      </c>
      <c r="J624" s="16" t="inlineStr">
        <is>
          <t>Opening Day</t>
        </is>
      </c>
      <c r="K624" s="11">
        <f>IFERROR(INDEX(Roles!$B$17:$B$20,MATCH(J624,Roles!$A$17:$A$20,0)),1)</f>
        <v/>
      </c>
      <c r="L624" s="17" t="n">
        <v>1</v>
      </c>
      <c r="M624" s="11" t="n">
        <v>1</v>
      </c>
      <c r="N624" s="17" t="n"/>
      <c r="O624" s="17" t="n"/>
      <c r="P624" s="17" t="n"/>
      <c r="Q624" s="17" t="n"/>
      <c r="R624" s="17" t="n"/>
      <c r="S624" s="17" t="n"/>
      <c r="T624" s="17" t="n"/>
      <c r="U624" s="17" t="n"/>
      <c r="V624" s="17" t="n"/>
      <c r="W624" s="17" t="n"/>
      <c r="X624" s="17" t="n"/>
      <c r="Y624" s="17" t="n">
        <v>1</v>
      </c>
      <c r="Z624" s="13">
        <f>SUMPRODUCT(N624:Y624,$N$2:$Y$2)*$K624*$L624*$M624</f>
        <v/>
      </c>
      <c r="AA624" s="14">
        <f>SUM(N624:Y624)</f>
        <v/>
      </c>
      <c r="AB624" s="14">
        <f>IFERROR(IF(UPPER($E624)="L",SUMPRODUCT(N624:Y624,$N$3:$Y$3,$N$2:$Y$2),SUMPRODUCT(N624:Y624,$N$4:$Y$4,$N$2:$Y$2))/(Z624/($K624*$L624*$M624)),"")</f>
        <v/>
      </c>
      <c r="AC624" s="18" t="n"/>
    </row>
    <row r="625">
      <c r="A625" s="9" t="n">
        <v>683609</v>
      </c>
      <c r="B625" s="9" t="inlineStr">
        <is>
          <t>Victor Duarte</t>
        </is>
      </c>
      <c r="C625" s="9" t="inlineStr">
        <is>
          <t>SD</t>
        </is>
      </c>
      <c r="D625" s="9" t="n">
        <v>25</v>
      </c>
      <c r="E625" s="16" t="inlineStr">
        <is>
          <t>R</t>
        </is>
      </c>
      <c r="F625" s="16" t="n"/>
      <c r="G625" s="9" t="n">
        <v>29.33333333333334</v>
      </c>
      <c r="H625" s="9" t="n">
        <v>29.33333333333334</v>
      </c>
      <c r="I625" s="9" t="inlineStr">
        <is>
          <t>Depth (no MLB PA)</t>
        </is>
      </c>
      <c r="J625" s="16" t="inlineStr">
        <is>
          <t>Opening Day</t>
        </is>
      </c>
      <c r="K625" s="11">
        <f>IFERROR(INDEX(Roles!$B$17:$B$20,MATCH(J625,Roles!$A$17:$A$20,0)),1)</f>
        <v/>
      </c>
      <c r="L625" s="17" t="n">
        <v>1</v>
      </c>
      <c r="M625" s="11" t="n">
        <v>1</v>
      </c>
      <c r="N625" s="17" t="n"/>
      <c r="O625" s="17" t="n"/>
      <c r="P625" s="17" t="n"/>
      <c r="Q625" s="17" t="n"/>
      <c r="R625" s="17" t="n"/>
      <c r="S625" s="17" t="n"/>
      <c r="T625" s="17" t="n"/>
      <c r="U625" s="17" t="n"/>
      <c r="V625" s="17" t="n"/>
      <c r="W625" s="17" t="n"/>
      <c r="X625" s="17" t="n"/>
      <c r="Y625" s="17" t="n">
        <v>1</v>
      </c>
      <c r="Z625" s="13">
        <f>SUMPRODUCT(N625:Y625,$N$2:$Y$2)*$K625*$L625*$M625</f>
        <v/>
      </c>
      <c r="AA625" s="14">
        <f>SUM(N625:Y625)</f>
        <v/>
      </c>
      <c r="AB625" s="14">
        <f>IFERROR(IF(UPPER($E625)="L",SUMPRODUCT(N625:Y625,$N$3:$Y$3,$N$2:$Y$2),SUMPRODUCT(N625:Y625,$N$4:$Y$4,$N$2:$Y$2))/(Z625/($K625*$L625*$M625)),"")</f>
        <v/>
      </c>
      <c r="AC625" s="18" t="n"/>
    </row>
    <row r="626">
      <c r="A626" s="9" t="n">
        <v>822324</v>
      </c>
      <c r="B626" s="9" t="inlineStr">
        <is>
          <t>Blake Penso</t>
        </is>
      </c>
      <c r="C626" s="9" t="inlineStr">
        <is>
          <t>COL</t>
        </is>
      </c>
      <c r="D626" s="9" t="n">
        <v>25</v>
      </c>
      <c r="E626" s="16" t="inlineStr">
        <is>
          <t>R</t>
        </is>
      </c>
      <c r="F626" s="16" t="n"/>
      <c r="G626" s="9" t="n">
        <v>4.102564102564103</v>
      </c>
      <c r="H626" s="9" t="n">
        <v>4.102564102564103</v>
      </c>
      <c r="I626" s="9" t="inlineStr">
        <is>
          <t>Depth (no MLB PA)</t>
        </is>
      </c>
      <c r="J626" s="16" t="inlineStr">
        <is>
          <t>Opening Day</t>
        </is>
      </c>
      <c r="K626" s="11">
        <f>IFERROR(INDEX(Roles!$B$17:$B$20,MATCH(J626,Roles!$A$17:$A$20,0)),1)</f>
        <v/>
      </c>
      <c r="L626" s="17" t="n">
        <v>1</v>
      </c>
      <c r="M626" s="11" t="n">
        <v>1</v>
      </c>
      <c r="N626" s="17" t="n"/>
      <c r="O626" s="17" t="n"/>
      <c r="P626" s="17" t="n"/>
      <c r="Q626" s="17" t="n"/>
      <c r="R626" s="17" t="n"/>
      <c r="S626" s="17" t="n"/>
      <c r="T626" s="17" t="n"/>
      <c r="U626" s="17" t="n"/>
      <c r="V626" s="17" t="n"/>
      <c r="W626" s="17" t="n"/>
      <c r="X626" s="17" t="n"/>
      <c r="Y626" s="17" t="n">
        <v>1</v>
      </c>
      <c r="Z626" s="13">
        <f>SUMPRODUCT(N626:Y626,$N$2:$Y$2)*$K626*$L626*$M626</f>
        <v/>
      </c>
      <c r="AA626" s="14">
        <f>SUM(N626:Y626)</f>
        <v/>
      </c>
      <c r="AB626" s="14">
        <f>IFERROR(IF(UPPER($E626)="L",SUMPRODUCT(N626:Y626,$N$3:$Y$3,$N$2:$Y$2),SUMPRODUCT(N626:Y626,$N$4:$Y$4,$N$2:$Y$2))/(Z626/($K626*$L626*$M626)),"")</f>
        <v/>
      </c>
      <c r="AC626" s="18" t="n"/>
    </row>
    <row r="627">
      <c r="A627" s="9" t="n">
        <v>828333</v>
      </c>
      <c r="B627" s="9" t="inlineStr">
        <is>
          <t>John Smith III</t>
        </is>
      </c>
      <c r="C627" s="9" t="inlineStr">
        <is>
          <t>NYM</t>
        </is>
      </c>
      <c r="D627" s="9" t="n">
        <v>25</v>
      </c>
      <c r="E627" s="16" t="inlineStr">
        <is>
          <t>R</t>
        </is>
      </c>
      <c r="F627" s="16" t="n"/>
      <c r="G627" s="9" t="n">
        <v>4.102564102564103</v>
      </c>
      <c r="H627" s="9" t="n">
        <v>4.102564102564103</v>
      </c>
      <c r="I627" s="9" t="inlineStr">
        <is>
          <t>Depth (no MLB PA)</t>
        </is>
      </c>
      <c r="J627" s="16" t="inlineStr">
        <is>
          <t>Opening Day</t>
        </is>
      </c>
      <c r="K627" s="11">
        <f>IFERROR(INDEX(Roles!$B$17:$B$20,MATCH(J627,Roles!$A$17:$A$20,0)),1)</f>
        <v/>
      </c>
      <c r="L627" s="17" t="n">
        <v>1</v>
      </c>
      <c r="M627" s="11" t="n">
        <v>1</v>
      </c>
      <c r="N627" s="17" t="n"/>
      <c r="O627" s="17" t="n"/>
      <c r="P627" s="17" t="n"/>
      <c r="Q627" s="17" t="n"/>
      <c r="R627" s="17" t="n"/>
      <c r="S627" s="17" t="n"/>
      <c r="T627" s="17" t="n"/>
      <c r="U627" s="17" t="n"/>
      <c r="V627" s="17" t="n"/>
      <c r="W627" s="17" t="n"/>
      <c r="X627" s="17" t="n"/>
      <c r="Y627" s="17" t="n">
        <v>1</v>
      </c>
      <c r="Z627" s="13">
        <f>SUMPRODUCT(N627:Y627,$N$2:$Y$2)*$K627*$L627*$M627</f>
        <v/>
      </c>
      <c r="AA627" s="14">
        <f>SUM(N627:Y627)</f>
        <v/>
      </c>
      <c r="AB627" s="14">
        <f>IFERROR(IF(UPPER($E627)="L",SUMPRODUCT(N627:Y627,$N$3:$Y$3,$N$2:$Y$2),SUMPRODUCT(N627:Y627,$N$4:$Y$4,$N$2:$Y$2))/(Z627/($K627*$L627*$M627)),"")</f>
        <v/>
      </c>
      <c r="AC627" s="18" t="n"/>
    </row>
    <row r="628">
      <c r="A628" s="9" t="n">
        <v>823766</v>
      </c>
      <c r="B628" s="9" t="inlineStr">
        <is>
          <t>Jimmy Keenan</t>
        </is>
      </c>
      <c r="C628" s="9" t="inlineStr">
        <is>
          <t>MIN</t>
        </is>
      </c>
      <c r="D628" s="9" t="n">
        <v>25</v>
      </c>
      <c r="E628" s="16" t="inlineStr">
        <is>
          <t>R</t>
        </is>
      </c>
      <c r="F628" s="16" t="n"/>
      <c r="G628" s="9" t="n">
        <v>4.307692307692308</v>
      </c>
      <c r="H628" s="9" t="n">
        <v>4.307692307692308</v>
      </c>
      <c r="I628" s="9" t="inlineStr">
        <is>
          <t>Depth (no MLB PA)</t>
        </is>
      </c>
      <c r="J628" s="16" t="inlineStr">
        <is>
          <t>Opening Day</t>
        </is>
      </c>
      <c r="K628" s="11">
        <f>IFERROR(INDEX(Roles!$B$17:$B$20,MATCH(J628,Roles!$A$17:$A$20,0)),1)</f>
        <v/>
      </c>
      <c r="L628" s="17" t="n">
        <v>1</v>
      </c>
      <c r="M628" s="11" t="n">
        <v>1</v>
      </c>
      <c r="N628" s="17" t="n"/>
      <c r="O628" s="17" t="n"/>
      <c r="P628" s="17" t="n"/>
      <c r="Q628" s="17" t="n"/>
      <c r="R628" s="17" t="n"/>
      <c r="S628" s="17" t="n"/>
      <c r="T628" s="17" t="n"/>
      <c r="U628" s="17" t="n"/>
      <c r="V628" s="17" t="n"/>
      <c r="W628" s="17" t="n"/>
      <c r="X628" s="17" t="n"/>
      <c r="Y628" s="17" t="n">
        <v>1</v>
      </c>
      <c r="Z628" s="13">
        <f>SUMPRODUCT(N628:Y628,$N$2:$Y$2)*$K628*$L628*$M628</f>
        <v/>
      </c>
      <c r="AA628" s="14">
        <f>SUM(N628:Y628)</f>
        <v/>
      </c>
      <c r="AB628" s="14">
        <f>IFERROR(IF(UPPER($E628)="L",SUMPRODUCT(N628:Y628,$N$3:$Y$3,$N$2:$Y$2),SUMPRODUCT(N628:Y628,$N$4:$Y$4,$N$2:$Y$2))/(Z628/($K628*$L628*$M628)),"")</f>
        <v/>
      </c>
      <c r="AC628" s="18" t="n"/>
    </row>
    <row r="629">
      <c r="A629" s="9" t="n">
        <v>829769</v>
      </c>
      <c r="B629" s="9" t="inlineStr">
        <is>
          <t>Yostin Pena</t>
        </is>
      </c>
      <c r="C629" s="9" t="inlineStr">
        <is>
          <t>NYY</t>
        </is>
      </c>
      <c r="D629" s="9" t="n">
        <v>20</v>
      </c>
      <c r="E629" s="16" t="inlineStr">
        <is>
          <t>R</t>
        </is>
      </c>
      <c r="F629" s="16" t="n"/>
      <c r="G629" s="9" t="n">
        <v>12.92307692307692</v>
      </c>
      <c r="H629" s="9" t="n">
        <v>12.92307692307692</v>
      </c>
      <c r="I629" s="9" t="inlineStr">
        <is>
          <t>Depth (no MLB PA)</t>
        </is>
      </c>
      <c r="J629" s="16" t="inlineStr">
        <is>
          <t>Opening Day</t>
        </is>
      </c>
      <c r="K629" s="11">
        <f>IFERROR(INDEX(Roles!$B$17:$B$20,MATCH(J629,Roles!$A$17:$A$20,0)),1)</f>
        <v/>
      </c>
      <c r="L629" s="17" t="n">
        <v>1</v>
      </c>
      <c r="M629" s="11" t="n">
        <v>1</v>
      </c>
      <c r="N629" s="17" t="n"/>
      <c r="O629" s="17" t="n"/>
      <c r="P629" s="17" t="n"/>
      <c r="Q629" s="17" t="n"/>
      <c r="R629" s="17" t="n"/>
      <c r="S629" s="17" t="n"/>
      <c r="T629" s="17" t="n"/>
      <c r="U629" s="17" t="n"/>
      <c r="V629" s="17" t="n"/>
      <c r="W629" s="17" t="n"/>
      <c r="X629" s="17" t="n"/>
      <c r="Y629" s="17" t="n">
        <v>1</v>
      </c>
      <c r="Z629" s="13">
        <f>SUMPRODUCT(N629:Y629,$N$2:$Y$2)*$K629*$L629*$M629</f>
        <v/>
      </c>
      <c r="AA629" s="14">
        <f>SUM(N629:Y629)</f>
        <v/>
      </c>
      <c r="AB629" s="14">
        <f>IFERROR(IF(UPPER($E629)="L",SUMPRODUCT(N629:Y629,$N$3:$Y$3,$N$2:$Y$2),SUMPRODUCT(N629:Y629,$N$4:$Y$4,$N$2:$Y$2))/(Z629/($K629*$L629*$M629)),"")</f>
        <v/>
      </c>
      <c r="AC629" s="18" t="n"/>
    </row>
    <row r="630">
      <c r="A630" s="9" t="n">
        <v>695659</v>
      </c>
      <c r="B630" s="9" t="inlineStr">
        <is>
          <t>Tanner Smith</t>
        </is>
      </c>
      <c r="C630" s="9" t="inlineStr">
        <is>
          <t>ATL</t>
        </is>
      </c>
      <c r="D630" s="9" t="n">
        <v>25</v>
      </c>
      <c r="E630" s="16" t="inlineStr">
        <is>
          <t>R</t>
        </is>
      </c>
      <c r="F630" s="16" t="n"/>
      <c r="G630" s="9" t="n">
        <v>8.205128205128206</v>
      </c>
      <c r="H630" s="9" t="n">
        <v>8.205128205128206</v>
      </c>
      <c r="I630" s="9" t="inlineStr">
        <is>
          <t>Depth (no MLB PA)</t>
        </is>
      </c>
      <c r="J630" s="16" t="inlineStr">
        <is>
          <t>Opening Day</t>
        </is>
      </c>
      <c r="K630" s="11">
        <f>IFERROR(INDEX(Roles!$B$17:$B$20,MATCH(J630,Roles!$A$17:$A$20,0)),1)</f>
        <v/>
      </c>
      <c r="L630" s="17" t="n">
        <v>1</v>
      </c>
      <c r="M630" s="11" t="n">
        <v>1</v>
      </c>
      <c r="N630" s="17" t="n"/>
      <c r="O630" s="17" t="n"/>
      <c r="P630" s="17" t="n"/>
      <c r="Q630" s="17" t="n"/>
      <c r="R630" s="17" t="n"/>
      <c r="S630" s="17" t="n"/>
      <c r="T630" s="17" t="n"/>
      <c r="U630" s="17" t="n"/>
      <c r="V630" s="17" t="n"/>
      <c r="W630" s="17" t="n"/>
      <c r="X630" s="17" t="n"/>
      <c r="Y630" s="17" t="n">
        <v>1</v>
      </c>
      <c r="Z630" s="13">
        <f>SUMPRODUCT(N630:Y630,$N$2:$Y$2)*$K630*$L630*$M630</f>
        <v/>
      </c>
      <c r="AA630" s="14">
        <f>SUM(N630:Y630)</f>
        <v/>
      </c>
      <c r="AB630" s="14">
        <f>IFERROR(IF(UPPER($E630)="L",SUMPRODUCT(N630:Y630,$N$3:$Y$3,$N$2:$Y$2),SUMPRODUCT(N630:Y630,$N$4:$Y$4,$N$2:$Y$2))/(Z630/($K630*$L630*$M630)),"")</f>
        <v/>
      </c>
      <c r="AC630" s="18" t="n"/>
    </row>
    <row r="631">
      <c r="A631" s="9" t="n">
        <v>815195</v>
      </c>
      <c r="B631" s="9" t="inlineStr">
        <is>
          <t>Wilder Dalis</t>
        </is>
      </c>
      <c r="C631" s="9" t="inlineStr">
        <is>
          <t>COL</t>
        </is>
      </c>
      <c r="D631" s="9" t="n">
        <v>21</v>
      </c>
      <c r="E631" s="16" t="inlineStr">
        <is>
          <t>S</t>
        </is>
      </c>
      <c r="F631" s="16" t="n"/>
      <c r="G631" s="9" t="n">
        <v>12.51282051282051</v>
      </c>
      <c r="H631" s="9" t="n">
        <v>12.51282051282051</v>
      </c>
      <c r="I631" s="9" t="inlineStr">
        <is>
          <t>Depth (no MLB PA)</t>
        </is>
      </c>
      <c r="J631" s="16" t="inlineStr">
        <is>
          <t>Opening Day</t>
        </is>
      </c>
      <c r="K631" s="11">
        <f>IFERROR(INDEX(Roles!$B$17:$B$20,MATCH(J631,Roles!$A$17:$A$20,0)),1)</f>
        <v/>
      </c>
      <c r="L631" s="17" t="n">
        <v>1</v>
      </c>
      <c r="M631" s="11" t="n">
        <v>1</v>
      </c>
      <c r="N631" s="17" t="n"/>
      <c r="O631" s="17" t="n"/>
      <c r="P631" s="17" t="n"/>
      <c r="Q631" s="17" t="n"/>
      <c r="R631" s="17" t="n"/>
      <c r="S631" s="17" t="n"/>
      <c r="T631" s="17" t="n"/>
      <c r="U631" s="17" t="n"/>
      <c r="V631" s="17" t="n"/>
      <c r="W631" s="17" t="n"/>
      <c r="X631" s="17" t="n"/>
      <c r="Y631" s="17" t="n">
        <v>1</v>
      </c>
      <c r="Z631" s="13">
        <f>SUMPRODUCT(N631:Y631,$N$2:$Y$2)*$K631*$L631*$M631</f>
        <v/>
      </c>
      <c r="AA631" s="14">
        <f>SUM(N631:Y631)</f>
        <v/>
      </c>
      <c r="AB631" s="14">
        <f>IFERROR(IF(UPPER($E631)="L",SUMPRODUCT(N631:Y631,$N$3:$Y$3,$N$2:$Y$2),SUMPRODUCT(N631:Y631,$N$4:$Y$4,$N$2:$Y$2))/(Z631/($K631*$L631*$M631)),"")</f>
        <v/>
      </c>
      <c r="AC631" s="18" t="n"/>
    </row>
    <row r="632">
      <c r="A632" s="9" t="n">
        <v>695530</v>
      </c>
      <c r="B632" s="9" t="inlineStr">
        <is>
          <t>Gio Cueto</t>
        </is>
      </c>
      <c r="C632" s="9" t="inlineStr">
        <is>
          <t>LAD</t>
        </is>
      </c>
      <c r="D632" s="9" t="n">
        <v>25</v>
      </c>
      <c r="E632" s="16" t="inlineStr">
        <is>
          <t>R</t>
        </is>
      </c>
      <c r="F632" s="16" t="n"/>
      <c r="G632" s="9" t="n">
        <v>16.41025641025641</v>
      </c>
      <c r="H632" s="9" t="n">
        <v>16.41025641025641</v>
      </c>
      <c r="I632" s="9" t="inlineStr">
        <is>
          <t>Depth (no MLB PA)</t>
        </is>
      </c>
      <c r="J632" s="16" t="inlineStr">
        <is>
          <t>Opening Day</t>
        </is>
      </c>
      <c r="K632" s="11">
        <f>IFERROR(INDEX(Roles!$B$17:$B$20,MATCH(J632,Roles!$A$17:$A$20,0)),1)</f>
        <v/>
      </c>
      <c r="L632" s="17" t="n">
        <v>1</v>
      </c>
      <c r="M632" s="11" t="n">
        <v>1</v>
      </c>
      <c r="N632" s="17" t="n"/>
      <c r="O632" s="17" t="n"/>
      <c r="P632" s="17" t="n"/>
      <c r="Q632" s="17" t="n"/>
      <c r="R632" s="17" t="n"/>
      <c r="S632" s="17" t="n"/>
      <c r="T632" s="17" t="n"/>
      <c r="U632" s="17" t="n"/>
      <c r="V632" s="17" t="n"/>
      <c r="W632" s="17" t="n"/>
      <c r="X632" s="17" t="n"/>
      <c r="Y632" s="17" t="n">
        <v>1</v>
      </c>
      <c r="Z632" s="13">
        <f>SUMPRODUCT(N632:Y632,$N$2:$Y$2)*$K632*$L632*$M632</f>
        <v/>
      </c>
      <c r="AA632" s="14">
        <f>SUM(N632:Y632)</f>
        <v/>
      </c>
      <c r="AB632" s="14">
        <f>IFERROR(IF(UPPER($E632)="L",SUMPRODUCT(N632:Y632,$N$3:$Y$3,$N$2:$Y$2),SUMPRODUCT(N632:Y632,$N$4:$Y$4,$N$2:$Y$2))/(Z632/($K632*$L632*$M632)),"")</f>
        <v/>
      </c>
      <c r="AC632" s="18" t="n"/>
    </row>
    <row r="633">
      <c r="A633" s="9" t="n">
        <v>806919</v>
      </c>
      <c r="B633" s="9" t="inlineStr">
        <is>
          <t>Jose Gonzalez</t>
        </is>
      </c>
      <c r="C633" s="9" t="inlineStr">
        <is>
          <t>LAD</t>
        </is>
      </c>
      <c r="D633" s="9" t="n">
        <v>25</v>
      </c>
      <c r="E633" s="16" t="inlineStr">
        <is>
          <t>L</t>
        </is>
      </c>
      <c r="F633" s="16" t="n"/>
      <c r="G633" s="9" t="n">
        <v>2.338461538461539</v>
      </c>
      <c r="H633" s="9" t="n">
        <v>2.338461538461539</v>
      </c>
      <c r="I633" s="9" t="inlineStr">
        <is>
          <t>Depth (no MLB PA)</t>
        </is>
      </c>
      <c r="J633" s="16" t="inlineStr">
        <is>
          <t>Opening Day</t>
        </is>
      </c>
      <c r="K633" s="11">
        <f>IFERROR(INDEX(Roles!$B$17:$B$20,MATCH(J633,Roles!$A$17:$A$20,0)),1)</f>
        <v/>
      </c>
      <c r="L633" s="17" t="n">
        <v>1</v>
      </c>
      <c r="M633" s="11" t="n">
        <v>1</v>
      </c>
      <c r="N633" s="17" t="n"/>
      <c r="O633" s="17" t="n"/>
      <c r="P633" s="17" t="n"/>
      <c r="Q633" s="17" t="n"/>
      <c r="R633" s="17" t="n"/>
      <c r="S633" s="17" t="n"/>
      <c r="T633" s="17" t="n"/>
      <c r="U633" s="17" t="n"/>
      <c r="V633" s="17" t="n"/>
      <c r="W633" s="17" t="n"/>
      <c r="X633" s="17" t="n"/>
      <c r="Y633" s="17" t="n">
        <v>1</v>
      </c>
      <c r="Z633" s="13">
        <f>SUMPRODUCT(N633:Y633,$N$2:$Y$2)*$K633*$L633*$M633</f>
        <v/>
      </c>
      <c r="AA633" s="14">
        <f>SUM(N633:Y633)</f>
        <v/>
      </c>
      <c r="AB633" s="14">
        <f>IFERROR(IF(UPPER($E633)="L",SUMPRODUCT(N633:Y633,$N$3:$Y$3,$N$2:$Y$2),SUMPRODUCT(N633:Y633,$N$4:$Y$4,$N$2:$Y$2))/(Z633/($K633*$L633*$M633)),"")</f>
        <v/>
      </c>
      <c r="AC633" s="18" t="n"/>
    </row>
    <row r="634">
      <c r="A634" s="9" t="n">
        <v>669236</v>
      </c>
      <c r="B634" s="9" t="inlineStr">
        <is>
          <t>Jeremiah Jackson</t>
        </is>
      </c>
      <c r="C634" s="9" t="inlineStr">
        <is>
          <t>BAL</t>
        </is>
      </c>
      <c r="D634" s="9" t="n">
        <v>27</v>
      </c>
      <c r="E634" s="16" t="inlineStr">
        <is>
          <t>R</t>
        </is>
      </c>
      <c r="F634" s="16" t="inlineStr">
        <is>
          <t>2B</t>
        </is>
      </c>
      <c r="G634" s="9" t="n">
        <v>293</v>
      </c>
      <c r="H634" s="9" t="n">
        <v>476</v>
      </c>
      <c r="I634" s="9" t="inlineStr">
        <is>
          <t>Full Time</t>
        </is>
      </c>
      <c r="J634" s="16" t="inlineStr">
        <is>
          <t>Opening Day</t>
        </is>
      </c>
      <c r="K634" s="11">
        <f>IFERROR(INDEX(Roles!$B$17:$B$20,MATCH(J634,Roles!$A$17:$A$20,0)),1)</f>
        <v/>
      </c>
      <c r="L634" s="17" t="n">
        <v>1</v>
      </c>
      <c r="M634" s="11" t="n">
        <v>1</v>
      </c>
      <c r="N634" s="17" t="n">
        <v>0.6</v>
      </c>
      <c r="O634" s="17" t="n"/>
      <c r="P634" s="17" t="n"/>
      <c r="Q634" s="17" t="n"/>
      <c r="R634" s="17" t="n"/>
      <c r="S634" s="17" t="n"/>
      <c r="T634" s="17" t="n"/>
      <c r="U634" s="17" t="n">
        <v>0.4</v>
      </c>
      <c r="V634" s="17" t="n"/>
      <c r="W634" s="17" t="n"/>
      <c r="X634" s="17" t="n"/>
      <c r="Y634" s="17" t="n"/>
      <c r="Z634" s="13">
        <f>SUMPRODUCT(N634:Y634,$N$2:$Y$2)*$K634*$L634*$M634</f>
        <v/>
      </c>
      <c r="AA634" s="14">
        <f>SUM(N634:Y634)</f>
        <v/>
      </c>
      <c r="AB634" s="14">
        <f>IFERROR(IF(UPPER($E634)="L",SUMPRODUCT(N634:Y634,$N$3:$Y$3,$N$2:$Y$2),SUMPRODUCT(N634:Y634,$N$4:$Y$4,$N$2:$Y$2))/(Z634/($K634*$L634*$M634)),"")</f>
        <v/>
      </c>
      <c r="AC634" s="18" t="n"/>
    </row>
    <row r="635">
      <c r="A635" s="9" t="n">
        <v>809730</v>
      </c>
      <c r="B635" s="9" t="inlineStr">
        <is>
          <t>Weber Neels</t>
        </is>
      </c>
      <c r="C635" s="9" t="inlineStr">
        <is>
          <t>ARI</t>
        </is>
      </c>
      <c r="D635" s="9" t="n">
        <v>25</v>
      </c>
      <c r="E635" s="16" t="inlineStr">
        <is>
          <t>R</t>
        </is>
      </c>
      <c r="F635" s="16" t="n"/>
      <c r="G635" s="9" t="n">
        <v>6.646153846153847</v>
      </c>
      <c r="H635" s="9" t="n">
        <v>6.646153846153847</v>
      </c>
      <c r="I635" s="9" t="inlineStr">
        <is>
          <t>Depth (no MLB PA)</t>
        </is>
      </c>
      <c r="J635" s="16" t="inlineStr">
        <is>
          <t>Opening Day</t>
        </is>
      </c>
      <c r="K635" s="11">
        <f>IFERROR(INDEX(Roles!$B$17:$B$20,MATCH(J635,Roles!$A$17:$A$20,0)),1)</f>
        <v/>
      </c>
      <c r="L635" s="17" t="n">
        <v>1</v>
      </c>
      <c r="M635" s="11" t="n">
        <v>1</v>
      </c>
      <c r="N635" s="17" t="n"/>
      <c r="O635" s="17" t="n"/>
      <c r="P635" s="17" t="n"/>
      <c r="Q635" s="17" t="n"/>
      <c r="R635" s="17" t="n"/>
      <c r="S635" s="17" t="n"/>
      <c r="T635" s="17" t="n"/>
      <c r="U635" s="17" t="n"/>
      <c r="V635" s="17" t="n"/>
      <c r="W635" s="17" t="n"/>
      <c r="X635" s="17" t="n"/>
      <c r="Y635" s="17" t="n">
        <v>1</v>
      </c>
      <c r="Z635" s="13">
        <f>SUMPRODUCT(N635:Y635,$N$2:$Y$2)*$K635*$L635*$M635</f>
        <v/>
      </c>
      <c r="AA635" s="14">
        <f>SUM(N635:Y635)</f>
        <v/>
      </c>
      <c r="AB635" s="14">
        <f>IFERROR(IF(UPPER($E635)="L",SUMPRODUCT(N635:Y635,$N$3:$Y$3,$N$2:$Y$2),SUMPRODUCT(N635:Y635,$N$4:$Y$4,$N$2:$Y$2))/(Z635/($K635*$L635*$M635)),"")</f>
        <v/>
      </c>
      <c r="AC635" s="18" t="n"/>
    </row>
    <row r="636">
      <c r="A636" s="9" t="n">
        <v>695301</v>
      </c>
      <c r="B636" s="9" t="inlineStr">
        <is>
          <t>Ryland Zaborowski</t>
        </is>
      </c>
      <c r="C636" s="9" t="inlineStr">
        <is>
          <t>LAA</t>
        </is>
      </c>
      <c r="D636" s="9" t="n">
        <v>25</v>
      </c>
      <c r="E636" s="16" t="inlineStr">
        <is>
          <t>R</t>
        </is>
      </c>
      <c r="F636" s="16" t="n"/>
      <c r="G636" s="9" t="n">
        <v>8.410256410256411</v>
      </c>
      <c r="H636" s="9" t="n">
        <v>8.410256410256411</v>
      </c>
      <c r="I636" s="9" t="inlineStr">
        <is>
          <t>Depth (no MLB PA)</t>
        </is>
      </c>
      <c r="J636" s="16" t="inlineStr">
        <is>
          <t>Opening Day</t>
        </is>
      </c>
      <c r="K636" s="11">
        <f>IFERROR(INDEX(Roles!$B$17:$B$20,MATCH(J636,Roles!$A$17:$A$20,0)),1)</f>
        <v/>
      </c>
      <c r="L636" s="17" t="n">
        <v>1</v>
      </c>
      <c r="M636" s="11" t="n">
        <v>1</v>
      </c>
      <c r="N636" s="17" t="n"/>
      <c r="O636" s="17" t="n"/>
      <c r="P636" s="17" t="n"/>
      <c r="Q636" s="17" t="n"/>
      <c r="R636" s="17" t="n"/>
      <c r="S636" s="17" t="n"/>
      <c r="T636" s="17" t="n"/>
      <c r="U636" s="17" t="n"/>
      <c r="V636" s="17" t="n"/>
      <c r="W636" s="17" t="n"/>
      <c r="X636" s="17" t="n"/>
      <c r="Y636" s="17" t="n">
        <v>1</v>
      </c>
      <c r="Z636" s="13">
        <f>SUMPRODUCT(N636:Y636,$N$2:$Y$2)*$K636*$L636*$M636</f>
        <v/>
      </c>
      <c r="AA636" s="14">
        <f>SUM(N636:Y636)</f>
        <v/>
      </c>
      <c r="AB636" s="14">
        <f>IFERROR(IF(UPPER($E636)="L",SUMPRODUCT(N636:Y636,$N$3:$Y$3,$N$2:$Y$2),SUMPRODUCT(N636:Y636,$N$4:$Y$4,$N$2:$Y$2))/(Z636/($K636*$L636*$M636)),"")</f>
        <v/>
      </c>
      <c r="AC636" s="18" t="n"/>
    </row>
    <row r="637">
      <c r="A637" s="9" t="n">
        <v>812442</v>
      </c>
      <c r="B637" s="9" t="inlineStr">
        <is>
          <t>Stephen Hrustich</t>
        </is>
      </c>
      <c r="C637" s="9" t="inlineStr">
        <is>
          <t>DET</t>
        </is>
      </c>
      <c r="D637" s="9" t="n">
        <v>25</v>
      </c>
      <c r="E637" s="16" t="inlineStr">
        <is>
          <t>R</t>
        </is>
      </c>
      <c r="F637" s="16" t="n"/>
      <c r="G637" s="9" t="n">
        <v>8.615384615384615</v>
      </c>
      <c r="H637" s="9" t="n">
        <v>8.615384615384615</v>
      </c>
      <c r="I637" s="9" t="inlineStr">
        <is>
          <t>Depth (no MLB PA)</t>
        </is>
      </c>
      <c r="J637" s="16" t="inlineStr">
        <is>
          <t>Opening Day</t>
        </is>
      </c>
      <c r="K637" s="11">
        <f>IFERROR(INDEX(Roles!$B$17:$B$20,MATCH(J637,Roles!$A$17:$A$20,0)),1)</f>
        <v/>
      </c>
      <c r="L637" s="17" t="n">
        <v>1</v>
      </c>
      <c r="M637" s="11" t="n">
        <v>1</v>
      </c>
      <c r="N637" s="17" t="n"/>
      <c r="O637" s="17" t="n"/>
      <c r="P637" s="17" t="n"/>
      <c r="Q637" s="17" t="n"/>
      <c r="R637" s="17" t="n"/>
      <c r="S637" s="17" t="n"/>
      <c r="T637" s="17" t="n"/>
      <c r="U637" s="17" t="n"/>
      <c r="V637" s="17" t="n"/>
      <c r="W637" s="17" t="n"/>
      <c r="X637" s="17" t="n"/>
      <c r="Y637" s="17" t="n">
        <v>1</v>
      </c>
      <c r="Z637" s="13">
        <f>SUMPRODUCT(N637:Y637,$N$2:$Y$2)*$K637*$L637*$M637</f>
        <v/>
      </c>
      <c r="AA637" s="14">
        <f>SUM(N637:Y637)</f>
        <v/>
      </c>
      <c r="AB637" s="14">
        <f>IFERROR(IF(UPPER($E637)="L",SUMPRODUCT(N637:Y637,$N$3:$Y$3,$N$2:$Y$2),SUMPRODUCT(N637:Y637,$N$4:$Y$4,$N$2:$Y$2))/(Z637/($K637*$L637*$M637)),"")</f>
        <v/>
      </c>
      <c r="AC637" s="18" t="n"/>
    </row>
    <row r="638">
      <c r="A638" s="9" t="n">
        <v>814457</v>
      </c>
      <c r="B638" s="9" t="inlineStr">
        <is>
          <t>Jake Casey</t>
        </is>
      </c>
      <c r="C638" s="9" t="inlineStr">
        <is>
          <t>TOR</t>
        </is>
      </c>
      <c r="D638" s="9" t="n">
        <v>25</v>
      </c>
      <c r="E638" s="16" t="inlineStr">
        <is>
          <t>L</t>
        </is>
      </c>
      <c r="F638" s="16" t="n"/>
      <c r="G638" s="9" t="n">
        <v>48.41025641025641</v>
      </c>
      <c r="H638" s="9" t="n">
        <v>48.41025641025641</v>
      </c>
      <c r="I638" s="9" t="inlineStr">
        <is>
          <t>Depth (no MLB PA)</t>
        </is>
      </c>
      <c r="J638" s="16" t="inlineStr">
        <is>
          <t>Opening Day</t>
        </is>
      </c>
      <c r="K638" s="11">
        <f>IFERROR(INDEX(Roles!$B$17:$B$20,MATCH(J638,Roles!$A$17:$A$20,0)),1)</f>
        <v/>
      </c>
      <c r="L638" s="17" t="n">
        <v>1</v>
      </c>
      <c r="M638" s="11" t="n">
        <v>1</v>
      </c>
      <c r="N638" s="17" t="n"/>
      <c r="O638" s="17" t="n"/>
      <c r="P638" s="17" t="n"/>
      <c r="Q638" s="17" t="n"/>
      <c r="R638" s="17" t="n"/>
      <c r="S638" s="17" t="n"/>
      <c r="T638" s="17" t="n"/>
      <c r="U638" s="17" t="n"/>
      <c r="V638" s="17" t="n"/>
      <c r="W638" s="17" t="n"/>
      <c r="X638" s="17" t="n"/>
      <c r="Y638" s="17" t="n">
        <v>1</v>
      </c>
      <c r="Z638" s="13">
        <f>SUMPRODUCT(N638:Y638,$N$2:$Y$2)*$K638*$L638*$M638</f>
        <v/>
      </c>
      <c r="AA638" s="14">
        <f>SUM(N638:Y638)</f>
        <v/>
      </c>
      <c r="AB638" s="14">
        <f>IFERROR(IF(UPPER($E638)="L",SUMPRODUCT(N638:Y638,$N$3:$Y$3,$N$2:$Y$2),SUMPRODUCT(N638:Y638,$N$4:$Y$4,$N$2:$Y$2))/(Z638/($K638*$L638*$M638)),"")</f>
        <v/>
      </c>
      <c r="AC638" s="18" t="n"/>
    </row>
    <row r="639">
      <c r="A639" s="9" t="n">
        <v>811083</v>
      </c>
      <c r="B639" s="9" t="inlineStr">
        <is>
          <t>Andrew Tess</t>
        </is>
      </c>
      <c r="C639" s="9" t="inlineStr">
        <is>
          <t>BAL</t>
        </is>
      </c>
      <c r="D639" s="9" t="n">
        <v>25</v>
      </c>
      <c r="E639" s="16" t="inlineStr">
        <is>
          <t>R</t>
        </is>
      </c>
      <c r="F639" s="16" t="n"/>
      <c r="G639" s="9" t="n">
        <v>2.461538461538462</v>
      </c>
      <c r="H639" s="9" t="n">
        <v>2.461538461538462</v>
      </c>
      <c r="I639" s="9" t="inlineStr">
        <is>
          <t>Depth (no MLB PA)</t>
        </is>
      </c>
      <c r="J639" s="16" t="inlineStr">
        <is>
          <t>Opening Day</t>
        </is>
      </c>
      <c r="K639" s="11">
        <f>IFERROR(INDEX(Roles!$B$17:$B$20,MATCH(J639,Roles!$A$17:$A$20,0)),1)</f>
        <v/>
      </c>
      <c r="L639" s="17" t="n">
        <v>1</v>
      </c>
      <c r="M639" s="11" t="n">
        <v>1</v>
      </c>
      <c r="N639" s="17" t="n"/>
      <c r="O639" s="17" t="n"/>
      <c r="P639" s="17" t="n"/>
      <c r="Q639" s="17" t="n"/>
      <c r="R639" s="17" t="n"/>
      <c r="S639" s="17" t="n"/>
      <c r="T639" s="17" t="n"/>
      <c r="U639" s="17" t="n"/>
      <c r="V639" s="17" t="n"/>
      <c r="W639" s="17" t="n"/>
      <c r="X639" s="17" t="n"/>
      <c r="Y639" s="17" t="n">
        <v>1</v>
      </c>
      <c r="Z639" s="13">
        <f>SUMPRODUCT(N639:Y639,$N$2:$Y$2)*$K639*$L639*$M639</f>
        <v/>
      </c>
      <c r="AA639" s="14">
        <f>SUM(N639:Y639)</f>
        <v/>
      </c>
      <c r="AB639" s="14">
        <f>IFERROR(IF(UPPER($E639)="L",SUMPRODUCT(N639:Y639,$N$3:$Y$3,$N$2:$Y$2),SUMPRODUCT(N639:Y639,$N$4:$Y$4,$N$2:$Y$2))/(Z639/($K639*$L639*$M639)),"")</f>
        <v/>
      </c>
      <c r="AC639" s="18" t="n"/>
    </row>
    <row r="640">
      <c r="A640" s="9" t="n">
        <v>694806</v>
      </c>
      <c r="B640" s="9" t="inlineStr">
        <is>
          <t>Brandon Eike</t>
        </is>
      </c>
      <c r="C640" s="9" t="inlineStr">
        <is>
          <t>SEA</t>
        </is>
      </c>
      <c r="D640" s="9" t="n">
        <v>25</v>
      </c>
      <c r="E640" s="16" t="inlineStr">
        <is>
          <t>R</t>
        </is>
      </c>
      <c r="F640" s="16" t="n"/>
      <c r="G640" s="9" t="n">
        <v>97.43589743589745</v>
      </c>
      <c r="H640" s="9" t="n">
        <v>97.43589743589745</v>
      </c>
      <c r="I640" s="9" t="inlineStr">
        <is>
          <t>Depth (no MLB PA)</t>
        </is>
      </c>
      <c r="J640" s="16" t="inlineStr">
        <is>
          <t>Opening Day</t>
        </is>
      </c>
      <c r="K640" s="11">
        <f>IFERROR(INDEX(Roles!$B$17:$B$20,MATCH(J640,Roles!$A$17:$A$20,0)),1)</f>
        <v/>
      </c>
      <c r="L640" s="17" t="n">
        <v>1</v>
      </c>
      <c r="M640" s="11" t="n">
        <v>1</v>
      </c>
      <c r="N640" s="17" t="n"/>
      <c r="O640" s="17" t="n"/>
      <c r="P640" s="17" t="n"/>
      <c r="Q640" s="17" t="n"/>
      <c r="R640" s="17" t="n"/>
      <c r="S640" s="17" t="n"/>
      <c r="T640" s="17" t="n"/>
      <c r="U640" s="17" t="n"/>
      <c r="V640" s="17" t="n"/>
      <c r="W640" s="17" t="n"/>
      <c r="X640" s="17" t="n"/>
      <c r="Y640" s="17" t="n">
        <v>1</v>
      </c>
      <c r="Z640" s="13">
        <f>SUMPRODUCT(N640:Y640,$N$2:$Y$2)*$K640*$L640*$M640</f>
        <v/>
      </c>
      <c r="AA640" s="14">
        <f>SUM(N640:Y640)</f>
        <v/>
      </c>
      <c r="AB640" s="14">
        <f>IFERROR(IF(UPPER($E640)="L",SUMPRODUCT(N640:Y640,$N$3:$Y$3,$N$2:$Y$2),SUMPRODUCT(N640:Y640,$N$4:$Y$4,$N$2:$Y$2))/(Z640/($K640*$L640*$M640)),"")</f>
        <v/>
      </c>
      <c r="AC640" s="18" t="n"/>
    </row>
    <row r="641">
      <c r="A641" s="9" t="n">
        <v>822034</v>
      </c>
      <c r="B641" s="9" t="inlineStr">
        <is>
          <t>Ryan Tayman</t>
        </is>
      </c>
      <c r="C641" s="9" t="inlineStr">
        <is>
          <t>NYM</t>
        </is>
      </c>
      <c r="D641" s="9" t="n">
        <v>25</v>
      </c>
      <c r="E641" s="16" t="inlineStr">
        <is>
          <t>R</t>
        </is>
      </c>
      <c r="F641" s="16" t="n"/>
      <c r="G641" s="9" t="n">
        <v>10.95384615384615</v>
      </c>
      <c r="H641" s="9" t="n">
        <v>10.95384615384615</v>
      </c>
      <c r="I641" s="9" t="inlineStr">
        <is>
          <t>Depth (no MLB PA)</t>
        </is>
      </c>
      <c r="J641" s="16" t="inlineStr">
        <is>
          <t>Opening Day</t>
        </is>
      </c>
      <c r="K641" s="11">
        <f>IFERROR(INDEX(Roles!$B$17:$B$20,MATCH(J641,Roles!$A$17:$A$20,0)),1)</f>
        <v/>
      </c>
      <c r="L641" s="17" t="n">
        <v>1</v>
      </c>
      <c r="M641" s="11" t="n">
        <v>1</v>
      </c>
      <c r="N641" s="17" t="n"/>
      <c r="O641" s="17" t="n"/>
      <c r="P641" s="17" t="n"/>
      <c r="Q641" s="17" t="n"/>
      <c r="R641" s="17" t="n"/>
      <c r="S641" s="17" t="n"/>
      <c r="T641" s="17" t="n"/>
      <c r="U641" s="17" t="n"/>
      <c r="V641" s="17" t="n"/>
      <c r="W641" s="17" t="n"/>
      <c r="X641" s="17" t="n"/>
      <c r="Y641" s="17" t="n">
        <v>1</v>
      </c>
      <c r="Z641" s="13">
        <f>SUMPRODUCT(N641:Y641,$N$2:$Y$2)*$K641*$L641*$M641</f>
        <v/>
      </c>
      <c r="AA641" s="14">
        <f>SUM(N641:Y641)</f>
        <v/>
      </c>
      <c r="AB641" s="14">
        <f>IFERROR(IF(UPPER($E641)="L",SUMPRODUCT(N641:Y641,$N$3:$Y$3,$N$2:$Y$2),SUMPRODUCT(N641:Y641,$N$4:$Y$4,$N$2:$Y$2))/(Z641/($K641*$L641*$M641)),"")</f>
        <v/>
      </c>
      <c r="AC641" s="18" t="n"/>
    </row>
    <row r="642">
      <c r="A642" s="9" t="n">
        <v>835409</v>
      </c>
      <c r="B642" s="9" t="inlineStr">
        <is>
          <t>Erasmi Rodriguez</t>
        </is>
      </c>
      <c r="C642" s="9" t="inlineStr">
        <is>
          <t>CWS</t>
        </is>
      </c>
      <c r="D642" s="9" t="n">
        <v>25</v>
      </c>
      <c r="E642" s="16" t="inlineStr">
        <is>
          <t>R</t>
        </is>
      </c>
      <c r="F642" s="16" t="n"/>
      <c r="G642" s="9" t="n">
        <v>2.584615384615385</v>
      </c>
      <c r="H642" s="9" t="n">
        <v>2.584615384615385</v>
      </c>
      <c r="I642" s="9" t="inlineStr">
        <is>
          <t>Depth (no MLB PA)</t>
        </is>
      </c>
      <c r="J642" s="16" t="inlineStr">
        <is>
          <t>Opening Day</t>
        </is>
      </c>
      <c r="K642" s="11">
        <f>IFERROR(INDEX(Roles!$B$17:$B$20,MATCH(J642,Roles!$A$17:$A$20,0)),1)</f>
        <v/>
      </c>
      <c r="L642" s="17" t="n">
        <v>1</v>
      </c>
      <c r="M642" s="11" t="n">
        <v>1</v>
      </c>
      <c r="N642" s="17" t="n"/>
      <c r="O642" s="17" t="n"/>
      <c r="P642" s="17" t="n"/>
      <c r="Q642" s="17" t="n"/>
      <c r="R642" s="17" t="n"/>
      <c r="S642" s="17" t="n"/>
      <c r="T642" s="17" t="n"/>
      <c r="U642" s="17" t="n"/>
      <c r="V642" s="17" t="n"/>
      <c r="W642" s="17" t="n"/>
      <c r="X642" s="17" t="n"/>
      <c r="Y642" s="17" t="n">
        <v>1</v>
      </c>
      <c r="Z642" s="13">
        <f>SUMPRODUCT(N642:Y642,$N$2:$Y$2)*$K642*$L642*$M642</f>
        <v/>
      </c>
      <c r="AA642" s="14">
        <f>SUM(N642:Y642)</f>
        <v/>
      </c>
      <c r="AB642" s="14">
        <f>IFERROR(IF(UPPER($E642)="L",SUMPRODUCT(N642:Y642,$N$3:$Y$3,$N$2:$Y$2),SUMPRODUCT(N642:Y642,$N$4:$Y$4,$N$2:$Y$2))/(Z642/($K642*$L642*$M642)),"")</f>
        <v/>
      </c>
      <c r="AC642" s="18" t="n"/>
    </row>
    <row r="643">
      <c r="A643" s="9" t="n">
        <v>686617</v>
      </c>
      <c r="B643" s="9" t="inlineStr">
        <is>
          <t>Christian Fagnant</t>
        </is>
      </c>
      <c r="C643" s="9" t="inlineStr">
        <is>
          <t>WSH</t>
        </is>
      </c>
      <c r="D643" s="9" t="n">
        <v>25</v>
      </c>
      <c r="E643" s="16" t="inlineStr">
        <is>
          <t>L</t>
        </is>
      </c>
      <c r="F643" s="16" t="n"/>
      <c r="G643" s="9" t="n">
        <v>2.584615384615385</v>
      </c>
      <c r="H643" s="9" t="n">
        <v>2.584615384615385</v>
      </c>
      <c r="I643" s="9" t="inlineStr">
        <is>
          <t>Depth (no MLB PA)</t>
        </is>
      </c>
      <c r="J643" s="16" t="inlineStr">
        <is>
          <t>Opening Day</t>
        </is>
      </c>
      <c r="K643" s="11">
        <f>IFERROR(INDEX(Roles!$B$17:$B$20,MATCH(J643,Roles!$A$17:$A$20,0)),1)</f>
        <v/>
      </c>
      <c r="L643" s="17" t="n">
        <v>1</v>
      </c>
      <c r="M643" s="11" t="n">
        <v>1</v>
      </c>
      <c r="N643" s="17" t="n"/>
      <c r="O643" s="17" t="n"/>
      <c r="P643" s="17" t="n"/>
      <c r="Q643" s="17" t="n"/>
      <c r="R643" s="17" t="n"/>
      <c r="S643" s="17" t="n"/>
      <c r="T643" s="17" t="n"/>
      <c r="U643" s="17" t="n"/>
      <c r="V643" s="17" t="n"/>
      <c r="W643" s="17" t="n"/>
      <c r="X643" s="17" t="n"/>
      <c r="Y643" s="17" t="n">
        <v>1</v>
      </c>
      <c r="Z643" s="13">
        <f>SUMPRODUCT(N643:Y643,$N$2:$Y$2)*$K643*$L643*$M643</f>
        <v/>
      </c>
      <c r="AA643" s="14">
        <f>SUM(N643:Y643)</f>
        <v/>
      </c>
      <c r="AB643" s="14">
        <f>IFERROR(IF(UPPER($E643)="L",SUMPRODUCT(N643:Y643,$N$3:$Y$3,$N$2:$Y$2),SUMPRODUCT(N643:Y643,$N$4:$Y$4,$N$2:$Y$2))/(Z643/($K643*$L643*$M643)),"")</f>
        <v/>
      </c>
      <c r="AC643" s="18" t="n"/>
    </row>
    <row r="644">
      <c r="A644" s="9" t="n">
        <v>801307</v>
      </c>
      <c r="B644" s="9" t="inlineStr">
        <is>
          <t>Gregory Bozzo</t>
        </is>
      </c>
      <c r="C644" s="9" t="inlineStr">
        <is>
          <t>NYY</t>
        </is>
      </c>
      <c r="D644" s="9" t="n">
        <v>25</v>
      </c>
      <c r="E644" s="16" t="inlineStr">
        <is>
          <t>R</t>
        </is>
      </c>
      <c r="F644" s="16" t="n"/>
      <c r="G644" s="9" t="n">
        <v>2.584615384615385</v>
      </c>
      <c r="H644" s="9" t="n">
        <v>2.584615384615385</v>
      </c>
      <c r="I644" s="9" t="inlineStr">
        <is>
          <t>Depth (no MLB PA)</t>
        </is>
      </c>
      <c r="J644" s="16" t="inlineStr">
        <is>
          <t>Opening Day</t>
        </is>
      </c>
      <c r="K644" s="11">
        <f>IFERROR(INDEX(Roles!$B$17:$B$20,MATCH(J644,Roles!$A$17:$A$20,0)),1)</f>
        <v/>
      </c>
      <c r="L644" s="17" t="n">
        <v>1</v>
      </c>
      <c r="M644" s="11" t="n">
        <v>1</v>
      </c>
      <c r="N644" s="17" t="n"/>
      <c r="O644" s="17" t="n"/>
      <c r="P644" s="17" t="n"/>
      <c r="Q644" s="17" t="n"/>
      <c r="R644" s="17" t="n"/>
      <c r="S644" s="17" t="n"/>
      <c r="T644" s="17" t="n"/>
      <c r="U644" s="17" t="n"/>
      <c r="V644" s="17" t="n"/>
      <c r="W644" s="17" t="n"/>
      <c r="X644" s="17" t="n"/>
      <c r="Y644" s="17" t="n">
        <v>1</v>
      </c>
      <c r="Z644" s="13">
        <f>SUMPRODUCT(N644:Y644,$N$2:$Y$2)*$K644*$L644*$M644</f>
        <v/>
      </c>
      <c r="AA644" s="14">
        <f>SUM(N644:Y644)</f>
        <v/>
      </c>
      <c r="AB644" s="14">
        <f>IFERROR(IF(UPPER($E644)="L",SUMPRODUCT(N644:Y644,$N$3:$Y$3,$N$2:$Y$2),SUMPRODUCT(N644:Y644,$N$4:$Y$4,$N$2:$Y$2))/(Z644/($K644*$L644*$M644)),"")</f>
        <v/>
      </c>
      <c r="AC644" s="18" t="n"/>
    </row>
    <row r="645">
      <c r="A645" s="9" t="n">
        <v>828657</v>
      </c>
      <c r="B645" s="9" t="inlineStr">
        <is>
          <t>Aiden Robbins</t>
        </is>
      </c>
      <c r="C645" s="9" t="inlineStr">
        <is>
          <t>NYM</t>
        </is>
      </c>
      <c r="D645" s="9" t="n">
        <v>22</v>
      </c>
      <c r="E645" s="16" t="inlineStr">
        <is>
          <t>R</t>
        </is>
      </c>
      <c r="F645" s="16" t="n"/>
      <c r="G645" s="9" t="n">
        <v>4.512820512820514</v>
      </c>
      <c r="H645" s="9" t="n">
        <v>4.512820512820514</v>
      </c>
      <c r="I645" s="9" t="inlineStr">
        <is>
          <t>Depth (no MLB PA)</t>
        </is>
      </c>
      <c r="J645" s="16" t="inlineStr">
        <is>
          <t>Opening Day</t>
        </is>
      </c>
      <c r="K645" s="11">
        <f>IFERROR(INDEX(Roles!$B$17:$B$20,MATCH(J645,Roles!$A$17:$A$20,0)),1)</f>
        <v/>
      </c>
      <c r="L645" s="17" t="n">
        <v>1</v>
      </c>
      <c r="M645" s="11" t="n">
        <v>1</v>
      </c>
      <c r="N645" s="17" t="n"/>
      <c r="O645" s="17" t="n"/>
      <c r="P645" s="17" t="n"/>
      <c r="Q645" s="17" t="n"/>
      <c r="R645" s="17" t="n"/>
      <c r="S645" s="17" t="n"/>
      <c r="T645" s="17" t="n"/>
      <c r="U645" s="17" t="n"/>
      <c r="V645" s="17" t="n"/>
      <c r="W645" s="17" t="n"/>
      <c r="X645" s="17" t="n"/>
      <c r="Y645" s="17" t="n">
        <v>1</v>
      </c>
      <c r="Z645" s="13">
        <f>SUMPRODUCT(N645:Y645,$N$2:$Y$2)*$K645*$L645*$M645</f>
        <v/>
      </c>
      <c r="AA645" s="14">
        <f>SUM(N645:Y645)</f>
        <v/>
      </c>
      <c r="AB645" s="14">
        <f>IFERROR(IF(UPPER($E645)="L",SUMPRODUCT(N645:Y645,$N$3:$Y$3,$N$2:$Y$2),SUMPRODUCT(N645:Y645,$N$4:$Y$4,$N$2:$Y$2))/(Z645/($K645*$L645*$M645)),"")</f>
        <v/>
      </c>
      <c r="AC645" s="18" t="n"/>
    </row>
    <row r="646">
      <c r="A646" s="9" t="n">
        <v>686438</v>
      </c>
      <c r="B646" s="9" t="inlineStr">
        <is>
          <t>Rubel Cespedes</t>
        </is>
      </c>
      <c r="C646" s="9" t="inlineStr">
        <is>
          <t>LAA</t>
        </is>
      </c>
      <c r="D646" s="9" t="n">
        <v>25</v>
      </c>
      <c r="E646" s="16" t="inlineStr">
        <is>
          <t>L</t>
        </is>
      </c>
      <c r="F646" s="16" t="n"/>
      <c r="G646" s="9" t="n">
        <v>2.584615384615385</v>
      </c>
      <c r="H646" s="9" t="n">
        <v>2.584615384615385</v>
      </c>
      <c r="I646" s="9" t="inlineStr">
        <is>
          <t>Depth (no MLB PA)</t>
        </is>
      </c>
      <c r="J646" s="16" t="inlineStr">
        <is>
          <t>Opening Day</t>
        </is>
      </c>
      <c r="K646" s="11">
        <f>IFERROR(INDEX(Roles!$B$17:$B$20,MATCH(J646,Roles!$A$17:$A$20,0)),1)</f>
        <v/>
      </c>
      <c r="L646" s="17" t="n">
        <v>1</v>
      </c>
      <c r="M646" s="11" t="n">
        <v>1</v>
      </c>
      <c r="N646" s="17" t="n"/>
      <c r="O646" s="17" t="n"/>
      <c r="P646" s="17" t="n"/>
      <c r="Q646" s="17" t="n"/>
      <c r="R646" s="17" t="n"/>
      <c r="S646" s="17" t="n"/>
      <c r="T646" s="17" t="n"/>
      <c r="U646" s="17" t="n"/>
      <c r="V646" s="17" t="n"/>
      <c r="W646" s="17" t="n"/>
      <c r="X646" s="17" t="n"/>
      <c r="Y646" s="17" t="n">
        <v>1</v>
      </c>
      <c r="Z646" s="13">
        <f>SUMPRODUCT(N646:Y646,$N$2:$Y$2)*$K646*$L646*$M646</f>
        <v/>
      </c>
      <c r="AA646" s="14">
        <f>SUM(N646:Y646)</f>
        <v/>
      </c>
      <c r="AB646" s="14">
        <f>IFERROR(IF(UPPER($E646)="L",SUMPRODUCT(N646:Y646,$N$3:$Y$3,$N$2:$Y$2),SUMPRODUCT(N646:Y646,$N$4:$Y$4,$N$2:$Y$2))/(Z646/($K646*$L646*$M646)),"")</f>
        <v/>
      </c>
      <c r="AC646" s="18" t="n"/>
    </row>
    <row r="647">
      <c r="A647" s="9" t="n">
        <v>701820</v>
      </c>
      <c r="B647" s="9" t="inlineStr">
        <is>
          <t>Jacob Friend</t>
        </is>
      </c>
      <c r="C647" s="9" t="inlineStr">
        <is>
          <t>CIN</t>
        </is>
      </c>
      <c r="D647" s="9" t="n">
        <v>25</v>
      </c>
      <c r="E647" s="16" t="inlineStr">
        <is>
          <t>L</t>
        </is>
      </c>
      <c r="F647" s="16" t="n"/>
      <c r="G647" s="9" t="n">
        <v>55.7948717948718</v>
      </c>
      <c r="H647" s="9" t="n">
        <v>55.7948717948718</v>
      </c>
      <c r="I647" s="9" t="inlineStr">
        <is>
          <t>Depth (no MLB PA)</t>
        </is>
      </c>
      <c r="J647" s="16" t="inlineStr">
        <is>
          <t>Opening Day</t>
        </is>
      </c>
      <c r="K647" s="11">
        <f>IFERROR(INDEX(Roles!$B$17:$B$20,MATCH(J647,Roles!$A$17:$A$20,0)),1)</f>
        <v/>
      </c>
      <c r="L647" s="17" t="n">
        <v>1</v>
      </c>
      <c r="M647" s="11" t="n">
        <v>1</v>
      </c>
      <c r="N647" s="17" t="n"/>
      <c r="O647" s="17" t="n"/>
      <c r="P647" s="17" t="n"/>
      <c r="Q647" s="17" t="n"/>
      <c r="R647" s="17" t="n"/>
      <c r="S647" s="17" t="n"/>
      <c r="T647" s="17" t="n"/>
      <c r="U647" s="17" t="n"/>
      <c r="V647" s="17" t="n"/>
      <c r="W647" s="17" t="n"/>
      <c r="X647" s="17" t="n"/>
      <c r="Y647" s="17" t="n">
        <v>1</v>
      </c>
      <c r="Z647" s="13">
        <f>SUMPRODUCT(N647:Y647,$N$2:$Y$2)*$K647*$L647*$M647</f>
        <v/>
      </c>
      <c r="AA647" s="14">
        <f>SUM(N647:Y647)</f>
        <v/>
      </c>
      <c r="AB647" s="14">
        <f>IFERROR(IF(UPPER($E647)="L",SUMPRODUCT(N647:Y647,$N$3:$Y$3,$N$2:$Y$2),SUMPRODUCT(N647:Y647,$N$4:$Y$4,$N$2:$Y$2))/(Z647/($K647*$L647*$M647)),"")</f>
        <v/>
      </c>
      <c r="AC647" s="18" t="n"/>
    </row>
    <row r="648">
      <c r="A648" s="9" t="n">
        <v>700815</v>
      </c>
      <c r="B648" s="9" t="inlineStr">
        <is>
          <t>Matthew Ellis</t>
        </is>
      </c>
      <c r="C648" s="9" t="inlineStr">
        <is>
          <t>SEA</t>
        </is>
      </c>
      <c r="D648" s="9" t="n">
        <v>25</v>
      </c>
      <c r="E648" s="16" t="inlineStr">
        <is>
          <t>L</t>
        </is>
      </c>
      <c r="F648" s="16" t="n"/>
      <c r="G648" s="9" t="n">
        <v>68.30769230769231</v>
      </c>
      <c r="H648" s="9" t="n">
        <v>68.30769230769231</v>
      </c>
      <c r="I648" s="9" t="inlineStr">
        <is>
          <t>Depth (no MLB PA)</t>
        </is>
      </c>
      <c r="J648" s="16" t="inlineStr">
        <is>
          <t>Opening Day</t>
        </is>
      </c>
      <c r="K648" s="11">
        <f>IFERROR(INDEX(Roles!$B$17:$B$20,MATCH(J648,Roles!$A$17:$A$20,0)),1)</f>
        <v/>
      </c>
      <c r="L648" s="17" t="n">
        <v>1</v>
      </c>
      <c r="M648" s="11" t="n">
        <v>1</v>
      </c>
      <c r="N648" s="17" t="n"/>
      <c r="O648" s="17" t="n"/>
      <c r="P648" s="17" t="n"/>
      <c r="Q648" s="17" t="n"/>
      <c r="R648" s="17" t="n"/>
      <c r="S648" s="17" t="n"/>
      <c r="T648" s="17" t="n"/>
      <c r="U648" s="17" t="n"/>
      <c r="V648" s="17" t="n"/>
      <c r="W648" s="17" t="n"/>
      <c r="X648" s="17" t="n"/>
      <c r="Y648" s="17" t="n">
        <v>1</v>
      </c>
      <c r="Z648" s="13">
        <f>SUMPRODUCT(N648:Y648,$N$2:$Y$2)*$K648*$L648*$M648</f>
        <v/>
      </c>
      <c r="AA648" s="14">
        <f>SUM(N648:Y648)</f>
        <v/>
      </c>
      <c r="AB648" s="14">
        <f>IFERROR(IF(UPPER($E648)="L",SUMPRODUCT(N648:Y648,$N$3:$Y$3,$N$2:$Y$2),SUMPRODUCT(N648:Y648,$N$4:$Y$4,$N$2:$Y$2))/(Z648/($K648*$L648*$M648)),"")</f>
        <v/>
      </c>
      <c r="AC648" s="18" t="n"/>
    </row>
    <row r="649">
      <c r="A649" s="9" t="n">
        <v>670231</v>
      </c>
      <c r="B649" s="9" t="inlineStr">
        <is>
          <t>John Rave</t>
        </is>
      </c>
      <c r="C649" s="9" t="inlineStr">
        <is>
          <t>KC</t>
        </is>
      </c>
      <c r="D649" s="9" t="n">
        <v>29</v>
      </c>
      <c r="E649" s="16" t="inlineStr">
        <is>
          <t>L</t>
        </is>
      </c>
      <c r="F649" s="16" t="inlineStr">
        <is>
          <t>RF</t>
        </is>
      </c>
      <c r="G649" s="9" t="n">
        <v>161</v>
      </c>
      <c r="H649" s="9" t="n">
        <v>336</v>
      </c>
      <c r="I649" s="9" t="inlineStr">
        <is>
          <t>Strong Side Platoon</t>
        </is>
      </c>
      <c r="J649" s="16" t="inlineStr">
        <is>
          <t>Opening Day</t>
        </is>
      </c>
      <c r="K649" s="11">
        <f>IFERROR(INDEX(Roles!$B$17:$B$20,MATCH(J649,Roles!$A$17:$A$20,0)),1)</f>
        <v/>
      </c>
      <c r="L649" s="17" t="n">
        <v>1</v>
      </c>
      <c r="M649" s="11" t="n">
        <v>1</v>
      </c>
      <c r="N649" s="17" t="n">
        <v>0.4</v>
      </c>
      <c r="O649" s="17" t="n"/>
      <c r="P649" s="17" t="n">
        <v>0.6</v>
      </c>
      <c r="Q649" s="17" t="n"/>
      <c r="R649" s="17" t="n"/>
      <c r="S649" s="17" t="n"/>
      <c r="T649" s="17" t="n"/>
      <c r="U649" s="17" t="n"/>
      <c r="V649" s="17" t="n"/>
      <c r="W649" s="17" t="n"/>
      <c r="X649" s="17" t="n"/>
      <c r="Y649" s="17" t="n"/>
      <c r="Z649" s="13">
        <f>SUMPRODUCT(N649:Y649,$N$2:$Y$2)*$K649*$L649*$M649</f>
        <v/>
      </c>
      <c r="AA649" s="14">
        <f>SUM(N649:Y649)</f>
        <v/>
      </c>
      <c r="AB649" s="14">
        <f>IFERROR(IF(UPPER($E649)="L",SUMPRODUCT(N649:Y649,$N$3:$Y$3,$N$2:$Y$2),SUMPRODUCT(N649:Y649,$N$4:$Y$4,$N$2:$Y$2))/(Z649/($K649*$L649*$M649)),"")</f>
        <v/>
      </c>
      <c r="AC649" s="18" t="n"/>
    </row>
    <row r="650">
      <c r="A650" s="9" t="n">
        <v>815488</v>
      </c>
      <c r="B650" s="9" t="inlineStr">
        <is>
          <t>Augie Lopez</t>
        </is>
      </c>
      <c r="C650" s="9" t="inlineStr">
        <is>
          <t>SD</t>
        </is>
      </c>
      <c r="D650" s="9" t="n">
        <v>25</v>
      </c>
      <c r="E650" s="16" t="inlineStr">
        <is>
          <t>L</t>
        </is>
      </c>
      <c r="F650" s="16" t="n"/>
      <c r="G650" s="9" t="n">
        <v>4.8</v>
      </c>
      <c r="H650" s="9" t="n">
        <v>4.8</v>
      </c>
      <c r="I650" s="9" t="inlineStr">
        <is>
          <t>Depth (no MLB PA)</t>
        </is>
      </c>
      <c r="J650" s="16" t="inlineStr">
        <is>
          <t>Opening Day</t>
        </is>
      </c>
      <c r="K650" s="11">
        <f>IFERROR(INDEX(Roles!$B$17:$B$20,MATCH(J650,Roles!$A$17:$A$20,0)),1)</f>
        <v/>
      </c>
      <c r="L650" s="17" t="n">
        <v>1</v>
      </c>
      <c r="M650" s="11" t="n">
        <v>1</v>
      </c>
      <c r="N650" s="17" t="n"/>
      <c r="O650" s="17" t="n"/>
      <c r="P650" s="17" t="n"/>
      <c r="Q650" s="17" t="n"/>
      <c r="R650" s="17" t="n"/>
      <c r="S650" s="17" t="n"/>
      <c r="T650" s="17" t="n"/>
      <c r="U650" s="17" t="n"/>
      <c r="V650" s="17" t="n"/>
      <c r="W650" s="17" t="n"/>
      <c r="X650" s="17" t="n"/>
      <c r="Y650" s="17" t="n">
        <v>1</v>
      </c>
      <c r="Z650" s="13">
        <f>SUMPRODUCT(N650:Y650,$N$2:$Y$2)*$K650*$L650*$M650</f>
        <v/>
      </c>
      <c r="AA650" s="14">
        <f>SUM(N650:Y650)</f>
        <v/>
      </c>
      <c r="AB650" s="14">
        <f>IFERROR(IF(UPPER($E650)="L",SUMPRODUCT(N650:Y650,$N$3:$Y$3,$N$2:$Y$2),SUMPRODUCT(N650:Y650,$N$4:$Y$4,$N$2:$Y$2))/(Z650/($K650*$L650*$M650)),"")</f>
        <v/>
      </c>
      <c r="AC650" s="18" t="n"/>
    </row>
    <row r="651">
      <c r="A651" s="9" t="n">
        <v>663445</v>
      </c>
      <c r="B651" s="9" t="inlineStr">
        <is>
          <t>James Nelson</t>
        </is>
      </c>
      <c r="C651" s="9" t="inlineStr">
        <is>
          <t>HOU</t>
        </is>
      </c>
      <c r="D651" s="9" t="n">
        <v>25</v>
      </c>
      <c r="E651" s="16" t="inlineStr">
        <is>
          <t>R</t>
        </is>
      </c>
      <c r="F651" s="16" t="n"/>
      <c r="G651" s="9" t="n">
        <v>104.9230769230769</v>
      </c>
      <c r="H651" s="9" t="n">
        <v>104.9230769230769</v>
      </c>
      <c r="I651" s="9" t="inlineStr">
        <is>
          <t>Depth (no MLB PA)</t>
        </is>
      </c>
      <c r="J651" s="16" t="inlineStr">
        <is>
          <t>Opening Day</t>
        </is>
      </c>
      <c r="K651" s="11">
        <f>IFERROR(INDEX(Roles!$B$17:$B$20,MATCH(J651,Roles!$A$17:$A$20,0)),1)</f>
        <v/>
      </c>
      <c r="L651" s="17" t="n">
        <v>1</v>
      </c>
      <c r="M651" s="11" t="n">
        <v>1</v>
      </c>
      <c r="N651" s="17" t="n"/>
      <c r="O651" s="17" t="n"/>
      <c r="P651" s="17" t="n"/>
      <c r="Q651" s="17" t="n"/>
      <c r="R651" s="17" t="n"/>
      <c r="S651" s="17" t="n"/>
      <c r="T651" s="17" t="n"/>
      <c r="U651" s="17" t="n"/>
      <c r="V651" s="17" t="n"/>
      <c r="W651" s="17" t="n"/>
      <c r="X651" s="17" t="n"/>
      <c r="Y651" s="17" t="n">
        <v>1</v>
      </c>
      <c r="Z651" s="13">
        <f>SUMPRODUCT(N651:Y651,$N$2:$Y$2)*$K651*$L651*$M651</f>
        <v/>
      </c>
      <c r="AA651" s="14">
        <f>SUM(N651:Y651)</f>
        <v/>
      </c>
      <c r="AB651" s="14">
        <f>IFERROR(IF(UPPER($E651)="L",SUMPRODUCT(N651:Y651,$N$3:$Y$3,$N$2:$Y$2),SUMPRODUCT(N651:Y651,$N$4:$Y$4,$N$2:$Y$2))/(Z651/($K651*$L651*$M651)),"")</f>
        <v/>
      </c>
      <c r="AC651" s="18" t="n"/>
    </row>
    <row r="652">
      <c r="A652" s="9" t="n">
        <v>676509</v>
      </c>
      <c r="B652" s="9" t="inlineStr">
        <is>
          <t>Josh Crouch</t>
        </is>
      </c>
      <c r="C652" s="9" t="inlineStr">
        <is>
          <t>LAA</t>
        </is>
      </c>
      <c r="D652" s="9" t="n">
        <v>25</v>
      </c>
      <c r="E652" s="16" t="inlineStr">
        <is>
          <t>R</t>
        </is>
      </c>
      <c r="F652" s="16" t="n"/>
      <c r="G652" s="9" t="n">
        <v>8.974358974358974</v>
      </c>
      <c r="H652" s="9" t="n">
        <v>8.974358974358974</v>
      </c>
      <c r="I652" s="9" t="inlineStr">
        <is>
          <t>Depth (no MLB PA)</t>
        </is>
      </c>
      <c r="J652" s="16" t="inlineStr">
        <is>
          <t>Opening Day</t>
        </is>
      </c>
      <c r="K652" s="11">
        <f>IFERROR(INDEX(Roles!$B$17:$B$20,MATCH(J652,Roles!$A$17:$A$20,0)),1)</f>
        <v/>
      </c>
      <c r="L652" s="17" t="n">
        <v>1</v>
      </c>
      <c r="M652" s="11" t="n">
        <v>1</v>
      </c>
      <c r="N652" s="17" t="n"/>
      <c r="O652" s="17" t="n"/>
      <c r="P652" s="17" t="n"/>
      <c r="Q652" s="17" t="n"/>
      <c r="R652" s="17" t="n"/>
      <c r="S652" s="17" t="n"/>
      <c r="T652" s="17" t="n"/>
      <c r="U652" s="17" t="n"/>
      <c r="V652" s="17" t="n"/>
      <c r="W652" s="17" t="n"/>
      <c r="X652" s="17" t="n"/>
      <c r="Y652" s="17" t="n">
        <v>1</v>
      </c>
      <c r="Z652" s="13">
        <f>SUMPRODUCT(N652:Y652,$N$2:$Y$2)*$K652*$L652*$M652</f>
        <v/>
      </c>
      <c r="AA652" s="14">
        <f>SUM(N652:Y652)</f>
        <v/>
      </c>
      <c r="AB652" s="14">
        <f>IFERROR(IF(UPPER($E652)="L",SUMPRODUCT(N652:Y652,$N$3:$Y$3,$N$2:$Y$2),SUMPRODUCT(N652:Y652,$N$4:$Y$4,$N$2:$Y$2))/(Z652/($K652*$L652*$M652)),"")</f>
        <v/>
      </c>
      <c r="AC652" s="18" t="n"/>
    </row>
    <row r="653">
      <c r="A653" s="9" t="n">
        <v>691011</v>
      </c>
      <c r="B653" s="9" t="inlineStr">
        <is>
          <t>Drew Romo</t>
        </is>
      </c>
      <c r="C653" s="9" t="inlineStr">
        <is>
          <t>CWS</t>
        </is>
      </c>
      <c r="D653" s="9" t="n">
        <v>25</v>
      </c>
      <c r="E653" s="16" t="inlineStr">
        <is>
          <t>S</t>
        </is>
      </c>
      <c r="F653" s="16" t="inlineStr">
        <is>
          <t>C</t>
        </is>
      </c>
      <c r="G653" s="9" t="n">
        <v>206</v>
      </c>
      <c r="H653" s="9" t="n">
        <v>262</v>
      </c>
      <c r="I653" s="9" t="inlineStr">
        <is>
          <t>Bench Bat</t>
        </is>
      </c>
      <c r="J653" s="16" t="inlineStr">
        <is>
          <t>Opening Day</t>
        </is>
      </c>
      <c r="K653" s="11">
        <f>IFERROR(INDEX(Roles!$B$17:$B$20,MATCH(J653,Roles!$A$17:$A$20,0)),1)</f>
        <v/>
      </c>
      <c r="L653" s="17" t="n">
        <v>1</v>
      </c>
      <c r="M653" s="11" t="n">
        <v>1</v>
      </c>
      <c r="N653" s="17" t="n"/>
      <c r="O653" s="17" t="n"/>
      <c r="P653" s="17" t="n"/>
      <c r="Q653" s="17" t="n"/>
      <c r="R653" s="17" t="n"/>
      <c r="S653" s="17" t="n"/>
      <c r="T653" s="17" t="n"/>
      <c r="U653" s="17" t="n"/>
      <c r="V653" s="17" t="n"/>
      <c r="W653" s="17" t="n">
        <v>0.7</v>
      </c>
      <c r="X653" s="17" t="n">
        <v>0.3</v>
      </c>
      <c r="Y653" s="17" t="n"/>
      <c r="Z653" s="13">
        <f>SUMPRODUCT(N653:Y653,$N$2:$Y$2)*$K653*$L653*$M653</f>
        <v/>
      </c>
      <c r="AA653" s="14">
        <f>SUM(N653:Y653)</f>
        <v/>
      </c>
      <c r="AB653" s="14">
        <f>IFERROR(IF(UPPER($E653)="L",SUMPRODUCT(N653:Y653,$N$3:$Y$3,$N$2:$Y$2),SUMPRODUCT(N653:Y653,$N$4:$Y$4,$N$2:$Y$2))/(Z653/($K653*$L653*$M653)),"")</f>
        <v/>
      </c>
      <c r="AC653" s="18" t="n"/>
    </row>
    <row r="654">
      <c r="A654" s="9" t="n">
        <v>661531</v>
      </c>
      <c r="B654" s="9" t="inlineStr">
        <is>
          <t>Brian Serven</t>
        </is>
      </c>
      <c r="C654" s="9" t="inlineStr">
        <is>
          <t>OAK</t>
        </is>
      </c>
      <c r="D654" s="9" t="n">
        <v>32</v>
      </c>
      <c r="E654" s="16" t="inlineStr">
        <is>
          <t>R</t>
        </is>
      </c>
      <c r="F654" s="16" t="inlineStr">
        <is>
          <t>C</t>
        </is>
      </c>
      <c r="G654" s="9" t="n">
        <v>85</v>
      </c>
      <c r="H654" s="9" t="n">
        <v>384</v>
      </c>
      <c r="I654" s="9" t="inlineStr">
        <is>
          <t>Bench Bat</t>
        </is>
      </c>
      <c r="J654" s="16" t="inlineStr">
        <is>
          <t>Opening Day</t>
        </is>
      </c>
      <c r="K654" s="11">
        <f>IFERROR(INDEX(Roles!$B$17:$B$20,MATCH(J654,Roles!$A$17:$A$20,0)),1)</f>
        <v/>
      </c>
      <c r="L654" s="17" t="n">
        <v>1</v>
      </c>
      <c r="M654" s="11" t="n">
        <v>1</v>
      </c>
      <c r="N654" s="17" t="n"/>
      <c r="O654" s="17" t="n"/>
      <c r="P654" s="17" t="n"/>
      <c r="Q654" s="17" t="n"/>
      <c r="R654" s="17" t="n"/>
      <c r="S654" s="17" t="n"/>
      <c r="T654" s="17" t="n">
        <v>0.4</v>
      </c>
      <c r="U654" s="17" t="n"/>
      <c r="V654" s="17" t="n"/>
      <c r="W654" s="17" t="n">
        <v>0.6</v>
      </c>
      <c r="X654" s="17" t="n"/>
      <c r="Y654" s="17" t="n"/>
      <c r="Z654" s="13">
        <f>SUMPRODUCT(N654:Y654,$N$2:$Y$2)*$K654*$L654*$M654</f>
        <v/>
      </c>
      <c r="AA654" s="14">
        <f>SUM(N654:Y654)</f>
        <v/>
      </c>
      <c r="AB654" s="14">
        <f>IFERROR(IF(UPPER($E654)="L",SUMPRODUCT(N654:Y654,$N$3:$Y$3,$N$2:$Y$2),SUMPRODUCT(N654:Y654,$N$4:$Y$4,$N$2:$Y$2))/(Z654/($K654*$L654*$M654)),"")</f>
        <v/>
      </c>
      <c r="AC654" s="18" t="n"/>
    </row>
    <row r="655">
      <c r="A655" s="9" t="n">
        <v>800434</v>
      </c>
      <c r="B655" s="9" t="inlineStr">
        <is>
          <t>Jose Alpuria</t>
        </is>
      </c>
      <c r="C655" s="9" t="inlineStr">
        <is>
          <t>ARI</t>
        </is>
      </c>
      <c r="D655" s="9" t="n">
        <v>22</v>
      </c>
      <c r="E655" s="16" t="inlineStr">
        <is>
          <t>R</t>
        </is>
      </c>
      <c r="F655" s="16" t="n"/>
      <c r="G655" s="9" t="n">
        <v>4.923076923076923</v>
      </c>
      <c r="H655" s="9" t="n">
        <v>4.923076923076923</v>
      </c>
      <c r="I655" s="9" t="inlineStr">
        <is>
          <t>Depth (no MLB PA)</t>
        </is>
      </c>
      <c r="J655" s="16" t="inlineStr">
        <is>
          <t>Opening Day</t>
        </is>
      </c>
      <c r="K655" s="11">
        <f>IFERROR(INDEX(Roles!$B$17:$B$20,MATCH(J655,Roles!$A$17:$A$20,0)),1)</f>
        <v/>
      </c>
      <c r="L655" s="17" t="n">
        <v>1</v>
      </c>
      <c r="M655" s="11" t="n">
        <v>1</v>
      </c>
      <c r="N655" s="17" t="n"/>
      <c r="O655" s="17" t="n"/>
      <c r="P655" s="17" t="n"/>
      <c r="Q655" s="17" t="n"/>
      <c r="R655" s="17" t="n"/>
      <c r="S655" s="17" t="n"/>
      <c r="T655" s="17" t="n"/>
      <c r="U655" s="17" t="n"/>
      <c r="V655" s="17" t="n"/>
      <c r="W655" s="17" t="n"/>
      <c r="X655" s="17" t="n"/>
      <c r="Y655" s="17" t="n">
        <v>1</v>
      </c>
      <c r="Z655" s="13">
        <f>SUMPRODUCT(N655:Y655,$N$2:$Y$2)*$K655*$L655*$M655</f>
        <v/>
      </c>
      <c r="AA655" s="14">
        <f>SUM(N655:Y655)</f>
        <v/>
      </c>
      <c r="AB655" s="14">
        <f>IFERROR(IF(UPPER($E655)="L",SUMPRODUCT(N655:Y655,$N$3:$Y$3,$N$2:$Y$2),SUMPRODUCT(N655:Y655,$N$4:$Y$4,$N$2:$Y$2))/(Z655/($K655*$L655*$M655)),"")</f>
        <v/>
      </c>
      <c r="AC655" s="18" t="n"/>
    </row>
    <row r="656">
      <c r="A656" s="9" t="n">
        <v>821187</v>
      </c>
      <c r="B656" s="9" t="inlineStr">
        <is>
          <t>Juan Ortuno</t>
        </is>
      </c>
      <c r="C656" s="9" t="inlineStr">
        <is>
          <t>MIL</t>
        </is>
      </c>
      <c r="D656" s="9" t="n">
        <v>25</v>
      </c>
      <c r="E656" s="16" t="inlineStr">
        <is>
          <t>R</t>
        </is>
      </c>
      <c r="F656" s="16" t="n"/>
      <c r="G656" s="9" t="n">
        <v>4.923076923076923</v>
      </c>
      <c r="H656" s="9" t="n">
        <v>4.923076923076923</v>
      </c>
      <c r="I656" s="9" t="inlineStr">
        <is>
          <t>Depth (no MLB PA)</t>
        </is>
      </c>
      <c r="J656" s="16" t="inlineStr">
        <is>
          <t>Opening Day</t>
        </is>
      </c>
      <c r="K656" s="11">
        <f>IFERROR(INDEX(Roles!$B$17:$B$20,MATCH(J656,Roles!$A$17:$A$20,0)),1)</f>
        <v/>
      </c>
      <c r="L656" s="17" t="n">
        <v>1</v>
      </c>
      <c r="M656" s="11" t="n">
        <v>1</v>
      </c>
      <c r="N656" s="17" t="n"/>
      <c r="O656" s="17" t="n"/>
      <c r="P656" s="17" t="n"/>
      <c r="Q656" s="17" t="n"/>
      <c r="R656" s="17" t="n"/>
      <c r="S656" s="17" t="n"/>
      <c r="T656" s="17" t="n"/>
      <c r="U656" s="17" t="n"/>
      <c r="V656" s="17" t="n"/>
      <c r="W656" s="17" t="n"/>
      <c r="X656" s="17" t="n"/>
      <c r="Y656" s="17" t="n">
        <v>1</v>
      </c>
      <c r="Z656" s="13">
        <f>SUMPRODUCT(N656:Y656,$N$2:$Y$2)*$K656*$L656*$M656</f>
        <v/>
      </c>
      <c r="AA656" s="14">
        <f>SUM(N656:Y656)</f>
        <v/>
      </c>
      <c r="AB656" s="14">
        <f>IFERROR(IF(UPPER($E656)="L",SUMPRODUCT(N656:Y656,$N$3:$Y$3,$N$2:$Y$2),SUMPRODUCT(N656:Y656,$N$4:$Y$4,$N$2:$Y$2))/(Z656/($K656*$L656*$M656)),"")</f>
        <v/>
      </c>
      <c r="AC656" s="18" t="n"/>
    </row>
    <row r="657">
      <c r="A657" s="9" t="n">
        <v>835868</v>
      </c>
      <c r="B657" s="9" t="inlineStr">
        <is>
          <t>Caleb Johnson</t>
        </is>
      </c>
      <c r="C657" s="9" t="inlineStr">
        <is>
          <t>LAD</t>
        </is>
      </c>
      <c r="D657" s="9" t="n">
        <v>25</v>
      </c>
      <c r="E657" s="16" t="inlineStr">
        <is>
          <t>S</t>
        </is>
      </c>
      <c r="F657" s="16" t="n"/>
      <c r="G657" s="9" t="n">
        <v>11.44615384615385</v>
      </c>
      <c r="H657" s="9" t="n">
        <v>11.44615384615385</v>
      </c>
      <c r="I657" s="9" t="inlineStr">
        <is>
          <t>Depth (no MLB PA)</t>
        </is>
      </c>
      <c r="J657" s="16" t="inlineStr">
        <is>
          <t>Opening Day</t>
        </is>
      </c>
      <c r="K657" s="11">
        <f>IFERROR(INDEX(Roles!$B$17:$B$20,MATCH(J657,Roles!$A$17:$A$20,0)),1)</f>
        <v/>
      </c>
      <c r="L657" s="17" t="n">
        <v>1</v>
      </c>
      <c r="M657" s="11" t="n">
        <v>1</v>
      </c>
      <c r="N657" s="17" t="n"/>
      <c r="O657" s="17" t="n"/>
      <c r="P657" s="17" t="n"/>
      <c r="Q657" s="17" t="n"/>
      <c r="R657" s="17" t="n"/>
      <c r="S657" s="17" t="n"/>
      <c r="T657" s="17" t="n"/>
      <c r="U657" s="17" t="n"/>
      <c r="V657" s="17" t="n"/>
      <c r="W657" s="17" t="n"/>
      <c r="X657" s="17" t="n"/>
      <c r="Y657" s="17" t="n">
        <v>1</v>
      </c>
      <c r="Z657" s="13">
        <f>SUMPRODUCT(N657:Y657,$N$2:$Y$2)*$K657*$L657*$M657</f>
        <v/>
      </c>
      <c r="AA657" s="14">
        <f>SUM(N657:Y657)</f>
        <v/>
      </c>
      <c r="AB657" s="14">
        <f>IFERROR(IF(UPPER($E657)="L",SUMPRODUCT(N657:Y657,$N$3:$Y$3,$N$2:$Y$2),SUMPRODUCT(N657:Y657,$N$4:$Y$4,$N$2:$Y$2))/(Z657/($K657*$L657*$M657)),"")</f>
        <v/>
      </c>
      <c r="AC657" s="18" t="n"/>
    </row>
    <row r="658">
      <c r="A658" s="9" t="n">
        <v>805212</v>
      </c>
      <c r="B658" s="9" t="inlineStr">
        <is>
          <t>Jacob Galloway</t>
        </is>
      </c>
      <c r="C658" s="9" t="inlineStr">
        <is>
          <t>SEA</t>
        </is>
      </c>
      <c r="D658" s="9" t="n">
        <v>25</v>
      </c>
      <c r="E658" s="16" t="inlineStr">
        <is>
          <t>L</t>
        </is>
      </c>
      <c r="F658" s="16" t="n"/>
      <c r="G658" s="9" t="n">
        <v>1</v>
      </c>
      <c r="H658" s="9" t="n">
        <v>1</v>
      </c>
      <c r="I658" s="9" t="inlineStr">
        <is>
          <t>Depth (no MLB PA)</t>
        </is>
      </c>
      <c r="J658" s="16" t="inlineStr">
        <is>
          <t>Opening Day</t>
        </is>
      </c>
      <c r="K658" s="11">
        <f>IFERROR(INDEX(Roles!$B$17:$B$20,MATCH(J658,Roles!$A$17:$A$20,0)),1)</f>
        <v/>
      </c>
      <c r="L658" s="17" t="n">
        <v>1</v>
      </c>
      <c r="M658" s="11" t="n">
        <v>1</v>
      </c>
      <c r="N658" s="17" t="n"/>
      <c r="O658" s="17" t="n"/>
      <c r="P658" s="17" t="n"/>
      <c r="Q658" s="17" t="n"/>
      <c r="R658" s="17" t="n"/>
      <c r="S658" s="17" t="n"/>
      <c r="T658" s="17" t="n"/>
      <c r="U658" s="17" t="n"/>
      <c r="V658" s="17" t="n"/>
      <c r="W658" s="17" t="n"/>
      <c r="X658" s="17" t="n"/>
      <c r="Y658" s="17" t="n">
        <v>1</v>
      </c>
      <c r="Z658" s="13">
        <f>SUMPRODUCT(N658:Y658,$N$2:$Y$2)*$K658*$L658*$M658</f>
        <v/>
      </c>
      <c r="AA658" s="14">
        <f>SUM(N658:Y658)</f>
        <v/>
      </c>
      <c r="AB658" s="14">
        <f>IFERROR(IF(UPPER($E658)="L",SUMPRODUCT(N658:Y658,$N$3:$Y$3,$N$2:$Y$2),SUMPRODUCT(N658:Y658,$N$4:$Y$4,$N$2:$Y$2))/(Z658/($K658*$L658*$M658)),"")</f>
        <v/>
      </c>
      <c r="AC658" s="18" t="n"/>
    </row>
    <row r="659">
      <c r="A659" s="9" t="n">
        <v>814453</v>
      </c>
      <c r="B659" s="9" t="inlineStr">
        <is>
          <t>Nathan Archer</t>
        </is>
      </c>
      <c r="C659" s="9" t="inlineStr">
        <is>
          <t>CWS</t>
        </is>
      </c>
      <c r="D659" s="9" t="n">
        <v>25</v>
      </c>
      <c r="E659" s="16" t="inlineStr">
        <is>
          <t>L</t>
        </is>
      </c>
      <c r="F659" s="16" t="n"/>
      <c r="G659" s="9" t="n">
        <v>1</v>
      </c>
      <c r="H659" s="9" t="n">
        <v>1</v>
      </c>
      <c r="I659" s="9" t="inlineStr">
        <is>
          <t>Depth (no MLB PA)</t>
        </is>
      </c>
      <c r="J659" s="16" t="inlineStr">
        <is>
          <t>Opening Day</t>
        </is>
      </c>
      <c r="K659" s="11">
        <f>IFERROR(INDEX(Roles!$B$17:$B$20,MATCH(J659,Roles!$A$17:$A$20,0)),1)</f>
        <v/>
      </c>
      <c r="L659" s="17" t="n">
        <v>1</v>
      </c>
      <c r="M659" s="11" t="n">
        <v>1</v>
      </c>
      <c r="N659" s="17" t="n"/>
      <c r="O659" s="17" t="n"/>
      <c r="P659" s="17" t="n"/>
      <c r="Q659" s="17" t="n"/>
      <c r="R659" s="17" t="n"/>
      <c r="S659" s="17" t="n"/>
      <c r="T659" s="17" t="n"/>
      <c r="U659" s="17" t="n"/>
      <c r="V659" s="17" t="n"/>
      <c r="W659" s="17" t="n"/>
      <c r="X659" s="17" t="n"/>
      <c r="Y659" s="17" t="n">
        <v>1</v>
      </c>
      <c r="Z659" s="13">
        <f>SUMPRODUCT(N659:Y659,$N$2:$Y$2)*$K659*$L659*$M659</f>
        <v/>
      </c>
      <c r="AA659" s="14">
        <f>SUM(N659:Y659)</f>
        <v/>
      </c>
      <c r="AB659" s="14">
        <f>IFERROR(IF(UPPER($E659)="L",SUMPRODUCT(N659:Y659,$N$3:$Y$3,$N$2:$Y$2),SUMPRODUCT(N659:Y659,$N$4:$Y$4,$N$2:$Y$2))/(Z659/($K659*$L659*$M659)),"")</f>
        <v/>
      </c>
      <c r="AC659" s="18" t="n"/>
    </row>
    <row r="660">
      <c r="A660" s="9" t="n">
        <v>842160</v>
      </c>
      <c r="B660" s="9" t="inlineStr">
        <is>
          <t>Owen Clyne</t>
        </is>
      </c>
      <c r="C660" s="9" t="inlineStr">
        <is>
          <t>PHI</t>
        </is>
      </c>
      <c r="D660" s="9" t="n">
        <v>25</v>
      </c>
      <c r="E660" s="16" t="inlineStr">
        <is>
          <t>L</t>
        </is>
      </c>
      <c r="F660" s="16" t="n"/>
      <c r="G660" s="9" t="n">
        <v>1</v>
      </c>
      <c r="H660" s="9" t="n">
        <v>1</v>
      </c>
      <c r="I660" s="9" t="inlineStr">
        <is>
          <t>Depth (no MLB PA)</t>
        </is>
      </c>
      <c r="J660" s="16" t="inlineStr">
        <is>
          <t>Opening Day</t>
        </is>
      </c>
      <c r="K660" s="11">
        <f>IFERROR(INDEX(Roles!$B$17:$B$20,MATCH(J660,Roles!$A$17:$A$20,0)),1)</f>
        <v/>
      </c>
      <c r="L660" s="17" t="n">
        <v>1</v>
      </c>
      <c r="M660" s="11" t="n">
        <v>1</v>
      </c>
      <c r="N660" s="17" t="n"/>
      <c r="O660" s="17" t="n"/>
      <c r="P660" s="17" t="n"/>
      <c r="Q660" s="17" t="n"/>
      <c r="R660" s="17" t="n"/>
      <c r="S660" s="17" t="n"/>
      <c r="T660" s="17" t="n"/>
      <c r="U660" s="17" t="n"/>
      <c r="V660" s="17" t="n"/>
      <c r="W660" s="17" t="n"/>
      <c r="X660" s="17" t="n"/>
      <c r="Y660" s="17" t="n">
        <v>1</v>
      </c>
      <c r="Z660" s="13">
        <f>SUMPRODUCT(N660:Y660,$N$2:$Y$2)*$K660*$L660*$M660</f>
        <v/>
      </c>
      <c r="AA660" s="14">
        <f>SUM(N660:Y660)</f>
        <v/>
      </c>
      <c r="AB660" s="14">
        <f>IFERROR(IF(UPPER($E660)="L",SUMPRODUCT(N660:Y660,$N$3:$Y$3,$N$2:$Y$2),SUMPRODUCT(N660:Y660,$N$4:$Y$4,$N$2:$Y$2))/(Z660/($K660*$L660*$M660)),"")</f>
        <v/>
      </c>
      <c r="AC660" s="18" t="n"/>
    </row>
    <row r="661">
      <c r="A661" s="9" t="n">
        <v>808033</v>
      </c>
      <c r="B661" s="9" t="inlineStr">
        <is>
          <t>Jonathan Rivero</t>
        </is>
      </c>
      <c r="C661" s="9" t="inlineStr">
        <is>
          <t>PIT</t>
        </is>
      </c>
      <c r="D661" s="9" t="n">
        <v>25</v>
      </c>
      <c r="E661" s="16" t="inlineStr">
        <is>
          <t>L</t>
        </is>
      </c>
      <c r="F661" s="16" t="n"/>
      <c r="G661" s="9" t="n">
        <v>1</v>
      </c>
      <c r="H661" s="9" t="n">
        <v>1</v>
      </c>
      <c r="I661" s="9" t="inlineStr">
        <is>
          <t>Depth (no MLB PA)</t>
        </is>
      </c>
      <c r="J661" s="16" t="inlineStr">
        <is>
          <t>Opening Day</t>
        </is>
      </c>
      <c r="K661" s="11">
        <f>IFERROR(INDEX(Roles!$B$17:$B$20,MATCH(J661,Roles!$A$17:$A$20,0)),1)</f>
        <v/>
      </c>
      <c r="L661" s="17" t="n">
        <v>1</v>
      </c>
      <c r="M661" s="11" t="n">
        <v>1</v>
      </c>
      <c r="N661" s="17" t="n"/>
      <c r="O661" s="17" t="n"/>
      <c r="P661" s="17" t="n"/>
      <c r="Q661" s="17" t="n"/>
      <c r="R661" s="17" t="n"/>
      <c r="S661" s="17" t="n"/>
      <c r="T661" s="17" t="n"/>
      <c r="U661" s="17" t="n"/>
      <c r="V661" s="17" t="n"/>
      <c r="W661" s="17" t="n"/>
      <c r="X661" s="17" t="n"/>
      <c r="Y661" s="17" t="n">
        <v>1</v>
      </c>
      <c r="Z661" s="13">
        <f>SUMPRODUCT(N661:Y661,$N$2:$Y$2)*$K661*$L661*$M661</f>
        <v/>
      </c>
      <c r="AA661" s="14">
        <f>SUM(N661:Y661)</f>
        <v/>
      </c>
      <c r="AB661" s="14">
        <f>IFERROR(IF(UPPER($E661)="L",SUMPRODUCT(N661:Y661,$N$3:$Y$3,$N$2:$Y$2),SUMPRODUCT(N661:Y661,$N$4:$Y$4,$N$2:$Y$2))/(Z661/($K661*$L661*$M661)),"")</f>
        <v/>
      </c>
      <c r="AC661" s="18" t="n"/>
    </row>
    <row r="662">
      <c r="A662" s="9" t="n">
        <v>808153</v>
      </c>
      <c r="B662" s="9" t="inlineStr">
        <is>
          <t>Luis Merejo</t>
        </is>
      </c>
      <c r="C662" s="9" t="inlineStr">
        <is>
          <t>CLE</t>
        </is>
      </c>
      <c r="D662" s="9" t="n">
        <v>25</v>
      </c>
      <c r="E662" s="16" t="inlineStr">
        <is>
          <t>R</t>
        </is>
      </c>
      <c r="F662" s="16" t="n"/>
      <c r="G662" s="9" t="n">
        <v>1</v>
      </c>
      <c r="H662" s="9" t="n">
        <v>1</v>
      </c>
      <c r="I662" s="9" t="inlineStr">
        <is>
          <t>Depth (no MLB PA)</t>
        </is>
      </c>
      <c r="J662" s="16" t="inlineStr">
        <is>
          <t>Opening Day</t>
        </is>
      </c>
      <c r="K662" s="11">
        <f>IFERROR(INDEX(Roles!$B$17:$B$20,MATCH(J662,Roles!$A$17:$A$20,0)),1)</f>
        <v/>
      </c>
      <c r="L662" s="17" t="n">
        <v>1</v>
      </c>
      <c r="M662" s="11" t="n">
        <v>1</v>
      </c>
      <c r="N662" s="17" t="n"/>
      <c r="O662" s="17" t="n"/>
      <c r="P662" s="17" t="n"/>
      <c r="Q662" s="17" t="n"/>
      <c r="R662" s="17" t="n"/>
      <c r="S662" s="17" t="n"/>
      <c r="T662" s="17" t="n"/>
      <c r="U662" s="17" t="n"/>
      <c r="V662" s="17" t="n"/>
      <c r="W662" s="17" t="n"/>
      <c r="X662" s="17" t="n"/>
      <c r="Y662" s="17" t="n">
        <v>1</v>
      </c>
      <c r="Z662" s="13">
        <f>SUMPRODUCT(N662:Y662,$N$2:$Y$2)*$K662*$L662*$M662</f>
        <v/>
      </c>
      <c r="AA662" s="14">
        <f>SUM(N662:Y662)</f>
        <v/>
      </c>
      <c r="AB662" s="14">
        <f>IFERROR(IF(UPPER($E662)="L",SUMPRODUCT(N662:Y662,$N$3:$Y$3,$N$2:$Y$2),SUMPRODUCT(N662:Y662,$N$4:$Y$4,$N$2:$Y$2))/(Z662/($K662*$L662*$M662)),"")</f>
        <v/>
      </c>
      <c r="AC662" s="18" t="n"/>
    </row>
    <row r="663">
      <c r="A663" s="9" t="n">
        <v>801854</v>
      </c>
      <c r="B663" s="9" t="inlineStr">
        <is>
          <t>Ben Wilmes</t>
        </is>
      </c>
      <c r="C663" s="9" t="inlineStr">
        <is>
          <t>COL</t>
        </is>
      </c>
      <c r="D663" s="9" t="n">
        <v>25</v>
      </c>
      <c r="E663" s="16" t="inlineStr">
        <is>
          <t>R</t>
        </is>
      </c>
      <c r="F663" s="16" t="n"/>
      <c r="G663" s="9" t="n">
        <v>1</v>
      </c>
      <c r="H663" s="9" t="n">
        <v>1</v>
      </c>
      <c r="I663" s="9" t="inlineStr">
        <is>
          <t>Depth (no MLB PA)</t>
        </is>
      </c>
      <c r="J663" s="16" t="inlineStr">
        <is>
          <t>Opening Day</t>
        </is>
      </c>
      <c r="K663" s="11">
        <f>IFERROR(INDEX(Roles!$B$17:$B$20,MATCH(J663,Roles!$A$17:$A$20,0)),1)</f>
        <v/>
      </c>
      <c r="L663" s="17" t="n">
        <v>1</v>
      </c>
      <c r="M663" s="11" t="n">
        <v>1</v>
      </c>
      <c r="N663" s="17" t="n"/>
      <c r="O663" s="17" t="n"/>
      <c r="P663" s="17" t="n"/>
      <c r="Q663" s="17" t="n"/>
      <c r="R663" s="17" t="n"/>
      <c r="S663" s="17" t="n"/>
      <c r="T663" s="17" t="n"/>
      <c r="U663" s="17" t="n"/>
      <c r="V663" s="17" t="n"/>
      <c r="W663" s="17" t="n"/>
      <c r="X663" s="17" t="n"/>
      <c r="Y663" s="17" t="n">
        <v>1</v>
      </c>
      <c r="Z663" s="13">
        <f>SUMPRODUCT(N663:Y663,$N$2:$Y$2)*$K663*$L663*$M663</f>
        <v/>
      </c>
      <c r="AA663" s="14">
        <f>SUM(N663:Y663)</f>
        <v/>
      </c>
      <c r="AB663" s="14">
        <f>IFERROR(IF(UPPER($E663)="L",SUMPRODUCT(N663:Y663,$N$3:$Y$3,$N$2:$Y$2),SUMPRODUCT(N663:Y663,$N$4:$Y$4,$N$2:$Y$2))/(Z663/($K663*$L663*$M663)),"")</f>
        <v/>
      </c>
      <c r="AC663" s="18" t="n"/>
    </row>
    <row r="664">
      <c r="A664" s="9" t="n">
        <v>593833</v>
      </c>
      <c r="B664" s="9" t="inlineStr">
        <is>
          <t>Wander Suero</t>
        </is>
      </c>
      <c r="C664" s="9" t="inlineStr">
        <is>
          <t>OAK</t>
        </is>
      </c>
      <c r="D664" s="9" t="n">
        <v>25</v>
      </c>
      <c r="E664" s="16" t="inlineStr">
        <is>
          <t>R</t>
        </is>
      </c>
      <c r="F664" s="16" t="inlineStr">
        <is>
          <t>P</t>
        </is>
      </c>
      <c r="G664" s="9" t="n">
        <v>1</v>
      </c>
      <c r="H664" s="9" t="n">
        <v>1</v>
      </c>
      <c r="I664" s="9" t="inlineStr">
        <is>
          <t>Depth (no MLB PA)</t>
        </is>
      </c>
      <c r="J664" s="16" t="inlineStr">
        <is>
          <t>Opening Day</t>
        </is>
      </c>
      <c r="K664" s="11">
        <f>IFERROR(INDEX(Roles!$B$17:$B$20,MATCH(J664,Roles!$A$17:$A$20,0)),1)</f>
        <v/>
      </c>
      <c r="L664" s="17" t="n">
        <v>1</v>
      </c>
      <c r="M664" s="11" t="n">
        <v>1</v>
      </c>
      <c r="N664" s="17" t="n"/>
      <c r="O664" s="17" t="n"/>
      <c r="P664" s="17" t="n"/>
      <c r="Q664" s="17" t="n"/>
      <c r="R664" s="17" t="n"/>
      <c r="S664" s="17" t="n"/>
      <c r="T664" s="17" t="n"/>
      <c r="U664" s="17" t="n"/>
      <c r="V664" s="17" t="n"/>
      <c r="W664" s="17" t="n"/>
      <c r="X664" s="17" t="n"/>
      <c r="Y664" s="17" t="n">
        <v>1</v>
      </c>
      <c r="Z664" s="13">
        <f>SUMPRODUCT(N664:Y664,$N$2:$Y$2)*$K664*$L664*$M664</f>
        <v/>
      </c>
      <c r="AA664" s="14">
        <f>SUM(N664:Y664)</f>
        <v/>
      </c>
      <c r="AB664" s="14">
        <f>IFERROR(IF(UPPER($E664)="L",SUMPRODUCT(N664:Y664,$N$3:$Y$3,$N$2:$Y$2),SUMPRODUCT(N664:Y664,$N$4:$Y$4,$N$2:$Y$2))/(Z664/($K664*$L664*$M664)),"")</f>
        <v/>
      </c>
      <c r="AC664" s="18" t="n"/>
    </row>
    <row r="665">
      <c r="A665" s="9" t="n">
        <v>831590</v>
      </c>
      <c r="B665" s="9" t="inlineStr">
        <is>
          <t>Taylor Darden</t>
        </is>
      </c>
      <c r="C665" s="9" t="inlineStr">
        <is>
          <t>NYM</t>
        </is>
      </c>
      <c r="D665" s="9" t="n">
        <v>25</v>
      </c>
      <c r="E665" s="16" t="inlineStr">
        <is>
          <t>R</t>
        </is>
      </c>
      <c r="F665" s="16" t="n"/>
      <c r="G665" s="9" t="n">
        <v>1</v>
      </c>
      <c r="H665" s="9" t="n">
        <v>1</v>
      </c>
      <c r="I665" s="9" t="inlineStr">
        <is>
          <t>Depth (no MLB PA)</t>
        </is>
      </c>
      <c r="J665" s="16" t="inlineStr">
        <is>
          <t>Opening Day</t>
        </is>
      </c>
      <c r="K665" s="11">
        <f>IFERROR(INDEX(Roles!$B$17:$B$20,MATCH(J665,Roles!$A$17:$A$20,0)),1)</f>
        <v/>
      </c>
      <c r="L665" s="17" t="n">
        <v>1</v>
      </c>
      <c r="M665" s="11" t="n">
        <v>1</v>
      </c>
      <c r="N665" s="17" t="n"/>
      <c r="O665" s="17" t="n"/>
      <c r="P665" s="17" t="n"/>
      <c r="Q665" s="17" t="n"/>
      <c r="R665" s="17" t="n"/>
      <c r="S665" s="17" t="n"/>
      <c r="T665" s="17" t="n"/>
      <c r="U665" s="17" t="n"/>
      <c r="V665" s="17" t="n"/>
      <c r="W665" s="17" t="n"/>
      <c r="X665" s="17" t="n"/>
      <c r="Y665" s="17" t="n">
        <v>1</v>
      </c>
      <c r="Z665" s="13">
        <f>SUMPRODUCT(N665:Y665,$N$2:$Y$2)*$K665*$L665*$M665</f>
        <v/>
      </c>
      <c r="AA665" s="14">
        <f>SUM(N665:Y665)</f>
        <v/>
      </c>
      <c r="AB665" s="14">
        <f>IFERROR(IF(UPPER($E665)="L",SUMPRODUCT(N665:Y665,$N$3:$Y$3,$N$2:$Y$2),SUMPRODUCT(N665:Y665,$N$4:$Y$4,$N$2:$Y$2))/(Z665/($K665*$L665*$M665)),"")</f>
        <v/>
      </c>
      <c r="AC665" s="18" t="n"/>
    </row>
    <row r="666">
      <c r="A666" s="9" t="n">
        <v>802085</v>
      </c>
      <c r="B666" s="9" t="inlineStr">
        <is>
          <t>Geury Rodriguez</t>
        </is>
      </c>
      <c r="C666" s="9" t="inlineStr">
        <is>
          <t>TEX</t>
        </is>
      </c>
      <c r="D666" s="9" t="n">
        <v>25</v>
      </c>
      <c r="E666" s="16" t="inlineStr">
        <is>
          <t>L</t>
        </is>
      </c>
      <c r="F666" s="16" t="n"/>
      <c r="G666" s="9" t="n">
        <v>1</v>
      </c>
      <c r="H666" s="9" t="n">
        <v>1</v>
      </c>
      <c r="I666" s="9" t="inlineStr">
        <is>
          <t>Depth (no MLB PA)</t>
        </is>
      </c>
      <c r="J666" s="16" t="inlineStr">
        <is>
          <t>Opening Day</t>
        </is>
      </c>
      <c r="K666" s="11">
        <f>IFERROR(INDEX(Roles!$B$17:$B$20,MATCH(J666,Roles!$A$17:$A$20,0)),1)</f>
        <v/>
      </c>
      <c r="L666" s="17" t="n">
        <v>1</v>
      </c>
      <c r="M666" s="11" t="n">
        <v>1</v>
      </c>
      <c r="N666" s="17" t="n"/>
      <c r="O666" s="17" t="n"/>
      <c r="P666" s="17" t="n"/>
      <c r="Q666" s="17" t="n"/>
      <c r="R666" s="17" t="n"/>
      <c r="S666" s="17" t="n"/>
      <c r="T666" s="17" t="n"/>
      <c r="U666" s="17" t="n"/>
      <c r="V666" s="17" t="n"/>
      <c r="W666" s="17" t="n"/>
      <c r="X666" s="17" t="n"/>
      <c r="Y666" s="17" t="n">
        <v>1</v>
      </c>
      <c r="Z666" s="13">
        <f>SUMPRODUCT(N666:Y666,$N$2:$Y$2)*$K666*$L666*$M666</f>
        <v/>
      </c>
      <c r="AA666" s="14">
        <f>SUM(N666:Y666)</f>
        <v/>
      </c>
      <c r="AB666" s="14">
        <f>IFERROR(IF(UPPER($E666)="L",SUMPRODUCT(N666:Y666,$N$3:$Y$3,$N$2:$Y$2),SUMPRODUCT(N666:Y666,$N$4:$Y$4,$N$2:$Y$2))/(Z666/($K666*$L666*$M666)),"")</f>
        <v/>
      </c>
      <c r="AC666" s="18" t="n"/>
    </row>
    <row r="667">
      <c r="A667" s="9" t="n">
        <v>815694</v>
      </c>
      <c r="B667" s="9" t="inlineStr">
        <is>
          <t>Lou Albrecht</t>
        </is>
      </c>
      <c r="C667" s="9" t="inlineStr">
        <is>
          <t>PHI</t>
        </is>
      </c>
      <c r="D667" s="9" t="n">
        <v>25</v>
      </c>
      <c r="E667" s="16" t="inlineStr">
        <is>
          <t>R</t>
        </is>
      </c>
      <c r="F667" s="16" t="n"/>
      <c r="G667" s="9" t="n">
        <v>1</v>
      </c>
      <c r="H667" s="9" t="n">
        <v>1</v>
      </c>
      <c r="I667" s="9" t="inlineStr">
        <is>
          <t>Depth (no MLB PA)</t>
        </is>
      </c>
      <c r="J667" s="16" t="inlineStr">
        <is>
          <t>Opening Day</t>
        </is>
      </c>
      <c r="K667" s="11">
        <f>IFERROR(INDEX(Roles!$B$17:$B$20,MATCH(J667,Roles!$A$17:$A$20,0)),1)</f>
        <v/>
      </c>
      <c r="L667" s="17" t="n">
        <v>1</v>
      </c>
      <c r="M667" s="11" t="n">
        <v>1</v>
      </c>
      <c r="N667" s="17" t="n"/>
      <c r="O667" s="17" t="n"/>
      <c r="P667" s="17" t="n"/>
      <c r="Q667" s="17" t="n"/>
      <c r="R667" s="17" t="n"/>
      <c r="S667" s="17" t="n"/>
      <c r="T667" s="17" t="n"/>
      <c r="U667" s="17" t="n"/>
      <c r="V667" s="17" t="n"/>
      <c r="W667" s="17" t="n"/>
      <c r="X667" s="17" t="n"/>
      <c r="Y667" s="17" t="n">
        <v>1</v>
      </c>
      <c r="Z667" s="13">
        <f>SUMPRODUCT(N667:Y667,$N$2:$Y$2)*$K667*$L667*$M667</f>
        <v/>
      </c>
      <c r="AA667" s="14">
        <f>SUM(N667:Y667)</f>
        <v/>
      </c>
      <c r="AB667" s="14">
        <f>IFERROR(IF(UPPER($E667)="L",SUMPRODUCT(N667:Y667,$N$3:$Y$3,$N$2:$Y$2),SUMPRODUCT(N667:Y667,$N$4:$Y$4,$N$2:$Y$2))/(Z667/($K667*$L667*$M667)),"")</f>
        <v/>
      </c>
      <c r="AC667" s="18" t="n"/>
    </row>
    <row r="668">
      <c r="A668" s="9" t="n">
        <v>838338</v>
      </c>
      <c r="B668" s="9" t="inlineStr">
        <is>
          <t>Giaconino Lasaracina</t>
        </is>
      </c>
      <c r="C668" s="9" t="inlineStr">
        <is>
          <t>TOR</t>
        </is>
      </c>
      <c r="D668" s="9" t="n">
        <v>25</v>
      </c>
      <c r="E668" s="16" t="inlineStr">
        <is>
          <t>R</t>
        </is>
      </c>
      <c r="F668" s="16" t="n"/>
      <c r="G668" s="9" t="n">
        <v>17.84615384615385</v>
      </c>
      <c r="H668" s="9" t="n">
        <v>17.84615384615385</v>
      </c>
      <c r="I668" s="9" t="inlineStr">
        <is>
          <t>Depth (no MLB PA)</t>
        </is>
      </c>
      <c r="J668" s="16" t="inlineStr">
        <is>
          <t>Opening Day</t>
        </is>
      </c>
      <c r="K668" s="11">
        <f>IFERROR(INDEX(Roles!$B$17:$B$20,MATCH(J668,Roles!$A$17:$A$20,0)),1)</f>
        <v/>
      </c>
      <c r="L668" s="17" t="n">
        <v>1</v>
      </c>
      <c r="M668" s="11" t="n">
        <v>1</v>
      </c>
      <c r="N668" s="17" t="n"/>
      <c r="O668" s="17" t="n"/>
      <c r="P668" s="17" t="n"/>
      <c r="Q668" s="17" t="n"/>
      <c r="R668" s="17" t="n"/>
      <c r="S668" s="17" t="n"/>
      <c r="T668" s="17" t="n"/>
      <c r="U668" s="17" t="n"/>
      <c r="V668" s="17" t="n"/>
      <c r="W668" s="17" t="n"/>
      <c r="X668" s="17" t="n"/>
      <c r="Y668" s="17" t="n">
        <v>1</v>
      </c>
      <c r="Z668" s="13">
        <f>SUMPRODUCT(N668:Y668,$N$2:$Y$2)*$K668*$L668*$M668</f>
        <v/>
      </c>
      <c r="AA668" s="14">
        <f>SUM(N668:Y668)</f>
        <v/>
      </c>
      <c r="AB668" s="14">
        <f>IFERROR(IF(UPPER($E668)="L",SUMPRODUCT(N668:Y668,$N$3:$Y$3,$N$2:$Y$2),SUMPRODUCT(N668:Y668,$N$4:$Y$4,$N$2:$Y$2))/(Z668/($K668*$L668*$M668)),"")</f>
        <v/>
      </c>
      <c r="AC668" s="18" t="n"/>
    </row>
    <row r="669">
      <c r="A669" s="9" t="n">
        <v>801525</v>
      </c>
      <c r="B669" s="9" t="inlineStr">
        <is>
          <t>Wady Mendez</t>
        </is>
      </c>
      <c r="C669" s="9" t="inlineStr">
        <is>
          <t>TEX</t>
        </is>
      </c>
      <c r="D669" s="9" t="n">
        <v>25</v>
      </c>
      <c r="E669" s="16" t="inlineStr">
        <is>
          <t>L</t>
        </is>
      </c>
      <c r="F669" s="16" t="n"/>
      <c r="G669" s="9" t="n">
        <v>1</v>
      </c>
      <c r="H669" s="9" t="n">
        <v>1</v>
      </c>
      <c r="I669" s="9" t="inlineStr">
        <is>
          <t>Depth (no MLB PA)</t>
        </is>
      </c>
      <c r="J669" s="16" t="inlineStr">
        <is>
          <t>Opening Day</t>
        </is>
      </c>
      <c r="K669" s="11">
        <f>IFERROR(INDEX(Roles!$B$17:$B$20,MATCH(J669,Roles!$A$17:$A$20,0)),1)</f>
        <v/>
      </c>
      <c r="L669" s="17" t="n">
        <v>1</v>
      </c>
      <c r="M669" s="11" t="n">
        <v>1</v>
      </c>
      <c r="N669" s="17" t="n"/>
      <c r="O669" s="17" t="n"/>
      <c r="P669" s="17" t="n"/>
      <c r="Q669" s="17" t="n"/>
      <c r="R669" s="17" t="n"/>
      <c r="S669" s="17" t="n"/>
      <c r="T669" s="17" t="n"/>
      <c r="U669" s="17" t="n"/>
      <c r="V669" s="17" t="n"/>
      <c r="W669" s="17" t="n"/>
      <c r="X669" s="17" t="n"/>
      <c r="Y669" s="17" t="n">
        <v>1</v>
      </c>
      <c r="Z669" s="13">
        <f>SUMPRODUCT(N669:Y669,$N$2:$Y$2)*$K669*$L669*$M669</f>
        <v/>
      </c>
      <c r="AA669" s="14">
        <f>SUM(N669:Y669)</f>
        <v/>
      </c>
      <c r="AB669" s="14">
        <f>IFERROR(IF(UPPER($E669)="L",SUMPRODUCT(N669:Y669,$N$3:$Y$3,$N$2:$Y$2),SUMPRODUCT(N669:Y669,$N$4:$Y$4,$N$2:$Y$2))/(Z669/($K669*$L669*$M669)),"")</f>
        <v/>
      </c>
      <c r="AC669" s="18" t="n"/>
    </row>
    <row r="670">
      <c r="A670" s="9" t="n">
        <v>815004</v>
      </c>
      <c r="B670" s="9" t="inlineStr">
        <is>
          <t>Maylerson Casanova</t>
        </is>
      </c>
      <c r="C670" s="9" t="inlineStr">
        <is>
          <t>PHI</t>
        </is>
      </c>
      <c r="D670" s="9" t="n">
        <v>25</v>
      </c>
      <c r="E670" s="16" t="inlineStr">
        <is>
          <t>R</t>
        </is>
      </c>
      <c r="F670" s="16" t="n"/>
      <c r="G670" s="9" t="n">
        <v>1</v>
      </c>
      <c r="H670" s="9" t="n">
        <v>1</v>
      </c>
      <c r="I670" s="9" t="inlineStr">
        <is>
          <t>Depth (no MLB PA)</t>
        </is>
      </c>
      <c r="J670" s="16" t="inlineStr">
        <is>
          <t>Opening Day</t>
        </is>
      </c>
      <c r="K670" s="11">
        <f>IFERROR(INDEX(Roles!$B$17:$B$20,MATCH(J670,Roles!$A$17:$A$20,0)),1)</f>
        <v/>
      </c>
      <c r="L670" s="17" t="n">
        <v>1</v>
      </c>
      <c r="M670" s="11" t="n">
        <v>1</v>
      </c>
      <c r="N670" s="17" t="n"/>
      <c r="O670" s="17" t="n"/>
      <c r="P670" s="17" t="n"/>
      <c r="Q670" s="17" t="n"/>
      <c r="R670" s="17" t="n"/>
      <c r="S670" s="17" t="n"/>
      <c r="T670" s="17" t="n"/>
      <c r="U670" s="17" t="n"/>
      <c r="V670" s="17" t="n"/>
      <c r="W670" s="17" t="n"/>
      <c r="X670" s="17" t="n"/>
      <c r="Y670" s="17" t="n">
        <v>1</v>
      </c>
      <c r="Z670" s="13">
        <f>SUMPRODUCT(N670:Y670,$N$2:$Y$2)*$K670*$L670*$M670</f>
        <v/>
      </c>
      <c r="AA670" s="14">
        <f>SUM(N670:Y670)</f>
        <v/>
      </c>
      <c r="AB670" s="14">
        <f>IFERROR(IF(UPPER($E670)="L",SUMPRODUCT(N670:Y670,$N$3:$Y$3,$N$2:$Y$2),SUMPRODUCT(N670:Y670,$N$4:$Y$4,$N$2:$Y$2))/(Z670/($K670*$L670*$M670)),"")</f>
        <v/>
      </c>
      <c r="AC670" s="18" t="n"/>
    </row>
    <row r="671">
      <c r="A671" s="9" t="n">
        <v>815009</v>
      </c>
      <c r="B671" s="9" t="inlineStr">
        <is>
          <t>Cesar Mujica</t>
        </is>
      </c>
      <c r="C671" s="9" t="inlineStr">
        <is>
          <t>PHI</t>
        </is>
      </c>
      <c r="D671" s="9" t="n">
        <v>25</v>
      </c>
      <c r="E671" s="16" t="inlineStr">
        <is>
          <t>R</t>
        </is>
      </c>
      <c r="F671" s="16" t="n"/>
      <c r="G671" s="9" t="n">
        <v>1</v>
      </c>
      <c r="H671" s="9" t="n">
        <v>1</v>
      </c>
      <c r="I671" s="9" t="inlineStr">
        <is>
          <t>Depth (no MLB PA)</t>
        </is>
      </c>
      <c r="J671" s="16" t="inlineStr">
        <is>
          <t>Opening Day</t>
        </is>
      </c>
      <c r="K671" s="11">
        <f>IFERROR(INDEX(Roles!$B$17:$B$20,MATCH(J671,Roles!$A$17:$A$20,0)),1)</f>
        <v/>
      </c>
      <c r="L671" s="17" t="n">
        <v>1</v>
      </c>
      <c r="M671" s="11" t="n">
        <v>1</v>
      </c>
      <c r="N671" s="17" t="n"/>
      <c r="O671" s="17" t="n"/>
      <c r="P671" s="17" t="n"/>
      <c r="Q671" s="17" t="n"/>
      <c r="R671" s="17" t="n"/>
      <c r="S671" s="17" t="n"/>
      <c r="T671" s="17" t="n"/>
      <c r="U671" s="17" t="n"/>
      <c r="V671" s="17" t="n"/>
      <c r="W671" s="17" t="n"/>
      <c r="X671" s="17" t="n"/>
      <c r="Y671" s="17" t="n">
        <v>1</v>
      </c>
      <c r="Z671" s="13">
        <f>SUMPRODUCT(N671:Y671,$N$2:$Y$2)*$K671*$L671*$M671</f>
        <v/>
      </c>
      <c r="AA671" s="14">
        <f>SUM(N671:Y671)</f>
        <v/>
      </c>
      <c r="AB671" s="14">
        <f>IFERROR(IF(UPPER($E671)="L",SUMPRODUCT(N671:Y671,$N$3:$Y$3,$N$2:$Y$2),SUMPRODUCT(N671:Y671,$N$4:$Y$4,$N$2:$Y$2))/(Z671/($K671*$L671*$M671)),"")</f>
        <v/>
      </c>
      <c r="AC671" s="18" t="n"/>
    </row>
    <row r="672">
      <c r="A672" s="9" t="n">
        <v>800615</v>
      </c>
      <c r="B672" s="9" t="inlineStr">
        <is>
          <t>Luke Scherrer</t>
        </is>
      </c>
      <c r="C672" s="9" t="inlineStr">
        <is>
          <t>PIT</t>
        </is>
      </c>
      <c r="D672" s="9" t="n">
        <v>25</v>
      </c>
      <c r="E672" s="16" t="inlineStr">
        <is>
          <t>R</t>
        </is>
      </c>
      <c r="F672" s="16" t="n"/>
      <c r="G672" s="9" t="n">
        <v>1</v>
      </c>
      <c r="H672" s="9" t="n">
        <v>1</v>
      </c>
      <c r="I672" s="9" t="inlineStr">
        <is>
          <t>Depth (no MLB PA)</t>
        </is>
      </c>
      <c r="J672" s="16" t="inlineStr">
        <is>
          <t>Opening Day</t>
        </is>
      </c>
      <c r="K672" s="11">
        <f>IFERROR(INDEX(Roles!$B$17:$B$20,MATCH(J672,Roles!$A$17:$A$20,0)),1)</f>
        <v/>
      </c>
      <c r="L672" s="17" t="n">
        <v>1</v>
      </c>
      <c r="M672" s="11" t="n">
        <v>1</v>
      </c>
      <c r="N672" s="17" t="n"/>
      <c r="O672" s="17" t="n"/>
      <c r="P672" s="17" t="n"/>
      <c r="Q672" s="17" t="n"/>
      <c r="R672" s="17" t="n"/>
      <c r="S672" s="17" t="n"/>
      <c r="T672" s="17" t="n"/>
      <c r="U672" s="17" t="n"/>
      <c r="V672" s="17" t="n"/>
      <c r="W672" s="17" t="n"/>
      <c r="X672" s="17" t="n"/>
      <c r="Y672" s="17" t="n">
        <v>1</v>
      </c>
      <c r="Z672" s="13">
        <f>SUMPRODUCT(N672:Y672,$N$2:$Y$2)*$K672*$L672*$M672</f>
        <v/>
      </c>
      <c r="AA672" s="14">
        <f>SUM(N672:Y672)</f>
        <v/>
      </c>
      <c r="AB672" s="14">
        <f>IFERROR(IF(UPPER($E672)="L",SUMPRODUCT(N672:Y672,$N$3:$Y$3,$N$2:$Y$2),SUMPRODUCT(N672:Y672,$N$4:$Y$4,$N$2:$Y$2))/(Z672/($K672*$L672*$M672)),"")</f>
        <v/>
      </c>
      <c r="AC672" s="18" t="n"/>
    </row>
    <row r="673">
      <c r="A673" s="9" t="n">
        <v>805145</v>
      </c>
      <c r="B673" s="9" t="inlineStr">
        <is>
          <t>Jake Bold</t>
        </is>
      </c>
      <c r="C673" s="9" t="inlineStr">
        <is>
          <t>SD</t>
        </is>
      </c>
      <c r="D673" s="9" t="n">
        <v>25</v>
      </c>
      <c r="E673" s="16" t="inlineStr">
        <is>
          <t>R</t>
        </is>
      </c>
      <c r="F673" s="16" t="n"/>
      <c r="G673" s="9" t="n">
        <v>1</v>
      </c>
      <c r="H673" s="9" t="n">
        <v>1</v>
      </c>
      <c r="I673" s="9" t="inlineStr">
        <is>
          <t>Depth (no MLB PA)</t>
        </is>
      </c>
      <c r="J673" s="16" t="inlineStr">
        <is>
          <t>Opening Day</t>
        </is>
      </c>
      <c r="K673" s="11">
        <f>IFERROR(INDEX(Roles!$B$17:$B$20,MATCH(J673,Roles!$A$17:$A$20,0)),1)</f>
        <v/>
      </c>
      <c r="L673" s="17" t="n">
        <v>1</v>
      </c>
      <c r="M673" s="11" t="n">
        <v>1</v>
      </c>
      <c r="N673" s="17" t="n"/>
      <c r="O673" s="17" t="n"/>
      <c r="P673" s="17" t="n"/>
      <c r="Q673" s="17" t="n"/>
      <c r="R673" s="17" t="n"/>
      <c r="S673" s="17" t="n"/>
      <c r="T673" s="17" t="n"/>
      <c r="U673" s="17" t="n"/>
      <c r="V673" s="17" t="n"/>
      <c r="W673" s="17" t="n"/>
      <c r="X673" s="17" t="n"/>
      <c r="Y673" s="17" t="n">
        <v>1</v>
      </c>
      <c r="Z673" s="13">
        <f>SUMPRODUCT(N673:Y673,$N$2:$Y$2)*$K673*$L673*$M673</f>
        <v/>
      </c>
      <c r="AA673" s="14">
        <f>SUM(N673:Y673)</f>
        <v/>
      </c>
      <c r="AB673" s="14">
        <f>IFERROR(IF(UPPER($E673)="L",SUMPRODUCT(N673:Y673,$N$3:$Y$3,$N$2:$Y$2),SUMPRODUCT(N673:Y673,$N$4:$Y$4,$N$2:$Y$2))/(Z673/($K673*$L673*$M673)),"")</f>
        <v/>
      </c>
      <c r="AC673" s="18" t="n"/>
    </row>
    <row r="674">
      <c r="A674" s="9" t="n">
        <v>806166</v>
      </c>
      <c r="B674" s="9" t="inlineStr">
        <is>
          <t>Tyler Minnick</t>
        </is>
      </c>
      <c r="C674" s="9" t="inlineStr">
        <is>
          <t>PHI</t>
        </is>
      </c>
      <c r="D674" s="9" t="n">
        <v>25</v>
      </c>
      <c r="E674" s="16" t="inlineStr">
        <is>
          <t>R</t>
        </is>
      </c>
      <c r="F674" s="16" t="n"/>
      <c r="G674" s="9" t="n">
        <v>1</v>
      </c>
      <c r="H674" s="9" t="n">
        <v>1</v>
      </c>
      <c r="I674" s="9" t="inlineStr">
        <is>
          <t>Depth (no MLB PA)</t>
        </is>
      </c>
      <c r="J674" s="16" t="inlineStr">
        <is>
          <t>Opening Day</t>
        </is>
      </c>
      <c r="K674" s="11">
        <f>IFERROR(INDEX(Roles!$B$17:$B$20,MATCH(J674,Roles!$A$17:$A$20,0)),1)</f>
        <v/>
      </c>
      <c r="L674" s="17" t="n">
        <v>1</v>
      </c>
      <c r="M674" s="11" t="n">
        <v>1</v>
      </c>
      <c r="N674" s="17" t="n"/>
      <c r="O674" s="17" t="n"/>
      <c r="P674" s="17" t="n"/>
      <c r="Q674" s="17" t="n"/>
      <c r="R674" s="17" t="n"/>
      <c r="S674" s="17" t="n"/>
      <c r="T674" s="17" t="n"/>
      <c r="U674" s="17" t="n"/>
      <c r="V674" s="17" t="n"/>
      <c r="W674" s="17" t="n"/>
      <c r="X674" s="17" t="n"/>
      <c r="Y674" s="17" t="n">
        <v>1</v>
      </c>
      <c r="Z674" s="13">
        <f>SUMPRODUCT(N674:Y674,$N$2:$Y$2)*$K674*$L674*$M674</f>
        <v/>
      </c>
      <c r="AA674" s="14">
        <f>SUM(N674:Y674)</f>
        <v/>
      </c>
      <c r="AB674" s="14">
        <f>IFERROR(IF(UPPER($E674)="L",SUMPRODUCT(N674:Y674,$N$3:$Y$3,$N$2:$Y$2),SUMPRODUCT(N674:Y674,$N$4:$Y$4,$N$2:$Y$2))/(Z674/($K674*$L674*$M674)),"")</f>
        <v/>
      </c>
      <c r="AC674" s="18" t="n"/>
    </row>
    <row r="675">
      <c r="A675" s="9" t="n">
        <v>808538</v>
      </c>
      <c r="B675" s="9" t="inlineStr">
        <is>
          <t>Luis Parababire</t>
        </is>
      </c>
      <c r="C675" s="9" t="inlineStr">
        <is>
          <t>ATL</t>
        </is>
      </c>
      <c r="D675" s="9" t="n">
        <v>25</v>
      </c>
      <c r="E675" s="16" t="inlineStr">
        <is>
          <t>R</t>
        </is>
      </c>
      <c r="F675" s="16" t="n"/>
      <c r="G675" s="9" t="n">
        <v>1</v>
      </c>
      <c r="H675" s="9" t="n">
        <v>1</v>
      </c>
      <c r="I675" s="9" t="inlineStr">
        <is>
          <t>Depth (no MLB PA)</t>
        </is>
      </c>
      <c r="J675" s="16" t="inlineStr">
        <is>
          <t>Opening Day</t>
        </is>
      </c>
      <c r="K675" s="11">
        <f>IFERROR(INDEX(Roles!$B$17:$B$20,MATCH(J675,Roles!$A$17:$A$20,0)),1)</f>
        <v/>
      </c>
      <c r="L675" s="17" t="n">
        <v>1</v>
      </c>
      <c r="M675" s="11" t="n">
        <v>1</v>
      </c>
      <c r="N675" s="17" t="n"/>
      <c r="O675" s="17" t="n"/>
      <c r="P675" s="17" t="n"/>
      <c r="Q675" s="17" t="n"/>
      <c r="R675" s="17" t="n"/>
      <c r="S675" s="17" t="n"/>
      <c r="T675" s="17" t="n"/>
      <c r="U675" s="17" t="n"/>
      <c r="V675" s="17" t="n"/>
      <c r="W675" s="17" t="n"/>
      <c r="X675" s="17" t="n"/>
      <c r="Y675" s="17" t="n">
        <v>1</v>
      </c>
      <c r="Z675" s="13">
        <f>SUMPRODUCT(N675:Y675,$N$2:$Y$2)*$K675*$L675*$M675</f>
        <v/>
      </c>
      <c r="AA675" s="14">
        <f>SUM(N675:Y675)</f>
        <v/>
      </c>
      <c r="AB675" s="14">
        <f>IFERROR(IF(UPPER($E675)="L",SUMPRODUCT(N675:Y675,$N$3:$Y$3,$N$2:$Y$2),SUMPRODUCT(N675:Y675,$N$4:$Y$4,$N$2:$Y$2))/(Z675/($K675*$L675*$M675)),"")</f>
        <v/>
      </c>
      <c r="AC675" s="18" t="n"/>
    </row>
    <row r="676">
      <c r="A676" s="9" t="n">
        <v>815586</v>
      </c>
      <c r="B676" s="9" t="inlineStr">
        <is>
          <t>Joe Olsavsky</t>
        </is>
      </c>
      <c r="C676" s="9" t="inlineStr">
        <is>
          <t>ATL</t>
        </is>
      </c>
      <c r="D676" s="9" t="n">
        <v>25</v>
      </c>
      <c r="E676" s="16" t="inlineStr">
        <is>
          <t>R</t>
        </is>
      </c>
      <c r="F676" s="16" t="n"/>
      <c r="G676" s="9" t="n">
        <v>1</v>
      </c>
      <c r="H676" s="9" t="n">
        <v>1</v>
      </c>
      <c r="I676" s="9" t="inlineStr">
        <is>
          <t>Depth (no MLB PA)</t>
        </is>
      </c>
      <c r="J676" s="16" t="inlineStr">
        <is>
          <t>Opening Day</t>
        </is>
      </c>
      <c r="K676" s="11">
        <f>IFERROR(INDEX(Roles!$B$17:$B$20,MATCH(J676,Roles!$A$17:$A$20,0)),1)</f>
        <v/>
      </c>
      <c r="L676" s="17" t="n">
        <v>1</v>
      </c>
      <c r="M676" s="11" t="n">
        <v>1</v>
      </c>
      <c r="N676" s="17" t="n"/>
      <c r="O676" s="17" t="n"/>
      <c r="P676" s="17" t="n"/>
      <c r="Q676" s="17" t="n"/>
      <c r="R676" s="17" t="n"/>
      <c r="S676" s="17" t="n"/>
      <c r="T676" s="17" t="n"/>
      <c r="U676" s="17" t="n"/>
      <c r="V676" s="17" t="n"/>
      <c r="W676" s="17" t="n"/>
      <c r="X676" s="17" t="n"/>
      <c r="Y676" s="17" t="n">
        <v>1</v>
      </c>
      <c r="Z676" s="13">
        <f>SUMPRODUCT(N676:Y676,$N$2:$Y$2)*$K676*$L676*$M676</f>
        <v/>
      </c>
      <c r="AA676" s="14">
        <f>SUM(N676:Y676)</f>
        <v/>
      </c>
      <c r="AB676" s="14">
        <f>IFERROR(IF(UPPER($E676)="L",SUMPRODUCT(N676:Y676,$N$3:$Y$3,$N$2:$Y$2),SUMPRODUCT(N676:Y676,$N$4:$Y$4,$N$2:$Y$2))/(Z676/($K676*$L676*$M676)),"")</f>
        <v/>
      </c>
      <c r="AC676" s="18" t="n"/>
    </row>
    <row r="677">
      <c r="A677" s="9" t="n">
        <v>640454</v>
      </c>
      <c r="B677" s="9" t="inlineStr">
        <is>
          <t>Matt Krook</t>
        </is>
      </c>
      <c r="C677" s="9" t="inlineStr">
        <is>
          <t>OAK</t>
        </is>
      </c>
      <c r="D677" s="9" t="n">
        <v>25</v>
      </c>
      <c r="E677" s="16" t="inlineStr">
        <is>
          <t>L</t>
        </is>
      </c>
      <c r="F677" s="16" t="inlineStr">
        <is>
          <t>P</t>
        </is>
      </c>
      <c r="G677" s="9" t="n">
        <v>1</v>
      </c>
      <c r="H677" s="9" t="n">
        <v>1</v>
      </c>
      <c r="I677" s="9" t="inlineStr">
        <is>
          <t>Depth (no MLB PA)</t>
        </is>
      </c>
      <c r="J677" s="16" t="inlineStr">
        <is>
          <t>Opening Day</t>
        </is>
      </c>
      <c r="K677" s="11">
        <f>IFERROR(INDEX(Roles!$B$17:$B$20,MATCH(J677,Roles!$A$17:$A$20,0)),1)</f>
        <v/>
      </c>
      <c r="L677" s="17" t="n">
        <v>1</v>
      </c>
      <c r="M677" s="11" t="n">
        <v>1</v>
      </c>
      <c r="N677" s="17" t="n"/>
      <c r="O677" s="17" t="n"/>
      <c r="P677" s="17" t="n"/>
      <c r="Q677" s="17" t="n"/>
      <c r="R677" s="17" t="n"/>
      <c r="S677" s="17" t="n"/>
      <c r="T677" s="17" t="n"/>
      <c r="U677" s="17" t="n"/>
      <c r="V677" s="17" t="n"/>
      <c r="W677" s="17" t="n"/>
      <c r="X677" s="17" t="n"/>
      <c r="Y677" s="17" t="n">
        <v>1</v>
      </c>
      <c r="Z677" s="13">
        <f>SUMPRODUCT(N677:Y677,$N$2:$Y$2)*$K677*$L677*$M677</f>
        <v/>
      </c>
      <c r="AA677" s="14">
        <f>SUM(N677:Y677)</f>
        <v/>
      </c>
      <c r="AB677" s="14">
        <f>IFERROR(IF(UPPER($E677)="L",SUMPRODUCT(N677:Y677,$N$3:$Y$3,$N$2:$Y$2),SUMPRODUCT(N677:Y677,$N$4:$Y$4,$N$2:$Y$2))/(Z677/($K677*$L677*$M677)),"")</f>
        <v/>
      </c>
      <c r="AC677" s="18" t="n"/>
    </row>
    <row r="678">
      <c r="A678" s="9" t="n">
        <v>691464</v>
      </c>
      <c r="B678" s="9" t="inlineStr">
        <is>
          <t>Fernando Caldera</t>
        </is>
      </c>
      <c r="C678" s="9" t="inlineStr">
        <is>
          <t>HOU</t>
        </is>
      </c>
      <c r="D678" s="9" t="n">
        <v>25</v>
      </c>
      <c r="E678" s="16" t="inlineStr">
        <is>
          <t>R</t>
        </is>
      </c>
      <c r="F678" s="16" t="n"/>
      <c r="G678" s="9" t="n">
        <v>1</v>
      </c>
      <c r="H678" s="9" t="n">
        <v>1</v>
      </c>
      <c r="I678" s="9" t="inlineStr">
        <is>
          <t>Depth (no MLB PA)</t>
        </is>
      </c>
      <c r="J678" s="16" t="inlineStr">
        <is>
          <t>Opening Day</t>
        </is>
      </c>
      <c r="K678" s="11">
        <f>IFERROR(INDEX(Roles!$B$17:$B$20,MATCH(J678,Roles!$A$17:$A$20,0)),1)</f>
        <v/>
      </c>
      <c r="L678" s="17" t="n">
        <v>1</v>
      </c>
      <c r="M678" s="11" t="n">
        <v>1</v>
      </c>
      <c r="N678" s="17" t="n"/>
      <c r="O678" s="17" t="n"/>
      <c r="P678" s="17" t="n"/>
      <c r="Q678" s="17" t="n"/>
      <c r="R678" s="17" t="n"/>
      <c r="S678" s="17" t="n"/>
      <c r="T678" s="17" t="n"/>
      <c r="U678" s="17" t="n"/>
      <c r="V678" s="17" t="n"/>
      <c r="W678" s="17" t="n"/>
      <c r="X678" s="17" t="n"/>
      <c r="Y678" s="17" t="n">
        <v>1</v>
      </c>
      <c r="Z678" s="13">
        <f>SUMPRODUCT(N678:Y678,$N$2:$Y$2)*$K678*$L678*$M678</f>
        <v/>
      </c>
      <c r="AA678" s="14">
        <f>SUM(N678:Y678)</f>
        <v/>
      </c>
      <c r="AB678" s="14">
        <f>IFERROR(IF(UPPER($E678)="L",SUMPRODUCT(N678:Y678,$N$3:$Y$3,$N$2:$Y$2),SUMPRODUCT(N678:Y678,$N$4:$Y$4,$N$2:$Y$2))/(Z678/($K678*$L678*$M678)),"")</f>
        <v/>
      </c>
      <c r="AC678" s="18" t="n"/>
    </row>
    <row r="679">
      <c r="A679" s="9" t="n">
        <v>703447</v>
      </c>
      <c r="B679" s="9" t="inlineStr">
        <is>
          <t>Jacob Jarrell</t>
        </is>
      </c>
      <c r="C679" s="9" t="inlineStr">
        <is>
          <t>ATL</t>
        </is>
      </c>
      <c r="D679" s="9" t="n">
        <v>25</v>
      </c>
      <c r="E679" s="16" t="inlineStr">
        <is>
          <t>R</t>
        </is>
      </c>
      <c r="F679" s="16" t="n"/>
      <c r="G679" s="9" t="n">
        <v>1</v>
      </c>
      <c r="H679" s="9" t="n">
        <v>1</v>
      </c>
      <c r="I679" s="9" t="inlineStr">
        <is>
          <t>Depth (no MLB PA)</t>
        </is>
      </c>
      <c r="J679" s="16" t="inlineStr">
        <is>
          <t>Opening Day</t>
        </is>
      </c>
      <c r="K679" s="11">
        <f>IFERROR(INDEX(Roles!$B$17:$B$20,MATCH(J679,Roles!$A$17:$A$20,0)),1)</f>
        <v/>
      </c>
      <c r="L679" s="17" t="n">
        <v>1</v>
      </c>
      <c r="M679" s="11" t="n">
        <v>1</v>
      </c>
      <c r="N679" s="17" t="n"/>
      <c r="O679" s="17" t="n"/>
      <c r="P679" s="17" t="n"/>
      <c r="Q679" s="17" t="n"/>
      <c r="R679" s="17" t="n"/>
      <c r="S679" s="17" t="n"/>
      <c r="T679" s="17" t="n"/>
      <c r="U679" s="17" t="n"/>
      <c r="V679" s="17" t="n"/>
      <c r="W679" s="17" t="n"/>
      <c r="X679" s="17" t="n"/>
      <c r="Y679" s="17" t="n">
        <v>1</v>
      </c>
      <c r="Z679" s="13">
        <f>SUMPRODUCT(N679:Y679,$N$2:$Y$2)*$K679*$L679*$M679</f>
        <v/>
      </c>
      <c r="AA679" s="14">
        <f>SUM(N679:Y679)</f>
        <v/>
      </c>
      <c r="AB679" s="14">
        <f>IFERROR(IF(UPPER($E679)="L",SUMPRODUCT(N679:Y679,$N$3:$Y$3,$N$2:$Y$2),SUMPRODUCT(N679:Y679,$N$4:$Y$4,$N$2:$Y$2))/(Z679/($K679*$L679*$M679)),"")</f>
        <v/>
      </c>
      <c r="AC679" s="18" t="n"/>
    </row>
    <row r="680">
      <c r="A680" s="9" t="n">
        <v>703152</v>
      </c>
      <c r="B680" s="9" t="inlineStr">
        <is>
          <t>Anthony Gutierrez</t>
        </is>
      </c>
      <c r="C680" s="9" t="inlineStr">
        <is>
          <t>TEX</t>
        </is>
      </c>
      <c r="D680" s="9" t="n">
        <v>25</v>
      </c>
      <c r="E680" s="16" t="inlineStr">
        <is>
          <t>R</t>
        </is>
      </c>
      <c r="F680" s="16" t="n"/>
      <c r="G680" s="9" t="n">
        <v>1</v>
      </c>
      <c r="H680" s="9" t="n">
        <v>1</v>
      </c>
      <c r="I680" s="9" t="inlineStr">
        <is>
          <t>Depth (no MLB PA)</t>
        </is>
      </c>
      <c r="J680" s="16" t="inlineStr">
        <is>
          <t>Opening Day</t>
        </is>
      </c>
      <c r="K680" s="11">
        <f>IFERROR(INDEX(Roles!$B$17:$B$20,MATCH(J680,Roles!$A$17:$A$20,0)),1)</f>
        <v/>
      </c>
      <c r="L680" s="17" t="n">
        <v>1</v>
      </c>
      <c r="M680" s="11" t="n">
        <v>1</v>
      </c>
      <c r="N680" s="17" t="n"/>
      <c r="O680" s="17" t="n"/>
      <c r="P680" s="17" t="n"/>
      <c r="Q680" s="17" t="n"/>
      <c r="R680" s="17" t="n"/>
      <c r="S680" s="17" t="n"/>
      <c r="T680" s="17" t="n"/>
      <c r="U680" s="17" t="n"/>
      <c r="V680" s="17" t="n"/>
      <c r="W680" s="17" t="n"/>
      <c r="X680" s="17" t="n"/>
      <c r="Y680" s="17" t="n">
        <v>1</v>
      </c>
      <c r="Z680" s="13">
        <f>SUMPRODUCT(N680:Y680,$N$2:$Y$2)*$K680*$L680*$M680</f>
        <v/>
      </c>
      <c r="AA680" s="14">
        <f>SUM(N680:Y680)</f>
        <v/>
      </c>
      <c r="AB680" s="14">
        <f>IFERROR(IF(UPPER($E680)="L",SUMPRODUCT(N680:Y680,$N$3:$Y$3,$N$2:$Y$2),SUMPRODUCT(N680:Y680,$N$4:$Y$4,$N$2:$Y$2))/(Z680/($K680*$L680*$M680)),"")</f>
        <v/>
      </c>
      <c r="AC680" s="18" t="n"/>
    </row>
    <row r="681">
      <c r="A681" s="9" t="n">
        <v>808233</v>
      </c>
      <c r="B681" s="9" t="inlineStr">
        <is>
          <t>Alfredo Rodriguez</t>
        </is>
      </c>
      <c r="C681" s="9" t="inlineStr">
        <is>
          <t>TB</t>
        </is>
      </c>
      <c r="D681" s="9" t="n">
        <v>25</v>
      </c>
      <c r="E681" s="16" t="inlineStr">
        <is>
          <t>R</t>
        </is>
      </c>
      <c r="F681" s="16" t="n"/>
      <c r="G681" s="9" t="n">
        <v>1</v>
      </c>
      <c r="H681" s="9" t="n">
        <v>1</v>
      </c>
      <c r="I681" s="9" t="inlineStr">
        <is>
          <t>Depth (no MLB PA)</t>
        </is>
      </c>
      <c r="J681" s="16" t="inlineStr">
        <is>
          <t>Opening Day</t>
        </is>
      </c>
      <c r="K681" s="11">
        <f>IFERROR(INDEX(Roles!$B$17:$B$20,MATCH(J681,Roles!$A$17:$A$20,0)),1)</f>
        <v/>
      </c>
      <c r="L681" s="17" t="n">
        <v>1</v>
      </c>
      <c r="M681" s="11" t="n">
        <v>1</v>
      </c>
      <c r="N681" s="17" t="n"/>
      <c r="O681" s="17" t="n"/>
      <c r="P681" s="17" t="n"/>
      <c r="Q681" s="17" t="n"/>
      <c r="R681" s="17" t="n"/>
      <c r="S681" s="17" t="n"/>
      <c r="T681" s="17" t="n"/>
      <c r="U681" s="17" t="n"/>
      <c r="V681" s="17" t="n"/>
      <c r="W681" s="17" t="n"/>
      <c r="X681" s="17" t="n"/>
      <c r="Y681" s="17" t="n">
        <v>1</v>
      </c>
      <c r="Z681" s="13">
        <f>SUMPRODUCT(N681:Y681,$N$2:$Y$2)*$K681*$L681*$M681</f>
        <v/>
      </c>
      <c r="AA681" s="14">
        <f>SUM(N681:Y681)</f>
        <v/>
      </c>
      <c r="AB681" s="14">
        <f>IFERROR(IF(UPPER($E681)="L",SUMPRODUCT(N681:Y681,$N$3:$Y$3,$N$2:$Y$2),SUMPRODUCT(N681:Y681,$N$4:$Y$4,$N$2:$Y$2))/(Z681/($K681*$L681*$M681)),"")</f>
        <v/>
      </c>
      <c r="AC681" s="18" t="n"/>
    </row>
    <row r="682">
      <c r="A682" s="9" t="n">
        <v>828408</v>
      </c>
      <c r="B682" s="9" t="inlineStr">
        <is>
          <t>Evan Bouldin</t>
        </is>
      </c>
      <c r="C682" s="9" t="inlineStr">
        <is>
          <t>PHI</t>
        </is>
      </c>
      <c r="D682" s="9" t="n">
        <v>25</v>
      </c>
      <c r="E682" s="16" t="inlineStr">
        <is>
          <t>R</t>
        </is>
      </c>
      <c r="F682" s="16" t="n"/>
      <c r="G682" s="9" t="n">
        <v>1</v>
      </c>
      <c r="H682" s="9" t="n">
        <v>1</v>
      </c>
      <c r="I682" s="9" t="inlineStr">
        <is>
          <t>Depth (no MLB PA)</t>
        </is>
      </c>
      <c r="J682" s="16" t="inlineStr">
        <is>
          <t>Opening Day</t>
        </is>
      </c>
      <c r="K682" s="11">
        <f>IFERROR(INDEX(Roles!$B$17:$B$20,MATCH(J682,Roles!$A$17:$A$20,0)),1)</f>
        <v/>
      </c>
      <c r="L682" s="17" t="n">
        <v>1</v>
      </c>
      <c r="M682" s="11" t="n">
        <v>1</v>
      </c>
      <c r="N682" s="17" t="n"/>
      <c r="O682" s="17" t="n"/>
      <c r="P682" s="17" t="n"/>
      <c r="Q682" s="17" t="n"/>
      <c r="R682" s="17" t="n"/>
      <c r="S682" s="17" t="n"/>
      <c r="T682" s="17" t="n"/>
      <c r="U682" s="17" t="n"/>
      <c r="V682" s="17" t="n"/>
      <c r="W682" s="17" t="n"/>
      <c r="X682" s="17" t="n"/>
      <c r="Y682" s="17" t="n">
        <v>1</v>
      </c>
      <c r="Z682" s="13">
        <f>SUMPRODUCT(N682:Y682,$N$2:$Y$2)*$K682*$L682*$M682</f>
        <v/>
      </c>
      <c r="AA682" s="14">
        <f>SUM(N682:Y682)</f>
        <v/>
      </c>
      <c r="AB682" s="14">
        <f>IFERROR(IF(UPPER($E682)="L",SUMPRODUCT(N682:Y682,$N$3:$Y$3,$N$2:$Y$2),SUMPRODUCT(N682:Y682,$N$4:$Y$4,$N$2:$Y$2))/(Z682/($K682*$L682*$M682)),"")</f>
        <v/>
      </c>
      <c r="AC682" s="18" t="n"/>
    </row>
    <row r="683">
      <c r="A683" s="9" t="n">
        <v>821348</v>
      </c>
      <c r="B683" s="9" t="inlineStr">
        <is>
          <t>Brent Iredale</t>
        </is>
      </c>
      <c r="C683" s="9" t="inlineStr">
        <is>
          <t>PIT</t>
        </is>
      </c>
      <c r="D683" s="9" t="n">
        <v>25</v>
      </c>
      <c r="E683" s="16" t="inlineStr">
        <is>
          <t>R</t>
        </is>
      </c>
      <c r="F683" s="16" t="n"/>
      <c r="G683" s="9" t="n">
        <v>1</v>
      </c>
      <c r="H683" s="9" t="n">
        <v>1</v>
      </c>
      <c r="I683" s="9" t="inlineStr">
        <is>
          <t>Depth (no MLB PA)</t>
        </is>
      </c>
      <c r="J683" s="16" t="inlineStr">
        <is>
          <t>Opening Day</t>
        </is>
      </c>
      <c r="K683" s="11">
        <f>IFERROR(INDEX(Roles!$B$17:$B$20,MATCH(J683,Roles!$A$17:$A$20,0)),1)</f>
        <v/>
      </c>
      <c r="L683" s="17" t="n">
        <v>1</v>
      </c>
      <c r="M683" s="11" t="n">
        <v>1</v>
      </c>
      <c r="N683" s="17" t="n"/>
      <c r="O683" s="17" t="n"/>
      <c r="P683" s="17" t="n"/>
      <c r="Q683" s="17" t="n"/>
      <c r="R683" s="17" t="n"/>
      <c r="S683" s="17" t="n"/>
      <c r="T683" s="17" t="n"/>
      <c r="U683" s="17" t="n"/>
      <c r="V683" s="17" t="n"/>
      <c r="W683" s="17" t="n"/>
      <c r="X683" s="17" t="n"/>
      <c r="Y683" s="17" t="n">
        <v>1</v>
      </c>
      <c r="Z683" s="13">
        <f>SUMPRODUCT(N683:Y683,$N$2:$Y$2)*$K683*$L683*$M683</f>
        <v/>
      </c>
      <c r="AA683" s="14">
        <f>SUM(N683:Y683)</f>
        <v/>
      </c>
      <c r="AB683" s="14">
        <f>IFERROR(IF(UPPER($E683)="L",SUMPRODUCT(N683:Y683,$N$3:$Y$3,$N$2:$Y$2),SUMPRODUCT(N683:Y683,$N$4:$Y$4,$N$2:$Y$2))/(Z683/($K683*$L683*$M683)),"")</f>
        <v/>
      </c>
      <c r="AC683" s="18" t="n"/>
    </row>
    <row r="684">
      <c r="A684" s="9" t="n">
        <v>656686</v>
      </c>
      <c r="B684" s="9" t="inlineStr">
        <is>
          <t>Corbin Martin</t>
        </is>
      </c>
      <c r="C684" s="9" t="inlineStr">
        <is>
          <t>CHC</t>
        </is>
      </c>
      <c r="D684" s="9" t="n">
        <v>25</v>
      </c>
      <c r="E684" s="16" t="inlineStr">
        <is>
          <t>R</t>
        </is>
      </c>
      <c r="F684" s="16" t="inlineStr">
        <is>
          <t>P</t>
        </is>
      </c>
      <c r="G684" s="9" t="n">
        <v>1</v>
      </c>
      <c r="H684" s="9" t="n">
        <v>1</v>
      </c>
      <c r="I684" s="9" t="inlineStr">
        <is>
          <t>Depth (no MLB PA)</t>
        </is>
      </c>
      <c r="J684" s="16" t="inlineStr">
        <is>
          <t>Opening Day</t>
        </is>
      </c>
      <c r="K684" s="11">
        <f>IFERROR(INDEX(Roles!$B$17:$B$20,MATCH(J684,Roles!$A$17:$A$20,0)),1)</f>
        <v/>
      </c>
      <c r="L684" s="17" t="n">
        <v>1</v>
      </c>
      <c r="M684" s="11" t="n">
        <v>1</v>
      </c>
      <c r="N684" s="17" t="n"/>
      <c r="O684" s="17" t="n"/>
      <c r="P684" s="17" t="n"/>
      <c r="Q684" s="17" t="n"/>
      <c r="R684" s="17" t="n"/>
      <c r="S684" s="17" t="n"/>
      <c r="T684" s="17" t="n"/>
      <c r="U684" s="17" t="n"/>
      <c r="V684" s="17" t="n"/>
      <c r="W684" s="17" t="n"/>
      <c r="X684" s="17" t="n"/>
      <c r="Y684" s="17" t="n">
        <v>1</v>
      </c>
      <c r="Z684" s="13">
        <f>SUMPRODUCT(N684:Y684,$N$2:$Y$2)*$K684*$L684*$M684</f>
        <v/>
      </c>
      <c r="AA684" s="14">
        <f>SUM(N684:Y684)</f>
        <v/>
      </c>
      <c r="AB684" s="14">
        <f>IFERROR(IF(UPPER($E684)="L",SUMPRODUCT(N684:Y684,$N$3:$Y$3,$N$2:$Y$2),SUMPRODUCT(N684:Y684,$N$4:$Y$4,$N$2:$Y$2))/(Z684/($K684*$L684*$M684)),"")</f>
        <v/>
      </c>
      <c r="AC684" s="18" t="n"/>
    </row>
    <row r="685">
      <c r="A685" s="9" t="n">
        <v>690523</v>
      </c>
      <c r="B685" s="9" t="inlineStr">
        <is>
          <t>Joe Campagna</t>
        </is>
      </c>
      <c r="C685" s="9" t="inlineStr">
        <is>
          <t>DET</t>
        </is>
      </c>
      <c r="D685" s="9" t="n">
        <v>25</v>
      </c>
      <c r="E685" s="16" t="inlineStr">
        <is>
          <t>R</t>
        </is>
      </c>
      <c r="F685" s="16" t="n"/>
      <c r="G685" s="9" t="n">
        <v>1</v>
      </c>
      <c r="H685" s="9" t="n">
        <v>1</v>
      </c>
      <c r="I685" s="9" t="inlineStr">
        <is>
          <t>Depth (no MLB PA)</t>
        </is>
      </c>
      <c r="J685" s="16" t="inlineStr">
        <is>
          <t>Opening Day</t>
        </is>
      </c>
      <c r="K685" s="11">
        <f>IFERROR(INDEX(Roles!$B$17:$B$20,MATCH(J685,Roles!$A$17:$A$20,0)),1)</f>
        <v/>
      </c>
      <c r="L685" s="17" t="n">
        <v>1</v>
      </c>
      <c r="M685" s="11" t="n">
        <v>1</v>
      </c>
      <c r="N685" s="17" t="n"/>
      <c r="O685" s="17" t="n"/>
      <c r="P685" s="17" t="n"/>
      <c r="Q685" s="17" t="n"/>
      <c r="R685" s="17" t="n"/>
      <c r="S685" s="17" t="n"/>
      <c r="T685" s="17" t="n"/>
      <c r="U685" s="17" t="n"/>
      <c r="V685" s="17" t="n"/>
      <c r="W685" s="17" t="n"/>
      <c r="X685" s="17" t="n"/>
      <c r="Y685" s="17" t="n">
        <v>1</v>
      </c>
      <c r="Z685" s="13">
        <f>SUMPRODUCT(N685:Y685,$N$2:$Y$2)*$K685*$L685*$M685</f>
        <v/>
      </c>
      <c r="AA685" s="14">
        <f>SUM(N685:Y685)</f>
        <v/>
      </c>
      <c r="AB685" s="14">
        <f>IFERROR(IF(UPPER($E685)="L",SUMPRODUCT(N685:Y685,$N$3:$Y$3,$N$2:$Y$2),SUMPRODUCT(N685:Y685,$N$4:$Y$4,$N$2:$Y$2))/(Z685/($K685*$L685*$M685)),"")</f>
        <v/>
      </c>
      <c r="AC685" s="18" t="n"/>
    </row>
    <row r="686">
      <c r="A686" s="9" t="n">
        <v>827412</v>
      </c>
      <c r="B686" s="9" t="inlineStr">
        <is>
          <t>Gabriel Flores</t>
        </is>
      </c>
      <c r="C686" s="9" t="inlineStr">
        <is>
          <t>PHI</t>
        </is>
      </c>
      <c r="D686" s="9" t="n">
        <v>25</v>
      </c>
      <c r="E686" s="16" t="inlineStr">
        <is>
          <t>R</t>
        </is>
      </c>
      <c r="F686" s="16" t="n"/>
      <c r="G686" s="9" t="n">
        <v>1</v>
      </c>
      <c r="H686" s="9" t="n">
        <v>1</v>
      </c>
      <c r="I686" s="9" t="inlineStr">
        <is>
          <t>Depth (no MLB PA)</t>
        </is>
      </c>
      <c r="J686" s="16" t="inlineStr">
        <is>
          <t>Opening Day</t>
        </is>
      </c>
      <c r="K686" s="11">
        <f>IFERROR(INDEX(Roles!$B$17:$B$20,MATCH(J686,Roles!$A$17:$A$20,0)),1)</f>
        <v/>
      </c>
      <c r="L686" s="17" t="n">
        <v>1</v>
      </c>
      <c r="M686" s="11" t="n">
        <v>1</v>
      </c>
      <c r="N686" s="17" t="n"/>
      <c r="O686" s="17" t="n"/>
      <c r="P686" s="17" t="n"/>
      <c r="Q686" s="17" t="n"/>
      <c r="R686" s="17" t="n"/>
      <c r="S686" s="17" t="n"/>
      <c r="T686" s="17" t="n"/>
      <c r="U686" s="17" t="n"/>
      <c r="V686" s="17" t="n"/>
      <c r="W686" s="17" t="n"/>
      <c r="X686" s="17" t="n"/>
      <c r="Y686" s="17" t="n">
        <v>1</v>
      </c>
      <c r="Z686" s="13">
        <f>SUMPRODUCT(N686:Y686,$N$2:$Y$2)*$K686*$L686*$M686</f>
        <v/>
      </c>
      <c r="AA686" s="14">
        <f>SUM(N686:Y686)</f>
        <v/>
      </c>
      <c r="AB686" s="14">
        <f>IFERROR(IF(UPPER($E686)="L",SUMPRODUCT(N686:Y686,$N$3:$Y$3,$N$2:$Y$2),SUMPRODUCT(N686:Y686,$N$4:$Y$4,$N$2:$Y$2))/(Z686/($K686*$L686*$M686)),"")</f>
        <v/>
      </c>
      <c r="AC686" s="18" t="n"/>
    </row>
    <row r="687">
      <c r="A687" s="9" t="n">
        <v>808343</v>
      </c>
      <c r="B687" s="9" t="inlineStr">
        <is>
          <t>Jormy Nivar</t>
        </is>
      </c>
      <c r="C687" s="9" t="inlineStr">
        <is>
          <t>TEX</t>
        </is>
      </c>
      <c r="D687" s="9" t="n">
        <v>25</v>
      </c>
      <c r="E687" s="16" t="inlineStr">
        <is>
          <t>R</t>
        </is>
      </c>
      <c r="F687" s="16" t="n"/>
      <c r="G687" s="9" t="n">
        <v>1</v>
      </c>
      <c r="H687" s="9" t="n">
        <v>1</v>
      </c>
      <c r="I687" s="9" t="inlineStr">
        <is>
          <t>Depth (no MLB PA)</t>
        </is>
      </c>
      <c r="J687" s="16" t="inlineStr">
        <is>
          <t>Opening Day</t>
        </is>
      </c>
      <c r="K687" s="11">
        <f>IFERROR(INDEX(Roles!$B$17:$B$20,MATCH(J687,Roles!$A$17:$A$20,0)),1)</f>
        <v/>
      </c>
      <c r="L687" s="17" t="n">
        <v>1</v>
      </c>
      <c r="M687" s="11" t="n">
        <v>1</v>
      </c>
      <c r="N687" s="17" t="n"/>
      <c r="O687" s="17" t="n"/>
      <c r="P687" s="17" t="n"/>
      <c r="Q687" s="17" t="n"/>
      <c r="R687" s="17" t="n"/>
      <c r="S687" s="17" t="n"/>
      <c r="T687" s="17" t="n"/>
      <c r="U687" s="17" t="n"/>
      <c r="V687" s="17" t="n"/>
      <c r="W687" s="17" t="n"/>
      <c r="X687" s="17" t="n"/>
      <c r="Y687" s="17" t="n">
        <v>1</v>
      </c>
      <c r="Z687" s="13">
        <f>SUMPRODUCT(N687:Y687,$N$2:$Y$2)*$K687*$L687*$M687</f>
        <v/>
      </c>
      <c r="AA687" s="14">
        <f>SUM(N687:Y687)</f>
        <v/>
      </c>
      <c r="AB687" s="14">
        <f>IFERROR(IF(UPPER($E687)="L",SUMPRODUCT(N687:Y687,$N$3:$Y$3,$N$2:$Y$2),SUMPRODUCT(N687:Y687,$N$4:$Y$4,$N$2:$Y$2))/(Z687/($K687*$L687*$M687)),"")</f>
        <v/>
      </c>
      <c r="AC687" s="18" t="n"/>
    </row>
    <row r="688">
      <c r="A688" s="9" t="n">
        <v>691384</v>
      </c>
      <c r="B688" s="9" t="inlineStr">
        <is>
          <t>Luis Perales</t>
        </is>
      </c>
      <c r="C688" s="9" t="inlineStr">
        <is>
          <t>WSH</t>
        </is>
      </c>
      <c r="D688" s="9" t="n">
        <v>25</v>
      </c>
      <c r="E688" s="16" t="inlineStr">
        <is>
          <t>R</t>
        </is>
      </c>
      <c r="F688" s="16" t="inlineStr">
        <is>
          <t>P</t>
        </is>
      </c>
      <c r="G688" s="9" t="n">
        <v>1</v>
      </c>
      <c r="H688" s="9" t="n">
        <v>1</v>
      </c>
      <c r="I688" s="9" t="inlineStr">
        <is>
          <t>Depth (no MLB PA)</t>
        </is>
      </c>
      <c r="J688" s="16" t="inlineStr">
        <is>
          <t>Opening Day</t>
        </is>
      </c>
      <c r="K688" s="11">
        <f>IFERROR(INDEX(Roles!$B$17:$B$20,MATCH(J688,Roles!$A$17:$A$20,0)),1)</f>
        <v/>
      </c>
      <c r="L688" s="17" t="n">
        <v>1</v>
      </c>
      <c r="M688" s="11" t="n">
        <v>1</v>
      </c>
      <c r="N688" s="17" t="n"/>
      <c r="O688" s="17" t="n"/>
      <c r="P688" s="17" t="n"/>
      <c r="Q688" s="17" t="n"/>
      <c r="R688" s="17" t="n"/>
      <c r="S688" s="17" t="n"/>
      <c r="T688" s="17" t="n"/>
      <c r="U688" s="17" t="n"/>
      <c r="V688" s="17" t="n"/>
      <c r="W688" s="17" t="n"/>
      <c r="X688" s="17" t="n"/>
      <c r="Y688" s="17" t="n">
        <v>1</v>
      </c>
      <c r="Z688" s="13">
        <f>SUMPRODUCT(N688:Y688,$N$2:$Y$2)*$K688*$L688*$M688</f>
        <v/>
      </c>
      <c r="AA688" s="14">
        <f>SUM(N688:Y688)</f>
        <v/>
      </c>
      <c r="AB688" s="14">
        <f>IFERROR(IF(UPPER($E688)="L",SUMPRODUCT(N688:Y688,$N$3:$Y$3,$N$2:$Y$2),SUMPRODUCT(N688:Y688,$N$4:$Y$4,$N$2:$Y$2))/(Z688/($K688*$L688*$M688)),"")</f>
        <v/>
      </c>
      <c r="AC688" s="18" t="n"/>
    </row>
    <row r="689">
      <c r="A689" s="9" t="n">
        <v>683176</v>
      </c>
      <c r="B689" s="9" t="inlineStr">
        <is>
          <t>Nate Rombach</t>
        </is>
      </c>
      <c r="C689" s="9" t="inlineStr">
        <is>
          <t>WSH</t>
        </is>
      </c>
      <c r="D689" s="9" t="n">
        <v>25</v>
      </c>
      <c r="E689" s="16" t="inlineStr">
        <is>
          <t>R</t>
        </is>
      </c>
      <c r="F689" s="16" t="n"/>
      <c r="G689" s="9" t="n">
        <v>1</v>
      </c>
      <c r="H689" s="9" t="n">
        <v>1</v>
      </c>
      <c r="I689" s="9" t="inlineStr">
        <is>
          <t>Depth (no MLB PA)</t>
        </is>
      </c>
      <c r="J689" s="16" t="inlineStr">
        <is>
          <t>Opening Day</t>
        </is>
      </c>
      <c r="K689" s="11">
        <f>IFERROR(INDEX(Roles!$B$17:$B$20,MATCH(J689,Roles!$A$17:$A$20,0)),1)</f>
        <v/>
      </c>
      <c r="L689" s="17" t="n">
        <v>1</v>
      </c>
      <c r="M689" s="11" t="n">
        <v>1</v>
      </c>
      <c r="N689" s="17" t="n"/>
      <c r="O689" s="17" t="n"/>
      <c r="P689" s="17" t="n"/>
      <c r="Q689" s="17" t="n"/>
      <c r="R689" s="17" t="n"/>
      <c r="S689" s="17" t="n"/>
      <c r="T689" s="17" t="n"/>
      <c r="U689" s="17" t="n"/>
      <c r="V689" s="17" t="n"/>
      <c r="W689" s="17" t="n"/>
      <c r="X689" s="17" t="n"/>
      <c r="Y689" s="17" t="n">
        <v>1</v>
      </c>
      <c r="Z689" s="13">
        <f>SUMPRODUCT(N689:Y689,$N$2:$Y$2)*$K689*$L689*$M689</f>
        <v/>
      </c>
      <c r="AA689" s="14">
        <f>SUM(N689:Y689)</f>
        <v/>
      </c>
      <c r="AB689" s="14">
        <f>IFERROR(IF(UPPER($E689)="L",SUMPRODUCT(N689:Y689,$N$3:$Y$3,$N$2:$Y$2),SUMPRODUCT(N689:Y689,$N$4:$Y$4,$N$2:$Y$2))/(Z689/($K689*$L689*$M689)),"")</f>
        <v/>
      </c>
      <c r="AC689" s="18" t="n"/>
    </row>
    <row r="690">
      <c r="A690" s="9" t="n">
        <v>821672</v>
      </c>
      <c r="B690" s="9" t="inlineStr">
        <is>
          <t>Eduardo Rojas</t>
        </is>
      </c>
      <c r="C690" s="9" t="inlineStr">
        <is>
          <t>LAD</t>
        </is>
      </c>
      <c r="D690" s="9" t="n">
        <v>25</v>
      </c>
      <c r="E690" s="16" t="inlineStr">
        <is>
          <t>S</t>
        </is>
      </c>
      <c r="F690" s="16" t="n"/>
      <c r="G690" s="9" t="n">
        <v>1</v>
      </c>
      <c r="H690" s="9" t="n">
        <v>1</v>
      </c>
      <c r="I690" s="9" t="inlineStr">
        <is>
          <t>Depth (no MLB PA)</t>
        </is>
      </c>
      <c r="J690" s="16" t="inlineStr">
        <is>
          <t>Opening Day</t>
        </is>
      </c>
      <c r="K690" s="11">
        <f>IFERROR(INDEX(Roles!$B$17:$B$20,MATCH(J690,Roles!$A$17:$A$20,0)),1)</f>
        <v/>
      </c>
      <c r="L690" s="17" t="n">
        <v>1</v>
      </c>
      <c r="M690" s="11" t="n">
        <v>1</v>
      </c>
      <c r="N690" s="17" t="n"/>
      <c r="O690" s="17" t="n"/>
      <c r="P690" s="17" t="n"/>
      <c r="Q690" s="17" t="n"/>
      <c r="R690" s="17" t="n"/>
      <c r="S690" s="17" t="n"/>
      <c r="T690" s="17" t="n"/>
      <c r="U690" s="17" t="n"/>
      <c r="V690" s="17" t="n"/>
      <c r="W690" s="17" t="n"/>
      <c r="X690" s="17" t="n"/>
      <c r="Y690" s="17" t="n">
        <v>1</v>
      </c>
      <c r="Z690" s="13">
        <f>SUMPRODUCT(N690:Y690,$N$2:$Y$2)*$K690*$L690*$M690</f>
        <v/>
      </c>
      <c r="AA690" s="14">
        <f>SUM(N690:Y690)</f>
        <v/>
      </c>
      <c r="AB690" s="14">
        <f>IFERROR(IF(UPPER($E690)="L",SUMPRODUCT(N690:Y690,$N$3:$Y$3,$N$2:$Y$2),SUMPRODUCT(N690:Y690,$N$4:$Y$4,$N$2:$Y$2))/(Z690/($K690*$L690*$M690)),"")</f>
        <v/>
      </c>
      <c r="AC690" s="18" t="n"/>
    </row>
    <row r="691">
      <c r="A691" s="9" t="n">
        <v>815899</v>
      </c>
      <c r="B691" s="9" t="inlineStr">
        <is>
          <t>Jose Perdomo</t>
        </is>
      </c>
      <c r="C691" s="9" t="inlineStr">
        <is>
          <t>ATL</t>
        </is>
      </c>
      <c r="D691" s="9" t="n">
        <v>25</v>
      </c>
      <c r="E691" s="16" t="inlineStr">
        <is>
          <t>R</t>
        </is>
      </c>
      <c r="F691" s="16" t="n"/>
      <c r="G691" s="9" t="n">
        <v>1</v>
      </c>
      <c r="H691" s="9" t="n">
        <v>1</v>
      </c>
      <c r="I691" s="9" t="inlineStr">
        <is>
          <t>Depth (no MLB PA)</t>
        </is>
      </c>
      <c r="J691" s="16" t="inlineStr">
        <is>
          <t>Opening Day</t>
        </is>
      </c>
      <c r="K691" s="11">
        <f>IFERROR(INDEX(Roles!$B$17:$B$20,MATCH(J691,Roles!$A$17:$A$20,0)),1)</f>
        <v/>
      </c>
      <c r="L691" s="17" t="n">
        <v>1</v>
      </c>
      <c r="M691" s="11" t="n">
        <v>1</v>
      </c>
      <c r="N691" s="17" t="n"/>
      <c r="O691" s="17" t="n"/>
      <c r="P691" s="17" t="n"/>
      <c r="Q691" s="17" t="n"/>
      <c r="R691" s="17" t="n"/>
      <c r="S691" s="17" t="n"/>
      <c r="T691" s="17" t="n"/>
      <c r="U691" s="17" t="n"/>
      <c r="V691" s="17" t="n"/>
      <c r="W691" s="17" t="n"/>
      <c r="X691" s="17" t="n"/>
      <c r="Y691" s="17" t="n">
        <v>1</v>
      </c>
      <c r="Z691" s="13">
        <f>SUMPRODUCT(N691:Y691,$N$2:$Y$2)*$K691*$L691*$M691</f>
        <v/>
      </c>
      <c r="AA691" s="14">
        <f>SUM(N691:Y691)</f>
        <v/>
      </c>
      <c r="AB691" s="14">
        <f>IFERROR(IF(UPPER($E691)="L",SUMPRODUCT(N691:Y691,$N$3:$Y$3,$N$2:$Y$2),SUMPRODUCT(N691:Y691,$N$4:$Y$4,$N$2:$Y$2))/(Z691/($K691*$L691*$M691)),"")</f>
        <v/>
      </c>
      <c r="AC691" s="18" t="n"/>
    </row>
    <row r="692">
      <c r="A692" s="9" t="n">
        <v>805990</v>
      </c>
      <c r="B692" s="9" t="inlineStr">
        <is>
          <t>Grant Kipp</t>
        </is>
      </c>
      <c r="C692" s="9" t="inlineStr">
        <is>
          <t>CHC</t>
        </is>
      </c>
      <c r="D692" s="9" t="n">
        <v>25</v>
      </c>
      <c r="E692" s="16" t="inlineStr">
        <is>
          <t>R</t>
        </is>
      </c>
      <c r="F692" s="16" t="n"/>
      <c r="G692" s="9" t="n">
        <v>1</v>
      </c>
      <c r="H692" s="9" t="n">
        <v>1</v>
      </c>
      <c r="I692" s="9" t="inlineStr">
        <is>
          <t>Depth (no MLB PA)</t>
        </is>
      </c>
      <c r="J692" s="16" t="inlineStr">
        <is>
          <t>Opening Day</t>
        </is>
      </c>
      <c r="K692" s="11">
        <f>IFERROR(INDEX(Roles!$B$17:$B$20,MATCH(J692,Roles!$A$17:$A$20,0)),1)</f>
        <v/>
      </c>
      <c r="L692" s="17" t="n">
        <v>1</v>
      </c>
      <c r="M692" s="11" t="n">
        <v>1</v>
      </c>
      <c r="N692" s="17" t="n"/>
      <c r="O692" s="17" t="n"/>
      <c r="P692" s="17" t="n"/>
      <c r="Q692" s="17" t="n"/>
      <c r="R692" s="17" t="n"/>
      <c r="S692" s="17" t="n"/>
      <c r="T692" s="17" t="n"/>
      <c r="U692" s="17" t="n"/>
      <c r="V692" s="17" t="n"/>
      <c r="W692" s="17" t="n"/>
      <c r="X692" s="17" t="n"/>
      <c r="Y692" s="17" t="n">
        <v>1</v>
      </c>
      <c r="Z692" s="13">
        <f>SUMPRODUCT(N692:Y692,$N$2:$Y$2)*$K692*$L692*$M692</f>
        <v/>
      </c>
      <c r="AA692" s="14">
        <f>SUM(N692:Y692)</f>
        <v/>
      </c>
      <c r="AB692" s="14">
        <f>IFERROR(IF(UPPER($E692)="L",SUMPRODUCT(N692:Y692,$N$3:$Y$3,$N$2:$Y$2),SUMPRODUCT(N692:Y692,$N$4:$Y$4,$N$2:$Y$2))/(Z692/($K692*$L692*$M692)),"")</f>
        <v/>
      </c>
      <c r="AC692" s="18" t="n"/>
    </row>
    <row r="693">
      <c r="A693" s="9" t="n">
        <v>820856</v>
      </c>
      <c r="B693" s="9" t="inlineStr">
        <is>
          <t>Alexander Mambel</t>
        </is>
      </c>
      <c r="C693" s="9" t="inlineStr">
        <is>
          <t>BOS</t>
        </is>
      </c>
      <c r="D693" s="9" t="n">
        <v>25</v>
      </c>
      <c r="E693" s="16" t="inlineStr">
        <is>
          <t>R</t>
        </is>
      </c>
      <c r="F693" s="16" t="n"/>
      <c r="G693" s="9" t="n">
        <v>1</v>
      </c>
      <c r="H693" s="9" t="n">
        <v>1</v>
      </c>
      <c r="I693" s="9" t="inlineStr">
        <is>
          <t>Depth (no MLB PA)</t>
        </is>
      </c>
      <c r="J693" s="16" t="inlineStr">
        <is>
          <t>Opening Day</t>
        </is>
      </c>
      <c r="K693" s="11">
        <f>IFERROR(INDEX(Roles!$B$17:$B$20,MATCH(J693,Roles!$A$17:$A$20,0)),1)</f>
        <v/>
      </c>
      <c r="L693" s="17" t="n">
        <v>1</v>
      </c>
      <c r="M693" s="11" t="n">
        <v>1</v>
      </c>
      <c r="N693" s="17" t="n"/>
      <c r="O693" s="17" t="n"/>
      <c r="P693" s="17" t="n"/>
      <c r="Q693" s="17" t="n"/>
      <c r="R693" s="17" t="n"/>
      <c r="S693" s="17" t="n"/>
      <c r="T693" s="17" t="n"/>
      <c r="U693" s="17" t="n"/>
      <c r="V693" s="17" t="n"/>
      <c r="W693" s="17" t="n"/>
      <c r="X693" s="17" t="n"/>
      <c r="Y693" s="17" t="n">
        <v>1</v>
      </c>
      <c r="Z693" s="13">
        <f>SUMPRODUCT(N693:Y693,$N$2:$Y$2)*$K693*$L693*$M693</f>
        <v/>
      </c>
      <c r="AA693" s="14">
        <f>SUM(N693:Y693)</f>
        <v/>
      </c>
      <c r="AB693" s="14">
        <f>IFERROR(IF(UPPER($E693)="L",SUMPRODUCT(N693:Y693,$N$3:$Y$3,$N$2:$Y$2),SUMPRODUCT(N693:Y693,$N$4:$Y$4,$N$2:$Y$2))/(Z693/($K693*$L693*$M693)),"")</f>
        <v/>
      </c>
      <c r="AC693" s="18" t="n"/>
    </row>
    <row r="694">
      <c r="A694" s="9" t="n">
        <v>821523</v>
      </c>
      <c r="B694" s="9" t="inlineStr">
        <is>
          <t>Victor Leal</t>
        </is>
      </c>
      <c r="C694" s="9" t="inlineStr">
        <is>
          <t>MIN</t>
        </is>
      </c>
      <c r="D694" s="9" t="n">
        <v>25</v>
      </c>
      <c r="E694" s="16" t="inlineStr">
        <is>
          <t>R</t>
        </is>
      </c>
      <c r="F694" s="16" t="n"/>
      <c r="G694" s="9" t="n">
        <v>1</v>
      </c>
      <c r="H694" s="9" t="n">
        <v>1</v>
      </c>
      <c r="I694" s="9" t="inlineStr">
        <is>
          <t>Depth (no MLB PA)</t>
        </is>
      </c>
      <c r="J694" s="16" t="inlineStr">
        <is>
          <t>Opening Day</t>
        </is>
      </c>
      <c r="K694" s="11">
        <f>IFERROR(INDEX(Roles!$B$17:$B$20,MATCH(J694,Roles!$A$17:$A$20,0)),1)</f>
        <v/>
      </c>
      <c r="L694" s="17" t="n">
        <v>1</v>
      </c>
      <c r="M694" s="11" t="n">
        <v>1</v>
      </c>
      <c r="N694" s="17" t="n"/>
      <c r="O694" s="17" t="n"/>
      <c r="P694" s="17" t="n"/>
      <c r="Q694" s="17" t="n"/>
      <c r="R694" s="17" t="n"/>
      <c r="S694" s="17" t="n"/>
      <c r="T694" s="17" t="n"/>
      <c r="U694" s="17" t="n"/>
      <c r="V694" s="17" t="n"/>
      <c r="W694" s="17" t="n"/>
      <c r="X694" s="17" t="n"/>
      <c r="Y694" s="17" t="n">
        <v>1</v>
      </c>
      <c r="Z694" s="13">
        <f>SUMPRODUCT(N694:Y694,$N$2:$Y$2)*$K694*$L694*$M694</f>
        <v/>
      </c>
      <c r="AA694" s="14">
        <f>SUM(N694:Y694)</f>
        <v/>
      </c>
      <c r="AB694" s="14">
        <f>IFERROR(IF(UPPER($E694)="L",SUMPRODUCT(N694:Y694,$N$3:$Y$3,$N$2:$Y$2),SUMPRODUCT(N694:Y694,$N$4:$Y$4,$N$2:$Y$2))/(Z694/($K694*$L694*$M694)),"")</f>
        <v/>
      </c>
      <c r="AC694" s="18" t="n"/>
    </row>
    <row r="695">
      <c r="A695" s="9" t="n">
        <v>681172</v>
      </c>
      <c r="B695" s="9" t="inlineStr">
        <is>
          <t>Tyler Tolve</t>
        </is>
      </c>
      <c r="C695" s="9" t="inlineStr">
        <is>
          <t>ATL</t>
        </is>
      </c>
      <c r="D695" s="9" t="n">
        <v>25</v>
      </c>
      <c r="E695" s="16" t="inlineStr">
        <is>
          <t>L</t>
        </is>
      </c>
      <c r="F695" s="16" t="n"/>
      <c r="G695" s="9" t="n">
        <v>1</v>
      </c>
      <c r="H695" s="9" t="n">
        <v>1</v>
      </c>
      <c r="I695" s="9" t="inlineStr">
        <is>
          <t>Depth (no MLB PA)</t>
        </is>
      </c>
      <c r="J695" s="16" t="inlineStr">
        <is>
          <t>Opening Day</t>
        </is>
      </c>
      <c r="K695" s="11">
        <f>IFERROR(INDEX(Roles!$B$17:$B$20,MATCH(J695,Roles!$A$17:$A$20,0)),1)</f>
        <v/>
      </c>
      <c r="L695" s="17" t="n">
        <v>1</v>
      </c>
      <c r="M695" s="11" t="n">
        <v>1</v>
      </c>
      <c r="N695" s="17" t="n"/>
      <c r="O695" s="17" t="n"/>
      <c r="P695" s="17" t="n"/>
      <c r="Q695" s="17" t="n"/>
      <c r="R695" s="17" t="n"/>
      <c r="S695" s="17" t="n"/>
      <c r="T695" s="17" t="n"/>
      <c r="U695" s="17" t="n"/>
      <c r="V695" s="17" t="n"/>
      <c r="W695" s="17" t="n"/>
      <c r="X695" s="17" t="n"/>
      <c r="Y695" s="17" t="n">
        <v>1</v>
      </c>
      <c r="Z695" s="13">
        <f>SUMPRODUCT(N695:Y695,$N$2:$Y$2)*$K695*$L695*$M695</f>
        <v/>
      </c>
      <c r="AA695" s="14">
        <f>SUM(N695:Y695)</f>
        <v/>
      </c>
      <c r="AB695" s="14">
        <f>IFERROR(IF(UPPER($E695)="L",SUMPRODUCT(N695:Y695,$N$3:$Y$3,$N$2:$Y$2),SUMPRODUCT(N695:Y695,$N$4:$Y$4,$N$2:$Y$2))/(Z695/($K695*$L695*$M695)),"")</f>
        <v/>
      </c>
      <c r="AC695" s="18" t="n"/>
    </row>
    <row r="696">
      <c r="A696" s="9" t="n">
        <v>800331</v>
      </c>
      <c r="B696" s="9" t="inlineStr">
        <is>
          <t>Francisco Toledo</t>
        </is>
      </c>
      <c r="C696" s="9" t="inlineStr">
        <is>
          <t>NYM</t>
        </is>
      </c>
      <c r="D696" s="9" t="n">
        <v>25</v>
      </c>
      <c r="E696" s="16" t="inlineStr">
        <is>
          <t>R</t>
        </is>
      </c>
      <c r="F696" s="16" t="n"/>
      <c r="G696" s="9" t="n">
        <v>1</v>
      </c>
      <c r="H696" s="9" t="n">
        <v>1</v>
      </c>
      <c r="I696" s="9" t="inlineStr">
        <is>
          <t>Depth (no MLB PA)</t>
        </is>
      </c>
      <c r="J696" s="16" t="inlineStr">
        <is>
          <t>Opening Day</t>
        </is>
      </c>
      <c r="K696" s="11">
        <f>IFERROR(INDEX(Roles!$B$17:$B$20,MATCH(J696,Roles!$A$17:$A$20,0)),1)</f>
        <v/>
      </c>
      <c r="L696" s="17" t="n">
        <v>1</v>
      </c>
      <c r="M696" s="11" t="n">
        <v>1</v>
      </c>
      <c r="N696" s="17" t="n"/>
      <c r="O696" s="17" t="n"/>
      <c r="P696" s="17" t="n"/>
      <c r="Q696" s="17" t="n"/>
      <c r="R696" s="17" t="n"/>
      <c r="S696" s="17" t="n"/>
      <c r="T696" s="17" t="n"/>
      <c r="U696" s="17" t="n"/>
      <c r="V696" s="17" t="n"/>
      <c r="W696" s="17" t="n"/>
      <c r="X696" s="17" t="n"/>
      <c r="Y696" s="17" t="n">
        <v>1</v>
      </c>
      <c r="Z696" s="13">
        <f>SUMPRODUCT(N696:Y696,$N$2:$Y$2)*$K696*$L696*$M696</f>
        <v/>
      </c>
      <c r="AA696" s="14">
        <f>SUM(N696:Y696)</f>
        <v/>
      </c>
      <c r="AB696" s="14">
        <f>IFERROR(IF(UPPER($E696)="L",SUMPRODUCT(N696:Y696,$N$3:$Y$3,$N$2:$Y$2),SUMPRODUCT(N696:Y696,$N$4:$Y$4,$N$2:$Y$2))/(Z696/($K696*$L696*$M696)),"")</f>
        <v/>
      </c>
      <c r="AC696" s="18" t="n"/>
    </row>
    <row r="697">
      <c r="A697" s="9" t="n">
        <v>621389</v>
      </c>
      <c r="B697" s="9" t="inlineStr">
        <is>
          <t>Ty Blach</t>
        </is>
      </c>
      <c r="C697" s="9" t="inlineStr">
        <is>
          <t>CHC</t>
        </is>
      </c>
      <c r="D697" s="9" t="n">
        <v>25</v>
      </c>
      <c r="E697" s="16" t="inlineStr">
        <is>
          <t>R</t>
        </is>
      </c>
      <c r="F697" s="16" t="inlineStr">
        <is>
          <t>P</t>
        </is>
      </c>
      <c r="G697" s="9" t="n">
        <v>1</v>
      </c>
      <c r="H697" s="9" t="n">
        <v>1</v>
      </c>
      <c r="I697" s="9" t="inlineStr">
        <is>
          <t>Depth (no MLB PA)</t>
        </is>
      </c>
      <c r="J697" s="16" t="inlineStr">
        <is>
          <t>Opening Day</t>
        </is>
      </c>
      <c r="K697" s="11">
        <f>IFERROR(INDEX(Roles!$B$17:$B$20,MATCH(J697,Roles!$A$17:$A$20,0)),1)</f>
        <v/>
      </c>
      <c r="L697" s="17" t="n">
        <v>1</v>
      </c>
      <c r="M697" s="11" t="n">
        <v>1</v>
      </c>
      <c r="N697" s="17" t="n"/>
      <c r="O697" s="17" t="n"/>
      <c r="P697" s="17" t="n"/>
      <c r="Q697" s="17" t="n"/>
      <c r="R697" s="17" t="n"/>
      <c r="S697" s="17" t="n"/>
      <c r="T697" s="17" t="n"/>
      <c r="U697" s="17" t="n"/>
      <c r="V697" s="17" t="n"/>
      <c r="W697" s="17" t="n"/>
      <c r="X697" s="17" t="n"/>
      <c r="Y697" s="17" t="n">
        <v>1</v>
      </c>
      <c r="Z697" s="13">
        <f>SUMPRODUCT(N697:Y697,$N$2:$Y$2)*$K697*$L697*$M697</f>
        <v/>
      </c>
      <c r="AA697" s="14">
        <f>SUM(N697:Y697)</f>
        <v/>
      </c>
      <c r="AB697" s="14">
        <f>IFERROR(IF(UPPER($E697)="L",SUMPRODUCT(N697:Y697,$N$3:$Y$3,$N$2:$Y$2),SUMPRODUCT(N697:Y697,$N$4:$Y$4,$N$2:$Y$2))/(Z697/($K697*$L697*$M697)),"")</f>
        <v/>
      </c>
      <c r="AC697" s="18" t="n"/>
    </row>
    <row r="698">
      <c r="A698" s="9" t="n">
        <v>815917</v>
      </c>
      <c r="B698" s="9" t="inlineStr">
        <is>
          <t>Angel Guzman</t>
        </is>
      </c>
      <c r="C698" s="9" t="inlineStr">
        <is>
          <t>TOR</t>
        </is>
      </c>
      <c r="D698" s="9" t="n">
        <v>25</v>
      </c>
      <c r="E698" s="16" t="inlineStr">
        <is>
          <t>S</t>
        </is>
      </c>
      <c r="F698" s="16" t="n"/>
      <c r="G698" s="9" t="n">
        <v>1</v>
      </c>
      <c r="H698" s="9" t="n">
        <v>1</v>
      </c>
      <c r="I698" s="9" t="inlineStr">
        <is>
          <t>Depth (no MLB PA)</t>
        </is>
      </c>
      <c r="J698" s="16" t="inlineStr">
        <is>
          <t>Opening Day</t>
        </is>
      </c>
      <c r="K698" s="11">
        <f>IFERROR(INDEX(Roles!$B$17:$B$20,MATCH(J698,Roles!$A$17:$A$20,0)),1)</f>
        <v/>
      </c>
      <c r="L698" s="17" t="n">
        <v>1</v>
      </c>
      <c r="M698" s="11" t="n">
        <v>1</v>
      </c>
      <c r="N698" s="17" t="n"/>
      <c r="O698" s="17" t="n"/>
      <c r="P698" s="17" t="n"/>
      <c r="Q698" s="17" t="n"/>
      <c r="R698" s="17" t="n"/>
      <c r="S698" s="17" t="n"/>
      <c r="T698" s="17" t="n"/>
      <c r="U698" s="17" t="n"/>
      <c r="V698" s="17" t="n"/>
      <c r="W698" s="17" t="n"/>
      <c r="X698" s="17" t="n"/>
      <c r="Y698" s="17" t="n">
        <v>1</v>
      </c>
      <c r="Z698" s="13">
        <f>SUMPRODUCT(N698:Y698,$N$2:$Y$2)*$K698*$L698*$M698</f>
        <v/>
      </c>
      <c r="AA698" s="14">
        <f>SUM(N698:Y698)</f>
        <v/>
      </c>
      <c r="AB698" s="14">
        <f>IFERROR(IF(UPPER($E698)="L",SUMPRODUCT(N698:Y698,$N$3:$Y$3,$N$2:$Y$2),SUMPRODUCT(N698:Y698,$N$4:$Y$4,$N$2:$Y$2))/(Z698/($K698*$L698*$M698)),"")</f>
        <v/>
      </c>
      <c r="AC698" s="18" t="n"/>
    </row>
    <row r="699">
      <c r="A699" s="9" t="n">
        <v>816111</v>
      </c>
      <c r="B699" s="9" t="inlineStr">
        <is>
          <t>Tate Southisene</t>
        </is>
      </c>
      <c r="C699" s="9" t="inlineStr">
        <is>
          <t>ATL</t>
        </is>
      </c>
      <c r="D699" s="9" t="n">
        <v>21</v>
      </c>
      <c r="E699" s="16" t="inlineStr">
        <is>
          <t>R</t>
        </is>
      </c>
      <c r="F699" s="16" t="n"/>
      <c r="G699" s="9" t="n">
        <v>1</v>
      </c>
      <c r="H699" s="9" t="n">
        <v>1</v>
      </c>
      <c r="I699" s="9" t="inlineStr">
        <is>
          <t>Bench Bat</t>
        </is>
      </c>
      <c r="J699" s="16" t="inlineStr">
        <is>
          <t>Mid Season (~July)</t>
        </is>
      </c>
      <c r="K699" s="11">
        <f>IFERROR(INDEX(Roles!$B$17:$B$20,MATCH(J699,Roles!$A$17:$A$20,0)),1)</f>
        <v/>
      </c>
      <c r="L699" s="17" t="n">
        <v>1</v>
      </c>
      <c r="M699" s="11" t="n">
        <v>1</v>
      </c>
      <c r="N699" s="17" t="n">
        <v>0.34</v>
      </c>
      <c r="O699" s="17" t="n"/>
      <c r="P699" s="17" t="n">
        <v>0.3</v>
      </c>
      <c r="Q699" s="17" t="n"/>
      <c r="R699" s="17" t="n"/>
      <c r="S699" s="17" t="n"/>
      <c r="T699" s="17" t="n"/>
      <c r="U699" s="17" t="n"/>
      <c r="V699" s="17" t="n"/>
      <c r="W699" s="17" t="n">
        <v>0.36</v>
      </c>
      <c r="X699" s="17" t="n"/>
      <c r="Y699" s="17" t="n"/>
      <c r="Z699" s="13">
        <f>SUMPRODUCT(N699:Y699,$N$2:$Y$2)*$K699*$L699*$M699</f>
        <v/>
      </c>
      <c r="AA699" s="14">
        <f>SUM(N699:Y699)</f>
        <v/>
      </c>
      <c r="AB699" s="14">
        <f>IFERROR(IF(UPPER($E699)="L",SUMPRODUCT(N699:Y699,$N$3:$Y$3,$N$2:$Y$2),SUMPRODUCT(N699:Y699,$N$4:$Y$4,$N$2:$Y$2))/(Z699/($K699*$L699*$M699)),"")</f>
        <v/>
      </c>
      <c r="AC699" s="18" t="n"/>
    </row>
    <row r="700">
      <c r="A700" s="9" t="n">
        <v>830412</v>
      </c>
      <c r="B700" s="9" t="inlineStr">
        <is>
          <t>Renyel Campos</t>
        </is>
      </c>
      <c r="C700" s="9" t="inlineStr">
        <is>
          <t>TOR</t>
        </is>
      </c>
      <c r="D700" s="9" t="n">
        <v>25</v>
      </c>
      <c r="E700" s="16" t="inlineStr">
        <is>
          <t>L</t>
        </is>
      </c>
      <c r="F700" s="16" t="n"/>
      <c r="G700" s="9" t="n">
        <v>1</v>
      </c>
      <c r="H700" s="9" t="n">
        <v>1</v>
      </c>
      <c r="I700" s="9" t="inlineStr">
        <is>
          <t>Depth (no MLB PA)</t>
        </is>
      </c>
      <c r="J700" s="16" t="inlineStr">
        <is>
          <t>Opening Day</t>
        </is>
      </c>
      <c r="K700" s="11">
        <f>IFERROR(INDEX(Roles!$B$17:$B$20,MATCH(J700,Roles!$A$17:$A$20,0)),1)</f>
        <v/>
      </c>
      <c r="L700" s="17" t="n">
        <v>1</v>
      </c>
      <c r="M700" s="11" t="n">
        <v>1</v>
      </c>
      <c r="N700" s="17" t="n"/>
      <c r="O700" s="17" t="n"/>
      <c r="P700" s="17" t="n"/>
      <c r="Q700" s="17" t="n"/>
      <c r="R700" s="17" t="n"/>
      <c r="S700" s="17" t="n"/>
      <c r="T700" s="17" t="n"/>
      <c r="U700" s="17" t="n"/>
      <c r="V700" s="17" t="n"/>
      <c r="W700" s="17" t="n"/>
      <c r="X700" s="17" t="n"/>
      <c r="Y700" s="17" t="n">
        <v>1</v>
      </c>
      <c r="Z700" s="13">
        <f>SUMPRODUCT(N700:Y700,$N$2:$Y$2)*$K700*$L700*$M700</f>
        <v/>
      </c>
      <c r="AA700" s="14">
        <f>SUM(N700:Y700)</f>
        <v/>
      </c>
      <c r="AB700" s="14">
        <f>IFERROR(IF(UPPER($E700)="L",SUMPRODUCT(N700:Y700,$N$3:$Y$3,$N$2:$Y$2),SUMPRODUCT(N700:Y700,$N$4:$Y$4,$N$2:$Y$2))/(Z700/($K700*$L700*$M700)),"")</f>
        <v/>
      </c>
      <c r="AC700" s="18" t="n"/>
    </row>
    <row r="701">
      <c r="A701" s="9" t="n">
        <v>829702</v>
      </c>
      <c r="B701" s="9" t="inlineStr">
        <is>
          <t>Edgardo Figueroa</t>
        </is>
      </c>
      <c r="C701" s="9" t="inlineStr">
        <is>
          <t>WSH</t>
        </is>
      </c>
      <c r="D701" s="9" t="n">
        <v>25</v>
      </c>
      <c r="E701" s="16" t="inlineStr">
        <is>
          <t>R</t>
        </is>
      </c>
      <c r="F701" s="16" t="n"/>
      <c r="G701" s="9" t="n">
        <v>1</v>
      </c>
      <c r="H701" s="9" t="n">
        <v>1</v>
      </c>
      <c r="I701" s="9" t="inlineStr">
        <is>
          <t>Depth (no MLB PA)</t>
        </is>
      </c>
      <c r="J701" s="16" t="inlineStr">
        <is>
          <t>Opening Day</t>
        </is>
      </c>
      <c r="K701" s="11">
        <f>IFERROR(INDEX(Roles!$B$17:$B$20,MATCH(J701,Roles!$A$17:$A$20,0)),1)</f>
        <v/>
      </c>
      <c r="L701" s="17" t="n">
        <v>1</v>
      </c>
      <c r="M701" s="11" t="n">
        <v>1</v>
      </c>
      <c r="N701" s="17" t="n"/>
      <c r="O701" s="17" t="n"/>
      <c r="P701" s="17" t="n"/>
      <c r="Q701" s="17" t="n"/>
      <c r="R701" s="17" t="n"/>
      <c r="S701" s="17" t="n"/>
      <c r="T701" s="17" t="n"/>
      <c r="U701" s="17" t="n"/>
      <c r="V701" s="17" t="n"/>
      <c r="W701" s="17" t="n"/>
      <c r="X701" s="17" t="n"/>
      <c r="Y701" s="17" t="n">
        <v>1</v>
      </c>
      <c r="Z701" s="13">
        <f>SUMPRODUCT(N701:Y701,$N$2:$Y$2)*$K701*$L701*$M701</f>
        <v/>
      </c>
      <c r="AA701" s="14">
        <f>SUM(N701:Y701)</f>
        <v/>
      </c>
      <c r="AB701" s="14">
        <f>IFERROR(IF(UPPER($E701)="L",SUMPRODUCT(N701:Y701,$N$3:$Y$3,$N$2:$Y$2),SUMPRODUCT(N701:Y701,$N$4:$Y$4,$N$2:$Y$2))/(Z701/($K701*$L701*$M701)),"")</f>
        <v/>
      </c>
      <c r="AC701" s="18" t="n"/>
    </row>
    <row r="702">
      <c r="A702" s="9" t="n">
        <v>829716</v>
      </c>
      <c r="B702" s="9" t="inlineStr">
        <is>
          <t>Darell Morel</t>
        </is>
      </c>
      <c r="C702" s="9" t="inlineStr">
        <is>
          <t>PIT</t>
        </is>
      </c>
      <c r="D702" s="9" t="n">
        <v>25</v>
      </c>
      <c r="E702" s="16" t="inlineStr">
        <is>
          <t>L</t>
        </is>
      </c>
      <c r="F702" s="16" t="n"/>
      <c r="G702" s="9" t="n">
        <v>1</v>
      </c>
      <c r="H702" s="9" t="n">
        <v>1</v>
      </c>
      <c r="I702" s="9" t="inlineStr">
        <is>
          <t>Depth (no MLB PA)</t>
        </is>
      </c>
      <c r="J702" s="16" t="inlineStr">
        <is>
          <t>Opening Day</t>
        </is>
      </c>
      <c r="K702" s="11">
        <f>IFERROR(INDEX(Roles!$B$17:$B$20,MATCH(J702,Roles!$A$17:$A$20,0)),1)</f>
        <v/>
      </c>
      <c r="L702" s="17" t="n">
        <v>1</v>
      </c>
      <c r="M702" s="11" t="n">
        <v>1</v>
      </c>
      <c r="N702" s="17" t="n"/>
      <c r="O702" s="17" t="n"/>
      <c r="P702" s="17" t="n"/>
      <c r="Q702" s="17" t="n"/>
      <c r="R702" s="17" t="n"/>
      <c r="S702" s="17" t="n"/>
      <c r="T702" s="17" t="n"/>
      <c r="U702" s="17" t="n"/>
      <c r="V702" s="17" t="n"/>
      <c r="W702" s="17" t="n"/>
      <c r="X702" s="17" t="n"/>
      <c r="Y702" s="17" t="n">
        <v>1</v>
      </c>
      <c r="Z702" s="13">
        <f>SUMPRODUCT(N702:Y702,$N$2:$Y$2)*$K702*$L702*$M702</f>
        <v/>
      </c>
      <c r="AA702" s="14">
        <f>SUM(N702:Y702)</f>
        <v/>
      </c>
      <c r="AB702" s="14">
        <f>IFERROR(IF(UPPER($E702)="L",SUMPRODUCT(N702:Y702,$N$3:$Y$3,$N$2:$Y$2),SUMPRODUCT(N702:Y702,$N$4:$Y$4,$N$2:$Y$2))/(Z702/($K702*$L702*$M702)),"")</f>
        <v/>
      </c>
      <c r="AC702" s="18" t="n"/>
    </row>
    <row r="703">
      <c r="A703" s="9" t="n">
        <v>800508</v>
      </c>
      <c r="B703" s="9" t="inlineStr">
        <is>
          <t>Franyerber Montilla</t>
        </is>
      </c>
      <c r="C703" s="9" t="inlineStr">
        <is>
          <t>DET</t>
        </is>
      </c>
      <c r="D703" s="9" t="n">
        <v>25</v>
      </c>
      <c r="E703" s="16" t="inlineStr">
        <is>
          <t>S</t>
        </is>
      </c>
      <c r="F703" s="16" t="n"/>
      <c r="G703" s="9" t="n">
        <v>1</v>
      </c>
      <c r="H703" s="9" t="n">
        <v>1</v>
      </c>
      <c r="I703" s="9" t="inlineStr">
        <is>
          <t>Depth (no MLB PA)</t>
        </is>
      </c>
      <c r="J703" s="16" t="inlineStr">
        <is>
          <t>Opening Day</t>
        </is>
      </c>
      <c r="K703" s="11">
        <f>IFERROR(INDEX(Roles!$B$17:$B$20,MATCH(J703,Roles!$A$17:$A$20,0)),1)</f>
        <v/>
      </c>
      <c r="L703" s="17" t="n">
        <v>1</v>
      </c>
      <c r="M703" s="11" t="n">
        <v>1</v>
      </c>
      <c r="N703" s="17" t="n"/>
      <c r="O703" s="17" t="n"/>
      <c r="P703" s="17" t="n"/>
      <c r="Q703" s="17" t="n"/>
      <c r="R703" s="17" t="n"/>
      <c r="S703" s="17" t="n"/>
      <c r="T703" s="17" t="n"/>
      <c r="U703" s="17" t="n"/>
      <c r="V703" s="17" t="n"/>
      <c r="W703" s="17" t="n"/>
      <c r="X703" s="17" t="n"/>
      <c r="Y703" s="17" t="n">
        <v>1</v>
      </c>
      <c r="Z703" s="13">
        <f>SUMPRODUCT(N703:Y703,$N$2:$Y$2)*$K703*$L703*$M703</f>
        <v/>
      </c>
      <c r="AA703" s="14">
        <f>SUM(N703:Y703)</f>
        <v/>
      </c>
      <c r="AB703" s="14">
        <f>IFERROR(IF(UPPER($E703)="L",SUMPRODUCT(N703:Y703,$N$3:$Y$3,$N$2:$Y$2),SUMPRODUCT(N703:Y703,$N$4:$Y$4,$N$2:$Y$2))/(Z703/($K703*$L703*$M703)),"")</f>
        <v/>
      </c>
      <c r="AC703" s="18" t="n"/>
    </row>
    <row r="704">
      <c r="A704" s="9" t="n">
        <v>802599</v>
      </c>
      <c r="B704" s="9" t="inlineStr">
        <is>
          <t>Jack Penney</t>
        </is>
      </c>
      <c r="C704" s="9" t="inlineStr">
        <is>
          <t>DET</t>
        </is>
      </c>
      <c r="D704" s="9" t="n">
        <v>25</v>
      </c>
      <c r="E704" s="16" t="inlineStr">
        <is>
          <t>L</t>
        </is>
      </c>
      <c r="F704" s="16" t="n"/>
      <c r="G704" s="9" t="n">
        <v>1</v>
      </c>
      <c r="H704" s="9" t="n">
        <v>1</v>
      </c>
      <c r="I704" s="9" t="inlineStr">
        <is>
          <t>Depth (no MLB PA)</t>
        </is>
      </c>
      <c r="J704" s="16" t="inlineStr">
        <is>
          <t>Opening Day</t>
        </is>
      </c>
      <c r="K704" s="11">
        <f>IFERROR(INDEX(Roles!$B$17:$B$20,MATCH(J704,Roles!$A$17:$A$20,0)),1)</f>
        <v/>
      </c>
      <c r="L704" s="17" t="n">
        <v>1</v>
      </c>
      <c r="M704" s="11" t="n">
        <v>1</v>
      </c>
      <c r="N704" s="17" t="n"/>
      <c r="O704" s="17" t="n"/>
      <c r="P704" s="17" t="n"/>
      <c r="Q704" s="17" t="n"/>
      <c r="R704" s="17" t="n"/>
      <c r="S704" s="17" t="n"/>
      <c r="T704" s="17" t="n"/>
      <c r="U704" s="17" t="n"/>
      <c r="V704" s="17" t="n"/>
      <c r="W704" s="17" t="n"/>
      <c r="X704" s="17" t="n"/>
      <c r="Y704" s="17" t="n">
        <v>1</v>
      </c>
      <c r="Z704" s="13">
        <f>SUMPRODUCT(N704:Y704,$N$2:$Y$2)*$K704*$L704*$M704</f>
        <v/>
      </c>
      <c r="AA704" s="14">
        <f>SUM(N704:Y704)</f>
        <v/>
      </c>
      <c r="AB704" s="14">
        <f>IFERROR(IF(UPPER($E704)="L",SUMPRODUCT(N704:Y704,$N$3:$Y$3,$N$2:$Y$2),SUMPRODUCT(N704:Y704,$N$4:$Y$4,$N$2:$Y$2))/(Z704/($K704*$L704*$M704)),"")</f>
        <v/>
      </c>
      <c r="AC704" s="18" t="n"/>
    </row>
    <row r="705">
      <c r="A705" s="9" t="n">
        <v>800188</v>
      </c>
      <c r="B705" s="9" t="inlineStr">
        <is>
          <t>Dario Laverde</t>
        </is>
      </c>
      <c r="C705" s="9" t="inlineStr">
        <is>
          <t>LAA</t>
        </is>
      </c>
      <c r="D705" s="9" t="n">
        <v>25</v>
      </c>
      <c r="E705" s="16" t="inlineStr">
        <is>
          <t>L</t>
        </is>
      </c>
      <c r="F705" s="16" t="n"/>
      <c r="G705" s="9" t="n">
        <v>1.025641025641026</v>
      </c>
      <c r="H705" s="9" t="n">
        <v>1.025641025641026</v>
      </c>
      <c r="I705" s="9" t="inlineStr">
        <is>
          <t>Depth (no MLB PA)</t>
        </is>
      </c>
      <c r="J705" s="16" t="inlineStr">
        <is>
          <t>Opening Day</t>
        </is>
      </c>
      <c r="K705" s="11">
        <f>IFERROR(INDEX(Roles!$B$17:$B$20,MATCH(J705,Roles!$A$17:$A$20,0)),1)</f>
        <v/>
      </c>
      <c r="L705" s="17" t="n">
        <v>1</v>
      </c>
      <c r="M705" s="11" t="n">
        <v>1</v>
      </c>
      <c r="N705" s="17" t="n"/>
      <c r="O705" s="17" t="n"/>
      <c r="P705" s="17" t="n"/>
      <c r="Q705" s="17" t="n"/>
      <c r="R705" s="17" t="n"/>
      <c r="S705" s="17" t="n"/>
      <c r="T705" s="17" t="n"/>
      <c r="U705" s="17" t="n"/>
      <c r="V705" s="17" t="n"/>
      <c r="W705" s="17" t="n"/>
      <c r="X705" s="17" t="n"/>
      <c r="Y705" s="17" t="n">
        <v>1</v>
      </c>
      <c r="Z705" s="13">
        <f>SUMPRODUCT(N705:Y705,$N$2:$Y$2)*$K705*$L705*$M705</f>
        <v/>
      </c>
      <c r="AA705" s="14">
        <f>SUM(N705:Y705)</f>
        <v/>
      </c>
      <c r="AB705" s="14">
        <f>IFERROR(IF(UPPER($E705)="L",SUMPRODUCT(N705:Y705,$N$3:$Y$3,$N$2:$Y$2),SUMPRODUCT(N705:Y705,$N$4:$Y$4,$N$2:$Y$2))/(Z705/($K705*$L705*$M705)),"")</f>
        <v/>
      </c>
      <c r="AC705" s="18" t="n"/>
    </row>
    <row r="706">
      <c r="A706" s="9" t="n">
        <v>801563</v>
      </c>
      <c r="B706" s="9" t="inlineStr">
        <is>
          <t>Austin Smith</t>
        </is>
      </c>
      <c r="C706" s="9" t="inlineStr">
        <is>
          <t>TOR</t>
        </is>
      </c>
      <c r="D706" s="9" t="n">
        <v>25</v>
      </c>
      <c r="E706" s="16" t="inlineStr">
        <is>
          <t>L</t>
        </is>
      </c>
      <c r="F706" s="16" t="n"/>
      <c r="G706" s="9" t="n">
        <v>21.94871794871795</v>
      </c>
      <c r="H706" s="9" t="n">
        <v>21.94871794871795</v>
      </c>
      <c r="I706" s="9" t="inlineStr">
        <is>
          <t>Depth (no MLB PA)</t>
        </is>
      </c>
      <c r="J706" s="16" t="inlineStr">
        <is>
          <t>Opening Day</t>
        </is>
      </c>
      <c r="K706" s="11">
        <f>IFERROR(INDEX(Roles!$B$17:$B$20,MATCH(J706,Roles!$A$17:$A$20,0)),1)</f>
        <v/>
      </c>
      <c r="L706" s="17" t="n">
        <v>1</v>
      </c>
      <c r="M706" s="11" t="n">
        <v>1</v>
      </c>
      <c r="N706" s="17" t="n"/>
      <c r="O706" s="17" t="n"/>
      <c r="P706" s="17" t="n"/>
      <c r="Q706" s="17" t="n"/>
      <c r="R706" s="17" t="n"/>
      <c r="S706" s="17" t="n"/>
      <c r="T706" s="17" t="n"/>
      <c r="U706" s="17" t="n"/>
      <c r="V706" s="17" t="n"/>
      <c r="W706" s="17" t="n"/>
      <c r="X706" s="17" t="n"/>
      <c r="Y706" s="17" t="n">
        <v>1</v>
      </c>
      <c r="Z706" s="13">
        <f>SUMPRODUCT(N706:Y706,$N$2:$Y$2)*$K706*$L706*$M706</f>
        <v/>
      </c>
      <c r="AA706" s="14">
        <f>SUM(N706:Y706)</f>
        <v/>
      </c>
      <c r="AB706" s="14">
        <f>IFERROR(IF(UPPER($E706)="L",SUMPRODUCT(N706:Y706,$N$3:$Y$3,$N$2:$Y$2),SUMPRODUCT(N706:Y706,$N$4:$Y$4,$N$2:$Y$2))/(Z706/($K706*$L706*$M706)),"")</f>
        <v/>
      </c>
      <c r="AC706" s="18" t="n"/>
    </row>
    <row r="707">
      <c r="A707" s="9" t="n">
        <v>805466</v>
      </c>
      <c r="B707" s="9" t="inlineStr">
        <is>
          <t>Cruzmel Arias</t>
        </is>
      </c>
      <c r="C707" s="9" t="inlineStr">
        <is>
          <t>COL</t>
        </is>
      </c>
      <c r="D707" s="9" t="n">
        <v>25</v>
      </c>
      <c r="E707" s="16" t="inlineStr">
        <is>
          <t>R</t>
        </is>
      </c>
      <c r="F707" s="16" t="n"/>
      <c r="G707" s="9" t="n">
        <v>3.2</v>
      </c>
      <c r="H707" s="9" t="n">
        <v>3.2</v>
      </c>
      <c r="I707" s="9" t="inlineStr">
        <is>
          <t>Depth (no MLB PA)</t>
        </is>
      </c>
      <c r="J707" s="16" t="inlineStr">
        <is>
          <t>Opening Day</t>
        </is>
      </c>
      <c r="K707" s="11">
        <f>IFERROR(INDEX(Roles!$B$17:$B$20,MATCH(J707,Roles!$A$17:$A$20,0)),1)</f>
        <v/>
      </c>
      <c r="L707" s="17" t="n">
        <v>1</v>
      </c>
      <c r="M707" s="11" t="n">
        <v>1</v>
      </c>
      <c r="N707" s="17" t="n"/>
      <c r="O707" s="17" t="n"/>
      <c r="P707" s="17" t="n"/>
      <c r="Q707" s="17" t="n"/>
      <c r="R707" s="17" t="n"/>
      <c r="S707" s="17" t="n"/>
      <c r="T707" s="17" t="n"/>
      <c r="U707" s="17" t="n"/>
      <c r="V707" s="17" t="n"/>
      <c r="W707" s="17" t="n"/>
      <c r="X707" s="17" t="n"/>
      <c r="Y707" s="17" t="n">
        <v>1</v>
      </c>
      <c r="Z707" s="13">
        <f>SUMPRODUCT(N707:Y707,$N$2:$Y$2)*$K707*$L707*$M707</f>
        <v/>
      </c>
      <c r="AA707" s="14">
        <f>SUM(N707:Y707)</f>
        <v/>
      </c>
      <c r="AB707" s="14">
        <f>IFERROR(IF(UPPER($E707)="L",SUMPRODUCT(N707:Y707,$N$3:$Y$3,$N$2:$Y$2),SUMPRODUCT(N707:Y707,$N$4:$Y$4,$N$2:$Y$2))/(Z707/($K707*$L707*$M707)),"")</f>
        <v/>
      </c>
      <c r="AC707" s="18" t="n"/>
    </row>
    <row r="708">
      <c r="A708" s="9" t="n">
        <v>814394</v>
      </c>
      <c r="B708" s="9" t="inlineStr">
        <is>
          <t>Colin Summerhill</t>
        </is>
      </c>
      <c r="C708" s="9" t="inlineStr">
        <is>
          <t>LAA</t>
        </is>
      </c>
      <c r="D708" s="9" t="n">
        <v>25</v>
      </c>
      <c r="E708" s="16" t="inlineStr">
        <is>
          <t>R</t>
        </is>
      </c>
      <c r="F708" s="16" t="n"/>
      <c r="G708" s="9" t="n">
        <v>1.025641025641026</v>
      </c>
      <c r="H708" s="9" t="n">
        <v>1.025641025641026</v>
      </c>
      <c r="I708" s="9" t="inlineStr">
        <is>
          <t>Depth (no MLB PA)</t>
        </is>
      </c>
      <c r="J708" s="16" t="inlineStr">
        <is>
          <t>Opening Day</t>
        </is>
      </c>
      <c r="K708" s="11">
        <f>IFERROR(INDEX(Roles!$B$17:$B$20,MATCH(J708,Roles!$A$17:$A$20,0)),1)</f>
        <v/>
      </c>
      <c r="L708" s="17" t="n">
        <v>1</v>
      </c>
      <c r="M708" s="11" t="n">
        <v>1</v>
      </c>
      <c r="N708" s="17" t="n"/>
      <c r="O708" s="17" t="n"/>
      <c r="P708" s="17" t="n"/>
      <c r="Q708" s="17" t="n"/>
      <c r="R708" s="17" t="n"/>
      <c r="S708" s="17" t="n"/>
      <c r="T708" s="17" t="n"/>
      <c r="U708" s="17" t="n"/>
      <c r="V708" s="17" t="n"/>
      <c r="W708" s="17" t="n"/>
      <c r="X708" s="17" t="n"/>
      <c r="Y708" s="17" t="n">
        <v>1</v>
      </c>
      <c r="Z708" s="13">
        <f>SUMPRODUCT(N708:Y708,$N$2:$Y$2)*$K708*$L708*$M708</f>
        <v/>
      </c>
      <c r="AA708" s="14">
        <f>SUM(N708:Y708)</f>
        <v/>
      </c>
      <c r="AB708" s="14">
        <f>IFERROR(IF(UPPER($E708)="L",SUMPRODUCT(N708:Y708,$N$3:$Y$3,$N$2:$Y$2),SUMPRODUCT(N708:Y708,$N$4:$Y$4,$N$2:$Y$2))/(Z708/($K708*$L708*$M708)),"")</f>
        <v/>
      </c>
      <c r="AC708" s="18" t="n"/>
    </row>
    <row r="709">
      <c r="A709" s="9" t="n">
        <v>805692</v>
      </c>
      <c r="B709" s="9" t="inlineStr">
        <is>
          <t>Ricson Gonzalez</t>
        </is>
      </c>
      <c r="C709" s="9" t="inlineStr">
        <is>
          <t>KC</t>
        </is>
      </c>
      <c r="D709" s="9" t="n">
        <v>25</v>
      </c>
      <c r="E709" s="16" t="inlineStr">
        <is>
          <t>R</t>
        </is>
      </c>
      <c r="F709" s="16" t="n"/>
      <c r="G709" s="9" t="n">
        <v>1.076923076923077</v>
      </c>
      <c r="H709" s="9" t="n">
        <v>1.076923076923077</v>
      </c>
      <c r="I709" s="9" t="inlineStr">
        <is>
          <t>Depth (no MLB PA)</t>
        </is>
      </c>
      <c r="J709" s="16" t="inlineStr">
        <is>
          <t>Opening Day</t>
        </is>
      </c>
      <c r="K709" s="11">
        <f>IFERROR(INDEX(Roles!$B$17:$B$20,MATCH(J709,Roles!$A$17:$A$20,0)),1)</f>
        <v/>
      </c>
      <c r="L709" s="17" t="n">
        <v>1</v>
      </c>
      <c r="M709" s="11" t="n">
        <v>1</v>
      </c>
      <c r="N709" s="17" t="n"/>
      <c r="O709" s="17" t="n"/>
      <c r="P709" s="17" t="n"/>
      <c r="Q709" s="17" t="n"/>
      <c r="R709" s="17" t="n"/>
      <c r="S709" s="17" t="n"/>
      <c r="T709" s="17" t="n"/>
      <c r="U709" s="17" t="n"/>
      <c r="V709" s="17" t="n"/>
      <c r="W709" s="17" t="n"/>
      <c r="X709" s="17" t="n"/>
      <c r="Y709" s="17" t="n">
        <v>1</v>
      </c>
      <c r="Z709" s="13">
        <f>SUMPRODUCT(N709:Y709,$N$2:$Y$2)*$K709*$L709*$M709</f>
        <v/>
      </c>
      <c r="AA709" s="14">
        <f>SUM(N709:Y709)</f>
        <v/>
      </c>
      <c r="AB709" s="14">
        <f>IFERROR(IF(UPPER($E709)="L",SUMPRODUCT(N709:Y709,$N$3:$Y$3,$N$2:$Y$2),SUMPRODUCT(N709:Y709,$N$4:$Y$4,$N$2:$Y$2))/(Z709/($K709*$L709*$M709)),"")</f>
        <v/>
      </c>
      <c r="AC709" s="18" t="n"/>
    </row>
    <row r="710">
      <c r="A710" s="9" t="n">
        <v>805587</v>
      </c>
      <c r="B710" s="9" t="inlineStr">
        <is>
          <t>Drew Wyers</t>
        </is>
      </c>
      <c r="C710" s="9" t="inlineStr">
        <is>
          <t>HOU</t>
        </is>
      </c>
      <c r="D710" s="9" t="n">
        <v>25</v>
      </c>
      <c r="E710" s="16" t="inlineStr">
        <is>
          <t>R</t>
        </is>
      </c>
      <c r="F710" s="16" t="n"/>
      <c r="G710" s="9" t="n">
        <v>1.076923076923077</v>
      </c>
      <c r="H710" s="9" t="n">
        <v>1.076923076923077</v>
      </c>
      <c r="I710" s="9" t="inlineStr">
        <is>
          <t>Depth (no MLB PA)</t>
        </is>
      </c>
      <c r="J710" s="16" t="inlineStr">
        <is>
          <t>Opening Day</t>
        </is>
      </c>
      <c r="K710" s="11">
        <f>IFERROR(INDEX(Roles!$B$17:$B$20,MATCH(J710,Roles!$A$17:$A$20,0)),1)</f>
        <v/>
      </c>
      <c r="L710" s="17" t="n">
        <v>1</v>
      </c>
      <c r="M710" s="11" t="n">
        <v>1</v>
      </c>
      <c r="N710" s="17" t="n"/>
      <c r="O710" s="17" t="n"/>
      <c r="P710" s="17" t="n"/>
      <c r="Q710" s="17" t="n"/>
      <c r="R710" s="17" t="n"/>
      <c r="S710" s="17" t="n"/>
      <c r="T710" s="17" t="n"/>
      <c r="U710" s="17" t="n"/>
      <c r="V710" s="17" t="n"/>
      <c r="W710" s="17" t="n"/>
      <c r="X710" s="17" t="n"/>
      <c r="Y710" s="17" t="n">
        <v>1</v>
      </c>
      <c r="Z710" s="13">
        <f>SUMPRODUCT(N710:Y710,$N$2:$Y$2)*$K710*$L710*$M710</f>
        <v/>
      </c>
      <c r="AA710" s="14">
        <f>SUM(N710:Y710)</f>
        <v/>
      </c>
      <c r="AB710" s="14">
        <f>IFERROR(IF(UPPER($E710)="L",SUMPRODUCT(N710:Y710,$N$3:$Y$3,$N$2:$Y$2),SUMPRODUCT(N710:Y710,$N$4:$Y$4,$N$2:$Y$2))/(Z710/($K710*$L710*$M710)),"")</f>
        <v/>
      </c>
      <c r="AC710" s="18" t="n"/>
    </row>
    <row r="711">
      <c r="A711" s="9" t="n">
        <v>671925</v>
      </c>
      <c r="B711" s="9" t="inlineStr">
        <is>
          <t>Matt Coutney</t>
        </is>
      </c>
      <c r="C711" s="9" t="inlineStr">
        <is>
          <t>LAA</t>
        </is>
      </c>
      <c r="D711" s="9" t="n">
        <v>25</v>
      </c>
      <c r="E711" s="16" t="inlineStr">
        <is>
          <t>L</t>
        </is>
      </c>
      <c r="F711" s="16" t="n"/>
      <c r="G711" s="9" t="n">
        <v>1.076923076923077</v>
      </c>
      <c r="H711" s="9" t="n">
        <v>1.076923076923077</v>
      </c>
      <c r="I711" s="9" t="inlineStr">
        <is>
          <t>Depth (no MLB PA)</t>
        </is>
      </c>
      <c r="J711" s="16" t="inlineStr">
        <is>
          <t>Opening Day</t>
        </is>
      </c>
      <c r="K711" s="11">
        <f>IFERROR(INDEX(Roles!$B$17:$B$20,MATCH(J711,Roles!$A$17:$A$20,0)),1)</f>
        <v/>
      </c>
      <c r="L711" s="17" t="n">
        <v>1</v>
      </c>
      <c r="M711" s="11" t="n">
        <v>1</v>
      </c>
      <c r="N711" s="17" t="n"/>
      <c r="O711" s="17" t="n"/>
      <c r="P711" s="17" t="n"/>
      <c r="Q711" s="17" t="n"/>
      <c r="R711" s="17" t="n"/>
      <c r="S711" s="17" t="n"/>
      <c r="T711" s="17" t="n"/>
      <c r="U711" s="17" t="n"/>
      <c r="V711" s="17" t="n"/>
      <c r="W711" s="17" t="n"/>
      <c r="X711" s="17" t="n"/>
      <c r="Y711" s="17" t="n">
        <v>1</v>
      </c>
      <c r="Z711" s="13">
        <f>SUMPRODUCT(N711:Y711,$N$2:$Y$2)*$K711*$L711*$M711</f>
        <v/>
      </c>
      <c r="AA711" s="14">
        <f>SUM(N711:Y711)</f>
        <v/>
      </c>
      <c r="AB711" s="14">
        <f>IFERROR(IF(UPPER($E711)="L",SUMPRODUCT(N711:Y711,$N$3:$Y$3,$N$2:$Y$2),SUMPRODUCT(N711:Y711,$N$4:$Y$4,$N$2:$Y$2))/(Z711/($K711*$L711*$M711)),"")</f>
        <v/>
      </c>
      <c r="AC711" s="18" t="n"/>
    </row>
    <row r="712">
      <c r="A712" s="9" t="n">
        <v>702632</v>
      </c>
      <c r="B712" s="9" t="inlineStr">
        <is>
          <t>Michael Gupton</t>
        </is>
      </c>
      <c r="C712" s="9" t="inlineStr">
        <is>
          <t>CHC</t>
        </is>
      </c>
      <c r="D712" s="9" t="n">
        <v>25</v>
      </c>
      <c r="E712" s="16" t="inlineStr">
        <is>
          <t>R</t>
        </is>
      </c>
      <c r="F712" s="16" t="n"/>
      <c r="G712" s="9" t="n">
        <v>1.076923076923077</v>
      </c>
      <c r="H712" s="9" t="n">
        <v>1.076923076923077</v>
      </c>
      <c r="I712" s="9" t="inlineStr">
        <is>
          <t>Depth (no MLB PA)</t>
        </is>
      </c>
      <c r="J712" s="16" t="inlineStr">
        <is>
          <t>Opening Day</t>
        </is>
      </c>
      <c r="K712" s="11">
        <f>IFERROR(INDEX(Roles!$B$17:$B$20,MATCH(J712,Roles!$A$17:$A$20,0)),1)</f>
        <v/>
      </c>
      <c r="L712" s="17" t="n">
        <v>1</v>
      </c>
      <c r="M712" s="11" t="n">
        <v>1</v>
      </c>
      <c r="N712" s="17" t="n"/>
      <c r="O712" s="17" t="n"/>
      <c r="P712" s="17" t="n"/>
      <c r="Q712" s="17" t="n"/>
      <c r="R712" s="17" t="n"/>
      <c r="S712" s="17" t="n"/>
      <c r="T712" s="17" t="n"/>
      <c r="U712" s="17" t="n"/>
      <c r="V712" s="17" t="n"/>
      <c r="W712" s="17" t="n"/>
      <c r="X712" s="17" t="n"/>
      <c r="Y712" s="17" t="n">
        <v>1</v>
      </c>
      <c r="Z712" s="13">
        <f>SUMPRODUCT(N712:Y712,$N$2:$Y$2)*$K712*$L712*$M712</f>
        <v/>
      </c>
      <c r="AA712" s="14">
        <f>SUM(N712:Y712)</f>
        <v/>
      </c>
      <c r="AB712" s="14">
        <f>IFERROR(IF(UPPER($E712)="L",SUMPRODUCT(N712:Y712,$N$3:$Y$3,$N$2:$Y$2),SUMPRODUCT(N712:Y712,$N$4:$Y$4,$N$2:$Y$2))/(Z712/($K712*$L712*$M712)),"")</f>
        <v/>
      </c>
      <c r="AC712" s="18" t="n"/>
    </row>
    <row r="713">
      <c r="A713" s="9" t="n">
        <v>815931</v>
      </c>
      <c r="B713" s="9" t="inlineStr">
        <is>
          <t>Yolfran Castillo</t>
        </is>
      </c>
      <c r="C713" s="9" t="inlineStr">
        <is>
          <t>TEX</t>
        </is>
      </c>
      <c r="D713" s="9" t="n">
        <v>20</v>
      </c>
      <c r="E713" s="16" t="inlineStr">
        <is>
          <t>R</t>
        </is>
      </c>
      <c r="F713" s="16" t="n"/>
      <c r="G713" s="9" t="n">
        <v>1.025641025641026</v>
      </c>
      <c r="H713" s="9" t="n">
        <v>1.025641025641026</v>
      </c>
      <c r="I713" s="9" t="inlineStr">
        <is>
          <t>Depth (no MLB PA)</t>
        </is>
      </c>
      <c r="J713" s="16" t="inlineStr">
        <is>
          <t>Opening Day</t>
        </is>
      </c>
      <c r="K713" s="11">
        <f>IFERROR(INDEX(Roles!$B$17:$B$20,MATCH(J713,Roles!$A$17:$A$20,0)),1)</f>
        <v/>
      </c>
      <c r="L713" s="17" t="n">
        <v>1</v>
      </c>
      <c r="M713" s="11" t="n">
        <v>1</v>
      </c>
      <c r="N713" s="17" t="n"/>
      <c r="O713" s="17" t="n"/>
      <c r="P713" s="17" t="n"/>
      <c r="Q713" s="17" t="n"/>
      <c r="R713" s="17" t="n"/>
      <c r="S713" s="17" t="n"/>
      <c r="T713" s="17" t="n"/>
      <c r="U713" s="17" t="n"/>
      <c r="V713" s="17" t="n"/>
      <c r="W713" s="17" t="n"/>
      <c r="X713" s="17" t="n"/>
      <c r="Y713" s="17" t="n">
        <v>1</v>
      </c>
      <c r="Z713" s="13">
        <f>SUMPRODUCT(N713:Y713,$N$2:$Y$2)*$K713*$L713*$M713</f>
        <v/>
      </c>
      <c r="AA713" s="14">
        <f>SUM(N713:Y713)</f>
        <v/>
      </c>
      <c r="AB713" s="14">
        <f>IFERROR(IF(UPPER($E713)="L",SUMPRODUCT(N713:Y713,$N$3:$Y$3,$N$2:$Y$2),SUMPRODUCT(N713:Y713,$N$4:$Y$4,$N$2:$Y$2))/(Z713/($K713*$L713*$M713)),"")</f>
        <v/>
      </c>
      <c r="AC713" s="18" t="n"/>
    </row>
    <row r="714">
      <c r="A714" s="9" t="n">
        <v>701816</v>
      </c>
      <c r="B714" s="9" t="inlineStr">
        <is>
          <t>John Cristino</t>
        </is>
      </c>
      <c r="C714" s="9" t="inlineStr">
        <is>
          <t>NYY</t>
        </is>
      </c>
      <c r="D714" s="9" t="n">
        <v>25</v>
      </c>
      <c r="E714" s="16" t="inlineStr">
        <is>
          <t>R</t>
        </is>
      </c>
      <c r="F714" s="16" t="n"/>
      <c r="G714" s="9" t="n">
        <v>1.076923076923077</v>
      </c>
      <c r="H714" s="9" t="n">
        <v>1.076923076923077</v>
      </c>
      <c r="I714" s="9" t="inlineStr">
        <is>
          <t>Depth (no MLB PA)</t>
        </is>
      </c>
      <c r="J714" s="16" t="inlineStr">
        <is>
          <t>Opening Day</t>
        </is>
      </c>
      <c r="K714" s="11">
        <f>IFERROR(INDEX(Roles!$B$17:$B$20,MATCH(J714,Roles!$A$17:$A$20,0)),1)</f>
        <v/>
      </c>
      <c r="L714" s="17" t="n">
        <v>1</v>
      </c>
      <c r="M714" s="11" t="n">
        <v>1</v>
      </c>
      <c r="N714" s="17" t="n"/>
      <c r="O714" s="17" t="n"/>
      <c r="P714" s="17" t="n"/>
      <c r="Q714" s="17" t="n"/>
      <c r="R714" s="17" t="n"/>
      <c r="S714" s="17" t="n"/>
      <c r="T714" s="17" t="n"/>
      <c r="U714" s="17" t="n"/>
      <c r="V714" s="17" t="n"/>
      <c r="W714" s="17" t="n"/>
      <c r="X714" s="17" t="n"/>
      <c r="Y714" s="17" t="n">
        <v>1</v>
      </c>
      <c r="Z714" s="13">
        <f>SUMPRODUCT(N714:Y714,$N$2:$Y$2)*$K714*$L714*$M714</f>
        <v/>
      </c>
      <c r="AA714" s="14">
        <f>SUM(N714:Y714)</f>
        <v/>
      </c>
      <c r="AB714" s="14">
        <f>IFERROR(IF(UPPER($E714)="L",SUMPRODUCT(N714:Y714,$N$3:$Y$3,$N$2:$Y$2),SUMPRODUCT(N714:Y714,$N$4:$Y$4,$N$2:$Y$2))/(Z714/($K714*$L714*$M714)),"")</f>
        <v/>
      </c>
      <c r="AC714" s="18" t="n"/>
    </row>
    <row r="715">
      <c r="A715" s="9" t="n">
        <v>811294</v>
      </c>
      <c r="B715" s="9" t="inlineStr">
        <is>
          <t>Caden Sorrell</t>
        </is>
      </c>
      <c r="C715" s="9" t="inlineStr">
        <is>
          <t>CHC</t>
        </is>
      </c>
      <c r="D715" s="9" t="n">
        <v>22</v>
      </c>
      <c r="E715" s="16" t="inlineStr">
        <is>
          <t>L</t>
        </is>
      </c>
      <c r="F715" s="16" t="n"/>
      <c r="G715" s="9" t="n">
        <v>11.56923076923077</v>
      </c>
      <c r="H715" s="9" t="n">
        <v>11.56923076923077</v>
      </c>
      <c r="I715" s="9" t="inlineStr">
        <is>
          <t>Depth (no MLB PA)</t>
        </is>
      </c>
      <c r="J715" s="16" t="inlineStr">
        <is>
          <t>Opening Day</t>
        </is>
      </c>
      <c r="K715" s="11">
        <f>IFERROR(INDEX(Roles!$B$17:$B$20,MATCH(J715,Roles!$A$17:$A$20,0)),1)</f>
        <v/>
      </c>
      <c r="L715" s="17" t="n">
        <v>1</v>
      </c>
      <c r="M715" s="11" t="n">
        <v>1</v>
      </c>
      <c r="N715" s="17" t="n"/>
      <c r="O715" s="17" t="n"/>
      <c r="P715" s="17" t="n"/>
      <c r="Q715" s="17" t="n"/>
      <c r="R715" s="17" t="n"/>
      <c r="S715" s="17" t="n"/>
      <c r="T715" s="17" t="n"/>
      <c r="U715" s="17" t="n"/>
      <c r="V715" s="17" t="n"/>
      <c r="W715" s="17" t="n"/>
      <c r="X715" s="17" t="n"/>
      <c r="Y715" s="17" t="n">
        <v>1</v>
      </c>
      <c r="Z715" s="13">
        <f>SUMPRODUCT(N715:Y715,$N$2:$Y$2)*$K715*$L715*$M715</f>
        <v/>
      </c>
      <c r="AA715" s="14">
        <f>SUM(N715:Y715)</f>
        <v/>
      </c>
      <c r="AB715" s="14">
        <f>IFERROR(IF(UPPER($E715)="L",SUMPRODUCT(N715:Y715,$N$3:$Y$3,$N$2:$Y$2),SUMPRODUCT(N715:Y715,$N$4:$Y$4,$N$2:$Y$2))/(Z715/($K715*$L715*$M715)),"")</f>
        <v/>
      </c>
      <c r="AC715" s="18" t="n"/>
    </row>
    <row r="716">
      <c r="A716" s="9" t="n">
        <v>836276</v>
      </c>
      <c r="B716" s="9" t="inlineStr">
        <is>
          <t>August Cuneo</t>
        </is>
      </c>
      <c r="C716" s="9" t="inlineStr">
        <is>
          <t>HOU</t>
        </is>
      </c>
      <c r="D716" s="9" t="n">
        <v>25</v>
      </c>
      <c r="E716" s="16" t="inlineStr">
        <is>
          <t>R</t>
        </is>
      </c>
      <c r="F716" s="16" t="n"/>
      <c r="G716" s="9" t="n">
        <v>1.076923076923077</v>
      </c>
      <c r="H716" s="9" t="n">
        <v>1.076923076923077</v>
      </c>
      <c r="I716" s="9" t="inlineStr">
        <is>
          <t>Depth (no MLB PA)</t>
        </is>
      </c>
      <c r="J716" s="16" t="inlineStr">
        <is>
          <t>Opening Day</t>
        </is>
      </c>
      <c r="K716" s="11">
        <f>IFERROR(INDEX(Roles!$B$17:$B$20,MATCH(J716,Roles!$A$17:$A$20,0)),1)</f>
        <v/>
      </c>
      <c r="L716" s="17" t="n">
        <v>1</v>
      </c>
      <c r="M716" s="11" t="n">
        <v>1</v>
      </c>
      <c r="N716" s="17" t="n"/>
      <c r="O716" s="17" t="n"/>
      <c r="P716" s="17" t="n"/>
      <c r="Q716" s="17" t="n"/>
      <c r="R716" s="17" t="n"/>
      <c r="S716" s="17" t="n"/>
      <c r="T716" s="17" t="n"/>
      <c r="U716" s="17" t="n"/>
      <c r="V716" s="17" t="n"/>
      <c r="W716" s="17" t="n"/>
      <c r="X716" s="17" t="n"/>
      <c r="Y716" s="17" t="n">
        <v>1</v>
      </c>
      <c r="Z716" s="13">
        <f>SUMPRODUCT(N716:Y716,$N$2:$Y$2)*$K716*$L716*$M716</f>
        <v/>
      </c>
      <c r="AA716" s="14">
        <f>SUM(N716:Y716)</f>
        <v/>
      </c>
      <c r="AB716" s="14">
        <f>IFERROR(IF(UPPER($E716)="L",SUMPRODUCT(N716:Y716,$N$3:$Y$3,$N$2:$Y$2),SUMPRODUCT(N716:Y716,$N$4:$Y$4,$N$2:$Y$2))/(Z716/($K716*$L716*$M716)),"")</f>
        <v/>
      </c>
      <c r="AC716" s="18" t="n"/>
    </row>
    <row r="717">
      <c r="A717" s="9" t="n">
        <v>834605</v>
      </c>
      <c r="B717" s="9" t="inlineStr">
        <is>
          <t>Seong-Jun Kim</t>
        </is>
      </c>
      <c r="C717" s="9" t="inlineStr">
        <is>
          <t>TEX</t>
        </is>
      </c>
      <c r="D717" s="9" t="n">
        <v>25</v>
      </c>
      <c r="E717" s="16" t="inlineStr">
        <is>
          <t>R</t>
        </is>
      </c>
      <c r="F717" s="16" t="n"/>
      <c r="G717" s="9" t="n">
        <v>3.2</v>
      </c>
      <c r="H717" s="9" t="n">
        <v>3.2</v>
      </c>
      <c r="I717" s="9" t="inlineStr">
        <is>
          <t>Depth (no MLB PA)</t>
        </is>
      </c>
      <c r="J717" s="16" t="inlineStr">
        <is>
          <t>Opening Day</t>
        </is>
      </c>
      <c r="K717" s="11">
        <f>IFERROR(INDEX(Roles!$B$17:$B$20,MATCH(J717,Roles!$A$17:$A$20,0)),1)</f>
        <v/>
      </c>
      <c r="L717" s="17" t="n">
        <v>1</v>
      </c>
      <c r="M717" s="11" t="n">
        <v>1</v>
      </c>
      <c r="N717" s="17" t="n"/>
      <c r="O717" s="17" t="n"/>
      <c r="P717" s="17" t="n"/>
      <c r="Q717" s="17" t="n"/>
      <c r="R717" s="17" t="n"/>
      <c r="S717" s="17" t="n"/>
      <c r="T717" s="17" t="n"/>
      <c r="U717" s="17" t="n"/>
      <c r="V717" s="17" t="n"/>
      <c r="W717" s="17" t="n"/>
      <c r="X717" s="17" t="n"/>
      <c r="Y717" s="17" t="n">
        <v>1</v>
      </c>
      <c r="Z717" s="13">
        <f>SUMPRODUCT(N717:Y717,$N$2:$Y$2)*$K717*$L717*$M717</f>
        <v/>
      </c>
      <c r="AA717" s="14">
        <f>SUM(N717:Y717)</f>
        <v/>
      </c>
      <c r="AB717" s="14">
        <f>IFERROR(IF(UPPER($E717)="L",SUMPRODUCT(N717:Y717,$N$3:$Y$3,$N$2:$Y$2),SUMPRODUCT(N717:Y717,$N$4:$Y$4,$N$2:$Y$2))/(Z717/($K717*$L717*$M717)),"")</f>
        <v/>
      </c>
      <c r="AC717" s="18" t="n"/>
    </row>
    <row r="718">
      <c r="A718" s="9" t="n">
        <v>666748</v>
      </c>
      <c r="B718" s="9" t="inlineStr">
        <is>
          <t>Mitch Neunborn</t>
        </is>
      </c>
      <c r="C718" s="9" t="inlineStr">
        <is>
          <t>PHI</t>
        </is>
      </c>
      <c r="D718" s="9" t="n">
        <v>25</v>
      </c>
      <c r="E718" s="16" t="inlineStr">
        <is>
          <t>R</t>
        </is>
      </c>
      <c r="F718" s="16" t="n"/>
      <c r="G718" s="9" t="n">
        <v>1.128205128205128</v>
      </c>
      <c r="H718" s="9" t="n">
        <v>1.128205128205128</v>
      </c>
      <c r="I718" s="9" t="inlineStr">
        <is>
          <t>Depth (no MLB PA)</t>
        </is>
      </c>
      <c r="J718" s="16" t="inlineStr">
        <is>
          <t>Opening Day</t>
        </is>
      </c>
      <c r="K718" s="11">
        <f>IFERROR(INDEX(Roles!$B$17:$B$20,MATCH(J718,Roles!$A$17:$A$20,0)),1)</f>
        <v/>
      </c>
      <c r="L718" s="17" t="n">
        <v>1</v>
      </c>
      <c r="M718" s="11" t="n">
        <v>1</v>
      </c>
      <c r="N718" s="17" t="n"/>
      <c r="O718" s="17" t="n"/>
      <c r="P718" s="17" t="n"/>
      <c r="Q718" s="17" t="n"/>
      <c r="R718" s="17" t="n"/>
      <c r="S718" s="17" t="n"/>
      <c r="T718" s="17" t="n"/>
      <c r="U718" s="17" t="n"/>
      <c r="V718" s="17" t="n"/>
      <c r="W718" s="17" t="n"/>
      <c r="X718" s="17" t="n"/>
      <c r="Y718" s="17" t="n">
        <v>1</v>
      </c>
      <c r="Z718" s="13">
        <f>SUMPRODUCT(N718:Y718,$N$2:$Y$2)*$K718*$L718*$M718</f>
        <v/>
      </c>
      <c r="AA718" s="14">
        <f>SUM(N718:Y718)</f>
        <v/>
      </c>
      <c r="AB718" s="14">
        <f>IFERROR(IF(UPPER($E718)="L",SUMPRODUCT(N718:Y718,$N$3:$Y$3,$N$2:$Y$2),SUMPRODUCT(N718:Y718,$N$4:$Y$4,$N$2:$Y$2))/(Z718/($K718*$L718*$M718)),"")</f>
        <v/>
      </c>
      <c r="AC718" s="18" t="n"/>
    </row>
    <row r="719">
      <c r="A719" s="9" t="n">
        <v>806739</v>
      </c>
      <c r="B719" s="9" t="inlineStr">
        <is>
          <t>Jayden Kim</t>
        </is>
      </c>
      <c r="C719" s="9" t="inlineStr">
        <is>
          <t>PIT</t>
        </is>
      </c>
      <c r="D719" s="9" t="n">
        <v>25</v>
      </c>
      <c r="E719" s="16" t="inlineStr">
        <is>
          <t>R</t>
        </is>
      </c>
      <c r="F719" s="16" t="n"/>
      <c r="G719" s="9" t="n">
        <v>1.107692307692308</v>
      </c>
      <c r="H719" s="9" t="n">
        <v>1.107692307692308</v>
      </c>
      <c r="I719" s="9" t="inlineStr">
        <is>
          <t>Depth (no MLB PA)</t>
        </is>
      </c>
      <c r="J719" s="16" t="inlineStr">
        <is>
          <t>Opening Day</t>
        </is>
      </c>
      <c r="K719" s="11">
        <f>IFERROR(INDEX(Roles!$B$17:$B$20,MATCH(J719,Roles!$A$17:$A$20,0)),1)</f>
        <v/>
      </c>
      <c r="L719" s="17" t="n">
        <v>1</v>
      </c>
      <c r="M719" s="11" t="n">
        <v>1</v>
      </c>
      <c r="N719" s="17" t="n"/>
      <c r="O719" s="17" t="n"/>
      <c r="P719" s="17" t="n"/>
      <c r="Q719" s="17" t="n"/>
      <c r="R719" s="17" t="n"/>
      <c r="S719" s="17" t="n"/>
      <c r="T719" s="17" t="n"/>
      <c r="U719" s="17" t="n"/>
      <c r="V719" s="17" t="n"/>
      <c r="W719" s="17" t="n"/>
      <c r="X719" s="17" t="n"/>
      <c r="Y719" s="17" t="n">
        <v>1</v>
      </c>
      <c r="Z719" s="13">
        <f>SUMPRODUCT(N719:Y719,$N$2:$Y$2)*$K719*$L719*$M719</f>
        <v/>
      </c>
      <c r="AA719" s="14">
        <f>SUM(N719:Y719)</f>
        <v/>
      </c>
      <c r="AB719" s="14">
        <f>IFERROR(IF(UPPER($E719)="L",SUMPRODUCT(N719:Y719,$N$3:$Y$3,$N$2:$Y$2),SUMPRODUCT(N719:Y719,$N$4:$Y$4,$N$2:$Y$2))/(Z719/($K719*$L719*$M719)),"")</f>
        <v/>
      </c>
      <c r="AC719" s="18" t="n"/>
    </row>
    <row r="720">
      <c r="A720" s="9" t="n">
        <v>695603</v>
      </c>
      <c r="B720" s="9" t="inlineStr">
        <is>
          <t>Benny Montgomery</t>
        </is>
      </c>
      <c r="C720" s="9" t="inlineStr">
        <is>
          <t>COL</t>
        </is>
      </c>
      <c r="D720" s="9" t="n">
        <v>25</v>
      </c>
      <c r="E720" s="16" t="inlineStr">
        <is>
          <t>R</t>
        </is>
      </c>
      <c r="F720" s="16" t="n"/>
      <c r="G720" s="9" t="n">
        <v>58.15384615384615</v>
      </c>
      <c r="H720" s="9" t="n">
        <v>58.15384615384615</v>
      </c>
      <c r="I720" s="9" t="inlineStr">
        <is>
          <t>Depth (no MLB PA)</t>
        </is>
      </c>
      <c r="J720" s="16" t="inlineStr">
        <is>
          <t>Opening Day</t>
        </is>
      </c>
      <c r="K720" s="11">
        <f>IFERROR(INDEX(Roles!$B$17:$B$20,MATCH(J720,Roles!$A$17:$A$20,0)),1)</f>
        <v/>
      </c>
      <c r="L720" s="17" t="n">
        <v>1</v>
      </c>
      <c r="M720" s="11" t="n">
        <v>1</v>
      </c>
      <c r="N720" s="17" t="n"/>
      <c r="O720" s="17" t="n"/>
      <c r="P720" s="17" t="n"/>
      <c r="Q720" s="17" t="n"/>
      <c r="R720" s="17" t="n"/>
      <c r="S720" s="17" t="n"/>
      <c r="T720" s="17" t="n"/>
      <c r="U720" s="17" t="n"/>
      <c r="V720" s="17" t="n"/>
      <c r="W720" s="17" t="n"/>
      <c r="X720" s="17" t="n"/>
      <c r="Y720" s="17" t="n">
        <v>1</v>
      </c>
      <c r="Z720" s="13">
        <f>SUMPRODUCT(N720:Y720,$N$2:$Y$2)*$K720*$L720*$M720</f>
        <v/>
      </c>
      <c r="AA720" s="14">
        <f>SUM(N720:Y720)</f>
        <v/>
      </c>
      <c r="AB720" s="14">
        <f>IFERROR(IF(UPPER($E720)="L",SUMPRODUCT(N720:Y720,$N$3:$Y$3,$N$2:$Y$2),SUMPRODUCT(N720:Y720,$N$4:$Y$4,$N$2:$Y$2))/(Z720/($K720*$L720*$M720)),"")</f>
        <v/>
      </c>
      <c r="AC720" s="18" t="n"/>
    </row>
    <row r="721">
      <c r="A721" s="9" t="n">
        <v>821244</v>
      </c>
      <c r="B721" s="9" t="inlineStr">
        <is>
          <t>Francisco Loreto</t>
        </is>
      </c>
      <c r="C721" s="9" t="inlineStr">
        <is>
          <t>PIT</t>
        </is>
      </c>
      <c r="D721" s="9" t="n">
        <v>25</v>
      </c>
      <c r="E721" s="16" t="inlineStr">
        <is>
          <t>R</t>
        </is>
      </c>
      <c r="F721" s="16" t="n"/>
      <c r="G721" s="9" t="n">
        <v>1.107692307692308</v>
      </c>
      <c r="H721" s="9" t="n">
        <v>1.107692307692308</v>
      </c>
      <c r="I721" s="9" t="inlineStr">
        <is>
          <t>Depth (no MLB PA)</t>
        </is>
      </c>
      <c r="J721" s="16" t="inlineStr">
        <is>
          <t>Opening Day</t>
        </is>
      </c>
      <c r="K721" s="11">
        <f>IFERROR(INDEX(Roles!$B$17:$B$20,MATCH(J721,Roles!$A$17:$A$20,0)),1)</f>
        <v/>
      </c>
      <c r="L721" s="17" t="n">
        <v>1</v>
      </c>
      <c r="M721" s="11" t="n">
        <v>1</v>
      </c>
      <c r="N721" s="17" t="n"/>
      <c r="O721" s="17" t="n"/>
      <c r="P721" s="17" t="n"/>
      <c r="Q721" s="17" t="n"/>
      <c r="R721" s="17" t="n"/>
      <c r="S721" s="17" t="n"/>
      <c r="T721" s="17" t="n"/>
      <c r="U721" s="17" t="n"/>
      <c r="V721" s="17" t="n"/>
      <c r="W721" s="17" t="n"/>
      <c r="X721" s="17" t="n"/>
      <c r="Y721" s="17" t="n">
        <v>1</v>
      </c>
      <c r="Z721" s="13">
        <f>SUMPRODUCT(N721:Y721,$N$2:$Y$2)*$K721*$L721*$M721</f>
        <v/>
      </c>
      <c r="AA721" s="14">
        <f>SUM(N721:Y721)</f>
        <v/>
      </c>
      <c r="AB721" s="14">
        <f>IFERROR(IF(UPPER($E721)="L",SUMPRODUCT(N721:Y721,$N$3:$Y$3,$N$2:$Y$2),SUMPRODUCT(N721:Y721,$N$4:$Y$4,$N$2:$Y$2))/(Z721/($K721*$L721*$M721)),"")</f>
        <v/>
      </c>
      <c r="AC721" s="18" t="n"/>
    </row>
    <row r="722">
      <c r="A722" s="9" t="n">
        <v>680779</v>
      </c>
      <c r="B722" s="9" t="inlineStr">
        <is>
          <t>Henry Davis</t>
        </is>
      </c>
      <c r="C722" s="9" t="inlineStr">
        <is>
          <t>PIT</t>
        </is>
      </c>
      <c r="D722" s="9" t="n">
        <v>27</v>
      </c>
      <c r="E722" s="16" t="inlineStr">
        <is>
          <t>R</t>
        </is>
      </c>
      <c r="F722" s="16" t="inlineStr">
        <is>
          <t>C</t>
        </is>
      </c>
      <c r="G722" s="9" t="n">
        <v>298</v>
      </c>
      <c r="H722" s="9" t="n">
        <v>958</v>
      </c>
      <c r="I722" s="9" t="inlineStr">
        <is>
          <t>Weak Side Platoon</t>
        </is>
      </c>
      <c r="J722" s="16" t="inlineStr">
        <is>
          <t>Opening Day</t>
        </is>
      </c>
      <c r="K722" s="11">
        <f>IFERROR(INDEX(Roles!$B$17:$B$20,MATCH(J722,Roles!$A$17:$A$20,0)),1)</f>
        <v/>
      </c>
      <c r="L722" s="17" t="n">
        <v>1</v>
      </c>
      <c r="M722" s="11" t="n">
        <v>1</v>
      </c>
      <c r="N722" s="17" t="n"/>
      <c r="O722" s="17" t="n"/>
      <c r="P722" s="17" t="n"/>
      <c r="Q722" s="17" t="n">
        <v>0.6</v>
      </c>
      <c r="R722" s="17" t="n"/>
      <c r="S722" s="17" t="n"/>
      <c r="T722" s="17" t="n">
        <v>0.4</v>
      </c>
      <c r="U722" s="17" t="n"/>
      <c r="V722" s="17" t="n"/>
      <c r="W722" s="17" t="n"/>
      <c r="X722" s="17" t="n"/>
      <c r="Y722" s="17" t="n"/>
      <c r="Z722" s="13">
        <f>SUMPRODUCT(N722:Y722,$N$2:$Y$2)*$K722*$L722*$M722</f>
        <v/>
      </c>
      <c r="AA722" s="14">
        <f>SUM(N722:Y722)</f>
        <v/>
      </c>
      <c r="AB722" s="14">
        <f>IFERROR(IF(UPPER($E722)="L",SUMPRODUCT(N722:Y722,$N$3:$Y$3,$N$2:$Y$2),SUMPRODUCT(N722:Y722,$N$4:$Y$4,$N$2:$Y$2))/(Z722/($K722*$L722*$M722)),"")</f>
        <v/>
      </c>
      <c r="AC722" s="18" t="n"/>
    </row>
    <row r="723">
      <c r="A723" s="9" t="n">
        <v>814294</v>
      </c>
      <c r="B723" s="9" t="inlineStr">
        <is>
          <t>Dario Reynoso</t>
        </is>
      </c>
      <c r="C723" s="9" t="inlineStr">
        <is>
          <t>SF</t>
        </is>
      </c>
      <c r="D723" s="9" t="n">
        <v>25</v>
      </c>
      <c r="E723" s="16" t="inlineStr">
        <is>
          <t>R</t>
        </is>
      </c>
      <c r="F723" s="16" t="n"/>
      <c r="G723" s="9" t="n">
        <v>1.128205128205128</v>
      </c>
      <c r="H723" s="9" t="n">
        <v>1.128205128205128</v>
      </c>
      <c r="I723" s="9" t="inlineStr">
        <is>
          <t>Depth (no MLB PA)</t>
        </is>
      </c>
      <c r="J723" s="16" t="inlineStr">
        <is>
          <t>Opening Day</t>
        </is>
      </c>
      <c r="K723" s="11">
        <f>IFERROR(INDEX(Roles!$B$17:$B$20,MATCH(J723,Roles!$A$17:$A$20,0)),1)</f>
        <v/>
      </c>
      <c r="L723" s="17" t="n">
        <v>1</v>
      </c>
      <c r="M723" s="11" t="n">
        <v>1</v>
      </c>
      <c r="N723" s="17" t="n"/>
      <c r="O723" s="17" t="n"/>
      <c r="P723" s="17" t="n"/>
      <c r="Q723" s="17" t="n"/>
      <c r="R723" s="17" t="n"/>
      <c r="S723" s="17" t="n"/>
      <c r="T723" s="17" t="n"/>
      <c r="U723" s="17" t="n"/>
      <c r="V723" s="17" t="n"/>
      <c r="W723" s="17" t="n"/>
      <c r="X723" s="17" t="n"/>
      <c r="Y723" s="17" t="n">
        <v>1</v>
      </c>
      <c r="Z723" s="13">
        <f>SUMPRODUCT(N723:Y723,$N$2:$Y$2)*$K723*$L723*$M723</f>
        <v/>
      </c>
      <c r="AA723" s="14">
        <f>SUM(N723:Y723)</f>
        <v/>
      </c>
      <c r="AB723" s="14">
        <f>IFERROR(IF(UPPER($E723)="L",SUMPRODUCT(N723:Y723,$N$3:$Y$3,$N$2:$Y$2),SUMPRODUCT(N723:Y723,$N$4:$Y$4,$N$2:$Y$2))/(Z723/($K723*$L723*$M723)),"")</f>
        <v/>
      </c>
      <c r="AC723" s="18" t="n"/>
    </row>
    <row r="724">
      <c r="A724" s="9" t="n">
        <v>814781</v>
      </c>
      <c r="B724" s="9" t="inlineStr">
        <is>
          <t>Jonathan Hogart</t>
        </is>
      </c>
      <c r="C724" s="9" t="inlineStr">
        <is>
          <t>PHI</t>
        </is>
      </c>
      <c r="D724" s="9" t="n">
        <v>25</v>
      </c>
      <c r="E724" s="16" t="inlineStr">
        <is>
          <t>R</t>
        </is>
      </c>
      <c r="F724" s="16" t="n"/>
      <c r="G724" s="9" t="n">
        <v>1.128205128205128</v>
      </c>
      <c r="H724" s="9" t="n">
        <v>1.128205128205128</v>
      </c>
      <c r="I724" s="9" t="inlineStr">
        <is>
          <t>Depth (no MLB PA)</t>
        </is>
      </c>
      <c r="J724" s="16" t="inlineStr">
        <is>
          <t>Opening Day</t>
        </is>
      </c>
      <c r="K724" s="11">
        <f>IFERROR(INDEX(Roles!$B$17:$B$20,MATCH(J724,Roles!$A$17:$A$20,0)),1)</f>
        <v/>
      </c>
      <c r="L724" s="17" t="n">
        <v>1</v>
      </c>
      <c r="M724" s="11" t="n">
        <v>1</v>
      </c>
      <c r="N724" s="17" t="n"/>
      <c r="O724" s="17" t="n"/>
      <c r="P724" s="17" t="n"/>
      <c r="Q724" s="17" t="n"/>
      <c r="R724" s="17" t="n"/>
      <c r="S724" s="17" t="n"/>
      <c r="T724" s="17" t="n"/>
      <c r="U724" s="17" t="n"/>
      <c r="V724" s="17" t="n"/>
      <c r="W724" s="17" t="n"/>
      <c r="X724" s="17" t="n"/>
      <c r="Y724" s="17" t="n">
        <v>1</v>
      </c>
      <c r="Z724" s="13">
        <f>SUMPRODUCT(N724:Y724,$N$2:$Y$2)*$K724*$L724*$M724</f>
        <v/>
      </c>
      <c r="AA724" s="14">
        <f>SUM(N724:Y724)</f>
        <v/>
      </c>
      <c r="AB724" s="14">
        <f>IFERROR(IF(UPPER($E724)="L",SUMPRODUCT(N724:Y724,$N$3:$Y$3,$N$2:$Y$2),SUMPRODUCT(N724:Y724,$N$4:$Y$4,$N$2:$Y$2))/(Z724/($K724*$L724*$M724)),"")</f>
        <v/>
      </c>
      <c r="AC724" s="18" t="n"/>
    </row>
    <row r="725">
      <c r="A725" s="9" t="n">
        <v>822796</v>
      </c>
      <c r="B725" s="9" t="inlineStr">
        <is>
          <t>Scott Gell</t>
        </is>
      </c>
      <c r="C725" s="9" t="inlineStr">
        <is>
          <t>SF</t>
        </is>
      </c>
      <c r="D725" s="9" t="n">
        <v>25</v>
      </c>
      <c r="E725" s="16" t="inlineStr">
        <is>
          <t>R</t>
        </is>
      </c>
      <c r="F725" s="16" t="n"/>
      <c r="G725" s="9" t="n">
        <v>1.107692307692308</v>
      </c>
      <c r="H725" s="9" t="n">
        <v>1.107692307692308</v>
      </c>
      <c r="I725" s="9" t="inlineStr">
        <is>
          <t>Depth (no MLB PA)</t>
        </is>
      </c>
      <c r="J725" s="16" t="inlineStr">
        <is>
          <t>Opening Day</t>
        </is>
      </c>
      <c r="K725" s="11">
        <f>IFERROR(INDEX(Roles!$B$17:$B$20,MATCH(J725,Roles!$A$17:$A$20,0)),1)</f>
        <v/>
      </c>
      <c r="L725" s="17" t="n">
        <v>1</v>
      </c>
      <c r="M725" s="11" t="n">
        <v>1</v>
      </c>
      <c r="N725" s="17" t="n"/>
      <c r="O725" s="17" t="n"/>
      <c r="P725" s="17" t="n"/>
      <c r="Q725" s="17" t="n"/>
      <c r="R725" s="17" t="n"/>
      <c r="S725" s="17" t="n"/>
      <c r="T725" s="17" t="n"/>
      <c r="U725" s="17" t="n"/>
      <c r="V725" s="17" t="n"/>
      <c r="W725" s="17" t="n"/>
      <c r="X725" s="17" t="n"/>
      <c r="Y725" s="17" t="n">
        <v>1</v>
      </c>
      <c r="Z725" s="13">
        <f>SUMPRODUCT(N725:Y725,$N$2:$Y$2)*$K725*$L725*$M725</f>
        <v/>
      </c>
      <c r="AA725" s="14">
        <f>SUM(N725:Y725)</f>
        <v/>
      </c>
      <c r="AB725" s="14">
        <f>IFERROR(IF(UPPER($E725)="L",SUMPRODUCT(N725:Y725,$N$3:$Y$3,$N$2:$Y$2),SUMPRODUCT(N725:Y725,$N$4:$Y$4,$N$2:$Y$2))/(Z725/($K725*$L725*$M725)),"")</f>
        <v/>
      </c>
      <c r="AC725" s="18" t="n"/>
    </row>
    <row r="726">
      <c r="A726" s="9" t="n">
        <v>837510</v>
      </c>
      <c r="B726" s="9" t="inlineStr">
        <is>
          <t>Eric Jeon</t>
        </is>
      </c>
      <c r="C726" s="9" t="inlineStr">
        <is>
          <t>SEA</t>
        </is>
      </c>
      <c r="D726" s="9" t="n">
        <v>25</v>
      </c>
      <c r="E726" s="16" t="inlineStr">
        <is>
          <t>R</t>
        </is>
      </c>
      <c r="F726" s="16" t="n"/>
      <c r="G726" s="9" t="n">
        <v>1.230769230769231</v>
      </c>
      <c r="H726" s="9" t="n">
        <v>1.230769230769231</v>
      </c>
      <c r="I726" s="9" t="inlineStr">
        <is>
          <t>Depth (no MLB PA)</t>
        </is>
      </c>
      <c r="J726" s="16" t="inlineStr">
        <is>
          <t>Opening Day</t>
        </is>
      </c>
      <c r="K726" s="11">
        <f>IFERROR(INDEX(Roles!$B$17:$B$20,MATCH(J726,Roles!$A$17:$A$20,0)),1)</f>
        <v/>
      </c>
      <c r="L726" s="17" t="n">
        <v>1</v>
      </c>
      <c r="M726" s="11" t="n">
        <v>1</v>
      </c>
      <c r="N726" s="17" t="n"/>
      <c r="O726" s="17" t="n"/>
      <c r="P726" s="17" t="n"/>
      <c r="Q726" s="17" t="n"/>
      <c r="R726" s="17" t="n"/>
      <c r="S726" s="17" t="n"/>
      <c r="T726" s="17" t="n"/>
      <c r="U726" s="17" t="n"/>
      <c r="V726" s="17" t="n"/>
      <c r="W726" s="17" t="n"/>
      <c r="X726" s="17" t="n"/>
      <c r="Y726" s="17" t="n">
        <v>1</v>
      </c>
      <c r="Z726" s="13">
        <f>SUMPRODUCT(N726:Y726,$N$2:$Y$2)*$K726*$L726*$M726</f>
        <v/>
      </c>
      <c r="AA726" s="14">
        <f>SUM(N726:Y726)</f>
        <v/>
      </c>
      <c r="AB726" s="14">
        <f>IFERROR(IF(UPPER($E726)="L",SUMPRODUCT(N726:Y726,$N$3:$Y$3,$N$2:$Y$2),SUMPRODUCT(N726:Y726,$N$4:$Y$4,$N$2:$Y$2))/(Z726/($K726*$L726*$M726)),"")</f>
        <v/>
      </c>
      <c r="AC726" s="18" t="n"/>
    </row>
    <row r="727">
      <c r="A727" s="9" t="n">
        <v>806441</v>
      </c>
      <c r="B727" s="9" t="inlineStr">
        <is>
          <t>Nehomar Ochoa Jr.</t>
        </is>
      </c>
      <c r="C727" s="9" t="inlineStr">
        <is>
          <t>HOU</t>
        </is>
      </c>
      <c r="D727" s="9" t="n">
        <v>25</v>
      </c>
      <c r="E727" s="16" t="inlineStr">
        <is>
          <t>R</t>
        </is>
      </c>
      <c r="F727" s="16" t="n"/>
      <c r="G727" s="9" t="n">
        <v>25.43589743589744</v>
      </c>
      <c r="H727" s="9" t="n">
        <v>25.43589743589744</v>
      </c>
      <c r="I727" s="9" t="inlineStr">
        <is>
          <t>Depth (no MLB PA)</t>
        </is>
      </c>
      <c r="J727" s="16" t="inlineStr">
        <is>
          <t>Opening Day</t>
        </is>
      </c>
      <c r="K727" s="11">
        <f>IFERROR(INDEX(Roles!$B$17:$B$20,MATCH(J727,Roles!$A$17:$A$20,0)),1)</f>
        <v/>
      </c>
      <c r="L727" s="17" t="n">
        <v>1</v>
      </c>
      <c r="M727" s="11" t="n">
        <v>1</v>
      </c>
      <c r="N727" s="17" t="n"/>
      <c r="O727" s="17" t="n"/>
      <c r="P727" s="17" t="n"/>
      <c r="Q727" s="17" t="n"/>
      <c r="R727" s="17" t="n"/>
      <c r="S727" s="17" t="n"/>
      <c r="T727" s="17" t="n"/>
      <c r="U727" s="17" t="n"/>
      <c r="V727" s="17" t="n"/>
      <c r="W727" s="17" t="n"/>
      <c r="X727" s="17" t="n"/>
      <c r="Y727" s="17" t="n">
        <v>1</v>
      </c>
      <c r="Z727" s="13">
        <f>SUMPRODUCT(N727:Y727,$N$2:$Y$2)*$K727*$L727*$M727</f>
        <v/>
      </c>
      <c r="AA727" s="14">
        <f>SUM(N727:Y727)</f>
        <v/>
      </c>
      <c r="AB727" s="14">
        <f>IFERROR(IF(UPPER($E727)="L",SUMPRODUCT(N727:Y727,$N$3:$Y$3,$N$2:$Y$2),SUMPRODUCT(N727:Y727,$N$4:$Y$4,$N$2:$Y$2))/(Z727/($K727*$L727*$M727)),"")</f>
        <v/>
      </c>
      <c r="AC727" s="18" t="n"/>
    </row>
    <row r="728">
      <c r="A728" s="9" t="n">
        <v>808143</v>
      </c>
      <c r="B728" s="9" t="inlineStr">
        <is>
          <t>Sebastian De Andrade</t>
        </is>
      </c>
      <c r="C728" s="9" t="inlineStr">
        <is>
          <t>SEA</t>
        </is>
      </c>
      <c r="D728" s="9" t="n">
        <v>25</v>
      </c>
      <c r="E728" s="16" t="inlineStr">
        <is>
          <t>R</t>
        </is>
      </c>
      <c r="F728" s="16" t="n"/>
      <c r="G728" s="9" t="n">
        <v>1.230769230769231</v>
      </c>
      <c r="H728" s="9" t="n">
        <v>1.230769230769231</v>
      </c>
      <c r="I728" s="9" t="inlineStr">
        <is>
          <t>Depth (no MLB PA)</t>
        </is>
      </c>
      <c r="J728" s="16" t="inlineStr">
        <is>
          <t>Opening Day</t>
        </is>
      </c>
      <c r="K728" s="11">
        <f>IFERROR(INDEX(Roles!$B$17:$B$20,MATCH(J728,Roles!$A$17:$A$20,0)),1)</f>
        <v/>
      </c>
      <c r="L728" s="17" t="n">
        <v>1</v>
      </c>
      <c r="M728" s="11" t="n">
        <v>1</v>
      </c>
      <c r="N728" s="17" t="n"/>
      <c r="O728" s="17" t="n"/>
      <c r="P728" s="17" t="n"/>
      <c r="Q728" s="17" t="n"/>
      <c r="R728" s="17" t="n"/>
      <c r="S728" s="17" t="n"/>
      <c r="T728" s="17" t="n"/>
      <c r="U728" s="17" t="n"/>
      <c r="V728" s="17" t="n"/>
      <c r="W728" s="17" t="n"/>
      <c r="X728" s="17" t="n"/>
      <c r="Y728" s="17" t="n">
        <v>1</v>
      </c>
      <c r="Z728" s="13">
        <f>SUMPRODUCT(N728:Y728,$N$2:$Y$2)*$K728*$L728*$M728</f>
        <v/>
      </c>
      <c r="AA728" s="14">
        <f>SUM(N728:Y728)</f>
        <v/>
      </c>
      <c r="AB728" s="14">
        <f>IFERROR(IF(UPPER($E728)="L",SUMPRODUCT(N728:Y728,$N$3:$Y$3,$N$2:$Y$2),SUMPRODUCT(N728:Y728,$N$4:$Y$4,$N$2:$Y$2))/(Z728/($K728*$L728*$M728)),"")</f>
        <v/>
      </c>
      <c r="AC728" s="18" t="n"/>
    </row>
    <row r="729">
      <c r="A729" s="9" t="n">
        <v>813833</v>
      </c>
      <c r="B729" s="9" t="inlineStr">
        <is>
          <t>Cole Conn</t>
        </is>
      </c>
      <c r="C729" s="9" t="inlineStr">
        <is>
          <t>OAK</t>
        </is>
      </c>
      <c r="D729" s="9" t="n">
        <v>25</v>
      </c>
      <c r="E729" s="16" t="inlineStr">
        <is>
          <t>S</t>
        </is>
      </c>
      <c r="F729" s="16" t="n"/>
      <c r="G729" s="9" t="n">
        <v>91.3846153846154</v>
      </c>
      <c r="H729" s="9" t="n">
        <v>91.3846153846154</v>
      </c>
      <c r="I729" s="9" t="inlineStr">
        <is>
          <t>Depth (no MLB PA)</t>
        </is>
      </c>
      <c r="J729" s="16" t="inlineStr">
        <is>
          <t>Opening Day</t>
        </is>
      </c>
      <c r="K729" s="11">
        <f>IFERROR(INDEX(Roles!$B$17:$B$20,MATCH(J729,Roles!$A$17:$A$20,0)),1)</f>
        <v/>
      </c>
      <c r="L729" s="17" t="n">
        <v>1</v>
      </c>
      <c r="M729" s="11" t="n">
        <v>1</v>
      </c>
      <c r="N729" s="17" t="n"/>
      <c r="O729" s="17" t="n"/>
      <c r="P729" s="17" t="n"/>
      <c r="Q729" s="17" t="n"/>
      <c r="R729" s="17" t="n"/>
      <c r="S729" s="17" t="n"/>
      <c r="T729" s="17" t="n"/>
      <c r="U729" s="17" t="n"/>
      <c r="V729" s="17" t="n"/>
      <c r="W729" s="17" t="n"/>
      <c r="X729" s="17" t="n"/>
      <c r="Y729" s="17" t="n">
        <v>1</v>
      </c>
      <c r="Z729" s="13">
        <f>SUMPRODUCT(N729:Y729,$N$2:$Y$2)*$K729*$L729*$M729</f>
        <v/>
      </c>
      <c r="AA729" s="14">
        <f>SUM(N729:Y729)</f>
        <v/>
      </c>
      <c r="AB729" s="14">
        <f>IFERROR(IF(UPPER($E729)="L",SUMPRODUCT(N729:Y729,$N$3:$Y$3,$N$2:$Y$2),SUMPRODUCT(N729:Y729,$N$4:$Y$4,$N$2:$Y$2))/(Z729/($K729*$L729*$M729)),"")</f>
        <v/>
      </c>
      <c r="AC729" s="18" t="n"/>
    </row>
    <row r="730">
      <c r="A730" s="9" t="n">
        <v>698935</v>
      </c>
      <c r="B730" s="9" t="inlineStr">
        <is>
          <t>Yasmil Bucce</t>
        </is>
      </c>
      <c r="C730" s="9" t="inlineStr">
        <is>
          <t>BAL</t>
        </is>
      </c>
      <c r="D730" s="9" t="n">
        <v>25</v>
      </c>
      <c r="E730" s="16" t="inlineStr">
        <is>
          <t>L</t>
        </is>
      </c>
      <c r="F730" s="16" t="n"/>
      <c r="G730" s="9" t="n">
        <v>45.12820512820513</v>
      </c>
      <c r="H730" s="9" t="n">
        <v>45.12820512820513</v>
      </c>
      <c r="I730" s="9" t="inlineStr">
        <is>
          <t>Depth (no MLB PA)</t>
        </is>
      </c>
      <c r="J730" s="16" t="inlineStr">
        <is>
          <t>Opening Day</t>
        </is>
      </c>
      <c r="K730" s="11">
        <f>IFERROR(INDEX(Roles!$B$17:$B$20,MATCH(J730,Roles!$A$17:$A$20,0)),1)</f>
        <v/>
      </c>
      <c r="L730" s="17" t="n">
        <v>1</v>
      </c>
      <c r="M730" s="11" t="n">
        <v>1</v>
      </c>
      <c r="N730" s="17" t="n"/>
      <c r="O730" s="17" t="n"/>
      <c r="P730" s="17" t="n"/>
      <c r="Q730" s="17" t="n"/>
      <c r="R730" s="17" t="n"/>
      <c r="S730" s="17" t="n"/>
      <c r="T730" s="17" t="n"/>
      <c r="U730" s="17" t="n"/>
      <c r="V730" s="17" t="n"/>
      <c r="W730" s="17" t="n"/>
      <c r="X730" s="17" t="n"/>
      <c r="Y730" s="17" t="n">
        <v>1</v>
      </c>
      <c r="Z730" s="13">
        <f>SUMPRODUCT(N730:Y730,$N$2:$Y$2)*$K730*$L730*$M730</f>
        <v/>
      </c>
      <c r="AA730" s="14">
        <f>SUM(N730:Y730)</f>
        <v/>
      </c>
      <c r="AB730" s="14">
        <f>IFERROR(IF(UPPER($E730)="L",SUMPRODUCT(N730:Y730,$N$3:$Y$3,$N$2:$Y$2),SUMPRODUCT(N730:Y730,$N$4:$Y$4,$N$2:$Y$2))/(Z730/($K730*$L730*$M730)),"")</f>
        <v/>
      </c>
      <c r="AC730" s="18" t="n"/>
    </row>
    <row r="731">
      <c r="A731" s="9" t="n">
        <v>467793</v>
      </c>
      <c r="B731" s="9" t="inlineStr">
        <is>
          <t>Carlos Santana</t>
        </is>
      </c>
      <c r="C731" s="9" t="inlineStr">
        <is>
          <t>ARI</t>
        </is>
      </c>
      <c r="D731" s="9" t="n">
        <v>41</v>
      </c>
      <c r="E731" s="16" t="inlineStr">
        <is>
          <t>S</t>
        </is>
      </c>
      <c r="F731" s="16" t="inlineStr">
        <is>
          <t>1B</t>
        </is>
      </c>
      <c r="G731" s="9" t="n">
        <v>26</v>
      </c>
      <c r="H731" s="9" t="n">
        <v>2219</v>
      </c>
      <c r="I731" s="9" t="inlineStr">
        <is>
          <t>Everyday DH / 1B-DH</t>
        </is>
      </c>
      <c r="J731" s="16" t="inlineStr">
        <is>
          <t>Opening Day</t>
        </is>
      </c>
      <c r="K731" s="11">
        <f>IFERROR(INDEX(Roles!$B$17:$B$20,MATCH(J731,Roles!$A$17:$A$20,0)),1)</f>
        <v/>
      </c>
      <c r="L731" s="17" t="n">
        <v>1</v>
      </c>
      <c r="M731" s="11" t="n">
        <v>0.7261159088730742</v>
      </c>
      <c r="N731" s="17" t="n"/>
      <c r="O731" s="17" t="n">
        <v>1</v>
      </c>
      <c r="P731" s="17" t="n"/>
      <c r="Q731" s="17" t="n"/>
      <c r="R731" s="17" t="n"/>
      <c r="S731" s="17" t="n"/>
      <c r="T731" s="17" t="n"/>
      <c r="U731" s="17" t="n"/>
      <c r="V731" s="17" t="n"/>
      <c r="W731" s="17" t="n"/>
      <c r="X731" s="17" t="n"/>
      <c r="Y731" s="17" t="n"/>
      <c r="Z731" s="13">
        <f>SUMPRODUCT(N731:Y731,$N$2:$Y$2)*$K731*$L731*$M731</f>
        <v/>
      </c>
      <c r="AA731" s="14">
        <f>SUM(N731:Y731)</f>
        <v/>
      </c>
      <c r="AB731" s="14">
        <f>IFERROR(IF(UPPER($E731)="L",SUMPRODUCT(N731:Y731,$N$3:$Y$3,$N$2:$Y$2),SUMPRODUCT(N731:Y731,$N$4:$Y$4,$N$2:$Y$2))/(Z731/($K731*$L731*$M731)),"")</f>
        <v/>
      </c>
      <c r="AC731" s="18" t="n"/>
    </row>
    <row r="732">
      <c r="A732" s="9" t="n">
        <v>800438</v>
      </c>
      <c r="B732" s="9" t="inlineStr">
        <is>
          <t>Andrés Nolaya</t>
        </is>
      </c>
      <c r="C732" s="9" t="inlineStr">
        <is>
          <t>BAL</t>
        </is>
      </c>
      <c r="D732" s="9" t="n">
        <v>25</v>
      </c>
      <c r="E732" s="16" t="inlineStr">
        <is>
          <t>R</t>
        </is>
      </c>
      <c r="F732" s="16" t="n"/>
      <c r="G732" s="9" t="n">
        <v>1.435897435897436</v>
      </c>
      <c r="H732" s="9" t="n">
        <v>1.435897435897436</v>
      </c>
      <c r="I732" s="9" t="inlineStr">
        <is>
          <t>Depth (no MLB PA)</t>
        </is>
      </c>
      <c r="J732" s="16" t="inlineStr">
        <is>
          <t>Opening Day</t>
        </is>
      </c>
      <c r="K732" s="11">
        <f>IFERROR(INDEX(Roles!$B$17:$B$20,MATCH(J732,Roles!$A$17:$A$20,0)),1)</f>
        <v/>
      </c>
      <c r="L732" s="17" t="n">
        <v>1</v>
      </c>
      <c r="M732" s="11" t="n">
        <v>1</v>
      </c>
      <c r="N732" s="17" t="n"/>
      <c r="O732" s="17" t="n"/>
      <c r="P732" s="17" t="n"/>
      <c r="Q732" s="17" t="n"/>
      <c r="R732" s="17" t="n"/>
      <c r="S732" s="17" t="n"/>
      <c r="T732" s="17" t="n"/>
      <c r="U732" s="17" t="n"/>
      <c r="V732" s="17" t="n"/>
      <c r="W732" s="17" t="n"/>
      <c r="X732" s="17" t="n"/>
      <c r="Y732" s="17" t="n">
        <v>1</v>
      </c>
      <c r="Z732" s="13">
        <f>SUMPRODUCT(N732:Y732,$N$2:$Y$2)*$K732*$L732*$M732</f>
        <v/>
      </c>
      <c r="AA732" s="14">
        <f>SUM(N732:Y732)</f>
        <v/>
      </c>
      <c r="AB732" s="14">
        <f>IFERROR(IF(UPPER($E732)="L",SUMPRODUCT(N732:Y732,$N$3:$Y$3,$N$2:$Y$2),SUMPRODUCT(N732:Y732,$N$4:$Y$4,$N$2:$Y$2))/(Z732/($K732*$L732*$M732)),"")</f>
        <v/>
      </c>
      <c r="AC732" s="18" t="n"/>
    </row>
    <row r="733">
      <c r="A733" s="9" t="n">
        <v>805801</v>
      </c>
      <c r="B733" s="9" t="inlineStr">
        <is>
          <t>Nazzan Zanetello</t>
        </is>
      </c>
      <c r="C733" s="9" t="inlineStr">
        <is>
          <t>BOS</t>
        </is>
      </c>
      <c r="D733" s="9" t="n">
        <v>25</v>
      </c>
      <c r="E733" s="16" t="inlineStr">
        <is>
          <t>R</t>
        </is>
      </c>
      <c r="F733" s="16" t="n"/>
      <c r="G733" s="9" t="n">
        <v>25.43589743589744</v>
      </c>
      <c r="H733" s="9" t="n">
        <v>25.43589743589744</v>
      </c>
      <c r="I733" s="9" t="inlineStr">
        <is>
          <t>Depth (no MLB PA)</t>
        </is>
      </c>
      <c r="J733" s="16" t="inlineStr">
        <is>
          <t>Opening Day</t>
        </is>
      </c>
      <c r="K733" s="11">
        <f>IFERROR(INDEX(Roles!$B$17:$B$20,MATCH(J733,Roles!$A$17:$A$20,0)),1)</f>
        <v/>
      </c>
      <c r="L733" s="17" t="n">
        <v>1</v>
      </c>
      <c r="M733" s="11" t="n">
        <v>1</v>
      </c>
      <c r="N733" s="17" t="n"/>
      <c r="O733" s="17" t="n"/>
      <c r="P733" s="17" t="n"/>
      <c r="Q733" s="17" t="n"/>
      <c r="R733" s="17" t="n"/>
      <c r="S733" s="17" t="n"/>
      <c r="T733" s="17" t="n"/>
      <c r="U733" s="17" t="n"/>
      <c r="V733" s="17" t="n"/>
      <c r="W733" s="17" t="n"/>
      <c r="X733" s="17" t="n"/>
      <c r="Y733" s="17" t="n">
        <v>1</v>
      </c>
      <c r="Z733" s="13">
        <f>SUMPRODUCT(N733:Y733,$N$2:$Y$2)*$K733*$L733*$M733</f>
        <v/>
      </c>
      <c r="AA733" s="14">
        <f>SUM(N733:Y733)</f>
        <v/>
      </c>
      <c r="AB733" s="14">
        <f>IFERROR(IF(UPPER($E733)="L",SUMPRODUCT(N733:Y733,$N$3:$Y$3,$N$2:$Y$2),SUMPRODUCT(N733:Y733,$N$4:$Y$4,$N$2:$Y$2))/(Z733/($K733*$L733*$M733)),"")</f>
        <v/>
      </c>
      <c r="AC733" s="18" t="n"/>
    </row>
    <row r="734">
      <c r="A734" s="9" t="n">
        <v>808118</v>
      </c>
      <c r="B734" s="9" t="inlineStr">
        <is>
          <t>Félix Amparo</t>
        </is>
      </c>
      <c r="C734" s="9" t="inlineStr">
        <is>
          <t>BAL</t>
        </is>
      </c>
      <c r="D734" s="9" t="n">
        <v>25</v>
      </c>
      <c r="E734" s="16" t="inlineStr">
        <is>
          <t>R</t>
        </is>
      </c>
      <c r="F734" s="16" t="n"/>
      <c r="G734" s="9" t="n">
        <v>1.435897435897436</v>
      </c>
      <c r="H734" s="9" t="n">
        <v>1.435897435897436</v>
      </c>
      <c r="I734" s="9" t="inlineStr">
        <is>
          <t>Depth (no MLB PA)</t>
        </is>
      </c>
      <c r="J734" s="16" t="inlineStr">
        <is>
          <t>Opening Day</t>
        </is>
      </c>
      <c r="K734" s="11">
        <f>IFERROR(INDEX(Roles!$B$17:$B$20,MATCH(J734,Roles!$A$17:$A$20,0)),1)</f>
        <v/>
      </c>
      <c r="L734" s="17" t="n">
        <v>1</v>
      </c>
      <c r="M734" s="11" t="n">
        <v>1</v>
      </c>
      <c r="N734" s="17" t="n"/>
      <c r="O734" s="17" t="n"/>
      <c r="P734" s="17" t="n"/>
      <c r="Q734" s="17" t="n"/>
      <c r="R734" s="17" t="n"/>
      <c r="S734" s="17" t="n"/>
      <c r="T734" s="17" t="n"/>
      <c r="U734" s="17" t="n"/>
      <c r="V734" s="17" t="n"/>
      <c r="W734" s="17" t="n"/>
      <c r="X734" s="17" t="n"/>
      <c r="Y734" s="17" t="n">
        <v>1</v>
      </c>
      <c r="Z734" s="13">
        <f>SUMPRODUCT(N734:Y734,$N$2:$Y$2)*$K734*$L734*$M734</f>
        <v/>
      </c>
      <c r="AA734" s="14">
        <f>SUM(N734:Y734)</f>
        <v/>
      </c>
      <c r="AB734" s="14">
        <f>IFERROR(IF(UPPER($E734)="L",SUMPRODUCT(N734:Y734,$N$3:$Y$3,$N$2:$Y$2),SUMPRODUCT(N734:Y734,$N$4:$Y$4,$N$2:$Y$2))/(Z734/($K734*$L734*$M734)),"")</f>
        <v/>
      </c>
      <c r="AC734" s="18" t="n"/>
    </row>
    <row r="735">
      <c r="A735" s="9" t="n">
        <v>802528</v>
      </c>
      <c r="B735" s="9" t="inlineStr">
        <is>
          <t>Agustin Acosta</t>
        </is>
      </c>
      <c r="C735" s="9" t="inlineStr">
        <is>
          <t>LAD</t>
        </is>
      </c>
      <c r="D735" s="9" t="n">
        <v>25</v>
      </c>
      <c r="E735" s="16" t="inlineStr">
        <is>
          <t>L</t>
        </is>
      </c>
      <c r="F735" s="16" t="n"/>
      <c r="G735" s="9" t="n">
        <v>1.435897435897436</v>
      </c>
      <c r="H735" s="9" t="n">
        <v>1.435897435897436</v>
      </c>
      <c r="I735" s="9" t="inlineStr">
        <is>
          <t>Depth (no MLB PA)</t>
        </is>
      </c>
      <c r="J735" s="16" t="inlineStr">
        <is>
          <t>Opening Day</t>
        </is>
      </c>
      <c r="K735" s="11">
        <f>IFERROR(INDEX(Roles!$B$17:$B$20,MATCH(J735,Roles!$A$17:$A$20,0)),1)</f>
        <v/>
      </c>
      <c r="L735" s="17" t="n">
        <v>1</v>
      </c>
      <c r="M735" s="11" t="n">
        <v>1</v>
      </c>
      <c r="N735" s="17" t="n"/>
      <c r="O735" s="17" t="n"/>
      <c r="P735" s="17" t="n"/>
      <c r="Q735" s="17" t="n"/>
      <c r="R735" s="17" t="n"/>
      <c r="S735" s="17" t="n"/>
      <c r="T735" s="17" t="n"/>
      <c r="U735" s="17" t="n"/>
      <c r="V735" s="17" t="n"/>
      <c r="W735" s="17" t="n"/>
      <c r="X735" s="17" t="n"/>
      <c r="Y735" s="17" t="n">
        <v>1</v>
      </c>
      <c r="Z735" s="13">
        <f>SUMPRODUCT(N735:Y735,$N$2:$Y$2)*$K735*$L735*$M735</f>
        <v/>
      </c>
      <c r="AA735" s="14">
        <f>SUM(N735:Y735)</f>
        <v/>
      </c>
      <c r="AB735" s="14">
        <f>IFERROR(IF(UPPER($E735)="L",SUMPRODUCT(N735:Y735,$N$3:$Y$3,$N$2:$Y$2),SUMPRODUCT(N735:Y735,$N$4:$Y$4,$N$2:$Y$2))/(Z735/($K735*$L735*$M735)),"")</f>
        <v/>
      </c>
      <c r="AC735" s="18" t="n"/>
    </row>
    <row r="736">
      <c r="A736" s="9" t="n">
        <v>691948</v>
      </c>
      <c r="B736" s="9" t="inlineStr">
        <is>
          <t>Jordan Thompson</t>
        </is>
      </c>
      <c r="C736" s="9" t="inlineStr">
        <is>
          <t>LAD</t>
        </is>
      </c>
      <c r="D736" s="9" t="n">
        <v>25</v>
      </c>
      <c r="E736" s="16" t="inlineStr">
        <is>
          <t>R</t>
        </is>
      </c>
      <c r="F736" s="16" t="n"/>
      <c r="G736" s="9" t="n">
        <v>1.435897435897436</v>
      </c>
      <c r="H736" s="9" t="n">
        <v>1.435897435897436</v>
      </c>
      <c r="I736" s="9" t="inlineStr">
        <is>
          <t>Depth (no MLB PA)</t>
        </is>
      </c>
      <c r="J736" s="16" t="inlineStr">
        <is>
          <t>Opening Day</t>
        </is>
      </c>
      <c r="K736" s="11">
        <f>IFERROR(INDEX(Roles!$B$17:$B$20,MATCH(J736,Roles!$A$17:$A$20,0)),1)</f>
        <v/>
      </c>
      <c r="L736" s="17" t="n">
        <v>1</v>
      </c>
      <c r="M736" s="11" t="n">
        <v>1</v>
      </c>
      <c r="N736" s="17" t="n"/>
      <c r="O736" s="17" t="n"/>
      <c r="P736" s="17" t="n"/>
      <c r="Q736" s="17" t="n"/>
      <c r="R736" s="17" t="n"/>
      <c r="S736" s="17" t="n"/>
      <c r="T736" s="17" t="n"/>
      <c r="U736" s="17" t="n"/>
      <c r="V736" s="17" t="n"/>
      <c r="W736" s="17" t="n"/>
      <c r="X736" s="17" t="n"/>
      <c r="Y736" s="17" t="n">
        <v>1</v>
      </c>
      <c r="Z736" s="13">
        <f>SUMPRODUCT(N736:Y736,$N$2:$Y$2)*$K736*$L736*$M736</f>
        <v/>
      </c>
      <c r="AA736" s="14">
        <f>SUM(N736:Y736)</f>
        <v/>
      </c>
      <c r="AB736" s="14">
        <f>IFERROR(IF(UPPER($E736)="L",SUMPRODUCT(N736:Y736,$N$3:$Y$3,$N$2:$Y$2),SUMPRODUCT(N736:Y736,$N$4:$Y$4,$N$2:$Y$2))/(Z736/($K736*$L736*$M736)),"")</f>
        <v/>
      </c>
      <c r="AC736" s="18" t="n"/>
    </row>
    <row r="737">
      <c r="A737" s="9" t="n">
        <v>806065</v>
      </c>
      <c r="B737" s="9" t="inlineStr">
        <is>
          <t>Mason Eckelman</t>
        </is>
      </c>
      <c r="C737" s="9" t="inlineStr">
        <is>
          <t>SEA</t>
        </is>
      </c>
      <c r="D737" s="9" t="n">
        <v>25</v>
      </c>
      <c r="E737" s="16" t="inlineStr">
        <is>
          <t>L</t>
        </is>
      </c>
      <c r="F737" s="16" t="n"/>
      <c r="G737" s="9" t="n">
        <v>3.569230769230769</v>
      </c>
      <c r="H737" s="9" t="n">
        <v>3.569230769230769</v>
      </c>
      <c r="I737" s="9" t="inlineStr">
        <is>
          <t>Depth (no MLB PA)</t>
        </is>
      </c>
      <c r="J737" s="16" t="inlineStr">
        <is>
          <t>Opening Day</t>
        </is>
      </c>
      <c r="K737" s="11">
        <f>IFERROR(INDEX(Roles!$B$17:$B$20,MATCH(J737,Roles!$A$17:$A$20,0)),1)</f>
        <v/>
      </c>
      <c r="L737" s="17" t="n">
        <v>1</v>
      </c>
      <c r="M737" s="11" t="n">
        <v>1</v>
      </c>
      <c r="N737" s="17" t="n"/>
      <c r="O737" s="17" t="n"/>
      <c r="P737" s="17" t="n"/>
      <c r="Q737" s="17" t="n"/>
      <c r="R737" s="17" t="n"/>
      <c r="S737" s="17" t="n"/>
      <c r="T737" s="17" t="n"/>
      <c r="U737" s="17" t="n"/>
      <c r="V737" s="17" t="n"/>
      <c r="W737" s="17" t="n"/>
      <c r="X737" s="17" t="n"/>
      <c r="Y737" s="17" t="n">
        <v>1</v>
      </c>
      <c r="Z737" s="13">
        <f>SUMPRODUCT(N737:Y737,$N$2:$Y$2)*$K737*$L737*$M737</f>
        <v/>
      </c>
      <c r="AA737" s="14">
        <f>SUM(N737:Y737)</f>
        <v/>
      </c>
      <c r="AB737" s="14">
        <f>IFERROR(IF(UPPER($E737)="L",SUMPRODUCT(N737:Y737,$N$3:$Y$3,$N$2:$Y$2),SUMPRODUCT(N737:Y737,$N$4:$Y$4,$N$2:$Y$2))/(Z737/($K737*$L737*$M737)),"")</f>
        <v/>
      </c>
      <c r="AC737" s="18" t="n"/>
    </row>
    <row r="738">
      <c r="A738" s="9" t="n">
        <v>811314</v>
      </c>
      <c r="B738" s="9" t="inlineStr">
        <is>
          <t>Bryan Gonzalez Garcia</t>
        </is>
      </c>
      <c r="C738" s="9" t="inlineStr">
        <is>
          <t>LAD</t>
        </is>
      </c>
      <c r="D738" s="9" t="n">
        <v>25</v>
      </c>
      <c r="E738" s="16" t="inlineStr">
        <is>
          <t>R</t>
        </is>
      </c>
      <c r="F738" s="16" t="n"/>
      <c r="G738" s="9" t="n">
        <v>1.435897435897436</v>
      </c>
      <c r="H738" s="9" t="n">
        <v>1.435897435897436</v>
      </c>
      <c r="I738" s="9" t="inlineStr">
        <is>
          <t>Depth (no MLB PA)</t>
        </is>
      </c>
      <c r="J738" s="16" t="inlineStr">
        <is>
          <t>Opening Day</t>
        </is>
      </c>
      <c r="K738" s="11">
        <f>IFERROR(INDEX(Roles!$B$17:$B$20,MATCH(J738,Roles!$A$17:$A$20,0)),1)</f>
        <v/>
      </c>
      <c r="L738" s="17" t="n">
        <v>1</v>
      </c>
      <c r="M738" s="11" t="n">
        <v>1</v>
      </c>
      <c r="N738" s="17" t="n"/>
      <c r="O738" s="17" t="n"/>
      <c r="P738" s="17" t="n"/>
      <c r="Q738" s="17" t="n"/>
      <c r="R738" s="17" t="n"/>
      <c r="S738" s="17" t="n"/>
      <c r="T738" s="17" t="n"/>
      <c r="U738" s="17" t="n"/>
      <c r="V738" s="17" t="n"/>
      <c r="W738" s="17" t="n"/>
      <c r="X738" s="17" t="n"/>
      <c r="Y738" s="17" t="n">
        <v>1</v>
      </c>
      <c r="Z738" s="13">
        <f>SUMPRODUCT(N738:Y738,$N$2:$Y$2)*$K738*$L738*$M738</f>
        <v/>
      </c>
      <c r="AA738" s="14">
        <f>SUM(N738:Y738)</f>
        <v/>
      </c>
      <c r="AB738" s="14">
        <f>IFERROR(IF(UPPER($E738)="L",SUMPRODUCT(N738:Y738,$N$3:$Y$3,$N$2:$Y$2),SUMPRODUCT(N738:Y738,$N$4:$Y$4,$N$2:$Y$2))/(Z738/($K738*$L738*$M738)),"")</f>
        <v/>
      </c>
      <c r="AC738" s="18" t="n"/>
    </row>
    <row r="739">
      <c r="A739" s="9" t="n">
        <v>806873</v>
      </c>
      <c r="B739" s="9" t="inlineStr">
        <is>
          <t>Yael Romero</t>
        </is>
      </c>
      <c r="C739" s="9" t="inlineStr">
        <is>
          <t>CIN</t>
        </is>
      </c>
      <c r="D739" s="9" t="n">
        <v>25</v>
      </c>
      <c r="E739" s="16" t="inlineStr">
        <is>
          <t>L</t>
        </is>
      </c>
      <c r="F739" s="16" t="n"/>
      <c r="G739" s="9" t="n">
        <v>1.476923076923077</v>
      </c>
      <c r="H739" s="9" t="n">
        <v>1.476923076923077</v>
      </c>
      <c r="I739" s="9" t="inlineStr">
        <is>
          <t>Depth (no MLB PA)</t>
        </is>
      </c>
      <c r="J739" s="16" t="inlineStr">
        <is>
          <t>Opening Day</t>
        </is>
      </c>
      <c r="K739" s="11">
        <f>IFERROR(INDEX(Roles!$B$17:$B$20,MATCH(J739,Roles!$A$17:$A$20,0)),1)</f>
        <v/>
      </c>
      <c r="L739" s="17" t="n">
        <v>1</v>
      </c>
      <c r="M739" s="11" t="n">
        <v>1</v>
      </c>
      <c r="N739" s="17" t="n"/>
      <c r="O739" s="17" t="n"/>
      <c r="P739" s="17" t="n"/>
      <c r="Q739" s="17" t="n"/>
      <c r="R739" s="17" t="n"/>
      <c r="S739" s="17" t="n"/>
      <c r="T739" s="17" t="n"/>
      <c r="U739" s="17" t="n"/>
      <c r="V739" s="17" t="n"/>
      <c r="W739" s="17" t="n"/>
      <c r="X739" s="17" t="n"/>
      <c r="Y739" s="17" t="n">
        <v>1</v>
      </c>
      <c r="Z739" s="13">
        <f>SUMPRODUCT(N739:Y739,$N$2:$Y$2)*$K739*$L739*$M739</f>
        <v/>
      </c>
      <c r="AA739" s="14">
        <f>SUM(N739:Y739)</f>
        <v/>
      </c>
      <c r="AB739" s="14">
        <f>IFERROR(IF(UPPER($E739)="L",SUMPRODUCT(N739:Y739,$N$3:$Y$3,$N$2:$Y$2),SUMPRODUCT(N739:Y739,$N$4:$Y$4,$N$2:$Y$2))/(Z739/($K739*$L739*$M739)),"")</f>
        <v/>
      </c>
      <c r="AC739" s="18" t="n"/>
    </row>
    <row r="740">
      <c r="A740" s="9" t="n">
        <v>685076</v>
      </c>
      <c r="B740" s="9" t="inlineStr">
        <is>
          <t>Jack Blomgren</t>
        </is>
      </c>
      <c r="C740" s="9" t="inlineStr">
        <is>
          <t>TEX</t>
        </is>
      </c>
      <c r="D740" s="9" t="n">
        <v>25</v>
      </c>
      <c r="E740" s="16" t="inlineStr">
        <is>
          <t>R</t>
        </is>
      </c>
      <c r="F740" s="16" t="n"/>
      <c r="G740" s="9" t="n">
        <v>1.435897435897436</v>
      </c>
      <c r="H740" s="9" t="n">
        <v>1.435897435897436</v>
      </c>
      <c r="I740" s="9" t="inlineStr">
        <is>
          <t>Depth (no MLB PA)</t>
        </is>
      </c>
      <c r="J740" s="16" t="inlineStr">
        <is>
          <t>Opening Day</t>
        </is>
      </c>
      <c r="K740" s="11">
        <f>IFERROR(INDEX(Roles!$B$17:$B$20,MATCH(J740,Roles!$A$17:$A$20,0)),1)</f>
        <v/>
      </c>
      <c r="L740" s="17" t="n">
        <v>1</v>
      </c>
      <c r="M740" s="11" t="n">
        <v>1</v>
      </c>
      <c r="N740" s="17" t="n"/>
      <c r="O740" s="17" t="n"/>
      <c r="P740" s="17" t="n"/>
      <c r="Q740" s="17" t="n"/>
      <c r="R740" s="17" t="n"/>
      <c r="S740" s="17" t="n"/>
      <c r="T740" s="17" t="n"/>
      <c r="U740" s="17" t="n"/>
      <c r="V740" s="17" t="n"/>
      <c r="W740" s="17" t="n"/>
      <c r="X740" s="17" t="n"/>
      <c r="Y740" s="17" t="n">
        <v>1</v>
      </c>
      <c r="Z740" s="13">
        <f>SUMPRODUCT(N740:Y740,$N$2:$Y$2)*$K740*$L740*$M740</f>
        <v/>
      </c>
      <c r="AA740" s="14">
        <f>SUM(N740:Y740)</f>
        <v/>
      </c>
      <c r="AB740" s="14">
        <f>IFERROR(IF(UPPER($E740)="L",SUMPRODUCT(N740:Y740,$N$3:$Y$3,$N$2:$Y$2),SUMPRODUCT(N740:Y740,$N$4:$Y$4,$N$2:$Y$2))/(Z740/($K740*$L740*$M740)),"")</f>
        <v/>
      </c>
      <c r="AC740" s="18" t="n"/>
    </row>
    <row r="741">
      <c r="A741" s="9" t="n">
        <v>800179</v>
      </c>
      <c r="B741" s="9" t="inlineStr">
        <is>
          <t>Nolan Beltran</t>
        </is>
      </c>
      <c r="C741" s="9" t="inlineStr">
        <is>
          <t>PHI</t>
        </is>
      </c>
      <c r="D741" s="9" t="n">
        <v>25</v>
      </c>
      <c r="E741" s="16" t="inlineStr">
        <is>
          <t>L</t>
        </is>
      </c>
      <c r="F741" s="16" t="n"/>
      <c r="G741" s="9" t="n">
        <v>1.435897435897436</v>
      </c>
      <c r="H741" s="9" t="n">
        <v>1.435897435897436</v>
      </c>
      <c r="I741" s="9" t="inlineStr">
        <is>
          <t>Depth (no MLB PA)</t>
        </is>
      </c>
      <c r="J741" s="16" t="inlineStr">
        <is>
          <t>Opening Day</t>
        </is>
      </c>
      <c r="K741" s="11">
        <f>IFERROR(INDEX(Roles!$B$17:$B$20,MATCH(J741,Roles!$A$17:$A$20,0)),1)</f>
        <v/>
      </c>
      <c r="L741" s="17" t="n">
        <v>1</v>
      </c>
      <c r="M741" s="11" t="n">
        <v>1</v>
      </c>
      <c r="N741" s="17" t="n"/>
      <c r="O741" s="17" t="n"/>
      <c r="P741" s="17" t="n"/>
      <c r="Q741" s="17" t="n"/>
      <c r="R741" s="17" t="n"/>
      <c r="S741" s="17" t="n"/>
      <c r="T741" s="17" t="n"/>
      <c r="U741" s="17" t="n"/>
      <c r="V741" s="17" t="n"/>
      <c r="W741" s="17" t="n"/>
      <c r="X741" s="17" t="n"/>
      <c r="Y741" s="17" t="n">
        <v>1</v>
      </c>
      <c r="Z741" s="13">
        <f>SUMPRODUCT(N741:Y741,$N$2:$Y$2)*$K741*$L741*$M741</f>
        <v/>
      </c>
      <c r="AA741" s="14">
        <f>SUM(N741:Y741)</f>
        <v/>
      </c>
      <c r="AB741" s="14">
        <f>IFERROR(IF(UPPER($E741)="L",SUMPRODUCT(N741:Y741,$N$3:$Y$3,$N$2:$Y$2),SUMPRODUCT(N741:Y741,$N$4:$Y$4,$N$2:$Y$2))/(Z741/($K741*$L741*$M741)),"")</f>
        <v/>
      </c>
      <c r="AC741" s="18" t="n"/>
    </row>
    <row r="742">
      <c r="A742" s="9" t="n">
        <v>800348</v>
      </c>
      <c r="B742" s="9" t="inlineStr">
        <is>
          <t>Edwin Amparo</t>
        </is>
      </c>
      <c r="C742" s="9" t="inlineStr">
        <is>
          <t>BAL</t>
        </is>
      </c>
      <c r="D742" s="9" t="n">
        <v>25</v>
      </c>
      <c r="E742" s="16" t="inlineStr">
        <is>
          <t>S</t>
        </is>
      </c>
      <c r="F742" s="16" t="n"/>
      <c r="G742" s="9" t="n">
        <v>1.435897435897436</v>
      </c>
      <c r="H742" s="9" t="n">
        <v>1.435897435897436</v>
      </c>
      <c r="I742" s="9" t="inlineStr">
        <is>
          <t>Depth (no MLB PA)</t>
        </is>
      </c>
      <c r="J742" s="16" t="inlineStr">
        <is>
          <t>Opening Day</t>
        </is>
      </c>
      <c r="K742" s="11">
        <f>IFERROR(INDEX(Roles!$B$17:$B$20,MATCH(J742,Roles!$A$17:$A$20,0)),1)</f>
        <v/>
      </c>
      <c r="L742" s="17" t="n">
        <v>1</v>
      </c>
      <c r="M742" s="11" t="n">
        <v>1</v>
      </c>
      <c r="N742" s="17" t="n"/>
      <c r="O742" s="17" t="n"/>
      <c r="P742" s="17" t="n"/>
      <c r="Q742" s="17" t="n"/>
      <c r="R742" s="17" t="n"/>
      <c r="S742" s="17" t="n"/>
      <c r="T742" s="17" t="n"/>
      <c r="U742" s="17" t="n"/>
      <c r="V742" s="17" t="n"/>
      <c r="W742" s="17" t="n"/>
      <c r="X742" s="17" t="n"/>
      <c r="Y742" s="17" t="n">
        <v>1</v>
      </c>
      <c r="Z742" s="13">
        <f>SUMPRODUCT(N742:Y742,$N$2:$Y$2)*$K742*$L742*$M742</f>
        <v/>
      </c>
      <c r="AA742" s="14">
        <f>SUM(N742:Y742)</f>
        <v/>
      </c>
      <c r="AB742" s="14">
        <f>IFERROR(IF(UPPER($E742)="L",SUMPRODUCT(N742:Y742,$N$3:$Y$3,$N$2:$Y$2),SUMPRODUCT(N742:Y742,$N$4:$Y$4,$N$2:$Y$2))/(Z742/($K742*$L742*$M742)),"")</f>
        <v/>
      </c>
      <c r="AC742" s="18" t="n"/>
    </row>
    <row r="743">
      <c r="A743" s="9" t="n">
        <v>829077</v>
      </c>
      <c r="B743" s="9" t="inlineStr">
        <is>
          <t>Kenly Hunter</t>
        </is>
      </c>
      <c r="C743" s="9" t="inlineStr">
        <is>
          <t>STL</t>
        </is>
      </c>
      <c r="D743" s="9" t="n">
        <v>25</v>
      </c>
      <c r="E743" s="16" t="inlineStr">
        <is>
          <t>R</t>
        </is>
      </c>
      <c r="F743" s="16" t="n"/>
      <c r="G743" s="9" t="n">
        <v>1.6</v>
      </c>
      <c r="H743" s="9" t="n">
        <v>1.6</v>
      </c>
      <c r="I743" s="9" t="inlineStr">
        <is>
          <t>Depth (no MLB PA)</t>
        </is>
      </c>
      <c r="J743" s="16" t="inlineStr">
        <is>
          <t>Opening Day</t>
        </is>
      </c>
      <c r="K743" s="11">
        <f>IFERROR(INDEX(Roles!$B$17:$B$20,MATCH(J743,Roles!$A$17:$A$20,0)),1)</f>
        <v/>
      </c>
      <c r="L743" s="17" t="n">
        <v>1</v>
      </c>
      <c r="M743" s="11" t="n">
        <v>1</v>
      </c>
      <c r="N743" s="17" t="n"/>
      <c r="O743" s="17" t="n"/>
      <c r="P743" s="17" t="n"/>
      <c r="Q743" s="17" t="n"/>
      <c r="R743" s="17" t="n"/>
      <c r="S743" s="17" t="n"/>
      <c r="T743" s="17" t="n"/>
      <c r="U743" s="17" t="n"/>
      <c r="V743" s="17" t="n"/>
      <c r="W743" s="17" t="n"/>
      <c r="X743" s="17" t="n"/>
      <c r="Y743" s="17" t="n">
        <v>1</v>
      </c>
      <c r="Z743" s="13">
        <f>SUMPRODUCT(N743:Y743,$N$2:$Y$2)*$K743*$L743*$M743</f>
        <v/>
      </c>
      <c r="AA743" s="14">
        <f>SUM(N743:Y743)</f>
        <v/>
      </c>
      <c r="AB743" s="14">
        <f>IFERROR(IF(UPPER($E743)="L",SUMPRODUCT(N743:Y743,$N$3:$Y$3,$N$2:$Y$2),SUMPRODUCT(N743:Y743,$N$4:$Y$4,$N$2:$Y$2))/(Z743/($K743*$L743*$M743)),"")</f>
        <v/>
      </c>
      <c r="AC743" s="18" t="n"/>
    </row>
    <row r="744">
      <c r="A744" s="9" t="n">
        <v>660758</v>
      </c>
      <c r="B744" s="9" t="inlineStr">
        <is>
          <t>Sandro Fabian</t>
        </is>
      </c>
      <c r="C744" s="9" t="inlineStr">
        <is>
          <t>TEX</t>
        </is>
      </c>
      <c r="D744" s="9" t="n">
        <v>29</v>
      </c>
      <c r="E744" s="16" t="inlineStr">
        <is>
          <t>R</t>
        </is>
      </c>
      <c r="F744" s="16" t="inlineStr">
        <is>
          <t>LF</t>
        </is>
      </c>
      <c r="G744" s="9" t="n">
        <v>5</v>
      </c>
      <c r="H744" s="9" t="n">
        <v>5</v>
      </c>
      <c r="I744" s="9" t="inlineStr">
        <is>
          <t>Depth (no MLB PA)</t>
        </is>
      </c>
      <c r="J744" s="16" t="inlineStr">
        <is>
          <t>Opening Day</t>
        </is>
      </c>
      <c r="K744" s="11">
        <f>IFERROR(INDEX(Roles!$B$17:$B$20,MATCH(J744,Roles!$A$17:$A$20,0)),1)</f>
        <v/>
      </c>
      <c r="L744" s="17" t="n">
        <v>1</v>
      </c>
      <c r="M744" s="11" t="n">
        <v>1</v>
      </c>
      <c r="N744" s="17" t="n"/>
      <c r="O744" s="17" t="n"/>
      <c r="P744" s="17" t="n"/>
      <c r="Q744" s="17" t="n"/>
      <c r="R744" s="17" t="n"/>
      <c r="S744" s="17" t="n"/>
      <c r="T744" s="17" t="n"/>
      <c r="U744" s="17" t="n"/>
      <c r="V744" s="17" t="n"/>
      <c r="W744" s="17" t="n"/>
      <c r="X744" s="17" t="n"/>
      <c r="Y744" s="17" t="n">
        <v>1</v>
      </c>
      <c r="Z744" s="13">
        <f>SUMPRODUCT(N744:Y744,$N$2:$Y$2)*$K744*$L744*$M744</f>
        <v/>
      </c>
      <c r="AA744" s="14">
        <f>SUM(N744:Y744)</f>
        <v/>
      </c>
      <c r="AB744" s="14">
        <f>IFERROR(IF(UPPER($E744)="L",SUMPRODUCT(N744:Y744,$N$3:$Y$3,$N$2:$Y$2),SUMPRODUCT(N744:Y744,$N$4:$Y$4,$N$2:$Y$2))/(Z744/($K744*$L744*$M744)),"")</f>
        <v/>
      </c>
      <c r="AC744" s="18" t="n"/>
    </row>
    <row r="745">
      <c r="A745" s="9" t="n">
        <v>834582</v>
      </c>
      <c r="B745" s="9" t="inlineStr">
        <is>
          <t>Jack Collins</t>
        </is>
      </c>
      <c r="C745" s="9" t="inlineStr">
        <is>
          <t>TEX</t>
        </is>
      </c>
      <c r="D745" s="9" t="n">
        <v>25</v>
      </c>
      <c r="E745" s="16" t="inlineStr">
        <is>
          <t>R</t>
        </is>
      </c>
      <c r="F745" s="16" t="n"/>
      <c r="G745" s="9" t="n">
        <v>1.6</v>
      </c>
      <c r="H745" s="9" t="n">
        <v>1.6</v>
      </c>
      <c r="I745" s="9" t="inlineStr">
        <is>
          <t>Depth (no MLB PA)</t>
        </is>
      </c>
      <c r="J745" s="16" t="inlineStr">
        <is>
          <t>Opening Day</t>
        </is>
      </c>
      <c r="K745" s="11">
        <f>IFERROR(INDEX(Roles!$B$17:$B$20,MATCH(J745,Roles!$A$17:$A$20,0)),1)</f>
        <v/>
      </c>
      <c r="L745" s="17" t="n">
        <v>1</v>
      </c>
      <c r="M745" s="11" t="n">
        <v>1</v>
      </c>
      <c r="N745" s="17" t="n"/>
      <c r="O745" s="17" t="n"/>
      <c r="P745" s="17" t="n"/>
      <c r="Q745" s="17" t="n"/>
      <c r="R745" s="17" t="n"/>
      <c r="S745" s="17" t="n"/>
      <c r="T745" s="17" t="n"/>
      <c r="U745" s="17" t="n"/>
      <c r="V745" s="17" t="n"/>
      <c r="W745" s="17" t="n"/>
      <c r="X745" s="17" t="n"/>
      <c r="Y745" s="17" t="n">
        <v>1</v>
      </c>
      <c r="Z745" s="13">
        <f>SUMPRODUCT(N745:Y745,$N$2:$Y$2)*$K745*$L745*$M745</f>
        <v/>
      </c>
      <c r="AA745" s="14">
        <f>SUM(N745:Y745)</f>
        <v/>
      </c>
      <c r="AB745" s="14">
        <f>IFERROR(IF(UPPER($E745)="L",SUMPRODUCT(N745:Y745,$N$3:$Y$3,$N$2:$Y$2),SUMPRODUCT(N745:Y745,$N$4:$Y$4,$N$2:$Y$2))/(Z745/($K745*$L745*$M745)),"")</f>
        <v/>
      </c>
      <c r="AC745" s="18" t="n"/>
    </row>
    <row r="746">
      <c r="A746" s="9" t="n">
        <v>698973</v>
      </c>
      <c r="B746" s="9" t="inlineStr">
        <is>
          <t>Jose Astudillo</t>
        </is>
      </c>
      <c r="C746" s="9" t="inlineStr">
        <is>
          <t>SF</t>
        </is>
      </c>
      <c r="D746" s="9" t="n">
        <v>25</v>
      </c>
      <c r="E746" s="16" t="inlineStr">
        <is>
          <t>R</t>
        </is>
      </c>
      <c r="F746" s="16" t="n"/>
      <c r="G746" s="9" t="n">
        <v>1.692307692307692</v>
      </c>
      <c r="H746" s="9" t="n">
        <v>1.692307692307692</v>
      </c>
      <c r="I746" s="9" t="inlineStr">
        <is>
          <t>Depth (no MLB PA)</t>
        </is>
      </c>
      <c r="J746" s="16" t="inlineStr">
        <is>
          <t>Opening Day</t>
        </is>
      </c>
      <c r="K746" s="11">
        <f>IFERROR(INDEX(Roles!$B$17:$B$20,MATCH(J746,Roles!$A$17:$A$20,0)),1)</f>
        <v/>
      </c>
      <c r="L746" s="17" t="n">
        <v>1</v>
      </c>
      <c r="M746" s="11" t="n">
        <v>1</v>
      </c>
      <c r="N746" s="17" t="n"/>
      <c r="O746" s="17" t="n"/>
      <c r="P746" s="17" t="n"/>
      <c r="Q746" s="17" t="n"/>
      <c r="R746" s="17" t="n"/>
      <c r="S746" s="17" t="n"/>
      <c r="T746" s="17" t="n"/>
      <c r="U746" s="17" t="n"/>
      <c r="V746" s="17" t="n"/>
      <c r="W746" s="17" t="n"/>
      <c r="X746" s="17" t="n"/>
      <c r="Y746" s="17" t="n">
        <v>1</v>
      </c>
      <c r="Z746" s="13">
        <f>SUMPRODUCT(N746:Y746,$N$2:$Y$2)*$K746*$L746*$M746</f>
        <v/>
      </c>
      <c r="AA746" s="14">
        <f>SUM(N746:Y746)</f>
        <v/>
      </c>
      <c r="AB746" s="14">
        <f>IFERROR(IF(UPPER($E746)="L",SUMPRODUCT(N746:Y746,$N$3:$Y$3,$N$2:$Y$2),SUMPRODUCT(N746:Y746,$N$4:$Y$4,$N$2:$Y$2))/(Z746/($K746*$L746*$M746)),"")</f>
        <v/>
      </c>
      <c r="AC746" s="18" t="n"/>
    </row>
    <row r="747">
      <c r="A747" s="9" t="n">
        <v>809452</v>
      </c>
      <c r="B747" s="9" t="inlineStr">
        <is>
          <t>Damian Ruiz</t>
        </is>
      </c>
      <c r="C747" s="9" t="inlineStr">
        <is>
          <t>CIN</t>
        </is>
      </c>
      <c r="D747" s="9" t="n">
        <v>25</v>
      </c>
      <c r="E747" s="16" t="inlineStr">
        <is>
          <t>R</t>
        </is>
      </c>
      <c r="F747" s="16" t="n"/>
      <c r="G747" s="9" t="n">
        <v>9.846153846153848</v>
      </c>
      <c r="H747" s="9" t="n">
        <v>9.846153846153848</v>
      </c>
      <c r="I747" s="9" t="inlineStr">
        <is>
          <t>Depth (no MLB PA)</t>
        </is>
      </c>
      <c r="J747" s="16" t="inlineStr">
        <is>
          <t>Opening Day</t>
        </is>
      </c>
      <c r="K747" s="11">
        <f>IFERROR(INDEX(Roles!$B$17:$B$20,MATCH(J747,Roles!$A$17:$A$20,0)),1)</f>
        <v/>
      </c>
      <c r="L747" s="17" t="n">
        <v>1</v>
      </c>
      <c r="M747" s="11" t="n">
        <v>1</v>
      </c>
      <c r="N747" s="17" t="n"/>
      <c r="O747" s="17" t="n"/>
      <c r="P747" s="17" t="n"/>
      <c r="Q747" s="17" t="n"/>
      <c r="R747" s="17" t="n"/>
      <c r="S747" s="17" t="n"/>
      <c r="T747" s="17" t="n"/>
      <c r="U747" s="17" t="n"/>
      <c r="V747" s="17" t="n"/>
      <c r="W747" s="17" t="n"/>
      <c r="X747" s="17" t="n"/>
      <c r="Y747" s="17" t="n">
        <v>1</v>
      </c>
      <c r="Z747" s="13">
        <f>SUMPRODUCT(N747:Y747,$N$2:$Y$2)*$K747*$L747*$M747</f>
        <v/>
      </c>
      <c r="AA747" s="14">
        <f>SUM(N747:Y747)</f>
        <v/>
      </c>
      <c r="AB747" s="14">
        <f>IFERROR(IF(UPPER($E747)="L",SUMPRODUCT(N747:Y747,$N$3:$Y$3,$N$2:$Y$2),SUMPRODUCT(N747:Y747,$N$4:$Y$4,$N$2:$Y$2))/(Z747/($K747*$L747*$M747)),"")</f>
        <v/>
      </c>
      <c r="AC747" s="18" t="n"/>
    </row>
    <row r="748">
      <c r="A748" s="9" t="n">
        <v>828255</v>
      </c>
      <c r="B748" s="9" t="inlineStr">
        <is>
          <t>Ethan Conrad</t>
        </is>
      </c>
      <c r="C748" s="9" t="inlineStr">
        <is>
          <t>CHC</t>
        </is>
      </c>
      <c r="D748" s="9" t="n">
        <v>23</v>
      </c>
      <c r="E748" s="16" t="inlineStr">
        <is>
          <t>L</t>
        </is>
      </c>
      <c r="F748" s="16" t="n"/>
      <c r="G748" s="9" t="n">
        <v>1.641025641025641</v>
      </c>
      <c r="H748" s="9" t="n">
        <v>1.641025641025641</v>
      </c>
      <c r="I748" s="9" t="inlineStr">
        <is>
          <t>Depth (no MLB PA)</t>
        </is>
      </c>
      <c r="J748" s="16" t="inlineStr">
        <is>
          <t>Opening Day</t>
        </is>
      </c>
      <c r="K748" s="11">
        <f>IFERROR(INDEX(Roles!$B$17:$B$20,MATCH(J748,Roles!$A$17:$A$20,0)),1)</f>
        <v/>
      </c>
      <c r="L748" s="17" t="n">
        <v>1</v>
      </c>
      <c r="M748" s="11" t="n">
        <v>1</v>
      </c>
      <c r="N748" s="17" t="n"/>
      <c r="O748" s="17" t="n"/>
      <c r="P748" s="17" t="n"/>
      <c r="Q748" s="17" t="n"/>
      <c r="R748" s="17" t="n"/>
      <c r="S748" s="17" t="n"/>
      <c r="T748" s="17" t="n"/>
      <c r="U748" s="17" t="n"/>
      <c r="V748" s="17" t="n"/>
      <c r="W748" s="17" t="n"/>
      <c r="X748" s="17" t="n"/>
      <c r="Y748" s="17" t="n">
        <v>1</v>
      </c>
      <c r="Z748" s="13">
        <f>SUMPRODUCT(N748:Y748,$N$2:$Y$2)*$K748*$L748*$M748</f>
        <v/>
      </c>
      <c r="AA748" s="14">
        <f>SUM(N748:Y748)</f>
        <v/>
      </c>
      <c r="AB748" s="14">
        <f>IFERROR(IF(UPPER($E748)="L",SUMPRODUCT(N748:Y748,$N$3:$Y$3,$N$2:$Y$2),SUMPRODUCT(N748:Y748,$N$4:$Y$4,$N$2:$Y$2))/(Z748/($K748*$L748*$M748)),"")</f>
        <v/>
      </c>
      <c r="AC748" s="18" t="n"/>
    </row>
    <row r="749">
      <c r="A749" s="9" t="n">
        <v>676560</v>
      </c>
      <c r="B749" s="9" t="inlineStr">
        <is>
          <t>Hemmanuel Rosario</t>
        </is>
      </c>
      <c r="C749" s="9" t="inlineStr">
        <is>
          <t>HOU</t>
        </is>
      </c>
      <c r="D749" s="9" t="n">
        <v>25</v>
      </c>
      <c r="E749" s="16" t="inlineStr">
        <is>
          <t>R</t>
        </is>
      </c>
      <c r="F749" s="16" t="n"/>
      <c r="G749" s="9" t="n">
        <v>1.692307692307692</v>
      </c>
      <c r="H749" s="9" t="n">
        <v>1.692307692307692</v>
      </c>
      <c r="I749" s="9" t="inlineStr">
        <is>
          <t>Depth (no MLB PA)</t>
        </is>
      </c>
      <c r="J749" s="16" t="inlineStr">
        <is>
          <t>Opening Day</t>
        </is>
      </c>
      <c r="K749" s="11">
        <f>IFERROR(INDEX(Roles!$B$17:$B$20,MATCH(J749,Roles!$A$17:$A$20,0)),1)</f>
        <v/>
      </c>
      <c r="L749" s="17" t="n">
        <v>1</v>
      </c>
      <c r="M749" s="11" t="n">
        <v>1</v>
      </c>
      <c r="N749" s="17" t="n"/>
      <c r="O749" s="17" t="n"/>
      <c r="P749" s="17" t="n"/>
      <c r="Q749" s="17" t="n"/>
      <c r="R749" s="17" t="n"/>
      <c r="S749" s="17" t="n"/>
      <c r="T749" s="17" t="n"/>
      <c r="U749" s="17" t="n"/>
      <c r="V749" s="17" t="n"/>
      <c r="W749" s="17" t="n"/>
      <c r="X749" s="17" t="n"/>
      <c r="Y749" s="17" t="n">
        <v>1</v>
      </c>
      <c r="Z749" s="13">
        <f>SUMPRODUCT(N749:Y749,$N$2:$Y$2)*$K749*$L749*$M749</f>
        <v/>
      </c>
      <c r="AA749" s="14">
        <f>SUM(N749:Y749)</f>
        <v/>
      </c>
      <c r="AB749" s="14">
        <f>IFERROR(IF(UPPER($E749)="L",SUMPRODUCT(N749:Y749,$N$3:$Y$3,$N$2:$Y$2),SUMPRODUCT(N749:Y749,$N$4:$Y$4,$N$2:$Y$2))/(Z749/($K749*$L749*$M749)),"")</f>
        <v/>
      </c>
      <c r="AC749" s="18" t="n"/>
    </row>
    <row r="750">
      <c r="A750" s="9" t="n">
        <v>806498</v>
      </c>
      <c r="B750" s="9" t="inlineStr">
        <is>
          <t>Cam Kozeal</t>
        </is>
      </c>
      <c r="C750" s="9" t="inlineStr">
        <is>
          <t>MIA</t>
        </is>
      </c>
      <c r="D750" s="9" t="n">
        <v>25</v>
      </c>
      <c r="E750" s="16" t="inlineStr">
        <is>
          <t>L</t>
        </is>
      </c>
      <c r="F750" s="16" t="n"/>
      <c r="G750" s="9" t="n">
        <v>5.907692307692308</v>
      </c>
      <c r="H750" s="9" t="n">
        <v>5.907692307692308</v>
      </c>
      <c r="I750" s="9" t="inlineStr">
        <is>
          <t>Depth (no MLB PA)</t>
        </is>
      </c>
      <c r="J750" s="16" t="inlineStr">
        <is>
          <t>Opening Day</t>
        </is>
      </c>
      <c r="K750" s="11">
        <f>IFERROR(INDEX(Roles!$B$17:$B$20,MATCH(J750,Roles!$A$17:$A$20,0)),1)</f>
        <v/>
      </c>
      <c r="L750" s="17" t="n">
        <v>1</v>
      </c>
      <c r="M750" s="11" t="n">
        <v>1</v>
      </c>
      <c r="N750" s="17" t="n"/>
      <c r="O750" s="17" t="n"/>
      <c r="P750" s="17" t="n"/>
      <c r="Q750" s="17" t="n"/>
      <c r="R750" s="17" t="n"/>
      <c r="S750" s="17" t="n"/>
      <c r="T750" s="17" t="n"/>
      <c r="U750" s="17" t="n"/>
      <c r="V750" s="17" t="n"/>
      <c r="W750" s="17" t="n"/>
      <c r="X750" s="17" t="n"/>
      <c r="Y750" s="17" t="n">
        <v>1</v>
      </c>
      <c r="Z750" s="13">
        <f>SUMPRODUCT(N750:Y750,$N$2:$Y$2)*$K750*$L750*$M750</f>
        <v/>
      </c>
      <c r="AA750" s="14">
        <f>SUM(N750:Y750)</f>
        <v/>
      </c>
      <c r="AB750" s="14">
        <f>IFERROR(IF(UPPER($E750)="L",SUMPRODUCT(N750:Y750,$N$3:$Y$3,$N$2:$Y$2),SUMPRODUCT(N750:Y750,$N$4:$Y$4,$N$2:$Y$2))/(Z750/($K750*$L750*$M750)),"")</f>
        <v/>
      </c>
      <c r="AC750" s="18" t="n"/>
    </row>
    <row r="751">
      <c r="A751" s="9" t="n">
        <v>806039</v>
      </c>
      <c r="B751" s="9" t="inlineStr">
        <is>
          <t>Drew Burress</t>
        </is>
      </c>
      <c r="C751" s="9" t="inlineStr">
        <is>
          <t>OAK</t>
        </is>
      </c>
      <c r="D751" s="9" t="n">
        <v>23</v>
      </c>
      <c r="E751" s="16" t="inlineStr">
        <is>
          <t>R</t>
        </is>
      </c>
      <c r="F751" s="16" t="n"/>
      <c r="G751" s="9" t="n">
        <v>16.36923076923077</v>
      </c>
      <c r="H751" s="9" t="n">
        <v>16.36923076923077</v>
      </c>
      <c r="I751" s="9" t="inlineStr">
        <is>
          <t>Depth (no MLB PA)</t>
        </is>
      </c>
      <c r="J751" s="16" t="inlineStr">
        <is>
          <t>Opening Day</t>
        </is>
      </c>
      <c r="K751" s="11">
        <f>IFERROR(INDEX(Roles!$B$17:$B$20,MATCH(J751,Roles!$A$17:$A$20,0)),1)</f>
        <v/>
      </c>
      <c r="L751" s="17" t="n">
        <v>1</v>
      </c>
      <c r="M751" s="11" t="n">
        <v>1</v>
      </c>
      <c r="N751" s="17" t="n"/>
      <c r="O751" s="17" t="n"/>
      <c r="P751" s="17" t="n"/>
      <c r="Q751" s="17" t="n"/>
      <c r="R751" s="17" t="n"/>
      <c r="S751" s="17" t="n"/>
      <c r="T751" s="17" t="n"/>
      <c r="U751" s="17" t="n"/>
      <c r="V751" s="17" t="n"/>
      <c r="W751" s="17" t="n"/>
      <c r="X751" s="17" t="n"/>
      <c r="Y751" s="17" t="n">
        <v>1</v>
      </c>
      <c r="Z751" s="13">
        <f>SUMPRODUCT(N751:Y751,$N$2:$Y$2)*$K751*$L751*$M751</f>
        <v/>
      </c>
      <c r="AA751" s="14">
        <f>SUM(N751:Y751)</f>
        <v/>
      </c>
      <c r="AB751" s="14">
        <f>IFERROR(IF(UPPER($E751)="L",SUMPRODUCT(N751:Y751,$N$3:$Y$3,$N$2:$Y$2),SUMPRODUCT(N751:Y751,$N$4:$Y$4,$N$2:$Y$2))/(Z751/($K751*$L751*$M751)),"")</f>
        <v/>
      </c>
      <c r="AC751" s="18" t="n"/>
    </row>
    <row r="752">
      <c r="A752" s="9" t="n">
        <v>692944</v>
      </c>
      <c r="B752" s="9" t="inlineStr">
        <is>
          <t>Kevin Villavicencio</t>
        </is>
      </c>
      <c r="C752" s="9" t="inlineStr">
        <is>
          <t>NYM</t>
        </is>
      </c>
      <c r="D752" s="9" t="n">
        <v>25</v>
      </c>
      <c r="E752" s="16" t="inlineStr">
        <is>
          <t>R</t>
        </is>
      </c>
      <c r="F752" s="16" t="n"/>
      <c r="G752" s="9" t="n">
        <v>1.692307692307692</v>
      </c>
      <c r="H752" s="9" t="n">
        <v>1.692307692307692</v>
      </c>
      <c r="I752" s="9" t="inlineStr">
        <is>
          <t>Depth (no MLB PA)</t>
        </is>
      </c>
      <c r="J752" s="16" t="inlineStr">
        <is>
          <t>Opening Day</t>
        </is>
      </c>
      <c r="K752" s="11">
        <f>IFERROR(INDEX(Roles!$B$17:$B$20,MATCH(J752,Roles!$A$17:$A$20,0)),1)</f>
        <v/>
      </c>
      <c r="L752" s="17" t="n">
        <v>1</v>
      </c>
      <c r="M752" s="11" t="n">
        <v>1</v>
      </c>
      <c r="N752" s="17" t="n"/>
      <c r="O752" s="17" t="n"/>
      <c r="P752" s="17" t="n"/>
      <c r="Q752" s="17" t="n"/>
      <c r="R752" s="17" t="n"/>
      <c r="S752" s="17" t="n"/>
      <c r="T752" s="17" t="n"/>
      <c r="U752" s="17" t="n"/>
      <c r="V752" s="17" t="n"/>
      <c r="W752" s="17" t="n"/>
      <c r="X752" s="17" t="n"/>
      <c r="Y752" s="17" t="n">
        <v>1</v>
      </c>
      <c r="Z752" s="13">
        <f>SUMPRODUCT(N752:Y752,$N$2:$Y$2)*$K752*$L752*$M752</f>
        <v/>
      </c>
      <c r="AA752" s="14">
        <f>SUM(N752:Y752)</f>
        <v/>
      </c>
      <c r="AB752" s="14">
        <f>IFERROR(IF(UPPER($E752)="L",SUMPRODUCT(N752:Y752,$N$3:$Y$3,$N$2:$Y$2),SUMPRODUCT(N752:Y752,$N$4:$Y$4,$N$2:$Y$2))/(Z752/($K752*$L752*$M752)),"")</f>
        <v/>
      </c>
      <c r="AC752" s="18" t="n"/>
    </row>
    <row r="753">
      <c r="A753" s="9" t="n">
        <v>801346</v>
      </c>
      <c r="B753" s="9" t="inlineStr">
        <is>
          <t>Luis Hernandez</t>
        </is>
      </c>
      <c r="C753" s="9" t="inlineStr">
        <is>
          <t>MIN</t>
        </is>
      </c>
      <c r="D753" s="9" t="n">
        <v>25</v>
      </c>
      <c r="E753" s="16" t="inlineStr">
        <is>
          <t>R</t>
        </is>
      </c>
      <c r="F753" s="16" t="n"/>
      <c r="G753" s="9" t="n">
        <v>1.692307692307692</v>
      </c>
      <c r="H753" s="9" t="n">
        <v>1.692307692307692</v>
      </c>
      <c r="I753" s="9" t="inlineStr">
        <is>
          <t>Depth (no MLB PA)</t>
        </is>
      </c>
      <c r="J753" s="16" t="inlineStr">
        <is>
          <t>Opening Day</t>
        </is>
      </c>
      <c r="K753" s="11">
        <f>IFERROR(INDEX(Roles!$B$17:$B$20,MATCH(J753,Roles!$A$17:$A$20,0)),1)</f>
        <v/>
      </c>
      <c r="L753" s="17" t="n">
        <v>1</v>
      </c>
      <c r="M753" s="11" t="n">
        <v>1</v>
      </c>
      <c r="N753" s="17" t="n"/>
      <c r="O753" s="17" t="n"/>
      <c r="P753" s="17" t="n"/>
      <c r="Q753" s="17" t="n"/>
      <c r="R753" s="17" t="n"/>
      <c r="S753" s="17" t="n"/>
      <c r="T753" s="17" t="n"/>
      <c r="U753" s="17" t="n"/>
      <c r="V753" s="17" t="n"/>
      <c r="W753" s="17" t="n"/>
      <c r="X753" s="17" t="n"/>
      <c r="Y753" s="17" t="n">
        <v>1</v>
      </c>
      <c r="Z753" s="13">
        <f>SUMPRODUCT(N753:Y753,$N$2:$Y$2)*$K753*$L753*$M753</f>
        <v/>
      </c>
      <c r="AA753" s="14">
        <f>SUM(N753:Y753)</f>
        <v/>
      </c>
      <c r="AB753" s="14">
        <f>IFERROR(IF(UPPER($E753)="L",SUMPRODUCT(N753:Y753,$N$3:$Y$3,$N$2:$Y$2),SUMPRODUCT(N753:Y753,$N$4:$Y$4,$N$2:$Y$2))/(Z753/($K753*$L753*$M753)),"")</f>
        <v/>
      </c>
      <c r="AC753" s="18" t="n"/>
    </row>
    <row r="754">
      <c r="A754" s="9" t="n">
        <v>691710</v>
      </c>
      <c r="B754" s="9" t="inlineStr">
        <is>
          <t>Vincent Perozo</t>
        </is>
      </c>
      <c r="C754" s="9" t="inlineStr">
        <is>
          <t>NYM</t>
        </is>
      </c>
      <c r="D754" s="9" t="n">
        <v>25</v>
      </c>
      <c r="E754" s="16" t="inlineStr">
        <is>
          <t>L</t>
        </is>
      </c>
      <c r="F754" s="16" t="n"/>
      <c r="G754" s="9" t="n">
        <v>1.692307692307692</v>
      </c>
      <c r="H754" s="9" t="n">
        <v>1.692307692307692</v>
      </c>
      <c r="I754" s="9" t="inlineStr">
        <is>
          <t>Depth (no MLB PA)</t>
        </is>
      </c>
      <c r="J754" s="16" t="inlineStr">
        <is>
          <t>Opening Day</t>
        </is>
      </c>
      <c r="K754" s="11">
        <f>IFERROR(INDEX(Roles!$B$17:$B$20,MATCH(J754,Roles!$A$17:$A$20,0)),1)</f>
        <v/>
      </c>
      <c r="L754" s="17" t="n">
        <v>1</v>
      </c>
      <c r="M754" s="11" t="n">
        <v>1</v>
      </c>
      <c r="N754" s="17" t="n"/>
      <c r="O754" s="17" t="n"/>
      <c r="P754" s="17" t="n"/>
      <c r="Q754" s="17" t="n"/>
      <c r="R754" s="17" t="n"/>
      <c r="S754" s="17" t="n"/>
      <c r="T754" s="17" t="n"/>
      <c r="U754" s="17" t="n"/>
      <c r="V754" s="17" t="n"/>
      <c r="W754" s="17" t="n"/>
      <c r="X754" s="17" t="n"/>
      <c r="Y754" s="17" t="n">
        <v>1</v>
      </c>
      <c r="Z754" s="13">
        <f>SUMPRODUCT(N754:Y754,$N$2:$Y$2)*$K754*$L754*$M754</f>
        <v/>
      </c>
      <c r="AA754" s="14">
        <f>SUM(N754:Y754)</f>
        <v/>
      </c>
      <c r="AB754" s="14">
        <f>IFERROR(IF(UPPER($E754)="L",SUMPRODUCT(N754:Y754,$N$3:$Y$3,$N$2:$Y$2),SUMPRODUCT(N754:Y754,$N$4:$Y$4,$N$2:$Y$2))/(Z754/($K754*$L754*$M754)),"")</f>
        <v/>
      </c>
      <c r="AC754" s="18" t="n"/>
    </row>
    <row r="755">
      <c r="A755" s="9" t="n">
        <v>518586</v>
      </c>
      <c r="B755" s="9" t="inlineStr">
        <is>
          <t>Charlie Culberson</t>
        </is>
      </c>
      <c r="C755" s="9" t="inlineStr">
        <is>
          <t>TEX</t>
        </is>
      </c>
      <c r="D755" s="9" t="n">
        <v>38</v>
      </c>
      <c r="E755" s="16" t="inlineStr">
        <is>
          <t>R</t>
        </is>
      </c>
      <c r="F755" s="16" t="inlineStr">
        <is>
          <t>3B</t>
        </is>
      </c>
      <c r="G755" s="9" t="n">
        <v>1</v>
      </c>
      <c r="H755" s="9" t="n">
        <v>125</v>
      </c>
      <c r="I755" s="9" t="inlineStr">
        <is>
          <t>Depth (no MLB PA)</t>
        </is>
      </c>
      <c r="J755" s="16" t="inlineStr">
        <is>
          <t>Opening Day</t>
        </is>
      </c>
      <c r="K755" s="11">
        <f>IFERROR(INDEX(Roles!$B$17:$B$20,MATCH(J755,Roles!$A$17:$A$20,0)),1)</f>
        <v/>
      </c>
      <c r="L755" s="17" t="n">
        <v>1</v>
      </c>
      <c r="M755" s="11" t="n">
        <v>1</v>
      </c>
      <c r="N755" s="17" t="n"/>
      <c r="O755" s="17" t="n"/>
      <c r="P755" s="17" t="n"/>
      <c r="Q755" s="17" t="n"/>
      <c r="R755" s="17" t="n"/>
      <c r="S755" s="17" t="n"/>
      <c r="T755" s="17" t="n"/>
      <c r="U755" s="17" t="n"/>
      <c r="V755" s="17" t="n"/>
      <c r="W755" s="17" t="n"/>
      <c r="X755" s="17" t="n"/>
      <c r="Y755" s="17" t="n">
        <v>1</v>
      </c>
      <c r="Z755" s="13">
        <f>SUMPRODUCT(N755:Y755,$N$2:$Y$2)*$K755*$L755*$M755</f>
        <v/>
      </c>
      <c r="AA755" s="14">
        <f>SUM(N755:Y755)</f>
        <v/>
      </c>
      <c r="AB755" s="14">
        <f>IFERROR(IF(UPPER($E755)="L",SUMPRODUCT(N755:Y755,$N$3:$Y$3,$N$2:$Y$2),SUMPRODUCT(N755:Y755,$N$4:$Y$4,$N$2:$Y$2))/(Z755/($K755*$L755*$M755)),"")</f>
        <v/>
      </c>
      <c r="AC755" s="18" t="n"/>
    </row>
    <row r="756">
      <c r="A756" s="9" t="n">
        <v>836079</v>
      </c>
      <c r="B756" s="9" t="inlineStr">
        <is>
          <t>Rylan Mills</t>
        </is>
      </c>
      <c r="C756" s="9" t="inlineStr">
        <is>
          <t>MIL</t>
        </is>
      </c>
      <c r="D756" s="9" t="n">
        <v>25</v>
      </c>
      <c r="E756" s="16" t="inlineStr">
        <is>
          <t>R</t>
        </is>
      </c>
      <c r="F756" s="16" t="n"/>
      <c r="G756" s="9" t="n">
        <v>30.64615384615384</v>
      </c>
      <c r="H756" s="9" t="n">
        <v>30.64615384615384</v>
      </c>
      <c r="I756" s="9" t="inlineStr">
        <is>
          <t>Depth (no MLB PA)</t>
        </is>
      </c>
      <c r="J756" s="16" t="inlineStr">
        <is>
          <t>Opening Day</t>
        </is>
      </c>
      <c r="K756" s="11">
        <f>IFERROR(INDEX(Roles!$B$17:$B$20,MATCH(J756,Roles!$A$17:$A$20,0)),1)</f>
        <v/>
      </c>
      <c r="L756" s="17" t="n">
        <v>1</v>
      </c>
      <c r="M756" s="11" t="n">
        <v>1</v>
      </c>
      <c r="N756" s="17" t="n"/>
      <c r="O756" s="17" t="n"/>
      <c r="P756" s="17" t="n"/>
      <c r="Q756" s="17" t="n"/>
      <c r="R756" s="17" t="n"/>
      <c r="S756" s="17" t="n"/>
      <c r="T756" s="17" t="n"/>
      <c r="U756" s="17" t="n"/>
      <c r="V756" s="17" t="n"/>
      <c r="W756" s="17" t="n"/>
      <c r="X756" s="17" t="n"/>
      <c r="Y756" s="17" t="n">
        <v>1</v>
      </c>
      <c r="Z756" s="13">
        <f>SUMPRODUCT(N756:Y756,$N$2:$Y$2)*$K756*$L756*$M756</f>
        <v/>
      </c>
      <c r="AA756" s="14">
        <f>SUM(N756:Y756)</f>
        <v/>
      </c>
      <c r="AB756" s="14">
        <f>IFERROR(IF(UPPER($E756)="L",SUMPRODUCT(N756:Y756,$N$3:$Y$3,$N$2:$Y$2),SUMPRODUCT(N756:Y756,$N$4:$Y$4,$N$2:$Y$2))/(Z756/($K756*$L756*$M756)),"")</f>
        <v/>
      </c>
      <c r="AC756" s="18" t="n"/>
    </row>
    <row r="757">
      <c r="A757" s="9" t="n">
        <v>694565</v>
      </c>
      <c r="B757" s="9" t="inlineStr">
        <is>
          <t>Alex Stone</t>
        </is>
      </c>
      <c r="C757" s="9" t="inlineStr">
        <is>
          <t>TOR</t>
        </is>
      </c>
      <c r="D757" s="9" t="n">
        <v>25</v>
      </c>
      <c r="E757" s="16" t="inlineStr">
        <is>
          <t>R</t>
        </is>
      </c>
      <c r="F757" s="16" t="n"/>
      <c r="G757" s="9" t="n">
        <v>1.692307692307692</v>
      </c>
      <c r="H757" s="9" t="n">
        <v>1.692307692307692</v>
      </c>
      <c r="I757" s="9" t="inlineStr">
        <is>
          <t>Depth (no MLB PA)</t>
        </is>
      </c>
      <c r="J757" s="16" t="inlineStr">
        <is>
          <t>Opening Day</t>
        </is>
      </c>
      <c r="K757" s="11">
        <f>IFERROR(INDEX(Roles!$B$17:$B$20,MATCH(J757,Roles!$A$17:$A$20,0)),1)</f>
        <v/>
      </c>
      <c r="L757" s="17" t="n">
        <v>1</v>
      </c>
      <c r="M757" s="11" t="n">
        <v>1</v>
      </c>
      <c r="N757" s="17" t="n"/>
      <c r="O757" s="17" t="n"/>
      <c r="P757" s="17" t="n"/>
      <c r="Q757" s="17" t="n"/>
      <c r="R757" s="17" t="n"/>
      <c r="S757" s="17" t="n"/>
      <c r="T757" s="17" t="n"/>
      <c r="U757" s="17" t="n"/>
      <c r="V757" s="17" t="n"/>
      <c r="W757" s="17" t="n"/>
      <c r="X757" s="17" t="n"/>
      <c r="Y757" s="17" t="n">
        <v>1</v>
      </c>
      <c r="Z757" s="13">
        <f>SUMPRODUCT(N757:Y757,$N$2:$Y$2)*$K757*$L757*$M757</f>
        <v/>
      </c>
      <c r="AA757" s="14">
        <f>SUM(N757:Y757)</f>
        <v/>
      </c>
      <c r="AB757" s="14">
        <f>IFERROR(IF(UPPER($E757)="L",SUMPRODUCT(N757:Y757,$N$3:$Y$3,$N$2:$Y$2),SUMPRODUCT(N757:Y757,$N$4:$Y$4,$N$2:$Y$2))/(Z757/($K757*$L757*$M757)),"")</f>
        <v/>
      </c>
      <c r="AC757" s="18" t="n"/>
    </row>
    <row r="758">
      <c r="A758" s="9" t="n">
        <v>806273</v>
      </c>
      <c r="B758" s="9" t="inlineStr">
        <is>
          <t>Adam Retzbach</t>
        </is>
      </c>
      <c r="C758" s="9" t="inlineStr">
        <is>
          <t>BAL</t>
        </is>
      </c>
      <c r="D758" s="9" t="n">
        <v>25</v>
      </c>
      <c r="E758" s="16" t="inlineStr">
        <is>
          <t>R</t>
        </is>
      </c>
      <c r="F758" s="16" t="n"/>
      <c r="G758" s="9" t="n">
        <v>1.692307692307692</v>
      </c>
      <c r="H758" s="9" t="n">
        <v>1.692307692307692</v>
      </c>
      <c r="I758" s="9" t="inlineStr">
        <is>
          <t>Depth (no MLB PA)</t>
        </is>
      </c>
      <c r="J758" s="16" t="inlineStr">
        <is>
          <t>Opening Day</t>
        </is>
      </c>
      <c r="K758" s="11">
        <f>IFERROR(INDEX(Roles!$B$17:$B$20,MATCH(J758,Roles!$A$17:$A$20,0)),1)</f>
        <v/>
      </c>
      <c r="L758" s="17" t="n">
        <v>1</v>
      </c>
      <c r="M758" s="11" t="n">
        <v>1</v>
      </c>
      <c r="N758" s="17" t="n"/>
      <c r="O758" s="17" t="n"/>
      <c r="P758" s="17" t="n"/>
      <c r="Q758" s="17" t="n"/>
      <c r="R758" s="17" t="n"/>
      <c r="S758" s="17" t="n"/>
      <c r="T758" s="17" t="n"/>
      <c r="U758" s="17" t="n"/>
      <c r="V758" s="17" t="n"/>
      <c r="W758" s="17" t="n"/>
      <c r="X758" s="17" t="n"/>
      <c r="Y758" s="17" t="n">
        <v>1</v>
      </c>
      <c r="Z758" s="13">
        <f>SUMPRODUCT(N758:Y758,$N$2:$Y$2)*$K758*$L758*$M758</f>
        <v/>
      </c>
      <c r="AA758" s="14">
        <f>SUM(N758:Y758)</f>
        <v/>
      </c>
      <c r="AB758" s="14">
        <f>IFERROR(IF(UPPER($E758)="L",SUMPRODUCT(N758:Y758,$N$3:$Y$3,$N$2:$Y$2),SUMPRODUCT(N758:Y758,$N$4:$Y$4,$N$2:$Y$2))/(Z758/($K758*$L758*$M758)),"")</f>
        <v/>
      </c>
      <c r="AC758" s="18" t="n"/>
    </row>
    <row r="759">
      <c r="A759" s="9" t="n">
        <v>825891</v>
      </c>
      <c r="B759" s="9" t="inlineStr">
        <is>
          <t>Trevor Condon</t>
        </is>
      </c>
      <c r="C759" s="9" t="inlineStr">
        <is>
          <t>STL</t>
        </is>
      </c>
      <c r="D759" s="9" t="n">
        <v>19</v>
      </c>
      <c r="E759" s="16" t="inlineStr">
        <is>
          <t>L</t>
        </is>
      </c>
      <c r="F759" s="16" t="n"/>
      <c r="G759" s="9" t="n">
        <v>3.815384615384615</v>
      </c>
      <c r="H759" s="9" t="n">
        <v>3.815384615384615</v>
      </c>
      <c r="I759" s="9" t="inlineStr">
        <is>
          <t>Depth (no MLB PA)</t>
        </is>
      </c>
      <c r="J759" s="16" t="inlineStr">
        <is>
          <t>Opening Day</t>
        </is>
      </c>
      <c r="K759" s="11">
        <f>IFERROR(INDEX(Roles!$B$17:$B$20,MATCH(J759,Roles!$A$17:$A$20,0)),1)</f>
        <v/>
      </c>
      <c r="L759" s="17" t="n">
        <v>1</v>
      </c>
      <c r="M759" s="11" t="n">
        <v>1</v>
      </c>
      <c r="N759" s="17" t="n"/>
      <c r="O759" s="17" t="n"/>
      <c r="P759" s="17" t="n"/>
      <c r="Q759" s="17" t="n"/>
      <c r="R759" s="17" t="n"/>
      <c r="S759" s="17" t="n"/>
      <c r="T759" s="17" t="n"/>
      <c r="U759" s="17" t="n"/>
      <c r="V759" s="17" t="n"/>
      <c r="W759" s="17" t="n"/>
      <c r="X759" s="17" t="n"/>
      <c r="Y759" s="17" t="n">
        <v>1</v>
      </c>
      <c r="Z759" s="13">
        <f>SUMPRODUCT(N759:Y759,$N$2:$Y$2)*$K759*$L759*$M759</f>
        <v/>
      </c>
      <c r="AA759" s="14">
        <f>SUM(N759:Y759)</f>
        <v/>
      </c>
      <c r="AB759" s="14">
        <f>IFERROR(IF(UPPER($E759)="L",SUMPRODUCT(N759:Y759,$N$3:$Y$3,$N$2:$Y$2),SUMPRODUCT(N759:Y759,$N$4:$Y$4,$N$2:$Y$2))/(Z759/($K759*$L759*$M759)),"")</f>
        <v/>
      </c>
      <c r="AC759" s="18" t="n"/>
    </row>
    <row r="760">
      <c r="A760" s="9" t="n">
        <v>842420</v>
      </c>
      <c r="B760" s="9" t="inlineStr">
        <is>
          <t>Dominic Kibler</t>
        </is>
      </c>
      <c r="C760" s="9" t="inlineStr">
        <is>
          <t>ATL</t>
        </is>
      </c>
      <c r="D760" s="9" t="n">
        <v>25</v>
      </c>
      <c r="E760" s="16" t="inlineStr">
        <is>
          <t>L</t>
        </is>
      </c>
      <c r="F760" s="16" t="n"/>
      <c r="G760" s="9" t="n">
        <v>3.815384615384615</v>
      </c>
      <c r="H760" s="9" t="n">
        <v>3.815384615384615</v>
      </c>
      <c r="I760" s="9" t="inlineStr">
        <is>
          <t>Depth (no MLB PA)</t>
        </is>
      </c>
      <c r="J760" s="16" t="inlineStr">
        <is>
          <t>Opening Day</t>
        </is>
      </c>
      <c r="K760" s="11">
        <f>IFERROR(INDEX(Roles!$B$17:$B$20,MATCH(J760,Roles!$A$17:$A$20,0)),1)</f>
        <v/>
      </c>
      <c r="L760" s="17" t="n">
        <v>1</v>
      </c>
      <c r="M760" s="11" t="n">
        <v>1</v>
      </c>
      <c r="N760" s="17" t="n"/>
      <c r="O760" s="17" t="n"/>
      <c r="P760" s="17" t="n"/>
      <c r="Q760" s="17" t="n"/>
      <c r="R760" s="17" t="n"/>
      <c r="S760" s="17" t="n"/>
      <c r="T760" s="17" t="n"/>
      <c r="U760" s="17" t="n"/>
      <c r="V760" s="17" t="n"/>
      <c r="W760" s="17" t="n"/>
      <c r="X760" s="17" t="n"/>
      <c r="Y760" s="17" t="n">
        <v>1</v>
      </c>
      <c r="Z760" s="13">
        <f>SUMPRODUCT(N760:Y760,$N$2:$Y$2)*$K760*$L760*$M760</f>
        <v/>
      </c>
      <c r="AA760" s="14">
        <f>SUM(N760:Y760)</f>
        <v/>
      </c>
      <c r="AB760" s="14">
        <f>IFERROR(IF(UPPER($E760)="L",SUMPRODUCT(N760:Y760,$N$3:$Y$3,$N$2:$Y$2),SUMPRODUCT(N760:Y760,$N$4:$Y$4,$N$2:$Y$2))/(Z760/($K760*$L760*$M760)),"")</f>
        <v/>
      </c>
      <c r="AC760" s="18" t="n"/>
    </row>
    <row r="761">
      <c r="A761" s="9" t="n">
        <v>825159</v>
      </c>
      <c r="B761" s="9" t="inlineStr">
        <is>
          <t>Yunior Amparo</t>
        </is>
      </c>
      <c r="C761" s="9" t="inlineStr">
        <is>
          <t>NYM</t>
        </is>
      </c>
      <c r="D761" s="9" t="n">
        <v>25</v>
      </c>
      <c r="E761" s="16" t="inlineStr">
        <is>
          <t>R</t>
        </is>
      </c>
      <c r="F761" s="16" t="n"/>
      <c r="G761" s="9" t="n">
        <v>1.723076923076923</v>
      </c>
      <c r="H761" s="9" t="n">
        <v>1.723076923076923</v>
      </c>
      <c r="I761" s="9" t="inlineStr">
        <is>
          <t>Depth (no MLB PA)</t>
        </is>
      </c>
      <c r="J761" s="16" t="inlineStr">
        <is>
          <t>Opening Day</t>
        </is>
      </c>
      <c r="K761" s="11">
        <f>IFERROR(INDEX(Roles!$B$17:$B$20,MATCH(J761,Roles!$A$17:$A$20,0)),1)</f>
        <v/>
      </c>
      <c r="L761" s="17" t="n">
        <v>1</v>
      </c>
      <c r="M761" s="11" t="n">
        <v>1</v>
      </c>
      <c r="N761" s="17" t="n"/>
      <c r="O761" s="17" t="n"/>
      <c r="P761" s="17" t="n"/>
      <c r="Q761" s="17" t="n"/>
      <c r="R761" s="17" t="n"/>
      <c r="S761" s="17" t="n"/>
      <c r="T761" s="17" t="n"/>
      <c r="U761" s="17" t="n"/>
      <c r="V761" s="17" t="n"/>
      <c r="W761" s="17" t="n"/>
      <c r="X761" s="17" t="n"/>
      <c r="Y761" s="17" t="n">
        <v>1</v>
      </c>
      <c r="Z761" s="13">
        <f>SUMPRODUCT(N761:Y761,$N$2:$Y$2)*$K761*$L761*$M761</f>
        <v/>
      </c>
      <c r="AA761" s="14">
        <f>SUM(N761:Y761)</f>
        <v/>
      </c>
      <c r="AB761" s="14">
        <f>IFERROR(IF(UPPER($E761)="L",SUMPRODUCT(N761:Y761,$N$3:$Y$3,$N$2:$Y$2),SUMPRODUCT(N761:Y761,$N$4:$Y$4,$N$2:$Y$2))/(Z761/($K761*$L761*$M761)),"")</f>
        <v/>
      </c>
      <c r="AC761" s="18" t="n"/>
    </row>
    <row r="762">
      <c r="A762" s="9" t="n">
        <v>821933</v>
      </c>
      <c r="B762" s="9" t="inlineStr">
        <is>
          <t>Landon Hodge</t>
        </is>
      </c>
      <c r="C762" s="9" t="inlineStr">
        <is>
          <t>CWS</t>
        </is>
      </c>
      <c r="D762" s="9" t="n">
        <v>25</v>
      </c>
      <c r="E762" s="16" t="inlineStr">
        <is>
          <t>L</t>
        </is>
      </c>
      <c r="F762" s="16" t="n"/>
      <c r="G762" s="9" t="n">
        <v>1.723076923076923</v>
      </c>
      <c r="H762" s="9" t="n">
        <v>1.723076923076923</v>
      </c>
      <c r="I762" s="9" t="inlineStr">
        <is>
          <t>Depth (no MLB PA)</t>
        </is>
      </c>
      <c r="J762" s="16" t="inlineStr">
        <is>
          <t>Opening Day</t>
        </is>
      </c>
      <c r="K762" s="11">
        <f>IFERROR(INDEX(Roles!$B$17:$B$20,MATCH(J762,Roles!$A$17:$A$20,0)),1)</f>
        <v/>
      </c>
      <c r="L762" s="17" t="n">
        <v>1</v>
      </c>
      <c r="M762" s="11" t="n">
        <v>1</v>
      </c>
      <c r="N762" s="17" t="n"/>
      <c r="O762" s="17" t="n"/>
      <c r="P762" s="17" t="n"/>
      <c r="Q762" s="17" t="n"/>
      <c r="R762" s="17" t="n"/>
      <c r="S762" s="17" t="n"/>
      <c r="T762" s="17" t="n"/>
      <c r="U762" s="17" t="n"/>
      <c r="V762" s="17" t="n"/>
      <c r="W762" s="17" t="n"/>
      <c r="X762" s="17" t="n"/>
      <c r="Y762" s="17" t="n">
        <v>1</v>
      </c>
      <c r="Z762" s="13">
        <f>SUMPRODUCT(N762:Y762,$N$2:$Y$2)*$K762*$L762*$M762</f>
        <v/>
      </c>
      <c r="AA762" s="14">
        <f>SUM(N762:Y762)</f>
        <v/>
      </c>
      <c r="AB762" s="14">
        <f>IFERROR(IF(UPPER($E762)="L",SUMPRODUCT(N762:Y762,$N$3:$Y$3,$N$2:$Y$2),SUMPRODUCT(N762:Y762,$N$4:$Y$4,$N$2:$Y$2))/(Z762/($K762*$L762*$M762)),"")</f>
        <v/>
      </c>
      <c r="AC762" s="18" t="n"/>
    </row>
    <row r="763">
      <c r="A763" s="9" t="n">
        <v>821697</v>
      </c>
      <c r="B763" s="9" t="inlineStr">
        <is>
          <t>Reyli Mariano</t>
        </is>
      </c>
      <c r="C763" s="9" t="inlineStr">
        <is>
          <t>LAD</t>
        </is>
      </c>
      <c r="D763" s="9" t="n">
        <v>25</v>
      </c>
      <c r="E763" s="16" t="inlineStr">
        <is>
          <t>S</t>
        </is>
      </c>
      <c r="F763" s="16" t="n"/>
      <c r="G763" s="9" t="n">
        <v>1.794871794871795</v>
      </c>
      <c r="H763" s="9" t="n">
        <v>1.794871794871795</v>
      </c>
      <c r="I763" s="9" t="inlineStr">
        <is>
          <t>Depth (no MLB PA)</t>
        </is>
      </c>
      <c r="J763" s="16" t="inlineStr">
        <is>
          <t>Opening Day</t>
        </is>
      </c>
      <c r="K763" s="11">
        <f>IFERROR(INDEX(Roles!$B$17:$B$20,MATCH(J763,Roles!$A$17:$A$20,0)),1)</f>
        <v/>
      </c>
      <c r="L763" s="17" t="n">
        <v>1</v>
      </c>
      <c r="M763" s="11" t="n">
        <v>1</v>
      </c>
      <c r="N763" s="17" t="n"/>
      <c r="O763" s="17" t="n"/>
      <c r="P763" s="17" t="n"/>
      <c r="Q763" s="17" t="n"/>
      <c r="R763" s="17" t="n"/>
      <c r="S763" s="17" t="n"/>
      <c r="T763" s="17" t="n"/>
      <c r="U763" s="17" t="n"/>
      <c r="V763" s="17" t="n"/>
      <c r="W763" s="17" t="n"/>
      <c r="X763" s="17" t="n"/>
      <c r="Y763" s="17" t="n">
        <v>1</v>
      </c>
      <c r="Z763" s="13">
        <f>SUMPRODUCT(N763:Y763,$N$2:$Y$2)*$K763*$L763*$M763</f>
        <v/>
      </c>
      <c r="AA763" s="14">
        <f>SUM(N763:Y763)</f>
        <v/>
      </c>
      <c r="AB763" s="14">
        <f>IFERROR(IF(UPPER($E763)="L",SUMPRODUCT(N763:Y763,$N$3:$Y$3,$N$2:$Y$2),SUMPRODUCT(N763:Y763,$N$4:$Y$4,$N$2:$Y$2))/(Z763/($K763*$L763*$M763)),"")</f>
        <v/>
      </c>
      <c r="AC763" s="18" t="n"/>
    </row>
    <row r="764">
      <c r="A764" s="9" t="n">
        <v>804560</v>
      </c>
      <c r="B764" s="9" t="inlineStr">
        <is>
          <t>Charles Davalan</t>
        </is>
      </c>
      <c r="C764" s="9" t="inlineStr">
        <is>
          <t>LAD</t>
        </is>
      </c>
      <c r="D764" s="9" t="n">
        <v>24</v>
      </c>
      <c r="E764" s="16" t="inlineStr">
        <is>
          <t>L</t>
        </is>
      </c>
      <c r="F764" s="16" t="n"/>
      <c r="G764" s="9" t="n">
        <v>1.794871794871795</v>
      </c>
      <c r="H764" s="9" t="n">
        <v>1.794871794871795</v>
      </c>
      <c r="I764" s="9" t="inlineStr">
        <is>
          <t>Depth (no MLB PA)</t>
        </is>
      </c>
      <c r="J764" s="16" t="inlineStr">
        <is>
          <t>Opening Day</t>
        </is>
      </c>
      <c r="K764" s="11">
        <f>IFERROR(INDEX(Roles!$B$17:$B$20,MATCH(J764,Roles!$A$17:$A$20,0)),1)</f>
        <v/>
      </c>
      <c r="L764" s="17" t="n">
        <v>1</v>
      </c>
      <c r="M764" s="11" t="n">
        <v>1</v>
      </c>
      <c r="N764" s="17" t="n"/>
      <c r="O764" s="17" t="n"/>
      <c r="P764" s="17" t="n"/>
      <c r="Q764" s="17" t="n"/>
      <c r="R764" s="17" t="n"/>
      <c r="S764" s="17" t="n"/>
      <c r="T764" s="17" t="n"/>
      <c r="U764" s="17" t="n"/>
      <c r="V764" s="17" t="n"/>
      <c r="W764" s="17" t="n"/>
      <c r="X764" s="17" t="n"/>
      <c r="Y764" s="17" t="n">
        <v>1</v>
      </c>
      <c r="Z764" s="13">
        <f>SUMPRODUCT(N764:Y764,$N$2:$Y$2)*$K764*$L764*$M764</f>
        <v/>
      </c>
      <c r="AA764" s="14">
        <f>SUM(N764:Y764)</f>
        <v/>
      </c>
      <c r="AB764" s="14">
        <f>IFERROR(IF(UPPER($E764)="L",SUMPRODUCT(N764:Y764,$N$3:$Y$3,$N$2:$Y$2),SUMPRODUCT(N764:Y764,$N$4:$Y$4,$N$2:$Y$2))/(Z764/($K764*$L764*$M764)),"")</f>
        <v/>
      </c>
      <c r="AC764" s="18" t="n"/>
    </row>
    <row r="765">
      <c r="A765" s="9" t="n">
        <v>815924</v>
      </c>
      <c r="B765" s="9" t="inlineStr">
        <is>
          <t>Eduardo Beltre</t>
        </is>
      </c>
      <c r="C765" s="9" t="inlineStr">
        <is>
          <t>MIN</t>
        </is>
      </c>
      <c r="D765" s="9" t="n">
        <v>25</v>
      </c>
      <c r="E765" s="16" t="inlineStr">
        <is>
          <t>R</t>
        </is>
      </c>
      <c r="F765" s="16" t="n"/>
      <c r="G765" s="9" t="n">
        <v>8.246153846153845</v>
      </c>
      <c r="H765" s="9" t="n">
        <v>8.246153846153845</v>
      </c>
      <c r="I765" s="9" t="inlineStr">
        <is>
          <t>Depth (no MLB PA)</t>
        </is>
      </c>
      <c r="J765" s="16" t="inlineStr">
        <is>
          <t>Opening Day</t>
        </is>
      </c>
      <c r="K765" s="11">
        <f>IFERROR(INDEX(Roles!$B$17:$B$20,MATCH(J765,Roles!$A$17:$A$20,0)),1)</f>
        <v/>
      </c>
      <c r="L765" s="17" t="n">
        <v>1</v>
      </c>
      <c r="M765" s="11" t="n">
        <v>1</v>
      </c>
      <c r="N765" s="17" t="n"/>
      <c r="O765" s="17" t="n"/>
      <c r="P765" s="17" t="n"/>
      <c r="Q765" s="17" t="n"/>
      <c r="R765" s="17" t="n"/>
      <c r="S765" s="17" t="n"/>
      <c r="T765" s="17" t="n"/>
      <c r="U765" s="17" t="n"/>
      <c r="V765" s="17" t="n"/>
      <c r="W765" s="17" t="n"/>
      <c r="X765" s="17" t="n"/>
      <c r="Y765" s="17" t="n">
        <v>1</v>
      </c>
      <c r="Z765" s="13">
        <f>SUMPRODUCT(N765:Y765,$N$2:$Y$2)*$K765*$L765*$M765</f>
        <v/>
      </c>
      <c r="AA765" s="14">
        <f>SUM(N765:Y765)</f>
        <v/>
      </c>
      <c r="AB765" s="14">
        <f>IFERROR(IF(UPPER($E765)="L",SUMPRODUCT(N765:Y765,$N$3:$Y$3,$N$2:$Y$2),SUMPRODUCT(N765:Y765,$N$4:$Y$4,$N$2:$Y$2))/(Z765/($K765*$L765*$M765)),"")</f>
        <v/>
      </c>
      <c r="AC765" s="18" t="n"/>
    </row>
    <row r="766">
      <c r="A766" s="9" t="n">
        <v>829191</v>
      </c>
      <c r="B766" s="9" t="inlineStr">
        <is>
          <t>Joephillip Guzman</t>
        </is>
      </c>
      <c r="C766" s="9" t="inlineStr">
        <is>
          <t>BAL</t>
        </is>
      </c>
      <c r="D766" s="9" t="n">
        <v>25</v>
      </c>
      <c r="E766" s="16" t="inlineStr">
        <is>
          <t>R</t>
        </is>
      </c>
      <c r="F766" s="16" t="n"/>
      <c r="G766" s="9" t="n">
        <v>1.846153846153846</v>
      </c>
      <c r="H766" s="9" t="n">
        <v>1.846153846153846</v>
      </c>
      <c r="I766" s="9" t="inlineStr">
        <is>
          <t>Depth (no MLB PA)</t>
        </is>
      </c>
      <c r="J766" s="16" t="inlineStr">
        <is>
          <t>Opening Day</t>
        </is>
      </c>
      <c r="K766" s="11">
        <f>IFERROR(INDEX(Roles!$B$17:$B$20,MATCH(J766,Roles!$A$17:$A$20,0)),1)</f>
        <v/>
      </c>
      <c r="L766" s="17" t="n">
        <v>1</v>
      </c>
      <c r="M766" s="11" t="n">
        <v>1</v>
      </c>
      <c r="N766" s="17" t="n"/>
      <c r="O766" s="17" t="n"/>
      <c r="P766" s="17" t="n"/>
      <c r="Q766" s="17" t="n"/>
      <c r="R766" s="17" t="n"/>
      <c r="S766" s="17" t="n"/>
      <c r="T766" s="17" t="n"/>
      <c r="U766" s="17" t="n"/>
      <c r="V766" s="17" t="n"/>
      <c r="W766" s="17" t="n"/>
      <c r="X766" s="17" t="n"/>
      <c r="Y766" s="17" t="n">
        <v>1</v>
      </c>
      <c r="Z766" s="13">
        <f>SUMPRODUCT(N766:Y766,$N$2:$Y$2)*$K766*$L766*$M766</f>
        <v/>
      </c>
      <c r="AA766" s="14">
        <f>SUM(N766:Y766)</f>
        <v/>
      </c>
      <c r="AB766" s="14">
        <f>IFERROR(IF(UPPER($E766)="L",SUMPRODUCT(N766:Y766,$N$3:$Y$3,$N$2:$Y$2),SUMPRODUCT(N766:Y766,$N$4:$Y$4,$N$2:$Y$2))/(Z766/($K766*$L766*$M766)),"")</f>
        <v/>
      </c>
      <c r="AC766" s="18" t="n"/>
    </row>
    <row r="767">
      <c r="A767" s="9" t="n">
        <v>835227</v>
      </c>
      <c r="B767" s="9" t="inlineStr">
        <is>
          <t>Peyton Bonds</t>
        </is>
      </c>
      <c r="C767" s="9" t="inlineStr">
        <is>
          <t>SF</t>
        </is>
      </c>
      <c r="D767" s="9" t="n">
        <v>22</v>
      </c>
      <c r="E767" s="16" t="inlineStr">
        <is>
          <t>R</t>
        </is>
      </c>
      <c r="F767" s="16" t="n"/>
      <c r="G767" s="9" t="n">
        <v>1.846153846153846</v>
      </c>
      <c r="H767" s="9" t="n">
        <v>1.846153846153846</v>
      </c>
      <c r="I767" s="9" t="inlineStr">
        <is>
          <t>Depth (no MLB PA)</t>
        </is>
      </c>
      <c r="J767" s="16" t="inlineStr">
        <is>
          <t>Opening Day</t>
        </is>
      </c>
      <c r="K767" s="11">
        <f>IFERROR(INDEX(Roles!$B$17:$B$20,MATCH(J767,Roles!$A$17:$A$20,0)),1)</f>
        <v/>
      </c>
      <c r="L767" s="17" t="n">
        <v>1</v>
      </c>
      <c r="M767" s="11" t="n">
        <v>1</v>
      </c>
      <c r="N767" s="17" t="n"/>
      <c r="O767" s="17" t="n"/>
      <c r="P767" s="17" t="n"/>
      <c r="Q767" s="17" t="n"/>
      <c r="R767" s="17" t="n"/>
      <c r="S767" s="17" t="n"/>
      <c r="T767" s="17" t="n"/>
      <c r="U767" s="17" t="n"/>
      <c r="V767" s="17" t="n"/>
      <c r="W767" s="17" t="n"/>
      <c r="X767" s="17" t="n"/>
      <c r="Y767" s="17" t="n">
        <v>1</v>
      </c>
      <c r="Z767" s="13">
        <f>SUMPRODUCT(N767:Y767,$N$2:$Y$2)*$K767*$L767*$M767</f>
        <v/>
      </c>
      <c r="AA767" s="14">
        <f>SUM(N767:Y767)</f>
        <v/>
      </c>
      <c r="AB767" s="14">
        <f>IFERROR(IF(UPPER($E767)="L",SUMPRODUCT(N767:Y767,$N$3:$Y$3,$N$2:$Y$2),SUMPRODUCT(N767:Y767,$N$4:$Y$4,$N$2:$Y$2))/(Z767/($K767*$L767*$M767)),"")</f>
        <v/>
      </c>
      <c r="AC767" s="18" t="n"/>
    </row>
    <row r="768">
      <c r="A768" s="9" t="n">
        <v>695652</v>
      </c>
      <c r="B768" s="9" t="inlineStr">
        <is>
          <t>Eddie King Jr.</t>
        </is>
      </c>
      <c r="C768" s="9" t="inlineStr">
        <is>
          <t>PIT</t>
        </is>
      </c>
      <c r="D768" s="9" t="n">
        <v>25</v>
      </c>
      <c r="E768" s="16" t="inlineStr">
        <is>
          <t>R</t>
        </is>
      </c>
      <c r="F768" s="16" t="n"/>
      <c r="G768" s="9" t="n">
        <v>5.948717948717949</v>
      </c>
      <c r="H768" s="9" t="n">
        <v>5.948717948717949</v>
      </c>
      <c r="I768" s="9" t="inlineStr">
        <is>
          <t>Depth (no MLB PA)</t>
        </is>
      </c>
      <c r="J768" s="16" t="inlineStr">
        <is>
          <t>Opening Day</t>
        </is>
      </c>
      <c r="K768" s="11">
        <f>IFERROR(INDEX(Roles!$B$17:$B$20,MATCH(J768,Roles!$A$17:$A$20,0)),1)</f>
        <v/>
      </c>
      <c r="L768" s="17" t="n">
        <v>1</v>
      </c>
      <c r="M768" s="11" t="n">
        <v>1</v>
      </c>
      <c r="N768" s="17" t="n"/>
      <c r="O768" s="17" t="n"/>
      <c r="P768" s="17" t="n"/>
      <c r="Q768" s="17" t="n"/>
      <c r="R768" s="17" t="n"/>
      <c r="S768" s="17" t="n"/>
      <c r="T768" s="17" t="n"/>
      <c r="U768" s="17" t="n"/>
      <c r="V768" s="17" t="n"/>
      <c r="W768" s="17" t="n"/>
      <c r="X768" s="17" t="n"/>
      <c r="Y768" s="17" t="n">
        <v>1</v>
      </c>
      <c r="Z768" s="13">
        <f>SUMPRODUCT(N768:Y768,$N$2:$Y$2)*$K768*$L768*$M768</f>
        <v/>
      </c>
      <c r="AA768" s="14">
        <f>SUM(N768:Y768)</f>
        <v/>
      </c>
      <c r="AB768" s="14">
        <f>IFERROR(IF(UPPER($E768)="L",SUMPRODUCT(N768:Y768,$N$3:$Y$3,$N$2:$Y$2),SUMPRODUCT(N768:Y768,$N$4:$Y$4,$N$2:$Y$2))/(Z768/($K768*$L768*$M768)),"")</f>
        <v/>
      </c>
      <c r="AC768" s="18" t="n"/>
    </row>
    <row r="769">
      <c r="A769" s="9" t="n">
        <v>541645</v>
      </c>
      <c r="B769" s="9" t="inlineStr">
        <is>
          <t>Avisaíl García</t>
        </is>
      </c>
      <c r="C769" s="9" t="inlineStr">
        <is>
          <t>MIA</t>
        </is>
      </c>
      <c r="D769" s="9" t="n">
        <v>36</v>
      </c>
      <c r="E769" s="16" t="inlineStr">
        <is>
          <t>R</t>
        </is>
      </c>
      <c r="F769" s="16" t="inlineStr">
        <is>
          <t>RF</t>
        </is>
      </c>
      <c r="G769" s="9" t="n">
        <v>51</v>
      </c>
      <c r="H769" s="9" t="n">
        <v>549</v>
      </c>
      <c r="I769" s="9" t="inlineStr">
        <is>
          <t>Depth (no MLB PA)</t>
        </is>
      </c>
      <c r="J769" s="16" t="inlineStr">
        <is>
          <t>Opening Day</t>
        </is>
      </c>
      <c r="K769" s="11">
        <f>IFERROR(INDEX(Roles!$B$17:$B$20,MATCH(J769,Roles!$A$17:$A$20,0)),1)</f>
        <v/>
      </c>
      <c r="L769" s="17" t="n">
        <v>1</v>
      </c>
      <c r="M769" s="11" t="n">
        <v>1</v>
      </c>
      <c r="N769" s="17" t="n"/>
      <c r="O769" s="17" t="n"/>
      <c r="P769" s="17" t="n"/>
      <c r="Q769" s="17" t="n"/>
      <c r="R769" s="17" t="n"/>
      <c r="S769" s="17" t="n"/>
      <c r="T769" s="17" t="n"/>
      <c r="U769" s="17" t="n"/>
      <c r="V769" s="17" t="n"/>
      <c r="W769" s="17" t="n"/>
      <c r="X769" s="17" t="n"/>
      <c r="Y769" s="17" t="n">
        <v>1</v>
      </c>
      <c r="Z769" s="13">
        <f>SUMPRODUCT(N769:Y769,$N$2:$Y$2)*$K769*$L769*$M769</f>
        <v/>
      </c>
      <c r="AA769" s="14">
        <f>SUM(N769:Y769)</f>
        <v/>
      </c>
      <c r="AB769" s="14">
        <f>IFERROR(IF(UPPER($E769)="L",SUMPRODUCT(N769:Y769,$N$3:$Y$3,$N$2:$Y$2),SUMPRODUCT(N769:Y769,$N$4:$Y$4,$N$2:$Y$2))/(Z769/($K769*$L769*$M769)),"")</f>
        <v/>
      </c>
      <c r="AC769" s="18" t="n"/>
    </row>
    <row r="770">
      <c r="A770" s="9" t="n">
        <v>804133</v>
      </c>
      <c r="B770" s="9" t="inlineStr">
        <is>
          <t>Braden Holcomb</t>
        </is>
      </c>
      <c r="C770" s="9" t="inlineStr">
        <is>
          <t>CWS</t>
        </is>
      </c>
      <c r="D770" s="9" t="n">
        <v>25</v>
      </c>
      <c r="E770" s="16" t="inlineStr">
        <is>
          <t>R</t>
        </is>
      </c>
      <c r="F770" s="16" t="n"/>
      <c r="G770" s="9" t="n">
        <v>1.846153846153846</v>
      </c>
      <c r="H770" s="9" t="n">
        <v>1.846153846153846</v>
      </c>
      <c r="I770" s="9" t="inlineStr">
        <is>
          <t>Depth (no MLB PA)</t>
        </is>
      </c>
      <c r="J770" s="16" t="inlineStr">
        <is>
          <t>Opening Day</t>
        </is>
      </c>
      <c r="K770" s="11">
        <f>IFERROR(INDEX(Roles!$B$17:$B$20,MATCH(J770,Roles!$A$17:$A$20,0)),1)</f>
        <v/>
      </c>
      <c r="L770" s="17" t="n">
        <v>1</v>
      </c>
      <c r="M770" s="11" t="n">
        <v>1</v>
      </c>
      <c r="N770" s="17" t="n"/>
      <c r="O770" s="17" t="n"/>
      <c r="P770" s="17" t="n"/>
      <c r="Q770" s="17" t="n"/>
      <c r="R770" s="17" t="n"/>
      <c r="S770" s="17" t="n"/>
      <c r="T770" s="17" t="n"/>
      <c r="U770" s="17" t="n"/>
      <c r="V770" s="17" t="n"/>
      <c r="W770" s="17" t="n"/>
      <c r="X770" s="17" t="n"/>
      <c r="Y770" s="17" t="n">
        <v>1</v>
      </c>
      <c r="Z770" s="13">
        <f>SUMPRODUCT(N770:Y770,$N$2:$Y$2)*$K770*$L770*$M770</f>
        <v/>
      </c>
      <c r="AA770" s="14">
        <f>SUM(N770:Y770)</f>
        <v/>
      </c>
      <c r="AB770" s="14">
        <f>IFERROR(IF(UPPER($E770)="L",SUMPRODUCT(N770:Y770,$N$3:$Y$3,$N$2:$Y$2),SUMPRODUCT(N770:Y770,$N$4:$Y$4,$N$2:$Y$2))/(Z770/($K770*$L770*$M770)),"")</f>
        <v/>
      </c>
      <c r="AC770" s="18" t="n"/>
    </row>
    <row r="771">
      <c r="A771" s="9" t="n">
        <v>815011</v>
      </c>
      <c r="B771" s="9" t="inlineStr">
        <is>
          <t>Henniel Alcala</t>
        </is>
      </c>
      <c r="C771" s="9" t="inlineStr">
        <is>
          <t>CHC</t>
        </is>
      </c>
      <c r="D771" s="9" t="n">
        <v>25</v>
      </c>
      <c r="E771" s="16" t="inlineStr">
        <is>
          <t>R</t>
        </is>
      </c>
      <c r="F771" s="16" t="n"/>
      <c r="G771" s="9" t="n">
        <v>4.061538461538461</v>
      </c>
      <c r="H771" s="9" t="n">
        <v>4.061538461538461</v>
      </c>
      <c r="I771" s="9" t="inlineStr">
        <is>
          <t>Depth (no MLB PA)</t>
        </is>
      </c>
      <c r="J771" s="16" t="inlineStr">
        <is>
          <t>Opening Day</t>
        </is>
      </c>
      <c r="K771" s="11">
        <f>IFERROR(INDEX(Roles!$B$17:$B$20,MATCH(J771,Roles!$A$17:$A$20,0)),1)</f>
        <v/>
      </c>
      <c r="L771" s="17" t="n">
        <v>1</v>
      </c>
      <c r="M771" s="11" t="n">
        <v>1</v>
      </c>
      <c r="N771" s="17" t="n"/>
      <c r="O771" s="17" t="n"/>
      <c r="P771" s="17" t="n"/>
      <c r="Q771" s="17" t="n"/>
      <c r="R771" s="17" t="n"/>
      <c r="S771" s="17" t="n"/>
      <c r="T771" s="17" t="n"/>
      <c r="U771" s="17" t="n"/>
      <c r="V771" s="17" t="n"/>
      <c r="W771" s="17" t="n"/>
      <c r="X771" s="17" t="n"/>
      <c r="Y771" s="17" t="n">
        <v>1</v>
      </c>
      <c r="Z771" s="13">
        <f>SUMPRODUCT(N771:Y771,$N$2:$Y$2)*$K771*$L771*$M771</f>
        <v/>
      </c>
      <c r="AA771" s="14">
        <f>SUM(N771:Y771)</f>
        <v/>
      </c>
      <c r="AB771" s="14">
        <f>IFERROR(IF(UPPER($E771)="L",SUMPRODUCT(N771:Y771,$N$3:$Y$3,$N$2:$Y$2),SUMPRODUCT(N771:Y771,$N$4:$Y$4,$N$2:$Y$2))/(Z771/($K771*$L771*$M771)),"")</f>
        <v/>
      </c>
      <c r="AC771" s="18" t="n"/>
    </row>
    <row r="772">
      <c r="A772" s="9" t="n">
        <v>807383</v>
      </c>
      <c r="B772" s="9" t="inlineStr">
        <is>
          <t>Randy Guzman</t>
        </is>
      </c>
      <c r="C772" s="9" t="inlineStr">
        <is>
          <t>NYM</t>
        </is>
      </c>
      <c r="D772" s="9" t="n">
        <v>22</v>
      </c>
      <c r="E772" s="16" t="inlineStr">
        <is>
          <t>R</t>
        </is>
      </c>
      <c r="F772" s="16" t="n"/>
      <c r="G772" s="9" t="n">
        <v>6.153846153846154</v>
      </c>
      <c r="H772" s="9" t="n">
        <v>6.153846153846154</v>
      </c>
      <c r="I772" s="9" t="inlineStr">
        <is>
          <t>Depth (no MLB PA)</t>
        </is>
      </c>
      <c r="J772" s="16" t="inlineStr">
        <is>
          <t>Opening Day</t>
        </is>
      </c>
      <c r="K772" s="11">
        <f>IFERROR(INDEX(Roles!$B$17:$B$20,MATCH(J772,Roles!$A$17:$A$20,0)),1)</f>
        <v/>
      </c>
      <c r="L772" s="17" t="n">
        <v>1</v>
      </c>
      <c r="M772" s="11" t="n">
        <v>1</v>
      </c>
      <c r="N772" s="17" t="n"/>
      <c r="O772" s="17" t="n"/>
      <c r="P772" s="17" t="n"/>
      <c r="Q772" s="17" t="n"/>
      <c r="R772" s="17" t="n"/>
      <c r="S772" s="17" t="n"/>
      <c r="T772" s="17" t="n"/>
      <c r="U772" s="17" t="n"/>
      <c r="V772" s="17" t="n"/>
      <c r="W772" s="17" t="n"/>
      <c r="X772" s="17" t="n"/>
      <c r="Y772" s="17" t="n">
        <v>1</v>
      </c>
      <c r="Z772" s="13">
        <f>SUMPRODUCT(N772:Y772,$N$2:$Y$2)*$K772*$L772*$M772</f>
        <v/>
      </c>
      <c r="AA772" s="14">
        <f>SUM(N772:Y772)</f>
        <v/>
      </c>
      <c r="AB772" s="14">
        <f>IFERROR(IF(UPPER($E772)="L",SUMPRODUCT(N772:Y772,$N$3:$Y$3,$N$2:$Y$2),SUMPRODUCT(N772:Y772,$N$4:$Y$4,$N$2:$Y$2))/(Z772/($K772*$L772*$M772)),"")</f>
        <v/>
      </c>
      <c r="AC772" s="18" t="n"/>
    </row>
    <row r="773">
      <c r="A773" s="9" t="n">
        <v>806025</v>
      </c>
      <c r="B773" s="9" t="inlineStr">
        <is>
          <t>Brayden Bakes</t>
        </is>
      </c>
      <c r="C773" s="9" t="inlineStr">
        <is>
          <t>PHI</t>
        </is>
      </c>
      <c r="D773" s="9" t="n">
        <v>25</v>
      </c>
      <c r="E773" s="16" t="inlineStr">
        <is>
          <t>L</t>
        </is>
      </c>
      <c r="F773" s="16" t="n"/>
      <c r="G773" s="9" t="n">
        <v>6.276923076923077</v>
      </c>
      <c r="H773" s="9" t="n">
        <v>6.276923076923077</v>
      </c>
      <c r="I773" s="9" t="inlineStr">
        <is>
          <t>Depth (no MLB PA)</t>
        </is>
      </c>
      <c r="J773" s="16" t="inlineStr">
        <is>
          <t>Opening Day</t>
        </is>
      </c>
      <c r="K773" s="11">
        <f>IFERROR(INDEX(Roles!$B$17:$B$20,MATCH(J773,Roles!$A$17:$A$20,0)),1)</f>
        <v/>
      </c>
      <c r="L773" s="17" t="n">
        <v>1</v>
      </c>
      <c r="M773" s="11" t="n">
        <v>1</v>
      </c>
      <c r="N773" s="17" t="n"/>
      <c r="O773" s="17" t="n"/>
      <c r="P773" s="17" t="n"/>
      <c r="Q773" s="17" t="n"/>
      <c r="R773" s="17" t="n"/>
      <c r="S773" s="17" t="n"/>
      <c r="T773" s="17" t="n"/>
      <c r="U773" s="17" t="n"/>
      <c r="V773" s="17" t="n"/>
      <c r="W773" s="17" t="n"/>
      <c r="X773" s="17" t="n"/>
      <c r="Y773" s="17" t="n">
        <v>1</v>
      </c>
      <c r="Z773" s="13">
        <f>SUMPRODUCT(N773:Y773,$N$2:$Y$2)*$K773*$L773*$M773</f>
        <v/>
      </c>
      <c r="AA773" s="14">
        <f>SUM(N773:Y773)</f>
        <v/>
      </c>
      <c r="AB773" s="14">
        <f>IFERROR(IF(UPPER($E773)="L",SUMPRODUCT(N773:Y773,$N$3:$Y$3,$N$2:$Y$2),SUMPRODUCT(N773:Y773,$N$4:$Y$4,$N$2:$Y$2))/(Z773/($K773*$L773*$M773)),"")</f>
        <v/>
      </c>
      <c r="AC773" s="18" t="n"/>
    </row>
    <row r="774">
      <c r="A774" s="9" t="n">
        <v>830337</v>
      </c>
      <c r="B774" s="9" t="inlineStr">
        <is>
          <t>Ben Tryon</t>
        </is>
      </c>
      <c r="C774" s="9" t="inlineStr">
        <is>
          <t>HOU</t>
        </is>
      </c>
      <c r="D774" s="9" t="n">
        <v>25</v>
      </c>
      <c r="E774" s="16" t="inlineStr">
        <is>
          <t>L</t>
        </is>
      </c>
      <c r="F774" s="16" t="n"/>
      <c r="G774" s="9" t="n">
        <v>6.276923076923077</v>
      </c>
      <c r="H774" s="9" t="n">
        <v>6.276923076923077</v>
      </c>
      <c r="I774" s="9" t="inlineStr">
        <is>
          <t>Depth (no MLB PA)</t>
        </is>
      </c>
      <c r="J774" s="16" t="inlineStr">
        <is>
          <t>Opening Day</t>
        </is>
      </c>
      <c r="K774" s="11">
        <f>IFERROR(INDEX(Roles!$B$17:$B$20,MATCH(J774,Roles!$A$17:$A$20,0)),1)</f>
        <v/>
      </c>
      <c r="L774" s="17" t="n">
        <v>1</v>
      </c>
      <c r="M774" s="11" t="n">
        <v>1</v>
      </c>
      <c r="N774" s="17" t="n"/>
      <c r="O774" s="17" t="n"/>
      <c r="P774" s="17" t="n"/>
      <c r="Q774" s="17" t="n"/>
      <c r="R774" s="17" t="n"/>
      <c r="S774" s="17" t="n"/>
      <c r="T774" s="17" t="n"/>
      <c r="U774" s="17" t="n"/>
      <c r="V774" s="17" t="n"/>
      <c r="W774" s="17" t="n"/>
      <c r="X774" s="17" t="n"/>
      <c r="Y774" s="17" t="n">
        <v>1</v>
      </c>
      <c r="Z774" s="13">
        <f>SUMPRODUCT(N774:Y774,$N$2:$Y$2)*$K774*$L774*$M774</f>
        <v/>
      </c>
      <c r="AA774" s="14">
        <f>SUM(N774:Y774)</f>
        <v/>
      </c>
      <c r="AB774" s="14">
        <f>IFERROR(IF(UPPER($E774)="L",SUMPRODUCT(N774:Y774,$N$3:$Y$3,$N$2:$Y$2),SUMPRODUCT(N774:Y774,$N$4:$Y$4,$N$2:$Y$2))/(Z774/($K774*$L774*$M774)),"")</f>
        <v/>
      </c>
      <c r="AC774" s="18" t="n"/>
    </row>
    <row r="775">
      <c r="A775" s="9" t="n">
        <v>656775</v>
      </c>
      <c r="B775" s="9" t="inlineStr">
        <is>
          <t>Cedric Mullins</t>
        </is>
      </c>
      <c r="C775" s="9" t="inlineStr">
        <is>
          <t>TB</t>
        </is>
      </c>
      <c r="D775" s="9" t="n">
        <v>32</v>
      </c>
      <c r="E775" s="16" t="inlineStr">
        <is>
          <t>L</t>
        </is>
      </c>
      <c r="F775" s="16" t="inlineStr">
        <is>
          <t>CF</t>
        </is>
      </c>
      <c r="G775" s="9" t="n">
        <v>502</v>
      </c>
      <c r="H775" s="9" t="n">
        <v>2626</v>
      </c>
      <c r="I775" s="9" t="inlineStr">
        <is>
          <t>Bench Bat</t>
        </is>
      </c>
      <c r="J775" s="16" t="inlineStr">
        <is>
          <t>Opening Day</t>
        </is>
      </c>
      <c r="K775" s="11">
        <f>IFERROR(INDEX(Roles!$B$17:$B$20,MATCH(J775,Roles!$A$17:$A$20,0)),1)</f>
        <v/>
      </c>
      <c r="L775" s="17" t="n">
        <v>1</v>
      </c>
      <c r="M775" s="11" t="n">
        <v>1.15</v>
      </c>
      <c r="N775" s="17" t="n"/>
      <c r="O775" s="17" t="n"/>
      <c r="P775" s="17" t="n"/>
      <c r="Q775" s="17" t="n"/>
      <c r="R775" s="17" t="n"/>
      <c r="S775" s="17" t="n"/>
      <c r="T775" s="17" t="n"/>
      <c r="U775" s="17" t="n"/>
      <c r="V775" s="17" t="n">
        <v>0.4</v>
      </c>
      <c r="W775" s="17" t="n">
        <v>0.6</v>
      </c>
      <c r="X775" s="17" t="n"/>
      <c r="Y775" s="17" t="n"/>
      <c r="Z775" s="13">
        <f>SUMPRODUCT(N775:Y775,$N$2:$Y$2)*$K775*$L775*$M775</f>
        <v/>
      </c>
      <c r="AA775" s="14">
        <f>SUM(N775:Y775)</f>
        <v/>
      </c>
      <c r="AB775" s="14">
        <f>IFERROR(IF(UPPER($E775)="L",SUMPRODUCT(N775:Y775,$N$3:$Y$3,$N$2:$Y$2),SUMPRODUCT(N775:Y775,$N$4:$Y$4,$N$2:$Y$2))/(Z775/($K775*$L775*$M775)),"")</f>
        <v/>
      </c>
      <c r="AC775" s="18" t="n"/>
    </row>
    <row r="776">
      <c r="A776" s="9" t="n">
        <v>679972</v>
      </c>
      <c r="B776" s="9" t="inlineStr">
        <is>
          <t>Arturo De Freitas</t>
        </is>
      </c>
      <c r="C776" s="9" t="inlineStr">
        <is>
          <t>TEX</t>
        </is>
      </c>
      <c r="D776" s="9" t="n">
        <v>25</v>
      </c>
      <c r="E776" s="16" t="inlineStr">
        <is>
          <t>R</t>
        </is>
      </c>
      <c r="F776" s="16" t="n"/>
      <c r="G776" s="9" t="n">
        <v>22.15384615384616</v>
      </c>
      <c r="H776" s="9" t="n">
        <v>22.15384615384616</v>
      </c>
      <c r="I776" s="9" t="inlineStr">
        <is>
          <t>Depth (no MLB PA)</t>
        </is>
      </c>
      <c r="J776" s="16" t="inlineStr">
        <is>
          <t>Opening Day</t>
        </is>
      </c>
      <c r="K776" s="11">
        <f>IFERROR(INDEX(Roles!$B$17:$B$20,MATCH(J776,Roles!$A$17:$A$20,0)),1)</f>
        <v/>
      </c>
      <c r="L776" s="17" t="n">
        <v>1</v>
      </c>
      <c r="M776" s="11" t="n">
        <v>1</v>
      </c>
      <c r="N776" s="17" t="n"/>
      <c r="O776" s="17" t="n"/>
      <c r="P776" s="17" t="n"/>
      <c r="Q776" s="17" t="n"/>
      <c r="R776" s="17" t="n"/>
      <c r="S776" s="17" t="n"/>
      <c r="T776" s="17" t="n"/>
      <c r="U776" s="17" t="n"/>
      <c r="V776" s="17" t="n"/>
      <c r="W776" s="17" t="n"/>
      <c r="X776" s="17" t="n"/>
      <c r="Y776" s="17" t="n">
        <v>1</v>
      </c>
      <c r="Z776" s="13">
        <f>SUMPRODUCT(N776:Y776,$N$2:$Y$2)*$K776*$L776*$M776</f>
        <v/>
      </c>
      <c r="AA776" s="14">
        <f>SUM(N776:Y776)</f>
        <v/>
      </c>
      <c r="AB776" s="14">
        <f>IFERROR(IF(UPPER($E776)="L",SUMPRODUCT(N776:Y776,$N$3:$Y$3,$N$2:$Y$2),SUMPRODUCT(N776:Y776,$N$4:$Y$4,$N$2:$Y$2))/(Z776/($K776*$L776*$M776)),"")</f>
        <v/>
      </c>
      <c r="AC776" s="18" t="n"/>
    </row>
    <row r="777">
      <c r="A777" s="9" t="n">
        <v>813852</v>
      </c>
      <c r="B777" s="9" t="inlineStr">
        <is>
          <t>Trey Paige</t>
        </is>
      </c>
      <c r="C777" s="9" t="inlineStr">
        <is>
          <t>STL</t>
        </is>
      </c>
      <c r="D777" s="9" t="n">
        <v>25</v>
      </c>
      <c r="E777" s="16" t="inlineStr">
        <is>
          <t>L</t>
        </is>
      </c>
      <c r="F777" s="16" t="n"/>
      <c r="G777" s="9" t="n">
        <v>32.71794871794872</v>
      </c>
      <c r="H777" s="9" t="n">
        <v>32.71794871794872</v>
      </c>
      <c r="I777" s="9" t="inlineStr">
        <is>
          <t>Depth (no MLB PA)</t>
        </is>
      </c>
      <c r="J777" s="16" t="inlineStr">
        <is>
          <t>Opening Day</t>
        </is>
      </c>
      <c r="K777" s="11">
        <f>IFERROR(INDEX(Roles!$B$17:$B$20,MATCH(J777,Roles!$A$17:$A$20,0)),1)</f>
        <v/>
      </c>
      <c r="L777" s="17" t="n">
        <v>1</v>
      </c>
      <c r="M777" s="11" t="n">
        <v>1</v>
      </c>
      <c r="N777" s="17" t="n"/>
      <c r="O777" s="17" t="n"/>
      <c r="P777" s="17" t="n"/>
      <c r="Q777" s="17" t="n"/>
      <c r="R777" s="17" t="n"/>
      <c r="S777" s="17" t="n"/>
      <c r="T777" s="17" t="n"/>
      <c r="U777" s="17" t="n"/>
      <c r="V777" s="17" t="n"/>
      <c r="W777" s="17" t="n"/>
      <c r="X777" s="17" t="n"/>
      <c r="Y777" s="17" t="n">
        <v>1</v>
      </c>
      <c r="Z777" s="13">
        <f>SUMPRODUCT(N777:Y777,$N$2:$Y$2)*$K777*$L777*$M777</f>
        <v/>
      </c>
      <c r="AA777" s="14">
        <f>SUM(N777:Y777)</f>
        <v/>
      </c>
      <c r="AB777" s="14">
        <f>IFERROR(IF(UPPER($E777)="L",SUMPRODUCT(N777:Y777,$N$3:$Y$3,$N$2:$Y$2),SUMPRODUCT(N777:Y777,$N$4:$Y$4,$N$2:$Y$2))/(Z777/($K777*$L777*$M777)),"")</f>
        <v/>
      </c>
      <c r="AC777" s="18" t="n"/>
    </row>
    <row r="778">
      <c r="A778" s="9" t="n">
        <v>805268</v>
      </c>
      <c r="B778" s="9" t="inlineStr">
        <is>
          <t>Peyton Williams</t>
        </is>
      </c>
      <c r="C778" s="9" t="inlineStr">
        <is>
          <t>TOR</t>
        </is>
      </c>
      <c r="D778" s="9" t="n">
        <v>25</v>
      </c>
      <c r="E778" s="16" t="inlineStr">
        <is>
          <t>L</t>
        </is>
      </c>
      <c r="F778" s="16" t="n"/>
      <c r="G778" s="9" t="n">
        <v>47.38461538461539</v>
      </c>
      <c r="H778" s="9" t="n">
        <v>47.38461538461539</v>
      </c>
      <c r="I778" s="9" t="inlineStr">
        <is>
          <t>Depth (no MLB PA)</t>
        </is>
      </c>
      <c r="J778" s="16" t="inlineStr">
        <is>
          <t>Opening Day</t>
        </is>
      </c>
      <c r="K778" s="11">
        <f>IFERROR(INDEX(Roles!$B$17:$B$20,MATCH(J778,Roles!$A$17:$A$20,0)),1)</f>
        <v/>
      </c>
      <c r="L778" s="17" t="n">
        <v>1</v>
      </c>
      <c r="M778" s="11" t="n">
        <v>1</v>
      </c>
      <c r="N778" s="17" t="n"/>
      <c r="O778" s="17" t="n"/>
      <c r="P778" s="17" t="n"/>
      <c r="Q778" s="17" t="n"/>
      <c r="R778" s="17" t="n"/>
      <c r="S778" s="17" t="n"/>
      <c r="T778" s="17" t="n"/>
      <c r="U778" s="17" t="n"/>
      <c r="V778" s="17" t="n"/>
      <c r="W778" s="17" t="n"/>
      <c r="X778" s="17" t="n"/>
      <c r="Y778" s="17" t="n">
        <v>1</v>
      </c>
      <c r="Z778" s="13">
        <f>SUMPRODUCT(N778:Y778,$N$2:$Y$2)*$K778*$L778*$M778</f>
        <v/>
      </c>
      <c r="AA778" s="14">
        <f>SUM(N778:Y778)</f>
        <v/>
      </c>
      <c r="AB778" s="14">
        <f>IFERROR(IF(UPPER($E778)="L",SUMPRODUCT(N778:Y778,$N$3:$Y$3,$N$2:$Y$2),SUMPRODUCT(N778:Y778,$N$4:$Y$4,$N$2:$Y$2))/(Z778/($K778*$L778*$M778)),"")</f>
        <v/>
      </c>
      <c r="AC778" s="18" t="n"/>
    </row>
    <row r="779">
      <c r="A779" s="9" t="n">
        <v>700385</v>
      </c>
      <c r="B779" s="9" t="inlineStr">
        <is>
          <t>Gabriel Silva</t>
        </is>
      </c>
      <c r="C779" s="9" t="inlineStr">
        <is>
          <t>KC</t>
        </is>
      </c>
      <c r="D779" s="9" t="n">
        <v>25</v>
      </c>
      <c r="E779" s="16" t="inlineStr">
        <is>
          <t>R</t>
        </is>
      </c>
      <c r="F779" s="16" t="n"/>
      <c r="G779" s="9" t="n">
        <v>8.36923076923077</v>
      </c>
      <c r="H779" s="9" t="n">
        <v>8.36923076923077</v>
      </c>
      <c r="I779" s="9" t="inlineStr">
        <is>
          <t>Depth (no MLB PA)</t>
        </is>
      </c>
      <c r="J779" s="16" t="inlineStr">
        <is>
          <t>Opening Day</t>
        </is>
      </c>
      <c r="K779" s="11">
        <f>IFERROR(INDEX(Roles!$B$17:$B$20,MATCH(J779,Roles!$A$17:$A$20,0)),1)</f>
        <v/>
      </c>
      <c r="L779" s="17" t="n">
        <v>1</v>
      </c>
      <c r="M779" s="11" t="n">
        <v>1</v>
      </c>
      <c r="N779" s="17" t="n"/>
      <c r="O779" s="17" t="n"/>
      <c r="P779" s="17" t="n"/>
      <c r="Q779" s="17" t="n"/>
      <c r="R779" s="17" t="n"/>
      <c r="S779" s="17" t="n"/>
      <c r="T779" s="17" t="n"/>
      <c r="U779" s="17" t="n"/>
      <c r="V779" s="17" t="n"/>
      <c r="W779" s="17" t="n"/>
      <c r="X779" s="17" t="n"/>
      <c r="Y779" s="17" t="n">
        <v>1</v>
      </c>
      <c r="Z779" s="13">
        <f>SUMPRODUCT(N779:Y779,$N$2:$Y$2)*$K779*$L779*$M779</f>
        <v/>
      </c>
      <c r="AA779" s="14">
        <f>SUM(N779:Y779)</f>
        <v/>
      </c>
      <c r="AB779" s="14">
        <f>IFERROR(IF(UPPER($E779)="L",SUMPRODUCT(N779:Y779,$N$3:$Y$3,$N$2:$Y$2),SUMPRODUCT(N779:Y779,$N$4:$Y$4,$N$2:$Y$2))/(Z779/($K779*$L779*$M779)),"")</f>
        <v/>
      </c>
      <c r="AC779" s="18" t="n"/>
    </row>
    <row r="780">
      <c r="A780" s="9" t="n">
        <v>824765</v>
      </c>
      <c r="B780" s="9" t="inlineStr">
        <is>
          <t>Michael Martinez</t>
        </is>
      </c>
      <c r="C780" s="9" t="inlineStr">
        <is>
          <t>ATL</t>
        </is>
      </c>
      <c r="D780" s="9" t="n">
        <v>25</v>
      </c>
      <c r="E780" s="16" t="inlineStr">
        <is>
          <t>R</t>
        </is>
      </c>
      <c r="F780" s="16" t="n"/>
      <c r="G780" s="9" t="n">
        <v>16.73846153846154</v>
      </c>
      <c r="H780" s="9" t="n">
        <v>16.73846153846154</v>
      </c>
      <c r="I780" s="9" t="inlineStr">
        <is>
          <t>Depth (no MLB PA)</t>
        </is>
      </c>
      <c r="J780" s="16" t="inlineStr">
        <is>
          <t>Opening Day</t>
        </is>
      </c>
      <c r="K780" s="11">
        <f>IFERROR(INDEX(Roles!$B$17:$B$20,MATCH(J780,Roles!$A$17:$A$20,0)),1)</f>
        <v/>
      </c>
      <c r="L780" s="17" t="n">
        <v>1</v>
      </c>
      <c r="M780" s="11" t="n">
        <v>1</v>
      </c>
      <c r="N780" s="17" t="n"/>
      <c r="O780" s="17" t="n"/>
      <c r="P780" s="17" t="n"/>
      <c r="Q780" s="17" t="n"/>
      <c r="R780" s="17" t="n"/>
      <c r="S780" s="17" t="n"/>
      <c r="T780" s="17" t="n"/>
      <c r="U780" s="17" t="n"/>
      <c r="V780" s="17" t="n"/>
      <c r="W780" s="17" t="n"/>
      <c r="X780" s="17" t="n"/>
      <c r="Y780" s="17" t="n">
        <v>1</v>
      </c>
      <c r="Z780" s="13">
        <f>SUMPRODUCT(N780:Y780,$N$2:$Y$2)*$K780*$L780*$M780</f>
        <v/>
      </c>
      <c r="AA780" s="14">
        <f>SUM(N780:Y780)</f>
        <v/>
      </c>
      <c r="AB780" s="14">
        <f>IFERROR(IF(UPPER($E780)="L",SUMPRODUCT(N780:Y780,$N$3:$Y$3,$N$2:$Y$2),SUMPRODUCT(N780:Y780,$N$4:$Y$4,$N$2:$Y$2))/(Z780/($K780*$L780*$M780)),"")</f>
        <v/>
      </c>
      <c r="AC780" s="18" t="n"/>
    </row>
    <row r="781">
      <c r="A781" s="9" t="n">
        <v>822496</v>
      </c>
      <c r="B781" s="9" t="inlineStr">
        <is>
          <t>Bayram Hot</t>
        </is>
      </c>
      <c r="C781" s="9" t="inlineStr">
        <is>
          <t>NYY</t>
        </is>
      </c>
      <c r="D781" s="9" t="n">
        <v>25</v>
      </c>
      <c r="E781" s="16" t="inlineStr">
        <is>
          <t>R</t>
        </is>
      </c>
      <c r="F781" s="16" t="n"/>
      <c r="G781" s="9" t="n">
        <v>2.092307692307692</v>
      </c>
      <c r="H781" s="9" t="n">
        <v>2.092307692307692</v>
      </c>
      <c r="I781" s="9" t="inlineStr">
        <is>
          <t>Depth (no MLB PA)</t>
        </is>
      </c>
      <c r="J781" s="16" t="inlineStr">
        <is>
          <t>Opening Day</t>
        </is>
      </c>
      <c r="K781" s="11">
        <f>IFERROR(INDEX(Roles!$B$17:$B$20,MATCH(J781,Roles!$A$17:$A$20,0)),1)</f>
        <v/>
      </c>
      <c r="L781" s="17" t="n">
        <v>1</v>
      </c>
      <c r="M781" s="11" t="n">
        <v>1</v>
      </c>
      <c r="N781" s="17" t="n"/>
      <c r="O781" s="17" t="n"/>
      <c r="P781" s="17" t="n"/>
      <c r="Q781" s="17" t="n"/>
      <c r="R781" s="17" t="n"/>
      <c r="S781" s="17" t="n"/>
      <c r="T781" s="17" t="n"/>
      <c r="U781" s="17" t="n"/>
      <c r="V781" s="17" t="n"/>
      <c r="W781" s="17" t="n"/>
      <c r="X781" s="17" t="n"/>
      <c r="Y781" s="17" t="n">
        <v>1</v>
      </c>
      <c r="Z781" s="13">
        <f>SUMPRODUCT(N781:Y781,$N$2:$Y$2)*$K781*$L781*$M781</f>
        <v/>
      </c>
      <c r="AA781" s="14">
        <f>SUM(N781:Y781)</f>
        <v/>
      </c>
      <c r="AB781" s="14">
        <f>IFERROR(IF(UPPER($E781)="L",SUMPRODUCT(N781:Y781,$N$3:$Y$3,$N$2:$Y$2),SUMPRODUCT(N781:Y781,$N$4:$Y$4,$N$2:$Y$2))/(Z781/($K781*$L781*$M781)),"")</f>
        <v/>
      </c>
      <c r="AC781" s="18" t="n"/>
    </row>
    <row r="782">
      <c r="A782" s="9" t="n">
        <v>695426</v>
      </c>
      <c r="B782" s="9" t="inlineStr">
        <is>
          <t>Spencer Bramwell</t>
        </is>
      </c>
      <c r="C782" s="9" t="inlineStr">
        <is>
          <t>MIA</t>
        </is>
      </c>
      <c r="D782" s="9" t="n">
        <v>25</v>
      </c>
      <c r="E782" s="16" t="inlineStr">
        <is>
          <t>R</t>
        </is>
      </c>
      <c r="F782" s="16" t="n"/>
      <c r="G782" s="9" t="n">
        <v>2.153846153846154</v>
      </c>
      <c r="H782" s="9" t="n">
        <v>2.153846153846154</v>
      </c>
      <c r="I782" s="9" t="inlineStr">
        <is>
          <t>Depth (no MLB PA)</t>
        </is>
      </c>
      <c r="J782" s="16" t="inlineStr">
        <is>
          <t>Opening Day</t>
        </is>
      </c>
      <c r="K782" s="11">
        <f>IFERROR(INDEX(Roles!$B$17:$B$20,MATCH(J782,Roles!$A$17:$A$20,0)),1)</f>
        <v/>
      </c>
      <c r="L782" s="17" t="n">
        <v>1</v>
      </c>
      <c r="M782" s="11" t="n">
        <v>1</v>
      </c>
      <c r="N782" s="17" t="n"/>
      <c r="O782" s="17" t="n"/>
      <c r="P782" s="17" t="n"/>
      <c r="Q782" s="17" t="n"/>
      <c r="R782" s="17" t="n"/>
      <c r="S782" s="17" t="n"/>
      <c r="T782" s="17" t="n"/>
      <c r="U782" s="17" t="n"/>
      <c r="V782" s="17" t="n"/>
      <c r="W782" s="17" t="n"/>
      <c r="X782" s="17" t="n"/>
      <c r="Y782" s="17" t="n">
        <v>1</v>
      </c>
      <c r="Z782" s="13">
        <f>SUMPRODUCT(N782:Y782,$N$2:$Y$2)*$K782*$L782*$M782</f>
        <v/>
      </c>
      <c r="AA782" s="14">
        <f>SUM(N782:Y782)</f>
        <v/>
      </c>
      <c r="AB782" s="14">
        <f>IFERROR(IF(UPPER($E782)="L",SUMPRODUCT(N782:Y782,$N$3:$Y$3,$N$2:$Y$2),SUMPRODUCT(N782:Y782,$N$4:$Y$4,$N$2:$Y$2))/(Z782/($K782*$L782*$M782)),"")</f>
        <v/>
      </c>
      <c r="AC782" s="18" t="n"/>
    </row>
    <row r="783">
      <c r="A783" s="9" t="n">
        <v>695742</v>
      </c>
      <c r="B783" s="9" t="inlineStr">
        <is>
          <t>Hudson White</t>
        </is>
      </c>
      <c r="C783" s="9" t="inlineStr">
        <is>
          <t>BOS</t>
        </is>
      </c>
      <c r="D783" s="9" t="n">
        <v>25</v>
      </c>
      <c r="E783" s="16" t="inlineStr">
        <is>
          <t>R</t>
        </is>
      </c>
      <c r="F783" s="16" t="n"/>
      <c r="G783" s="9" t="n">
        <v>2.153846153846154</v>
      </c>
      <c r="H783" s="9" t="n">
        <v>2.153846153846154</v>
      </c>
      <c r="I783" s="9" t="inlineStr">
        <is>
          <t>Depth (no MLB PA)</t>
        </is>
      </c>
      <c r="J783" s="16" t="inlineStr">
        <is>
          <t>Opening Day</t>
        </is>
      </c>
      <c r="K783" s="11">
        <f>IFERROR(INDEX(Roles!$B$17:$B$20,MATCH(J783,Roles!$A$17:$A$20,0)),1)</f>
        <v/>
      </c>
      <c r="L783" s="17" t="n">
        <v>1</v>
      </c>
      <c r="M783" s="11" t="n">
        <v>1</v>
      </c>
      <c r="N783" s="17" t="n"/>
      <c r="O783" s="17" t="n"/>
      <c r="P783" s="17" t="n"/>
      <c r="Q783" s="17" t="n"/>
      <c r="R783" s="17" t="n"/>
      <c r="S783" s="17" t="n"/>
      <c r="T783" s="17" t="n"/>
      <c r="U783" s="17" t="n"/>
      <c r="V783" s="17" t="n"/>
      <c r="W783" s="17" t="n"/>
      <c r="X783" s="17" t="n"/>
      <c r="Y783" s="17" t="n">
        <v>1</v>
      </c>
      <c r="Z783" s="13">
        <f>SUMPRODUCT(N783:Y783,$N$2:$Y$2)*$K783*$L783*$M783</f>
        <v/>
      </c>
      <c r="AA783" s="14">
        <f>SUM(N783:Y783)</f>
        <v/>
      </c>
      <c r="AB783" s="14">
        <f>IFERROR(IF(UPPER($E783)="L",SUMPRODUCT(N783:Y783,$N$3:$Y$3,$N$2:$Y$2),SUMPRODUCT(N783:Y783,$N$4:$Y$4,$N$2:$Y$2))/(Z783/($K783*$L783*$M783)),"")</f>
        <v/>
      </c>
      <c r="AC783" s="18" t="n"/>
    </row>
    <row r="784">
      <c r="A784" s="9" t="n">
        <v>683233</v>
      </c>
      <c r="B784" s="9" t="inlineStr">
        <is>
          <t>Douglas Hodo III</t>
        </is>
      </c>
      <c r="C784" s="9" t="inlineStr">
        <is>
          <t>BAL</t>
        </is>
      </c>
      <c r="D784" s="9" t="n">
        <v>25</v>
      </c>
      <c r="E784" s="16" t="inlineStr">
        <is>
          <t>R</t>
        </is>
      </c>
      <c r="F784" s="16" t="n"/>
      <c r="G784" s="9" t="n">
        <v>68.2051282051282</v>
      </c>
      <c r="H784" s="9" t="n">
        <v>68.2051282051282</v>
      </c>
      <c r="I784" s="9" t="inlineStr">
        <is>
          <t>Depth (no MLB PA)</t>
        </is>
      </c>
      <c r="J784" s="16" t="inlineStr">
        <is>
          <t>Opening Day</t>
        </is>
      </c>
      <c r="K784" s="11">
        <f>IFERROR(INDEX(Roles!$B$17:$B$20,MATCH(J784,Roles!$A$17:$A$20,0)),1)</f>
        <v/>
      </c>
      <c r="L784" s="17" t="n">
        <v>1</v>
      </c>
      <c r="M784" s="11" t="n">
        <v>1</v>
      </c>
      <c r="N784" s="17" t="n"/>
      <c r="O784" s="17" t="n"/>
      <c r="P784" s="17" t="n"/>
      <c r="Q784" s="17" t="n"/>
      <c r="R784" s="17" t="n"/>
      <c r="S784" s="17" t="n"/>
      <c r="T784" s="17" t="n"/>
      <c r="U784" s="17" t="n"/>
      <c r="V784" s="17" t="n"/>
      <c r="W784" s="17" t="n"/>
      <c r="X784" s="17" t="n"/>
      <c r="Y784" s="17" t="n">
        <v>1</v>
      </c>
      <c r="Z784" s="13">
        <f>SUMPRODUCT(N784:Y784,$N$2:$Y$2)*$K784*$L784*$M784</f>
        <v/>
      </c>
      <c r="AA784" s="14">
        <f>SUM(N784:Y784)</f>
        <v/>
      </c>
      <c r="AB784" s="14">
        <f>IFERROR(IF(UPPER($E784)="L",SUMPRODUCT(N784:Y784,$N$3:$Y$3,$N$2:$Y$2),SUMPRODUCT(N784:Y784,$N$4:$Y$4,$N$2:$Y$2))/(Z784/($K784*$L784*$M784)),"")</f>
        <v/>
      </c>
      <c r="AC784" s="18" t="n"/>
    </row>
    <row r="785">
      <c r="A785" s="9" t="n">
        <v>675382</v>
      </c>
      <c r="B785" s="9" t="inlineStr">
        <is>
          <t>Andrew Sojka</t>
        </is>
      </c>
      <c r="C785" s="9" t="inlineStr">
        <is>
          <t>DET</t>
        </is>
      </c>
      <c r="D785" s="9" t="n">
        <v>25</v>
      </c>
      <c r="E785" s="16" t="inlineStr">
        <is>
          <t>L</t>
        </is>
      </c>
      <c r="F785" s="16" t="n"/>
      <c r="G785" s="9" t="n">
        <v>2.153846153846154</v>
      </c>
      <c r="H785" s="9" t="n">
        <v>2.153846153846154</v>
      </c>
      <c r="I785" s="9" t="inlineStr">
        <is>
          <t>Depth (no MLB PA)</t>
        </is>
      </c>
      <c r="J785" s="16" t="inlineStr">
        <is>
          <t>Opening Day</t>
        </is>
      </c>
      <c r="K785" s="11">
        <f>IFERROR(INDEX(Roles!$B$17:$B$20,MATCH(J785,Roles!$A$17:$A$20,0)),1)</f>
        <v/>
      </c>
      <c r="L785" s="17" t="n">
        <v>1</v>
      </c>
      <c r="M785" s="11" t="n">
        <v>1</v>
      </c>
      <c r="N785" s="17" t="n"/>
      <c r="O785" s="17" t="n"/>
      <c r="P785" s="17" t="n"/>
      <c r="Q785" s="17" t="n"/>
      <c r="R785" s="17" t="n"/>
      <c r="S785" s="17" t="n"/>
      <c r="T785" s="17" t="n"/>
      <c r="U785" s="17" t="n"/>
      <c r="V785" s="17" t="n"/>
      <c r="W785" s="17" t="n"/>
      <c r="X785" s="17" t="n"/>
      <c r="Y785" s="17" t="n">
        <v>1</v>
      </c>
      <c r="Z785" s="13">
        <f>SUMPRODUCT(N785:Y785,$N$2:$Y$2)*$K785*$L785*$M785</f>
        <v/>
      </c>
      <c r="AA785" s="14">
        <f>SUM(N785:Y785)</f>
        <v/>
      </c>
      <c r="AB785" s="14">
        <f>IFERROR(IF(UPPER($E785)="L",SUMPRODUCT(N785:Y785,$N$3:$Y$3,$N$2:$Y$2),SUMPRODUCT(N785:Y785,$N$4:$Y$4,$N$2:$Y$2))/(Z785/($K785*$L785*$M785)),"")</f>
        <v/>
      </c>
      <c r="AC785" s="18" t="n"/>
    </row>
    <row r="786">
      <c r="A786" s="9" t="n">
        <v>691392</v>
      </c>
      <c r="B786" s="9" t="inlineStr">
        <is>
          <t>Johnny Ascanio</t>
        </is>
      </c>
      <c r="C786" s="9" t="inlineStr">
        <is>
          <t>CIN</t>
        </is>
      </c>
      <c r="D786" s="9" t="n">
        <v>25</v>
      </c>
      <c r="E786" s="16" t="inlineStr">
        <is>
          <t>S</t>
        </is>
      </c>
      <c r="F786" s="16" t="n"/>
      <c r="G786" s="9" t="n">
        <v>2.256410256410257</v>
      </c>
      <c r="H786" s="9" t="n">
        <v>2.256410256410257</v>
      </c>
      <c r="I786" s="9" t="inlineStr">
        <is>
          <t>Depth (no MLB PA)</t>
        </is>
      </c>
      <c r="J786" s="16" t="inlineStr">
        <is>
          <t>Opening Day</t>
        </is>
      </c>
      <c r="K786" s="11">
        <f>IFERROR(INDEX(Roles!$B$17:$B$20,MATCH(J786,Roles!$A$17:$A$20,0)),1)</f>
        <v/>
      </c>
      <c r="L786" s="17" t="n">
        <v>1</v>
      </c>
      <c r="M786" s="11" t="n">
        <v>1</v>
      </c>
      <c r="N786" s="17" t="n"/>
      <c r="O786" s="17" t="n"/>
      <c r="P786" s="17" t="n"/>
      <c r="Q786" s="17" t="n"/>
      <c r="R786" s="17" t="n"/>
      <c r="S786" s="17" t="n"/>
      <c r="T786" s="17" t="n"/>
      <c r="U786" s="17" t="n"/>
      <c r="V786" s="17" t="n"/>
      <c r="W786" s="17" t="n"/>
      <c r="X786" s="17" t="n"/>
      <c r="Y786" s="17" t="n">
        <v>1</v>
      </c>
      <c r="Z786" s="13">
        <f>SUMPRODUCT(N786:Y786,$N$2:$Y$2)*$K786*$L786*$M786</f>
        <v/>
      </c>
      <c r="AA786" s="14">
        <f>SUM(N786:Y786)</f>
        <v/>
      </c>
      <c r="AB786" s="14">
        <f>IFERROR(IF(UPPER($E786)="L",SUMPRODUCT(N786:Y786,$N$3:$Y$3,$N$2:$Y$2),SUMPRODUCT(N786:Y786,$N$4:$Y$4,$N$2:$Y$2))/(Z786/($K786*$L786*$M786)),"")</f>
        <v/>
      </c>
      <c r="AC786" s="18" t="n"/>
    </row>
    <row r="787">
      <c r="A787" s="9" t="n">
        <v>800384</v>
      </c>
      <c r="B787" s="9" t="inlineStr">
        <is>
          <t>Nicandro Aybar</t>
        </is>
      </c>
      <c r="C787" s="9" t="inlineStr">
        <is>
          <t>TB</t>
        </is>
      </c>
      <c r="D787" s="9" t="n">
        <v>25</v>
      </c>
      <c r="E787" s="16" t="inlineStr">
        <is>
          <t>S</t>
        </is>
      </c>
      <c r="F787" s="16" t="n"/>
      <c r="G787" s="9" t="n">
        <v>2.256410256410257</v>
      </c>
      <c r="H787" s="9" t="n">
        <v>2.256410256410257</v>
      </c>
      <c r="I787" s="9" t="inlineStr">
        <is>
          <t>Depth (no MLB PA)</t>
        </is>
      </c>
      <c r="J787" s="16" t="inlineStr">
        <is>
          <t>Opening Day</t>
        </is>
      </c>
      <c r="K787" s="11">
        <f>IFERROR(INDEX(Roles!$B$17:$B$20,MATCH(J787,Roles!$A$17:$A$20,0)),1)</f>
        <v/>
      </c>
      <c r="L787" s="17" t="n">
        <v>1</v>
      </c>
      <c r="M787" s="11" t="n">
        <v>1</v>
      </c>
      <c r="N787" s="17" t="n"/>
      <c r="O787" s="17" t="n"/>
      <c r="P787" s="17" t="n"/>
      <c r="Q787" s="17" t="n"/>
      <c r="R787" s="17" t="n"/>
      <c r="S787" s="17" t="n"/>
      <c r="T787" s="17" t="n"/>
      <c r="U787" s="17" t="n"/>
      <c r="V787" s="17" t="n"/>
      <c r="W787" s="17" t="n"/>
      <c r="X787" s="17" t="n"/>
      <c r="Y787" s="17" t="n">
        <v>1</v>
      </c>
      <c r="Z787" s="13">
        <f>SUMPRODUCT(N787:Y787,$N$2:$Y$2)*$K787*$L787*$M787</f>
        <v/>
      </c>
      <c r="AA787" s="14">
        <f>SUM(N787:Y787)</f>
        <v/>
      </c>
      <c r="AB787" s="14">
        <f>IFERROR(IF(UPPER($E787)="L",SUMPRODUCT(N787:Y787,$N$3:$Y$3,$N$2:$Y$2),SUMPRODUCT(N787:Y787,$N$4:$Y$4,$N$2:$Y$2))/(Z787/($K787*$L787*$M787)),"")</f>
        <v/>
      </c>
      <c r="AC787" s="18" t="n"/>
    </row>
    <row r="788">
      <c r="A788" s="9" t="n">
        <v>821877</v>
      </c>
      <c r="B788" s="9" t="inlineStr">
        <is>
          <t>Blake Schaaf</t>
        </is>
      </c>
      <c r="C788" s="9" t="inlineStr">
        <is>
          <t>NYY</t>
        </is>
      </c>
      <c r="D788" s="9" t="n">
        <v>25</v>
      </c>
      <c r="E788" s="16" t="inlineStr">
        <is>
          <t>L</t>
        </is>
      </c>
      <c r="F788" s="16" t="n"/>
      <c r="G788" s="9" t="n">
        <v>2.215384615384616</v>
      </c>
      <c r="H788" s="9" t="n">
        <v>2.215384615384616</v>
      </c>
      <c r="I788" s="9" t="inlineStr">
        <is>
          <t>Depth (no MLB PA)</t>
        </is>
      </c>
      <c r="J788" s="16" t="inlineStr">
        <is>
          <t>Opening Day</t>
        </is>
      </c>
      <c r="K788" s="11">
        <f>IFERROR(INDEX(Roles!$B$17:$B$20,MATCH(J788,Roles!$A$17:$A$20,0)),1)</f>
        <v/>
      </c>
      <c r="L788" s="17" t="n">
        <v>1</v>
      </c>
      <c r="M788" s="11" t="n">
        <v>1</v>
      </c>
      <c r="N788" s="17" t="n"/>
      <c r="O788" s="17" t="n"/>
      <c r="P788" s="17" t="n"/>
      <c r="Q788" s="17" t="n"/>
      <c r="R788" s="17" t="n"/>
      <c r="S788" s="17" t="n"/>
      <c r="T788" s="17" t="n"/>
      <c r="U788" s="17" t="n"/>
      <c r="V788" s="17" t="n"/>
      <c r="W788" s="17" t="n"/>
      <c r="X788" s="17" t="n"/>
      <c r="Y788" s="17" t="n">
        <v>1</v>
      </c>
      <c r="Z788" s="13">
        <f>SUMPRODUCT(N788:Y788,$N$2:$Y$2)*$K788*$L788*$M788</f>
        <v/>
      </c>
      <c r="AA788" s="14">
        <f>SUM(N788:Y788)</f>
        <v/>
      </c>
      <c r="AB788" s="14">
        <f>IFERROR(IF(UPPER($E788)="L",SUMPRODUCT(N788:Y788,$N$3:$Y$3,$N$2:$Y$2),SUMPRODUCT(N788:Y788,$N$4:$Y$4,$N$2:$Y$2))/(Z788/($K788*$L788*$M788)),"")</f>
        <v/>
      </c>
      <c r="AC788" s="18" t="n"/>
    </row>
    <row r="789">
      <c r="A789" s="9" t="n">
        <v>800414</v>
      </c>
      <c r="B789" s="9" t="inlineStr">
        <is>
          <t>Alfredo Velásquez</t>
        </is>
      </c>
      <c r="C789" s="9" t="inlineStr">
        <is>
          <t>BAL</t>
        </is>
      </c>
      <c r="D789" s="9" t="n">
        <v>25</v>
      </c>
      <c r="E789" s="16" t="inlineStr">
        <is>
          <t>R</t>
        </is>
      </c>
      <c r="F789" s="16" t="n"/>
      <c r="G789" s="9" t="n">
        <v>2.256410256410257</v>
      </c>
      <c r="H789" s="9" t="n">
        <v>2.256410256410257</v>
      </c>
      <c r="I789" s="9" t="inlineStr">
        <is>
          <t>Depth (no MLB PA)</t>
        </is>
      </c>
      <c r="J789" s="16" t="inlineStr">
        <is>
          <t>Opening Day</t>
        </is>
      </c>
      <c r="K789" s="11">
        <f>IFERROR(INDEX(Roles!$B$17:$B$20,MATCH(J789,Roles!$A$17:$A$20,0)),1)</f>
        <v/>
      </c>
      <c r="L789" s="17" t="n">
        <v>1</v>
      </c>
      <c r="M789" s="11" t="n">
        <v>1</v>
      </c>
      <c r="N789" s="17" t="n"/>
      <c r="O789" s="17" t="n"/>
      <c r="P789" s="17" t="n"/>
      <c r="Q789" s="17" t="n"/>
      <c r="R789" s="17" t="n"/>
      <c r="S789" s="17" t="n"/>
      <c r="T789" s="17" t="n"/>
      <c r="U789" s="17" t="n"/>
      <c r="V789" s="17" t="n"/>
      <c r="W789" s="17" t="n"/>
      <c r="X789" s="17" t="n"/>
      <c r="Y789" s="17" t="n">
        <v>1</v>
      </c>
      <c r="Z789" s="13">
        <f>SUMPRODUCT(N789:Y789,$N$2:$Y$2)*$K789*$L789*$M789</f>
        <v/>
      </c>
      <c r="AA789" s="14">
        <f>SUM(N789:Y789)</f>
        <v/>
      </c>
      <c r="AB789" s="14">
        <f>IFERROR(IF(UPPER($E789)="L",SUMPRODUCT(N789:Y789,$N$3:$Y$3,$N$2:$Y$2),SUMPRODUCT(N789:Y789,$N$4:$Y$4,$N$2:$Y$2))/(Z789/($K789*$L789*$M789)),"")</f>
        <v/>
      </c>
      <c r="AC789" s="18" t="n"/>
    </row>
    <row r="790">
      <c r="A790" s="9" t="n">
        <v>821791</v>
      </c>
      <c r="B790" s="9" t="inlineStr">
        <is>
          <t>Angel Brachi</t>
        </is>
      </c>
      <c r="C790" s="9" t="inlineStr">
        <is>
          <t>MIA</t>
        </is>
      </c>
      <c r="D790" s="9" t="n">
        <v>25</v>
      </c>
      <c r="E790" s="16" t="inlineStr">
        <is>
          <t>R</t>
        </is>
      </c>
      <c r="F790" s="16" t="n"/>
      <c r="G790" s="9" t="n">
        <v>2.215384615384616</v>
      </c>
      <c r="H790" s="9" t="n">
        <v>2.215384615384616</v>
      </c>
      <c r="I790" s="9" t="inlineStr">
        <is>
          <t>Depth (no MLB PA)</t>
        </is>
      </c>
      <c r="J790" s="16" t="inlineStr">
        <is>
          <t>Opening Day</t>
        </is>
      </c>
      <c r="K790" s="11">
        <f>IFERROR(INDEX(Roles!$B$17:$B$20,MATCH(J790,Roles!$A$17:$A$20,0)),1)</f>
        <v/>
      </c>
      <c r="L790" s="17" t="n">
        <v>1</v>
      </c>
      <c r="M790" s="11" t="n">
        <v>1</v>
      </c>
      <c r="N790" s="17" t="n"/>
      <c r="O790" s="17" t="n"/>
      <c r="P790" s="17" t="n"/>
      <c r="Q790" s="17" t="n"/>
      <c r="R790" s="17" t="n"/>
      <c r="S790" s="17" t="n"/>
      <c r="T790" s="17" t="n"/>
      <c r="U790" s="17" t="n"/>
      <c r="V790" s="17" t="n"/>
      <c r="W790" s="17" t="n"/>
      <c r="X790" s="17" t="n"/>
      <c r="Y790" s="17" t="n">
        <v>1</v>
      </c>
      <c r="Z790" s="13">
        <f>SUMPRODUCT(N790:Y790,$N$2:$Y$2)*$K790*$L790*$M790</f>
        <v/>
      </c>
      <c r="AA790" s="14">
        <f>SUM(N790:Y790)</f>
        <v/>
      </c>
      <c r="AB790" s="14">
        <f>IFERROR(IF(UPPER($E790)="L",SUMPRODUCT(N790:Y790,$N$3:$Y$3,$N$2:$Y$2),SUMPRODUCT(N790:Y790,$N$4:$Y$4,$N$2:$Y$2))/(Z790/($K790*$L790*$M790)),"")</f>
        <v/>
      </c>
      <c r="AC790" s="18" t="n"/>
    </row>
    <row r="791">
      <c r="A791" s="9" t="n">
        <v>687600</v>
      </c>
      <c r="B791" s="9" t="inlineStr">
        <is>
          <t>Kaden Hopson</t>
        </is>
      </c>
      <c r="C791" s="9" t="inlineStr">
        <is>
          <t>LAA</t>
        </is>
      </c>
      <c r="D791" s="9" t="n">
        <v>25</v>
      </c>
      <c r="E791" s="16" t="inlineStr">
        <is>
          <t>L</t>
        </is>
      </c>
      <c r="F791" s="16" t="n"/>
      <c r="G791" s="9" t="n">
        <v>2.256410256410257</v>
      </c>
      <c r="H791" s="9" t="n">
        <v>2.256410256410257</v>
      </c>
      <c r="I791" s="9" t="inlineStr">
        <is>
          <t>Depth (no MLB PA)</t>
        </is>
      </c>
      <c r="J791" s="16" t="inlineStr">
        <is>
          <t>Opening Day</t>
        </is>
      </c>
      <c r="K791" s="11">
        <f>IFERROR(INDEX(Roles!$B$17:$B$20,MATCH(J791,Roles!$A$17:$A$20,0)),1)</f>
        <v/>
      </c>
      <c r="L791" s="17" t="n">
        <v>1</v>
      </c>
      <c r="M791" s="11" t="n">
        <v>1</v>
      </c>
      <c r="N791" s="17" t="n"/>
      <c r="O791" s="17" t="n"/>
      <c r="P791" s="17" t="n"/>
      <c r="Q791" s="17" t="n"/>
      <c r="R791" s="17" t="n"/>
      <c r="S791" s="17" t="n"/>
      <c r="T791" s="17" t="n"/>
      <c r="U791" s="17" t="n"/>
      <c r="V791" s="17" t="n"/>
      <c r="W791" s="17" t="n"/>
      <c r="X791" s="17" t="n"/>
      <c r="Y791" s="17" t="n">
        <v>1</v>
      </c>
      <c r="Z791" s="13">
        <f>SUMPRODUCT(N791:Y791,$N$2:$Y$2)*$K791*$L791*$M791</f>
        <v/>
      </c>
      <c r="AA791" s="14">
        <f>SUM(N791:Y791)</f>
        <v/>
      </c>
      <c r="AB791" s="14">
        <f>IFERROR(IF(UPPER($E791)="L",SUMPRODUCT(N791:Y791,$N$3:$Y$3,$N$2:$Y$2),SUMPRODUCT(N791:Y791,$N$4:$Y$4,$N$2:$Y$2))/(Z791/($K791*$L791*$M791)),"")</f>
        <v/>
      </c>
      <c r="AC791" s="18" t="n"/>
    </row>
    <row r="792">
      <c r="A792" s="9" t="n">
        <v>691276</v>
      </c>
      <c r="B792" s="9" t="inlineStr">
        <is>
          <t>Luis Caicuto</t>
        </is>
      </c>
      <c r="C792" s="9" t="inlineStr">
        <is>
          <t>PHI</t>
        </is>
      </c>
      <c r="D792" s="9" t="n">
        <v>25</v>
      </c>
      <c r="E792" s="16" t="inlineStr">
        <is>
          <t>R</t>
        </is>
      </c>
      <c r="F792" s="16" t="n"/>
      <c r="G792" s="9" t="n">
        <v>2.256410256410257</v>
      </c>
      <c r="H792" s="9" t="n">
        <v>2.256410256410257</v>
      </c>
      <c r="I792" s="9" t="inlineStr">
        <is>
          <t>Depth (no MLB PA)</t>
        </is>
      </c>
      <c r="J792" s="16" t="inlineStr">
        <is>
          <t>Opening Day</t>
        </is>
      </c>
      <c r="K792" s="11">
        <f>IFERROR(INDEX(Roles!$B$17:$B$20,MATCH(J792,Roles!$A$17:$A$20,0)),1)</f>
        <v/>
      </c>
      <c r="L792" s="17" t="n">
        <v>1</v>
      </c>
      <c r="M792" s="11" t="n">
        <v>1</v>
      </c>
      <c r="N792" s="17" t="n"/>
      <c r="O792" s="17" t="n"/>
      <c r="P792" s="17" t="n"/>
      <c r="Q792" s="17" t="n"/>
      <c r="R792" s="17" t="n"/>
      <c r="S792" s="17" t="n"/>
      <c r="T792" s="17" t="n"/>
      <c r="U792" s="17" t="n"/>
      <c r="V792" s="17" t="n"/>
      <c r="W792" s="17" t="n"/>
      <c r="X792" s="17" t="n"/>
      <c r="Y792" s="17" t="n">
        <v>1</v>
      </c>
      <c r="Z792" s="13">
        <f>SUMPRODUCT(N792:Y792,$N$2:$Y$2)*$K792*$L792*$M792</f>
        <v/>
      </c>
      <c r="AA792" s="14">
        <f>SUM(N792:Y792)</f>
        <v/>
      </c>
      <c r="AB792" s="14">
        <f>IFERROR(IF(UPPER($E792)="L",SUMPRODUCT(N792:Y792,$N$3:$Y$3,$N$2:$Y$2),SUMPRODUCT(N792:Y792,$N$4:$Y$4,$N$2:$Y$2))/(Z792/($K792*$L792*$M792)),"")</f>
        <v/>
      </c>
      <c r="AC792" s="18" t="n"/>
    </row>
    <row r="793">
      <c r="A793" s="9" t="n">
        <v>671748</v>
      </c>
      <c r="B793" s="9" t="inlineStr">
        <is>
          <t>Casey Yamauchi</t>
        </is>
      </c>
      <c r="C793" s="9" t="inlineStr">
        <is>
          <t>OAK</t>
        </is>
      </c>
      <c r="D793" s="9" t="n">
        <v>25</v>
      </c>
      <c r="E793" s="16" t="inlineStr">
        <is>
          <t>R</t>
        </is>
      </c>
      <c r="F793" s="16" t="n"/>
      <c r="G793" s="9" t="n">
        <v>2.256410256410257</v>
      </c>
      <c r="H793" s="9" t="n">
        <v>2.256410256410257</v>
      </c>
      <c r="I793" s="9" t="inlineStr">
        <is>
          <t>Depth (no MLB PA)</t>
        </is>
      </c>
      <c r="J793" s="16" t="inlineStr">
        <is>
          <t>Opening Day</t>
        </is>
      </c>
      <c r="K793" s="11">
        <f>IFERROR(INDEX(Roles!$B$17:$B$20,MATCH(J793,Roles!$A$17:$A$20,0)),1)</f>
        <v/>
      </c>
      <c r="L793" s="17" t="n">
        <v>1</v>
      </c>
      <c r="M793" s="11" t="n">
        <v>1</v>
      </c>
      <c r="N793" s="17" t="n"/>
      <c r="O793" s="17" t="n"/>
      <c r="P793" s="17" t="n"/>
      <c r="Q793" s="17" t="n"/>
      <c r="R793" s="17" t="n"/>
      <c r="S793" s="17" t="n"/>
      <c r="T793" s="17" t="n"/>
      <c r="U793" s="17" t="n"/>
      <c r="V793" s="17" t="n"/>
      <c r="W793" s="17" t="n"/>
      <c r="X793" s="17" t="n"/>
      <c r="Y793" s="17" t="n">
        <v>1</v>
      </c>
      <c r="Z793" s="13">
        <f>SUMPRODUCT(N793:Y793,$N$2:$Y$2)*$K793*$L793*$M793</f>
        <v/>
      </c>
      <c r="AA793" s="14">
        <f>SUM(N793:Y793)</f>
        <v/>
      </c>
      <c r="AB793" s="14">
        <f>IFERROR(IF(UPPER($E793)="L",SUMPRODUCT(N793:Y793,$N$3:$Y$3,$N$2:$Y$2),SUMPRODUCT(N793:Y793,$N$4:$Y$4,$N$2:$Y$2))/(Z793/($K793*$L793*$M793)),"")</f>
        <v/>
      </c>
      <c r="AC793" s="18" t="n"/>
    </row>
    <row r="794">
      <c r="A794" s="9" t="n">
        <v>806212</v>
      </c>
      <c r="B794" s="9" t="inlineStr">
        <is>
          <t>Stone Russell</t>
        </is>
      </c>
      <c r="C794" s="9" t="inlineStr">
        <is>
          <t>KC</t>
        </is>
      </c>
      <c r="D794" s="9" t="n">
        <v>25</v>
      </c>
      <c r="E794" s="16" t="inlineStr">
        <is>
          <t>R</t>
        </is>
      </c>
      <c r="F794" s="16" t="n"/>
      <c r="G794" s="9" t="n">
        <v>2.256410256410257</v>
      </c>
      <c r="H794" s="9" t="n">
        <v>2.256410256410257</v>
      </c>
      <c r="I794" s="9" t="inlineStr">
        <is>
          <t>Depth (no MLB PA)</t>
        </is>
      </c>
      <c r="J794" s="16" t="inlineStr">
        <is>
          <t>Opening Day</t>
        </is>
      </c>
      <c r="K794" s="11">
        <f>IFERROR(INDEX(Roles!$B$17:$B$20,MATCH(J794,Roles!$A$17:$A$20,0)),1)</f>
        <v/>
      </c>
      <c r="L794" s="17" t="n">
        <v>1</v>
      </c>
      <c r="M794" s="11" t="n">
        <v>1</v>
      </c>
      <c r="N794" s="17" t="n"/>
      <c r="O794" s="17" t="n"/>
      <c r="P794" s="17" t="n"/>
      <c r="Q794" s="17" t="n"/>
      <c r="R794" s="17" t="n"/>
      <c r="S794" s="17" t="n"/>
      <c r="T794" s="17" t="n"/>
      <c r="U794" s="17" t="n"/>
      <c r="V794" s="17" t="n"/>
      <c r="W794" s="17" t="n"/>
      <c r="X794" s="17" t="n"/>
      <c r="Y794" s="17" t="n">
        <v>1</v>
      </c>
      <c r="Z794" s="13">
        <f>SUMPRODUCT(N794:Y794,$N$2:$Y$2)*$K794*$L794*$M794</f>
        <v/>
      </c>
      <c r="AA794" s="14">
        <f>SUM(N794:Y794)</f>
        <v/>
      </c>
      <c r="AB794" s="14">
        <f>IFERROR(IF(UPPER($E794)="L",SUMPRODUCT(N794:Y794,$N$3:$Y$3,$N$2:$Y$2),SUMPRODUCT(N794:Y794,$N$4:$Y$4,$N$2:$Y$2))/(Z794/($K794*$L794*$M794)),"")</f>
        <v/>
      </c>
      <c r="AC794" s="18" t="n"/>
    </row>
    <row r="795">
      <c r="A795" s="9" t="n">
        <v>808368</v>
      </c>
      <c r="B795" s="9" t="inlineStr">
        <is>
          <t>Juan Sulbaran</t>
        </is>
      </c>
      <c r="C795" s="9" t="inlineStr">
        <is>
          <t>TEX</t>
        </is>
      </c>
      <c r="D795" s="9" t="n">
        <v>25</v>
      </c>
      <c r="E795" s="16" t="inlineStr">
        <is>
          <t>R</t>
        </is>
      </c>
      <c r="F795" s="16" t="n"/>
      <c r="G795" s="9" t="n">
        <v>2.256410256410257</v>
      </c>
      <c r="H795" s="9" t="n">
        <v>2.256410256410257</v>
      </c>
      <c r="I795" s="9" t="inlineStr">
        <is>
          <t>Depth (no MLB PA)</t>
        </is>
      </c>
      <c r="J795" s="16" t="inlineStr">
        <is>
          <t>Opening Day</t>
        </is>
      </c>
      <c r="K795" s="11">
        <f>IFERROR(INDEX(Roles!$B$17:$B$20,MATCH(J795,Roles!$A$17:$A$20,0)),1)</f>
        <v/>
      </c>
      <c r="L795" s="17" t="n">
        <v>1</v>
      </c>
      <c r="M795" s="11" t="n">
        <v>1</v>
      </c>
      <c r="N795" s="17" t="n"/>
      <c r="O795" s="17" t="n"/>
      <c r="P795" s="17" t="n"/>
      <c r="Q795" s="17" t="n"/>
      <c r="R795" s="17" t="n"/>
      <c r="S795" s="17" t="n"/>
      <c r="T795" s="17" t="n"/>
      <c r="U795" s="17" t="n"/>
      <c r="V795" s="17" t="n"/>
      <c r="W795" s="17" t="n"/>
      <c r="X795" s="17" t="n"/>
      <c r="Y795" s="17" t="n">
        <v>1</v>
      </c>
      <c r="Z795" s="13">
        <f>SUMPRODUCT(N795:Y795,$N$2:$Y$2)*$K795*$L795*$M795</f>
        <v/>
      </c>
      <c r="AA795" s="14">
        <f>SUM(N795:Y795)</f>
        <v/>
      </c>
      <c r="AB795" s="14">
        <f>IFERROR(IF(UPPER($E795)="L",SUMPRODUCT(N795:Y795,$N$3:$Y$3,$N$2:$Y$2),SUMPRODUCT(N795:Y795,$N$4:$Y$4,$N$2:$Y$2))/(Z795/($K795*$L795*$M795)),"")</f>
        <v/>
      </c>
      <c r="AC795" s="18" t="n"/>
    </row>
    <row r="796">
      <c r="A796" s="9" t="n">
        <v>691571</v>
      </c>
      <c r="B796" s="9" t="inlineStr">
        <is>
          <t>Johan Macias</t>
        </is>
      </c>
      <c r="C796" s="9" t="inlineStr">
        <is>
          <t>LAA</t>
        </is>
      </c>
      <c r="D796" s="9" t="n">
        <v>25</v>
      </c>
      <c r="E796" s="16" t="inlineStr">
        <is>
          <t>S</t>
        </is>
      </c>
      <c r="F796" s="16" t="n"/>
      <c r="G796" s="9" t="n">
        <v>2.256410256410257</v>
      </c>
      <c r="H796" s="9" t="n">
        <v>2.256410256410257</v>
      </c>
      <c r="I796" s="9" t="inlineStr">
        <is>
          <t>Depth (no MLB PA)</t>
        </is>
      </c>
      <c r="J796" s="16" t="inlineStr">
        <is>
          <t>Opening Day</t>
        </is>
      </c>
      <c r="K796" s="11">
        <f>IFERROR(INDEX(Roles!$B$17:$B$20,MATCH(J796,Roles!$A$17:$A$20,0)),1)</f>
        <v/>
      </c>
      <c r="L796" s="17" t="n">
        <v>1</v>
      </c>
      <c r="M796" s="11" t="n">
        <v>1</v>
      </c>
      <c r="N796" s="17" t="n"/>
      <c r="O796" s="17" t="n"/>
      <c r="P796" s="17" t="n"/>
      <c r="Q796" s="17" t="n"/>
      <c r="R796" s="17" t="n"/>
      <c r="S796" s="17" t="n"/>
      <c r="T796" s="17" t="n"/>
      <c r="U796" s="17" t="n"/>
      <c r="V796" s="17" t="n"/>
      <c r="W796" s="17" t="n"/>
      <c r="X796" s="17" t="n"/>
      <c r="Y796" s="17" t="n">
        <v>1</v>
      </c>
      <c r="Z796" s="13">
        <f>SUMPRODUCT(N796:Y796,$N$2:$Y$2)*$K796*$L796*$M796</f>
        <v/>
      </c>
      <c r="AA796" s="14">
        <f>SUM(N796:Y796)</f>
        <v/>
      </c>
      <c r="AB796" s="14">
        <f>IFERROR(IF(UPPER($E796)="L",SUMPRODUCT(N796:Y796,$N$3:$Y$3,$N$2:$Y$2),SUMPRODUCT(N796:Y796,$N$4:$Y$4,$N$2:$Y$2))/(Z796/($K796*$L796*$M796)),"")</f>
        <v/>
      </c>
      <c r="AC796" s="18" t="n"/>
    </row>
    <row r="797">
      <c r="A797" s="9" t="n">
        <v>681317</v>
      </c>
      <c r="B797" s="9" t="inlineStr">
        <is>
          <t>Jeremiah Boyd</t>
        </is>
      </c>
      <c r="C797" s="9" t="inlineStr">
        <is>
          <t>ARI</t>
        </is>
      </c>
      <c r="D797" s="9" t="n">
        <v>25</v>
      </c>
      <c r="E797" s="16" t="inlineStr">
        <is>
          <t>R</t>
        </is>
      </c>
      <c r="F797" s="16" t="n"/>
      <c r="G797" s="9" t="n">
        <v>2.256410256410257</v>
      </c>
      <c r="H797" s="9" t="n">
        <v>2.256410256410257</v>
      </c>
      <c r="I797" s="9" t="inlineStr">
        <is>
          <t>Depth (no MLB PA)</t>
        </is>
      </c>
      <c r="J797" s="16" t="inlineStr">
        <is>
          <t>Opening Day</t>
        </is>
      </c>
      <c r="K797" s="11">
        <f>IFERROR(INDEX(Roles!$B$17:$B$20,MATCH(J797,Roles!$A$17:$A$20,0)),1)</f>
        <v/>
      </c>
      <c r="L797" s="17" t="n">
        <v>1</v>
      </c>
      <c r="M797" s="11" t="n">
        <v>1</v>
      </c>
      <c r="N797" s="17" t="n"/>
      <c r="O797" s="17" t="n"/>
      <c r="P797" s="17" t="n"/>
      <c r="Q797" s="17" t="n"/>
      <c r="R797" s="17" t="n"/>
      <c r="S797" s="17" t="n"/>
      <c r="T797" s="17" t="n"/>
      <c r="U797" s="17" t="n"/>
      <c r="V797" s="17" t="n"/>
      <c r="W797" s="17" t="n"/>
      <c r="X797" s="17" t="n"/>
      <c r="Y797" s="17" t="n">
        <v>1</v>
      </c>
      <c r="Z797" s="13">
        <f>SUMPRODUCT(N797:Y797,$N$2:$Y$2)*$K797*$L797*$M797</f>
        <v/>
      </c>
      <c r="AA797" s="14">
        <f>SUM(N797:Y797)</f>
        <v/>
      </c>
      <c r="AB797" s="14">
        <f>IFERROR(IF(UPPER($E797)="L",SUMPRODUCT(N797:Y797,$N$3:$Y$3,$N$2:$Y$2),SUMPRODUCT(N797:Y797,$N$4:$Y$4,$N$2:$Y$2))/(Z797/($K797*$L797*$M797)),"")</f>
        <v/>
      </c>
      <c r="AC797" s="18" t="n"/>
    </row>
    <row r="798">
      <c r="A798" s="9" t="n">
        <v>821790</v>
      </c>
      <c r="B798" s="9" t="inlineStr">
        <is>
          <t>Ronald Ramirez</t>
        </is>
      </c>
      <c r="C798" s="9" t="inlineStr">
        <is>
          <t>DET</t>
        </is>
      </c>
      <c r="D798" s="9" t="n">
        <v>25</v>
      </c>
      <c r="E798" s="16" t="inlineStr">
        <is>
          <t>R</t>
        </is>
      </c>
      <c r="F798" s="16" t="n"/>
      <c r="G798" s="9" t="n">
        <v>4.430769230769231</v>
      </c>
      <c r="H798" s="9" t="n">
        <v>4.430769230769231</v>
      </c>
      <c r="I798" s="9" t="inlineStr">
        <is>
          <t>Depth (no MLB PA)</t>
        </is>
      </c>
      <c r="J798" s="16" t="inlineStr">
        <is>
          <t>Opening Day</t>
        </is>
      </c>
      <c r="K798" s="11">
        <f>IFERROR(INDEX(Roles!$B$17:$B$20,MATCH(J798,Roles!$A$17:$A$20,0)),1)</f>
        <v/>
      </c>
      <c r="L798" s="17" t="n">
        <v>1</v>
      </c>
      <c r="M798" s="11" t="n">
        <v>1</v>
      </c>
      <c r="N798" s="17" t="n"/>
      <c r="O798" s="17" t="n"/>
      <c r="P798" s="17" t="n"/>
      <c r="Q798" s="17" t="n"/>
      <c r="R798" s="17" t="n"/>
      <c r="S798" s="17" t="n"/>
      <c r="T798" s="17" t="n"/>
      <c r="U798" s="17" t="n"/>
      <c r="V798" s="17" t="n"/>
      <c r="W798" s="17" t="n"/>
      <c r="X798" s="17" t="n"/>
      <c r="Y798" s="17" t="n">
        <v>1</v>
      </c>
      <c r="Z798" s="13">
        <f>SUMPRODUCT(N798:Y798,$N$2:$Y$2)*$K798*$L798*$M798</f>
        <v/>
      </c>
      <c r="AA798" s="14">
        <f>SUM(N798:Y798)</f>
        <v/>
      </c>
      <c r="AB798" s="14">
        <f>IFERROR(IF(UPPER($E798)="L",SUMPRODUCT(N798:Y798,$N$3:$Y$3,$N$2:$Y$2),SUMPRODUCT(N798:Y798,$N$4:$Y$4,$N$2:$Y$2))/(Z798/($K798*$L798*$M798)),"")</f>
        <v/>
      </c>
      <c r="AC798" s="18" t="n"/>
    </row>
    <row r="799">
      <c r="A799" s="9" t="n">
        <v>829089</v>
      </c>
      <c r="B799" s="9" t="inlineStr">
        <is>
          <t>Romeli Espinosa</t>
        </is>
      </c>
      <c r="C799" s="9" t="inlineStr">
        <is>
          <t>PHI</t>
        </is>
      </c>
      <c r="D799" s="9" t="n">
        <v>25</v>
      </c>
      <c r="E799" s="16" t="inlineStr">
        <is>
          <t>R</t>
        </is>
      </c>
      <c r="F799" s="16" t="n"/>
      <c r="G799" s="9" t="n">
        <v>2.256410256410257</v>
      </c>
      <c r="H799" s="9" t="n">
        <v>2.256410256410257</v>
      </c>
      <c r="I799" s="9" t="inlineStr">
        <is>
          <t>Depth (no MLB PA)</t>
        </is>
      </c>
      <c r="J799" s="16" t="inlineStr">
        <is>
          <t>Opening Day</t>
        </is>
      </c>
      <c r="K799" s="11">
        <f>IFERROR(INDEX(Roles!$B$17:$B$20,MATCH(J799,Roles!$A$17:$A$20,0)),1)</f>
        <v/>
      </c>
      <c r="L799" s="17" t="n">
        <v>1</v>
      </c>
      <c r="M799" s="11" t="n">
        <v>1</v>
      </c>
      <c r="N799" s="17" t="n"/>
      <c r="O799" s="17" t="n"/>
      <c r="P799" s="17" t="n"/>
      <c r="Q799" s="17" t="n"/>
      <c r="R799" s="17" t="n"/>
      <c r="S799" s="17" t="n"/>
      <c r="T799" s="17" t="n"/>
      <c r="U799" s="17" t="n"/>
      <c r="V799" s="17" t="n"/>
      <c r="W799" s="17" t="n"/>
      <c r="X799" s="17" t="n"/>
      <c r="Y799" s="17" t="n">
        <v>1</v>
      </c>
      <c r="Z799" s="13">
        <f>SUMPRODUCT(N799:Y799,$N$2:$Y$2)*$K799*$L799*$M799</f>
        <v/>
      </c>
      <c r="AA799" s="14">
        <f>SUM(N799:Y799)</f>
        <v/>
      </c>
      <c r="AB799" s="14">
        <f>IFERROR(IF(UPPER($E799)="L",SUMPRODUCT(N799:Y799,$N$3:$Y$3,$N$2:$Y$2),SUMPRODUCT(N799:Y799,$N$4:$Y$4,$N$2:$Y$2))/(Z799/($K799*$L799*$M799)),"")</f>
        <v/>
      </c>
      <c r="AC799" s="18" t="n"/>
    </row>
    <row r="800">
      <c r="A800" s="9" t="n">
        <v>695494</v>
      </c>
      <c r="B800" s="9" t="inlineStr">
        <is>
          <t>Kevin Bazzell</t>
        </is>
      </c>
      <c r="C800" s="9" t="inlineStr">
        <is>
          <t>WSH</t>
        </is>
      </c>
      <c r="D800" s="9" t="n">
        <v>25</v>
      </c>
      <c r="E800" s="16" t="inlineStr">
        <is>
          <t>R</t>
        </is>
      </c>
      <c r="F800" s="16" t="n"/>
      <c r="G800" s="9" t="n">
        <v>19.38461538461538</v>
      </c>
      <c r="H800" s="9" t="n">
        <v>19.38461538461538</v>
      </c>
      <c r="I800" s="9" t="inlineStr">
        <is>
          <t>Depth (no MLB PA)</t>
        </is>
      </c>
      <c r="J800" s="16" t="inlineStr">
        <is>
          <t>Opening Day</t>
        </is>
      </c>
      <c r="K800" s="11">
        <f>IFERROR(INDEX(Roles!$B$17:$B$20,MATCH(J800,Roles!$A$17:$A$20,0)),1)</f>
        <v/>
      </c>
      <c r="L800" s="17" t="n">
        <v>1</v>
      </c>
      <c r="M800" s="11" t="n">
        <v>1</v>
      </c>
      <c r="N800" s="17" t="n"/>
      <c r="O800" s="17" t="n"/>
      <c r="P800" s="17" t="n"/>
      <c r="Q800" s="17" t="n"/>
      <c r="R800" s="17" t="n"/>
      <c r="S800" s="17" t="n"/>
      <c r="T800" s="17" t="n"/>
      <c r="U800" s="17" t="n"/>
      <c r="V800" s="17" t="n"/>
      <c r="W800" s="17" t="n"/>
      <c r="X800" s="17" t="n"/>
      <c r="Y800" s="17" t="n">
        <v>1</v>
      </c>
      <c r="Z800" s="13">
        <f>SUMPRODUCT(N800:Y800,$N$2:$Y$2)*$K800*$L800*$M800</f>
        <v/>
      </c>
      <c r="AA800" s="14">
        <f>SUM(N800:Y800)</f>
        <v/>
      </c>
      <c r="AB800" s="14">
        <f>IFERROR(IF(UPPER($E800)="L",SUMPRODUCT(N800:Y800,$N$3:$Y$3,$N$2:$Y$2),SUMPRODUCT(N800:Y800,$N$4:$Y$4,$N$2:$Y$2))/(Z800/($K800*$L800*$M800)),"")</f>
        <v/>
      </c>
      <c r="AC800" s="18" t="n"/>
    </row>
    <row r="801">
      <c r="A801" s="9" t="n">
        <v>814362</v>
      </c>
      <c r="B801" s="9" t="inlineStr">
        <is>
          <t>Alberto Rios</t>
        </is>
      </c>
      <c r="C801" s="9" t="inlineStr">
        <is>
          <t>LAA</t>
        </is>
      </c>
      <c r="D801" s="9" t="n">
        <v>25</v>
      </c>
      <c r="E801" s="16" t="inlineStr">
        <is>
          <t>R</t>
        </is>
      </c>
      <c r="F801" s="16" t="n"/>
      <c r="G801" s="9" t="n">
        <v>2.256410256410257</v>
      </c>
      <c r="H801" s="9" t="n">
        <v>2.256410256410257</v>
      </c>
      <c r="I801" s="9" t="inlineStr">
        <is>
          <t>Depth (no MLB PA)</t>
        </is>
      </c>
      <c r="J801" s="16" t="inlineStr">
        <is>
          <t>Opening Day</t>
        </is>
      </c>
      <c r="K801" s="11">
        <f>IFERROR(INDEX(Roles!$B$17:$B$20,MATCH(J801,Roles!$A$17:$A$20,0)),1)</f>
        <v/>
      </c>
      <c r="L801" s="17" t="n">
        <v>1</v>
      </c>
      <c r="M801" s="11" t="n">
        <v>1</v>
      </c>
      <c r="N801" s="17" t="n"/>
      <c r="O801" s="17" t="n"/>
      <c r="P801" s="17" t="n"/>
      <c r="Q801" s="17" t="n"/>
      <c r="R801" s="17" t="n"/>
      <c r="S801" s="17" t="n"/>
      <c r="T801" s="17" t="n"/>
      <c r="U801" s="17" t="n"/>
      <c r="V801" s="17" t="n"/>
      <c r="W801" s="17" t="n"/>
      <c r="X801" s="17" t="n"/>
      <c r="Y801" s="17" t="n">
        <v>1</v>
      </c>
      <c r="Z801" s="13">
        <f>SUMPRODUCT(N801:Y801,$N$2:$Y$2)*$K801*$L801*$M801</f>
        <v/>
      </c>
      <c r="AA801" s="14">
        <f>SUM(N801:Y801)</f>
        <v/>
      </c>
      <c r="AB801" s="14">
        <f>IFERROR(IF(UPPER($E801)="L",SUMPRODUCT(N801:Y801,$N$3:$Y$3,$N$2:$Y$2),SUMPRODUCT(N801:Y801,$N$4:$Y$4,$N$2:$Y$2))/(Z801/($K801*$L801*$M801)),"")</f>
        <v/>
      </c>
      <c r="AC801" s="18" t="n"/>
    </row>
    <row r="802">
      <c r="A802" s="9" t="n">
        <v>812430</v>
      </c>
      <c r="B802" s="9" t="inlineStr">
        <is>
          <t>Heriberto Caraballo</t>
        </is>
      </c>
      <c r="C802" s="9" t="inlineStr">
        <is>
          <t>STL</t>
        </is>
      </c>
      <c r="D802" s="9" t="n">
        <v>25</v>
      </c>
      <c r="E802" s="16" t="inlineStr">
        <is>
          <t>R</t>
        </is>
      </c>
      <c r="F802" s="16" t="n"/>
      <c r="G802" s="9" t="n">
        <v>2.256410256410257</v>
      </c>
      <c r="H802" s="9" t="n">
        <v>2.256410256410257</v>
      </c>
      <c r="I802" s="9" t="inlineStr">
        <is>
          <t>Depth (no MLB PA)</t>
        </is>
      </c>
      <c r="J802" s="16" t="inlineStr">
        <is>
          <t>Opening Day</t>
        </is>
      </c>
      <c r="K802" s="11">
        <f>IFERROR(INDEX(Roles!$B$17:$B$20,MATCH(J802,Roles!$A$17:$A$20,0)),1)</f>
        <v/>
      </c>
      <c r="L802" s="17" t="n">
        <v>1</v>
      </c>
      <c r="M802" s="11" t="n">
        <v>1</v>
      </c>
      <c r="N802" s="17" t="n"/>
      <c r="O802" s="17" t="n"/>
      <c r="P802" s="17" t="n"/>
      <c r="Q802" s="17" t="n"/>
      <c r="R802" s="17" t="n"/>
      <c r="S802" s="17" t="n"/>
      <c r="T802" s="17" t="n"/>
      <c r="U802" s="17" t="n"/>
      <c r="V802" s="17" t="n"/>
      <c r="W802" s="17" t="n"/>
      <c r="X802" s="17" t="n"/>
      <c r="Y802" s="17" t="n">
        <v>1</v>
      </c>
      <c r="Z802" s="13">
        <f>SUMPRODUCT(N802:Y802,$N$2:$Y$2)*$K802*$L802*$M802</f>
        <v/>
      </c>
      <c r="AA802" s="14">
        <f>SUM(N802:Y802)</f>
        <v/>
      </c>
      <c r="AB802" s="14">
        <f>IFERROR(IF(UPPER($E802)="L",SUMPRODUCT(N802:Y802,$N$3:$Y$3,$N$2:$Y$2),SUMPRODUCT(N802:Y802,$N$4:$Y$4,$N$2:$Y$2))/(Z802/($K802*$L802*$M802)),"")</f>
        <v/>
      </c>
      <c r="AC802" s="18" t="n"/>
    </row>
    <row r="803">
      <c r="A803" s="9" t="n">
        <v>800643</v>
      </c>
      <c r="B803" s="9" t="inlineStr">
        <is>
          <t>Ty Hanchey</t>
        </is>
      </c>
      <c r="C803" s="9" t="inlineStr">
        <is>
          <t>SF</t>
        </is>
      </c>
      <c r="D803" s="9" t="n">
        <v>25</v>
      </c>
      <c r="E803" s="16" t="inlineStr">
        <is>
          <t>L</t>
        </is>
      </c>
      <c r="F803" s="16" t="n"/>
      <c r="G803" s="9" t="n">
        <v>2.256410256410257</v>
      </c>
      <c r="H803" s="9" t="n">
        <v>2.256410256410257</v>
      </c>
      <c r="I803" s="9" t="inlineStr">
        <is>
          <t>Depth (no MLB PA)</t>
        </is>
      </c>
      <c r="J803" s="16" t="inlineStr">
        <is>
          <t>Opening Day</t>
        </is>
      </c>
      <c r="K803" s="11">
        <f>IFERROR(INDEX(Roles!$B$17:$B$20,MATCH(J803,Roles!$A$17:$A$20,0)),1)</f>
        <v/>
      </c>
      <c r="L803" s="17" t="n">
        <v>1</v>
      </c>
      <c r="M803" s="11" t="n">
        <v>1</v>
      </c>
      <c r="N803" s="17" t="n"/>
      <c r="O803" s="17" t="n"/>
      <c r="P803" s="17" t="n"/>
      <c r="Q803" s="17" t="n"/>
      <c r="R803" s="17" t="n"/>
      <c r="S803" s="17" t="n"/>
      <c r="T803" s="17" t="n"/>
      <c r="U803" s="17" t="n"/>
      <c r="V803" s="17" t="n"/>
      <c r="W803" s="17" t="n"/>
      <c r="X803" s="17" t="n"/>
      <c r="Y803" s="17" t="n">
        <v>1</v>
      </c>
      <c r="Z803" s="13">
        <f>SUMPRODUCT(N803:Y803,$N$2:$Y$2)*$K803*$L803*$M803</f>
        <v/>
      </c>
      <c r="AA803" s="14">
        <f>SUM(N803:Y803)</f>
        <v/>
      </c>
      <c r="AB803" s="14">
        <f>IFERROR(IF(UPPER($E803)="L",SUMPRODUCT(N803:Y803,$N$3:$Y$3,$N$2:$Y$2),SUMPRODUCT(N803:Y803,$N$4:$Y$4,$N$2:$Y$2))/(Z803/($K803*$L803*$M803)),"")</f>
        <v/>
      </c>
      <c r="AC803" s="18" t="n"/>
    </row>
    <row r="804">
      <c r="A804" s="9" t="n">
        <v>607043</v>
      </c>
      <c r="B804" s="9" t="inlineStr">
        <is>
          <t>Brandon Nimmo</t>
        </is>
      </c>
      <c r="C804" s="9" t="inlineStr">
        <is>
          <t>TEX</t>
        </is>
      </c>
      <c r="D804" s="9" t="n">
        <v>34</v>
      </c>
      <c r="E804" s="16" t="inlineStr">
        <is>
          <t>L</t>
        </is>
      </c>
      <c r="F804" s="16" t="inlineStr">
        <is>
          <t>RF</t>
        </is>
      </c>
      <c r="G804" s="9" t="n">
        <v>655</v>
      </c>
      <c r="H804" s="9" t="n">
        <v>3325</v>
      </c>
      <c r="I804" s="9" t="inlineStr">
        <is>
          <t>Full Time</t>
        </is>
      </c>
      <c r="J804" s="16" t="inlineStr">
        <is>
          <t>Opening Day</t>
        </is>
      </c>
      <c r="K804" s="11">
        <f>IFERROR(INDEX(Roles!$B$17:$B$20,MATCH(J804,Roles!$A$17:$A$20,0)),1)</f>
        <v/>
      </c>
      <c r="L804" s="17" t="n">
        <v>1</v>
      </c>
      <c r="M804" s="11" t="n">
        <v>1.15</v>
      </c>
      <c r="N804" s="17" t="n">
        <v>1</v>
      </c>
      <c r="O804" s="17" t="n"/>
      <c r="P804" s="17" t="n"/>
      <c r="Q804" s="17" t="n"/>
      <c r="R804" s="17" t="n"/>
      <c r="S804" s="17" t="n"/>
      <c r="T804" s="17" t="n"/>
      <c r="U804" s="17" t="n"/>
      <c r="V804" s="17" t="n"/>
      <c r="W804" s="17" t="n"/>
      <c r="X804" s="17" t="n"/>
      <c r="Y804" s="17" t="n"/>
      <c r="Z804" s="13">
        <f>SUMPRODUCT(N804:Y804,$N$2:$Y$2)*$K804*$L804*$M804</f>
        <v/>
      </c>
      <c r="AA804" s="14">
        <f>SUM(N804:Y804)</f>
        <v/>
      </c>
      <c r="AB804" s="14">
        <f>IFERROR(IF(UPPER($E804)="L",SUMPRODUCT(N804:Y804,$N$3:$Y$3,$N$2:$Y$2),SUMPRODUCT(N804:Y804,$N$4:$Y$4,$N$2:$Y$2))/(Z804/($K804*$L804*$M804)),"")</f>
        <v/>
      </c>
      <c r="AC804" s="18" t="n"/>
    </row>
    <row r="805">
      <c r="A805" s="9" t="n">
        <v>694200</v>
      </c>
      <c r="B805" s="9" t="inlineStr">
        <is>
          <t>Ariel Almonte</t>
        </is>
      </c>
      <c r="C805" s="9" t="inlineStr">
        <is>
          <t>CIN</t>
        </is>
      </c>
      <c r="D805" s="9" t="n">
        <v>25</v>
      </c>
      <c r="E805" s="16" t="inlineStr">
        <is>
          <t>L</t>
        </is>
      </c>
      <c r="F805" s="16" t="n"/>
      <c r="G805" s="9" t="n">
        <v>22.56410256410257</v>
      </c>
      <c r="H805" s="9" t="n">
        <v>22.56410256410257</v>
      </c>
      <c r="I805" s="9" t="inlineStr">
        <is>
          <t>Depth (no MLB PA)</t>
        </is>
      </c>
      <c r="J805" s="16" t="inlineStr">
        <is>
          <t>Opening Day</t>
        </is>
      </c>
      <c r="K805" s="11">
        <f>IFERROR(INDEX(Roles!$B$17:$B$20,MATCH(J805,Roles!$A$17:$A$20,0)),1)</f>
        <v/>
      </c>
      <c r="L805" s="17" t="n">
        <v>1</v>
      </c>
      <c r="M805" s="11" t="n">
        <v>1</v>
      </c>
      <c r="N805" s="17" t="n"/>
      <c r="O805" s="17" t="n"/>
      <c r="P805" s="17" t="n"/>
      <c r="Q805" s="17" t="n"/>
      <c r="R805" s="17" t="n"/>
      <c r="S805" s="17" t="n"/>
      <c r="T805" s="17" t="n"/>
      <c r="U805" s="17" t="n"/>
      <c r="V805" s="17" t="n"/>
      <c r="W805" s="17" t="n"/>
      <c r="X805" s="17" t="n"/>
      <c r="Y805" s="17" t="n">
        <v>1</v>
      </c>
      <c r="Z805" s="13">
        <f>SUMPRODUCT(N805:Y805,$N$2:$Y$2)*$K805*$L805*$M805</f>
        <v/>
      </c>
      <c r="AA805" s="14">
        <f>SUM(N805:Y805)</f>
        <v/>
      </c>
      <c r="AB805" s="14">
        <f>IFERROR(IF(UPPER($E805)="L",SUMPRODUCT(N805:Y805,$N$3:$Y$3,$N$2:$Y$2),SUMPRODUCT(N805:Y805,$N$4:$Y$4,$N$2:$Y$2))/(Z805/($K805*$L805*$M805)),"")</f>
        <v/>
      </c>
      <c r="AC805" s="18" t="n"/>
    </row>
    <row r="806">
      <c r="A806" s="9" t="n">
        <v>805763</v>
      </c>
      <c r="B806" s="9" t="inlineStr">
        <is>
          <t>Drake Logan</t>
        </is>
      </c>
      <c r="C806" s="9" t="inlineStr">
        <is>
          <t>CWS</t>
        </is>
      </c>
      <c r="D806" s="9" t="n">
        <v>25</v>
      </c>
      <c r="E806" s="16" t="inlineStr">
        <is>
          <t>R</t>
        </is>
      </c>
      <c r="F806" s="16" t="n"/>
      <c r="G806" s="9" t="n">
        <v>26.92307692307692</v>
      </c>
      <c r="H806" s="9" t="n">
        <v>26.92307692307692</v>
      </c>
      <c r="I806" s="9" t="inlineStr">
        <is>
          <t>Depth (no MLB PA)</t>
        </is>
      </c>
      <c r="J806" s="16" t="inlineStr">
        <is>
          <t>Opening Day</t>
        </is>
      </c>
      <c r="K806" s="11">
        <f>IFERROR(INDEX(Roles!$B$17:$B$20,MATCH(J806,Roles!$A$17:$A$20,0)),1)</f>
        <v/>
      </c>
      <c r="L806" s="17" t="n">
        <v>1</v>
      </c>
      <c r="M806" s="11" t="n">
        <v>1</v>
      </c>
      <c r="N806" s="17" t="n"/>
      <c r="O806" s="17" t="n"/>
      <c r="P806" s="17" t="n"/>
      <c r="Q806" s="17" t="n"/>
      <c r="R806" s="17" t="n"/>
      <c r="S806" s="17" t="n"/>
      <c r="T806" s="17" t="n"/>
      <c r="U806" s="17" t="n"/>
      <c r="V806" s="17" t="n"/>
      <c r="W806" s="17" t="n"/>
      <c r="X806" s="17" t="n"/>
      <c r="Y806" s="17" t="n">
        <v>1</v>
      </c>
      <c r="Z806" s="13">
        <f>SUMPRODUCT(N806:Y806,$N$2:$Y$2)*$K806*$L806*$M806</f>
        <v/>
      </c>
      <c r="AA806" s="14">
        <f>SUM(N806:Y806)</f>
        <v/>
      </c>
      <c r="AB806" s="14">
        <f>IFERROR(IF(UPPER($E806)="L",SUMPRODUCT(N806:Y806,$N$3:$Y$3,$N$2:$Y$2),SUMPRODUCT(N806:Y806,$N$4:$Y$4,$N$2:$Y$2))/(Z806/($K806*$L806*$M806)),"")</f>
        <v/>
      </c>
      <c r="AC806" s="18" t="n"/>
    </row>
    <row r="807">
      <c r="A807" s="9" t="n">
        <v>814452</v>
      </c>
      <c r="B807" s="9" t="inlineStr">
        <is>
          <t>Anthony Martinez</t>
        </is>
      </c>
      <c r="C807" s="9" t="inlineStr">
        <is>
          <t>CLE</t>
        </is>
      </c>
      <c r="D807" s="9" t="n">
        <v>25</v>
      </c>
      <c r="E807" s="16" t="inlineStr">
        <is>
          <t>L</t>
        </is>
      </c>
      <c r="F807" s="16" t="n"/>
      <c r="G807" s="9" t="n">
        <v>35.48717948717949</v>
      </c>
      <c r="H807" s="9" t="n">
        <v>35.48717948717949</v>
      </c>
      <c r="I807" s="9" t="inlineStr">
        <is>
          <t>Depth (no MLB PA)</t>
        </is>
      </c>
      <c r="J807" s="16" t="inlineStr">
        <is>
          <t>Opening Day</t>
        </is>
      </c>
      <c r="K807" s="11">
        <f>IFERROR(INDEX(Roles!$B$17:$B$20,MATCH(J807,Roles!$A$17:$A$20,0)),1)</f>
        <v/>
      </c>
      <c r="L807" s="17" t="n">
        <v>1</v>
      </c>
      <c r="M807" s="11" t="n">
        <v>1</v>
      </c>
      <c r="N807" s="17" t="n"/>
      <c r="O807" s="17" t="n"/>
      <c r="P807" s="17" t="n"/>
      <c r="Q807" s="17" t="n"/>
      <c r="R807" s="17" t="n"/>
      <c r="S807" s="17" t="n"/>
      <c r="T807" s="17" t="n"/>
      <c r="U807" s="17" t="n"/>
      <c r="V807" s="17" t="n"/>
      <c r="W807" s="17" t="n"/>
      <c r="X807" s="17" t="n"/>
      <c r="Y807" s="17" t="n">
        <v>1</v>
      </c>
      <c r="Z807" s="13">
        <f>SUMPRODUCT(N807:Y807,$N$2:$Y$2)*$K807*$L807*$M807</f>
        <v/>
      </c>
      <c r="AA807" s="14">
        <f>SUM(N807:Y807)</f>
        <v/>
      </c>
      <c r="AB807" s="14">
        <f>IFERROR(IF(UPPER($E807)="L",SUMPRODUCT(N807:Y807,$N$3:$Y$3,$N$2:$Y$2),SUMPRODUCT(N807:Y807,$N$4:$Y$4,$N$2:$Y$2))/(Z807/($K807*$L807*$M807)),"")</f>
        <v/>
      </c>
      <c r="AC807" s="18" t="n"/>
    </row>
    <row r="808">
      <c r="A808" s="9" t="n">
        <v>808793</v>
      </c>
      <c r="B808" s="9" t="inlineStr">
        <is>
          <t>Henry Kaczmar</t>
        </is>
      </c>
      <c r="C808" s="9" t="inlineStr">
        <is>
          <t>SEA</t>
        </is>
      </c>
      <c r="D808" s="9" t="n">
        <v>25</v>
      </c>
      <c r="E808" s="16" t="inlineStr">
        <is>
          <t>L</t>
        </is>
      </c>
      <c r="F808" s="16" t="n"/>
      <c r="G808" s="9" t="n">
        <v>2.461538461538462</v>
      </c>
      <c r="H808" s="9" t="n">
        <v>2.461538461538462</v>
      </c>
      <c r="I808" s="9" t="inlineStr">
        <is>
          <t>Depth (no MLB PA)</t>
        </is>
      </c>
      <c r="J808" s="16" t="inlineStr">
        <is>
          <t>Opening Day</t>
        </is>
      </c>
      <c r="K808" s="11">
        <f>IFERROR(INDEX(Roles!$B$17:$B$20,MATCH(J808,Roles!$A$17:$A$20,0)),1)</f>
        <v/>
      </c>
      <c r="L808" s="17" t="n">
        <v>1</v>
      </c>
      <c r="M808" s="11" t="n">
        <v>1</v>
      </c>
      <c r="N808" s="17" t="n"/>
      <c r="O808" s="17" t="n"/>
      <c r="P808" s="17" t="n"/>
      <c r="Q808" s="17" t="n"/>
      <c r="R808" s="17" t="n"/>
      <c r="S808" s="17" t="n"/>
      <c r="T808" s="17" t="n"/>
      <c r="U808" s="17" t="n"/>
      <c r="V808" s="17" t="n"/>
      <c r="W808" s="17" t="n"/>
      <c r="X808" s="17" t="n"/>
      <c r="Y808" s="17" t="n">
        <v>1</v>
      </c>
      <c r="Z808" s="13">
        <f>SUMPRODUCT(N808:Y808,$N$2:$Y$2)*$K808*$L808*$M808</f>
        <v/>
      </c>
      <c r="AA808" s="14">
        <f>SUM(N808:Y808)</f>
        <v/>
      </c>
      <c r="AB808" s="14">
        <f>IFERROR(IF(UPPER($E808)="L",SUMPRODUCT(N808:Y808,$N$3:$Y$3,$N$2:$Y$2),SUMPRODUCT(N808:Y808,$N$4:$Y$4,$N$2:$Y$2))/(Z808/($K808*$L808*$M808)),"")</f>
        <v/>
      </c>
      <c r="AC808" s="18" t="n"/>
    </row>
    <row r="809">
      <c r="A809" s="9" t="n">
        <v>408234</v>
      </c>
      <c r="B809" s="9" t="inlineStr">
        <is>
          <t>Miguel Cabrera</t>
        </is>
      </c>
      <c r="C809" s="9" t="inlineStr">
        <is>
          <t>DET</t>
        </is>
      </c>
      <c r="D809" s="9" t="n">
        <v>44</v>
      </c>
      <c r="E809" s="16" t="inlineStr">
        <is>
          <t>R</t>
        </is>
      </c>
      <c r="F809" s="16" t="inlineStr">
        <is>
          <t>1B</t>
        </is>
      </c>
      <c r="G809" s="9" t="n">
        <v>370</v>
      </c>
      <c r="H809" s="9" t="n">
        <v>803</v>
      </c>
      <c r="I809" s="9" t="inlineStr">
        <is>
          <t>Depth (no MLB PA)</t>
        </is>
      </c>
      <c r="J809" s="16" t="inlineStr">
        <is>
          <t>Opening Day</t>
        </is>
      </c>
      <c r="K809" s="11">
        <f>IFERROR(INDEX(Roles!$B$17:$B$20,MATCH(J809,Roles!$A$17:$A$20,0)),1)</f>
        <v/>
      </c>
      <c r="L809" s="17" t="n">
        <v>1</v>
      </c>
      <c r="M809" s="11" t="n">
        <v>1</v>
      </c>
      <c r="N809" s="17" t="n"/>
      <c r="O809" s="17" t="n"/>
      <c r="P809" s="17" t="n"/>
      <c r="Q809" s="17" t="n"/>
      <c r="R809" s="17" t="n"/>
      <c r="S809" s="17" t="n"/>
      <c r="T809" s="17" t="n"/>
      <c r="U809" s="17" t="n"/>
      <c r="V809" s="17" t="n"/>
      <c r="W809" s="17" t="n"/>
      <c r="X809" s="17" t="n"/>
      <c r="Y809" s="17" t="n">
        <v>1</v>
      </c>
      <c r="Z809" s="13">
        <f>SUMPRODUCT(N809:Y809,$N$2:$Y$2)*$K809*$L809*$M809</f>
        <v/>
      </c>
      <c r="AA809" s="14">
        <f>SUM(N809:Y809)</f>
        <v/>
      </c>
      <c r="AB809" s="14">
        <f>IFERROR(IF(UPPER($E809)="L",SUMPRODUCT(N809:Y809,$N$3:$Y$3,$N$2:$Y$2),SUMPRODUCT(N809:Y809,$N$4:$Y$4,$N$2:$Y$2))/(Z809/($K809*$L809*$M809)),"")</f>
        <v/>
      </c>
      <c r="AC809" s="18" t="n"/>
    </row>
    <row r="810">
      <c r="A810" s="9" t="n">
        <v>642197</v>
      </c>
      <c r="B810" s="9" t="inlineStr">
        <is>
          <t>Jamie Westbrook</t>
        </is>
      </c>
      <c r="C810" s="9" t="inlineStr">
        <is>
          <t>BOS</t>
        </is>
      </c>
      <c r="D810" s="9" t="n">
        <v>32</v>
      </c>
      <c r="E810" s="16" t="inlineStr">
        <is>
          <t>R</t>
        </is>
      </c>
      <c r="F810" s="16" t="inlineStr">
        <is>
          <t>2B</t>
        </is>
      </c>
      <c r="G810" s="9" t="n">
        <v>48</v>
      </c>
      <c r="H810" s="9" t="n">
        <v>48</v>
      </c>
      <c r="I810" s="9" t="inlineStr">
        <is>
          <t>Depth (no MLB PA)</t>
        </is>
      </c>
      <c r="J810" s="16" t="inlineStr">
        <is>
          <t>Opening Day</t>
        </is>
      </c>
      <c r="K810" s="11">
        <f>IFERROR(INDEX(Roles!$B$17:$B$20,MATCH(J810,Roles!$A$17:$A$20,0)),1)</f>
        <v/>
      </c>
      <c r="L810" s="17" t="n">
        <v>1</v>
      </c>
      <c r="M810" s="11" t="n">
        <v>1</v>
      </c>
      <c r="N810" s="17" t="n"/>
      <c r="O810" s="17" t="n"/>
      <c r="P810" s="17" t="n"/>
      <c r="Q810" s="17" t="n"/>
      <c r="R810" s="17" t="n"/>
      <c r="S810" s="17" t="n"/>
      <c r="T810" s="17" t="n"/>
      <c r="U810" s="17" t="n"/>
      <c r="V810" s="17" t="n"/>
      <c r="W810" s="17" t="n"/>
      <c r="X810" s="17" t="n"/>
      <c r="Y810" s="17" t="n">
        <v>1</v>
      </c>
      <c r="Z810" s="13">
        <f>SUMPRODUCT(N810:Y810,$N$2:$Y$2)*$K810*$L810*$M810</f>
        <v/>
      </c>
      <c r="AA810" s="14">
        <f>SUM(N810:Y810)</f>
        <v/>
      </c>
      <c r="AB810" s="14">
        <f>IFERROR(IF(UPPER($E810)="L",SUMPRODUCT(N810:Y810,$N$3:$Y$3,$N$2:$Y$2),SUMPRODUCT(N810:Y810,$N$4:$Y$4,$N$2:$Y$2))/(Z810/($K810*$L810*$M810)),"")</f>
        <v/>
      </c>
      <c r="AC810" s="18" t="n"/>
    </row>
    <row r="811">
      <c r="A811" s="9" t="n">
        <v>702668</v>
      </c>
      <c r="B811" s="9" t="inlineStr">
        <is>
          <t>Korbyn Dickerson</t>
        </is>
      </c>
      <c r="C811" s="9" t="inlineStr">
        <is>
          <t>SEA</t>
        </is>
      </c>
      <c r="D811" s="9" t="n">
        <v>25</v>
      </c>
      <c r="E811" s="16" t="inlineStr">
        <is>
          <t>R</t>
        </is>
      </c>
      <c r="F811" s="16" t="n"/>
      <c r="G811" s="9" t="n">
        <v>26.87179487179488</v>
      </c>
      <c r="H811" s="9" t="n">
        <v>26.87179487179488</v>
      </c>
      <c r="I811" s="9" t="inlineStr">
        <is>
          <t>Depth (no MLB PA)</t>
        </is>
      </c>
      <c r="J811" s="16" t="inlineStr">
        <is>
          <t>Opening Day</t>
        </is>
      </c>
      <c r="K811" s="11">
        <f>IFERROR(INDEX(Roles!$B$17:$B$20,MATCH(J811,Roles!$A$17:$A$20,0)),1)</f>
        <v/>
      </c>
      <c r="L811" s="17" t="n">
        <v>1</v>
      </c>
      <c r="M811" s="11" t="n">
        <v>1</v>
      </c>
      <c r="N811" s="17" t="n"/>
      <c r="O811" s="17" t="n"/>
      <c r="P811" s="17" t="n"/>
      <c r="Q811" s="17" t="n"/>
      <c r="R811" s="17" t="n"/>
      <c r="S811" s="17" t="n"/>
      <c r="T811" s="17" t="n"/>
      <c r="U811" s="17" t="n"/>
      <c r="V811" s="17" t="n"/>
      <c r="W811" s="17" t="n"/>
      <c r="X811" s="17" t="n"/>
      <c r="Y811" s="17" t="n">
        <v>1</v>
      </c>
      <c r="Z811" s="13">
        <f>SUMPRODUCT(N811:Y811,$N$2:$Y$2)*$K811*$L811*$M811</f>
        <v/>
      </c>
      <c r="AA811" s="14">
        <f>SUM(N811:Y811)</f>
        <v/>
      </c>
      <c r="AB811" s="14">
        <f>IFERROR(IF(UPPER($E811)="L",SUMPRODUCT(N811:Y811,$N$3:$Y$3,$N$2:$Y$2),SUMPRODUCT(N811:Y811,$N$4:$Y$4,$N$2:$Y$2))/(Z811/($K811*$L811*$M811)),"")</f>
        <v/>
      </c>
      <c r="AC811" s="18" t="n"/>
    </row>
    <row r="812">
      <c r="A812" s="9" t="n">
        <v>808067</v>
      </c>
      <c r="B812" s="9" t="inlineStr">
        <is>
          <t>Branny De Oleo</t>
        </is>
      </c>
      <c r="C812" s="9" t="inlineStr">
        <is>
          <t>NYM</t>
        </is>
      </c>
      <c r="D812" s="9" t="n">
        <v>25</v>
      </c>
      <c r="E812" s="16" t="inlineStr">
        <is>
          <t>R</t>
        </is>
      </c>
      <c r="F812" s="16" t="n"/>
      <c r="G812" s="9" t="n">
        <v>2.512820512820513</v>
      </c>
      <c r="H812" s="9" t="n">
        <v>2.512820512820513</v>
      </c>
      <c r="I812" s="9" t="inlineStr">
        <is>
          <t>Depth (no MLB PA)</t>
        </is>
      </c>
      <c r="J812" s="16" t="inlineStr">
        <is>
          <t>Opening Day</t>
        </is>
      </c>
      <c r="K812" s="11">
        <f>IFERROR(INDEX(Roles!$B$17:$B$20,MATCH(J812,Roles!$A$17:$A$20,0)),1)</f>
        <v/>
      </c>
      <c r="L812" s="17" t="n">
        <v>1</v>
      </c>
      <c r="M812" s="11" t="n">
        <v>1</v>
      </c>
      <c r="N812" s="17" t="n"/>
      <c r="O812" s="17" t="n"/>
      <c r="P812" s="17" t="n"/>
      <c r="Q812" s="17" t="n"/>
      <c r="R812" s="17" t="n"/>
      <c r="S812" s="17" t="n"/>
      <c r="T812" s="17" t="n"/>
      <c r="U812" s="17" t="n"/>
      <c r="V812" s="17" t="n"/>
      <c r="W812" s="17" t="n"/>
      <c r="X812" s="17" t="n"/>
      <c r="Y812" s="17" t="n">
        <v>1</v>
      </c>
      <c r="Z812" s="13">
        <f>SUMPRODUCT(N812:Y812,$N$2:$Y$2)*$K812*$L812*$M812</f>
        <v/>
      </c>
      <c r="AA812" s="14">
        <f>SUM(N812:Y812)</f>
        <v/>
      </c>
      <c r="AB812" s="14">
        <f>IFERROR(IF(UPPER($E812)="L",SUMPRODUCT(N812:Y812,$N$3:$Y$3,$N$2:$Y$2),SUMPRODUCT(N812:Y812,$N$4:$Y$4,$N$2:$Y$2))/(Z812/($K812*$L812*$M812)),"")</f>
        <v/>
      </c>
      <c r="AC812" s="18" t="n"/>
    </row>
    <row r="813">
      <c r="A813" s="9" t="n">
        <v>656821</v>
      </c>
      <c r="B813" s="9" t="inlineStr">
        <is>
          <t>Kevin Padlo</t>
        </is>
      </c>
      <c r="C813" s="9" t="inlineStr">
        <is>
          <t>PIT</t>
        </is>
      </c>
      <c r="D813" s="9" t="n">
        <v>30</v>
      </c>
      <c r="E813" s="16" t="inlineStr">
        <is>
          <t>R</t>
        </is>
      </c>
      <c r="F813" s="16" t="inlineStr">
        <is>
          <t>1B</t>
        </is>
      </c>
      <c r="G813" s="9" t="n">
        <v>8</v>
      </c>
      <c r="H813" s="9" t="n">
        <v>42</v>
      </c>
      <c r="I813" s="9" t="inlineStr">
        <is>
          <t>Depth (no MLB PA)</t>
        </is>
      </c>
      <c r="J813" s="16" t="inlineStr">
        <is>
          <t>Opening Day</t>
        </is>
      </c>
      <c r="K813" s="11">
        <f>IFERROR(INDEX(Roles!$B$17:$B$20,MATCH(J813,Roles!$A$17:$A$20,0)),1)</f>
        <v/>
      </c>
      <c r="L813" s="17" t="n">
        <v>1</v>
      </c>
      <c r="M813" s="11" t="n">
        <v>1</v>
      </c>
      <c r="N813" s="17" t="n"/>
      <c r="O813" s="17" t="n"/>
      <c r="P813" s="17" t="n"/>
      <c r="Q813" s="17" t="n"/>
      <c r="R813" s="17" t="n"/>
      <c r="S813" s="17" t="n"/>
      <c r="T813" s="17" t="n"/>
      <c r="U813" s="17" t="n"/>
      <c r="V813" s="17" t="n"/>
      <c r="W813" s="17" t="n"/>
      <c r="X813" s="17" t="n"/>
      <c r="Y813" s="17" t="n">
        <v>1</v>
      </c>
      <c r="Z813" s="13">
        <f>SUMPRODUCT(N813:Y813,$N$2:$Y$2)*$K813*$L813*$M813</f>
        <v/>
      </c>
      <c r="AA813" s="14">
        <f>SUM(N813:Y813)</f>
        <v/>
      </c>
      <c r="AB813" s="14">
        <f>IFERROR(IF(UPPER($E813)="L",SUMPRODUCT(N813:Y813,$N$3:$Y$3,$N$2:$Y$2),SUMPRODUCT(N813:Y813,$N$4:$Y$4,$N$2:$Y$2))/(Z813/($K813*$L813*$M813)),"")</f>
        <v/>
      </c>
      <c r="AC813" s="18" t="n"/>
    </row>
    <row r="814">
      <c r="A814" s="9" t="n">
        <v>824028</v>
      </c>
      <c r="B814" s="9" t="inlineStr">
        <is>
          <t>Gage Miller</t>
        </is>
      </c>
      <c r="C814" s="9" t="inlineStr">
        <is>
          <t>MIA</t>
        </is>
      </c>
      <c r="D814" s="9" t="n">
        <v>25</v>
      </c>
      <c r="E814" s="16" t="inlineStr">
        <is>
          <t>R</t>
        </is>
      </c>
      <c r="F814" s="16" t="n"/>
      <c r="G814" s="9" t="n">
        <v>107.7435897435898</v>
      </c>
      <c r="H814" s="9" t="n">
        <v>107.7435897435898</v>
      </c>
      <c r="I814" s="9" t="inlineStr">
        <is>
          <t>Depth (no MLB PA)</t>
        </is>
      </c>
      <c r="J814" s="16" t="inlineStr">
        <is>
          <t>Opening Day</t>
        </is>
      </c>
      <c r="K814" s="11">
        <f>IFERROR(INDEX(Roles!$B$17:$B$20,MATCH(J814,Roles!$A$17:$A$20,0)),1)</f>
        <v/>
      </c>
      <c r="L814" s="17" t="n">
        <v>1</v>
      </c>
      <c r="M814" s="11" t="n">
        <v>1</v>
      </c>
      <c r="N814" s="17" t="n"/>
      <c r="O814" s="17" t="n"/>
      <c r="P814" s="17" t="n"/>
      <c r="Q814" s="17" t="n"/>
      <c r="R814" s="17" t="n"/>
      <c r="S814" s="17" t="n"/>
      <c r="T814" s="17" t="n"/>
      <c r="U814" s="17" t="n"/>
      <c r="V814" s="17" t="n"/>
      <c r="W814" s="17" t="n"/>
      <c r="X814" s="17" t="n"/>
      <c r="Y814" s="17" t="n">
        <v>1</v>
      </c>
      <c r="Z814" s="13">
        <f>SUMPRODUCT(N814:Y814,$N$2:$Y$2)*$K814*$L814*$M814</f>
        <v/>
      </c>
      <c r="AA814" s="14">
        <f>SUM(N814:Y814)</f>
        <v/>
      </c>
      <c r="AB814" s="14">
        <f>IFERROR(IF(UPPER($E814)="L",SUMPRODUCT(N814:Y814,$N$3:$Y$3,$N$2:$Y$2),SUMPRODUCT(N814:Y814,$N$4:$Y$4,$N$2:$Y$2))/(Z814/($K814*$L814*$M814)),"")</f>
        <v/>
      </c>
      <c r="AC814" s="18" t="n"/>
    </row>
    <row r="815">
      <c r="A815" s="9" t="n">
        <v>699166</v>
      </c>
      <c r="B815" s="9" t="inlineStr">
        <is>
          <t>Edgardo Ordonez</t>
        </is>
      </c>
      <c r="C815" s="9" t="inlineStr">
        <is>
          <t>MIL</t>
        </is>
      </c>
      <c r="D815" s="9" t="n">
        <v>25</v>
      </c>
      <c r="E815" s="16" t="inlineStr">
        <is>
          <t>L</t>
        </is>
      </c>
      <c r="F815" s="16" t="n"/>
      <c r="G815" s="9" t="n">
        <v>2.512820512820513</v>
      </c>
      <c r="H815" s="9" t="n">
        <v>2.512820512820513</v>
      </c>
      <c r="I815" s="9" t="inlineStr">
        <is>
          <t>Depth (no MLB PA)</t>
        </is>
      </c>
      <c r="J815" s="16" t="inlineStr">
        <is>
          <t>Opening Day</t>
        </is>
      </c>
      <c r="K815" s="11">
        <f>IFERROR(INDEX(Roles!$B$17:$B$20,MATCH(J815,Roles!$A$17:$A$20,0)),1)</f>
        <v/>
      </c>
      <c r="L815" s="17" t="n">
        <v>1</v>
      </c>
      <c r="M815" s="11" t="n">
        <v>1</v>
      </c>
      <c r="N815" s="17" t="n"/>
      <c r="O815" s="17" t="n"/>
      <c r="P815" s="17" t="n"/>
      <c r="Q815" s="17" t="n"/>
      <c r="R815" s="17" t="n"/>
      <c r="S815" s="17" t="n"/>
      <c r="T815" s="17" t="n"/>
      <c r="U815" s="17" t="n"/>
      <c r="V815" s="17" t="n"/>
      <c r="W815" s="17" t="n"/>
      <c r="X815" s="17" t="n"/>
      <c r="Y815" s="17" t="n">
        <v>1</v>
      </c>
      <c r="Z815" s="13">
        <f>SUMPRODUCT(N815:Y815,$N$2:$Y$2)*$K815*$L815*$M815</f>
        <v/>
      </c>
      <c r="AA815" s="14">
        <f>SUM(N815:Y815)</f>
        <v/>
      </c>
      <c r="AB815" s="14">
        <f>IFERROR(IF(UPPER($E815)="L",SUMPRODUCT(N815:Y815,$N$3:$Y$3,$N$2:$Y$2),SUMPRODUCT(N815:Y815,$N$4:$Y$4,$N$2:$Y$2))/(Z815/($K815*$L815*$M815)),"")</f>
        <v/>
      </c>
      <c r="AC815" s="18" t="n"/>
    </row>
    <row r="816">
      <c r="A816" s="9" t="n">
        <v>822518</v>
      </c>
      <c r="B816" s="9" t="inlineStr">
        <is>
          <t>Vahn Lackey</t>
        </is>
      </c>
      <c r="C816" s="9" t="inlineStr">
        <is>
          <t>MIN</t>
        </is>
      </c>
      <c r="D816" s="9" t="n">
        <v>22</v>
      </c>
      <c r="E816" s="16" t="inlineStr">
        <is>
          <t>R</t>
        </is>
      </c>
      <c r="F816" s="16" t="n"/>
      <c r="G816" s="9" t="n">
        <v>10.66666666666667</v>
      </c>
      <c r="H816" s="9" t="n">
        <v>10.66666666666667</v>
      </c>
      <c r="I816" s="9" t="inlineStr">
        <is>
          <t>Depth (no MLB PA)</t>
        </is>
      </c>
      <c r="J816" s="16" t="inlineStr">
        <is>
          <t>Opening Day</t>
        </is>
      </c>
      <c r="K816" s="11">
        <f>IFERROR(INDEX(Roles!$B$17:$B$20,MATCH(J816,Roles!$A$17:$A$20,0)),1)</f>
        <v/>
      </c>
      <c r="L816" s="17" t="n">
        <v>1</v>
      </c>
      <c r="M816" s="11" t="n">
        <v>1</v>
      </c>
      <c r="N816" s="17" t="n"/>
      <c r="O816" s="17" t="n"/>
      <c r="P816" s="17" t="n"/>
      <c r="Q816" s="17" t="n"/>
      <c r="R816" s="17" t="n"/>
      <c r="S816" s="17" t="n"/>
      <c r="T816" s="17" t="n"/>
      <c r="U816" s="17" t="n"/>
      <c r="V816" s="17" t="n"/>
      <c r="W816" s="17" t="n"/>
      <c r="X816" s="17" t="n"/>
      <c r="Y816" s="17" t="n">
        <v>1</v>
      </c>
      <c r="Z816" s="13">
        <f>SUMPRODUCT(N816:Y816,$N$2:$Y$2)*$K816*$L816*$M816</f>
        <v/>
      </c>
      <c r="AA816" s="14">
        <f>SUM(N816:Y816)</f>
        <v/>
      </c>
      <c r="AB816" s="14">
        <f>IFERROR(IF(UPPER($E816)="L",SUMPRODUCT(N816:Y816,$N$3:$Y$3,$N$2:$Y$2),SUMPRODUCT(N816:Y816,$N$4:$Y$4,$N$2:$Y$2))/(Z816/($K816*$L816*$M816)),"")</f>
        <v/>
      </c>
      <c r="AC816" s="18" t="n"/>
    </row>
    <row r="817">
      <c r="A817" s="9" t="n">
        <v>699228</v>
      </c>
      <c r="B817" s="9" t="inlineStr">
        <is>
          <t>Jakey Josepha</t>
        </is>
      </c>
      <c r="C817" s="9" t="inlineStr">
        <is>
          <t>ARI</t>
        </is>
      </c>
      <c r="D817" s="9" t="n">
        <v>25</v>
      </c>
      <c r="E817" s="16" t="inlineStr">
        <is>
          <t>L</t>
        </is>
      </c>
      <c r="F817" s="16" t="n"/>
      <c r="G817" s="9" t="n">
        <v>2.512820512820513</v>
      </c>
      <c r="H817" s="9" t="n">
        <v>2.512820512820513</v>
      </c>
      <c r="I817" s="9" t="inlineStr">
        <is>
          <t>Depth (no MLB PA)</t>
        </is>
      </c>
      <c r="J817" s="16" t="inlineStr">
        <is>
          <t>Opening Day</t>
        </is>
      </c>
      <c r="K817" s="11">
        <f>IFERROR(INDEX(Roles!$B$17:$B$20,MATCH(J817,Roles!$A$17:$A$20,0)),1)</f>
        <v/>
      </c>
      <c r="L817" s="17" t="n">
        <v>1</v>
      </c>
      <c r="M817" s="11" t="n">
        <v>1</v>
      </c>
      <c r="N817" s="17" t="n"/>
      <c r="O817" s="17" t="n"/>
      <c r="P817" s="17" t="n"/>
      <c r="Q817" s="17" t="n"/>
      <c r="R817" s="17" t="n"/>
      <c r="S817" s="17" t="n"/>
      <c r="T817" s="17" t="n"/>
      <c r="U817" s="17" t="n"/>
      <c r="V817" s="17" t="n"/>
      <c r="W817" s="17" t="n"/>
      <c r="X817" s="17" t="n"/>
      <c r="Y817" s="17" t="n">
        <v>1</v>
      </c>
      <c r="Z817" s="13">
        <f>SUMPRODUCT(N817:Y817,$N$2:$Y$2)*$K817*$L817*$M817</f>
        <v/>
      </c>
      <c r="AA817" s="14">
        <f>SUM(N817:Y817)</f>
        <v/>
      </c>
      <c r="AB817" s="14">
        <f>IFERROR(IF(UPPER($E817)="L",SUMPRODUCT(N817:Y817,$N$3:$Y$3,$N$2:$Y$2),SUMPRODUCT(N817:Y817,$N$4:$Y$4,$N$2:$Y$2))/(Z817/($K817*$L817*$M817)),"")</f>
        <v/>
      </c>
      <c r="AC817" s="18" t="n"/>
    </row>
    <row r="818">
      <c r="A818" s="9" t="n">
        <v>829073</v>
      </c>
      <c r="B818" s="9" t="inlineStr">
        <is>
          <t>Brailyn Antunez</t>
        </is>
      </c>
      <c r="C818" s="9" t="inlineStr">
        <is>
          <t>MIL</t>
        </is>
      </c>
      <c r="D818" s="9" t="n">
        <v>20</v>
      </c>
      <c r="E818" s="16" t="inlineStr">
        <is>
          <t>R</t>
        </is>
      </c>
      <c r="F818" s="16" t="n"/>
      <c r="G818" s="9" t="n">
        <v>17.35384615384615</v>
      </c>
      <c r="H818" s="9" t="n">
        <v>17.35384615384615</v>
      </c>
      <c r="I818" s="9" t="inlineStr">
        <is>
          <t>Depth (no MLB PA)</t>
        </is>
      </c>
      <c r="J818" s="16" t="inlineStr">
        <is>
          <t>Opening Day</t>
        </is>
      </c>
      <c r="K818" s="11">
        <f>IFERROR(INDEX(Roles!$B$17:$B$20,MATCH(J818,Roles!$A$17:$A$20,0)),1)</f>
        <v/>
      </c>
      <c r="L818" s="17" t="n">
        <v>1</v>
      </c>
      <c r="M818" s="11" t="n">
        <v>1</v>
      </c>
      <c r="N818" s="17" t="n"/>
      <c r="O818" s="17" t="n"/>
      <c r="P818" s="17" t="n"/>
      <c r="Q818" s="17" t="n"/>
      <c r="R818" s="17" t="n"/>
      <c r="S818" s="17" t="n"/>
      <c r="T818" s="17" t="n"/>
      <c r="U818" s="17" t="n"/>
      <c r="V818" s="17" t="n"/>
      <c r="W818" s="17" t="n"/>
      <c r="X818" s="17" t="n"/>
      <c r="Y818" s="17" t="n">
        <v>1</v>
      </c>
      <c r="Z818" s="13">
        <f>SUMPRODUCT(N818:Y818,$N$2:$Y$2)*$K818*$L818*$M818</f>
        <v/>
      </c>
      <c r="AA818" s="14">
        <f>SUM(N818:Y818)</f>
        <v/>
      </c>
      <c r="AB818" s="14">
        <f>IFERROR(IF(UPPER($E818)="L",SUMPRODUCT(N818:Y818,$N$3:$Y$3,$N$2:$Y$2),SUMPRODUCT(N818:Y818,$N$4:$Y$4,$N$2:$Y$2))/(Z818/($K818*$L818*$M818)),"")</f>
        <v/>
      </c>
      <c r="AC818" s="18" t="n"/>
    </row>
    <row r="819">
      <c r="A819" s="9" t="n">
        <v>821648</v>
      </c>
      <c r="B819" s="9" t="inlineStr">
        <is>
          <t>Wilberson De Pena</t>
        </is>
      </c>
      <c r="C819" s="9" t="inlineStr">
        <is>
          <t>NYY</t>
        </is>
      </c>
      <c r="D819" s="9" t="n">
        <v>25</v>
      </c>
      <c r="E819" s="16" t="inlineStr">
        <is>
          <t>R</t>
        </is>
      </c>
      <c r="F819" s="16" t="n"/>
      <c r="G819" s="9" t="n">
        <v>11.07692307692308</v>
      </c>
      <c r="H819" s="9" t="n">
        <v>11.07692307692308</v>
      </c>
      <c r="I819" s="9" t="inlineStr">
        <is>
          <t>Depth (no MLB PA)</t>
        </is>
      </c>
      <c r="J819" s="16" t="inlineStr">
        <is>
          <t>Opening Day</t>
        </is>
      </c>
      <c r="K819" s="11">
        <f>IFERROR(INDEX(Roles!$B$17:$B$20,MATCH(J819,Roles!$A$17:$A$20,0)),1)</f>
        <v/>
      </c>
      <c r="L819" s="17" t="n">
        <v>1</v>
      </c>
      <c r="M819" s="11" t="n">
        <v>1</v>
      </c>
      <c r="N819" s="17" t="n"/>
      <c r="O819" s="17" t="n"/>
      <c r="P819" s="17" t="n"/>
      <c r="Q819" s="17" t="n"/>
      <c r="R819" s="17" t="n"/>
      <c r="S819" s="17" t="n"/>
      <c r="T819" s="17" t="n"/>
      <c r="U819" s="17" t="n"/>
      <c r="V819" s="17" t="n"/>
      <c r="W819" s="17" t="n"/>
      <c r="X819" s="17" t="n"/>
      <c r="Y819" s="17" t="n">
        <v>1</v>
      </c>
      <c r="Z819" s="13">
        <f>SUMPRODUCT(N819:Y819,$N$2:$Y$2)*$K819*$L819*$M819</f>
        <v/>
      </c>
      <c r="AA819" s="14">
        <f>SUM(N819:Y819)</f>
        <v/>
      </c>
      <c r="AB819" s="14">
        <f>IFERROR(IF(UPPER($E819)="L",SUMPRODUCT(N819:Y819,$N$3:$Y$3,$N$2:$Y$2),SUMPRODUCT(N819:Y819,$N$4:$Y$4,$N$2:$Y$2))/(Z819/($K819*$L819*$M819)),"")</f>
        <v/>
      </c>
      <c r="AC819" s="18" t="n"/>
    </row>
    <row r="820">
      <c r="A820" s="9" t="n">
        <v>806499</v>
      </c>
      <c r="B820" s="9" t="inlineStr">
        <is>
          <t>Avery Ortiz</t>
        </is>
      </c>
      <c r="C820" s="9" t="inlineStr">
        <is>
          <t>WSH</t>
        </is>
      </c>
      <c r="D820" s="9" t="n">
        <v>25</v>
      </c>
      <c r="E820" s="16" t="inlineStr">
        <is>
          <t>R</t>
        </is>
      </c>
      <c r="F820" s="16" t="n"/>
      <c r="G820" s="9" t="n">
        <v>8.861538461538462</v>
      </c>
      <c r="H820" s="9" t="n">
        <v>8.861538461538462</v>
      </c>
      <c r="I820" s="9" t="inlineStr">
        <is>
          <t>Depth (no MLB PA)</t>
        </is>
      </c>
      <c r="J820" s="16" t="inlineStr">
        <is>
          <t>Opening Day</t>
        </is>
      </c>
      <c r="K820" s="11">
        <f>IFERROR(INDEX(Roles!$B$17:$B$20,MATCH(J820,Roles!$A$17:$A$20,0)),1)</f>
        <v/>
      </c>
      <c r="L820" s="17" t="n">
        <v>1</v>
      </c>
      <c r="M820" s="11" t="n">
        <v>1</v>
      </c>
      <c r="N820" s="17" t="n"/>
      <c r="O820" s="17" t="n"/>
      <c r="P820" s="17" t="n"/>
      <c r="Q820" s="17" t="n"/>
      <c r="R820" s="17" t="n"/>
      <c r="S820" s="17" t="n"/>
      <c r="T820" s="17" t="n"/>
      <c r="U820" s="17" t="n"/>
      <c r="V820" s="17" t="n"/>
      <c r="W820" s="17" t="n"/>
      <c r="X820" s="17" t="n"/>
      <c r="Y820" s="17" t="n">
        <v>1</v>
      </c>
      <c r="Z820" s="13">
        <f>SUMPRODUCT(N820:Y820,$N$2:$Y$2)*$K820*$L820*$M820</f>
        <v/>
      </c>
      <c r="AA820" s="14">
        <f>SUM(N820:Y820)</f>
        <v/>
      </c>
      <c r="AB820" s="14">
        <f>IFERROR(IF(UPPER($E820)="L",SUMPRODUCT(N820:Y820,$N$3:$Y$3,$N$2:$Y$2),SUMPRODUCT(N820:Y820,$N$4:$Y$4,$N$2:$Y$2))/(Z820/($K820*$L820*$M820)),"")</f>
        <v/>
      </c>
      <c r="AC820" s="18" t="n"/>
    </row>
    <row r="821">
      <c r="A821" s="9" t="n">
        <v>690944</v>
      </c>
      <c r="B821" s="9" t="inlineStr">
        <is>
          <t>Curtis Washington Jr.</t>
        </is>
      </c>
      <c r="C821" s="9" t="inlineStr">
        <is>
          <t>SEA</t>
        </is>
      </c>
      <c r="D821" s="9" t="n">
        <v>25</v>
      </c>
      <c r="E821" s="16" t="inlineStr">
        <is>
          <t>R</t>
        </is>
      </c>
      <c r="F821" s="16" t="n"/>
      <c r="G821" s="9" t="n">
        <v>38.97435897435898</v>
      </c>
      <c r="H821" s="9" t="n">
        <v>38.97435897435898</v>
      </c>
      <c r="I821" s="9" t="inlineStr">
        <is>
          <t>Depth (no MLB PA)</t>
        </is>
      </c>
      <c r="J821" s="16" t="inlineStr">
        <is>
          <t>Opening Day</t>
        </is>
      </c>
      <c r="K821" s="11">
        <f>IFERROR(INDEX(Roles!$B$17:$B$20,MATCH(J821,Roles!$A$17:$A$20,0)),1)</f>
        <v/>
      </c>
      <c r="L821" s="17" t="n">
        <v>1</v>
      </c>
      <c r="M821" s="11" t="n">
        <v>1</v>
      </c>
      <c r="N821" s="17" t="n"/>
      <c r="O821" s="17" t="n"/>
      <c r="P821" s="17" t="n"/>
      <c r="Q821" s="17" t="n"/>
      <c r="R821" s="17" t="n"/>
      <c r="S821" s="17" t="n"/>
      <c r="T821" s="17" t="n"/>
      <c r="U821" s="17" t="n"/>
      <c r="V821" s="17" t="n"/>
      <c r="W821" s="17" t="n"/>
      <c r="X821" s="17" t="n"/>
      <c r="Y821" s="17" t="n">
        <v>1</v>
      </c>
      <c r="Z821" s="13">
        <f>SUMPRODUCT(N821:Y821,$N$2:$Y$2)*$K821*$L821*$M821</f>
        <v/>
      </c>
      <c r="AA821" s="14">
        <f>SUM(N821:Y821)</f>
        <v/>
      </c>
      <c r="AB821" s="14">
        <f>IFERROR(IF(UPPER($E821)="L",SUMPRODUCT(N821:Y821,$N$3:$Y$3,$N$2:$Y$2),SUMPRODUCT(N821:Y821,$N$4:$Y$4,$N$2:$Y$2))/(Z821/($K821*$L821*$M821)),"")</f>
        <v/>
      </c>
      <c r="AC821" s="18" t="n"/>
    </row>
    <row r="822">
      <c r="A822" s="9" t="n">
        <v>821920</v>
      </c>
      <c r="B822" s="9" t="inlineStr">
        <is>
          <t>Kuhio Aloy</t>
        </is>
      </c>
      <c r="C822" s="9" t="inlineStr">
        <is>
          <t>NYM</t>
        </is>
      </c>
      <c r="D822" s="9" t="n">
        <v>25</v>
      </c>
      <c r="E822" s="16" t="inlineStr">
        <is>
          <t>R</t>
        </is>
      </c>
      <c r="F822" s="16" t="n"/>
      <c r="G822" s="9" t="n">
        <v>11.07692307692308</v>
      </c>
      <c r="H822" s="9" t="n">
        <v>11.07692307692308</v>
      </c>
      <c r="I822" s="9" t="inlineStr">
        <is>
          <t>Depth (no MLB PA)</t>
        </is>
      </c>
      <c r="J822" s="16" t="inlineStr">
        <is>
          <t>Opening Day</t>
        </is>
      </c>
      <c r="K822" s="11">
        <f>IFERROR(INDEX(Roles!$B$17:$B$20,MATCH(J822,Roles!$A$17:$A$20,0)),1)</f>
        <v/>
      </c>
      <c r="L822" s="17" t="n">
        <v>1</v>
      </c>
      <c r="M822" s="11" t="n">
        <v>1</v>
      </c>
      <c r="N822" s="17" t="n"/>
      <c r="O822" s="17" t="n"/>
      <c r="P822" s="17" t="n"/>
      <c r="Q822" s="17" t="n"/>
      <c r="R822" s="17" t="n"/>
      <c r="S822" s="17" t="n"/>
      <c r="T822" s="17" t="n"/>
      <c r="U822" s="17" t="n"/>
      <c r="V822" s="17" t="n"/>
      <c r="W822" s="17" t="n"/>
      <c r="X822" s="17" t="n"/>
      <c r="Y822" s="17" t="n">
        <v>1</v>
      </c>
      <c r="Z822" s="13">
        <f>SUMPRODUCT(N822:Y822,$N$2:$Y$2)*$K822*$L822*$M822</f>
        <v/>
      </c>
      <c r="AA822" s="14">
        <f>SUM(N822:Y822)</f>
        <v/>
      </c>
      <c r="AB822" s="14">
        <f>IFERROR(IF(UPPER($E822)="L",SUMPRODUCT(N822:Y822,$N$3:$Y$3,$N$2:$Y$2),SUMPRODUCT(N822:Y822,$N$4:$Y$4,$N$2:$Y$2))/(Z822/($K822*$L822*$M822)),"")</f>
        <v/>
      </c>
      <c r="AC822" s="18" t="n"/>
    </row>
    <row r="823">
      <c r="A823" s="9" t="n">
        <v>831546</v>
      </c>
      <c r="B823" s="9" t="inlineStr">
        <is>
          <t>Kyeler Thompson</t>
        </is>
      </c>
      <c r="C823" s="9" t="inlineStr">
        <is>
          <t>LAD</t>
        </is>
      </c>
      <c r="D823" s="9" t="n">
        <v>25</v>
      </c>
      <c r="E823" s="16" t="inlineStr">
        <is>
          <t>R</t>
        </is>
      </c>
      <c r="F823" s="16" t="n"/>
      <c r="G823" s="9" t="n">
        <v>2.584615384615385</v>
      </c>
      <c r="H823" s="9" t="n">
        <v>2.584615384615385</v>
      </c>
      <c r="I823" s="9" t="inlineStr">
        <is>
          <t>Depth (no MLB PA)</t>
        </is>
      </c>
      <c r="J823" s="16" t="inlineStr">
        <is>
          <t>Opening Day</t>
        </is>
      </c>
      <c r="K823" s="11">
        <f>IFERROR(INDEX(Roles!$B$17:$B$20,MATCH(J823,Roles!$A$17:$A$20,0)),1)</f>
        <v/>
      </c>
      <c r="L823" s="17" t="n">
        <v>1</v>
      </c>
      <c r="M823" s="11" t="n">
        <v>1</v>
      </c>
      <c r="N823" s="17" t="n"/>
      <c r="O823" s="17" t="n"/>
      <c r="P823" s="17" t="n"/>
      <c r="Q823" s="17" t="n"/>
      <c r="R823" s="17" t="n"/>
      <c r="S823" s="17" t="n"/>
      <c r="T823" s="17" t="n"/>
      <c r="U823" s="17" t="n"/>
      <c r="V823" s="17" t="n"/>
      <c r="W823" s="17" t="n"/>
      <c r="X823" s="17" t="n"/>
      <c r="Y823" s="17" t="n">
        <v>1</v>
      </c>
      <c r="Z823" s="13">
        <f>SUMPRODUCT(N823:Y823,$N$2:$Y$2)*$K823*$L823*$M823</f>
        <v/>
      </c>
      <c r="AA823" s="14">
        <f>SUM(N823:Y823)</f>
        <v/>
      </c>
      <c r="AB823" s="14">
        <f>IFERROR(IF(UPPER($E823)="L",SUMPRODUCT(N823:Y823,$N$3:$Y$3,$N$2:$Y$2),SUMPRODUCT(N823:Y823,$N$4:$Y$4,$N$2:$Y$2))/(Z823/($K823*$L823*$M823)),"")</f>
        <v/>
      </c>
      <c r="AC823" s="18" t="n"/>
    </row>
    <row r="824">
      <c r="A824" s="9" t="n">
        <v>800526</v>
      </c>
      <c r="B824" s="9" t="inlineStr">
        <is>
          <t>Ivan Sosa</t>
        </is>
      </c>
      <c r="C824" s="9" t="inlineStr">
        <is>
          <t>KC</t>
        </is>
      </c>
      <c r="D824" s="9" t="n">
        <v>25</v>
      </c>
      <c r="E824" s="16" t="inlineStr">
        <is>
          <t>R</t>
        </is>
      </c>
      <c r="F824" s="16" t="n"/>
      <c r="G824" s="9" t="n">
        <v>19.32307692307692</v>
      </c>
      <c r="H824" s="9" t="n">
        <v>19.32307692307692</v>
      </c>
      <c r="I824" s="9" t="inlineStr">
        <is>
          <t>Depth (no MLB PA)</t>
        </is>
      </c>
      <c r="J824" s="16" t="inlineStr">
        <is>
          <t>Opening Day</t>
        </is>
      </c>
      <c r="K824" s="11">
        <f>IFERROR(INDEX(Roles!$B$17:$B$20,MATCH(J824,Roles!$A$17:$A$20,0)),1)</f>
        <v/>
      </c>
      <c r="L824" s="17" t="n">
        <v>1</v>
      </c>
      <c r="M824" s="11" t="n">
        <v>1</v>
      </c>
      <c r="N824" s="17" t="n"/>
      <c r="O824" s="17" t="n"/>
      <c r="P824" s="17" t="n"/>
      <c r="Q824" s="17" t="n"/>
      <c r="R824" s="17" t="n"/>
      <c r="S824" s="17" t="n"/>
      <c r="T824" s="17" t="n"/>
      <c r="U824" s="17" t="n"/>
      <c r="V824" s="17" t="n"/>
      <c r="W824" s="17" t="n"/>
      <c r="X824" s="17" t="n"/>
      <c r="Y824" s="17" t="n">
        <v>1</v>
      </c>
      <c r="Z824" s="13">
        <f>SUMPRODUCT(N824:Y824,$N$2:$Y$2)*$K824*$L824*$M824</f>
        <v/>
      </c>
      <c r="AA824" s="14">
        <f>SUM(N824:Y824)</f>
        <v/>
      </c>
      <c r="AB824" s="14">
        <f>IFERROR(IF(UPPER($E824)="L",SUMPRODUCT(N824:Y824,$N$3:$Y$3,$N$2:$Y$2),SUMPRODUCT(N824:Y824,$N$4:$Y$4,$N$2:$Y$2))/(Z824/($K824*$L824*$M824)),"")</f>
        <v/>
      </c>
      <c r="AC824" s="18" t="n"/>
    </row>
    <row r="825">
      <c r="A825" s="9" t="n">
        <v>805785</v>
      </c>
      <c r="B825" s="9" t="inlineStr">
        <is>
          <t>Ryder Helfrick</t>
        </is>
      </c>
      <c r="C825" s="9" t="inlineStr">
        <is>
          <t>ARI</t>
        </is>
      </c>
      <c r="D825" s="9" t="n">
        <v>22</v>
      </c>
      <c r="E825" s="16" t="inlineStr">
        <is>
          <t>R</t>
        </is>
      </c>
      <c r="F825" s="16" t="n"/>
      <c r="G825" s="9" t="n">
        <v>13.16923076923077</v>
      </c>
      <c r="H825" s="9" t="n">
        <v>13.16923076923077</v>
      </c>
      <c r="I825" s="9" t="inlineStr">
        <is>
          <t>Depth (no MLB PA)</t>
        </is>
      </c>
      <c r="J825" s="16" t="inlineStr">
        <is>
          <t>Opening Day</t>
        </is>
      </c>
      <c r="K825" s="11">
        <f>IFERROR(INDEX(Roles!$B$17:$B$20,MATCH(J825,Roles!$A$17:$A$20,0)),1)</f>
        <v/>
      </c>
      <c r="L825" s="17" t="n">
        <v>1</v>
      </c>
      <c r="M825" s="11" t="n">
        <v>1</v>
      </c>
      <c r="N825" s="17" t="n"/>
      <c r="O825" s="17" t="n"/>
      <c r="P825" s="17" t="n"/>
      <c r="Q825" s="17" t="n"/>
      <c r="R825" s="17" t="n"/>
      <c r="S825" s="17" t="n"/>
      <c r="T825" s="17" t="n"/>
      <c r="U825" s="17" t="n"/>
      <c r="V825" s="17" t="n"/>
      <c r="W825" s="17" t="n"/>
      <c r="X825" s="17" t="n"/>
      <c r="Y825" s="17" t="n">
        <v>1</v>
      </c>
      <c r="Z825" s="13">
        <f>SUMPRODUCT(N825:Y825,$N$2:$Y$2)*$K825*$L825*$M825</f>
        <v/>
      </c>
      <c r="AA825" s="14">
        <f>SUM(N825:Y825)</f>
        <v/>
      </c>
      <c r="AB825" s="14">
        <f>IFERROR(IF(UPPER($E825)="L",SUMPRODUCT(N825:Y825,$N$3:$Y$3,$N$2:$Y$2),SUMPRODUCT(N825:Y825,$N$4:$Y$4,$N$2:$Y$2))/(Z825/($K825*$L825*$M825)),"")</f>
        <v/>
      </c>
      <c r="AC825" s="18" t="n"/>
    </row>
    <row r="826">
      <c r="A826" s="9" t="n">
        <v>808263</v>
      </c>
      <c r="B826" s="9" t="inlineStr">
        <is>
          <t>Daniel Rojas</t>
        </is>
      </c>
      <c r="C826" s="9" t="inlineStr">
        <is>
          <t>STL</t>
        </is>
      </c>
      <c r="D826" s="9" t="n">
        <v>25</v>
      </c>
      <c r="E826" s="16" t="inlineStr">
        <is>
          <t>R</t>
        </is>
      </c>
      <c r="F826" s="16" t="n"/>
      <c r="G826" s="9" t="n">
        <v>2.584615384615385</v>
      </c>
      <c r="H826" s="9" t="n">
        <v>2.584615384615385</v>
      </c>
      <c r="I826" s="9" t="inlineStr">
        <is>
          <t>Depth (no MLB PA)</t>
        </is>
      </c>
      <c r="J826" s="16" t="inlineStr">
        <is>
          <t>Opening Day</t>
        </is>
      </c>
      <c r="K826" s="11">
        <f>IFERROR(INDEX(Roles!$B$17:$B$20,MATCH(J826,Roles!$A$17:$A$20,0)),1)</f>
        <v/>
      </c>
      <c r="L826" s="17" t="n">
        <v>1</v>
      </c>
      <c r="M826" s="11" t="n">
        <v>1</v>
      </c>
      <c r="N826" s="17" t="n"/>
      <c r="O826" s="17" t="n"/>
      <c r="P826" s="17" t="n"/>
      <c r="Q826" s="17" t="n"/>
      <c r="R826" s="17" t="n"/>
      <c r="S826" s="17" t="n"/>
      <c r="T826" s="17" t="n"/>
      <c r="U826" s="17" t="n"/>
      <c r="V826" s="17" t="n"/>
      <c r="W826" s="17" t="n"/>
      <c r="X826" s="17" t="n"/>
      <c r="Y826" s="17" t="n">
        <v>1</v>
      </c>
      <c r="Z826" s="13">
        <f>SUMPRODUCT(N826:Y826,$N$2:$Y$2)*$K826*$L826*$M826</f>
        <v/>
      </c>
      <c r="AA826" s="14">
        <f>SUM(N826:Y826)</f>
        <v/>
      </c>
      <c r="AB826" s="14">
        <f>IFERROR(IF(UPPER($E826)="L",SUMPRODUCT(N826:Y826,$N$3:$Y$3,$N$2:$Y$2),SUMPRODUCT(N826:Y826,$N$4:$Y$4,$N$2:$Y$2))/(Z826/($K826*$L826*$M826)),"")</f>
        <v/>
      </c>
      <c r="AC826" s="18" t="n"/>
    </row>
    <row r="827">
      <c r="A827" s="9" t="n">
        <v>622666</v>
      </c>
      <c r="B827" s="9" t="inlineStr">
        <is>
          <t>Johan Camargo</t>
        </is>
      </c>
      <c r="C827" s="9" t="inlineStr">
        <is>
          <t>PHI</t>
        </is>
      </c>
      <c r="D827" s="9" t="n">
        <v>33</v>
      </c>
      <c r="E827" s="16" t="inlineStr">
        <is>
          <t>S</t>
        </is>
      </c>
      <c r="F827" s="16" t="inlineStr">
        <is>
          <t>SS</t>
        </is>
      </c>
      <c r="G827" s="9" t="n">
        <v>20</v>
      </c>
      <c r="H827" s="9" t="n">
        <v>186</v>
      </c>
      <c r="I827" s="9" t="inlineStr">
        <is>
          <t>Depth (no MLB PA)</t>
        </is>
      </c>
      <c r="J827" s="16" t="inlineStr">
        <is>
          <t>Opening Day</t>
        </is>
      </c>
      <c r="K827" s="11">
        <f>IFERROR(INDEX(Roles!$B$17:$B$20,MATCH(J827,Roles!$A$17:$A$20,0)),1)</f>
        <v/>
      </c>
      <c r="L827" s="17" t="n">
        <v>1</v>
      </c>
      <c r="M827" s="11" t="n">
        <v>1</v>
      </c>
      <c r="N827" s="17" t="n"/>
      <c r="O827" s="17" t="n"/>
      <c r="P827" s="17" t="n"/>
      <c r="Q827" s="17" t="n"/>
      <c r="R827" s="17" t="n"/>
      <c r="S827" s="17" t="n"/>
      <c r="T827" s="17" t="n"/>
      <c r="U827" s="17" t="n"/>
      <c r="V827" s="17" t="n"/>
      <c r="W827" s="17" t="n"/>
      <c r="X827" s="17" t="n"/>
      <c r="Y827" s="17" t="n">
        <v>1</v>
      </c>
      <c r="Z827" s="13">
        <f>SUMPRODUCT(N827:Y827,$N$2:$Y$2)*$K827*$L827*$M827</f>
        <v/>
      </c>
      <c r="AA827" s="14">
        <f>SUM(N827:Y827)</f>
        <v/>
      </c>
      <c r="AB827" s="14">
        <f>IFERROR(IF(UPPER($E827)="L",SUMPRODUCT(N827:Y827,$N$3:$Y$3,$N$2:$Y$2),SUMPRODUCT(N827:Y827,$N$4:$Y$4,$N$2:$Y$2))/(Z827/($K827*$L827*$M827)),"")</f>
        <v/>
      </c>
      <c r="AC827" s="18" t="n"/>
    </row>
    <row r="828">
      <c r="A828" s="9" t="n">
        <v>701618</v>
      </c>
      <c r="B828" s="9" t="inlineStr">
        <is>
          <t>Damon Keith</t>
        </is>
      </c>
      <c r="C828" s="9" t="inlineStr">
        <is>
          <t>MIL</t>
        </is>
      </c>
      <c r="D828" s="9" t="n">
        <v>25</v>
      </c>
      <c r="E828" s="16" t="inlineStr">
        <is>
          <t>R</t>
        </is>
      </c>
      <c r="F828" s="16" t="n"/>
      <c r="G828" s="9" t="n">
        <v>85.43589743589743</v>
      </c>
      <c r="H828" s="9" t="n">
        <v>85.43589743589743</v>
      </c>
      <c r="I828" s="9" t="inlineStr">
        <is>
          <t>Depth (no MLB PA)</t>
        </is>
      </c>
      <c r="J828" s="16" t="inlineStr">
        <is>
          <t>Opening Day</t>
        </is>
      </c>
      <c r="K828" s="11">
        <f>IFERROR(INDEX(Roles!$B$17:$B$20,MATCH(J828,Roles!$A$17:$A$20,0)),1)</f>
        <v/>
      </c>
      <c r="L828" s="17" t="n">
        <v>1</v>
      </c>
      <c r="M828" s="11" t="n">
        <v>1</v>
      </c>
      <c r="N828" s="17" t="n"/>
      <c r="O828" s="17" t="n"/>
      <c r="P828" s="17" t="n"/>
      <c r="Q828" s="17" t="n"/>
      <c r="R828" s="17" t="n"/>
      <c r="S828" s="17" t="n"/>
      <c r="T828" s="17" t="n"/>
      <c r="U828" s="17" t="n"/>
      <c r="V828" s="17" t="n"/>
      <c r="W828" s="17" t="n"/>
      <c r="X828" s="17" t="n"/>
      <c r="Y828" s="17" t="n">
        <v>1</v>
      </c>
      <c r="Z828" s="13">
        <f>SUMPRODUCT(N828:Y828,$N$2:$Y$2)*$K828*$L828*$M828</f>
        <v/>
      </c>
      <c r="AA828" s="14">
        <f>SUM(N828:Y828)</f>
        <v/>
      </c>
      <c r="AB828" s="14">
        <f>IFERROR(IF(UPPER($E828)="L",SUMPRODUCT(N828:Y828,$N$3:$Y$3,$N$2:$Y$2),SUMPRODUCT(N828:Y828,$N$4:$Y$4,$N$2:$Y$2))/(Z828/($K828*$L828*$M828)),"")</f>
        <v/>
      </c>
      <c r="AC828" s="18" t="n"/>
    </row>
    <row r="829">
      <c r="A829" s="9" t="n">
        <v>814514</v>
      </c>
      <c r="B829" s="9" t="inlineStr">
        <is>
          <t>AJ Salgado</t>
        </is>
      </c>
      <c r="C829" s="9" t="inlineStr">
        <is>
          <t>NYM</t>
        </is>
      </c>
      <c r="D829" s="9" t="n">
        <v>25</v>
      </c>
      <c r="E829" s="16" t="inlineStr">
        <is>
          <t>L</t>
        </is>
      </c>
      <c r="F829" s="16" t="n"/>
      <c r="G829" s="9" t="n">
        <v>2.666666666666667</v>
      </c>
      <c r="H829" s="9" t="n">
        <v>2.666666666666667</v>
      </c>
      <c r="I829" s="9" t="inlineStr">
        <is>
          <t>Depth (no MLB PA)</t>
        </is>
      </c>
      <c r="J829" s="16" t="inlineStr">
        <is>
          <t>Opening Day</t>
        </is>
      </c>
      <c r="K829" s="11">
        <f>IFERROR(INDEX(Roles!$B$17:$B$20,MATCH(J829,Roles!$A$17:$A$20,0)),1)</f>
        <v/>
      </c>
      <c r="L829" s="17" t="n">
        <v>1</v>
      </c>
      <c r="M829" s="11" t="n">
        <v>1</v>
      </c>
      <c r="N829" s="17" t="n"/>
      <c r="O829" s="17" t="n"/>
      <c r="P829" s="17" t="n"/>
      <c r="Q829" s="17" t="n"/>
      <c r="R829" s="17" t="n"/>
      <c r="S829" s="17" t="n"/>
      <c r="T829" s="17" t="n"/>
      <c r="U829" s="17" t="n"/>
      <c r="V829" s="17" t="n"/>
      <c r="W829" s="17" t="n"/>
      <c r="X829" s="17" t="n"/>
      <c r="Y829" s="17" t="n">
        <v>1</v>
      </c>
      <c r="Z829" s="13">
        <f>SUMPRODUCT(N829:Y829,$N$2:$Y$2)*$K829*$L829*$M829</f>
        <v/>
      </c>
      <c r="AA829" s="14">
        <f>SUM(N829:Y829)</f>
        <v/>
      </c>
      <c r="AB829" s="14">
        <f>IFERROR(IF(UPPER($E829)="L",SUMPRODUCT(N829:Y829,$N$3:$Y$3,$N$2:$Y$2),SUMPRODUCT(N829:Y829,$N$4:$Y$4,$N$2:$Y$2))/(Z829/($K829*$L829*$M829)),"")</f>
        <v/>
      </c>
      <c r="AC829" s="18" t="n"/>
    </row>
    <row r="830">
      <c r="A830" s="9" t="n">
        <v>808698</v>
      </c>
      <c r="B830" s="9" t="inlineStr">
        <is>
          <t>Pedro Roque</t>
        </is>
      </c>
      <c r="C830" s="9" t="inlineStr">
        <is>
          <t>KC</t>
        </is>
      </c>
      <c r="D830" s="9" t="n">
        <v>25</v>
      </c>
      <c r="E830" s="16" t="inlineStr">
        <is>
          <t>R</t>
        </is>
      </c>
      <c r="F830" s="16" t="n"/>
      <c r="G830" s="9" t="n">
        <v>2.666666666666667</v>
      </c>
      <c r="H830" s="9" t="n">
        <v>2.666666666666667</v>
      </c>
      <c r="I830" s="9" t="inlineStr">
        <is>
          <t>Depth (no MLB PA)</t>
        </is>
      </c>
      <c r="J830" s="16" t="inlineStr">
        <is>
          <t>Opening Day</t>
        </is>
      </c>
      <c r="K830" s="11">
        <f>IFERROR(INDEX(Roles!$B$17:$B$20,MATCH(J830,Roles!$A$17:$A$20,0)),1)</f>
        <v/>
      </c>
      <c r="L830" s="17" t="n">
        <v>1</v>
      </c>
      <c r="M830" s="11" t="n">
        <v>1</v>
      </c>
      <c r="N830" s="17" t="n"/>
      <c r="O830" s="17" t="n"/>
      <c r="P830" s="17" t="n"/>
      <c r="Q830" s="17" t="n"/>
      <c r="R830" s="17" t="n"/>
      <c r="S830" s="17" t="n"/>
      <c r="T830" s="17" t="n"/>
      <c r="U830" s="17" t="n"/>
      <c r="V830" s="17" t="n"/>
      <c r="W830" s="17" t="n"/>
      <c r="X830" s="17" t="n"/>
      <c r="Y830" s="17" t="n">
        <v>1</v>
      </c>
      <c r="Z830" s="13">
        <f>SUMPRODUCT(N830:Y830,$N$2:$Y$2)*$K830*$L830*$M830</f>
        <v/>
      </c>
      <c r="AA830" s="14">
        <f>SUM(N830:Y830)</f>
        <v/>
      </c>
      <c r="AB830" s="14">
        <f>IFERROR(IF(UPPER($E830)="L",SUMPRODUCT(N830:Y830,$N$3:$Y$3,$N$2:$Y$2),SUMPRODUCT(N830:Y830,$N$4:$Y$4,$N$2:$Y$2))/(Z830/($K830*$L830*$M830)),"")</f>
        <v/>
      </c>
      <c r="AC830" s="18" t="n"/>
    </row>
    <row r="831">
      <c r="A831" s="9" t="n">
        <v>825130</v>
      </c>
      <c r="B831" s="9" t="inlineStr">
        <is>
          <t>Lane Haworth</t>
        </is>
      </c>
      <c r="C831" s="9" t="inlineStr">
        <is>
          <t>PHI</t>
        </is>
      </c>
      <c r="D831" s="9" t="n">
        <v>25</v>
      </c>
      <c r="E831" s="16" t="inlineStr">
        <is>
          <t>L</t>
        </is>
      </c>
      <c r="F831" s="16" t="n"/>
      <c r="G831" s="9" t="n">
        <v>2.707692307692308</v>
      </c>
      <c r="H831" s="9" t="n">
        <v>2.707692307692308</v>
      </c>
      <c r="I831" s="9" t="inlineStr">
        <is>
          <t>Depth (no MLB PA)</t>
        </is>
      </c>
      <c r="J831" s="16" t="inlineStr">
        <is>
          <t>Opening Day</t>
        </is>
      </c>
      <c r="K831" s="11">
        <f>IFERROR(INDEX(Roles!$B$17:$B$20,MATCH(J831,Roles!$A$17:$A$20,0)),1)</f>
        <v/>
      </c>
      <c r="L831" s="17" t="n">
        <v>1</v>
      </c>
      <c r="M831" s="11" t="n">
        <v>1</v>
      </c>
      <c r="N831" s="17" t="n"/>
      <c r="O831" s="17" t="n"/>
      <c r="P831" s="17" t="n"/>
      <c r="Q831" s="17" t="n"/>
      <c r="R831" s="17" t="n"/>
      <c r="S831" s="17" t="n"/>
      <c r="T831" s="17" t="n"/>
      <c r="U831" s="17" t="n"/>
      <c r="V831" s="17" t="n"/>
      <c r="W831" s="17" t="n"/>
      <c r="X831" s="17" t="n"/>
      <c r="Y831" s="17" t="n">
        <v>1</v>
      </c>
      <c r="Z831" s="13">
        <f>SUMPRODUCT(N831:Y831,$N$2:$Y$2)*$K831*$L831*$M831</f>
        <v/>
      </c>
      <c r="AA831" s="14">
        <f>SUM(N831:Y831)</f>
        <v/>
      </c>
      <c r="AB831" s="14">
        <f>IFERROR(IF(UPPER($E831)="L",SUMPRODUCT(N831:Y831,$N$3:$Y$3,$N$2:$Y$2),SUMPRODUCT(N831:Y831,$N$4:$Y$4,$N$2:$Y$2))/(Z831/($K831*$L831*$M831)),"")</f>
        <v/>
      </c>
      <c r="AC831" s="18" t="n"/>
    </row>
    <row r="832">
      <c r="A832" s="9" t="n">
        <v>702444</v>
      </c>
      <c r="B832" s="9" t="inlineStr">
        <is>
          <t>Eric Martinez</t>
        </is>
      </c>
      <c r="C832" s="9" t="inlineStr">
        <is>
          <t>MIL</t>
        </is>
      </c>
      <c r="D832" s="9" t="n">
        <v>25</v>
      </c>
      <c r="E832" s="16" t="inlineStr">
        <is>
          <t>R</t>
        </is>
      </c>
      <c r="F832" s="16" t="n"/>
      <c r="G832" s="9" t="n">
        <v>2.707692307692308</v>
      </c>
      <c r="H832" s="9" t="n">
        <v>2.707692307692308</v>
      </c>
      <c r="I832" s="9" t="inlineStr">
        <is>
          <t>Depth (no MLB PA)</t>
        </is>
      </c>
      <c r="J832" s="16" t="inlineStr">
        <is>
          <t>Opening Day</t>
        </is>
      </c>
      <c r="K832" s="11">
        <f>IFERROR(INDEX(Roles!$B$17:$B$20,MATCH(J832,Roles!$A$17:$A$20,0)),1)</f>
        <v/>
      </c>
      <c r="L832" s="17" t="n">
        <v>1</v>
      </c>
      <c r="M832" s="11" t="n">
        <v>1</v>
      </c>
      <c r="N832" s="17" t="n"/>
      <c r="O832" s="17" t="n"/>
      <c r="P832" s="17" t="n"/>
      <c r="Q832" s="17" t="n"/>
      <c r="R832" s="17" t="n"/>
      <c r="S832" s="17" t="n"/>
      <c r="T832" s="17" t="n"/>
      <c r="U832" s="17" t="n"/>
      <c r="V832" s="17" t="n"/>
      <c r="W832" s="17" t="n"/>
      <c r="X832" s="17" t="n"/>
      <c r="Y832" s="17" t="n">
        <v>1</v>
      </c>
      <c r="Z832" s="13">
        <f>SUMPRODUCT(N832:Y832,$N$2:$Y$2)*$K832*$L832*$M832</f>
        <v/>
      </c>
      <c r="AA832" s="14">
        <f>SUM(N832:Y832)</f>
        <v/>
      </c>
      <c r="AB832" s="14">
        <f>IFERROR(IF(UPPER($E832)="L",SUMPRODUCT(N832:Y832,$N$3:$Y$3,$N$2:$Y$2),SUMPRODUCT(N832:Y832,$N$4:$Y$4,$N$2:$Y$2))/(Z832/($K832*$L832*$M832)),"")</f>
        <v/>
      </c>
      <c r="AC832" s="18" t="n"/>
    </row>
    <row r="833">
      <c r="A833" s="9" t="n">
        <v>808106</v>
      </c>
      <c r="B833" s="9" t="inlineStr">
        <is>
          <t>Gabriel Lara</t>
        </is>
      </c>
      <c r="C833" s="9" t="inlineStr">
        <is>
          <t>NYY</t>
        </is>
      </c>
      <c r="D833" s="9" t="n">
        <v>25</v>
      </c>
      <c r="E833" s="16" t="inlineStr">
        <is>
          <t>L</t>
        </is>
      </c>
      <c r="F833" s="16" t="n"/>
      <c r="G833" s="9" t="n">
        <v>2.666666666666667</v>
      </c>
      <c r="H833" s="9" t="n">
        <v>2.666666666666667</v>
      </c>
      <c r="I833" s="9" t="inlineStr">
        <is>
          <t>Depth (no MLB PA)</t>
        </is>
      </c>
      <c r="J833" s="16" t="inlineStr">
        <is>
          <t>Opening Day</t>
        </is>
      </c>
      <c r="K833" s="11">
        <f>IFERROR(INDEX(Roles!$B$17:$B$20,MATCH(J833,Roles!$A$17:$A$20,0)),1)</f>
        <v/>
      </c>
      <c r="L833" s="17" t="n">
        <v>1</v>
      </c>
      <c r="M833" s="11" t="n">
        <v>1</v>
      </c>
      <c r="N833" s="17" t="n"/>
      <c r="O833" s="17" t="n"/>
      <c r="P833" s="17" t="n"/>
      <c r="Q833" s="17" t="n"/>
      <c r="R833" s="17" t="n"/>
      <c r="S833" s="17" t="n"/>
      <c r="T833" s="17" t="n"/>
      <c r="U833" s="17" t="n"/>
      <c r="V833" s="17" t="n"/>
      <c r="W833" s="17" t="n"/>
      <c r="X833" s="17" t="n"/>
      <c r="Y833" s="17" t="n">
        <v>1</v>
      </c>
      <c r="Z833" s="13">
        <f>SUMPRODUCT(N833:Y833,$N$2:$Y$2)*$K833*$L833*$M833</f>
        <v/>
      </c>
      <c r="AA833" s="14">
        <f>SUM(N833:Y833)</f>
        <v/>
      </c>
      <c r="AB833" s="14">
        <f>IFERROR(IF(UPPER($E833)="L",SUMPRODUCT(N833:Y833,$N$3:$Y$3,$N$2:$Y$2),SUMPRODUCT(N833:Y833,$N$4:$Y$4,$N$2:$Y$2))/(Z833/($K833*$L833*$M833)),"")</f>
        <v/>
      </c>
      <c r="AC833" s="18" t="n"/>
    </row>
    <row r="834">
      <c r="A834" s="9" t="n">
        <v>808278</v>
      </c>
      <c r="B834" s="9" t="inlineStr">
        <is>
          <t>Facundo Velásquez</t>
        </is>
      </c>
      <c r="C834" s="9" t="inlineStr">
        <is>
          <t>STL</t>
        </is>
      </c>
      <c r="D834" s="9" t="n">
        <v>25</v>
      </c>
      <c r="E834" s="16" t="inlineStr">
        <is>
          <t>S</t>
        </is>
      </c>
      <c r="F834" s="16" t="n"/>
      <c r="G834" s="9" t="n">
        <v>8.984615384615385</v>
      </c>
      <c r="H834" s="9" t="n">
        <v>8.984615384615385</v>
      </c>
      <c r="I834" s="9" t="inlineStr">
        <is>
          <t>Depth (no MLB PA)</t>
        </is>
      </c>
      <c r="J834" s="16" t="inlineStr">
        <is>
          <t>Opening Day</t>
        </is>
      </c>
      <c r="K834" s="11">
        <f>IFERROR(INDEX(Roles!$B$17:$B$20,MATCH(J834,Roles!$A$17:$A$20,0)),1)</f>
        <v/>
      </c>
      <c r="L834" s="17" t="n">
        <v>1</v>
      </c>
      <c r="M834" s="11" t="n">
        <v>1</v>
      </c>
      <c r="N834" s="17" t="n"/>
      <c r="O834" s="17" t="n"/>
      <c r="P834" s="17" t="n"/>
      <c r="Q834" s="17" t="n"/>
      <c r="R834" s="17" t="n"/>
      <c r="S834" s="17" t="n"/>
      <c r="T834" s="17" t="n"/>
      <c r="U834" s="17" t="n"/>
      <c r="V834" s="17" t="n"/>
      <c r="W834" s="17" t="n"/>
      <c r="X834" s="17" t="n"/>
      <c r="Y834" s="17" t="n">
        <v>1</v>
      </c>
      <c r="Z834" s="13">
        <f>SUMPRODUCT(N834:Y834,$N$2:$Y$2)*$K834*$L834*$M834</f>
        <v/>
      </c>
      <c r="AA834" s="14">
        <f>SUM(N834:Y834)</f>
        <v/>
      </c>
      <c r="AB834" s="14">
        <f>IFERROR(IF(UPPER($E834)="L",SUMPRODUCT(N834:Y834,$N$3:$Y$3,$N$2:$Y$2),SUMPRODUCT(N834:Y834,$N$4:$Y$4,$N$2:$Y$2))/(Z834/($K834*$L834*$M834)),"")</f>
        <v/>
      </c>
      <c r="AC834" s="18" t="n"/>
    </row>
    <row r="835">
      <c r="A835" s="9" t="n">
        <v>833397</v>
      </c>
      <c r="B835" s="9" t="inlineStr">
        <is>
          <t>James Quinn-Irons</t>
        </is>
      </c>
      <c r="C835" s="9" t="inlineStr">
        <is>
          <t>TB</t>
        </is>
      </c>
      <c r="D835" s="9" t="n">
        <v>25</v>
      </c>
      <c r="E835" s="16" t="inlineStr">
        <is>
          <t>R</t>
        </is>
      </c>
      <c r="F835" s="16" t="n"/>
      <c r="G835" s="9" t="n">
        <v>2.707692307692308</v>
      </c>
      <c r="H835" s="9" t="n">
        <v>2.707692307692308</v>
      </c>
      <c r="I835" s="9" t="inlineStr">
        <is>
          <t>Depth (no MLB PA)</t>
        </is>
      </c>
      <c r="J835" s="16" t="inlineStr">
        <is>
          <t>Opening Day</t>
        </is>
      </c>
      <c r="K835" s="11">
        <f>IFERROR(INDEX(Roles!$B$17:$B$20,MATCH(J835,Roles!$A$17:$A$20,0)),1)</f>
        <v/>
      </c>
      <c r="L835" s="17" t="n">
        <v>1</v>
      </c>
      <c r="M835" s="11" t="n">
        <v>1</v>
      </c>
      <c r="N835" s="17" t="n"/>
      <c r="O835" s="17" t="n"/>
      <c r="P835" s="17" t="n"/>
      <c r="Q835" s="17" t="n"/>
      <c r="R835" s="17" t="n"/>
      <c r="S835" s="17" t="n"/>
      <c r="T835" s="17" t="n"/>
      <c r="U835" s="17" t="n"/>
      <c r="V835" s="17" t="n"/>
      <c r="W835" s="17" t="n"/>
      <c r="X835" s="17" t="n"/>
      <c r="Y835" s="17" t="n">
        <v>1</v>
      </c>
      <c r="Z835" s="13">
        <f>SUMPRODUCT(N835:Y835,$N$2:$Y$2)*$K835*$L835*$M835</f>
        <v/>
      </c>
      <c r="AA835" s="14">
        <f>SUM(N835:Y835)</f>
        <v/>
      </c>
      <c r="AB835" s="14">
        <f>IFERROR(IF(UPPER($E835)="L",SUMPRODUCT(N835:Y835,$N$3:$Y$3,$N$2:$Y$2),SUMPRODUCT(N835:Y835,$N$4:$Y$4,$N$2:$Y$2))/(Z835/($K835*$L835*$M835)),"")</f>
        <v/>
      </c>
      <c r="AC835" s="18" t="n"/>
    </row>
    <row r="836">
      <c r="A836" s="9" t="n">
        <v>692232</v>
      </c>
      <c r="B836" s="9" t="inlineStr">
        <is>
          <t>Fernando Gonzalez</t>
        </is>
      </c>
      <c r="C836" s="9" t="inlineStr">
        <is>
          <t>SF</t>
        </is>
      </c>
      <c r="D836" s="9" t="n">
        <v>25</v>
      </c>
      <c r="E836" s="16" t="inlineStr">
        <is>
          <t>R</t>
        </is>
      </c>
      <c r="F836" s="16" t="n"/>
      <c r="G836" s="9" t="n">
        <v>17.48717948717949</v>
      </c>
      <c r="H836" s="9" t="n">
        <v>17.48717948717949</v>
      </c>
      <c r="I836" s="9" t="inlineStr">
        <is>
          <t>Depth (no MLB PA)</t>
        </is>
      </c>
      <c r="J836" s="16" t="inlineStr">
        <is>
          <t>Opening Day</t>
        </is>
      </c>
      <c r="K836" s="11">
        <f>IFERROR(INDEX(Roles!$B$17:$B$20,MATCH(J836,Roles!$A$17:$A$20,0)),1)</f>
        <v/>
      </c>
      <c r="L836" s="17" t="n">
        <v>1</v>
      </c>
      <c r="M836" s="11" t="n">
        <v>1</v>
      </c>
      <c r="N836" s="17" t="n"/>
      <c r="O836" s="17" t="n"/>
      <c r="P836" s="17" t="n"/>
      <c r="Q836" s="17" t="n"/>
      <c r="R836" s="17" t="n"/>
      <c r="S836" s="17" t="n"/>
      <c r="T836" s="17" t="n"/>
      <c r="U836" s="17" t="n"/>
      <c r="V836" s="17" t="n"/>
      <c r="W836" s="17" t="n"/>
      <c r="X836" s="17" t="n"/>
      <c r="Y836" s="17" t="n">
        <v>1</v>
      </c>
      <c r="Z836" s="13">
        <f>SUMPRODUCT(N836:Y836,$N$2:$Y$2)*$K836*$L836*$M836</f>
        <v/>
      </c>
      <c r="AA836" s="14">
        <f>SUM(N836:Y836)</f>
        <v/>
      </c>
      <c r="AB836" s="14">
        <f>IFERROR(IF(UPPER($E836)="L",SUMPRODUCT(N836:Y836,$N$3:$Y$3,$N$2:$Y$2),SUMPRODUCT(N836:Y836,$N$4:$Y$4,$N$2:$Y$2))/(Z836/($K836*$L836*$M836)),"")</f>
        <v/>
      </c>
      <c r="AC836" s="18" t="n"/>
    </row>
    <row r="837">
      <c r="A837" s="9" t="n">
        <v>805025</v>
      </c>
      <c r="B837" s="9" t="inlineStr">
        <is>
          <t>Rylan Galvan</t>
        </is>
      </c>
      <c r="C837" s="9" t="inlineStr">
        <is>
          <t>CWS</t>
        </is>
      </c>
      <c r="D837" s="9" t="n">
        <v>25</v>
      </c>
      <c r="E837" s="16" t="inlineStr">
        <is>
          <t>R</t>
        </is>
      </c>
      <c r="F837" s="16" t="n"/>
      <c r="G837" s="9" t="n">
        <v>10.87179487179487</v>
      </c>
      <c r="H837" s="9" t="n">
        <v>10.87179487179487</v>
      </c>
      <c r="I837" s="9" t="inlineStr">
        <is>
          <t>Depth (no MLB PA)</t>
        </is>
      </c>
      <c r="J837" s="16" t="inlineStr">
        <is>
          <t>Opening Day</t>
        </is>
      </c>
      <c r="K837" s="11">
        <f>IFERROR(INDEX(Roles!$B$17:$B$20,MATCH(J837,Roles!$A$17:$A$20,0)),1)</f>
        <v/>
      </c>
      <c r="L837" s="17" t="n">
        <v>1</v>
      </c>
      <c r="M837" s="11" t="n">
        <v>1</v>
      </c>
      <c r="N837" s="17" t="n"/>
      <c r="O837" s="17" t="n"/>
      <c r="P837" s="17" t="n"/>
      <c r="Q837" s="17" t="n"/>
      <c r="R837" s="17" t="n"/>
      <c r="S837" s="17" t="n"/>
      <c r="T837" s="17" t="n"/>
      <c r="U837" s="17" t="n"/>
      <c r="V837" s="17" t="n"/>
      <c r="W837" s="17" t="n"/>
      <c r="X837" s="17" t="n"/>
      <c r="Y837" s="17" t="n">
        <v>1</v>
      </c>
      <c r="Z837" s="13">
        <f>SUMPRODUCT(N837:Y837,$N$2:$Y$2)*$K837*$L837*$M837</f>
        <v/>
      </c>
      <c r="AA837" s="14">
        <f>SUM(N837:Y837)</f>
        <v/>
      </c>
      <c r="AB837" s="14">
        <f>IFERROR(IF(UPPER($E837)="L",SUMPRODUCT(N837:Y837,$N$3:$Y$3,$N$2:$Y$2),SUMPRODUCT(N837:Y837,$N$4:$Y$4,$N$2:$Y$2))/(Z837/($K837*$L837*$M837)),"")</f>
        <v/>
      </c>
      <c r="AC837" s="18" t="n"/>
    </row>
    <row r="838">
      <c r="A838" s="9" t="n">
        <v>806227</v>
      </c>
      <c r="B838" s="9" t="inlineStr">
        <is>
          <t>Alex Sosa</t>
        </is>
      </c>
      <c r="C838" s="9" t="inlineStr">
        <is>
          <t>OAK</t>
        </is>
      </c>
      <c r="D838" s="9" t="n">
        <v>25</v>
      </c>
      <c r="E838" s="16" t="inlineStr">
        <is>
          <t>L</t>
        </is>
      </c>
      <c r="F838" s="16" t="n"/>
      <c r="G838" s="9" t="n">
        <v>9.23076923076923</v>
      </c>
      <c r="H838" s="9" t="n">
        <v>9.23076923076923</v>
      </c>
      <c r="I838" s="9" t="inlineStr">
        <is>
          <t>Depth (no MLB PA)</t>
        </is>
      </c>
      <c r="J838" s="16" t="inlineStr">
        <is>
          <t>Opening Day</t>
        </is>
      </c>
      <c r="K838" s="11">
        <f>IFERROR(INDEX(Roles!$B$17:$B$20,MATCH(J838,Roles!$A$17:$A$20,0)),1)</f>
        <v/>
      </c>
      <c r="L838" s="17" t="n">
        <v>1</v>
      </c>
      <c r="M838" s="11" t="n">
        <v>1</v>
      </c>
      <c r="N838" s="17" t="n"/>
      <c r="O838" s="17" t="n"/>
      <c r="P838" s="17" t="n"/>
      <c r="Q838" s="17" t="n"/>
      <c r="R838" s="17" t="n"/>
      <c r="S838" s="17" t="n"/>
      <c r="T838" s="17" t="n"/>
      <c r="U838" s="17" t="n"/>
      <c r="V838" s="17" t="n"/>
      <c r="W838" s="17" t="n"/>
      <c r="X838" s="17" t="n"/>
      <c r="Y838" s="17" t="n">
        <v>1</v>
      </c>
      <c r="Z838" s="13">
        <f>SUMPRODUCT(N838:Y838,$N$2:$Y$2)*$K838*$L838*$M838</f>
        <v/>
      </c>
      <c r="AA838" s="14">
        <f>SUM(N838:Y838)</f>
        <v/>
      </c>
      <c r="AB838" s="14">
        <f>IFERROR(IF(UPPER($E838)="L",SUMPRODUCT(N838:Y838,$N$3:$Y$3,$N$2:$Y$2),SUMPRODUCT(N838:Y838,$N$4:$Y$4,$N$2:$Y$2))/(Z838/($K838*$L838*$M838)),"")</f>
        <v/>
      </c>
      <c r="AC838" s="18" t="n"/>
    </row>
    <row r="839">
      <c r="A839" s="9" t="n">
        <v>828811</v>
      </c>
      <c r="B839" s="9" t="inlineStr">
        <is>
          <t>Tyler Spangler</t>
        </is>
      </c>
      <c r="C839" s="9" t="inlineStr">
        <is>
          <t>PHI</t>
        </is>
      </c>
      <c r="D839" s="9" t="n">
        <v>20</v>
      </c>
      <c r="E839" s="16" t="inlineStr">
        <is>
          <t>L</t>
        </is>
      </c>
      <c r="F839" s="16" t="n"/>
      <c r="G839" s="9" t="n">
        <v>4.923076923076923</v>
      </c>
      <c r="H839" s="9" t="n">
        <v>4.923076923076923</v>
      </c>
      <c r="I839" s="9" t="inlineStr">
        <is>
          <t>Depth (no MLB PA)</t>
        </is>
      </c>
      <c r="J839" s="16" t="inlineStr">
        <is>
          <t>Opening Day</t>
        </is>
      </c>
      <c r="K839" s="11">
        <f>IFERROR(INDEX(Roles!$B$17:$B$20,MATCH(J839,Roles!$A$17:$A$20,0)),1)</f>
        <v/>
      </c>
      <c r="L839" s="17" t="n">
        <v>1</v>
      </c>
      <c r="M839" s="11" t="n">
        <v>1</v>
      </c>
      <c r="N839" s="17" t="n"/>
      <c r="O839" s="17" t="n"/>
      <c r="P839" s="17" t="n"/>
      <c r="Q839" s="17" t="n"/>
      <c r="R839" s="17" t="n"/>
      <c r="S839" s="17" t="n"/>
      <c r="T839" s="17" t="n"/>
      <c r="U839" s="17" t="n"/>
      <c r="V839" s="17" t="n"/>
      <c r="W839" s="17" t="n"/>
      <c r="X839" s="17" t="n"/>
      <c r="Y839" s="17" t="n">
        <v>1</v>
      </c>
      <c r="Z839" s="13">
        <f>SUMPRODUCT(N839:Y839,$N$2:$Y$2)*$K839*$L839*$M839</f>
        <v/>
      </c>
      <c r="AA839" s="14">
        <f>SUM(N839:Y839)</f>
        <v/>
      </c>
      <c r="AB839" s="14">
        <f>IFERROR(IF(UPPER($E839)="L",SUMPRODUCT(N839:Y839,$N$3:$Y$3,$N$2:$Y$2),SUMPRODUCT(N839:Y839,$N$4:$Y$4,$N$2:$Y$2))/(Z839/($K839*$L839*$M839)),"")</f>
        <v/>
      </c>
      <c r="AC839" s="18" t="n"/>
    </row>
    <row r="840">
      <c r="A840" s="9" t="n">
        <v>687731</v>
      </c>
      <c r="B840" s="9" t="inlineStr">
        <is>
          <t>Trevor Werner</t>
        </is>
      </c>
      <c r="C840" s="9" t="inlineStr">
        <is>
          <t>KC</t>
        </is>
      </c>
      <c r="D840" s="9" t="n">
        <v>25</v>
      </c>
      <c r="E840" s="16" t="inlineStr">
        <is>
          <t>R</t>
        </is>
      </c>
      <c r="F840" s="16" t="n"/>
      <c r="G840" s="9" t="n">
        <v>31.17948717948718</v>
      </c>
      <c r="H840" s="9" t="n">
        <v>31.17948717948718</v>
      </c>
      <c r="I840" s="9" t="inlineStr">
        <is>
          <t>Depth (no MLB PA)</t>
        </is>
      </c>
      <c r="J840" s="16" t="inlineStr">
        <is>
          <t>Opening Day</t>
        </is>
      </c>
      <c r="K840" s="11">
        <f>IFERROR(INDEX(Roles!$B$17:$B$20,MATCH(J840,Roles!$A$17:$A$20,0)),1)</f>
        <v/>
      </c>
      <c r="L840" s="17" t="n">
        <v>1</v>
      </c>
      <c r="M840" s="11" t="n">
        <v>1</v>
      </c>
      <c r="N840" s="17" t="n"/>
      <c r="O840" s="17" t="n"/>
      <c r="P840" s="17" t="n"/>
      <c r="Q840" s="17" t="n"/>
      <c r="R840" s="17" t="n"/>
      <c r="S840" s="17" t="n"/>
      <c r="T840" s="17" t="n"/>
      <c r="U840" s="17" t="n"/>
      <c r="V840" s="17" t="n"/>
      <c r="W840" s="17" t="n"/>
      <c r="X840" s="17" t="n"/>
      <c r="Y840" s="17" t="n">
        <v>1</v>
      </c>
      <c r="Z840" s="13">
        <f>SUMPRODUCT(N840:Y840,$N$2:$Y$2)*$K840*$L840*$M840</f>
        <v/>
      </c>
      <c r="AA840" s="14">
        <f>SUM(N840:Y840)</f>
        <v/>
      </c>
      <c r="AB840" s="14">
        <f>IFERROR(IF(UPPER($E840)="L",SUMPRODUCT(N840:Y840,$N$3:$Y$3,$N$2:$Y$2),SUMPRODUCT(N840:Y840,$N$4:$Y$4,$N$2:$Y$2))/(Z840/($K840*$L840*$M840)),"")</f>
        <v/>
      </c>
      <c r="AC840" s="18" t="n"/>
    </row>
    <row r="841">
      <c r="A841" s="9" t="n">
        <v>822904</v>
      </c>
      <c r="B841" s="9" t="inlineStr">
        <is>
          <t>Rashawn Galloway</t>
        </is>
      </c>
      <c r="C841" s="9" t="inlineStr">
        <is>
          <t>HOU</t>
        </is>
      </c>
      <c r="D841" s="9" t="n">
        <v>25</v>
      </c>
      <c r="E841" s="16" t="inlineStr">
        <is>
          <t>R</t>
        </is>
      </c>
      <c r="F841" s="16" t="n"/>
      <c r="G841" s="9" t="n">
        <v>2.830769230769231</v>
      </c>
      <c r="H841" s="9" t="n">
        <v>2.830769230769231</v>
      </c>
      <c r="I841" s="9" t="inlineStr">
        <is>
          <t>Depth (no MLB PA)</t>
        </is>
      </c>
      <c r="J841" s="16" t="inlineStr">
        <is>
          <t>Opening Day</t>
        </is>
      </c>
      <c r="K841" s="11">
        <f>IFERROR(INDEX(Roles!$B$17:$B$20,MATCH(J841,Roles!$A$17:$A$20,0)),1)</f>
        <v/>
      </c>
      <c r="L841" s="17" t="n">
        <v>1</v>
      </c>
      <c r="M841" s="11" t="n">
        <v>1</v>
      </c>
      <c r="N841" s="17" t="n"/>
      <c r="O841" s="17" t="n"/>
      <c r="P841" s="17" t="n"/>
      <c r="Q841" s="17" t="n"/>
      <c r="R841" s="17" t="n"/>
      <c r="S841" s="17" t="n"/>
      <c r="T841" s="17" t="n"/>
      <c r="U841" s="17" t="n"/>
      <c r="V841" s="17" t="n"/>
      <c r="W841" s="17" t="n"/>
      <c r="X841" s="17" t="n"/>
      <c r="Y841" s="17" t="n">
        <v>1</v>
      </c>
      <c r="Z841" s="13">
        <f>SUMPRODUCT(N841:Y841,$N$2:$Y$2)*$K841*$L841*$M841</f>
        <v/>
      </c>
      <c r="AA841" s="14">
        <f>SUM(N841:Y841)</f>
        <v/>
      </c>
      <c r="AB841" s="14">
        <f>IFERROR(IF(UPPER($E841)="L",SUMPRODUCT(N841:Y841,$N$3:$Y$3,$N$2:$Y$2),SUMPRODUCT(N841:Y841,$N$4:$Y$4,$N$2:$Y$2))/(Z841/($K841*$L841*$M841)),"")</f>
        <v/>
      </c>
      <c r="AC841" s="18" t="n"/>
    </row>
    <row r="842">
      <c r="A842" s="9" t="n">
        <v>814456</v>
      </c>
      <c r="B842" s="9" t="inlineStr">
        <is>
          <t>Jo Oyama</t>
        </is>
      </c>
      <c r="C842" s="9" t="inlineStr">
        <is>
          <t>SEA</t>
        </is>
      </c>
      <c r="D842" s="9" t="n">
        <v>25</v>
      </c>
      <c r="E842" s="16" t="inlineStr">
        <is>
          <t>L</t>
        </is>
      </c>
      <c r="F842" s="16" t="n"/>
      <c r="G842" s="9" t="n">
        <v>2.871794871794872</v>
      </c>
      <c r="H842" s="9" t="n">
        <v>2.871794871794872</v>
      </c>
      <c r="I842" s="9" t="inlineStr">
        <is>
          <t>Depth (no MLB PA)</t>
        </is>
      </c>
      <c r="J842" s="16" t="inlineStr">
        <is>
          <t>Opening Day</t>
        </is>
      </c>
      <c r="K842" s="11">
        <f>IFERROR(INDEX(Roles!$B$17:$B$20,MATCH(J842,Roles!$A$17:$A$20,0)),1)</f>
        <v/>
      </c>
      <c r="L842" s="17" t="n">
        <v>1</v>
      </c>
      <c r="M842" s="11" t="n">
        <v>1</v>
      </c>
      <c r="N842" s="17" t="n"/>
      <c r="O842" s="17" t="n"/>
      <c r="P842" s="17" t="n"/>
      <c r="Q842" s="17" t="n"/>
      <c r="R842" s="17" t="n"/>
      <c r="S842" s="17" t="n"/>
      <c r="T842" s="17" t="n"/>
      <c r="U842" s="17" t="n"/>
      <c r="V842" s="17" t="n"/>
      <c r="W842" s="17" t="n"/>
      <c r="X842" s="17" t="n"/>
      <c r="Y842" s="17" t="n">
        <v>1</v>
      </c>
      <c r="Z842" s="13">
        <f>SUMPRODUCT(N842:Y842,$N$2:$Y$2)*$K842*$L842*$M842</f>
        <v/>
      </c>
      <c r="AA842" s="14">
        <f>SUM(N842:Y842)</f>
        <v/>
      </c>
      <c r="AB842" s="14">
        <f>IFERROR(IF(UPPER($E842)="L",SUMPRODUCT(N842:Y842,$N$3:$Y$3,$N$2:$Y$2),SUMPRODUCT(N842:Y842,$N$4:$Y$4,$N$2:$Y$2))/(Z842/($K842*$L842*$M842)),"")</f>
        <v/>
      </c>
      <c r="AC842" s="18" t="n"/>
    </row>
    <row r="843">
      <c r="A843" s="9" t="n">
        <v>802541</v>
      </c>
      <c r="B843" s="9" t="inlineStr">
        <is>
          <t>Bryan Broecker</t>
        </is>
      </c>
      <c r="C843" s="9" t="inlineStr">
        <is>
          <t>TB</t>
        </is>
      </c>
      <c r="D843" s="9" t="n">
        <v>25</v>
      </c>
      <c r="E843" s="16" t="inlineStr">
        <is>
          <t>R</t>
        </is>
      </c>
      <c r="F843" s="16" t="n"/>
      <c r="G843" s="9" t="n">
        <v>2.820512820512821</v>
      </c>
      <c r="H843" s="9" t="n">
        <v>2.820512820512821</v>
      </c>
      <c r="I843" s="9" t="inlineStr">
        <is>
          <t>Depth (no MLB PA)</t>
        </is>
      </c>
      <c r="J843" s="16" t="inlineStr">
        <is>
          <t>Opening Day</t>
        </is>
      </c>
      <c r="K843" s="11">
        <f>IFERROR(INDEX(Roles!$B$17:$B$20,MATCH(J843,Roles!$A$17:$A$20,0)),1)</f>
        <v/>
      </c>
      <c r="L843" s="17" t="n">
        <v>1</v>
      </c>
      <c r="M843" s="11" t="n">
        <v>1</v>
      </c>
      <c r="N843" s="17" t="n"/>
      <c r="O843" s="17" t="n"/>
      <c r="P843" s="17" t="n"/>
      <c r="Q843" s="17" t="n"/>
      <c r="R843" s="17" t="n"/>
      <c r="S843" s="17" t="n"/>
      <c r="T843" s="17" t="n"/>
      <c r="U843" s="17" t="n"/>
      <c r="V843" s="17" t="n"/>
      <c r="W843" s="17" t="n"/>
      <c r="X843" s="17" t="n"/>
      <c r="Y843" s="17" t="n">
        <v>1</v>
      </c>
      <c r="Z843" s="13">
        <f>SUMPRODUCT(N843:Y843,$N$2:$Y$2)*$K843*$L843*$M843</f>
        <v/>
      </c>
      <c r="AA843" s="14">
        <f>SUM(N843:Y843)</f>
        <v/>
      </c>
      <c r="AB843" s="14">
        <f>IFERROR(IF(UPPER($E843)="L",SUMPRODUCT(N843:Y843,$N$3:$Y$3,$N$2:$Y$2),SUMPRODUCT(N843:Y843,$N$4:$Y$4,$N$2:$Y$2))/(Z843/($K843*$L843*$M843)),"")</f>
        <v/>
      </c>
      <c r="AC843" s="18" t="n"/>
    </row>
    <row r="844">
      <c r="A844" s="9" t="n">
        <v>801592</v>
      </c>
      <c r="B844" s="9" t="inlineStr">
        <is>
          <t>Zander Darby</t>
        </is>
      </c>
      <c r="C844" s="9" t="inlineStr">
        <is>
          <t>SF</t>
        </is>
      </c>
      <c r="D844" s="9" t="n">
        <v>25</v>
      </c>
      <c r="E844" s="16" t="inlineStr">
        <is>
          <t>L</t>
        </is>
      </c>
      <c r="F844" s="16" t="n"/>
      <c r="G844" s="9" t="n">
        <v>2.820512820512821</v>
      </c>
      <c r="H844" s="9" t="n">
        <v>2.820512820512821</v>
      </c>
      <c r="I844" s="9" t="inlineStr">
        <is>
          <t>Depth (no MLB PA)</t>
        </is>
      </c>
      <c r="J844" s="16" t="inlineStr">
        <is>
          <t>Opening Day</t>
        </is>
      </c>
      <c r="K844" s="11">
        <f>IFERROR(INDEX(Roles!$B$17:$B$20,MATCH(J844,Roles!$A$17:$A$20,0)),1)</f>
        <v/>
      </c>
      <c r="L844" s="17" t="n">
        <v>1</v>
      </c>
      <c r="M844" s="11" t="n">
        <v>1</v>
      </c>
      <c r="N844" s="17" t="n"/>
      <c r="O844" s="17" t="n"/>
      <c r="P844" s="17" t="n"/>
      <c r="Q844" s="17" t="n"/>
      <c r="R844" s="17" t="n"/>
      <c r="S844" s="17" t="n"/>
      <c r="T844" s="17" t="n"/>
      <c r="U844" s="17" t="n"/>
      <c r="V844" s="17" t="n"/>
      <c r="W844" s="17" t="n"/>
      <c r="X844" s="17" t="n"/>
      <c r="Y844" s="17" t="n">
        <v>1</v>
      </c>
      <c r="Z844" s="13">
        <f>SUMPRODUCT(N844:Y844,$N$2:$Y$2)*$K844*$L844*$M844</f>
        <v/>
      </c>
      <c r="AA844" s="14">
        <f>SUM(N844:Y844)</f>
        <v/>
      </c>
      <c r="AB844" s="14">
        <f>IFERROR(IF(UPPER($E844)="L",SUMPRODUCT(N844:Y844,$N$3:$Y$3,$N$2:$Y$2),SUMPRODUCT(N844:Y844,$N$4:$Y$4,$N$2:$Y$2))/(Z844/($K844*$L844*$M844)),"")</f>
        <v/>
      </c>
      <c r="AC844" s="18" t="n"/>
    </row>
    <row r="845">
      <c r="A845" s="9" t="n">
        <v>807999</v>
      </c>
      <c r="B845" s="9" t="inlineStr">
        <is>
          <t>David Guzman</t>
        </is>
      </c>
      <c r="C845" s="9" t="inlineStr">
        <is>
          <t>TOR</t>
        </is>
      </c>
      <c r="D845" s="9" t="n">
        <v>25</v>
      </c>
      <c r="E845" s="16" t="inlineStr">
        <is>
          <t>L</t>
        </is>
      </c>
      <c r="F845" s="16" t="n"/>
      <c r="G845" s="9" t="n">
        <v>2.871794871794872</v>
      </c>
      <c r="H845" s="9" t="n">
        <v>2.871794871794872</v>
      </c>
      <c r="I845" s="9" t="inlineStr">
        <is>
          <t>Depth (no MLB PA)</t>
        </is>
      </c>
      <c r="J845" s="16" t="inlineStr">
        <is>
          <t>Opening Day</t>
        </is>
      </c>
      <c r="K845" s="11">
        <f>IFERROR(INDEX(Roles!$B$17:$B$20,MATCH(J845,Roles!$A$17:$A$20,0)),1)</f>
        <v/>
      </c>
      <c r="L845" s="17" t="n">
        <v>1</v>
      </c>
      <c r="M845" s="11" t="n">
        <v>1</v>
      </c>
      <c r="N845" s="17" t="n"/>
      <c r="O845" s="17" t="n"/>
      <c r="P845" s="17" t="n"/>
      <c r="Q845" s="17" t="n"/>
      <c r="R845" s="17" t="n"/>
      <c r="S845" s="17" t="n"/>
      <c r="T845" s="17" t="n"/>
      <c r="U845" s="17" t="n"/>
      <c r="V845" s="17" t="n"/>
      <c r="W845" s="17" t="n"/>
      <c r="X845" s="17" t="n"/>
      <c r="Y845" s="17" t="n">
        <v>1</v>
      </c>
      <c r="Z845" s="13">
        <f>SUMPRODUCT(N845:Y845,$N$2:$Y$2)*$K845*$L845*$M845</f>
        <v/>
      </c>
      <c r="AA845" s="14">
        <f>SUM(N845:Y845)</f>
        <v/>
      </c>
      <c r="AB845" s="14">
        <f>IFERROR(IF(UPPER($E845)="L",SUMPRODUCT(N845:Y845,$N$3:$Y$3,$N$2:$Y$2),SUMPRODUCT(N845:Y845,$N$4:$Y$4,$N$2:$Y$2))/(Z845/($K845*$L845*$M845)),"")</f>
        <v/>
      </c>
      <c r="AC845" s="18" t="n"/>
    </row>
    <row r="846">
      <c r="A846" s="9" t="n">
        <v>800197</v>
      </c>
      <c r="B846" s="9" t="inlineStr">
        <is>
          <t>Richard Ramirez</t>
        </is>
      </c>
      <c r="C846" s="9" t="inlineStr">
        <is>
          <t>PIT</t>
        </is>
      </c>
      <c r="D846" s="9" t="n">
        <v>25</v>
      </c>
      <c r="E846" s="16" t="inlineStr">
        <is>
          <t>R</t>
        </is>
      </c>
      <c r="F846" s="16" t="n"/>
      <c r="G846" s="9" t="n">
        <v>6.974358974358975</v>
      </c>
      <c r="H846" s="9" t="n">
        <v>6.974358974358975</v>
      </c>
      <c r="I846" s="9" t="inlineStr">
        <is>
          <t>Depth (no MLB PA)</t>
        </is>
      </c>
      <c r="J846" s="16" t="inlineStr">
        <is>
          <t>Opening Day</t>
        </is>
      </c>
      <c r="K846" s="11">
        <f>IFERROR(INDEX(Roles!$B$17:$B$20,MATCH(J846,Roles!$A$17:$A$20,0)),1)</f>
        <v/>
      </c>
      <c r="L846" s="17" t="n">
        <v>1</v>
      </c>
      <c r="M846" s="11" t="n">
        <v>1</v>
      </c>
      <c r="N846" s="17" t="n"/>
      <c r="O846" s="17" t="n"/>
      <c r="P846" s="17" t="n"/>
      <c r="Q846" s="17" t="n"/>
      <c r="R846" s="17" t="n"/>
      <c r="S846" s="17" t="n"/>
      <c r="T846" s="17" t="n"/>
      <c r="U846" s="17" t="n"/>
      <c r="V846" s="17" t="n"/>
      <c r="W846" s="17" t="n"/>
      <c r="X846" s="17" t="n"/>
      <c r="Y846" s="17" t="n">
        <v>1</v>
      </c>
      <c r="Z846" s="13">
        <f>SUMPRODUCT(N846:Y846,$N$2:$Y$2)*$K846*$L846*$M846</f>
        <v/>
      </c>
      <c r="AA846" s="14">
        <f>SUM(N846:Y846)</f>
        <v/>
      </c>
      <c r="AB846" s="14">
        <f>IFERROR(IF(UPPER($E846)="L",SUMPRODUCT(N846:Y846,$N$3:$Y$3,$N$2:$Y$2),SUMPRODUCT(N846:Y846,$N$4:$Y$4,$N$2:$Y$2))/(Z846/($K846*$L846*$M846)),"")</f>
        <v/>
      </c>
      <c r="AC846" s="18" t="n"/>
    </row>
    <row r="847">
      <c r="A847" s="9" t="n">
        <v>804751</v>
      </c>
      <c r="B847" s="9" t="inlineStr">
        <is>
          <t>Logan Poteet</t>
        </is>
      </c>
      <c r="C847" s="9" t="inlineStr">
        <is>
          <t>CHC</t>
        </is>
      </c>
      <c r="D847" s="9" t="n">
        <v>25</v>
      </c>
      <c r="E847" s="16" t="inlineStr">
        <is>
          <t>R</t>
        </is>
      </c>
      <c r="F847" s="16" t="n"/>
      <c r="G847" s="9" t="n">
        <v>30.97435897435897</v>
      </c>
      <c r="H847" s="9" t="n">
        <v>30.97435897435897</v>
      </c>
      <c r="I847" s="9" t="inlineStr">
        <is>
          <t>Depth (no MLB PA)</t>
        </is>
      </c>
      <c r="J847" s="16" t="inlineStr">
        <is>
          <t>Opening Day</t>
        </is>
      </c>
      <c r="K847" s="11">
        <f>IFERROR(INDEX(Roles!$B$17:$B$20,MATCH(J847,Roles!$A$17:$A$20,0)),1)</f>
        <v/>
      </c>
      <c r="L847" s="17" t="n">
        <v>1</v>
      </c>
      <c r="M847" s="11" t="n">
        <v>1</v>
      </c>
      <c r="N847" s="17" t="n"/>
      <c r="O847" s="17" t="n"/>
      <c r="P847" s="17" t="n"/>
      <c r="Q847" s="17" t="n"/>
      <c r="R847" s="17" t="n"/>
      <c r="S847" s="17" t="n"/>
      <c r="T847" s="17" t="n"/>
      <c r="U847" s="17" t="n"/>
      <c r="V847" s="17" t="n"/>
      <c r="W847" s="17" t="n"/>
      <c r="X847" s="17" t="n"/>
      <c r="Y847" s="17" t="n">
        <v>1</v>
      </c>
      <c r="Z847" s="13">
        <f>SUMPRODUCT(N847:Y847,$N$2:$Y$2)*$K847*$L847*$M847</f>
        <v/>
      </c>
      <c r="AA847" s="14">
        <f>SUM(N847:Y847)</f>
        <v/>
      </c>
      <c r="AB847" s="14">
        <f>IFERROR(IF(UPPER($E847)="L",SUMPRODUCT(N847:Y847,$N$3:$Y$3,$N$2:$Y$2),SUMPRODUCT(N847:Y847,$N$4:$Y$4,$N$2:$Y$2))/(Z847/($K847*$L847*$M847)),"")</f>
        <v/>
      </c>
      <c r="AC847" s="18" t="n"/>
    </row>
    <row r="848">
      <c r="A848" s="9" t="n">
        <v>815966</v>
      </c>
      <c r="B848" s="9" t="inlineStr">
        <is>
          <t>Irvin Nunez</t>
        </is>
      </c>
      <c r="C848" s="9" t="inlineStr">
        <is>
          <t>MIN</t>
        </is>
      </c>
      <c r="D848" s="9" t="n">
        <v>25</v>
      </c>
      <c r="E848" s="16" t="inlineStr">
        <is>
          <t>R</t>
        </is>
      </c>
      <c r="F848" s="16" t="n"/>
      <c r="G848" s="9" t="n">
        <v>11.07692307692308</v>
      </c>
      <c r="H848" s="9" t="n">
        <v>11.07692307692308</v>
      </c>
      <c r="I848" s="9" t="inlineStr">
        <is>
          <t>Depth (no MLB PA)</t>
        </is>
      </c>
      <c r="J848" s="16" t="inlineStr">
        <is>
          <t>Opening Day</t>
        </is>
      </c>
      <c r="K848" s="11">
        <f>IFERROR(INDEX(Roles!$B$17:$B$20,MATCH(J848,Roles!$A$17:$A$20,0)),1)</f>
        <v/>
      </c>
      <c r="L848" s="17" t="n">
        <v>1</v>
      </c>
      <c r="M848" s="11" t="n">
        <v>1</v>
      </c>
      <c r="N848" s="17" t="n"/>
      <c r="O848" s="17" t="n"/>
      <c r="P848" s="17" t="n"/>
      <c r="Q848" s="17" t="n"/>
      <c r="R848" s="17" t="n"/>
      <c r="S848" s="17" t="n"/>
      <c r="T848" s="17" t="n"/>
      <c r="U848" s="17" t="n"/>
      <c r="V848" s="17" t="n"/>
      <c r="W848" s="17" t="n"/>
      <c r="X848" s="17" t="n"/>
      <c r="Y848" s="17" t="n">
        <v>1</v>
      </c>
      <c r="Z848" s="13">
        <f>SUMPRODUCT(N848:Y848,$N$2:$Y$2)*$K848*$L848*$M848</f>
        <v/>
      </c>
      <c r="AA848" s="14">
        <f>SUM(N848:Y848)</f>
        <v/>
      </c>
      <c r="AB848" s="14">
        <f>IFERROR(IF(UPPER($E848)="L",SUMPRODUCT(N848:Y848,$N$3:$Y$3,$N$2:$Y$2),SUMPRODUCT(N848:Y848,$N$4:$Y$4,$N$2:$Y$2))/(Z848/($K848*$L848*$M848)),"")</f>
        <v/>
      </c>
      <c r="AC848" s="18" t="n"/>
    </row>
    <row r="849">
      <c r="A849" s="9" t="n">
        <v>695467</v>
      </c>
      <c r="B849" s="9" t="inlineStr">
        <is>
          <t>Juan Montero</t>
        </is>
      </c>
      <c r="C849" s="9" t="inlineStr">
        <is>
          <t>BOS</t>
        </is>
      </c>
      <c r="D849" s="9" t="n">
        <v>25</v>
      </c>
      <c r="E849" s="16" t="inlineStr">
        <is>
          <t>R</t>
        </is>
      </c>
      <c r="F849" s="16" t="n"/>
      <c r="G849" s="9" t="n">
        <v>2.820512820512821</v>
      </c>
      <c r="H849" s="9" t="n">
        <v>2.820512820512821</v>
      </c>
      <c r="I849" s="9" t="inlineStr">
        <is>
          <t>Depth (no MLB PA)</t>
        </is>
      </c>
      <c r="J849" s="16" t="inlineStr">
        <is>
          <t>Opening Day</t>
        </is>
      </c>
      <c r="K849" s="11">
        <f>IFERROR(INDEX(Roles!$B$17:$B$20,MATCH(J849,Roles!$A$17:$A$20,0)),1)</f>
        <v/>
      </c>
      <c r="L849" s="17" t="n">
        <v>1</v>
      </c>
      <c r="M849" s="11" t="n">
        <v>1</v>
      </c>
      <c r="N849" s="17" t="n"/>
      <c r="O849" s="17" t="n"/>
      <c r="P849" s="17" t="n"/>
      <c r="Q849" s="17" t="n"/>
      <c r="R849" s="17" t="n"/>
      <c r="S849" s="17" t="n"/>
      <c r="T849" s="17" t="n"/>
      <c r="U849" s="17" t="n"/>
      <c r="V849" s="17" t="n"/>
      <c r="W849" s="17" t="n"/>
      <c r="X849" s="17" t="n"/>
      <c r="Y849" s="17" t="n">
        <v>1</v>
      </c>
      <c r="Z849" s="13">
        <f>SUMPRODUCT(N849:Y849,$N$2:$Y$2)*$K849*$L849*$M849</f>
        <v/>
      </c>
      <c r="AA849" s="14">
        <f>SUM(N849:Y849)</f>
        <v/>
      </c>
      <c r="AB849" s="14">
        <f>IFERROR(IF(UPPER($E849)="L",SUMPRODUCT(N849:Y849,$N$3:$Y$3,$N$2:$Y$2),SUMPRODUCT(N849:Y849,$N$4:$Y$4,$N$2:$Y$2))/(Z849/($K849*$L849*$M849)),"")</f>
        <v/>
      </c>
      <c r="AC849" s="18" t="n"/>
    </row>
    <row r="850">
      <c r="A850" s="9" t="n">
        <v>826163</v>
      </c>
      <c r="B850" s="9" t="inlineStr">
        <is>
          <t>Carter Dorighi</t>
        </is>
      </c>
      <c r="C850" s="9" t="inlineStr">
        <is>
          <t>SEA</t>
        </is>
      </c>
      <c r="D850" s="9" t="n">
        <v>25</v>
      </c>
      <c r="E850" s="16" t="inlineStr">
        <is>
          <t>L</t>
        </is>
      </c>
      <c r="F850" s="16" t="n"/>
      <c r="G850" s="9" t="n">
        <v>2.871794871794872</v>
      </c>
      <c r="H850" s="9" t="n">
        <v>2.871794871794872</v>
      </c>
      <c r="I850" s="9" t="inlineStr">
        <is>
          <t>Depth (no MLB PA)</t>
        </is>
      </c>
      <c r="J850" s="16" t="inlineStr">
        <is>
          <t>Opening Day</t>
        </is>
      </c>
      <c r="K850" s="11">
        <f>IFERROR(INDEX(Roles!$B$17:$B$20,MATCH(J850,Roles!$A$17:$A$20,0)),1)</f>
        <v/>
      </c>
      <c r="L850" s="17" t="n">
        <v>1</v>
      </c>
      <c r="M850" s="11" t="n">
        <v>1</v>
      </c>
      <c r="N850" s="17" t="n"/>
      <c r="O850" s="17" t="n"/>
      <c r="P850" s="17" t="n"/>
      <c r="Q850" s="17" t="n"/>
      <c r="R850" s="17" t="n"/>
      <c r="S850" s="17" t="n"/>
      <c r="T850" s="17" t="n"/>
      <c r="U850" s="17" t="n"/>
      <c r="V850" s="17" t="n"/>
      <c r="W850" s="17" t="n"/>
      <c r="X850" s="17" t="n"/>
      <c r="Y850" s="17" t="n">
        <v>1</v>
      </c>
      <c r="Z850" s="13">
        <f>SUMPRODUCT(N850:Y850,$N$2:$Y$2)*$K850*$L850*$M850</f>
        <v/>
      </c>
      <c r="AA850" s="14">
        <f>SUM(N850:Y850)</f>
        <v/>
      </c>
      <c r="AB850" s="14">
        <f>IFERROR(IF(UPPER($E850)="L",SUMPRODUCT(N850:Y850,$N$3:$Y$3,$N$2:$Y$2),SUMPRODUCT(N850:Y850,$N$4:$Y$4,$N$2:$Y$2))/(Z850/($K850*$L850*$M850)),"")</f>
        <v/>
      </c>
      <c r="AC850" s="18" t="n"/>
    </row>
    <row r="851">
      <c r="A851" s="9" t="n">
        <v>702610</v>
      </c>
      <c r="B851" s="9" t="inlineStr">
        <is>
          <t>Ike Irish</t>
        </is>
      </c>
      <c r="C851" s="9" t="inlineStr">
        <is>
          <t>BAL</t>
        </is>
      </c>
      <c r="D851" s="9" t="n">
        <v>24</v>
      </c>
      <c r="E851" s="16" t="inlineStr">
        <is>
          <t>L</t>
        </is>
      </c>
      <c r="F851" s="16" t="n"/>
      <c r="G851" s="9" t="n">
        <v>68.30769230769231</v>
      </c>
      <c r="H851" s="9" t="n">
        <v>68.30769230769231</v>
      </c>
      <c r="I851" s="9" t="inlineStr">
        <is>
          <t>Depth (no MLB PA)</t>
        </is>
      </c>
      <c r="J851" s="16" t="inlineStr">
        <is>
          <t>Opening Day</t>
        </is>
      </c>
      <c r="K851" s="11">
        <f>IFERROR(INDEX(Roles!$B$17:$B$20,MATCH(J851,Roles!$A$17:$A$20,0)),1)</f>
        <v/>
      </c>
      <c r="L851" s="17" t="n">
        <v>1</v>
      </c>
      <c r="M851" s="11" t="n">
        <v>1</v>
      </c>
      <c r="N851" s="17" t="n"/>
      <c r="O851" s="17" t="n"/>
      <c r="P851" s="17" t="n"/>
      <c r="Q851" s="17" t="n"/>
      <c r="R851" s="17" t="n"/>
      <c r="S851" s="17" t="n"/>
      <c r="T851" s="17" t="n"/>
      <c r="U851" s="17" t="n"/>
      <c r="V851" s="17" t="n"/>
      <c r="W851" s="17" t="n"/>
      <c r="X851" s="17" t="n"/>
      <c r="Y851" s="17" t="n">
        <v>1</v>
      </c>
      <c r="Z851" s="13">
        <f>SUMPRODUCT(N851:Y851,$N$2:$Y$2)*$K851*$L851*$M851</f>
        <v/>
      </c>
      <c r="AA851" s="14">
        <f>SUM(N851:Y851)</f>
        <v/>
      </c>
      <c r="AB851" s="14">
        <f>IFERROR(IF(UPPER($E851)="L",SUMPRODUCT(N851:Y851,$N$3:$Y$3,$N$2:$Y$2),SUMPRODUCT(N851:Y851,$N$4:$Y$4,$N$2:$Y$2))/(Z851/($K851*$L851*$M851)),"")</f>
        <v/>
      </c>
      <c r="AC851" s="18" t="n"/>
    </row>
    <row r="852">
      <c r="A852" s="9" t="n">
        <v>681400</v>
      </c>
      <c r="B852" s="9" t="inlineStr">
        <is>
          <t>Danny Serretti</t>
        </is>
      </c>
      <c r="C852" s="9" t="inlineStr">
        <is>
          <t>ARI</t>
        </is>
      </c>
      <c r="D852" s="9" t="n">
        <v>25</v>
      </c>
      <c r="E852" s="16" t="inlineStr">
        <is>
          <t>S</t>
        </is>
      </c>
      <c r="F852" s="16" t="n"/>
      <c r="G852" s="9" t="n">
        <v>77.84615384615385</v>
      </c>
      <c r="H852" s="9" t="n">
        <v>77.84615384615385</v>
      </c>
      <c r="I852" s="9" t="inlineStr">
        <is>
          <t>Depth (no MLB PA)</t>
        </is>
      </c>
      <c r="J852" s="16" t="inlineStr">
        <is>
          <t>Opening Day</t>
        </is>
      </c>
      <c r="K852" s="11">
        <f>IFERROR(INDEX(Roles!$B$17:$B$20,MATCH(J852,Roles!$A$17:$A$20,0)),1)</f>
        <v/>
      </c>
      <c r="L852" s="17" t="n">
        <v>1</v>
      </c>
      <c r="M852" s="11" t="n">
        <v>1</v>
      </c>
      <c r="N852" s="17" t="n"/>
      <c r="O852" s="17" t="n"/>
      <c r="P852" s="17" t="n"/>
      <c r="Q852" s="17" t="n"/>
      <c r="R852" s="17" t="n"/>
      <c r="S852" s="17" t="n"/>
      <c r="T852" s="17" t="n"/>
      <c r="U852" s="17" t="n"/>
      <c r="V852" s="17" t="n"/>
      <c r="W852" s="17" t="n"/>
      <c r="X852" s="17" t="n"/>
      <c r="Y852" s="17" t="n">
        <v>1</v>
      </c>
      <c r="Z852" s="13">
        <f>SUMPRODUCT(N852:Y852,$N$2:$Y$2)*$K852*$L852*$M852</f>
        <v/>
      </c>
      <c r="AA852" s="14">
        <f>SUM(N852:Y852)</f>
        <v/>
      </c>
      <c r="AB852" s="14">
        <f>IFERROR(IF(UPPER($E852)="L",SUMPRODUCT(N852:Y852,$N$3:$Y$3,$N$2:$Y$2),SUMPRODUCT(N852:Y852,$N$4:$Y$4,$N$2:$Y$2))/(Z852/($K852*$L852*$M852)),"")</f>
        <v/>
      </c>
      <c r="AC852" s="18" t="n"/>
    </row>
    <row r="853">
      <c r="A853" s="9" t="n">
        <v>703191</v>
      </c>
      <c r="B853" s="9" t="inlineStr">
        <is>
          <t>Yilber Herrera</t>
        </is>
      </c>
      <c r="C853" s="9" t="inlineStr">
        <is>
          <t>MIN</t>
        </is>
      </c>
      <c r="D853" s="9" t="n">
        <v>25</v>
      </c>
      <c r="E853" s="16" t="inlineStr">
        <is>
          <t>S</t>
        </is>
      </c>
      <c r="F853" s="16" t="n"/>
      <c r="G853" s="9" t="n">
        <v>2.871794871794872</v>
      </c>
      <c r="H853" s="9" t="n">
        <v>2.871794871794872</v>
      </c>
      <c r="I853" s="9" t="inlineStr">
        <is>
          <t>Depth (no MLB PA)</t>
        </is>
      </c>
      <c r="J853" s="16" t="inlineStr">
        <is>
          <t>Opening Day</t>
        </is>
      </c>
      <c r="K853" s="11">
        <f>IFERROR(INDEX(Roles!$B$17:$B$20,MATCH(J853,Roles!$A$17:$A$20,0)),1)</f>
        <v/>
      </c>
      <c r="L853" s="17" t="n">
        <v>1</v>
      </c>
      <c r="M853" s="11" t="n">
        <v>1</v>
      </c>
      <c r="N853" s="17" t="n"/>
      <c r="O853" s="17" t="n"/>
      <c r="P853" s="17" t="n"/>
      <c r="Q853" s="17" t="n"/>
      <c r="R853" s="17" t="n"/>
      <c r="S853" s="17" t="n"/>
      <c r="T853" s="17" t="n"/>
      <c r="U853" s="17" t="n"/>
      <c r="V853" s="17" t="n"/>
      <c r="W853" s="17" t="n"/>
      <c r="X853" s="17" t="n"/>
      <c r="Y853" s="17" t="n">
        <v>1</v>
      </c>
      <c r="Z853" s="13">
        <f>SUMPRODUCT(N853:Y853,$N$2:$Y$2)*$K853*$L853*$M853</f>
        <v/>
      </c>
      <c r="AA853" s="14">
        <f>SUM(N853:Y853)</f>
        <v/>
      </c>
      <c r="AB853" s="14">
        <f>IFERROR(IF(UPPER($E853)="L",SUMPRODUCT(N853:Y853,$N$3:$Y$3,$N$2:$Y$2),SUMPRODUCT(N853:Y853,$N$4:$Y$4,$N$2:$Y$2))/(Z853/($K853*$L853*$M853)),"")</f>
        <v/>
      </c>
      <c r="AC853" s="18" t="n"/>
    </row>
    <row r="854">
      <c r="A854" s="9" t="n">
        <v>814842</v>
      </c>
      <c r="B854" s="9" t="inlineStr">
        <is>
          <t>Neurelin Montero</t>
        </is>
      </c>
      <c r="C854" s="9" t="inlineStr">
        <is>
          <t>TEX</t>
        </is>
      </c>
      <c r="D854" s="9" t="n">
        <v>25</v>
      </c>
      <c r="E854" s="16" t="inlineStr">
        <is>
          <t>R</t>
        </is>
      </c>
      <c r="F854" s="16" t="n"/>
      <c r="G854" s="9" t="n">
        <v>2.871794871794872</v>
      </c>
      <c r="H854" s="9" t="n">
        <v>2.871794871794872</v>
      </c>
      <c r="I854" s="9" t="inlineStr">
        <is>
          <t>Depth (no MLB PA)</t>
        </is>
      </c>
      <c r="J854" s="16" t="inlineStr">
        <is>
          <t>Opening Day</t>
        </is>
      </c>
      <c r="K854" s="11">
        <f>IFERROR(INDEX(Roles!$B$17:$B$20,MATCH(J854,Roles!$A$17:$A$20,0)),1)</f>
        <v/>
      </c>
      <c r="L854" s="17" t="n">
        <v>1</v>
      </c>
      <c r="M854" s="11" t="n">
        <v>1</v>
      </c>
      <c r="N854" s="17" t="n"/>
      <c r="O854" s="17" t="n"/>
      <c r="P854" s="17" t="n"/>
      <c r="Q854" s="17" t="n"/>
      <c r="R854" s="17" t="n"/>
      <c r="S854" s="17" t="n"/>
      <c r="T854" s="17" t="n"/>
      <c r="U854" s="17" t="n"/>
      <c r="V854" s="17" t="n"/>
      <c r="W854" s="17" t="n"/>
      <c r="X854" s="17" t="n"/>
      <c r="Y854" s="17" t="n">
        <v>1</v>
      </c>
      <c r="Z854" s="13">
        <f>SUMPRODUCT(N854:Y854,$N$2:$Y$2)*$K854*$L854*$M854</f>
        <v/>
      </c>
      <c r="AA854" s="14">
        <f>SUM(N854:Y854)</f>
        <v/>
      </c>
      <c r="AB854" s="14">
        <f>IFERROR(IF(UPPER($E854)="L",SUMPRODUCT(N854:Y854,$N$3:$Y$3,$N$2:$Y$2),SUMPRODUCT(N854:Y854,$N$4:$Y$4,$N$2:$Y$2))/(Z854/($K854*$L854*$M854)),"")</f>
        <v/>
      </c>
      <c r="AC854" s="18" t="n"/>
    </row>
    <row r="855">
      <c r="A855" s="9" t="n">
        <v>808380</v>
      </c>
      <c r="B855" s="9" t="inlineStr">
        <is>
          <t>Yosneiker Rivas</t>
        </is>
      </c>
      <c r="C855" s="9" t="inlineStr">
        <is>
          <t>SF</t>
        </is>
      </c>
      <c r="D855" s="9" t="n">
        <v>25</v>
      </c>
      <c r="E855" s="16" t="inlineStr">
        <is>
          <t>L</t>
        </is>
      </c>
      <c r="F855" s="16" t="n"/>
      <c r="G855" s="9" t="n">
        <v>5.046153846153846</v>
      </c>
      <c r="H855" s="9" t="n">
        <v>5.046153846153846</v>
      </c>
      <c r="I855" s="9" t="inlineStr">
        <is>
          <t>Depth (no MLB PA)</t>
        </is>
      </c>
      <c r="J855" s="16" t="inlineStr">
        <is>
          <t>Opening Day</t>
        </is>
      </c>
      <c r="K855" s="11">
        <f>IFERROR(INDEX(Roles!$B$17:$B$20,MATCH(J855,Roles!$A$17:$A$20,0)),1)</f>
        <v/>
      </c>
      <c r="L855" s="17" t="n">
        <v>1</v>
      </c>
      <c r="M855" s="11" t="n">
        <v>1</v>
      </c>
      <c r="N855" s="17" t="n"/>
      <c r="O855" s="17" t="n"/>
      <c r="P855" s="17" t="n"/>
      <c r="Q855" s="17" t="n"/>
      <c r="R855" s="17" t="n"/>
      <c r="S855" s="17" t="n"/>
      <c r="T855" s="17" t="n"/>
      <c r="U855" s="17" t="n"/>
      <c r="V855" s="17" t="n"/>
      <c r="W855" s="17" t="n"/>
      <c r="X855" s="17" t="n"/>
      <c r="Y855" s="17" t="n">
        <v>1</v>
      </c>
      <c r="Z855" s="13">
        <f>SUMPRODUCT(N855:Y855,$N$2:$Y$2)*$K855*$L855*$M855</f>
        <v/>
      </c>
      <c r="AA855" s="14">
        <f>SUM(N855:Y855)</f>
        <v/>
      </c>
      <c r="AB855" s="14">
        <f>IFERROR(IF(UPPER($E855)="L",SUMPRODUCT(N855:Y855,$N$3:$Y$3,$N$2:$Y$2),SUMPRODUCT(N855:Y855,$N$4:$Y$4,$N$2:$Y$2))/(Z855/($K855*$L855*$M855)),"")</f>
        <v/>
      </c>
      <c r="AC855" s="18" t="n"/>
    </row>
    <row r="856">
      <c r="A856" s="9" t="n">
        <v>823703</v>
      </c>
      <c r="B856" s="9" t="inlineStr">
        <is>
          <t>Anthony Donofrio</t>
        </is>
      </c>
      <c r="C856" s="9" t="inlineStr">
        <is>
          <t>SEA</t>
        </is>
      </c>
      <c r="D856" s="9" t="n">
        <v>25</v>
      </c>
      <c r="E856" s="16" t="inlineStr">
        <is>
          <t>L</t>
        </is>
      </c>
      <c r="F856" s="16" t="n"/>
      <c r="G856" s="9" t="n">
        <v>2.871794871794872</v>
      </c>
      <c r="H856" s="9" t="n">
        <v>2.871794871794872</v>
      </c>
      <c r="I856" s="9" t="inlineStr">
        <is>
          <t>Depth (no MLB PA)</t>
        </is>
      </c>
      <c r="J856" s="16" t="inlineStr">
        <is>
          <t>Opening Day</t>
        </is>
      </c>
      <c r="K856" s="11">
        <f>IFERROR(INDEX(Roles!$B$17:$B$20,MATCH(J856,Roles!$A$17:$A$20,0)),1)</f>
        <v/>
      </c>
      <c r="L856" s="17" t="n">
        <v>1</v>
      </c>
      <c r="M856" s="11" t="n">
        <v>1</v>
      </c>
      <c r="N856" s="17" t="n"/>
      <c r="O856" s="17" t="n"/>
      <c r="P856" s="17" t="n"/>
      <c r="Q856" s="17" t="n"/>
      <c r="R856" s="17" t="n"/>
      <c r="S856" s="17" t="n"/>
      <c r="T856" s="17" t="n"/>
      <c r="U856" s="17" t="n"/>
      <c r="V856" s="17" t="n"/>
      <c r="W856" s="17" t="n"/>
      <c r="X856" s="17" t="n"/>
      <c r="Y856" s="17" t="n">
        <v>1</v>
      </c>
      <c r="Z856" s="13">
        <f>SUMPRODUCT(N856:Y856,$N$2:$Y$2)*$K856*$L856*$M856</f>
        <v/>
      </c>
      <c r="AA856" s="14">
        <f>SUM(N856:Y856)</f>
        <v/>
      </c>
      <c r="AB856" s="14">
        <f>IFERROR(IF(UPPER($E856)="L",SUMPRODUCT(N856:Y856,$N$3:$Y$3,$N$2:$Y$2),SUMPRODUCT(N856:Y856,$N$4:$Y$4,$N$2:$Y$2))/(Z856/($K856*$L856*$M856)),"")</f>
        <v/>
      </c>
      <c r="AC856" s="18" t="n"/>
    </row>
    <row r="857">
      <c r="A857" s="9" t="n">
        <v>829768</v>
      </c>
      <c r="B857" s="9" t="inlineStr">
        <is>
          <t>Malvin Fernandez</t>
        </is>
      </c>
      <c r="C857" s="9" t="inlineStr">
        <is>
          <t>ATL</t>
        </is>
      </c>
      <c r="D857" s="9" t="n">
        <v>25</v>
      </c>
      <c r="E857" s="16" t="inlineStr">
        <is>
          <t>S</t>
        </is>
      </c>
      <c r="F857" s="16" t="n"/>
      <c r="G857" s="9" t="n">
        <v>2.871794871794872</v>
      </c>
      <c r="H857" s="9" t="n">
        <v>2.871794871794872</v>
      </c>
      <c r="I857" s="9" t="inlineStr">
        <is>
          <t>Depth (no MLB PA)</t>
        </is>
      </c>
      <c r="J857" s="16" t="inlineStr">
        <is>
          <t>Opening Day</t>
        </is>
      </c>
      <c r="K857" s="11">
        <f>IFERROR(INDEX(Roles!$B$17:$B$20,MATCH(J857,Roles!$A$17:$A$20,0)),1)</f>
        <v/>
      </c>
      <c r="L857" s="17" t="n">
        <v>1</v>
      </c>
      <c r="M857" s="11" t="n">
        <v>1</v>
      </c>
      <c r="N857" s="17" t="n"/>
      <c r="O857" s="17" t="n"/>
      <c r="P857" s="17" t="n"/>
      <c r="Q857" s="17" t="n"/>
      <c r="R857" s="17" t="n"/>
      <c r="S857" s="17" t="n"/>
      <c r="T857" s="17" t="n"/>
      <c r="U857" s="17" t="n"/>
      <c r="V857" s="17" t="n"/>
      <c r="W857" s="17" t="n"/>
      <c r="X857" s="17" t="n"/>
      <c r="Y857" s="17" t="n">
        <v>1</v>
      </c>
      <c r="Z857" s="13">
        <f>SUMPRODUCT(N857:Y857,$N$2:$Y$2)*$K857*$L857*$M857</f>
        <v/>
      </c>
      <c r="AA857" s="14">
        <f>SUM(N857:Y857)</f>
        <v/>
      </c>
      <c r="AB857" s="14">
        <f>IFERROR(IF(UPPER($E857)="L",SUMPRODUCT(N857:Y857,$N$3:$Y$3,$N$2:$Y$2),SUMPRODUCT(N857:Y857,$N$4:$Y$4,$N$2:$Y$2))/(Z857/($K857*$L857*$M857)),"")</f>
        <v/>
      </c>
      <c r="AC857" s="18" t="n"/>
    </row>
    <row r="858">
      <c r="A858" s="9" t="n">
        <v>816000</v>
      </c>
      <c r="B858" s="9" t="inlineStr">
        <is>
          <t>Owen Gregg</t>
        </is>
      </c>
      <c r="C858" s="9" t="inlineStr">
        <is>
          <t>TOR</t>
        </is>
      </c>
      <c r="D858" s="9" t="n">
        <v>25</v>
      </c>
      <c r="E858" s="16" t="inlineStr">
        <is>
          <t>R</t>
        </is>
      </c>
      <c r="F858" s="16" t="n"/>
      <c r="G858" s="9" t="n">
        <v>2.953846153846154</v>
      </c>
      <c r="H858" s="9" t="n">
        <v>2.953846153846154</v>
      </c>
      <c r="I858" s="9" t="inlineStr">
        <is>
          <t>Depth (no MLB PA)</t>
        </is>
      </c>
      <c r="J858" s="16" t="inlineStr">
        <is>
          <t>Opening Day</t>
        </is>
      </c>
      <c r="K858" s="11">
        <f>IFERROR(INDEX(Roles!$B$17:$B$20,MATCH(J858,Roles!$A$17:$A$20,0)),1)</f>
        <v/>
      </c>
      <c r="L858" s="17" t="n">
        <v>1</v>
      </c>
      <c r="M858" s="11" t="n">
        <v>1</v>
      </c>
      <c r="N858" s="17" t="n"/>
      <c r="O858" s="17" t="n"/>
      <c r="P858" s="17" t="n"/>
      <c r="Q858" s="17" t="n"/>
      <c r="R858" s="17" t="n"/>
      <c r="S858" s="17" t="n"/>
      <c r="T858" s="17" t="n"/>
      <c r="U858" s="17" t="n"/>
      <c r="V858" s="17" t="n"/>
      <c r="W858" s="17" t="n"/>
      <c r="X858" s="17" t="n"/>
      <c r="Y858" s="17" t="n">
        <v>1</v>
      </c>
      <c r="Z858" s="13">
        <f>SUMPRODUCT(N858:Y858,$N$2:$Y$2)*$K858*$L858*$M858</f>
        <v/>
      </c>
      <c r="AA858" s="14">
        <f>SUM(N858:Y858)</f>
        <v/>
      </c>
      <c r="AB858" s="14">
        <f>IFERROR(IF(UPPER($E858)="L",SUMPRODUCT(N858:Y858,$N$3:$Y$3,$N$2:$Y$2),SUMPRODUCT(N858:Y858,$N$4:$Y$4,$N$2:$Y$2))/(Z858/($K858*$L858*$M858)),"")</f>
        <v/>
      </c>
      <c r="AC858" s="18" t="n"/>
    </row>
    <row r="859">
      <c r="A859" s="9" t="n">
        <v>840371</v>
      </c>
      <c r="B859" s="9" t="inlineStr">
        <is>
          <t>Tyson LeBlanc</t>
        </is>
      </c>
      <c r="C859" s="9" t="inlineStr">
        <is>
          <t>DET</t>
        </is>
      </c>
      <c r="D859" s="9" t="n">
        <v>25</v>
      </c>
      <c r="E859" s="16" t="inlineStr">
        <is>
          <t>R</t>
        </is>
      </c>
      <c r="F859" s="16" t="n"/>
      <c r="G859" s="9" t="n">
        <v>2.953846153846154</v>
      </c>
      <c r="H859" s="9" t="n">
        <v>2.953846153846154</v>
      </c>
      <c r="I859" s="9" t="inlineStr">
        <is>
          <t>Depth (no MLB PA)</t>
        </is>
      </c>
      <c r="J859" s="16" t="inlineStr">
        <is>
          <t>Opening Day</t>
        </is>
      </c>
      <c r="K859" s="11">
        <f>IFERROR(INDEX(Roles!$B$17:$B$20,MATCH(J859,Roles!$A$17:$A$20,0)),1)</f>
        <v/>
      </c>
      <c r="L859" s="17" t="n">
        <v>1</v>
      </c>
      <c r="M859" s="11" t="n">
        <v>1</v>
      </c>
      <c r="N859" s="17" t="n"/>
      <c r="O859" s="17" t="n"/>
      <c r="P859" s="17" t="n"/>
      <c r="Q859" s="17" t="n"/>
      <c r="R859" s="17" t="n"/>
      <c r="S859" s="17" t="n"/>
      <c r="T859" s="17" t="n"/>
      <c r="U859" s="17" t="n"/>
      <c r="V859" s="17" t="n"/>
      <c r="W859" s="17" t="n"/>
      <c r="X859" s="17" t="n"/>
      <c r="Y859" s="17" t="n">
        <v>1</v>
      </c>
      <c r="Z859" s="13">
        <f>SUMPRODUCT(N859:Y859,$N$2:$Y$2)*$K859*$L859*$M859</f>
        <v/>
      </c>
      <c r="AA859" s="14">
        <f>SUM(N859:Y859)</f>
        <v/>
      </c>
      <c r="AB859" s="14">
        <f>IFERROR(IF(UPPER($E859)="L",SUMPRODUCT(N859:Y859,$N$3:$Y$3,$N$2:$Y$2),SUMPRODUCT(N859:Y859,$N$4:$Y$4,$N$2:$Y$2))/(Z859/($K859*$L859*$M859)),"")</f>
        <v/>
      </c>
      <c r="AC859" s="18" t="n"/>
    </row>
    <row r="860">
      <c r="A860" s="9" t="n">
        <v>835318</v>
      </c>
      <c r="B860" s="9" t="inlineStr">
        <is>
          <t>Aidan Redahan</t>
        </is>
      </c>
      <c r="C860" s="9" t="inlineStr">
        <is>
          <t>COL</t>
        </is>
      </c>
      <c r="D860" s="9" t="n">
        <v>25</v>
      </c>
      <c r="E860" s="16" t="inlineStr">
        <is>
          <t>L</t>
        </is>
      </c>
      <c r="F860" s="16" t="n"/>
      <c r="G860" s="9" t="n">
        <v>5.16923076923077</v>
      </c>
      <c r="H860" s="9" t="n">
        <v>5.16923076923077</v>
      </c>
      <c r="I860" s="9" t="inlineStr">
        <is>
          <t>Depth (no MLB PA)</t>
        </is>
      </c>
      <c r="J860" s="16" t="inlineStr">
        <is>
          <t>Opening Day</t>
        </is>
      </c>
      <c r="K860" s="11">
        <f>IFERROR(INDEX(Roles!$B$17:$B$20,MATCH(J860,Roles!$A$17:$A$20,0)),1)</f>
        <v/>
      </c>
      <c r="L860" s="17" t="n">
        <v>1</v>
      </c>
      <c r="M860" s="11" t="n">
        <v>1</v>
      </c>
      <c r="N860" s="17" t="n"/>
      <c r="O860" s="17" t="n"/>
      <c r="P860" s="17" t="n"/>
      <c r="Q860" s="17" t="n"/>
      <c r="R860" s="17" t="n"/>
      <c r="S860" s="17" t="n"/>
      <c r="T860" s="17" t="n"/>
      <c r="U860" s="17" t="n"/>
      <c r="V860" s="17" t="n"/>
      <c r="W860" s="17" t="n"/>
      <c r="X860" s="17" t="n"/>
      <c r="Y860" s="17" t="n">
        <v>1</v>
      </c>
      <c r="Z860" s="13">
        <f>SUMPRODUCT(N860:Y860,$N$2:$Y$2)*$K860*$L860*$M860</f>
        <v/>
      </c>
      <c r="AA860" s="14">
        <f>SUM(N860:Y860)</f>
        <v/>
      </c>
      <c r="AB860" s="14">
        <f>IFERROR(IF(UPPER($E860)="L",SUMPRODUCT(N860:Y860,$N$3:$Y$3,$N$2:$Y$2),SUMPRODUCT(N860:Y860,$N$4:$Y$4,$N$2:$Y$2))/(Z860/($K860*$L860*$M860)),"")</f>
        <v/>
      </c>
      <c r="AC860" s="18" t="n"/>
    </row>
    <row r="861">
      <c r="A861" s="9" t="n">
        <v>831384</v>
      </c>
      <c r="B861" s="9" t="inlineStr">
        <is>
          <t>Josh Owens</t>
        </is>
      </c>
      <c r="C861" s="9" t="inlineStr">
        <is>
          <t>TEX</t>
        </is>
      </c>
      <c r="D861" s="9" t="n">
        <v>25</v>
      </c>
      <c r="E861" s="16" t="inlineStr">
        <is>
          <t>L</t>
        </is>
      </c>
      <c r="F861" s="16" t="n"/>
      <c r="G861" s="9" t="n">
        <v>2.953846153846154</v>
      </c>
      <c r="H861" s="9" t="n">
        <v>2.953846153846154</v>
      </c>
      <c r="I861" s="9" t="inlineStr">
        <is>
          <t>Depth (no MLB PA)</t>
        </is>
      </c>
      <c r="J861" s="16" t="inlineStr">
        <is>
          <t>Opening Day</t>
        </is>
      </c>
      <c r="K861" s="11">
        <f>IFERROR(INDEX(Roles!$B$17:$B$20,MATCH(J861,Roles!$A$17:$A$20,0)),1)</f>
        <v/>
      </c>
      <c r="L861" s="17" t="n">
        <v>1</v>
      </c>
      <c r="M861" s="11" t="n">
        <v>1</v>
      </c>
      <c r="N861" s="17" t="n"/>
      <c r="O861" s="17" t="n"/>
      <c r="P861" s="17" t="n"/>
      <c r="Q861" s="17" t="n"/>
      <c r="R861" s="17" t="n"/>
      <c r="S861" s="17" t="n"/>
      <c r="T861" s="17" t="n"/>
      <c r="U861" s="17" t="n"/>
      <c r="V861" s="17" t="n"/>
      <c r="W861" s="17" t="n"/>
      <c r="X861" s="17" t="n"/>
      <c r="Y861" s="17" t="n">
        <v>1</v>
      </c>
      <c r="Z861" s="13">
        <f>SUMPRODUCT(N861:Y861,$N$2:$Y$2)*$K861*$L861*$M861</f>
        <v/>
      </c>
      <c r="AA861" s="14">
        <f>SUM(N861:Y861)</f>
        <v/>
      </c>
      <c r="AB861" s="14">
        <f>IFERROR(IF(UPPER($E861)="L",SUMPRODUCT(N861:Y861,$N$3:$Y$3,$N$2:$Y$2),SUMPRODUCT(N861:Y861,$N$4:$Y$4,$N$2:$Y$2))/(Z861/($K861*$L861*$M861)),"")</f>
        <v/>
      </c>
      <c r="AC861" s="18" t="n"/>
    </row>
    <row r="862">
      <c r="A862" s="9" t="n">
        <v>682616</v>
      </c>
      <c r="B862" s="9" t="inlineStr">
        <is>
          <t>Diego Cartaya</t>
        </is>
      </c>
      <c r="C862" s="9" t="inlineStr">
        <is>
          <t>SF</t>
        </is>
      </c>
      <c r="D862" s="9" t="n">
        <v>25</v>
      </c>
      <c r="E862" s="16" t="inlineStr">
        <is>
          <t>R</t>
        </is>
      </c>
      <c r="F862" s="16" t="n"/>
      <c r="G862" s="9" t="n">
        <v>6.974358974358975</v>
      </c>
      <c r="H862" s="9" t="n">
        <v>6.974358974358975</v>
      </c>
      <c r="I862" s="9" t="inlineStr">
        <is>
          <t>Depth (no MLB PA)</t>
        </is>
      </c>
      <c r="J862" s="16" t="inlineStr">
        <is>
          <t>Opening Day</t>
        </is>
      </c>
      <c r="K862" s="11">
        <f>IFERROR(INDEX(Roles!$B$17:$B$20,MATCH(J862,Roles!$A$17:$A$20,0)),1)</f>
        <v/>
      </c>
      <c r="L862" s="17" t="n">
        <v>1</v>
      </c>
      <c r="M862" s="11" t="n">
        <v>1</v>
      </c>
      <c r="N862" s="17" t="n"/>
      <c r="O862" s="17" t="n"/>
      <c r="P862" s="17" t="n"/>
      <c r="Q862" s="17" t="n"/>
      <c r="R862" s="17" t="n"/>
      <c r="S862" s="17" t="n"/>
      <c r="T862" s="17" t="n"/>
      <c r="U862" s="17" t="n"/>
      <c r="V862" s="17" t="n"/>
      <c r="W862" s="17" t="n"/>
      <c r="X862" s="17" t="n"/>
      <c r="Y862" s="17" t="n">
        <v>1</v>
      </c>
      <c r="Z862" s="13">
        <f>SUMPRODUCT(N862:Y862,$N$2:$Y$2)*$K862*$L862*$M862</f>
        <v/>
      </c>
      <c r="AA862" s="14">
        <f>SUM(N862:Y862)</f>
        <v/>
      </c>
      <c r="AB862" s="14">
        <f>IFERROR(IF(UPPER($E862)="L",SUMPRODUCT(N862:Y862,$N$3:$Y$3,$N$2:$Y$2),SUMPRODUCT(N862:Y862,$N$4:$Y$4,$N$2:$Y$2))/(Z862/($K862*$L862*$M862)),"")</f>
        <v/>
      </c>
      <c r="AC862" s="18" t="n"/>
    </row>
    <row r="863">
      <c r="A863" s="9" t="n">
        <v>814458</v>
      </c>
      <c r="B863" s="9" t="inlineStr">
        <is>
          <t>Fenwick Trimble</t>
        </is>
      </c>
      <c r="C863" s="9" t="inlineStr">
        <is>
          <t>MIA</t>
        </is>
      </c>
      <c r="D863" s="9" t="n">
        <v>25</v>
      </c>
      <c r="E863" s="16" t="inlineStr">
        <is>
          <t>R</t>
        </is>
      </c>
      <c r="F863" s="16" t="n"/>
      <c r="G863" s="9" t="n">
        <v>129.5897435897436</v>
      </c>
      <c r="H863" s="9" t="n">
        <v>129.5897435897436</v>
      </c>
      <c r="I863" s="9" t="inlineStr">
        <is>
          <t>Depth (no MLB PA)</t>
        </is>
      </c>
      <c r="J863" s="16" t="inlineStr">
        <is>
          <t>Opening Day</t>
        </is>
      </c>
      <c r="K863" s="11">
        <f>IFERROR(INDEX(Roles!$B$17:$B$20,MATCH(J863,Roles!$A$17:$A$20,0)),1)</f>
        <v/>
      </c>
      <c r="L863" s="17" t="n">
        <v>1</v>
      </c>
      <c r="M863" s="11" t="n">
        <v>1</v>
      </c>
      <c r="N863" s="17" t="n"/>
      <c r="O863" s="17" t="n"/>
      <c r="P863" s="17" t="n"/>
      <c r="Q863" s="17" t="n"/>
      <c r="R863" s="17" t="n"/>
      <c r="S863" s="17" t="n"/>
      <c r="T863" s="17" t="n"/>
      <c r="U863" s="17" t="n"/>
      <c r="V863" s="17" t="n"/>
      <c r="W863" s="17" t="n"/>
      <c r="X863" s="17" t="n"/>
      <c r="Y863" s="17" t="n">
        <v>1</v>
      </c>
      <c r="Z863" s="13">
        <f>SUMPRODUCT(N863:Y863,$N$2:$Y$2)*$K863*$L863*$M863</f>
        <v/>
      </c>
      <c r="AA863" s="14">
        <f>SUM(N863:Y863)</f>
        <v/>
      </c>
      <c r="AB863" s="14">
        <f>IFERROR(IF(UPPER($E863)="L",SUMPRODUCT(N863:Y863,$N$3:$Y$3,$N$2:$Y$2),SUMPRODUCT(N863:Y863,$N$4:$Y$4,$N$2:$Y$2))/(Z863/($K863*$L863*$M863)),"")</f>
        <v/>
      </c>
      <c r="AC863" s="18" t="n"/>
    </row>
    <row r="864">
      <c r="A864" s="9" t="n">
        <v>814829</v>
      </c>
      <c r="B864" s="9" t="inlineStr">
        <is>
          <t>Maddox Molony</t>
        </is>
      </c>
      <c r="C864" s="9" t="inlineStr">
        <is>
          <t>DET</t>
        </is>
      </c>
      <c r="D864" s="9" t="n">
        <v>25</v>
      </c>
      <c r="E864" s="16" t="inlineStr">
        <is>
          <t>R</t>
        </is>
      </c>
      <c r="F864" s="16" t="n"/>
      <c r="G864" s="9" t="n">
        <v>2.953846153846154</v>
      </c>
      <c r="H864" s="9" t="n">
        <v>2.953846153846154</v>
      </c>
      <c r="I864" s="9" t="inlineStr">
        <is>
          <t>Depth (no MLB PA)</t>
        </is>
      </c>
      <c r="J864" s="16" t="inlineStr">
        <is>
          <t>Opening Day</t>
        </is>
      </c>
      <c r="K864" s="11">
        <f>IFERROR(INDEX(Roles!$B$17:$B$20,MATCH(J864,Roles!$A$17:$A$20,0)),1)</f>
        <v/>
      </c>
      <c r="L864" s="17" t="n">
        <v>1</v>
      </c>
      <c r="M864" s="11" t="n">
        <v>1</v>
      </c>
      <c r="N864" s="17" t="n"/>
      <c r="O864" s="17" t="n"/>
      <c r="P864" s="17" t="n"/>
      <c r="Q864" s="17" t="n"/>
      <c r="R864" s="17" t="n"/>
      <c r="S864" s="17" t="n"/>
      <c r="T864" s="17" t="n"/>
      <c r="U864" s="17" t="n"/>
      <c r="V864" s="17" t="n"/>
      <c r="W864" s="17" t="n"/>
      <c r="X864" s="17" t="n"/>
      <c r="Y864" s="17" t="n">
        <v>1</v>
      </c>
      <c r="Z864" s="13">
        <f>SUMPRODUCT(N864:Y864,$N$2:$Y$2)*$K864*$L864*$M864</f>
        <v/>
      </c>
      <c r="AA864" s="14">
        <f>SUM(N864:Y864)</f>
        <v/>
      </c>
      <c r="AB864" s="14">
        <f>IFERROR(IF(UPPER($E864)="L",SUMPRODUCT(N864:Y864,$N$3:$Y$3,$N$2:$Y$2),SUMPRODUCT(N864:Y864,$N$4:$Y$4,$N$2:$Y$2))/(Z864/($K864*$L864*$M864)),"")</f>
        <v/>
      </c>
      <c r="AC864" s="18" t="n"/>
    </row>
    <row r="865">
      <c r="A865" s="9" t="n">
        <v>703766</v>
      </c>
      <c r="B865" s="9" t="inlineStr">
        <is>
          <t>Dakota Harris</t>
        </is>
      </c>
      <c r="C865" s="9" t="inlineStr">
        <is>
          <t>STL</t>
        </is>
      </c>
      <c r="D865" s="9" t="n">
        <v>25</v>
      </c>
      <c r="E865" s="16" t="inlineStr">
        <is>
          <t>R</t>
        </is>
      </c>
      <c r="F865" s="16" t="n"/>
      <c r="G865" s="9" t="n">
        <v>33.28205128205128</v>
      </c>
      <c r="H865" s="9" t="n">
        <v>33.28205128205128</v>
      </c>
      <c r="I865" s="9" t="inlineStr">
        <is>
          <t>Depth (no MLB PA)</t>
        </is>
      </c>
      <c r="J865" s="16" t="inlineStr">
        <is>
          <t>Opening Day</t>
        </is>
      </c>
      <c r="K865" s="11">
        <f>IFERROR(INDEX(Roles!$B$17:$B$20,MATCH(J865,Roles!$A$17:$A$20,0)),1)</f>
        <v/>
      </c>
      <c r="L865" s="17" t="n">
        <v>1</v>
      </c>
      <c r="M865" s="11" t="n">
        <v>1</v>
      </c>
      <c r="N865" s="17" t="n"/>
      <c r="O865" s="17" t="n"/>
      <c r="P865" s="17" t="n"/>
      <c r="Q865" s="17" t="n"/>
      <c r="R865" s="17" t="n"/>
      <c r="S865" s="17" t="n"/>
      <c r="T865" s="17" t="n"/>
      <c r="U865" s="17" t="n"/>
      <c r="V865" s="17" t="n"/>
      <c r="W865" s="17" t="n"/>
      <c r="X865" s="17" t="n"/>
      <c r="Y865" s="17" t="n">
        <v>1</v>
      </c>
      <c r="Z865" s="13">
        <f>SUMPRODUCT(N865:Y865,$N$2:$Y$2)*$K865*$L865*$M865</f>
        <v/>
      </c>
      <c r="AA865" s="14">
        <f>SUM(N865:Y865)</f>
        <v/>
      </c>
      <c r="AB865" s="14">
        <f>IFERROR(IF(UPPER($E865)="L",SUMPRODUCT(N865:Y865,$N$3:$Y$3,$N$2:$Y$2),SUMPRODUCT(N865:Y865,$N$4:$Y$4,$N$2:$Y$2))/(Z865/($K865*$L865*$M865)),"")</f>
        <v/>
      </c>
      <c r="AC865" s="18" t="n"/>
    </row>
    <row r="866">
      <c r="A866" s="9" t="n">
        <v>806884</v>
      </c>
      <c r="B866" s="9" t="inlineStr">
        <is>
          <t>Luis Escudero</t>
        </is>
      </c>
      <c r="C866" s="9" t="inlineStr">
        <is>
          <t>NYY</t>
        </is>
      </c>
      <c r="D866" s="9" t="n">
        <v>21</v>
      </c>
      <c r="E866" s="16" t="inlineStr">
        <is>
          <t>S</t>
        </is>
      </c>
      <c r="F866" s="16" t="n"/>
      <c r="G866" s="9" t="n">
        <v>24.36923076923077</v>
      </c>
      <c r="H866" s="9" t="n">
        <v>24.36923076923077</v>
      </c>
      <c r="I866" s="9" t="inlineStr">
        <is>
          <t>Depth (no MLB PA)</t>
        </is>
      </c>
      <c r="J866" s="16" t="inlineStr">
        <is>
          <t>Opening Day</t>
        </is>
      </c>
      <c r="K866" s="11">
        <f>IFERROR(INDEX(Roles!$B$17:$B$20,MATCH(J866,Roles!$A$17:$A$20,0)),1)</f>
        <v/>
      </c>
      <c r="L866" s="17" t="n">
        <v>1</v>
      </c>
      <c r="M866" s="11" t="n">
        <v>1</v>
      </c>
      <c r="N866" s="17" t="n"/>
      <c r="O866" s="17" t="n"/>
      <c r="P866" s="17" t="n"/>
      <c r="Q866" s="17" t="n"/>
      <c r="R866" s="17" t="n"/>
      <c r="S866" s="17" t="n"/>
      <c r="T866" s="17" t="n"/>
      <c r="U866" s="17" t="n"/>
      <c r="V866" s="17" t="n"/>
      <c r="W866" s="17" t="n"/>
      <c r="X866" s="17" t="n"/>
      <c r="Y866" s="17" t="n">
        <v>1</v>
      </c>
      <c r="Z866" s="13">
        <f>SUMPRODUCT(N866:Y866,$N$2:$Y$2)*$K866*$L866*$M866</f>
        <v/>
      </c>
      <c r="AA866" s="14">
        <f>SUM(N866:Y866)</f>
        <v/>
      </c>
      <c r="AB866" s="14">
        <f>IFERROR(IF(UPPER($E866)="L",SUMPRODUCT(N866:Y866,$N$3:$Y$3,$N$2:$Y$2),SUMPRODUCT(N866:Y866,$N$4:$Y$4,$N$2:$Y$2))/(Z866/($K866*$L866*$M866)),"")</f>
        <v/>
      </c>
      <c r="AC866" s="18" t="n"/>
    </row>
    <row r="867">
      <c r="A867" s="9" t="n">
        <v>813314</v>
      </c>
      <c r="B867" s="9" t="inlineStr">
        <is>
          <t>Logan Hughes</t>
        </is>
      </c>
      <c r="C867" s="9" t="inlineStr">
        <is>
          <t>HOU</t>
        </is>
      </c>
      <c r="D867" s="9" t="n">
        <v>22</v>
      </c>
      <c r="E867" s="16" t="inlineStr">
        <is>
          <t>L</t>
        </is>
      </c>
      <c r="F867" s="16" t="n"/>
      <c r="G867" s="9" t="n">
        <v>11.56923076923077</v>
      </c>
      <c r="H867" s="9" t="n">
        <v>11.56923076923077</v>
      </c>
      <c r="I867" s="9" t="inlineStr">
        <is>
          <t>Depth (no MLB PA)</t>
        </is>
      </c>
      <c r="J867" s="16" t="inlineStr">
        <is>
          <t>Opening Day</t>
        </is>
      </c>
      <c r="K867" s="11">
        <f>IFERROR(INDEX(Roles!$B$17:$B$20,MATCH(J867,Roles!$A$17:$A$20,0)),1)</f>
        <v/>
      </c>
      <c r="L867" s="17" t="n">
        <v>1</v>
      </c>
      <c r="M867" s="11" t="n">
        <v>1</v>
      </c>
      <c r="N867" s="17" t="n"/>
      <c r="O867" s="17" t="n"/>
      <c r="P867" s="17" t="n"/>
      <c r="Q867" s="17" t="n"/>
      <c r="R867" s="17" t="n"/>
      <c r="S867" s="17" t="n"/>
      <c r="T867" s="17" t="n"/>
      <c r="U867" s="17" t="n"/>
      <c r="V867" s="17" t="n"/>
      <c r="W867" s="17" t="n"/>
      <c r="X867" s="17" t="n"/>
      <c r="Y867" s="17" t="n">
        <v>1</v>
      </c>
      <c r="Z867" s="13">
        <f>SUMPRODUCT(N867:Y867,$N$2:$Y$2)*$K867*$L867*$M867</f>
        <v/>
      </c>
      <c r="AA867" s="14">
        <f>SUM(N867:Y867)</f>
        <v/>
      </c>
      <c r="AB867" s="14">
        <f>IFERROR(IF(UPPER($E867)="L",SUMPRODUCT(N867:Y867,$N$3:$Y$3,$N$2:$Y$2),SUMPRODUCT(N867:Y867,$N$4:$Y$4,$N$2:$Y$2))/(Z867/($K867*$L867*$M867)),"")</f>
        <v/>
      </c>
      <c r="AC867" s="18" t="n"/>
    </row>
    <row r="868">
      <c r="A868" s="9" t="n">
        <v>701331</v>
      </c>
      <c r="B868" s="9" t="inlineStr">
        <is>
          <t>Blake Cyr</t>
        </is>
      </c>
      <c r="C868" s="9" t="inlineStr">
        <is>
          <t>NYY</t>
        </is>
      </c>
      <c r="D868" s="9" t="n">
        <v>25</v>
      </c>
      <c r="E868" s="16" t="inlineStr">
        <is>
          <t>R</t>
        </is>
      </c>
      <c r="F868" s="16" t="n"/>
      <c r="G868" s="9" t="n">
        <v>5.16923076923077</v>
      </c>
      <c r="H868" s="9" t="n">
        <v>5.16923076923077</v>
      </c>
      <c r="I868" s="9" t="inlineStr">
        <is>
          <t>Depth (no MLB PA)</t>
        </is>
      </c>
      <c r="J868" s="16" t="inlineStr">
        <is>
          <t>Opening Day</t>
        </is>
      </c>
      <c r="K868" s="11">
        <f>IFERROR(INDEX(Roles!$B$17:$B$20,MATCH(J868,Roles!$A$17:$A$20,0)),1)</f>
        <v/>
      </c>
      <c r="L868" s="17" t="n">
        <v>1</v>
      </c>
      <c r="M868" s="11" t="n">
        <v>1</v>
      </c>
      <c r="N868" s="17" t="n"/>
      <c r="O868" s="17" t="n"/>
      <c r="P868" s="17" t="n"/>
      <c r="Q868" s="17" t="n"/>
      <c r="R868" s="17" t="n"/>
      <c r="S868" s="17" t="n"/>
      <c r="T868" s="17" t="n"/>
      <c r="U868" s="17" t="n"/>
      <c r="V868" s="17" t="n"/>
      <c r="W868" s="17" t="n"/>
      <c r="X868" s="17" t="n"/>
      <c r="Y868" s="17" t="n">
        <v>1</v>
      </c>
      <c r="Z868" s="13">
        <f>SUMPRODUCT(N868:Y868,$N$2:$Y$2)*$K868*$L868*$M868</f>
        <v/>
      </c>
      <c r="AA868" s="14">
        <f>SUM(N868:Y868)</f>
        <v/>
      </c>
      <c r="AB868" s="14">
        <f>IFERROR(IF(UPPER($E868)="L",SUMPRODUCT(N868:Y868,$N$3:$Y$3,$N$2:$Y$2),SUMPRODUCT(N868:Y868,$N$4:$Y$4,$N$2:$Y$2))/(Z868/($K868*$L868*$M868)),"")</f>
        <v/>
      </c>
      <c r="AC868" s="18" t="n"/>
    </row>
    <row r="869">
      <c r="A869" s="9" t="n">
        <v>836068</v>
      </c>
      <c r="B869" s="9" t="inlineStr">
        <is>
          <t>Brayden Corn</t>
        </is>
      </c>
      <c r="C869" s="9" t="inlineStr">
        <is>
          <t>SEA</t>
        </is>
      </c>
      <c r="D869" s="9" t="n">
        <v>25</v>
      </c>
      <c r="E869" s="16" t="inlineStr">
        <is>
          <t>R</t>
        </is>
      </c>
      <c r="F869" s="16" t="n"/>
      <c r="G869" s="9" t="n">
        <v>3.076923076923077</v>
      </c>
      <c r="H869" s="9" t="n">
        <v>3.076923076923077</v>
      </c>
      <c r="I869" s="9" t="inlineStr">
        <is>
          <t>Depth (no MLB PA)</t>
        </is>
      </c>
      <c r="J869" s="16" t="inlineStr">
        <is>
          <t>Opening Day</t>
        </is>
      </c>
      <c r="K869" s="11">
        <f>IFERROR(INDEX(Roles!$B$17:$B$20,MATCH(J869,Roles!$A$17:$A$20,0)),1)</f>
        <v/>
      </c>
      <c r="L869" s="17" t="n">
        <v>1</v>
      </c>
      <c r="M869" s="11" t="n">
        <v>1</v>
      </c>
      <c r="N869" s="17" t="n"/>
      <c r="O869" s="17" t="n"/>
      <c r="P869" s="17" t="n"/>
      <c r="Q869" s="17" t="n"/>
      <c r="R869" s="17" t="n"/>
      <c r="S869" s="17" t="n"/>
      <c r="T869" s="17" t="n"/>
      <c r="U869" s="17" t="n"/>
      <c r="V869" s="17" t="n"/>
      <c r="W869" s="17" t="n"/>
      <c r="X869" s="17" t="n"/>
      <c r="Y869" s="17" t="n">
        <v>1</v>
      </c>
      <c r="Z869" s="13">
        <f>SUMPRODUCT(N869:Y869,$N$2:$Y$2)*$K869*$L869*$M869</f>
        <v/>
      </c>
      <c r="AA869" s="14">
        <f>SUM(N869:Y869)</f>
        <v/>
      </c>
      <c r="AB869" s="14">
        <f>IFERROR(IF(UPPER($E869)="L",SUMPRODUCT(N869:Y869,$N$3:$Y$3,$N$2:$Y$2),SUMPRODUCT(N869:Y869,$N$4:$Y$4,$N$2:$Y$2))/(Z869/($K869*$L869*$M869)),"")</f>
        <v/>
      </c>
      <c r="AC869" s="18" t="n"/>
    </row>
    <row r="870">
      <c r="A870" s="9" t="n">
        <v>828808</v>
      </c>
      <c r="B870" s="9" t="inlineStr">
        <is>
          <t>Wessley Roberson</t>
        </is>
      </c>
      <c r="C870" s="9" t="inlineStr">
        <is>
          <t>MIA</t>
        </is>
      </c>
      <c r="D870" s="9" t="n">
        <v>19</v>
      </c>
      <c r="E870" s="16" t="inlineStr">
        <is>
          <t>L</t>
        </is>
      </c>
      <c r="F870" s="16" t="n"/>
      <c r="G870" s="9" t="n">
        <v>3.076923076923077</v>
      </c>
      <c r="H870" s="9" t="n">
        <v>3.076923076923077</v>
      </c>
      <c r="I870" s="9" t="inlineStr">
        <is>
          <t>Depth (no MLB PA)</t>
        </is>
      </c>
      <c r="J870" s="16" t="inlineStr">
        <is>
          <t>Opening Day</t>
        </is>
      </c>
      <c r="K870" s="11">
        <f>IFERROR(INDEX(Roles!$B$17:$B$20,MATCH(J870,Roles!$A$17:$A$20,0)),1)</f>
        <v/>
      </c>
      <c r="L870" s="17" t="n">
        <v>1</v>
      </c>
      <c r="M870" s="11" t="n">
        <v>1</v>
      </c>
      <c r="N870" s="17" t="n"/>
      <c r="O870" s="17" t="n"/>
      <c r="P870" s="17" t="n"/>
      <c r="Q870" s="17" t="n"/>
      <c r="R870" s="17" t="n"/>
      <c r="S870" s="17" t="n"/>
      <c r="T870" s="17" t="n"/>
      <c r="U870" s="17" t="n"/>
      <c r="V870" s="17" t="n"/>
      <c r="W870" s="17" t="n"/>
      <c r="X870" s="17" t="n"/>
      <c r="Y870" s="17" t="n">
        <v>1</v>
      </c>
      <c r="Z870" s="13">
        <f>SUMPRODUCT(N870:Y870,$N$2:$Y$2)*$K870*$L870*$M870</f>
        <v/>
      </c>
      <c r="AA870" s="14">
        <f>SUM(N870:Y870)</f>
        <v/>
      </c>
      <c r="AB870" s="14">
        <f>IFERROR(IF(UPPER($E870)="L",SUMPRODUCT(N870:Y870,$N$3:$Y$3,$N$2:$Y$2),SUMPRODUCT(N870:Y870,$N$4:$Y$4,$N$2:$Y$2))/(Z870/($K870*$L870*$M870)),"")</f>
        <v/>
      </c>
      <c r="AC870" s="18" t="n"/>
    </row>
    <row r="871">
      <c r="A871" s="9" t="n">
        <v>828395</v>
      </c>
      <c r="B871" s="9" t="inlineStr">
        <is>
          <t>Jason Schiavone</t>
        </is>
      </c>
      <c r="C871" s="9" t="inlineStr">
        <is>
          <t>HOU</t>
        </is>
      </c>
      <c r="D871" s="9" t="n">
        <v>24</v>
      </c>
      <c r="E871" s="16" t="inlineStr">
        <is>
          <t>R</t>
        </is>
      </c>
      <c r="F871" s="16" t="n"/>
      <c r="G871" s="9" t="n">
        <v>18.05128205128205</v>
      </c>
      <c r="H871" s="9" t="n">
        <v>18.05128205128205</v>
      </c>
      <c r="I871" s="9" t="inlineStr">
        <is>
          <t>Depth (no MLB PA)</t>
        </is>
      </c>
      <c r="J871" s="16" t="inlineStr">
        <is>
          <t>Opening Day</t>
        </is>
      </c>
      <c r="K871" s="11">
        <f>IFERROR(INDEX(Roles!$B$17:$B$20,MATCH(J871,Roles!$A$17:$A$20,0)),1)</f>
        <v/>
      </c>
      <c r="L871" s="17" t="n">
        <v>1</v>
      </c>
      <c r="M871" s="11" t="n">
        <v>1</v>
      </c>
      <c r="N871" s="17" t="n"/>
      <c r="O871" s="17" t="n"/>
      <c r="P871" s="17" t="n"/>
      <c r="Q871" s="17" t="n"/>
      <c r="R871" s="17" t="n"/>
      <c r="S871" s="17" t="n"/>
      <c r="T871" s="17" t="n"/>
      <c r="U871" s="17" t="n"/>
      <c r="V871" s="17" t="n"/>
      <c r="W871" s="17" t="n"/>
      <c r="X871" s="17" t="n"/>
      <c r="Y871" s="17" t="n">
        <v>1</v>
      </c>
      <c r="Z871" s="13">
        <f>SUMPRODUCT(N871:Y871,$N$2:$Y$2)*$K871*$L871*$M871</f>
        <v/>
      </c>
      <c r="AA871" s="14">
        <f>SUM(N871:Y871)</f>
        <v/>
      </c>
      <c r="AB871" s="14">
        <f>IFERROR(IF(UPPER($E871)="L",SUMPRODUCT(N871:Y871,$N$3:$Y$3,$N$2:$Y$2),SUMPRODUCT(N871:Y871,$N$4:$Y$4,$N$2:$Y$2))/(Z871/($K871*$L871*$M871)),"")</f>
        <v/>
      </c>
      <c r="AC871" s="18" t="n"/>
    </row>
    <row r="872">
      <c r="A872" s="9" t="n">
        <v>806995</v>
      </c>
      <c r="B872" s="9" t="inlineStr">
        <is>
          <t>Filippo Di Turi</t>
        </is>
      </c>
      <c r="C872" s="9" t="inlineStr">
        <is>
          <t>MIL</t>
        </is>
      </c>
      <c r="D872" s="9" t="n">
        <v>25</v>
      </c>
      <c r="E872" s="16" t="inlineStr">
        <is>
          <t>S</t>
        </is>
      </c>
      <c r="F872" s="16" t="n"/>
      <c r="G872" s="9" t="n">
        <v>3.076923076923077</v>
      </c>
      <c r="H872" s="9" t="n">
        <v>3.076923076923077</v>
      </c>
      <c r="I872" s="9" t="inlineStr">
        <is>
          <t>Depth (no MLB PA)</t>
        </is>
      </c>
      <c r="J872" s="16" t="inlineStr">
        <is>
          <t>Opening Day</t>
        </is>
      </c>
      <c r="K872" s="11">
        <f>IFERROR(INDEX(Roles!$B$17:$B$20,MATCH(J872,Roles!$A$17:$A$20,0)),1)</f>
        <v/>
      </c>
      <c r="L872" s="17" t="n">
        <v>1</v>
      </c>
      <c r="M872" s="11" t="n">
        <v>1</v>
      </c>
      <c r="N872" s="17" t="n"/>
      <c r="O872" s="17" t="n"/>
      <c r="P872" s="17" t="n"/>
      <c r="Q872" s="17" t="n"/>
      <c r="R872" s="17" t="n"/>
      <c r="S872" s="17" t="n"/>
      <c r="T872" s="17" t="n"/>
      <c r="U872" s="17" t="n"/>
      <c r="V872" s="17" t="n"/>
      <c r="W872" s="17" t="n"/>
      <c r="X872" s="17" t="n"/>
      <c r="Y872" s="17" t="n">
        <v>1</v>
      </c>
      <c r="Z872" s="13">
        <f>SUMPRODUCT(N872:Y872,$N$2:$Y$2)*$K872*$L872*$M872</f>
        <v/>
      </c>
      <c r="AA872" s="14">
        <f>SUM(N872:Y872)</f>
        <v/>
      </c>
      <c r="AB872" s="14">
        <f>IFERROR(IF(UPPER($E872)="L",SUMPRODUCT(N872:Y872,$N$3:$Y$3,$N$2:$Y$2),SUMPRODUCT(N872:Y872,$N$4:$Y$4,$N$2:$Y$2))/(Z872/($K872*$L872*$M872)),"")</f>
        <v/>
      </c>
      <c r="AC872" s="18" t="n"/>
    </row>
    <row r="873">
      <c r="A873" s="9" t="n">
        <v>808096</v>
      </c>
      <c r="B873" s="9" t="inlineStr">
        <is>
          <t>Reiner Herrera</t>
        </is>
      </c>
      <c r="C873" s="9" t="inlineStr">
        <is>
          <t>CLE</t>
        </is>
      </c>
      <c r="D873" s="9" t="n">
        <v>22</v>
      </c>
      <c r="E873" s="16" t="inlineStr">
        <is>
          <t>L</t>
        </is>
      </c>
      <c r="F873" s="16" t="n"/>
      <c r="G873" s="9" t="n">
        <v>18.09230769230769</v>
      </c>
      <c r="H873" s="9" t="n">
        <v>18.09230769230769</v>
      </c>
      <c r="I873" s="9" t="inlineStr">
        <is>
          <t>Depth (no MLB PA)</t>
        </is>
      </c>
      <c r="J873" s="16" t="inlineStr">
        <is>
          <t>Opening Day</t>
        </is>
      </c>
      <c r="K873" s="11">
        <f>IFERROR(INDEX(Roles!$B$17:$B$20,MATCH(J873,Roles!$A$17:$A$20,0)),1)</f>
        <v/>
      </c>
      <c r="L873" s="17" t="n">
        <v>1</v>
      </c>
      <c r="M873" s="11" t="n">
        <v>1</v>
      </c>
      <c r="N873" s="17" t="n"/>
      <c r="O873" s="17" t="n"/>
      <c r="P873" s="17" t="n"/>
      <c r="Q873" s="17" t="n"/>
      <c r="R873" s="17" t="n"/>
      <c r="S873" s="17" t="n"/>
      <c r="T873" s="17" t="n"/>
      <c r="U873" s="17" t="n"/>
      <c r="V873" s="17" t="n"/>
      <c r="W873" s="17" t="n"/>
      <c r="X873" s="17" t="n"/>
      <c r="Y873" s="17" t="n">
        <v>1</v>
      </c>
      <c r="Z873" s="13">
        <f>SUMPRODUCT(N873:Y873,$N$2:$Y$2)*$K873*$L873*$M873</f>
        <v/>
      </c>
      <c r="AA873" s="14">
        <f>SUM(N873:Y873)</f>
        <v/>
      </c>
      <c r="AB873" s="14">
        <f>IFERROR(IF(UPPER($E873)="L",SUMPRODUCT(N873:Y873,$N$3:$Y$3,$N$2:$Y$2),SUMPRODUCT(N873:Y873,$N$4:$Y$4,$N$2:$Y$2))/(Z873/($K873*$L873*$M873)),"")</f>
        <v/>
      </c>
      <c r="AC873" s="18" t="n"/>
    </row>
    <row r="874">
      <c r="A874" s="9" t="n">
        <v>821156</v>
      </c>
      <c r="B874" s="9" t="inlineStr">
        <is>
          <t>Carl Calixte</t>
        </is>
      </c>
      <c r="C874" s="9" t="inlineStr">
        <is>
          <t>PIT</t>
        </is>
      </c>
      <c r="D874" s="9" t="n">
        <v>25</v>
      </c>
      <c r="E874" s="16" t="inlineStr">
        <is>
          <t>R</t>
        </is>
      </c>
      <c r="F874" s="16" t="n"/>
      <c r="G874" s="9" t="n">
        <v>3.076923076923077</v>
      </c>
      <c r="H874" s="9" t="n">
        <v>3.076923076923077</v>
      </c>
      <c r="I874" s="9" t="inlineStr">
        <is>
          <t>Depth (no MLB PA)</t>
        </is>
      </c>
      <c r="J874" s="16" t="inlineStr">
        <is>
          <t>Opening Day</t>
        </is>
      </c>
      <c r="K874" s="11">
        <f>IFERROR(INDEX(Roles!$B$17:$B$20,MATCH(J874,Roles!$A$17:$A$20,0)),1)</f>
        <v/>
      </c>
      <c r="L874" s="17" t="n">
        <v>1</v>
      </c>
      <c r="M874" s="11" t="n">
        <v>1</v>
      </c>
      <c r="N874" s="17" t="n"/>
      <c r="O874" s="17" t="n"/>
      <c r="P874" s="17" t="n"/>
      <c r="Q874" s="17" t="n"/>
      <c r="R874" s="17" t="n"/>
      <c r="S874" s="17" t="n"/>
      <c r="T874" s="17" t="n"/>
      <c r="U874" s="17" t="n"/>
      <c r="V874" s="17" t="n"/>
      <c r="W874" s="17" t="n"/>
      <c r="X874" s="17" t="n"/>
      <c r="Y874" s="17" t="n">
        <v>1</v>
      </c>
      <c r="Z874" s="13">
        <f>SUMPRODUCT(N874:Y874,$N$2:$Y$2)*$K874*$L874*$M874</f>
        <v/>
      </c>
      <c r="AA874" s="14">
        <f>SUM(N874:Y874)</f>
        <v/>
      </c>
      <c r="AB874" s="14">
        <f>IFERROR(IF(UPPER($E874)="L",SUMPRODUCT(N874:Y874,$N$3:$Y$3,$N$2:$Y$2),SUMPRODUCT(N874:Y874,$N$4:$Y$4,$N$2:$Y$2))/(Z874/($K874*$L874*$M874)),"")</f>
        <v/>
      </c>
      <c r="AC874" s="18" t="n"/>
    </row>
    <row r="875">
      <c r="A875" s="9" t="n">
        <v>694953</v>
      </c>
      <c r="B875" s="9" t="inlineStr">
        <is>
          <t>C.J. Pittaro</t>
        </is>
      </c>
      <c r="C875" s="9" t="inlineStr">
        <is>
          <t>OAK</t>
        </is>
      </c>
      <c r="D875" s="9" t="n">
        <v>25</v>
      </c>
      <c r="E875" s="16" t="inlineStr">
        <is>
          <t>L</t>
        </is>
      </c>
      <c r="F875" s="16" t="n"/>
      <c r="G875" s="9" t="n">
        <v>3.230769230769231</v>
      </c>
      <c r="H875" s="9" t="n">
        <v>3.230769230769231</v>
      </c>
      <c r="I875" s="9" t="inlineStr">
        <is>
          <t>Depth (no MLB PA)</t>
        </is>
      </c>
      <c r="J875" s="16" t="inlineStr">
        <is>
          <t>Opening Day</t>
        </is>
      </c>
      <c r="K875" s="11">
        <f>IFERROR(INDEX(Roles!$B$17:$B$20,MATCH(J875,Roles!$A$17:$A$20,0)),1)</f>
        <v/>
      </c>
      <c r="L875" s="17" t="n">
        <v>1</v>
      </c>
      <c r="M875" s="11" t="n">
        <v>1</v>
      </c>
      <c r="N875" s="17" t="n"/>
      <c r="O875" s="17" t="n"/>
      <c r="P875" s="17" t="n"/>
      <c r="Q875" s="17" t="n"/>
      <c r="R875" s="17" t="n"/>
      <c r="S875" s="17" t="n"/>
      <c r="T875" s="17" t="n"/>
      <c r="U875" s="17" t="n"/>
      <c r="V875" s="17" t="n"/>
      <c r="W875" s="17" t="n"/>
      <c r="X875" s="17" t="n"/>
      <c r="Y875" s="17" t="n">
        <v>1</v>
      </c>
      <c r="Z875" s="13">
        <f>SUMPRODUCT(N875:Y875,$N$2:$Y$2)*$K875*$L875*$M875</f>
        <v/>
      </c>
      <c r="AA875" s="14">
        <f>SUM(N875:Y875)</f>
        <v/>
      </c>
      <c r="AB875" s="14">
        <f>IFERROR(IF(UPPER($E875)="L",SUMPRODUCT(N875:Y875,$N$3:$Y$3,$N$2:$Y$2),SUMPRODUCT(N875:Y875,$N$4:$Y$4,$N$2:$Y$2))/(Z875/($K875*$L875*$M875)),"")</f>
        <v/>
      </c>
      <c r="AC875" s="18" t="n"/>
    </row>
    <row r="876">
      <c r="A876" s="9" t="n">
        <v>805890</v>
      </c>
      <c r="B876" s="9" t="inlineStr">
        <is>
          <t>Kaden Carpenter</t>
        </is>
      </c>
      <c r="C876" s="9" t="inlineStr">
        <is>
          <t>TEX</t>
        </is>
      </c>
      <c r="D876" s="9" t="n">
        <v>25</v>
      </c>
      <c r="E876" s="16" t="inlineStr">
        <is>
          <t>L</t>
        </is>
      </c>
      <c r="F876" s="16" t="n"/>
      <c r="G876" s="9" t="n">
        <v>15.87692307692308</v>
      </c>
      <c r="H876" s="9" t="n">
        <v>15.87692307692308</v>
      </c>
      <c r="I876" s="9" t="inlineStr">
        <is>
          <t>Depth (no MLB PA)</t>
        </is>
      </c>
      <c r="J876" s="16" t="inlineStr">
        <is>
          <t>Opening Day</t>
        </is>
      </c>
      <c r="K876" s="11">
        <f>IFERROR(INDEX(Roles!$B$17:$B$20,MATCH(J876,Roles!$A$17:$A$20,0)),1)</f>
        <v/>
      </c>
      <c r="L876" s="17" t="n">
        <v>1</v>
      </c>
      <c r="M876" s="11" t="n">
        <v>1</v>
      </c>
      <c r="N876" s="17" t="n"/>
      <c r="O876" s="17" t="n"/>
      <c r="P876" s="17" t="n"/>
      <c r="Q876" s="17" t="n"/>
      <c r="R876" s="17" t="n"/>
      <c r="S876" s="17" t="n"/>
      <c r="T876" s="17" t="n"/>
      <c r="U876" s="17" t="n"/>
      <c r="V876" s="17" t="n"/>
      <c r="W876" s="17" t="n"/>
      <c r="X876" s="17" t="n"/>
      <c r="Y876" s="17" t="n">
        <v>1</v>
      </c>
      <c r="Z876" s="13">
        <f>SUMPRODUCT(N876:Y876,$N$2:$Y$2)*$K876*$L876*$M876</f>
        <v/>
      </c>
      <c r="AA876" s="14">
        <f>SUM(N876:Y876)</f>
        <v/>
      </c>
      <c r="AB876" s="14">
        <f>IFERROR(IF(UPPER($E876)="L",SUMPRODUCT(N876:Y876,$N$3:$Y$3,$N$2:$Y$2),SUMPRODUCT(N876:Y876,$N$4:$Y$4,$N$2:$Y$2))/(Z876/($K876*$L876*$M876)),"")</f>
        <v/>
      </c>
      <c r="AC876" s="18" t="n"/>
    </row>
    <row r="877">
      <c r="A877" s="9" t="n">
        <v>823775</v>
      </c>
      <c r="B877" s="9" t="inlineStr">
        <is>
          <t>DJ Newman</t>
        </is>
      </c>
      <c r="C877" s="9" t="inlineStr">
        <is>
          <t>HOU</t>
        </is>
      </c>
      <c r="D877" s="9" t="n">
        <v>25</v>
      </c>
      <c r="E877" s="16" t="inlineStr">
        <is>
          <t>R</t>
        </is>
      </c>
      <c r="F877" s="16" t="n"/>
      <c r="G877" s="9" t="n">
        <v>15.58974358974359</v>
      </c>
      <c r="H877" s="9" t="n">
        <v>15.58974358974359</v>
      </c>
      <c r="I877" s="9" t="inlineStr">
        <is>
          <t>Depth (no MLB PA)</t>
        </is>
      </c>
      <c r="J877" s="16" t="inlineStr">
        <is>
          <t>Opening Day</t>
        </is>
      </c>
      <c r="K877" s="11">
        <f>IFERROR(INDEX(Roles!$B$17:$B$20,MATCH(J877,Roles!$A$17:$A$20,0)),1)</f>
        <v/>
      </c>
      <c r="L877" s="17" t="n">
        <v>1</v>
      </c>
      <c r="M877" s="11" t="n">
        <v>1</v>
      </c>
      <c r="N877" s="17" t="n"/>
      <c r="O877" s="17" t="n"/>
      <c r="P877" s="17" t="n"/>
      <c r="Q877" s="17" t="n"/>
      <c r="R877" s="17" t="n"/>
      <c r="S877" s="17" t="n"/>
      <c r="T877" s="17" t="n"/>
      <c r="U877" s="17" t="n"/>
      <c r="V877" s="17" t="n"/>
      <c r="W877" s="17" t="n"/>
      <c r="X877" s="17" t="n"/>
      <c r="Y877" s="17" t="n">
        <v>1</v>
      </c>
      <c r="Z877" s="13">
        <f>SUMPRODUCT(N877:Y877,$N$2:$Y$2)*$K877*$L877*$M877</f>
        <v/>
      </c>
      <c r="AA877" s="14">
        <f>SUM(N877:Y877)</f>
        <v/>
      </c>
      <c r="AB877" s="14">
        <f>IFERROR(IF(UPPER($E877)="L",SUMPRODUCT(N877:Y877,$N$3:$Y$3,$N$2:$Y$2),SUMPRODUCT(N877:Y877,$N$4:$Y$4,$N$2:$Y$2))/(Z877/($K877*$L877*$M877)),"")</f>
        <v/>
      </c>
      <c r="AC877" s="18" t="n"/>
    </row>
    <row r="878">
      <c r="A878" s="9" t="n">
        <v>824425</v>
      </c>
      <c r="B878" s="9" t="inlineStr">
        <is>
          <t>Diego Castellanos</t>
        </is>
      </c>
      <c r="C878" s="9" t="inlineStr">
        <is>
          <t>NYY</t>
        </is>
      </c>
      <c r="D878" s="9" t="n">
        <v>25</v>
      </c>
      <c r="E878" s="16" t="inlineStr">
        <is>
          <t>L</t>
        </is>
      </c>
      <c r="F878" s="16" t="n"/>
      <c r="G878" s="9" t="n">
        <v>9.723076923076922</v>
      </c>
      <c r="H878" s="9" t="n">
        <v>9.723076923076922</v>
      </c>
      <c r="I878" s="9" t="inlineStr">
        <is>
          <t>Depth (no MLB PA)</t>
        </is>
      </c>
      <c r="J878" s="16" t="inlineStr">
        <is>
          <t>Opening Day</t>
        </is>
      </c>
      <c r="K878" s="11">
        <f>IFERROR(INDEX(Roles!$B$17:$B$20,MATCH(J878,Roles!$A$17:$A$20,0)),1)</f>
        <v/>
      </c>
      <c r="L878" s="17" t="n">
        <v>1</v>
      </c>
      <c r="M878" s="11" t="n">
        <v>1</v>
      </c>
      <c r="N878" s="17" t="n"/>
      <c r="O878" s="17" t="n"/>
      <c r="P878" s="17" t="n"/>
      <c r="Q878" s="17" t="n"/>
      <c r="R878" s="17" t="n"/>
      <c r="S878" s="17" t="n"/>
      <c r="T878" s="17" t="n"/>
      <c r="U878" s="17" t="n"/>
      <c r="V878" s="17" t="n"/>
      <c r="W878" s="17" t="n"/>
      <c r="X878" s="17" t="n"/>
      <c r="Y878" s="17" t="n">
        <v>1</v>
      </c>
      <c r="Z878" s="13">
        <f>SUMPRODUCT(N878:Y878,$N$2:$Y$2)*$K878*$L878*$M878</f>
        <v/>
      </c>
      <c r="AA878" s="14">
        <f>SUM(N878:Y878)</f>
        <v/>
      </c>
      <c r="AB878" s="14">
        <f>IFERROR(IF(UPPER($E878)="L",SUMPRODUCT(N878:Y878,$N$3:$Y$3,$N$2:$Y$2),SUMPRODUCT(N878:Y878,$N$4:$Y$4,$N$2:$Y$2))/(Z878/($K878*$L878*$M878)),"")</f>
        <v/>
      </c>
      <c r="AC878" s="18" t="n"/>
    </row>
    <row r="879">
      <c r="A879" s="9" t="n">
        <v>803284</v>
      </c>
      <c r="B879" s="9" t="inlineStr">
        <is>
          <t>Max Belyeu</t>
        </is>
      </c>
      <c r="C879" s="9" t="inlineStr">
        <is>
          <t>COL</t>
        </is>
      </c>
      <c r="D879" s="9" t="n">
        <v>25</v>
      </c>
      <c r="E879" s="16" t="inlineStr">
        <is>
          <t>L</t>
        </is>
      </c>
      <c r="F879" s="16" t="n"/>
      <c r="G879" s="9" t="n">
        <v>55.38461538461539</v>
      </c>
      <c r="H879" s="9" t="n">
        <v>55.38461538461539</v>
      </c>
      <c r="I879" s="9" t="inlineStr">
        <is>
          <t>Depth (no MLB PA)</t>
        </is>
      </c>
      <c r="J879" s="16" t="inlineStr">
        <is>
          <t>Opening Day</t>
        </is>
      </c>
      <c r="K879" s="11">
        <f>IFERROR(INDEX(Roles!$B$17:$B$20,MATCH(J879,Roles!$A$17:$A$20,0)),1)</f>
        <v/>
      </c>
      <c r="L879" s="17" t="n">
        <v>1</v>
      </c>
      <c r="M879" s="11" t="n">
        <v>1</v>
      </c>
      <c r="N879" s="17" t="n"/>
      <c r="O879" s="17" t="n"/>
      <c r="P879" s="17" t="n"/>
      <c r="Q879" s="17" t="n"/>
      <c r="R879" s="17" t="n"/>
      <c r="S879" s="17" t="n"/>
      <c r="T879" s="17" t="n"/>
      <c r="U879" s="17" t="n"/>
      <c r="V879" s="17" t="n"/>
      <c r="W879" s="17" t="n"/>
      <c r="X879" s="17" t="n"/>
      <c r="Y879" s="17" t="n">
        <v>1</v>
      </c>
      <c r="Z879" s="13">
        <f>SUMPRODUCT(N879:Y879,$N$2:$Y$2)*$K879*$L879*$M879</f>
        <v/>
      </c>
      <c r="AA879" s="14">
        <f>SUM(N879:Y879)</f>
        <v/>
      </c>
      <c r="AB879" s="14">
        <f>IFERROR(IF(UPPER($E879)="L",SUMPRODUCT(N879:Y879,$N$3:$Y$3,$N$2:$Y$2),SUMPRODUCT(N879:Y879,$N$4:$Y$4,$N$2:$Y$2))/(Z879/($K879*$L879*$M879)),"")</f>
        <v/>
      </c>
      <c r="AC879" s="18" t="n"/>
    </row>
    <row r="880">
      <c r="A880" s="9" t="n">
        <v>807971</v>
      </c>
      <c r="B880" s="9" t="inlineStr">
        <is>
          <t>Juan Rosas</t>
        </is>
      </c>
      <c r="C880" s="9" t="inlineStr">
        <is>
          <t>TOR</t>
        </is>
      </c>
      <c r="D880" s="9" t="n">
        <v>25</v>
      </c>
      <c r="E880" s="16" t="inlineStr">
        <is>
          <t>R</t>
        </is>
      </c>
      <c r="F880" s="16" t="n"/>
      <c r="G880" s="9" t="n">
        <v>5.292307692307692</v>
      </c>
      <c r="H880" s="9" t="n">
        <v>5.292307692307692</v>
      </c>
      <c r="I880" s="9" t="inlineStr">
        <is>
          <t>Depth (no MLB PA)</t>
        </is>
      </c>
      <c r="J880" s="16" t="inlineStr">
        <is>
          <t>Opening Day</t>
        </is>
      </c>
      <c r="K880" s="11">
        <f>IFERROR(INDEX(Roles!$B$17:$B$20,MATCH(J880,Roles!$A$17:$A$20,0)),1)</f>
        <v/>
      </c>
      <c r="L880" s="17" t="n">
        <v>1</v>
      </c>
      <c r="M880" s="11" t="n">
        <v>1</v>
      </c>
      <c r="N880" s="17" t="n"/>
      <c r="O880" s="17" t="n"/>
      <c r="P880" s="17" t="n"/>
      <c r="Q880" s="17" t="n"/>
      <c r="R880" s="17" t="n"/>
      <c r="S880" s="17" t="n"/>
      <c r="T880" s="17" t="n"/>
      <c r="U880" s="17" t="n"/>
      <c r="V880" s="17" t="n"/>
      <c r="W880" s="17" t="n"/>
      <c r="X880" s="17" t="n"/>
      <c r="Y880" s="17" t="n">
        <v>1</v>
      </c>
      <c r="Z880" s="13">
        <f>SUMPRODUCT(N880:Y880,$N$2:$Y$2)*$K880*$L880*$M880</f>
        <v/>
      </c>
      <c r="AA880" s="14">
        <f>SUM(N880:Y880)</f>
        <v/>
      </c>
      <c r="AB880" s="14">
        <f>IFERROR(IF(UPPER($E880)="L",SUMPRODUCT(N880:Y880,$N$3:$Y$3,$N$2:$Y$2),SUMPRODUCT(N880:Y880,$N$4:$Y$4,$N$2:$Y$2))/(Z880/($K880*$L880*$M880)),"")</f>
        <v/>
      </c>
      <c r="AC880" s="18" t="n"/>
    </row>
    <row r="881">
      <c r="A881" s="9" t="n">
        <v>806495</v>
      </c>
      <c r="B881" s="9" t="inlineStr">
        <is>
          <t>Kale Fountain</t>
        </is>
      </c>
      <c r="C881" s="9" t="inlineStr">
        <is>
          <t>SD</t>
        </is>
      </c>
      <c r="D881" s="9" t="n">
        <v>25</v>
      </c>
      <c r="E881" s="16" t="inlineStr">
        <is>
          <t>R</t>
        </is>
      </c>
      <c r="F881" s="16" t="n"/>
      <c r="G881" s="9" t="n">
        <v>7.507692307692307</v>
      </c>
      <c r="H881" s="9" t="n">
        <v>7.507692307692307</v>
      </c>
      <c r="I881" s="9" t="inlineStr">
        <is>
          <t>Depth (no MLB PA)</t>
        </is>
      </c>
      <c r="J881" s="16" t="inlineStr">
        <is>
          <t>Opening Day</t>
        </is>
      </c>
      <c r="K881" s="11">
        <f>IFERROR(INDEX(Roles!$B$17:$B$20,MATCH(J881,Roles!$A$17:$A$20,0)),1)</f>
        <v/>
      </c>
      <c r="L881" s="17" t="n">
        <v>1</v>
      </c>
      <c r="M881" s="11" t="n">
        <v>1</v>
      </c>
      <c r="N881" s="17" t="n"/>
      <c r="O881" s="17" t="n"/>
      <c r="P881" s="17" t="n"/>
      <c r="Q881" s="17" t="n"/>
      <c r="R881" s="17" t="n"/>
      <c r="S881" s="17" t="n"/>
      <c r="T881" s="17" t="n"/>
      <c r="U881" s="17" t="n"/>
      <c r="V881" s="17" t="n"/>
      <c r="W881" s="17" t="n"/>
      <c r="X881" s="17" t="n"/>
      <c r="Y881" s="17" t="n">
        <v>1</v>
      </c>
      <c r="Z881" s="13">
        <f>SUMPRODUCT(N881:Y881,$N$2:$Y$2)*$K881*$L881*$M881</f>
        <v/>
      </c>
      <c r="AA881" s="14">
        <f>SUM(N881:Y881)</f>
        <v/>
      </c>
      <c r="AB881" s="14">
        <f>IFERROR(IF(UPPER($E881)="L",SUMPRODUCT(N881:Y881,$N$3:$Y$3,$N$2:$Y$2),SUMPRODUCT(N881:Y881,$N$4:$Y$4,$N$2:$Y$2))/(Z881/($K881*$L881*$M881)),"")</f>
        <v/>
      </c>
      <c r="AC881" s="18" t="n"/>
    </row>
    <row r="882">
      <c r="A882" s="9" t="n">
        <v>572138</v>
      </c>
      <c r="B882" s="9" t="inlineStr">
        <is>
          <t>Jon Singleton</t>
        </is>
      </c>
      <c r="C882" s="9" t="inlineStr">
        <is>
          <t>HOU</t>
        </is>
      </c>
      <c r="D882" s="9" t="n">
        <v>35</v>
      </c>
      <c r="E882" s="16" t="inlineStr">
        <is>
          <t>L</t>
        </is>
      </c>
      <c r="F882" s="16" t="inlineStr">
        <is>
          <t>1B</t>
        </is>
      </c>
      <c r="G882" s="9" t="n">
        <v>9</v>
      </c>
      <c r="H882" s="9" t="n">
        <v>519</v>
      </c>
      <c r="I882" s="9" t="inlineStr">
        <is>
          <t>Depth (no MLB PA)</t>
        </is>
      </c>
      <c r="J882" s="16" t="inlineStr">
        <is>
          <t>Opening Day</t>
        </is>
      </c>
      <c r="K882" s="11">
        <f>IFERROR(INDEX(Roles!$B$17:$B$20,MATCH(J882,Roles!$A$17:$A$20,0)),1)</f>
        <v/>
      </c>
      <c r="L882" s="17" t="n">
        <v>1</v>
      </c>
      <c r="M882" s="11" t="n">
        <v>0.7955033272507619</v>
      </c>
      <c r="N882" s="17" t="n"/>
      <c r="O882" s="17" t="n"/>
      <c r="P882" s="17" t="n"/>
      <c r="Q882" s="17" t="n"/>
      <c r="R882" s="17" t="n"/>
      <c r="S882" s="17" t="n"/>
      <c r="T882" s="17" t="n"/>
      <c r="U882" s="17" t="n"/>
      <c r="V882" s="17" t="n"/>
      <c r="W882" s="17" t="n"/>
      <c r="X882" s="17" t="n"/>
      <c r="Y882" s="17" t="n">
        <v>1</v>
      </c>
      <c r="Z882" s="13">
        <f>SUMPRODUCT(N882:Y882,$N$2:$Y$2)*$K882*$L882*$M882</f>
        <v/>
      </c>
      <c r="AA882" s="14">
        <f>SUM(N882:Y882)</f>
        <v/>
      </c>
      <c r="AB882" s="14">
        <f>IFERROR(IF(UPPER($E882)="L",SUMPRODUCT(N882:Y882,$N$3:$Y$3,$N$2:$Y$2),SUMPRODUCT(N882:Y882,$N$4:$Y$4,$N$2:$Y$2))/(Z882/($K882*$L882*$M882)),"")</f>
        <v/>
      </c>
      <c r="AC882" s="18" t="n"/>
    </row>
    <row r="883">
      <c r="A883" s="9" t="n">
        <v>804561</v>
      </c>
      <c r="B883" s="9" t="inlineStr">
        <is>
          <t>Eric Guevara</t>
        </is>
      </c>
      <c r="C883" s="9" t="inlineStr">
        <is>
          <t>MIA</t>
        </is>
      </c>
      <c r="D883" s="9" t="n">
        <v>25</v>
      </c>
      <c r="E883" s="16" t="inlineStr">
        <is>
          <t>R</t>
        </is>
      </c>
      <c r="F883" s="16" t="n"/>
      <c r="G883" s="9" t="n">
        <v>7.507692307692307</v>
      </c>
      <c r="H883" s="9" t="n">
        <v>7.507692307692307</v>
      </c>
      <c r="I883" s="9" t="inlineStr">
        <is>
          <t>Depth (no MLB PA)</t>
        </is>
      </c>
      <c r="J883" s="16" t="inlineStr">
        <is>
          <t>Opening Day</t>
        </is>
      </c>
      <c r="K883" s="11">
        <f>IFERROR(INDEX(Roles!$B$17:$B$20,MATCH(J883,Roles!$A$17:$A$20,0)),1)</f>
        <v/>
      </c>
      <c r="L883" s="17" t="n">
        <v>1</v>
      </c>
      <c r="M883" s="11" t="n">
        <v>1</v>
      </c>
      <c r="N883" s="17" t="n"/>
      <c r="O883" s="17" t="n"/>
      <c r="P883" s="17" t="n"/>
      <c r="Q883" s="17" t="n"/>
      <c r="R883" s="17" t="n"/>
      <c r="S883" s="17" t="n"/>
      <c r="T883" s="17" t="n"/>
      <c r="U883" s="17" t="n"/>
      <c r="V883" s="17" t="n"/>
      <c r="W883" s="17" t="n"/>
      <c r="X883" s="17" t="n"/>
      <c r="Y883" s="17" t="n">
        <v>1</v>
      </c>
      <c r="Z883" s="13">
        <f>SUMPRODUCT(N883:Y883,$N$2:$Y$2)*$K883*$L883*$M883</f>
        <v/>
      </c>
      <c r="AA883" s="14">
        <f>SUM(N883:Y883)</f>
        <v/>
      </c>
      <c r="AB883" s="14">
        <f>IFERROR(IF(UPPER($E883)="L",SUMPRODUCT(N883:Y883,$N$3:$Y$3,$N$2:$Y$2),SUMPRODUCT(N883:Y883,$N$4:$Y$4,$N$2:$Y$2))/(Z883/($K883*$L883*$M883)),"")</f>
        <v/>
      </c>
      <c r="AC883" s="18" t="n"/>
    </row>
    <row r="884">
      <c r="A884" s="9" t="n">
        <v>687084</v>
      </c>
      <c r="B884" s="9" t="inlineStr">
        <is>
          <t>Joshua Mears</t>
        </is>
      </c>
      <c r="C884" s="9" t="inlineStr">
        <is>
          <t>SD</t>
        </is>
      </c>
      <c r="D884" s="9" t="n">
        <v>25</v>
      </c>
      <c r="E884" s="16" t="inlineStr">
        <is>
          <t>R</t>
        </is>
      </c>
      <c r="F884" s="16" t="n"/>
      <c r="G884" s="9" t="n">
        <v>3.230769230769231</v>
      </c>
      <c r="H884" s="9" t="n">
        <v>3.230769230769231</v>
      </c>
      <c r="I884" s="9" t="inlineStr">
        <is>
          <t>Depth (no MLB PA)</t>
        </is>
      </c>
      <c r="J884" s="16" t="inlineStr">
        <is>
          <t>Opening Day</t>
        </is>
      </c>
      <c r="K884" s="11">
        <f>IFERROR(INDEX(Roles!$B$17:$B$20,MATCH(J884,Roles!$A$17:$A$20,0)),1)</f>
        <v/>
      </c>
      <c r="L884" s="17" t="n">
        <v>1</v>
      </c>
      <c r="M884" s="11" t="n">
        <v>1</v>
      </c>
      <c r="N884" s="17" t="n"/>
      <c r="O884" s="17" t="n"/>
      <c r="P884" s="17" t="n"/>
      <c r="Q884" s="17" t="n"/>
      <c r="R884" s="17" t="n"/>
      <c r="S884" s="17" t="n"/>
      <c r="T884" s="17" t="n"/>
      <c r="U884" s="17" t="n"/>
      <c r="V884" s="17" t="n"/>
      <c r="W884" s="17" t="n"/>
      <c r="X884" s="17" t="n"/>
      <c r="Y884" s="17" t="n">
        <v>1</v>
      </c>
      <c r="Z884" s="13">
        <f>SUMPRODUCT(N884:Y884,$N$2:$Y$2)*$K884*$L884*$M884</f>
        <v/>
      </c>
      <c r="AA884" s="14">
        <f>SUM(N884:Y884)</f>
        <v/>
      </c>
      <c r="AB884" s="14">
        <f>IFERROR(IF(UPPER($E884)="L",SUMPRODUCT(N884:Y884,$N$3:$Y$3,$N$2:$Y$2),SUMPRODUCT(N884:Y884,$N$4:$Y$4,$N$2:$Y$2))/(Z884/($K884*$L884*$M884)),"")</f>
        <v/>
      </c>
      <c r="AC884" s="18" t="n"/>
    </row>
    <row r="885">
      <c r="A885" s="9" t="n">
        <v>605421</v>
      </c>
      <c r="B885" s="9" t="inlineStr">
        <is>
          <t>Michael Pérez</t>
        </is>
      </c>
      <c r="C885" s="9" t="inlineStr">
        <is>
          <t>NYM</t>
        </is>
      </c>
      <c r="D885" s="9" t="n">
        <v>34</v>
      </c>
      <c r="E885" s="16" t="inlineStr">
        <is>
          <t>L</t>
        </is>
      </c>
      <c r="F885" s="16" t="inlineStr">
        <is>
          <t>C</t>
        </is>
      </c>
      <c r="G885" s="9" t="n">
        <v>8</v>
      </c>
      <c r="H885" s="9" t="n">
        <v>140</v>
      </c>
      <c r="I885" s="9" t="inlineStr">
        <is>
          <t>Depth (no MLB PA)</t>
        </is>
      </c>
      <c r="J885" s="16" t="inlineStr">
        <is>
          <t>Opening Day</t>
        </is>
      </c>
      <c r="K885" s="11">
        <f>IFERROR(INDEX(Roles!$B$17:$B$20,MATCH(J885,Roles!$A$17:$A$20,0)),1)</f>
        <v/>
      </c>
      <c r="L885" s="17" t="n">
        <v>1</v>
      </c>
      <c r="M885" s="11" t="n">
        <v>1</v>
      </c>
      <c r="N885" s="17" t="n"/>
      <c r="O885" s="17" t="n"/>
      <c r="P885" s="17" t="n"/>
      <c r="Q885" s="17" t="n"/>
      <c r="R885" s="17" t="n"/>
      <c r="S885" s="17" t="n"/>
      <c r="T885" s="17" t="n"/>
      <c r="U885" s="17" t="n"/>
      <c r="V885" s="17" t="n"/>
      <c r="W885" s="17" t="n"/>
      <c r="X885" s="17" t="n"/>
      <c r="Y885" s="17" t="n">
        <v>1</v>
      </c>
      <c r="Z885" s="13">
        <f>SUMPRODUCT(N885:Y885,$N$2:$Y$2)*$K885*$L885*$M885</f>
        <v/>
      </c>
      <c r="AA885" s="14">
        <f>SUM(N885:Y885)</f>
        <v/>
      </c>
      <c r="AB885" s="14">
        <f>IFERROR(IF(UPPER($E885)="L",SUMPRODUCT(N885:Y885,$N$3:$Y$3,$N$2:$Y$2),SUMPRODUCT(N885:Y885,$N$4:$Y$4,$N$2:$Y$2))/(Z885/($K885*$L885*$M885)),"")</f>
        <v/>
      </c>
      <c r="AC885" s="18" t="n"/>
    </row>
    <row r="886">
      <c r="A886" s="9" t="n">
        <v>702270</v>
      </c>
      <c r="B886" s="9" t="inlineStr">
        <is>
          <t>Malcolm Moore</t>
        </is>
      </c>
      <c r="C886" s="9" t="inlineStr">
        <is>
          <t>TEX</t>
        </is>
      </c>
      <c r="D886" s="9" t="n">
        <v>25</v>
      </c>
      <c r="E886" s="16" t="inlineStr">
        <is>
          <t>L</t>
        </is>
      </c>
      <c r="F886" s="16" t="n"/>
      <c r="G886" s="9" t="n">
        <v>70.35897435897435</v>
      </c>
      <c r="H886" s="9" t="n">
        <v>70.35897435897435</v>
      </c>
      <c r="I886" s="9" t="inlineStr">
        <is>
          <t>Depth (no MLB PA)</t>
        </is>
      </c>
      <c r="J886" s="16" t="inlineStr">
        <is>
          <t>Opening Day</t>
        </is>
      </c>
      <c r="K886" s="11">
        <f>IFERROR(INDEX(Roles!$B$17:$B$20,MATCH(J886,Roles!$A$17:$A$20,0)),1)</f>
        <v/>
      </c>
      <c r="L886" s="17" t="n">
        <v>1</v>
      </c>
      <c r="M886" s="11" t="n">
        <v>1</v>
      </c>
      <c r="N886" s="17" t="n"/>
      <c r="O886" s="17" t="n"/>
      <c r="P886" s="17" t="n"/>
      <c r="Q886" s="17" t="n"/>
      <c r="R886" s="17" t="n"/>
      <c r="S886" s="17" t="n"/>
      <c r="T886" s="17" t="n"/>
      <c r="U886" s="17" t="n"/>
      <c r="V886" s="17" t="n"/>
      <c r="W886" s="17" t="n"/>
      <c r="X886" s="17" t="n"/>
      <c r="Y886" s="17" t="n">
        <v>1</v>
      </c>
      <c r="Z886" s="13">
        <f>SUMPRODUCT(N886:Y886,$N$2:$Y$2)*$K886*$L886*$M886</f>
        <v/>
      </c>
      <c r="AA886" s="14">
        <f>SUM(N886:Y886)</f>
        <v/>
      </c>
      <c r="AB886" s="14">
        <f>IFERROR(IF(UPPER($E886)="L",SUMPRODUCT(N886:Y886,$N$3:$Y$3,$N$2:$Y$2),SUMPRODUCT(N886:Y886,$N$4:$Y$4,$N$2:$Y$2))/(Z886/($K886*$L886*$M886)),"")</f>
        <v/>
      </c>
      <c r="AC886" s="18" t="n"/>
    </row>
    <row r="887">
      <c r="A887" s="9" t="n">
        <v>821818</v>
      </c>
      <c r="B887" s="9" t="inlineStr">
        <is>
          <t>Luis Corobo</t>
        </is>
      </c>
      <c r="C887" s="9" t="inlineStr">
        <is>
          <t>MIL</t>
        </is>
      </c>
      <c r="D887" s="9" t="n">
        <v>25</v>
      </c>
      <c r="E887" s="16" t="inlineStr">
        <is>
          <t>R</t>
        </is>
      </c>
      <c r="F887" s="16" t="n"/>
      <c r="G887" s="9" t="n">
        <v>3.323076923076924</v>
      </c>
      <c r="H887" s="9" t="n">
        <v>3.323076923076924</v>
      </c>
      <c r="I887" s="9" t="inlineStr">
        <is>
          <t>Depth (no MLB PA)</t>
        </is>
      </c>
      <c r="J887" s="16" t="inlineStr">
        <is>
          <t>Opening Day</t>
        </is>
      </c>
      <c r="K887" s="11">
        <f>IFERROR(INDEX(Roles!$B$17:$B$20,MATCH(J887,Roles!$A$17:$A$20,0)),1)</f>
        <v/>
      </c>
      <c r="L887" s="17" t="n">
        <v>1</v>
      </c>
      <c r="M887" s="11" t="n">
        <v>1</v>
      </c>
      <c r="N887" s="17" t="n"/>
      <c r="O887" s="17" t="n"/>
      <c r="P887" s="17" t="n"/>
      <c r="Q887" s="17" t="n"/>
      <c r="R887" s="17" t="n"/>
      <c r="S887" s="17" t="n"/>
      <c r="T887" s="17" t="n"/>
      <c r="U887" s="17" t="n"/>
      <c r="V887" s="17" t="n"/>
      <c r="W887" s="17" t="n"/>
      <c r="X887" s="17" t="n"/>
      <c r="Y887" s="17" t="n">
        <v>1</v>
      </c>
      <c r="Z887" s="13">
        <f>SUMPRODUCT(N887:Y887,$N$2:$Y$2)*$K887*$L887*$M887</f>
        <v/>
      </c>
      <c r="AA887" s="14">
        <f>SUM(N887:Y887)</f>
        <v/>
      </c>
      <c r="AB887" s="14">
        <f>IFERROR(IF(UPPER($E887)="L",SUMPRODUCT(N887:Y887,$N$3:$Y$3,$N$2:$Y$2),SUMPRODUCT(N887:Y887,$N$4:$Y$4,$N$2:$Y$2))/(Z887/($K887*$L887*$M887)),"")</f>
        <v/>
      </c>
      <c r="AC887" s="18" t="n"/>
    </row>
    <row r="888">
      <c r="A888" s="9" t="n">
        <v>813075</v>
      </c>
      <c r="B888" s="9" t="inlineStr">
        <is>
          <t>Jacob Lombard</t>
        </is>
      </c>
      <c r="C888" s="9" t="inlineStr">
        <is>
          <t>MIA</t>
        </is>
      </c>
      <c r="D888" s="9" t="n">
        <v>20</v>
      </c>
      <c r="E888" s="16" t="inlineStr">
        <is>
          <t>R</t>
        </is>
      </c>
      <c r="F888" s="16" t="n"/>
      <c r="G888" s="9" t="n">
        <v>11.69230769230769</v>
      </c>
      <c r="H888" s="9" t="n">
        <v>11.69230769230769</v>
      </c>
      <c r="I888" s="9" t="inlineStr">
        <is>
          <t>Depth (no MLB PA)</t>
        </is>
      </c>
      <c r="J888" s="16" t="inlineStr">
        <is>
          <t>Opening Day</t>
        </is>
      </c>
      <c r="K888" s="11">
        <f>IFERROR(INDEX(Roles!$B$17:$B$20,MATCH(J888,Roles!$A$17:$A$20,0)),1)</f>
        <v/>
      </c>
      <c r="L888" s="17" t="n">
        <v>1</v>
      </c>
      <c r="M888" s="11" t="n">
        <v>1</v>
      </c>
      <c r="N888" s="17" t="n"/>
      <c r="O888" s="17" t="n"/>
      <c r="P888" s="17" t="n"/>
      <c r="Q888" s="17" t="n"/>
      <c r="R888" s="17" t="n"/>
      <c r="S888" s="17" t="n"/>
      <c r="T888" s="17" t="n"/>
      <c r="U888" s="17" t="n"/>
      <c r="V888" s="17" t="n"/>
      <c r="W888" s="17" t="n"/>
      <c r="X888" s="17" t="n"/>
      <c r="Y888" s="17" t="n">
        <v>1</v>
      </c>
      <c r="Z888" s="13">
        <f>SUMPRODUCT(N888:Y888,$N$2:$Y$2)*$K888*$L888*$M888</f>
        <v/>
      </c>
      <c r="AA888" s="14">
        <f>SUM(N888:Y888)</f>
        <v/>
      </c>
      <c r="AB888" s="14">
        <f>IFERROR(IF(UPPER($E888)="L",SUMPRODUCT(N888:Y888,$N$3:$Y$3,$N$2:$Y$2),SUMPRODUCT(N888:Y888,$N$4:$Y$4,$N$2:$Y$2))/(Z888/($K888*$L888*$M888)),"")</f>
        <v/>
      </c>
      <c r="AC888" s="18" t="n"/>
    </row>
    <row r="889">
      <c r="A889" s="9" t="n">
        <v>702686</v>
      </c>
      <c r="B889" s="9" t="inlineStr">
        <is>
          <t>Everett Cooper III</t>
        </is>
      </c>
      <c r="C889" s="9" t="inlineStr">
        <is>
          <t>WSH</t>
        </is>
      </c>
      <c r="D889" s="9" t="n">
        <v>25</v>
      </c>
      <c r="E889" s="16" t="inlineStr">
        <is>
          <t>L</t>
        </is>
      </c>
      <c r="F889" s="16" t="n"/>
      <c r="G889" s="9" t="n">
        <v>3.323076923076924</v>
      </c>
      <c r="H889" s="9" t="n">
        <v>3.323076923076924</v>
      </c>
      <c r="I889" s="9" t="inlineStr">
        <is>
          <t>Depth (no MLB PA)</t>
        </is>
      </c>
      <c r="J889" s="16" t="inlineStr">
        <is>
          <t>Opening Day</t>
        </is>
      </c>
      <c r="K889" s="11">
        <f>IFERROR(INDEX(Roles!$B$17:$B$20,MATCH(J889,Roles!$A$17:$A$20,0)),1)</f>
        <v/>
      </c>
      <c r="L889" s="17" t="n">
        <v>1</v>
      </c>
      <c r="M889" s="11" t="n">
        <v>1</v>
      </c>
      <c r="N889" s="17" t="n"/>
      <c r="O889" s="17" t="n"/>
      <c r="P889" s="17" t="n"/>
      <c r="Q889" s="17" t="n"/>
      <c r="R889" s="17" t="n"/>
      <c r="S889" s="17" t="n"/>
      <c r="T889" s="17" t="n"/>
      <c r="U889" s="17" t="n"/>
      <c r="V889" s="17" t="n"/>
      <c r="W889" s="17" t="n"/>
      <c r="X889" s="17" t="n"/>
      <c r="Y889" s="17" t="n">
        <v>1</v>
      </c>
      <c r="Z889" s="13">
        <f>SUMPRODUCT(N889:Y889,$N$2:$Y$2)*$K889*$L889*$M889</f>
        <v/>
      </c>
      <c r="AA889" s="14">
        <f>SUM(N889:Y889)</f>
        <v/>
      </c>
      <c r="AB889" s="14">
        <f>IFERROR(IF(UPPER($E889)="L",SUMPRODUCT(N889:Y889,$N$3:$Y$3,$N$2:$Y$2),SUMPRODUCT(N889:Y889,$N$4:$Y$4,$N$2:$Y$2))/(Z889/($K889*$L889*$M889)),"")</f>
        <v/>
      </c>
      <c r="AC889" s="18" t="n"/>
    </row>
    <row r="890">
      <c r="A890" s="9" t="n">
        <v>702594</v>
      </c>
      <c r="B890" s="9" t="inlineStr">
        <is>
          <t>Jack Lausch</t>
        </is>
      </c>
      <c r="C890" s="9" t="inlineStr">
        <is>
          <t>CIN</t>
        </is>
      </c>
      <c r="D890" s="9" t="n">
        <v>25</v>
      </c>
      <c r="E890" s="16" t="inlineStr">
        <is>
          <t>L</t>
        </is>
      </c>
      <c r="F890" s="16" t="n"/>
      <c r="G890" s="9" t="n">
        <v>7.384615384615386</v>
      </c>
      <c r="H890" s="9" t="n">
        <v>7.384615384615386</v>
      </c>
      <c r="I890" s="9" t="inlineStr">
        <is>
          <t>Depth (no MLB PA)</t>
        </is>
      </c>
      <c r="J890" s="16" t="inlineStr">
        <is>
          <t>Opening Day</t>
        </is>
      </c>
      <c r="K890" s="11">
        <f>IFERROR(INDEX(Roles!$B$17:$B$20,MATCH(J890,Roles!$A$17:$A$20,0)),1)</f>
        <v/>
      </c>
      <c r="L890" s="17" t="n">
        <v>1</v>
      </c>
      <c r="M890" s="11" t="n">
        <v>1</v>
      </c>
      <c r="N890" s="17" t="n"/>
      <c r="O890" s="17" t="n"/>
      <c r="P890" s="17" t="n"/>
      <c r="Q890" s="17" t="n"/>
      <c r="R890" s="17" t="n"/>
      <c r="S890" s="17" t="n"/>
      <c r="T890" s="17" t="n"/>
      <c r="U890" s="17" t="n"/>
      <c r="V890" s="17" t="n"/>
      <c r="W890" s="17" t="n"/>
      <c r="X890" s="17" t="n"/>
      <c r="Y890" s="17" t="n">
        <v>1</v>
      </c>
      <c r="Z890" s="13">
        <f>SUMPRODUCT(N890:Y890,$N$2:$Y$2)*$K890*$L890*$M890</f>
        <v/>
      </c>
      <c r="AA890" s="14">
        <f>SUM(N890:Y890)</f>
        <v/>
      </c>
      <c r="AB890" s="14">
        <f>IFERROR(IF(UPPER($E890)="L",SUMPRODUCT(N890:Y890,$N$3:$Y$3,$N$2:$Y$2),SUMPRODUCT(N890:Y890,$N$4:$Y$4,$N$2:$Y$2))/(Z890/($K890*$L890*$M890)),"")</f>
        <v/>
      </c>
      <c r="AC890" s="18" t="n"/>
    </row>
    <row r="891">
      <c r="A891" s="9" t="n">
        <v>687357</v>
      </c>
      <c r="B891" s="9" t="inlineStr">
        <is>
          <t>Jack Scanlon</t>
        </is>
      </c>
      <c r="C891" s="9" t="inlineStr">
        <is>
          <t>PIT</t>
        </is>
      </c>
      <c r="D891" s="9" t="n">
        <v>25</v>
      </c>
      <c r="E891" s="16" t="inlineStr">
        <is>
          <t>L</t>
        </is>
      </c>
      <c r="F891" s="16" t="n"/>
      <c r="G891" s="9" t="n">
        <v>9.6</v>
      </c>
      <c r="H891" s="9" t="n">
        <v>9.6</v>
      </c>
      <c r="I891" s="9" t="inlineStr">
        <is>
          <t>Depth (no MLB PA)</t>
        </is>
      </c>
      <c r="J891" s="16" t="inlineStr">
        <is>
          <t>Opening Day</t>
        </is>
      </c>
      <c r="K891" s="11">
        <f>IFERROR(INDEX(Roles!$B$17:$B$20,MATCH(J891,Roles!$A$17:$A$20,0)),1)</f>
        <v/>
      </c>
      <c r="L891" s="17" t="n">
        <v>1</v>
      </c>
      <c r="M891" s="11" t="n">
        <v>1</v>
      </c>
      <c r="N891" s="17" t="n"/>
      <c r="O891" s="17" t="n"/>
      <c r="P891" s="17" t="n"/>
      <c r="Q891" s="17" t="n"/>
      <c r="R891" s="17" t="n"/>
      <c r="S891" s="17" t="n"/>
      <c r="T891" s="17" t="n"/>
      <c r="U891" s="17" t="n"/>
      <c r="V891" s="17" t="n"/>
      <c r="W891" s="17" t="n"/>
      <c r="X891" s="17" t="n"/>
      <c r="Y891" s="17" t="n">
        <v>1</v>
      </c>
      <c r="Z891" s="13">
        <f>SUMPRODUCT(N891:Y891,$N$2:$Y$2)*$K891*$L891*$M891</f>
        <v/>
      </c>
      <c r="AA891" s="14">
        <f>SUM(N891:Y891)</f>
        <v/>
      </c>
      <c r="AB891" s="14">
        <f>IFERROR(IF(UPPER($E891)="L",SUMPRODUCT(N891:Y891,$N$3:$Y$3,$N$2:$Y$2),SUMPRODUCT(N891:Y891,$N$4:$Y$4,$N$2:$Y$2))/(Z891/($K891*$L891*$M891)),"")</f>
        <v/>
      </c>
      <c r="AC891" s="18" t="n"/>
    </row>
    <row r="892">
      <c r="A892" s="9" t="n">
        <v>702750</v>
      </c>
      <c r="B892" s="9" t="inlineStr">
        <is>
          <t>Edinson Duran</t>
        </is>
      </c>
      <c r="C892" s="9" t="inlineStr">
        <is>
          <t>NYY</t>
        </is>
      </c>
      <c r="D892" s="9" t="n">
        <v>25</v>
      </c>
      <c r="E892" s="16" t="inlineStr">
        <is>
          <t>R</t>
        </is>
      </c>
      <c r="F892" s="16" t="n"/>
      <c r="G892" s="9" t="n">
        <v>3.384615384615385</v>
      </c>
      <c r="H892" s="9" t="n">
        <v>3.384615384615385</v>
      </c>
      <c r="I892" s="9" t="inlineStr">
        <is>
          <t>Depth (no MLB PA)</t>
        </is>
      </c>
      <c r="J892" s="16" t="inlineStr">
        <is>
          <t>Opening Day</t>
        </is>
      </c>
      <c r="K892" s="11">
        <f>IFERROR(INDEX(Roles!$B$17:$B$20,MATCH(J892,Roles!$A$17:$A$20,0)),1)</f>
        <v/>
      </c>
      <c r="L892" s="17" t="n">
        <v>1</v>
      </c>
      <c r="M892" s="11" t="n">
        <v>1</v>
      </c>
      <c r="N892" s="17" t="n"/>
      <c r="O892" s="17" t="n"/>
      <c r="P892" s="17" t="n"/>
      <c r="Q892" s="17" t="n"/>
      <c r="R892" s="17" t="n"/>
      <c r="S892" s="17" t="n"/>
      <c r="T892" s="17" t="n"/>
      <c r="U892" s="17" t="n"/>
      <c r="V892" s="17" t="n"/>
      <c r="W892" s="17" t="n"/>
      <c r="X892" s="17" t="n"/>
      <c r="Y892" s="17" t="n">
        <v>1</v>
      </c>
      <c r="Z892" s="13">
        <f>SUMPRODUCT(N892:Y892,$N$2:$Y$2)*$K892*$L892*$M892</f>
        <v/>
      </c>
      <c r="AA892" s="14">
        <f>SUM(N892:Y892)</f>
        <v/>
      </c>
      <c r="AB892" s="14">
        <f>IFERROR(IF(UPPER($E892)="L",SUMPRODUCT(N892:Y892,$N$3:$Y$3,$N$2:$Y$2),SUMPRODUCT(N892:Y892,$N$4:$Y$4,$N$2:$Y$2))/(Z892/($K892*$L892*$M892)),"")</f>
        <v/>
      </c>
      <c r="AC892" s="18" t="n"/>
    </row>
    <row r="893">
      <c r="A893" s="9" t="n">
        <v>692021</v>
      </c>
      <c r="B893" s="9" t="inlineStr">
        <is>
          <t>Oswaldo Linares</t>
        </is>
      </c>
      <c r="C893" s="9" t="inlineStr">
        <is>
          <t>SD</t>
        </is>
      </c>
      <c r="D893" s="9" t="n">
        <v>25</v>
      </c>
      <c r="E893" s="16" t="inlineStr">
        <is>
          <t>R</t>
        </is>
      </c>
      <c r="F893" s="16" t="n"/>
      <c r="G893" s="9" t="n">
        <v>3.384615384615385</v>
      </c>
      <c r="H893" s="9" t="n">
        <v>3.384615384615385</v>
      </c>
      <c r="I893" s="9" t="inlineStr">
        <is>
          <t>Depth (no MLB PA)</t>
        </is>
      </c>
      <c r="J893" s="16" t="inlineStr">
        <is>
          <t>Opening Day</t>
        </is>
      </c>
      <c r="K893" s="11">
        <f>IFERROR(INDEX(Roles!$B$17:$B$20,MATCH(J893,Roles!$A$17:$A$20,0)),1)</f>
        <v/>
      </c>
      <c r="L893" s="17" t="n">
        <v>1</v>
      </c>
      <c r="M893" s="11" t="n">
        <v>1</v>
      </c>
      <c r="N893" s="17" t="n"/>
      <c r="O893" s="17" t="n"/>
      <c r="P893" s="17" t="n"/>
      <c r="Q893" s="17" t="n"/>
      <c r="R893" s="17" t="n"/>
      <c r="S893" s="17" t="n"/>
      <c r="T893" s="17" t="n"/>
      <c r="U893" s="17" t="n"/>
      <c r="V893" s="17" t="n"/>
      <c r="W893" s="17" t="n"/>
      <c r="X893" s="17" t="n"/>
      <c r="Y893" s="17" t="n">
        <v>1</v>
      </c>
      <c r="Z893" s="13">
        <f>SUMPRODUCT(N893:Y893,$N$2:$Y$2)*$K893*$L893*$M893</f>
        <v/>
      </c>
      <c r="AA893" s="14">
        <f>SUM(N893:Y893)</f>
        <v/>
      </c>
      <c r="AB893" s="14">
        <f>IFERROR(IF(UPPER($E893)="L",SUMPRODUCT(N893:Y893,$N$3:$Y$3,$N$2:$Y$2),SUMPRODUCT(N893:Y893,$N$4:$Y$4,$N$2:$Y$2))/(Z893/($K893*$L893*$M893)),"")</f>
        <v/>
      </c>
      <c r="AC893" s="18" t="n"/>
    </row>
    <row r="894">
      <c r="A894" s="9" t="n">
        <v>813697</v>
      </c>
      <c r="B894" s="9" t="inlineStr">
        <is>
          <t>Sam Biller</t>
        </is>
      </c>
      <c r="C894" s="9" t="inlineStr">
        <is>
          <t>NYM</t>
        </is>
      </c>
      <c r="D894" s="9" t="n">
        <v>25</v>
      </c>
      <c r="E894" s="16" t="inlineStr">
        <is>
          <t>L</t>
        </is>
      </c>
      <c r="F894" s="16" t="n"/>
      <c r="G894" s="9" t="n">
        <v>3.384615384615385</v>
      </c>
      <c r="H894" s="9" t="n">
        <v>3.384615384615385</v>
      </c>
      <c r="I894" s="9" t="inlineStr">
        <is>
          <t>Depth (no MLB PA)</t>
        </is>
      </c>
      <c r="J894" s="16" t="inlineStr">
        <is>
          <t>Opening Day</t>
        </is>
      </c>
      <c r="K894" s="11">
        <f>IFERROR(INDEX(Roles!$B$17:$B$20,MATCH(J894,Roles!$A$17:$A$20,0)),1)</f>
        <v/>
      </c>
      <c r="L894" s="17" t="n">
        <v>1</v>
      </c>
      <c r="M894" s="11" t="n">
        <v>1</v>
      </c>
      <c r="N894" s="17" t="n"/>
      <c r="O894" s="17" t="n"/>
      <c r="P894" s="17" t="n"/>
      <c r="Q894" s="17" t="n"/>
      <c r="R894" s="17" t="n"/>
      <c r="S894" s="17" t="n"/>
      <c r="T894" s="17" t="n"/>
      <c r="U894" s="17" t="n"/>
      <c r="V894" s="17" t="n"/>
      <c r="W894" s="17" t="n"/>
      <c r="X894" s="17" t="n"/>
      <c r="Y894" s="17" t="n">
        <v>1</v>
      </c>
      <c r="Z894" s="13">
        <f>SUMPRODUCT(N894:Y894,$N$2:$Y$2)*$K894*$L894*$M894</f>
        <v/>
      </c>
      <c r="AA894" s="14">
        <f>SUM(N894:Y894)</f>
        <v/>
      </c>
      <c r="AB894" s="14">
        <f>IFERROR(IF(UPPER($E894)="L",SUMPRODUCT(N894:Y894,$N$3:$Y$3,$N$2:$Y$2),SUMPRODUCT(N894:Y894,$N$4:$Y$4,$N$2:$Y$2))/(Z894/($K894*$L894*$M894)),"")</f>
        <v/>
      </c>
      <c r="AC894" s="18" t="n"/>
    </row>
    <row r="895">
      <c r="A895" s="9" t="n">
        <v>690996</v>
      </c>
      <c r="B895" s="9" t="inlineStr">
        <is>
          <t>T.J. McCants</t>
        </is>
      </c>
      <c r="C895" s="9" t="inlineStr">
        <is>
          <t>CWS</t>
        </is>
      </c>
      <c r="D895" s="9" t="n">
        <v>25</v>
      </c>
      <c r="E895" s="16" t="inlineStr">
        <is>
          <t>L</t>
        </is>
      </c>
      <c r="F895" s="16" t="n"/>
      <c r="G895" s="9" t="n">
        <v>3.384615384615385</v>
      </c>
      <c r="H895" s="9" t="n">
        <v>3.384615384615385</v>
      </c>
      <c r="I895" s="9" t="inlineStr">
        <is>
          <t>Depth (no MLB PA)</t>
        </is>
      </c>
      <c r="J895" s="16" t="inlineStr">
        <is>
          <t>Opening Day</t>
        </is>
      </c>
      <c r="K895" s="11">
        <f>IFERROR(INDEX(Roles!$B$17:$B$20,MATCH(J895,Roles!$A$17:$A$20,0)),1)</f>
        <v/>
      </c>
      <c r="L895" s="17" t="n">
        <v>1</v>
      </c>
      <c r="M895" s="11" t="n">
        <v>1</v>
      </c>
      <c r="N895" s="17" t="n"/>
      <c r="O895" s="17" t="n"/>
      <c r="P895" s="17" t="n"/>
      <c r="Q895" s="17" t="n"/>
      <c r="R895" s="17" t="n"/>
      <c r="S895" s="17" t="n"/>
      <c r="T895" s="17" t="n"/>
      <c r="U895" s="17" t="n"/>
      <c r="V895" s="17" t="n"/>
      <c r="W895" s="17" t="n"/>
      <c r="X895" s="17" t="n"/>
      <c r="Y895" s="17" t="n">
        <v>1</v>
      </c>
      <c r="Z895" s="13">
        <f>SUMPRODUCT(N895:Y895,$N$2:$Y$2)*$K895*$L895*$M895</f>
        <v/>
      </c>
      <c r="AA895" s="14">
        <f>SUM(N895:Y895)</f>
        <v/>
      </c>
      <c r="AB895" s="14">
        <f>IFERROR(IF(UPPER($E895)="L",SUMPRODUCT(N895:Y895,$N$3:$Y$3,$N$2:$Y$2),SUMPRODUCT(N895:Y895,$N$4:$Y$4,$N$2:$Y$2))/(Z895/($K895*$L895*$M895)),"")</f>
        <v/>
      </c>
      <c r="AC895" s="18" t="n"/>
    </row>
    <row r="896">
      <c r="A896" s="9" t="n">
        <v>677338</v>
      </c>
      <c r="B896" s="9" t="inlineStr">
        <is>
          <t>GJ Hill</t>
        </is>
      </c>
      <c r="C896" s="9" t="inlineStr">
        <is>
          <t>COL</t>
        </is>
      </c>
      <c r="D896" s="9" t="n">
        <v>25</v>
      </c>
      <c r="E896" s="16" t="inlineStr">
        <is>
          <t>S</t>
        </is>
      </c>
      <c r="F896" s="16" t="n"/>
      <c r="G896" s="9" t="n">
        <v>136.051282051282</v>
      </c>
      <c r="H896" s="9" t="n">
        <v>136.051282051282</v>
      </c>
      <c r="I896" s="9" t="inlineStr">
        <is>
          <t>Depth (no MLB PA)</t>
        </is>
      </c>
      <c r="J896" s="16" t="inlineStr">
        <is>
          <t>Opening Day</t>
        </is>
      </c>
      <c r="K896" s="11">
        <f>IFERROR(INDEX(Roles!$B$17:$B$20,MATCH(J896,Roles!$A$17:$A$20,0)),1)</f>
        <v/>
      </c>
      <c r="L896" s="17" t="n">
        <v>1</v>
      </c>
      <c r="M896" s="11" t="n">
        <v>1</v>
      </c>
      <c r="N896" s="17" t="n"/>
      <c r="O896" s="17" t="n"/>
      <c r="P896" s="17" t="n"/>
      <c r="Q896" s="17" t="n"/>
      <c r="R896" s="17" t="n"/>
      <c r="S896" s="17" t="n"/>
      <c r="T896" s="17" t="n"/>
      <c r="U896" s="17" t="n"/>
      <c r="V896" s="17" t="n"/>
      <c r="W896" s="17" t="n"/>
      <c r="X896" s="17" t="n"/>
      <c r="Y896" s="17" t="n">
        <v>1</v>
      </c>
      <c r="Z896" s="13">
        <f>SUMPRODUCT(N896:Y896,$N$2:$Y$2)*$K896*$L896*$M896</f>
        <v/>
      </c>
      <c r="AA896" s="14">
        <f>SUM(N896:Y896)</f>
        <v/>
      </c>
      <c r="AB896" s="14">
        <f>IFERROR(IF(UPPER($E896)="L",SUMPRODUCT(N896:Y896,$N$3:$Y$3,$N$2:$Y$2),SUMPRODUCT(N896:Y896,$N$4:$Y$4,$N$2:$Y$2))/(Z896/($K896*$L896*$M896)),"")</f>
        <v/>
      </c>
      <c r="AC896" s="18" t="n"/>
    </row>
    <row r="897">
      <c r="A897" s="9" t="n">
        <v>686781</v>
      </c>
      <c r="B897" s="9" t="inlineStr">
        <is>
          <t>Brandon Lewis</t>
        </is>
      </c>
      <c r="C897" s="9" t="inlineStr">
        <is>
          <t>PHI</t>
        </is>
      </c>
      <c r="D897" s="9" t="n">
        <v>25</v>
      </c>
      <c r="E897" s="16" t="inlineStr">
        <is>
          <t>R</t>
        </is>
      </c>
      <c r="F897" s="16" t="n"/>
      <c r="G897" s="9" t="n">
        <v>23.7948717948718</v>
      </c>
      <c r="H897" s="9" t="n">
        <v>23.7948717948718</v>
      </c>
      <c r="I897" s="9" t="inlineStr">
        <is>
          <t>Depth (no MLB PA)</t>
        </is>
      </c>
      <c r="J897" s="16" t="inlineStr">
        <is>
          <t>Opening Day</t>
        </is>
      </c>
      <c r="K897" s="11">
        <f>IFERROR(INDEX(Roles!$B$17:$B$20,MATCH(J897,Roles!$A$17:$A$20,0)),1)</f>
        <v/>
      </c>
      <c r="L897" s="17" t="n">
        <v>1</v>
      </c>
      <c r="M897" s="11" t="n">
        <v>1</v>
      </c>
      <c r="N897" s="17" t="n"/>
      <c r="O897" s="17" t="n"/>
      <c r="P897" s="17" t="n"/>
      <c r="Q897" s="17" t="n"/>
      <c r="R897" s="17" t="n"/>
      <c r="S897" s="17" t="n"/>
      <c r="T897" s="17" t="n"/>
      <c r="U897" s="17" t="n"/>
      <c r="V897" s="17" t="n"/>
      <c r="W897" s="17" t="n"/>
      <c r="X897" s="17" t="n"/>
      <c r="Y897" s="17" t="n">
        <v>1</v>
      </c>
      <c r="Z897" s="13">
        <f>SUMPRODUCT(N897:Y897,$N$2:$Y$2)*$K897*$L897*$M897</f>
        <v/>
      </c>
      <c r="AA897" s="14">
        <f>SUM(N897:Y897)</f>
        <v/>
      </c>
      <c r="AB897" s="14">
        <f>IFERROR(IF(UPPER($E897)="L",SUMPRODUCT(N897:Y897,$N$3:$Y$3,$N$2:$Y$2),SUMPRODUCT(N897:Y897,$N$4:$Y$4,$N$2:$Y$2))/(Z897/($K897*$L897*$M897)),"")</f>
        <v/>
      </c>
      <c r="AC897" s="18" t="n"/>
    </row>
    <row r="898">
      <c r="A898" s="9" t="n">
        <v>660681</v>
      </c>
      <c r="B898" s="9" t="inlineStr">
        <is>
          <t>Leandro Cedeño</t>
        </is>
      </c>
      <c r="C898" s="9" t="inlineStr">
        <is>
          <t>SD</t>
        </is>
      </c>
      <c r="D898" s="9" t="n">
        <v>25</v>
      </c>
      <c r="E898" s="16" t="inlineStr">
        <is>
          <t>R</t>
        </is>
      </c>
      <c r="F898" s="16" t="n"/>
      <c r="G898" s="9" t="n">
        <v>36.97435897435898</v>
      </c>
      <c r="H898" s="9" t="n">
        <v>36.97435897435898</v>
      </c>
      <c r="I898" s="9" t="inlineStr">
        <is>
          <t>Depth (no MLB PA)</t>
        </is>
      </c>
      <c r="J898" s="16" t="inlineStr">
        <is>
          <t>Opening Day</t>
        </is>
      </c>
      <c r="K898" s="11">
        <f>IFERROR(INDEX(Roles!$B$17:$B$20,MATCH(J898,Roles!$A$17:$A$20,0)),1)</f>
        <v/>
      </c>
      <c r="L898" s="17" t="n">
        <v>1</v>
      </c>
      <c r="M898" s="11" t="n">
        <v>1</v>
      </c>
      <c r="N898" s="17" t="n"/>
      <c r="O898" s="17" t="n"/>
      <c r="P898" s="17" t="n"/>
      <c r="Q898" s="17" t="n"/>
      <c r="R898" s="17" t="n"/>
      <c r="S898" s="17" t="n"/>
      <c r="T898" s="17" t="n"/>
      <c r="U898" s="17" t="n"/>
      <c r="V898" s="17" t="n"/>
      <c r="W898" s="17" t="n"/>
      <c r="X898" s="17" t="n"/>
      <c r="Y898" s="17" t="n">
        <v>1</v>
      </c>
      <c r="Z898" s="13">
        <f>SUMPRODUCT(N898:Y898,$N$2:$Y$2)*$K898*$L898*$M898</f>
        <v/>
      </c>
      <c r="AA898" s="14">
        <f>SUM(N898:Y898)</f>
        <v/>
      </c>
      <c r="AB898" s="14">
        <f>IFERROR(IF(UPPER($E898)="L",SUMPRODUCT(N898:Y898,$N$3:$Y$3,$N$2:$Y$2),SUMPRODUCT(N898:Y898,$N$4:$Y$4,$N$2:$Y$2))/(Z898/($K898*$L898*$M898)),"")</f>
        <v/>
      </c>
      <c r="AC898" s="18" t="n"/>
    </row>
    <row r="899">
      <c r="A899" s="9" t="n">
        <v>834685</v>
      </c>
      <c r="B899" s="9" t="inlineStr">
        <is>
          <t>Angel Abreu</t>
        </is>
      </c>
      <c r="C899" s="9" t="inlineStr">
        <is>
          <t>CLE</t>
        </is>
      </c>
      <c r="D899" s="9" t="n">
        <v>25</v>
      </c>
      <c r="E899" s="16" t="inlineStr">
        <is>
          <t>R</t>
        </is>
      </c>
      <c r="F899" s="16" t="n"/>
      <c r="G899" s="9" t="n">
        <v>3.446153846153846</v>
      </c>
      <c r="H899" s="9" t="n">
        <v>3.446153846153846</v>
      </c>
      <c r="I899" s="9" t="inlineStr">
        <is>
          <t>Depth (no MLB PA)</t>
        </is>
      </c>
      <c r="J899" s="16" t="inlineStr">
        <is>
          <t>Opening Day</t>
        </is>
      </c>
      <c r="K899" s="11">
        <f>IFERROR(INDEX(Roles!$B$17:$B$20,MATCH(J899,Roles!$A$17:$A$20,0)),1)</f>
        <v/>
      </c>
      <c r="L899" s="17" t="n">
        <v>1</v>
      </c>
      <c r="M899" s="11" t="n">
        <v>1</v>
      </c>
      <c r="N899" s="17" t="n"/>
      <c r="O899" s="17" t="n"/>
      <c r="P899" s="17" t="n"/>
      <c r="Q899" s="17" t="n"/>
      <c r="R899" s="17" t="n"/>
      <c r="S899" s="17" t="n"/>
      <c r="T899" s="17" t="n"/>
      <c r="U899" s="17" t="n"/>
      <c r="V899" s="17" t="n"/>
      <c r="W899" s="17" t="n"/>
      <c r="X899" s="17" t="n"/>
      <c r="Y899" s="17" t="n">
        <v>1</v>
      </c>
      <c r="Z899" s="13">
        <f>SUMPRODUCT(N899:Y899,$N$2:$Y$2)*$K899*$L899*$M899</f>
        <v/>
      </c>
      <c r="AA899" s="14">
        <f>SUM(N899:Y899)</f>
        <v/>
      </c>
      <c r="AB899" s="14">
        <f>IFERROR(IF(UPPER($E899)="L",SUMPRODUCT(N899:Y899,$N$3:$Y$3,$N$2:$Y$2),SUMPRODUCT(N899:Y899,$N$4:$Y$4,$N$2:$Y$2))/(Z899/($K899*$L899*$M899)),"")</f>
        <v/>
      </c>
      <c r="AC899" s="18" t="n"/>
    </row>
    <row r="900">
      <c r="A900" s="9" t="n">
        <v>808170</v>
      </c>
      <c r="B900" s="9" t="inlineStr">
        <is>
          <t>Carter Dierdorf</t>
        </is>
      </c>
      <c r="C900" s="9" t="inlineStr">
        <is>
          <t>NYM</t>
        </is>
      </c>
      <c r="D900" s="9" t="n">
        <v>25</v>
      </c>
      <c r="E900" s="16" t="inlineStr">
        <is>
          <t>L</t>
        </is>
      </c>
      <c r="F900" s="16" t="n"/>
      <c r="G900" s="9" t="n">
        <v>3.487179487179488</v>
      </c>
      <c r="H900" s="9" t="n">
        <v>3.487179487179488</v>
      </c>
      <c r="I900" s="9" t="inlineStr">
        <is>
          <t>Depth (no MLB PA)</t>
        </is>
      </c>
      <c r="J900" s="16" t="inlineStr">
        <is>
          <t>Opening Day</t>
        </is>
      </c>
      <c r="K900" s="11">
        <f>IFERROR(INDEX(Roles!$B$17:$B$20,MATCH(J900,Roles!$A$17:$A$20,0)),1)</f>
        <v/>
      </c>
      <c r="L900" s="17" t="n">
        <v>1</v>
      </c>
      <c r="M900" s="11" t="n">
        <v>1</v>
      </c>
      <c r="N900" s="17" t="n"/>
      <c r="O900" s="17" t="n"/>
      <c r="P900" s="17" t="n"/>
      <c r="Q900" s="17" t="n"/>
      <c r="R900" s="17" t="n"/>
      <c r="S900" s="17" t="n"/>
      <c r="T900" s="17" t="n"/>
      <c r="U900" s="17" t="n"/>
      <c r="V900" s="17" t="n"/>
      <c r="W900" s="17" t="n"/>
      <c r="X900" s="17" t="n"/>
      <c r="Y900" s="17" t="n">
        <v>1</v>
      </c>
      <c r="Z900" s="13">
        <f>SUMPRODUCT(N900:Y900,$N$2:$Y$2)*$K900*$L900*$M900</f>
        <v/>
      </c>
      <c r="AA900" s="14">
        <f>SUM(N900:Y900)</f>
        <v/>
      </c>
      <c r="AB900" s="14">
        <f>IFERROR(IF(UPPER($E900)="L",SUMPRODUCT(N900:Y900,$N$3:$Y$3,$N$2:$Y$2),SUMPRODUCT(N900:Y900,$N$4:$Y$4,$N$2:$Y$2))/(Z900/($K900*$L900*$M900)),"")</f>
        <v/>
      </c>
      <c r="AC900" s="18" t="n"/>
    </row>
    <row r="901">
      <c r="A901" s="9" t="n">
        <v>701980</v>
      </c>
      <c r="B901" s="9" t="inlineStr">
        <is>
          <t>Nestor Rios</t>
        </is>
      </c>
      <c r="C901" s="9" t="inlineStr">
        <is>
          <t>MIA</t>
        </is>
      </c>
      <c r="D901" s="9" t="n">
        <v>25</v>
      </c>
      <c r="E901" s="16" t="inlineStr">
        <is>
          <t>R</t>
        </is>
      </c>
      <c r="F901" s="16" t="n"/>
      <c r="G901" s="9" t="n">
        <v>3.58974358974359</v>
      </c>
      <c r="H901" s="9" t="n">
        <v>3.58974358974359</v>
      </c>
      <c r="I901" s="9" t="inlineStr">
        <is>
          <t>Depth (no MLB PA)</t>
        </is>
      </c>
      <c r="J901" s="16" t="inlineStr">
        <is>
          <t>Opening Day</t>
        </is>
      </c>
      <c r="K901" s="11">
        <f>IFERROR(INDEX(Roles!$B$17:$B$20,MATCH(J901,Roles!$A$17:$A$20,0)),1)</f>
        <v/>
      </c>
      <c r="L901" s="17" t="n">
        <v>1</v>
      </c>
      <c r="M901" s="11" t="n">
        <v>1</v>
      </c>
      <c r="N901" s="17" t="n"/>
      <c r="O901" s="17" t="n"/>
      <c r="P901" s="17" t="n"/>
      <c r="Q901" s="17" t="n"/>
      <c r="R901" s="17" t="n"/>
      <c r="S901" s="17" t="n"/>
      <c r="T901" s="17" t="n"/>
      <c r="U901" s="17" t="n"/>
      <c r="V901" s="17" t="n"/>
      <c r="W901" s="17" t="n"/>
      <c r="X901" s="17" t="n"/>
      <c r="Y901" s="17" t="n">
        <v>1</v>
      </c>
      <c r="Z901" s="13">
        <f>SUMPRODUCT(N901:Y901,$N$2:$Y$2)*$K901*$L901*$M901</f>
        <v/>
      </c>
      <c r="AA901" s="14">
        <f>SUM(N901:Y901)</f>
        <v/>
      </c>
      <c r="AB901" s="14">
        <f>IFERROR(IF(UPPER($E901)="L",SUMPRODUCT(N901:Y901,$N$3:$Y$3,$N$2:$Y$2),SUMPRODUCT(N901:Y901,$N$4:$Y$4,$N$2:$Y$2))/(Z901/($K901*$L901*$M901)),"")</f>
        <v/>
      </c>
      <c r="AC901" s="18" t="n"/>
    </row>
    <row r="902">
      <c r="A902" s="9" t="n">
        <v>814261</v>
      </c>
      <c r="B902" s="9" t="inlineStr">
        <is>
          <t>Carlos Caro</t>
        </is>
      </c>
      <c r="C902" s="9" t="inlineStr">
        <is>
          <t>PIT</t>
        </is>
      </c>
      <c r="D902" s="9" t="n">
        <v>25</v>
      </c>
      <c r="E902" s="16" t="inlineStr">
        <is>
          <t>R</t>
        </is>
      </c>
      <c r="F902" s="16" t="n"/>
      <c r="G902" s="9" t="n">
        <v>3.58974358974359</v>
      </c>
      <c r="H902" s="9" t="n">
        <v>3.58974358974359</v>
      </c>
      <c r="I902" s="9" t="inlineStr">
        <is>
          <t>Depth (no MLB PA)</t>
        </is>
      </c>
      <c r="J902" s="16" t="inlineStr">
        <is>
          <t>Opening Day</t>
        </is>
      </c>
      <c r="K902" s="11">
        <f>IFERROR(INDEX(Roles!$B$17:$B$20,MATCH(J902,Roles!$A$17:$A$20,0)),1)</f>
        <v/>
      </c>
      <c r="L902" s="17" t="n">
        <v>1</v>
      </c>
      <c r="M902" s="11" t="n">
        <v>1</v>
      </c>
      <c r="N902" s="17" t="n"/>
      <c r="O902" s="17" t="n"/>
      <c r="P902" s="17" t="n"/>
      <c r="Q902" s="17" t="n"/>
      <c r="R902" s="17" t="n"/>
      <c r="S902" s="17" t="n"/>
      <c r="T902" s="17" t="n"/>
      <c r="U902" s="17" t="n"/>
      <c r="V902" s="17" t="n"/>
      <c r="W902" s="17" t="n"/>
      <c r="X902" s="17" t="n"/>
      <c r="Y902" s="17" t="n">
        <v>1</v>
      </c>
      <c r="Z902" s="13">
        <f>SUMPRODUCT(N902:Y902,$N$2:$Y$2)*$K902*$L902*$M902</f>
        <v/>
      </c>
      <c r="AA902" s="14">
        <f>SUM(N902:Y902)</f>
        <v/>
      </c>
      <c r="AB902" s="14">
        <f>IFERROR(IF(UPPER($E902)="L",SUMPRODUCT(N902:Y902,$N$3:$Y$3,$N$2:$Y$2),SUMPRODUCT(N902:Y902,$N$4:$Y$4,$N$2:$Y$2))/(Z902/($K902*$L902*$M902)),"")</f>
        <v/>
      </c>
      <c r="AC902" s="18" t="n"/>
    </row>
    <row r="903">
      <c r="A903" s="9" t="n">
        <v>801726</v>
      </c>
      <c r="B903" s="9" t="inlineStr">
        <is>
          <t>Santiago Gomez</t>
        </is>
      </c>
      <c r="C903" s="9" t="inlineStr">
        <is>
          <t>NYY</t>
        </is>
      </c>
      <c r="D903" s="9" t="n">
        <v>25</v>
      </c>
      <c r="E903" s="16" t="inlineStr">
        <is>
          <t>R</t>
        </is>
      </c>
      <c r="F903" s="16" t="n"/>
      <c r="G903" s="9" t="n">
        <v>3.58974358974359</v>
      </c>
      <c r="H903" s="9" t="n">
        <v>3.58974358974359</v>
      </c>
      <c r="I903" s="9" t="inlineStr">
        <is>
          <t>Depth (no MLB PA)</t>
        </is>
      </c>
      <c r="J903" s="16" t="inlineStr">
        <is>
          <t>Opening Day</t>
        </is>
      </c>
      <c r="K903" s="11">
        <f>IFERROR(INDEX(Roles!$B$17:$B$20,MATCH(J903,Roles!$A$17:$A$20,0)),1)</f>
        <v/>
      </c>
      <c r="L903" s="17" t="n">
        <v>1</v>
      </c>
      <c r="M903" s="11" t="n">
        <v>1</v>
      </c>
      <c r="N903" s="17" t="n"/>
      <c r="O903" s="17" t="n"/>
      <c r="P903" s="17" t="n"/>
      <c r="Q903" s="17" t="n"/>
      <c r="R903" s="17" t="n"/>
      <c r="S903" s="17" t="n"/>
      <c r="T903" s="17" t="n"/>
      <c r="U903" s="17" t="n"/>
      <c r="V903" s="17" t="n"/>
      <c r="W903" s="17" t="n"/>
      <c r="X903" s="17" t="n"/>
      <c r="Y903" s="17" t="n">
        <v>1</v>
      </c>
      <c r="Z903" s="13">
        <f>SUMPRODUCT(N903:Y903,$N$2:$Y$2)*$K903*$L903*$M903</f>
        <v/>
      </c>
      <c r="AA903" s="14">
        <f>SUM(N903:Y903)</f>
        <v/>
      </c>
      <c r="AB903" s="14">
        <f>IFERROR(IF(UPPER($E903)="L",SUMPRODUCT(N903:Y903,$N$3:$Y$3,$N$2:$Y$2),SUMPRODUCT(N903:Y903,$N$4:$Y$4,$N$2:$Y$2))/(Z903/($K903*$L903*$M903)),"")</f>
        <v/>
      </c>
      <c r="AC903" s="18" t="n"/>
    </row>
    <row r="904">
      <c r="A904" s="9" t="n">
        <v>808094</v>
      </c>
      <c r="B904" s="9" t="inlineStr">
        <is>
          <t>Jhorvic Abreus</t>
        </is>
      </c>
      <c r="C904" s="9" t="inlineStr">
        <is>
          <t>CLE</t>
        </is>
      </c>
      <c r="D904" s="9" t="n">
        <v>25</v>
      </c>
      <c r="E904" s="16" t="inlineStr">
        <is>
          <t>S</t>
        </is>
      </c>
      <c r="F904" s="16" t="n"/>
      <c r="G904" s="9" t="n">
        <v>3.58974358974359</v>
      </c>
      <c r="H904" s="9" t="n">
        <v>3.58974358974359</v>
      </c>
      <c r="I904" s="9" t="inlineStr">
        <is>
          <t>Depth (no MLB PA)</t>
        </is>
      </c>
      <c r="J904" s="16" t="inlineStr">
        <is>
          <t>Opening Day</t>
        </is>
      </c>
      <c r="K904" s="11">
        <f>IFERROR(INDEX(Roles!$B$17:$B$20,MATCH(J904,Roles!$A$17:$A$20,0)),1)</f>
        <v/>
      </c>
      <c r="L904" s="17" t="n">
        <v>1</v>
      </c>
      <c r="M904" s="11" t="n">
        <v>1</v>
      </c>
      <c r="N904" s="17" t="n"/>
      <c r="O904" s="17" t="n"/>
      <c r="P904" s="17" t="n"/>
      <c r="Q904" s="17" t="n"/>
      <c r="R904" s="17" t="n"/>
      <c r="S904" s="17" t="n"/>
      <c r="T904" s="17" t="n"/>
      <c r="U904" s="17" t="n"/>
      <c r="V904" s="17" t="n"/>
      <c r="W904" s="17" t="n"/>
      <c r="X904" s="17" t="n"/>
      <c r="Y904" s="17" t="n">
        <v>1</v>
      </c>
      <c r="Z904" s="13">
        <f>SUMPRODUCT(N904:Y904,$N$2:$Y$2)*$K904*$L904*$M904</f>
        <v/>
      </c>
      <c r="AA904" s="14">
        <f>SUM(N904:Y904)</f>
        <v/>
      </c>
      <c r="AB904" s="14">
        <f>IFERROR(IF(UPPER($E904)="L",SUMPRODUCT(N904:Y904,$N$3:$Y$3,$N$2:$Y$2),SUMPRODUCT(N904:Y904,$N$4:$Y$4,$N$2:$Y$2))/(Z904/($K904*$L904*$M904)),"")</f>
        <v/>
      </c>
      <c r="AC904" s="18" t="n"/>
    </row>
    <row r="905">
      <c r="A905" s="9" t="n">
        <v>809569</v>
      </c>
      <c r="B905" s="9" t="inlineStr">
        <is>
          <t>Maika Niu</t>
        </is>
      </c>
      <c r="C905" s="9" t="inlineStr">
        <is>
          <t>NYY</t>
        </is>
      </c>
      <c r="D905" s="9" t="n">
        <v>25</v>
      </c>
      <c r="E905" s="16" t="inlineStr">
        <is>
          <t>R</t>
        </is>
      </c>
      <c r="F905" s="16" t="n"/>
      <c r="G905" s="9" t="n">
        <v>19.89743589743589</v>
      </c>
      <c r="H905" s="9" t="n">
        <v>19.89743589743589</v>
      </c>
      <c r="I905" s="9" t="inlineStr">
        <is>
          <t>Depth (no MLB PA)</t>
        </is>
      </c>
      <c r="J905" s="16" t="inlineStr">
        <is>
          <t>Opening Day</t>
        </is>
      </c>
      <c r="K905" s="11">
        <f>IFERROR(INDEX(Roles!$B$17:$B$20,MATCH(J905,Roles!$A$17:$A$20,0)),1)</f>
        <v/>
      </c>
      <c r="L905" s="17" t="n">
        <v>1</v>
      </c>
      <c r="M905" s="11" t="n">
        <v>1</v>
      </c>
      <c r="N905" s="17" t="n"/>
      <c r="O905" s="17" t="n"/>
      <c r="P905" s="17" t="n"/>
      <c r="Q905" s="17" t="n"/>
      <c r="R905" s="17" t="n"/>
      <c r="S905" s="17" t="n"/>
      <c r="T905" s="17" t="n"/>
      <c r="U905" s="17" t="n"/>
      <c r="V905" s="17" t="n"/>
      <c r="W905" s="17" t="n"/>
      <c r="X905" s="17" t="n"/>
      <c r="Y905" s="17" t="n">
        <v>1</v>
      </c>
      <c r="Z905" s="13">
        <f>SUMPRODUCT(N905:Y905,$N$2:$Y$2)*$K905*$L905*$M905</f>
        <v/>
      </c>
      <c r="AA905" s="14">
        <f>SUM(N905:Y905)</f>
        <v/>
      </c>
      <c r="AB905" s="14">
        <f>IFERROR(IF(UPPER($E905)="L",SUMPRODUCT(N905:Y905,$N$3:$Y$3,$N$2:$Y$2),SUMPRODUCT(N905:Y905,$N$4:$Y$4,$N$2:$Y$2))/(Z905/($K905*$L905*$M905)),"")</f>
        <v/>
      </c>
      <c r="AC905" s="18" t="n"/>
    </row>
    <row r="906">
      <c r="A906" s="9" t="n">
        <v>656180</v>
      </c>
      <c r="B906" s="9" t="inlineStr">
        <is>
          <t>Riley Adams</t>
        </is>
      </c>
      <c r="C906" s="9" t="inlineStr">
        <is>
          <t>WSH</t>
        </is>
      </c>
      <c r="D906" s="9" t="n">
        <v>31</v>
      </c>
      <c r="E906" s="16" t="inlineStr">
        <is>
          <t>R</t>
        </is>
      </c>
      <c r="F906" s="16" t="inlineStr">
        <is>
          <t>C</t>
        </is>
      </c>
      <c r="G906" s="9" t="n">
        <v>286</v>
      </c>
      <c r="H906" s="9" t="n">
        <v>729</v>
      </c>
      <c r="I906" s="9" t="inlineStr">
        <is>
          <t>Catcher - Tandem</t>
        </is>
      </c>
      <c r="J906" s="16" t="inlineStr">
        <is>
          <t>Opening Day</t>
        </is>
      </c>
      <c r="K906" s="11">
        <f>IFERROR(INDEX(Roles!$B$17:$B$20,MATCH(J906,Roles!$A$17:$A$20,0)),1)</f>
        <v/>
      </c>
      <c r="L906" s="17" t="n">
        <v>1</v>
      </c>
      <c r="M906" s="11" t="n">
        <v>1</v>
      </c>
      <c r="N906" s="17" t="n"/>
      <c r="O906" s="17" t="n"/>
      <c r="P906" s="17" t="n"/>
      <c r="Q906" s="17" t="n"/>
      <c r="R906" s="17" t="n"/>
      <c r="S906" s="17" t="n">
        <v>1</v>
      </c>
      <c r="T906" s="17" t="n"/>
      <c r="U906" s="17" t="n"/>
      <c r="V906" s="17" t="n"/>
      <c r="W906" s="17" t="n"/>
      <c r="X906" s="17" t="n"/>
      <c r="Y906" s="17" t="n"/>
      <c r="Z906" s="13">
        <f>SUMPRODUCT(N906:Y906,$N$2:$Y$2)*$K906*$L906*$M906</f>
        <v/>
      </c>
      <c r="AA906" s="14">
        <f>SUM(N906:Y906)</f>
        <v/>
      </c>
      <c r="AB906" s="14">
        <f>IFERROR(IF(UPPER($E906)="L",SUMPRODUCT(N906:Y906,$N$3:$Y$3,$N$2:$Y$2),SUMPRODUCT(N906:Y906,$N$4:$Y$4,$N$2:$Y$2))/(Z906/($K906*$L906*$M906)),"")</f>
        <v/>
      </c>
      <c r="AC906" s="18" t="n"/>
    </row>
    <row r="907">
      <c r="A907" s="9" t="n">
        <v>804826</v>
      </c>
      <c r="B907" s="9" t="inlineStr">
        <is>
          <t>Jake Ogden</t>
        </is>
      </c>
      <c r="C907" s="9" t="inlineStr">
        <is>
          <t>NYM</t>
        </is>
      </c>
      <c r="D907" s="9" t="n">
        <v>25</v>
      </c>
      <c r="E907" s="16" t="inlineStr">
        <is>
          <t>R</t>
        </is>
      </c>
      <c r="F907" s="16" t="n"/>
      <c r="G907" s="9" t="n">
        <v>5.907692307692308</v>
      </c>
      <c r="H907" s="9" t="n">
        <v>5.907692307692308</v>
      </c>
      <c r="I907" s="9" t="inlineStr">
        <is>
          <t>Depth (no MLB PA)</t>
        </is>
      </c>
      <c r="J907" s="16" t="inlineStr">
        <is>
          <t>Opening Day</t>
        </is>
      </c>
      <c r="K907" s="11">
        <f>IFERROR(INDEX(Roles!$B$17:$B$20,MATCH(J907,Roles!$A$17:$A$20,0)),1)</f>
        <v/>
      </c>
      <c r="L907" s="17" t="n">
        <v>1</v>
      </c>
      <c r="M907" s="11" t="n">
        <v>1</v>
      </c>
      <c r="N907" s="17" t="n"/>
      <c r="O907" s="17" t="n"/>
      <c r="P907" s="17" t="n"/>
      <c r="Q907" s="17" t="n"/>
      <c r="R907" s="17" t="n"/>
      <c r="S907" s="17" t="n"/>
      <c r="T907" s="17" t="n"/>
      <c r="U907" s="17" t="n"/>
      <c r="V907" s="17" t="n"/>
      <c r="W907" s="17" t="n"/>
      <c r="X907" s="17" t="n"/>
      <c r="Y907" s="17" t="n">
        <v>1</v>
      </c>
      <c r="Z907" s="13">
        <f>SUMPRODUCT(N907:Y907,$N$2:$Y$2)*$K907*$L907*$M907</f>
        <v/>
      </c>
      <c r="AA907" s="14">
        <f>SUM(N907:Y907)</f>
        <v/>
      </c>
      <c r="AB907" s="14">
        <f>IFERROR(IF(UPPER($E907)="L",SUMPRODUCT(N907:Y907,$N$3:$Y$3,$N$2:$Y$2),SUMPRODUCT(N907:Y907,$N$4:$Y$4,$N$2:$Y$2))/(Z907/($K907*$L907*$M907)),"")</f>
        <v/>
      </c>
      <c r="AC907" s="18" t="n"/>
    </row>
    <row r="908">
      <c r="A908" s="9" t="n">
        <v>835269</v>
      </c>
      <c r="B908" s="9" t="inlineStr">
        <is>
          <t>Judah Morris</t>
        </is>
      </c>
      <c r="C908" s="9" t="inlineStr">
        <is>
          <t>OAK</t>
        </is>
      </c>
      <c r="D908" s="9" t="n">
        <v>25</v>
      </c>
      <c r="E908" s="16" t="inlineStr">
        <is>
          <t>R</t>
        </is>
      </c>
      <c r="F908" s="16" t="n"/>
      <c r="G908" s="9" t="n">
        <v>3.692307692307692</v>
      </c>
      <c r="H908" s="9" t="n">
        <v>3.692307692307692</v>
      </c>
      <c r="I908" s="9" t="inlineStr">
        <is>
          <t>Depth (no MLB PA)</t>
        </is>
      </c>
      <c r="J908" s="16" t="inlineStr">
        <is>
          <t>Opening Day</t>
        </is>
      </c>
      <c r="K908" s="11">
        <f>IFERROR(INDEX(Roles!$B$17:$B$20,MATCH(J908,Roles!$A$17:$A$20,0)),1)</f>
        <v/>
      </c>
      <c r="L908" s="17" t="n">
        <v>1</v>
      </c>
      <c r="M908" s="11" t="n">
        <v>1</v>
      </c>
      <c r="N908" s="17" t="n"/>
      <c r="O908" s="17" t="n"/>
      <c r="P908" s="17" t="n"/>
      <c r="Q908" s="17" t="n"/>
      <c r="R908" s="17" t="n"/>
      <c r="S908" s="17" t="n"/>
      <c r="T908" s="17" t="n"/>
      <c r="U908" s="17" t="n"/>
      <c r="V908" s="17" t="n"/>
      <c r="W908" s="17" t="n"/>
      <c r="X908" s="17" t="n"/>
      <c r="Y908" s="17" t="n">
        <v>1</v>
      </c>
      <c r="Z908" s="13">
        <f>SUMPRODUCT(N908:Y908,$N$2:$Y$2)*$K908*$L908*$M908</f>
        <v/>
      </c>
      <c r="AA908" s="14">
        <f>SUM(N908:Y908)</f>
        <v/>
      </c>
      <c r="AB908" s="14">
        <f>IFERROR(IF(UPPER($E908)="L",SUMPRODUCT(N908:Y908,$N$3:$Y$3,$N$2:$Y$2),SUMPRODUCT(N908:Y908,$N$4:$Y$4,$N$2:$Y$2))/(Z908/($K908*$L908*$M908)),"")</f>
        <v/>
      </c>
      <c r="AC908" s="18" t="n"/>
    </row>
    <row r="909">
      <c r="A909" s="9" t="n">
        <v>656577</v>
      </c>
      <c r="B909" s="9" t="inlineStr">
        <is>
          <t>Alex Jackson</t>
        </is>
      </c>
      <c r="C909" s="9" t="inlineStr">
        <is>
          <t>MIN</t>
        </is>
      </c>
      <c r="D909" s="9" t="n">
        <v>31</v>
      </c>
      <c r="E909" s="16" t="inlineStr">
        <is>
          <t>R</t>
        </is>
      </c>
      <c r="F909" s="16" t="inlineStr">
        <is>
          <t>C</t>
        </is>
      </c>
      <c r="G909" s="9" t="n">
        <v>73</v>
      </c>
      <c r="H909" s="9" t="n">
        <v>340</v>
      </c>
      <c r="I909" s="9" t="inlineStr">
        <is>
          <t>Catcher - Backup</t>
        </is>
      </c>
      <c r="J909" s="16" t="inlineStr">
        <is>
          <t>Opening Day</t>
        </is>
      </c>
      <c r="K909" s="11">
        <f>IFERROR(INDEX(Roles!$B$17:$B$20,MATCH(J909,Roles!$A$17:$A$20,0)),1)</f>
        <v/>
      </c>
      <c r="L909" s="17" t="n">
        <v>1</v>
      </c>
      <c r="M909" s="11" t="n">
        <v>1</v>
      </c>
      <c r="N909" s="17" t="n"/>
      <c r="O909" s="17" t="n"/>
      <c r="P909" s="17" t="n"/>
      <c r="Q909" s="17" t="n"/>
      <c r="R909" s="17" t="n"/>
      <c r="S909" s="17" t="n"/>
      <c r="T909" s="17" t="n">
        <v>1</v>
      </c>
      <c r="U909" s="17" t="n"/>
      <c r="V909" s="17" t="n"/>
      <c r="W909" s="17" t="n"/>
      <c r="X909" s="17" t="n"/>
      <c r="Y909" s="17" t="n"/>
      <c r="Z909" s="13">
        <f>SUMPRODUCT(N909:Y909,$N$2:$Y$2)*$K909*$L909*$M909</f>
        <v/>
      </c>
      <c r="AA909" s="14">
        <f>SUM(N909:Y909)</f>
        <v/>
      </c>
      <c r="AB909" s="14">
        <f>IFERROR(IF(UPPER($E909)="L",SUMPRODUCT(N909:Y909,$N$3:$Y$3,$N$2:$Y$2),SUMPRODUCT(N909:Y909,$N$4:$Y$4,$N$2:$Y$2))/(Z909/($K909*$L909*$M909)),"")</f>
        <v/>
      </c>
      <c r="AC909" s="18" t="n"/>
    </row>
    <row r="910">
      <c r="A910" s="9" t="n">
        <v>689108</v>
      </c>
      <c r="B910" s="9" t="inlineStr">
        <is>
          <t>Tommy Takayoshi</t>
        </is>
      </c>
      <c r="C910" s="9" t="inlineStr">
        <is>
          <t>OAK</t>
        </is>
      </c>
      <c r="D910" s="9" t="n">
        <v>25</v>
      </c>
      <c r="E910" s="16" t="inlineStr">
        <is>
          <t>S</t>
        </is>
      </c>
      <c r="F910" s="16" t="n"/>
      <c r="G910" s="9" t="n">
        <v>3.692307692307692</v>
      </c>
      <c r="H910" s="9" t="n">
        <v>3.692307692307692</v>
      </c>
      <c r="I910" s="9" t="inlineStr">
        <is>
          <t>Depth (no MLB PA)</t>
        </is>
      </c>
      <c r="J910" s="16" t="inlineStr">
        <is>
          <t>Opening Day</t>
        </is>
      </c>
      <c r="K910" s="11">
        <f>IFERROR(INDEX(Roles!$B$17:$B$20,MATCH(J910,Roles!$A$17:$A$20,0)),1)</f>
        <v/>
      </c>
      <c r="L910" s="17" t="n">
        <v>1</v>
      </c>
      <c r="M910" s="11" t="n">
        <v>1</v>
      </c>
      <c r="N910" s="17" t="n"/>
      <c r="O910" s="17" t="n"/>
      <c r="P910" s="17" t="n"/>
      <c r="Q910" s="17" t="n"/>
      <c r="R910" s="17" t="n"/>
      <c r="S910" s="17" t="n"/>
      <c r="T910" s="17" t="n"/>
      <c r="U910" s="17" t="n"/>
      <c r="V910" s="17" t="n"/>
      <c r="W910" s="17" t="n"/>
      <c r="X910" s="17" t="n"/>
      <c r="Y910" s="17" t="n">
        <v>1</v>
      </c>
      <c r="Z910" s="13">
        <f>SUMPRODUCT(N910:Y910,$N$2:$Y$2)*$K910*$L910*$M910</f>
        <v/>
      </c>
      <c r="AA910" s="14">
        <f>SUM(N910:Y910)</f>
        <v/>
      </c>
      <c r="AB910" s="14">
        <f>IFERROR(IF(UPPER($E910)="L",SUMPRODUCT(N910:Y910,$N$3:$Y$3,$N$2:$Y$2),SUMPRODUCT(N910:Y910,$N$4:$Y$4,$N$2:$Y$2))/(Z910/($K910*$L910*$M910)),"")</f>
        <v/>
      </c>
      <c r="AC910" s="18" t="n"/>
    </row>
    <row r="911">
      <c r="A911" s="9" t="n">
        <v>693243</v>
      </c>
      <c r="B911" s="9" t="inlineStr">
        <is>
          <t>Garrett Pennington</t>
        </is>
      </c>
      <c r="C911" s="9" t="inlineStr">
        <is>
          <t>DET</t>
        </is>
      </c>
      <c r="D911" s="9" t="n">
        <v>25</v>
      </c>
      <c r="E911" s="16" t="inlineStr">
        <is>
          <t>R</t>
        </is>
      </c>
      <c r="F911" s="16" t="n"/>
      <c r="G911" s="9" t="n">
        <v>37.33333333333334</v>
      </c>
      <c r="H911" s="9" t="n">
        <v>37.33333333333334</v>
      </c>
      <c r="I911" s="9" t="inlineStr">
        <is>
          <t>Depth (no MLB PA)</t>
        </is>
      </c>
      <c r="J911" s="16" t="inlineStr">
        <is>
          <t>Opening Day</t>
        </is>
      </c>
      <c r="K911" s="11">
        <f>IFERROR(INDEX(Roles!$B$17:$B$20,MATCH(J911,Roles!$A$17:$A$20,0)),1)</f>
        <v/>
      </c>
      <c r="L911" s="17" t="n">
        <v>1</v>
      </c>
      <c r="M911" s="11" t="n">
        <v>1</v>
      </c>
      <c r="N911" s="17" t="n"/>
      <c r="O911" s="17" t="n"/>
      <c r="P911" s="17" t="n"/>
      <c r="Q911" s="17" t="n"/>
      <c r="R911" s="17" t="n"/>
      <c r="S911" s="17" t="n"/>
      <c r="T911" s="17" t="n"/>
      <c r="U911" s="17" t="n"/>
      <c r="V911" s="17" t="n"/>
      <c r="W911" s="17" t="n"/>
      <c r="X911" s="17" t="n"/>
      <c r="Y911" s="17" t="n">
        <v>1</v>
      </c>
      <c r="Z911" s="13">
        <f>SUMPRODUCT(N911:Y911,$N$2:$Y$2)*$K911*$L911*$M911</f>
        <v/>
      </c>
      <c r="AA911" s="14">
        <f>SUM(N911:Y911)</f>
        <v/>
      </c>
      <c r="AB911" s="14">
        <f>IFERROR(IF(UPPER($E911)="L",SUMPRODUCT(N911:Y911,$N$3:$Y$3,$N$2:$Y$2),SUMPRODUCT(N911:Y911,$N$4:$Y$4,$N$2:$Y$2))/(Z911/($K911*$L911*$M911)),"")</f>
        <v/>
      </c>
      <c r="AC911" s="18" t="n"/>
    </row>
    <row r="912">
      <c r="A912" s="9" t="n">
        <v>696273</v>
      </c>
      <c r="B912" s="9" t="inlineStr">
        <is>
          <t>Lorenzo Carrier</t>
        </is>
      </c>
      <c r="C912" s="9" t="inlineStr">
        <is>
          <t>COL</t>
        </is>
      </c>
      <c r="D912" s="9" t="n">
        <v>25</v>
      </c>
      <c r="E912" s="16" t="inlineStr">
        <is>
          <t>R</t>
        </is>
      </c>
      <c r="F912" s="16" t="n"/>
      <c r="G912" s="9" t="n">
        <v>3.897435897435898</v>
      </c>
      <c r="H912" s="9" t="n">
        <v>3.897435897435898</v>
      </c>
      <c r="I912" s="9" t="inlineStr">
        <is>
          <t>Depth (no MLB PA)</t>
        </is>
      </c>
      <c r="J912" s="16" t="inlineStr">
        <is>
          <t>Opening Day</t>
        </is>
      </c>
      <c r="K912" s="11">
        <f>IFERROR(INDEX(Roles!$B$17:$B$20,MATCH(J912,Roles!$A$17:$A$20,0)),1)</f>
        <v/>
      </c>
      <c r="L912" s="17" t="n">
        <v>1</v>
      </c>
      <c r="M912" s="11" t="n">
        <v>1</v>
      </c>
      <c r="N912" s="17" t="n"/>
      <c r="O912" s="17" t="n"/>
      <c r="P912" s="17" t="n"/>
      <c r="Q912" s="17" t="n"/>
      <c r="R912" s="17" t="n"/>
      <c r="S912" s="17" t="n"/>
      <c r="T912" s="17" t="n"/>
      <c r="U912" s="17" t="n"/>
      <c r="V912" s="17" t="n"/>
      <c r="W912" s="17" t="n"/>
      <c r="X912" s="17" t="n"/>
      <c r="Y912" s="17" t="n">
        <v>1</v>
      </c>
      <c r="Z912" s="13">
        <f>SUMPRODUCT(N912:Y912,$N$2:$Y$2)*$K912*$L912*$M912</f>
        <v/>
      </c>
      <c r="AA912" s="14">
        <f>SUM(N912:Y912)</f>
        <v/>
      </c>
      <c r="AB912" s="14">
        <f>IFERROR(IF(UPPER($E912)="L",SUMPRODUCT(N912:Y912,$N$3:$Y$3,$N$2:$Y$2),SUMPRODUCT(N912:Y912,$N$4:$Y$4,$N$2:$Y$2))/(Z912/($K912*$L912*$M912)),"")</f>
        <v/>
      </c>
      <c r="AC912" s="18" t="n"/>
    </row>
    <row r="913">
      <c r="A913" s="9" t="n">
        <v>816339</v>
      </c>
      <c r="B913" s="9" t="inlineStr">
        <is>
          <t>Bohan Adderley</t>
        </is>
      </c>
      <c r="C913" s="9" t="inlineStr">
        <is>
          <t>NYM</t>
        </is>
      </c>
      <c r="D913" s="9" t="n">
        <v>25</v>
      </c>
      <c r="E913" s="16" t="inlineStr">
        <is>
          <t>R</t>
        </is>
      </c>
      <c r="F913" s="16" t="n"/>
      <c r="G913" s="9" t="n">
        <v>6.030769230769231</v>
      </c>
      <c r="H913" s="9" t="n">
        <v>6.030769230769231</v>
      </c>
      <c r="I913" s="9" t="inlineStr">
        <is>
          <t>Depth (no MLB PA)</t>
        </is>
      </c>
      <c r="J913" s="16" t="inlineStr">
        <is>
          <t>Opening Day</t>
        </is>
      </c>
      <c r="K913" s="11">
        <f>IFERROR(INDEX(Roles!$B$17:$B$20,MATCH(J913,Roles!$A$17:$A$20,0)),1)</f>
        <v/>
      </c>
      <c r="L913" s="17" t="n">
        <v>1</v>
      </c>
      <c r="M913" s="11" t="n">
        <v>1</v>
      </c>
      <c r="N913" s="17" t="n"/>
      <c r="O913" s="17" t="n"/>
      <c r="P913" s="17" t="n"/>
      <c r="Q913" s="17" t="n"/>
      <c r="R913" s="17" t="n"/>
      <c r="S913" s="17" t="n"/>
      <c r="T913" s="17" t="n"/>
      <c r="U913" s="17" t="n"/>
      <c r="V913" s="17" t="n"/>
      <c r="W913" s="17" t="n"/>
      <c r="X913" s="17" t="n"/>
      <c r="Y913" s="17" t="n">
        <v>1</v>
      </c>
      <c r="Z913" s="13">
        <f>SUMPRODUCT(N913:Y913,$N$2:$Y$2)*$K913*$L913*$M913</f>
        <v/>
      </c>
      <c r="AA913" s="14">
        <f>SUM(N913:Y913)</f>
        <v/>
      </c>
      <c r="AB913" s="14">
        <f>IFERROR(IF(UPPER($E913)="L",SUMPRODUCT(N913:Y913,$N$3:$Y$3,$N$2:$Y$2),SUMPRODUCT(N913:Y913,$N$4:$Y$4,$N$2:$Y$2))/(Z913/($K913*$L913*$M913)),"")</f>
        <v/>
      </c>
      <c r="AC913" s="18" t="n"/>
    </row>
    <row r="914">
      <c r="A914" s="9" t="n">
        <v>806980</v>
      </c>
      <c r="B914" s="9" t="inlineStr">
        <is>
          <t>Angel Cepeda</t>
        </is>
      </c>
      <c r="C914" s="9" t="inlineStr">
        <is>
          <t>CHC</t>
        </is>
      </c>
      <c r="D914" s="9" t="n">
        <v>25</v>
      </c>
      <c r="E914" s="16" t="inlineStr">
        <is>
          <t>R</t>
        </is>
      </c>
      <c r="F914" s="16" t="n"/>
      <c r="G914" s="9" t="n">
        <v>3.948717948717949</v>
      </c>
      <c r="H914" s="9" t="n">
        <v>3.948717948717949</v>
      </c>
      <c r="I914" s="9" t="inlineStr">
        <is>
          <t>Depth (no MLB PA)</t>
        </is>
      </c>
      <c r="J914" s="16" t="inlineStr">
        <is>
          <t>Opening Day</t>
        </is>
      </c>
      <c r="K914" s="11">
        <f>IFERROR(INDEX(Roles!$B$17:$B$20,MATCH(J914,Roles!$A$17:$A$20,0)),1)</f>
        <v/>
      </c>
      <c r="L914" s="17" t="n">
        <v>1</v>
      </c>
      <c r="M914" s="11" t="n">
        <v>1</v>
      </c>
      <c r="N914" s="17" t="n"/>
      <c r="O914" s="17" t="n"/>
      <c r="P914" s="17" t="n"/>
      <c r="Q914" s="17" t="n"/>
      <c r="R914" s="17" t="n"/>
      <c r="S914" s="17" t="n"/>
      <c r="T914" s="17" t="n"/>
      <c r="U914" s="17" t="n"/>
      <c r="V914" s="17" t="n"/>
      <c r="W914" s="17" t="n"/>
      <c r="X914" s="17" t="n"/>
      <c r="Y914" s="17" t="n">
        <v>1</v>
      </c>
      <c r="Z914" s="13">
        <f>SUMPRODUCT(N914:Y914,$N$2:$Y$2)*$K914*$L914*$M914</f>
        <v/>
      </c>
      <c r="AA914" s="14">
        <f>SUM(N914:Y914)</f>
        <v/>
      </c>
      <c r="AB914" s="14">
        <f>IFERROR(IF(UPPER($E914)="L",SUMPRODUCT(N914:Y914,$N$3:$Y$3,$N$2:$Y$2),SUMPRODUCT(N914:Y914,$N$4:$Y$4,$N$2:$Y$2))/(Z914/($K914*$L914*$M914)),"")</f>
        <v/>
      </c>
      <c r="AC914" s="18" t="n"/>
    </row>
    <row r="915">
      <c r="A915" s="9" t="n">
        <v>805795</v>
      </c>
      <c r="B915" s="9" t="inlineStr">
        <is>
          <t>Aidan Miller</t>
        </is>
      </c>
      <c r="C915" s="9" t="inlineStr">
        <is>
          <t>PHI</t>
        </is>
      </c>
      <c r="D915" s="9" t="n">
        <v>23</v>
      </c>
      <c r="E915" s="16" t="inlineStr">
        <is>
          <t>R</t>
        </is>
      </c>
      <c r="F915" s="16" t="n"/>
      <c r="G915" s="9" t="n">
        <v>3.948717948717949</v>
      </c>
      <c r="H915" s="9" t="n">
        <v>3.948717948717949</v>
      </c>
      <c r="I915" s="9" t="inlineStr">
        <is>
          <t>Full Time</t>
        </is>
      </c>
      <c r="J915" s="16" t="inlineStr">
        <is>
          <t>Early Season (~May)</t>
        </is>
      </c>
      <c r="K915" s="11">
        <f>IFERROR(INDEX(Roles!$B$17:$B$20,MATCH(J915,Roles!$A$17:$A$20,0)),1)</f>
        <v/>
      </c>
      <c r="L915" s="17" t="n">
        <v>1</v>
      </c>
      <c r="M915" s="11" t="n">
        <v>1</v>
      </c>
      <c r="N915" s="17" t="n">
        <v>0.47</v>
      </c>
      <c r="O915" s="17" t="n"/>
      <c r="P915" s="17" t="n">
        <v>0.25</v>
      </c>
      <c r="Q915" s="17" t="n"/>
      <c r="R915" s="17" t="n"/>
      <c r="S915" s="17" t="n"/>
      <c r="T915" s="17" t="n"/>
      <c r="U915" s="17" t="n"/>
      <c r="V915" s="17" t="n"/>
      <c r="W915" s="17" t="n">
        <v>0.28</v>
      </c>
      <c r="X915" s="17" t="n"/>
      <c r="Y915" s="17" t="n"/>
      <c r="Z915" s="13">
        <f>SUMPRODUCT(N915:Y915,$N$2:$Y$2)*$K915*$L915*$M915</f>
        <v/>
      </c>
      <c r="AA915" s="14">
        <f>SUM(N915:Y915)</f>
        <v/>
      </c>
      <c r="AB915" s="14">
        <f>IFERROR(IF(UPPER($E915)="L",SUMPRODUCT(N915:Y915,$N$3:$Y$3,$N$2:$Y$2),SUMPRODUCT(N915:Y915,$N$4:$Y$4,$N$2:$Y$2))/(Z915/($K915*$L915*$M915)),"")</f>
        <v/>
      </c>
      <c r="AC915" s="18" t="n"/>
    </row>
    <row r="916">
      <c r="A916" s="9" t="n">
        <v>808326</v>
      </c>
      <c r="B916" s="9" t="inlineStr">
        <is>
          <t>Pablo Guerrero</t>
        </is>
      </c>
      <c r="C916" s="9" t="inlineStr">
        <is>
          <t>TEX</t>
        </is>
      </c>
      <c r="D916" s="9" t="n">
        <v>25</v>
      </c>
      <c r="E916" s="16" t="inlineStr">
        <is>
          <t>R</t>
        </is>
      </c>
      <c r="F916" s="16" t="n"/>
      <c r="G916" s="9" t="n">
        <v>18.83076923076923</v>
      </c>
      <c r="H916" s="9" t="n">
        <v>18.83076923076923</v>
      </c>
      <c r="I916" s="9" t="inlineStr">
        <is>
          <t>Depth (no MLB PA)</t>
        </is>
      </c>
      <c r="J916" s="16" t="inlineStr">
        <is>
          <t>Opening Day</t>
        </is>
      </c>
      <c r="K916" s="11">
        <f>IFERROR(INDEX(Roles!$B$17:$B$20,MATCH(J916,Roles!$A$17:$A$20,0)),1)</f>
        <v/>
      </c>
      <c r="L916" s="17" t="n">
        <v>1</v>
      </c>
      <c r="M916" s="11" t="n">
        <v>1</v>
      </c>
      <c r="N916" s="17" t="n"/>
      <c r="O916" s="17" t="n"/>
      <c r="P916" s="17" t="n"/>
      <c r="Q916" s="17" t="n"/>
      <c r="R916" s="17" t="n"/>
      <c r="S916" s="17" t="n"/>
      <c r="T916" s="17" t="n"/>
      <c r="U916" s="17" t="n"/>
      <c r="V916" s="17" t="n"/>
      <c r="W916" s="17" t="n"/>
      <c r="X916" s="17" t="n"/>
      <c r="Y916" s="17" t="n">
        <v>1</v>
      </c>
      <c r="Z916" s="13">
        <f>SUMPRODUCT(N916:Y916,$N$2:$Y$2)*$K916*$L916*$M916</f>
        <v/>
      </c>
      <c r="AA916" s="14">
        <f>SUM(N916:Y916)</f>
        <v/>
      </c>
      <c r="AB916" s="14">
        <f>IFERROR(IF(UPPER($E916)="L",SUMPRODUCT(N916:Y916,$N$3:$Y$3,$N$2:$Y$2),SUMPRODUCT(N916:Y916,$N$4:$Y$4,$N$2:$Y$2))/(Z916/($K916*$L916*$M916)),"")</f>
        <v/>
      </c>
      <c r="AC916" s="18" t="n"/>
    </row>
    <row r="917">
      <c r="A917" s="9" t="n">
        <v>815268</v>
      </c>
      <c r="B917" s="9" t="inlineStr">
        <is>
          <t>Patrick Lee</t>
        </is>
      </c>
      <c r="C917" s="9" t="inlineStr">
        <is>
          <t>DET</t>
        </is>
      </c>
      <c r="D917" s="9" t="n">
        <v>25</v>
      </c>
      <c r="E917" s="16" t="inlineStr">
        <is>
          <t>R</t>
        </is>
      </c>
      <c r="F917" s="16" t="n"/>
      <c r="G917" s="9" t="n">
        <v>53.12820512820512</v>
      </c>
      <c r="H917" s="9" t="n">
        <v>53.12820512820512</v>
      </c>
      <c r="I917" s="9" t="inlineStr">
        <is>
          <t>Depth (no MLB PA)</t>
        </is>
      </c>
      <c r="J917" s="16" t="inlineStr">
        <is>
          <t>Opening Day</t>
        </is>
      </c>
      <c r="K917" s="11">
        <f>IFERROR(INDEX(Roles!$B$17:$B$20,MATCH(J917,Roles!$A$17:$A$20,0)),1)</f>
        <v/>
      </c>
      <c r="L917" s="17" t="n">
        <v>1</v>
      </c>
      <c r="M917" s="11" t="n">
        <v>1</v>
      </c>
      <c r="N917" s="17" t="n"/>
      <c r="O917" s="17" t="n"/>
      <c r="P917" s="17" t="n"/>
      <c r="Q917" s="17" t="n"/>
      <c r="R917" s="17" t="n"/>
      <c r="S917" s="17" t="n"/>
      <c r="T917" s="17" t="n"/>
      <c r="U917" s="17" t="n"/>
      <c r="V917" s="17" t="n"/>
      <c r="W917" s="17" t="n"/>
      <c r="X917" s="17" t="n"/>
      <c r="Y917" s="17" t="n">
        <v>1</v>
      </c>
      <c r="Z917" s="13">
        <f>SUMPRODUCT(N917:Y917,$N$2:$Y$2)*$K917*$L917*$M917</f>
        <v/>
      </c>
      <c r="AA917" s="14">
        <f>SUM(N917:Y917)</f>
        <v/>
      </c>
      <c r="AB917" s="14">
        <f>IFERROR(IF(UPPER($E917)="L",SUMPRODUCT(N917:Y917,$N$3:$Y$3,$N$2:$Y$2),SUMPRODUCT(N917:Y917,$N$4:$Y$4,$N$2:$Y$2))/(Z917/($K917*$L917*$M917)),"")</f>
        <v/>
      </c>
      <c r="AC917" s="18" t="n"/>
    </row>
    <row r="918">
      <c r="A918" s="9" t="n">
        <v>621493</v>
      </c>
      <c r="B918" s="9" t="inlineStr">
        <is>
          <t>Taylor Ward</t>
        </is>
      </c>
      <c r="C918" s="9" t="inlineStr">
        <is>
          <t>SEA</t>
        </is>
      </c>
      <c r="D918" s="9" t="n">
        <v>33</v>
      </c>
      <c r="E918" s="16" t="inlineStr">
        <is>
          <t>R</t>
        </is>
      </c>
      <c r="F918" s="16" t="inlineStr">
        <is>
          <t>LF</t>
        </is>
      </c>
      <c r="G918" s="9" t="n">
        <v>607</v>
      </c>
      <c r="H918" s="9" t="n">
        <v>2906</v>
      </c>
      <c r="I918" s="9" t="inlineStr">
        <is>
          <t>Full Time</t>
        </is>
      </c>
      <c r="J918" s="16" t="inlineStr">
        <is>
          <t>Opening Day</t>
        </is>
      </c>
      <c r="K918" s="11">
        <f>IFERROR(INDEX(Roles!$B$17:$B$20,MATCH(J918,Roles!$A$17:$A$20,0)),1)</f>
        <v/>
      </c>
      <c r="L918" s="17" t="n">
        <v>1</v>
      </c>
      <c r="M918" s="11" t="n">
        <v>1.126792300804764</v>
      </c>
      <c r="N918" s="17" t="n">
        <v>1</v>
      </c>
      <c r="O918" s="17" t="n"/>
      <c r="P918" s="17" t="n"/>
      <c r="Q918" s="17" t="n"/>
      <c r="R918" s="17" t="n"/>
      <c r="S918" s="17" t="n"/>
      <c r="T918" s="17" t="n"/>
      <c r="U918" s="17" t="n"/>
      <c r="V918" s="17" t="n"/>
      <c r="W918" s="17" t="n"/>
      <c r="X918" s="17" t="n"/>
      <c r="Y918" s="17" t="n"/>
      <c r="Z918" s="13">
        <f>SUMPRODUCT(N918:Y918,$N$2:$Y$2)*$K918*$L918*$M918</f>
        <v/>
      </c>
      <c r="AA918" s="14">
        <f>SUM(N918:Y918)</f>
        <v/>
      </c>
      <c r="AB918" s="14">
        <f>IFERROR(IF(UPPER($E918)="L",SUMPRODUCT(N918:Y918,$N$3:$Y$3,$N$2:$Y$2),SUMPRODUCT(N918:Y918,$N$4:$Y$4,$N$2:$Y$2))/(Z918/($K918*$L918*$M918)),"")</f>
        <v/>
      </c>
      <c r="AC918" s="18" t="n"/>
    </row>
    <row r="919">
      <c r="A919" s="9" t="n">
        <v>543939</v>
      </c>
      <c r="B919" s="9" t="inlineStr">
        <is>
          <t>Kolten Wong</t>
        </is>
      </c>
      <c r="C919" s="9" t="inlineStr">
        <is>
          <t>LAD</t>
        </is>
      </c>
      <c r="D919" s="9" t="n">
        <v>36</v>
      </c>
      <c r="E919" s="16" t="inlineStr">
        <is>
          <t>L</t>
        </is>
      </c>
      <c r="F919" s="16" t="inlineStr">
        <is>
          <t>2B</t>
        </is>
      </c>
      <c r="G919" s="9" t="n">
        <v>250</v>
      </c>
      <c r="H919" s="9" t="n">
        <v>747</v>
      </c>
      <c r="I919" s="9" t="inlineStr">
        <is>
          <t>Depth (no MLB PA)</t>
        </is>
      </c>
      <c r="J919" s="16" t="inlineStr">
        <is>
          <t>Opening Day</t>
        </is>
      </c>
      <c r="K919" s="11">
        <f>IFERROR(INDEX(Roles!$B$17:$B$20,MATCH(J919,Roles!$A$17:$A$20,0)),1)</f>
        <v/>
      </c>
      <c r="L919" s="17" t="n">
        <v>1</v>
      </c>
      <c r="M919" s="11" t="n">
        <v>1</v>
      </c>
      <c r="N919" s="17" t="n"/>
      <c r="O919" s="17" t="n"/>
      <c r="P919" s="17" t="n"/>
      <c r="Q919" s="17" t="n"/>
      <c r="R919" s="17" t="n"/>
      <c r="S919" s="17" t="n"/>
      <c r="T919" s="17" t="n"/>
      <c r="U919" s="17" t="n"/>
      <c r="V919" s="17" t="n"/>
      <c r="W919" s="17" t="n"/>
      <c r="X919" s="17" t="n"/>
      <c r="Y919" s="17" t="n">
        <v>1</v>
      </c>
      <c r="Z919" s="13">
        <f>SUMPRODUCT(N919:Y919,$N$2:$Y$2)*$K919*$L919*$M919</f>
        <v/>
      </c>
      <c r="AA919" s="14">
        <f>SUM(N919:Y919)</f>
        <v/>
      </c>
      <c r="AB919" s="14">
        <f>IFERROR(IF(UPPER($E919)="L",SUMPRODUCT(N919:Y919,$N$3:$Y$3,$N$2:$Y$2),SUMPRODUCT(N919:Y919,$N$4:$Y$4,$N$2:$Y$2))/(Z919/($K919*$L919*$M919)),"")</f>
        <v/>
      </c>
      <c r="AC919" s="18" t="n"/>
    </row>
    <row r="920">
      <c r="A920" s="9" t="n">
        <v>800741</v>
      </c>
      <c r="B920" s="9" t="inlineStr">
        <is>
          <t>Logan Maxwell</t>
        </is>
      </c>
      <c r="C920" s="9" t="inlineStr">
        <is>
          <t>NYY</t>
        </is>
      </c>
      <c r="D920" s="9" t="n">
        <v>25</v>
      </c>
      <c r="E920" s="16" t="inlineStr">
        <is>
          <t>L</t>
        </is>
      </c>
      <c r="F920" s="16" t="n"/>
      <c r="G920" s="9" t="n">
        <v>14.64615384615385</v>
      </c>
      <c r="H920" s="9" t="n">
        <v>14.64615384615385</v>
      </c>
      <c r="I920" s="9" t="inlineStr">
        <is>
          <t>Depth (no MLB PA)</t>
        </is>
      </c>
      <c r="J920" s="16" t="inlineStr">
        <is>
          <t>Opening Day</t>
        </is>
      </c>
      <c r="K920" s="11">
        <f>IFERROR(INDEX(Roles!$B$17:$B$20,MATCH(J920,Roles!$A$17:$A$20,0)),1)</f>
        <v/>
      </c>
      <c r="L920" s="17" t="n">
        <v>1</v>
      </c>
      <c r="M920" s="11" t="n">
        <v>1</v>
      </c>
      <c r="N920" s="17" t="n"/>
      <c r="O920" s="17" t="n"/>
      <c r="P920" s="17" t="n"/>
      <c r="Q920" s="17" t="n"/>
      <c r="R920" s="17" t="n"/>
      <c r="S920" s="17" t="n"/>
      <c r="T920" s="17" t="n"/>
      <c r="U920" s="17" t="n"/>
      <c r="V920" s="17" t="n"/>
      <c r="W920" s="17" t="n"/>
      <c r="X920" s="17" t="n"/>
      <c r="Y920" s="17" t="n">
        <v>1</v>
      </c>
      <c r="Z920" s="13">
        <f>SUMPRODUCT(N920:Y920,$N$2:$Y$2)*$K920*$L920*$M920</f>
        <v/>
      </c>
      <c r="AA920" s="14">
        <f>SUM(N920:Y920)</f>
        <v/>
      </c>
      <c r="AB920" s="14">
        <f>IFERROR(IF(UPPER($E920)="L",SUMPRODUCT(N920:Y920,$N$3:$Y$3,$N$2:$Y$2),SUMPRODUCT(N920:Y920,$N$4:$Y$4,$N$2:$Y$2))/(Z920/($K920*$L920*$M920)),"")</f>
        <v/>
      </c>
      <c r="AC920" s="18" t="n"/>
    </row>
    <row r="921">
      <c r="A921" s="9" t="n">
        <v>457705</v>
      </c>
      <c r="B921" s="9" t="inlineStr">
        <is>
          <t>Andrew McCutchen</t>
        </is>
      </c>
      <c r="C921" s="9" t="inlineStr">
        <is>
          <t>TEX</t>
        </is>
      </c>
      <c r="D921" s="9" t="n">
        <v>40</v>
      </c>
      <c r="E921" s="16" t="inlineStr">
        <is>
          <t>R</t>
        </is>
      </c>
      <c r="F921" s="16" t="inlineStr">
        <is>
          <t>RF</t>
        </is>
      </c>
      <c r="G921" s="9" t="n">
        <v>83</v>
      </c>
      <c r="H921" s="9" t="n">
        <v>2202</v>
      </c>
      <c r="I921" s="9" t="inlineStr">
        <is>
          <t>Full Time</t>
        </is>
      </c>
      <c r="J921" s="16" t="inlineStr">
        <is>
          <t>Opening Day</t>
        </is>
      </c>
      <c r="K921" s="11">
        <f>IFERROR(INDEX(Roles!$B$17:$B$20,MATCH(J921,Roles!$A$17:$A$20,0)),1)</f>
        <v/>
      </c>
      <c r="L921" s="17" t="n">
        <v>1</v>
      </c>
      <c r="M921" s="11" t="n">
        <v>0.7834107849192252</v>
      </c>
      <c r="N921" s="17" t="n">
        <v>1</v>
      </c>
      <c r="O921" s="17" t="n"/>
      <c r="P921" s="17" t="n"/>
      <c r="Q921" s="17" t="n"/>
      <c r="R921" s="17" t="n"/>
      <c r="S921" s="17" t="n"/>
      <c r="T921" s="17" t="n"/>
      <c r="U921" s="17" t="n"/>
      <c r="V921" s="17" t="n"/>
      <c r="W921" s="17" t="n"/>
      <c r="X921" s="17" t="n"/>
      <c r="Y921" s="17" t="n"/>
      <c r="Z921" s="13">
        <f>SUMPRODUCT(N921:Y921,$N$2:$Y$2)*$K921*$L921*$M921</f>
        <v/>
      </c>
      <c r="AA921" s="14">
        <f>SUM(N921:Y921)</f>
        <v/>
      </c>
      <c r="AB921" s="14">
        <f>IFERROR(IF(UPPER($E921)="L",SUMPRODUCT(N921:Y921,$N$3:$Y$3,$N$2:$Y$2),SUMPRODUCT(N921:Y921,$N$4:$Y$4,$N$2:$Y$2))/(Z921/($K921*$L921*$M921)),"")</f>
        <v/>
      </c>
      <c r="AC921" s="18" t="n"/>
    </row>
    <row r="922">
      <c r="A922" s="9" t="n">
        <v>800313</v>
      </c>
      <c r="B922" s="9" t="inlineStr">
        <is>
          <t>Alejandro Rios</t>
        </is>
      </c>
      <c r="C922" s="9" t="inlineStr">
        <is>
          <t>ARI</t>
        </is>
      </c>
      <c r="D922" s="9" t="n">
        <v>25</v>
      </c>
      <c r="E922" s="16" t="inlineStr">
        <is>
          <t>R</t>
        </is>
      </c>
      <c r="F922" s="16" t="n"/>
      <c r="G922" s="9" t="n">
        <v>3.938461538461538</v>
      </c>
      <c r="H922" s="9" t="n">
        <v>3.938461538461538</v>
      </c>
      <c r="I922" s="9" t="inlineStr">
        <is>
          <t>Depth (no MLB PA)</t>
        </is>
      </c>
      <c r="J922" s="16" t="inlineStr">
        <is>
          <t>Opening Day</t>
        </is>
      </c>
      <c r="K922" s="11">
        <f>IFERROR(INDEX(Roles!$B$17:$B$20,MATCH(J922,Roles!$A$17:$A$20,0)),1)</f>
        <v/>
      </c>
      <c r="L922" s="17" t="n">
        <v>1</v>
      </c>
      <c r="M922" s="11" t="n">
        <v>1</v>
      </c>
      <c r="N922" s="17" t="n"/>
      <c r="O922" s="17" t="n"/>
      <c r="P922" s="17" t="n"/>
      <c r="Q922" s="17" t="n"/>
      <c r="R922" s="17" t="n"/>
      <c r="S922" s="17" t="n"/>
      <c r="T922" s="17" t="n"/>
      <c r="U922" s="17" t="n"/>
      <c r="V922" s="17" t="n"/>
      <c r="W922" s="17" t="n"/>
      <c r="X922" s="17" t="n"/>
      <c r="Y922" s="17" t="n">
        <v>1</v>
      </c>
      <c r="Z922" s="13">
        <f>SUMPRODUCT(N922:Y922,$N$2:$Y$2)*$K922*$L922*$M922</f>
        <v/>
      </c>
      <c r="AA922" s="14">
        <f>SUM(N922:Y922)</f>
        <v/>
      </c>
      <c r="AB922" s="14">
        <f>IFERROR(IF(UPPER($E922)="L",SUMPRODUCT(N922:Y922,$N$3:$Y$3,$N$2:$Y$2),SUMPRODUCT(N922:Y922,$N$4:$Y$4,$N$2:$Y$2))/(Z922/($K922*$L922*$M922)),"")</f>
        <v/>
      </c>
      <c r="AC922" s="18" t="n"/>
    </row>
    <row r="923">
      <c r="A923" s="9" t="n">
        <v>815928</v>
      </c>
      <c r="B923" s="9" t="inlineStr">
        <is>
          <t>Edward Lantigua</t>
        </is>
      </c>
      <c r="C923" s="9" t="inlineStr">
        <is>
          <t>NYM</t>
        </is>
      </c>
      <c r="D923" s="9" t="n">
        <v>25</v>
      </c>
      <c r="E923" s="16" t="inlineStr">
        <is>
          <t>R</t>
        </is>
      </c>
      <c r="F923" s="16" t="n"/>
      <c r="G923" s="9" t="n">
        <v>3.938461538461538</v>
      </c>
      <c r="H923" s="9" t="n">
        <v>3.938461538461538</v>
      </c>
      <c r="I923" s="9" t="inlineStr">
        <is>
          <t>Depth (no MLB PA)</t>
        </is>
      </c>
      <c r="J923" s="16" t="inlineStr">
        <is>
          <t>Opening Day</t>
        </is>
      </c>
      <c r="K923" s="11">
        <f>IFERROR(INDEX(Roles!$B$17:$B$20,MATCH(J923,Roles!$A$17:$A$20,0)),1)</f>
        <v/>
      </c>
      <c r="L923" s="17" t="n">
        <v>1</v>
      </c>
      <c r="M923" s="11" t="n">
        <v>1</v>
      </c>
      <c r="N923" s="17" t="n"/>
      <c r="O923" s="17" t="n"/>
      <c r="P923" s="17" t="n"/>
      <c r="Q923" s="17" t="n"/>
      <c r="R923" s="17" t="n"/>
      <c r="S923" s="17" t="n"/>
      <c r="T923" s="17" t="n"/>
      <c r="U923" s="17" t="n"/>
      <c r="V923" s="17" t="n"/>
      <c r="W923" s="17" t="n"/>
      <c r="X923" s="17" t="n"/>
      <c r="Y923" s="17" t="n">
        <v>1</v>
      </c>
      <c r="Z923" s="13">
        <f>SUMPRODUCT(N923:Y923,$N$2:$Y$2)*$K923*$L923*$M923</f>
        <v/>
      </c>
      <c r="AA923" s="14">
        <f>SUM(N923:Y923)</f>
        <v/>
      </c>
      <c r="AB923" s="14">
        <f>IFERROR(IF(UPPER($E923)="L",SUMPRODUCT(N923:Y923,$N$3:$Y$3,$N$2:$Y$2),SUMPRODUCT(N923:Y923,$N$4:$Y$4,$N$2:$Y$2))/(Z923/($K923*$L923*$M923)),"")</f>
        <v/>
      </c>
      <c r="AC923" s="18" t="n"/>
    </row>
    <row r="924">
      <c r="A924" s="9" t="n">
        <v>800209</v>
      </c>
      <c r="B924" s="9" t="inlineStr">
        <is>
          <t>Estuar Suero</t>
        </is>
      </c>
      <c r="C924" s="9" t="inlineStr">
        <is>
          <t>PIT</t>
        </is>
      </c>
      <c r="D924" s="9" t="n">
        <v>25</v>
      </c>
      <c r="E924" s="16" t="inlineStr">
        <is>
          <t>S</t>
        </is>
      </c>
      <c r="F924" s="16" t="n"/>
      <c r="G924" s="9" t="n">
        <v>6.030769230769231</v>
      </c>
      <c r="H924" s="9" t="n">
        <v>6.030769230769231</v>
      </c>
      <c r="I924" s="9" t="inlineStr">
        <is>
          <t>Depth (no MLB PA)</t>
        </is>
      </c>
      <c r="J924" s="16" t="inlineStr">
        <is>
          <t>Opening Day</t>
        </is>
      </c>
      <c r="K924" s="11">
        <f>IFERROR(INDEX(Roles!$B$17:$B$20,MATCH(J924,Roles!$A$17:$A$20,0)),1)</f>
        <v/>
      </c>
      <c r="L924" s="17" t="n">
        <v>1</v>
      </c>
      <c r="M924" s="11" t="n">
        <v>1</v>
      </c>
      <c r="N924" s="17" t="n"/>
      <c r="O924" s="17" t="n"/>
      <c r="P924" s="17" t="n"/>
      <c r="Q924" s="17" t="n"/>
      <c r="R924" s="17" t="n"/>
      <c r="S924" s="17" t="n"/>
      <c r="T924" s="17" t="n"/>
      <c r="U924" s="17" t="n"/>
      <c r="V924" s="17" t="n"/>
      <c r="W924" s="17" t="n"/>
      <c r="X924" s="17" t="n"/>
      <c r="Y924" s="17" t="n">
        <v>1</v>
      </c>
      <c r="Z924" s="13">
        <f>SUMPRODUCT(N924:Y924,$N$2:$Y$2)*$K924*$L924*$M924</f>
        <v/>
      </c>
      <c r="AA924" s="14">
        <f>SUM(N924:Y924)</f>
        <v/>
      </c>
      <c r="AB924" s="14">
        <f>IFERROR(IF(UPPER($E924)="L",SUMPRODUCT(N924:Y924,$N$3:$Y$3,$N$2:$Y$2),SUMPRODUCT(N924:Y924,$N$4:$Y$4,$N$2:$Y$2))/(Z924/($K924*$L924*$M924)),"")</f>
        <v/>
      </c>
      <c r="AC924" s="18" t="n"/>
    </row>
    <row r="925">
      <c r="A925" s="9" t="n">
        <v>807649</v>
      </c>
      <c r="B925" s="9" t="inlineStr">
        <is>
          <t>Yeycol Soriano</t>
        </is>
      </c>
      <c r="C925" s="9" t="inlineStr">
        <is>
          <t>CIN</t>
        </is>
      </c>
      <c r="D925" s="9" t="n">
        <v>25</v>
      </c>
      <c r="E925" s="16" t="inlineStr">
        <is>
          <t>L</t>
        </is>
      </c>
      <c r="F925" s="16" t="n"/>
      <c r="G925" s="9" t="n">
        <v>3.938461538461538</v>
      </c>
      <c r="H925" s="9" t="n">
        <v>3.938461538461538</v>
      </c>
      <c r="I925" s="9" t="inlineStr">
        <is>
          <t>Depth (no MLB PA)</t>
        </is>
      </c>
      <c r="J925" s="16" t="inlineStr">
        <is>
          <t>Opening Day</t>
        </is>
      </c>
      <c r="K925" s="11">
        <f>IFERROR(INDEX(Roles!$B$17:$B$20,MATCH(J925,Roles!$A$17:$A$20,0)),1)</f>
        <v/>
      </c>
      <c r="L925" s="17" t="n">
        <v>1</v>
      </c>
      <c r="M925" s="11" t="n">
        <v>1</v>
      </c>
      <c r="N925" s="17" t="n"/>
      <c r="O925" s="17" t="n"/>
      <c r="P925" s="17" t="n"/>
      <c r="Q925" s="17" t="n"/>
      <c r="R925" s="17" t="n"/>
      <c r="S925" s="17" t="n"/>
      <c r="T925" s="17" t="n"/>
      <c r="U925" s="17" t="n"/>
      <c r="V925" s="17" t="n"/>
      <c r="W925" s="17" t="n"/>
      <c r="X925" s="17" t="n"/>
      <c r="Y925" s="17" t="n">
        <v>1</v>
      </c>
      <c r="Z925" s="13">
        <f>SUMPRODUCT(N925:Y925,$N$2:$Y$2)*$K925*$L925*$M925</f>
        <v/>
      </c>
      <c r="AA925" s="14">
        <f>SUM(N925:Y925)</f>
        <v/>
      </c>
      <c r="AB925" s="14">
        <f>IFERROR(IF(UPPER($E925)="L",SUMPRODUCT(N925:Y925,$N$3:$Y$3,$N$2:$Y$2),SUMPRODUCT(N925:Y925,$N$4:$Y$4,$N$2:$Y$2))/(Z925/($K925*$L925*$M925)),"")</f>
        <v/>
      </c>
      <c r="AC925" s="18" t="n"/>
    </row>
    <row r="926">
      <c r="A926" s="9" t="n">
        <v>702662</v>
      </c>
      <c r="B926" s="9" t="inlineStr">
        <is>
          <t>Dylan Dreiling</t>
        </is>
      </c>
      <c r="C926" s="9" t="inlineStr">
        <is>
          <t>TEX</t>
        </is>
      </c>
      <c r="D926" s="9" t="n">
        <v>24</v>
      </c>
      <c r="E926" s="16" t="inlineStr">
        <is>
          <t>L</t>
        </is>
      </c>
      <c r="F926" s="16" t="n"/>
      <c r="G926" s="9" t="n">
        <v>190.6153846153846</v>
      </c>
      <c r="H926" s="9" t="n">
        <v>190.6153846153846</v>
      </c>
      <c r="I926" s="9" t="inlineStr">
        <is>
          <t>Depth (no MLB PA)</t>
        </is>
      </c>
      <c r="J926" s="16" t="inlineStr">
        <is>
          <t>Opening Day</t>
        </is>
      </c>
      <c r="K926" s="11">
        <f>IFERROR(INDEX(Roles!$B$17:$B$20,MATCH(J926,Roles!$A$17:$A$20,0)),1)</f>
        <v/>
      </c>
      <c r="L926" s="17" t="n">
        <v>1</v>
      </c>
      <c r="M926" s="11" t="n">
        <v>1</v>
      </c>
      <c r="N926" s="17" t="n"/>
      <c r="O926" s="17" t="n"/>
      <c r="P926" s="17" t="n"/>
      <c r="Q926" s="17" t="n"/>
      <c r="R926" s="17" t="n"/>
      <c r="S926" s="17" t="n"/>
      <c r="T926" s="17" t="n"/>
      <c r="U926" s="17" t="n"/>
      <c r="V926" s="17" t="n"/>
      <c r="W926" s="17" t="n"/>
      <c r="X926" s="17" t="n"/>
      <c r="Y926" s="17" t="n">
        <v>1</v>
      </c>
      <c r="Z926" s="13">
        <f>SUMPRODUCT(N926:Y926,$N$2:$Y$2)*$K926*$L926*$M926</f>
        <v/>
      </c>
      <c r="AA926" s="14">
        <f>SUM(N926:Y926)</f>
        <v/>
      </c>
      <c r="AB926" s="14">
        <f>IFERROR(IF(UPPER($E926)="L",SUMPRODUCT(N926:Y926,$N$3:$Y$3,$N$2:$Y$2),SUMPRODUCT(N926:Y926,$N$4:$Y$4,$N$2:$Y$2))/(Z926/($K926*$L926*$M926)),"")</f>
        <v/>
      </c>
      <c r="AC926" s="18" t="n"/>
    </row>
    <row r="927">
      <c r="A927" s="9" t="n">
        <v>687625</v>
      </c>
      <c r="B927" s="9" t="inlineStr">
        <is>
          <t>Kai Murphy</t>
        </is>
      </c>
      <c r="C927" s="9" t="inlineStr">
        <is>
          <t>SD</t>
        </is>
      </c>
      <c r="D927" s="9" t="n">
        <v>25</v>
      </c>
      <c r="E927" s="16" t="inlineStr">
        <is>
          <t>L</t>
        </is>
      </c>
      <c r="F927" s="16" t="n"/>
      <c r="G927" s="9" t="n">
        <v>3.948717948717949</v>
      </c>
      <c r="H927" s="9" t="n">
        <v>3.948717948717949</v>
      </c>
      <c r="I927" s="9" t="inlineStr">
        <is>
          <t>Depth (no MLB PA)</t>
        </is>
      </c>
      <c r="J927" s="16" t="inlineStr">
        <is>
          <t>Opening Day</t>
        </is>
      </c>
      <c r="K927" s="11">
        <f>IFERROR(INDEX(Roles!$B$17:$B$20,MATCH(J927,Roles!$A$17:$A$20,0)),1)</f>
        <v/>
      </c>
      <c r="L927" s="17" t="n">
        <v>1</v>
      </c>
      <c r="M927" s="11" t="n">
        <v>1</v>
      </c>
      <c r="N927" s="17" t="n"/>
      <c r="O927" s="17" t="n"/>
      <c r="P927" s="17" t="n"/>
      <c r="Q927" s="17" t="n"/>
      <c r="R927" s="17" t="n"/>
      <c r="S927" s="17" t="n"/>
      <c r="T927" s="17" t="n"/>
      <c r="U927" s="17" t="n"/>
      <c r="V927" s="17" t="n"/>
      <c r="W927" s="17" t="n"/>
      <c r="X927" s="17" t="n"/>
      <c r="Y927" s="17" t="n">
        <v>1</v>
      </c>
      <c r="Z927" s="13">
        <f>SUMPRODUCT(N927:Y927,$N$2:$Y$2)*$K927*$L927*$M927</f>
        <v/>
      </c>
      <c r="AA927" s="14">
        <f>SUM(N927:Y927)</f>
        <v/>
      </c>
      <c r="AB927" s="14">
        <f>IFERROR(IF(UPPER($E927)="L",SUMPRODUCT(N927:Y927,$N$3:$Y$3,$N$2:$Y$2),SUMPRODUCT(N927:Y927,$N$4:$Y$4,$N$2:$Y$2))/(Z927/($K927*$L927*$M927)),"")</f>
        <v/>
      </c>
      <c r="AC927" s="18" t="n"/>
    </row>
    <row r="928">
      <c r="A928" s="9" t="n">
        <v>821296</v>
      </c>
      <c r="B928" s="9" t="inlineStr">
        <is>
          <t>Connor McGinnis</t>
        </is>
      </c>
      <c r="C928" s="9" t="inlineStr">
        <is>
          <t>NYY</t>
        </is>
      </c>
      <c r="D928" s="9" t="n">
        <v>25</v>
      </c>
      <c r="E928" s="16" t="inlineStr">
        <is>
          <t>L</t>
        </is>
      </c>
      <c r="F928" s="16" t="n"/>
      <c r="G928" s="9" t="n">
        <v>3.948717948717949</v>
      </c>
      <c r="H928" s="9" t="n">
        <v>3.948717948717949</v>
      </c>
      <c r="I928" s="9" t="inlineStr">
        <is>
          <t>Depth (no MLB PA)</t>
        </is>
      </c>
      <c r="J928" s="16" t="inlineStr">
        <is>
          <t>Opening Day</t>
        </is>
      </c>
      <c r="K928" s="11">
        <f>IFERROR(INDEX(Roles!$B$17:$B$20,MATCH(J928,Roles!$A$17:$A$20,0)),1)</f>
        <v/>
      </c>
      <c r="L928" s="17" t="n">
        <v>1</v>
      </c>
      <c r="M928" s="11" t="n">
        <v>1</v>
      </c>
      <c r="N928" s="17" t="n"/>
      <c r="O928" s="17" t="n"/>
      <c r="P928" s="17" t="n"/>
      <c r="Q928" s="17" t="n"/>
      <c r="R928" s="17" t="n"/>
      <c r="S928" s="17" t="n"/>
      <c r="T928" s="17" t="n"/>
      <c r="U928" s="17" t="n"/>
      <c r="V928" s="17" t="n"/>
      <c r="W928" s="17" t="n"/>
      <c r="X928" s="17" t="n"/>
      <c r="Y928" s="17" t="n">
        <v>1</v>
      </c>
      <c r="Z928" s="13">
        <f>SUMPRODUCT(N928:Y928,$N$2:$Y$2)*$K928*$L928*$M928</f>
        <v/>
      </c>
      <c r="AA928" s="14">
        <f>SUM(N928:Y928)</f>
        <v/>
      </c>
      <c r="AB928" s="14">
        <f>IFERROR(IF(UPPER($E928)="L",SUMPRODUCT(N928:Y928,$N$3:$Y$3,$N$2:$Y$2),SUMPRODUCT(N928:Y928,$N$4:$Y$4,$N$2:$Y$2))/(Z928/($K928*$L928*$M928)),"")</f>
        <v/>
      </c>
      <c r="AC928" s="18" t="n"/>
    </row>
    <row r="929">
      <c r="A929" s="9" t="n">
        <v>695023</v>
      </c>
      <c r="B929" s="9" t="inlineStr">
        <is>
          <t>Eddie Park</t>
        </is>
      </c>
      <c r="C929" s="9" t="inlineStr">
        <is>
          <t>CWS</t>
        </is>
      </c>
      <c r="D929" s="9" t="n">
        <v>25</v>
      </c>
      <c r="E929" s="16" t="inlineStr">
        <is>
          <t>L</t>
        </is>
      </c>
      <c r="F929" s="16" t="n"/>
      <c r="G929" s="9" t="n">
        <v>3.948717948717949</v>
      </c>
      <c r="H929" s="9" t="n">
        <v>3.948717948717949</v>
      </c>
      <c r="I929" s="9" t="inlineStr">
        <is>
          <t>Depth (no MLB PA)</t>
        </is>
      </c>
      <c r="J929" s="16" t="inlineStr">
        <is>
          <t>Opening Day</t>
        </is>
      </c>
      <c r="K929" s="11">
        <f>IFERROR(INDEX(Roles!$B$17:$B$20,MATCH(J929,Roles!$A$17:$A$20,0)),1)</f>
        <v/>
      </c>
      <c r="L929" s="17" t="n">
        <v>1</v>
      </c>
      <c r="M929" s="11" t="n">
        <v>1</v>
      </c>
      <c r="N929" s="17" t="n"/>
      <c r="O929" s="17" t="n"/>
      <c r="P929" s="17" t="n"/>
      <c r="Q929" s="17" t="n"/>
      <c r="R929" s="17" t="n"/>
      <c r="S929" s="17" t="n"/>
      <c r="T929" s="17" t="n"/>
      <c r="U929" s="17" t="n"/>
      <c r="V929" s="17" t="n"/>
      <c r="W929" s="17" t="n"/>
      <c r="X929" s="17" t="n"/>
      <c r="Y929" s="17" t="n">
        <v>1</v>
      </c>
      <c r="Z929" s="13">
        <f>SUMPRODUCT(N929:Y929,$N$2:$Y$2)*$K929*$L929*$M929</f>
        <v/>
      </c>
      <c r="AA929" s="14">
        <f>SUM(N929:Y929)</f>
        <v/>
      </c>
      <c r="AB929" s="14">
        <f>IFERROR(IF(UPPER($E929)="L",SUMPRODUCT(N929:Y929,$N$3:$Y$3,$N$2:$Y$2),SUMPRODUCT(N929:Y929,$N$4:$Y$4,$N$2:$Y$2))/(Z929/($K929*$L929*$M929)),"")</f>
        <v/>
      </c>
      <c r="AC929" s="18" t="n"/>
    </row>
    <row r="930">
      <c r="A930" s="9" t="n">
        <v>808553</v>
      </c>
      <c r="B930" s="9" t="inlineStr">
        <is>
          <t>John Estevez</t>
        </is>
      </c>
      <c r="C930" s="9" t="inlineStr">
        <is>
          <t>ATL</t>
        </is>
      </c>
      <c r="D930" s="9" t="n">
        <v>25</v>
      </c>
      <c r="E930" s="16" t="inlineStr">
        <is>
          <t>L</t>
        </is>
      </c>
      <c r="F930" s="16" t="n"/>
      <c r="G930" s="9" t="n">
        <v>3.897435897435898</v>
      </c>
      <c r="H930" s="9" t="n">
        <v>3.897435897435898</v>
      </c>
      <c r="I930" s="9" t="inlineStr">
        <is>
          <t>Depth (no MLB PA)</t>
        </is>
      </c>
      <c r="J930" s="16" t="inlineStr">
        <is>
          <t>Opening Day</t>
        </is>
      </c>
      <c r="K930" s="11">
        <f>IFERROR(INDEX(Roles!$B$17:$B$20,MATCH(J930,Roles!$A$17:$A$20,0)),1)</f>
        <v/>
      </c>
      <c r="L930" s="17" t="n">
        <v>1</v>
      </c>
      <c r="M930" s="11" t="n">
        <v>1</v>
      </c>
      <c r="N930" s="17" t="n"/>
      <c r="O930" s="17" t="n"/>
      <c r="P930" s="17" t="n"/>
      <c r="Q930" s="17" t="n"/>
      <c r="R930" s="17" t="n"/>
      <c r="S930" s="17" t="n"/>
      <c r="T930" s="17" t="n"/>
      <c r="U930" s="17" t="n"/>
      <c r="V930" s="17" t="n"/>
      <c r="W930" s="17" t="n"/>
      <c r="X930" s="17" t="n"/>
      <c r="Y930" s="17" t="n">
        <v>1</v>
      </c>
      <c r="Z930" s="13">
        <f>SUMPRODUCT(N930:Y930,$N$2:$Y$2)*$K930*$L930*$M930</f>
        <v/>
      </c>
      <c r="AA930" s="14">
        <f>SUM(N930:Y930)</f>
        <v/>
      </c>
      <c r="AB930" s="14">
        <f>IFERROR(IF(UPPER($E930)="L",SUMPRODUCT(N930:Y930,$N$3:$Y$3,$N$2:$Y$2),SUMPRODUCT(N930:Y930,$N$4:$Y$4,$N$2:$Y$2))/(Z930/($K930*$L930*$M930)),"")</f>
        <v/>
      </c>
      <c r="AC930" s="18" t="n"/>
    </row>
    <row r="931">
      <c r="A931" s="9" t="n">
        <v>671272</v>
      </c>
      <c r="B931" s="9" t="inlineStr">
        <is>
          <t>David García</t>
        </is>
      </c>
      <c r="C931" s="9" t="inlineStr">
        <is>
          <t>MIL</t>
        </is>
      </c>
      <c r="D931" s="9" t="n">
        <v>25</v>
      </c>
      <c r="E931" s="16" t="inlineStr">
        <is>
          <t>S</t>
        </is>
      </c>
      <c r="F931" s="16" t="n"/>
      <c r="G931" s="9" t="n">
        <v>20.82051282051282</v>
      </c>
      <c r="H931" s="9" t="n">
        <v>20.82051282051282</v>
      </c>
      <c r="I931" s="9" t="inlineStr">
        <is>
          <t>Depth (no MLB PA)</t>
        </is>
      </c>
      <c r="J931" s="16" t="inlineStr">
        <is>
          <t>Opening Day</t>
        </is>
      </c>
      <c r="K931" s="11">
        <f>IFERROR(INDEX(Roles!$B$17:$B$20,MATCH(J931,Roles!$A$17:$A$20,0)),1)</f>
        <v/>
      </c>
      <c r="L931" s="17" t="n">
        <v>1</v>
      </c>
      <c r="M931" s="11" t="n">
        <v>1</v>
      </c>
      <c r="N931" s="17" t="n"/>
      <c r="O931" s="17" t="n"/>
      <c r="P931" s="17" t="n"/>
      <c r="Q931" s="17" t="n"/>
      <c r="R931" s="17" t="n"/>
      <c r="S931" s="17" t="n"/>
      <c r="T931" s="17" t="n"/>
      <c r="U931" s="17" t="n"/>
      <c r="V931" s="17" t="n"/>
      <c r="W931" s="17" t="n"/>
      <c r="X931" s="17" t="n"/>
      <c r="Y931" s="17" t="n">
        <v>1</v>
      </c>
      <c r="Z931" s="13">
        <f>SUMPRODUCT(N931:Y931,$N$2:$Y$2)*$K931*$L931*$M931</f>
        <v/>
      </c>
      <c r="AA931" s="14">
        <f>SUM(N931:Y931)</f>
        <v/>
      </c>
      <c r="AB931" s="14">
        <f>IFERROR(IF(UPPER($E931)="L",SUMPRODUCT(N931:Y931,$N$3:$Y$3,$N$2:$Y$2),SUMPRODUCT(N931:Y931,$N$4:$Y$4,$N$2:$Y$2))/(Z931/($K931*$L931*$M931)),"")</f>
        <v/>
      </c>
      <c r="AC931" s="18" t="n"/>
    </row>
    <row r="932">
      <c r="A932" s="9" t="n">
        <v>702276</v>
      </c>
      <c r="B932" s="9" t="inlineStr">
        <is>
          <t>Carsten Sabathia III</t>
        </is>
      </c>
      <c r="C932" s="9" t="inlineStr">
        <is>
          <t>MIL</t>
        </is>
      </c>
      <c r="D932" s="9" t="n">
        <v>25</v>
      </c>
      <c r="E932" s="16" t="inlineStr">
        <is>
          <t>R</t>
        </is>
      </c>
      <c r="F932" s="16" t="n"/>
      <c r="G932" s="9" t="n">
        <v>10.33846153846154</v>
      </c>
      <c r="H932" s="9" t="n">
        <v>10.33846153846154</v>
      </c>
      <c r="I932" s="9" t="inlineStr">
        <is>
          <t>Depth (no MLB PA)</t>
        </is>
      </c>
      <c r="J932" s="16" t="inlineStr">
        <is>
          <t>Opening Day</t>
        </is>
      </c>
      <c r="K932" s="11">
        <f>IFERROR(INDEX(Roles!$B$17:$B$20,MATCH(J932,Roles!$A$17:$A$20,0)),1)</f>
        <v/>
      </c>
      <c r="L932" s="17" t="n">
        <v>1</v>
      </c>
      <c r="M932" s="11" t="n">
        <v>1</v>
      </c>
      <c r="N932" s="17" t="n"/>
      <c r="O932" s="17" t="n"/>
      <c r="P932" s="17" t="n"/>
      <c r="Q932" s="17" t="n"/>
      <c r="R932" s="17" t="n"/>
      <c r="S932" s="17" t="n"/>
      <c r="T932" s="17" t="n"/>
      <c r="U932" s="17" t="n"/>
      <c r="V932" s="17" t="n"/>
      <c r="W932" s="17" t="n"/>
      <c r="X932" s="17" t="n"/>
      <c r="Y932" s="17" t="n">
        <v>1</v>
      </c>
      <c r="Z932" s="13">
        <f>SUMPRODUCT(N932:Y932,$N$2:$Y$2)*$K932*$L932*$M932</f>
        <v/>
      </c>
      <c r="AA932" s="14">
        <f>SUM(N932:Y932)</f>
        <v/>
      </c>
      <c r="AB932" s="14">
        <f>IFERROR(IF(UPPER($E932)="L",SUMPRODUCT(N932:Y932,$N$3:$Y$3,$N$2:$Y$2),SUMPRODUCT(N932:Y932,$N$4:$Y$4,$N$2:$Y$2))/(Z932/($K932*$L932*$M932)),"")</f>
        <v/>
      </c>
      <c r="AC932" s="18" t="n"/>
    </row>
    <row r="933">
      <c r="A933" s="9" t="n">
        <v>821199</v>
      </c>
      <c r="B933" s="9" t="inlineStr">
        <is>
          <t>Moises Polanco</t>
        </is>
      </c>
      <c r="C933" s="9" t="inlineStr">
        <is>
          <t>MIL</t>
        </is>
      </c>
      <c r="D933" s="9" t="n">
        <v>25</v>
      </c>
      <c r="E933" s="16" t="inlineStr">
        <is>
          <t>R</t>
        </is>
      </c>
      <c r="F933" s="16" t="n"/>
      <c r="G933" s="9" t="n">
        <v>3.938461538461538</v>
      </c>
      <c r="H933" s="9" t="n">
        <v>3.938461538461538</v>
      </c>
      <c r="I933" s="9" t="inlineStr">
        <is>
          <t>Depth (no MLB PA)</t>
        </is>
      </c>
      <c r="J933" s="16" t="inlineStr">
        <is>
          <t>Opening Day</t>
        </is>
      </c>
      <c r="K933" s="11">
        <f>IFERROR(INDEX(Roles!$B$17:$B$20,MATCH(J933,Roles!$A$17:$A$20,0)),1)</f>
        <v/>
      </c>
      <c r="L933" s="17" t="n">
        <v>1</v>
      </c>
      <c r="M933" s="11" t="n">
        <v>1</v>
      </c>
      <c r="N933" s="17" t="n"/>
      <c r="O933" s="17" t="n"/>
      <c r="P933" s="17" t="n"/>
      <c r="Q933" s="17" t="n"/>
      <c r="R933" s="17" t="n"/>
      <c r="S933" s="17" t="n"/>
      <c r="T933" s="17" t="n"/>
      <c r="U933" s="17" t="n"/>
      <c r="V933" s="17" t="n"/>
      <c r="W933" s="17" t="n"/>
      <c r="X933" s="17" t="n"/>
      <c r="Y933" s="17" t="n">
        <v>1</v>
      </c>
      <c r="Z933" s="13">
        <f>SUMPRODUCT(N933:Y933,$N$2:$Y$2)*$K933*$L933*$M933</f>
        <v/>
      </c>
      <c r="AA933" s="14">
        <f>SUM(N933:Y933)</f>
        <v/>
      </c>
      <c r="AB933" s="14">
        <f>IFERROR(IF(UPPER($E933)="L",SUMPRODUCT(N933:Y933,$N$3:$Y$3,$N$2:$Y$2),SUMPRODUCT(N933:Y933,$N$4:$Y$4,$N$2:$Y$2))/(Z933/($K933*$L933*$M933)),"")</f>
        <v/>
      </c>
      <c r="AC933" s="18" t="n"/>
    </row>
    <row r="934">
      <c r="A934" s="9" t="n">
        <v>821101</v>
      </c>
      <c r="B934" s="9" t="inlineStr">
        <is>
          <t>Ezequiel Pena</t>
        </is>
      </c>
      <c r="C934" s="9" t="inlineStr">
        <is>
          <t>CHC</t>
        </is>
      </c>
      <c r="D934" s="9" t="n">
        <v>25</v>
      </c>
      <c r="E934" s="16" t="inlineStr">
        <is>
          <t>L</t>
        </is>
      </c>
      <c r="F934" s="16" t="n"/>
      <c r="G934" s="9" t="n">
        <v>3.938461538461538</v>
      </c>
      <c r="H934" s="9" t="n">
        <v>3.938461538461538</v>
      </c>
      <c r="I934" s="9" t="inlineStr">
        <is>
          <t>Depth (no MLB PA)</t>
        </is>
      </c>
      <c r="J934" s="16" t="inlineStr">
        <is>
          <t>Opening Day</t>
        </is>
      </c>
      <c r="K934" s="11">
        <f>IFERROR(INDEX(Roles!$B$17:$B$20,MATCH(J934,Roles!$A$17:$A$20,0)),1)</f>
        <v/>
      </c>
      <c r="L934" s="17" t="n">
        <v>1</v>
      </c>
      <c r="M934" s="11" t="n">
        <v>1</v>
      </c>
      <c r="N934" s="17" t="n"/>
      <c r="O934" s="17" t="n"/>
      <c r="P934" s="17" t="n"/>
      <c r="Q934" s="17" t="n"/>
      <c r="R934" s="17" t="n"/>
      <c r="S934" s="17" t="n"/>
      <c r="T934" s="17" t="n"/>
      <c r="U934" s="17" t="n"/>
      <c r="V934" s="17" t="n"/>
      <c r="W934" s="17" t="n"/>
      <c r="X934" s="17" t="n"/>
      <c r="Y934" s="17" t="n">
        <v>1</v>
      </c>
      <c r="Z934" s="13">
        <f>SUMPRODUCT(N934:Y934,$N$2:$Y$2)*$K934*$L934*$M934</f>
        <v/>
      </c>
      <c r="AA934" s="14">
        <f>SUM(N934:Y934)</f>
        <v/>
      </c>
      <c r="AB934" s="14">
        <f>IFERROR(IF(UPPER($E934)="L",SUMPRODUCT(N934:Y934,$N$3:$Y$3,$N$2:$Y$2),SUMPRODUCT(N934:Y934,$N$4:$Y$4,$N$2:$Y$2))/(Z934/($K934*$L934*$M934)),"")</f>
        <v/>
      </c>
      <c r="AC934" s="18" t="n"/>
    </row>
    <row r="935">
      <c r="A935" s="9" t="n">
        <v>691793</v>
      </c>
      <c r="B935" s="9" t="inlineStr">
        <is>
          <t>Charlie Saum</t>
        </is>
      </c>
      <c r="C935" s="9" t="inlineStr">
        <is>
          <t>TOR</t>
        </is>
      </c>
      <c r="D935" s="9" t="n">
        <v>25</v>
      </c>
      <c r="E935" s="16" t="inlineStr">
        <is>
          <t>R</t>
        </is>
      </c>
      <c r="F935" s="16" t="n"/>
      <c r="G935" s="9" t="n">
        <v>3.948717948717949</v>
      </c>
      <c r="H935" s="9" t="n">
        <v>3.948717948717949</v>
      </c>
      <c r="I935" s="9" t="inlineStr">
        <is>
          <t>Depth (no MLB PA)</t>
        </is>
      </c>
      <c r="J935" s="16" t="inlineStr">
        <is>
          <t>Opening Day</t>
        </is>
      </c>
      <c r="K935" s="11">
        <f>IFERROR(INDEX(Roles!$B$17:$B$20,MATCH(J935,Roles!$A$17:$A$20,0)),1)</f>
        <v/>
      </c>
      <c r="L935" s="17" t="n">
        <v>1</v>
      </c>
      <c r="M935" s="11" t="n">
        <v>1</v>
      </c>
      <c r="N935" s="17" t="n"/>
      <c r="O935" s="17" t="n"/>
      <c r="P935" s="17" t="n"/>
      <c r="Q935" s="17" t="n"/>
      <c r="R935" s="17" t="n"/>
      <c r="S935" s="17" t="n"/>
      <c r="T935" s="17" t="n"/>
      <c r="U935" s="17" t="n"/>
      <c r="V935" s="17" t="n"/>
      <c r="W935" s="17" t="n"/>
      <c r="X935" s="17" t="n"/>
      <c r="Y935" s="17" t="n">
        <v>1</v>
      </c>
      <c r="Z935" s="13">
        <f>SUMPRODUCT(N935:Y935,$N$2:$Y$2)*$K935*$L935*$M935</f>
        <v/>
      </c>
      <c r="AA935" s="14">
        <f>SUM(N935:Y935)</f>
        <v/>
      </c>
      <c r="AB935" s="14">
        <f>IFERROR(IF(UPPER($E935)="L",SUMPRODUCT(N935:Y935,$N$3:$Y$3,$N$2:$Y$2),SUMPRODUCT(N935:Y935,$N$4:$Y$4,$N$2:$Y$2))/(Z935/($K935*$L935*$M935)),"")</f>
        <v/>
      </c>
      <c r="AC935" s="18" t="n"/>
    </row>
    <row r="936">
      <c r="A936" s="9" t="n">
        <v>808220</v>
      </c>
      <c r="B936" s="9" t="inlineStr">
        <is>
          <t>Raimundo De Los Santos</t>
        </is>
      </c>
      <c r="C936" s="9" t="inlineStr">
        <is>
          <t>TOR</t>
        </is>
      </c>
      <c r="D936" s="9" t="n">
        <v>25</v>
      </c>
      <c r="E936" s="16" t="inlineStr">
        <is>
          <t>S</t>
        </is>
      </c>
      <c r="F936" s="16" t="n"/>
      <c r="G936" s="9" t="n">
        <v>3.948717948717949</v>
      </c>
      <c r="H936" s="9" t="n">
        <v>3.948717948717949</v>
      </c>
      <c r="I936" s="9" t="inlineStr">
        <is>
          <t>Depth (no MLB PA)</t>
        </is>
      </c>
      <c r="J936" s="16" t="inlineStr">
        <is>
          <t>Opening Day</t>
        </is>
      </c>
      <c r="K936" s="11">
        <f>IFERROR(INDEX(Roles!$B$17:$B$20,MATCH(J936,Roles!$A$17:$A$20,0)),1)</f>
        <v/>
      </c>
      <c r="L936" s="17" t="n">
        <v>1</v>
      </c>
      <c r="M936" s="11" t="n">
        <v>1</v>
      </c>
      <c r="N936" s="17" t="n"/>
      <c r="O936" s="17" t="n"/>
      <c r="P936" s="17" t="n"/>
      <c r="Q936" s="17" t="n"/>
      <c r="R936" s="17" t="n"/>
      <c r="S936" s="17" t="n"/>
      <c r="T936" s="17" t="n"/>
      <c r="U936" s="17" t="n"/>
      <c r="V936" s="17" t="n"/>
      <c r="W936" s="17" t="n"/>
      <c r="X936" s="17" t="n"/>
      <c r="Y936" s="17" t="n">
        <v>1</v>
      </c>
      <c r="Z936" s="13">
        <f>SUMPRODUCT(N936:Y936,$N$2:$Y$2)*$K936*$L936*$M936</f>
        <v/>
      </c>
      <c r="AA936" s="14">
        <f>SUM(N936:Y936)</f>
        <v/>
      </c>
      <c r="AB936" s="14">
        <f>IFERROR(IF(UPPER($E936)="L",SUMPRODUCT(N936:Y936,$N$3:$Y$3,$N$2:$Y$2),SUMPRODUCT(N936:Y936,$N$4:$Y$4,$N$2:$Y$2))/(Z936/($K936*$L936*$M936)),"")</f>
        <v/>
      </c>
      <c r="AC936" s="18" t="n"/>
    </row>
    <row r="937">
      <c r="A937" s="9" t="n">
        <v>805951</v>
      </c>
      <c r="B937" s="9" t="inlineStr">
        <is>
          <t>Boston Baro</t>
        </is>
      </c>
      <c r="C937" s="9" t="inlineStr">
        <is>
          <t>NYM</t>
        </is>
      </c>
      <c r="D937" s="9" t="n">
        <v>25</v>
      </c>
      <c r="E937" s="16" t="inlineStr">
        <is>
          <t>L</t>
        </is>
      </c>
      <c r="F937" s="16" t="n"/>
      <c r="G937" s="9" t="n">
        <v>4.061538461538461</v>
      </c>
      <c r="H937" s="9" t="n">
        <v>4.061538461538461</v>
      </c>
      <c r="I937" s="9" t="inlineStr">
        <is>
          <t>Depth (no MLB PA)</t>
        </is>
      </c>
      <c r="J937" s="16" t="inlineStr">
        <is>
          <t>Opening Day</t>
        </is>
      </c>
      <c r="K937" s="11">
        <f>IFERROR(INDEX(Roles!$B$17:$B$20,MATCH(J937,Roles!$A$17:$A$20,0)),1)</f>
        <v/>
      </c>
      <c r="L937" s="17" t="n">
        <v>1</v>
      </c>
      <c r="M937" s="11" t="n">
        <v>1</v>
      </c>
      <c r="N937" s="17" t="n"/>
      <c r="O937" s="17" t="n"/>
      <c r="P937" s="17" t="n"/>
      <c r="Q937" s="17" t="n"/>
      <c r="R937" s="17" t="n"/>
      <c r="S937" s="17" t="n"/>
      <c r="T937" s="17" t="n"/>
      <c r="U937" s="17" t="n"/>
      <c r="V937" s="17" t="n"/>
      <c r="W937" s="17" t="n"/>
      <c r="X937" s="17" t="n"/>
      <c r="Y937" s="17" t="n">
        <v>1</v>
      </c>
      <c r="Z937" s="13">
        <f>SUMPRODUCT(N937:Y937,$N$2:$Y$2)*$K937*$L937*$M937</f>
        <v/>
      </c>
      <c r="AA937" s="14">
        <f>SUM(N937:Y937)</f>
        <v/>
      </c>
      <c r="AB937" s="14">
        <f>IFERROR(IF(UPPER($E937)="L",SUMPRODUCT(N937:Y937,$N$3:$Y$3,$N$2:$Y$2),SUMPRODUCT(N937:Y937,$N$4:$Y$4,$N$2:$Y$2))/(Z937/($K937*$L937*$M937)),"")</f>
        <v/>
      </c>
      <c r="AC937" s="18" t="n"/>
    </row>
    <row r="938">
      <c r="A938" s="9" t="n">
        <v>808232</v>
      </c>
      <c r="B938" s="9" t="inlineStr">
        <is>
          <t>Alirio Ferrebus</t>
        </is>
      </c>
      <c r="C938" s="9" t="inlineStr">
        <is>
          <t>PHI</t>
        </is>
      </c>
      <c r="D938" s="9" t="n">
        <v>25</v>
      </c>
      <c r="E938" s="16" t="inlineStr">
        <is>
          <t>R</t>
        </is>
      </c>
      <c r="F938" s="16" t="n"/>
      <c r="G938" s="9" t="n">
        <v>4.102564102564103</v>
      </c>
      <c r="H938" s="9" t="n">
        <v>4.102564102564103</v>
      </c>
      <c r="I938" s="9" t="inlineStr">
        <is>
          <t>Depth (no MLB PA)</t>
        </is>
      </c>
      <c r="J938" s="16" t="inlineStr">
        <is>
          <t>Opening Day</t>
        </is>
      </c>
      <c r="K938" s="11">
        <f>IFERROR(INDEX(Roles!$B$17:$B$20,MATCH(J938,Roles!$A$17:$A$20,0)),1)</f>
        <v/>
      </c>
      <c r="L938" s="17" t="n">
        <v>1</v>
      </c>
      <c r="M938" s="11" t="n">
        <v>1</v>
      </c>
      <c r="N938" s="17" t="n"/>
      <c r="O938" s="17" t="n"/>
      <c r="P938" s="17" t="n"/>
      <c r="Q938" s="17" t="n"/>
      <c r="R938" s="17" t="n"/>
      <c r="S938" s="17" t="n"/>
      <c r="T938" s="17" t="n"/>
      <c r="U938" s="17" t="n"/>
      <c r="V938" s="17" t="n"/>
      <c r="W938" s="17" t="n"/>
      <c r="X938" s="17" t="n"/>
      <c r="Y938" s="17" t="n">
        <v>1</v>
      </c>
      <c r="Z938" s="13">
        <f>SUMPRODUCT(N938:Y938,$N$2:$Y$2)*$K938*$L938*$M938</f>
        <v/>
      </c>
      <c r="AA938" s="14">
        <f>SUM(N938:Y938)</f>
        <v/>
      </c>
      <c r="AB938" s="14">
        <f>IFERROR(IF(UPPER($E938)="L",SUMPRODUCT(N938:Y938,$N$3:$Y$3,$N$2:$Y$2),SUMPRODUCT(N938:Y938,$N$4:$Y$4,$N$2:$Y$2))/(Z938/($K938*$L938*$M938)),"")</f>
        <v/>
      </c>
      <c r="AC938" s="18" t="n"/>
    </row>
    <row r="939">
      <c r="A939" s="9" t="n">
        <v>701616</v>
      </c>
      <c r="B939" s="9" t="inlineStr">
        <is>
          <t>Caleb Lomavita</t>
        </is>
      </c>
      <c r="C939" s="9" t="inlineStr">
        <is>
          <t>WSH</t>
        </is>
      </c>
      <c r="D939" s="9" t="n">
        <v>25</v>
      </c>
      <c r="E939" s="16" t="inlineStr">
        <is>
          <t>R</t>
        </is>
      </c>
      <c r="F939" s="16" t="n"/>
      <c r="G939" s="9" t="n">
        <v>122.4102564102564</v>
      </c>
      <c r="H939" s="9" t="n">
        <v>122.4102564102564</v>
      </c>
      <c r="I939" s="9" t="inlineStr">
        <is>
          <t>Depth (no MLB PA)</t>
        </is>
      </c>
      <c r="J939" s="16" t="inlineStr">
        <is>
          <t>Opening Day</t>
        </is>
      </c>
      <c r="K939" s="11">
        <f>IFERROR(INDEX(Roles!$B$17:$B$20,MATCH(J939,Roles!$A$17:$A$20,0)),1)</f>
        <v/>
      </c>
      <c r="L939" s="17" t="n">
        <v>1</v>
      </c>
      <c r="M939" s="11" t="n">
        <v>1</v>
      </c>
      <c r="N939" s="17" t="n"/>
      <c r="O939" s="17" t="n"/>
      <c r="P939" s="17" t="n"/>
      <c r="Q939" s="17" t="n"/>
      <c r="R939" s="17" t="n"/>
      <c r="S939" s="17" t="n"/>
      <c r="T939" s="17" t="n"/>
      <c r="U939" s="17" t="n"/>
      <c r="V939" s="17" t="n"/>
      <c r="W939" s="17" t="n"/>
      <c r="X939" s="17" t="n"/>
      <c r="Y939" s="17" t="n">
        <v>1</v>
      </c>
      <c r="Z939" s="13">
        <f>SUMPRODUCT(N939:Y939,$N$2:$Y$2)*$K939*$L939*$M939</f>
        <v/>
      </c>
      <c r="AA939" s="14">
        <f>SUM(N939:Y939)</f>
        <v/>
      </c>
      <c r="AB939" s="14">
        <f>IFERROR(IF(UPPER($E939)="L",SUMPRODUCT(N939:Y939,$N$3:$Y$3,$N$2:$Y$2),SUMPRODUCT(N939:Y939,$N$4:$Y$4,$N$2:$Y$2))/(Z939/($K939*$L939*$M939)),"")</f>
        <v/>
      </c>
      <c r="AC939" s="18" t="n"/>
    </row>
    <row r="940">
      <c r="A940" s="9" t="n">
        <v>829040</v>
      </c>
      <c r="B940" s="9" t="inlineStr">
        <is>
          <t>Juan Cabada</t>
        </is>
      </c>
      <c r="C940" s="9" t="inlineStr">
        <is>
          <t>CHC</t>
        </is>
      </c>
      <c r="D940" s="9" t="n">
        <v>25</v>
      </c>
      <c r="E940" s="16" t="inlineStr">
        <is>
          <t>L</t>
        </is>
      </c>
      <c r="F940" s="16" t="n"/>
      <c r="G940" s="9" t="n">
        <v>8.36923076923077</v>
      </c>
      <c r="H940" s="9" t="n">
        <v>8.36923076923077</v>
      </c>
      <c r="I940" s="9" t="inlineStr">
        <is>
          <t>Depth (no MLB PA)</t>
        </is>
      </c>
      <c r="J940" s="16" t="inlineStr">
        <is>
          <t>Opening Day</t>
        </is>
      </c>
      <c r="K940" s="11">
        <f>IFERROR(INDEX(Roles!$B$17:$B$20,MATCH(J940,Roles!$A$17:$A$20,0)),1)</f>
        <v/>
      </c>
      <c r="L940" s="17" t="n">
        <v>1</v>
      </c>
      <c r="M940" s="11" t="n">
        <v>1</v>
      </c>
      <c r="N940" s="17" t="n"/>
      <c r="O940" s="17" t="n"/>
      <c r="P940" s="17" t="n"/>
      <c r="Q940" s="17" t="n"/>
      <c r="R940" s="17" t="n"/>
      <c r="S940" s="17" t="n"/>
      <c r="T940" s="17" t="n"/>
      <c r="U940" s="17" t="n"/>
      <c r="V940" s="17" t="n"/>
      <c r="W940" s="17" t="n"/>
      <c r="X940" s="17" t="n"/>
      <c r="Y940" s="17" t="n">
        <v>1</v>
      </c>
      <c r="Z940" s="13">
        <f>SUMPRODUCT(N940:Y940,$N$2:$Y$2)*$K940*$L940*$M940</f>
        <v/>
      </c>
      <c r="AA940" s="14">
        <f>SUM(N940:Y940)</f>
        <v/>
      </c>
      <c r="AB940" s="14">
        <f>IFERROR(IF(UPPER($E940)="L",SUMPRODUCT(N940:Y940,$N$3:$Y$3,$N$2:$Y$2),SUMPRODUCT(N940:Y940,$N$4:$Y$4,$N$2:$Y$2))/(Z940/($K940*$L940*$M940)),"")</f>
        <v/>
      </c>
      <c r="AC940" s="18" t="n"/>
    </row>
    <row r="941">
      <c r="A941" s="9" t="n">
        <v>840390</v>
      </c>
      <c r="B941" s="9" t="inlineStr">
        <is>
          <t>Paul Schoenfeld</t>
        </is>
      </c>
      <c r="C941" s="9" t="inlineStr">
        <is>
          <t>ARI</t>
        </is>
      </c>
      <c r="D941" s="9" t="n">
        <v>25</v>
      </c>
      <c r="E941" s="16" t="inlineStr">
        <is>
          <t>L</t>
        </is>
      </c>
      <c r="F941" s="16" t="n"/>
      <c r="G941" s="9" t="n">
        <v>8.492307692307692</v>
      </c>
      <c r="H941" s="9" t="n">
        <v>8.492307692307692</v>
      </c>
      <c r="I941" s="9" t="inlineStr">
        <is>
          <t>Depth (no MLB PA)</t>
        </is>
      </c>
      <c r="J941" s="16" t="inlineStr">
        <is>
          <t>Opening Day</t>
        </is>
      </c>
      <c r="K941" s="11">
        <f>IFERROR(INDEX(Roles!$B$17:$B$20,MATCH(J941,Roles!$A$17:$A$20,0)),1)</f>
        <v/>
      </c>
      <c r="L941" s="17" t="n">
        <v>1</v>
      </c>
      <c r="M941" s="11" t="n">
        <v>1</v>
      </c>
      <c r="N941" s="17" t="n"/>
      <c r="O941" s="17" t="n"/>
      <c r="P941" s="17" t="n"/>
      <c r="Q941" s="17" t="n"/>
      <c r="R941" s="17" t="n"/>
      <c r="S941" s="17" t="n"/>
      <c r="T941" s="17" t="n"/>
      <c r="U941" s="17" t="n"/>
      <c r="V941" s="17" t="n"/>
      <c r="W941" s="17" t="n"/>
      <c r="X941" s="17" t="n"/>
      <c r="Y941" s="17" t="n">
        <v>1</v>
      </c>
      <c r="Z941" s="13">
        <f>SUMPRODUCT(N941:Y941,$N$2:$Y$2)*$K941*$L941*$M941</f>
        <v/>
      </c>
      <c r="AA941" s="14">
        <f>SUM(N941:Y941)</f>
        <v/>
      </c>
      <c r="AB941" s="14">
        <f>IFERROR(IF(UPPER($E941)="L",SUMPRODUCT(N941:Y941,$N$3:$Y$3,$N$2:$Y$2),SUMPRODUCT(N941:Y941,$N$4:$Y$4,$N$2:$Y$2))/(Z941/($K941*$L941*$M941)),"")</f>
        <v/>
      </c>
      <c r="AC941" s="18" t="n"/>
    </row>
    <row r="942">
      <c r="A942" s="9" t="n">
        <v>701837</v>
      </c>
      <c r="B942" s="9" t="inlineStr">
        <is>
          <t>Kavares Tears</t>
        </is>
      </c>
      <c r="C942" s="9" t="inlineStr">
        <is>
          <t>SD</t>
        </is>
      </c>
      <c r="D942" s="9" t="n">
        <v>25</v>
      </c>
      <c r="E942" s="16" t="inlineStr">
        <is>
          <t>L</t>
        </is>
      </c>
      <c r="F942" s="16" t="n"/>
      <c r="G942" s="9" t="n">
        <v>56.41025641025641</v>
      </c>
      <c r="H942" s="9" t="n">
        <v>56.41025641025641</v>
      </c>
      <c r="I942" s="9" t="inlineStr">
        <is>
          <t>Depth (no MLB PA)</t>
        </is>
      </c>
      <c r="J942" s="16" t="inlineStr">
        <is>
          <t>Opening Day</t>
        </is>
      </c>
      <c r="K942" s="11">
        <f>IFERROR(INDEX(Roles!$B$17:$B$20,MATCH(J942,Roles!$A$17:$A$20,0)),1)</f>
        <v/>
      </c>
      <c r="L942" s="17" t="n">
        <v>1</v>
      </c>
      <c r="M942" s="11" t="n">
        <v>1</v>
      </c>
      <c r="N942" s="17" t="n"/>
      <c r="O942" s="17" t="n"/>
      <c r="P942" s="17" t="n"/>
      <c r="Q942" s="17" t="n"/>
      <c r="R942" s="17" t="n"/>
      <c r="S942" s="17" t="n"/>
      <c r="T942" s="17" t="n"/>
      <c r="U942" s="17" t="n"/>
      <c r="V942" s="17" t="n"/>
      <c r="W942" s="17" t="n"/>
      <c r="X942" s="17" t="n"/>
      <c r="Y942" s="17" t="n">
        <v>1</v>
      </c>
      <c r="Z942" s="13">
        <f>SUMPRODUCT(N942:Y942,$N$2:$Y$2)*$K942*$L942*$M942</f>
        <v/>
      </c>
      <c r="AA942" s="14">
        <f>SUM(N942:Y942)</f>
        <v/>
      </c>
      <c r="AB942" s="14">
        <f>IFERROR(IF(UPPER($E942)="L",SUMPRODUCT(N942:Y942,$N$3:$Y$3,$N$2:$Y$2),SUMPRODUCT(N942:Y942,$N$4:$Y$4,$N$2:$Y$2))/(Z942/($K942*$L942*$M942)),"")</f>
        <v/>
      </c>
      <c r="AC942" s="18" t="n"/>
    </row>
    <row r="943">
      <c r="A943" s="9" t="n">
        <v>682177</v>
      </c>
      <c r="B943" s="9" t="inlineStr">
        <is>
          <t>Daniel Schneemann</t>
        </is>
      </c>
      <c r="C943" s="9" t="inlineStr">
        <is>
          <t>CLE</t>
        </is>
      </c>
      <c r="D943" s="9" t="n">
        <v>30</v>
      </c>
      <c r="E943" s="16" t="inlineStr">
        <is>
          <t>L</t>
        </is>
      </c>
      <c r="F943" s="16" t="inlineStr">
        <is>
          <t>3B</t>
        </is>
      </c>
      <c r="G943" s="9" t="n">
        <v>286</v>
      </c>
      <c r="H943" s="9" t="n">
        <v>929</v>
      </c>
      <c r="I943" s="9" t="inlineStr">
        <is>
          <t>Bench Bat</t>
        </is>
      </c>
      <c r="J943" s="16" t="inlineStr">
        <is>
          <t>Opening Day</t>
        </is>
      </c>
      <c r="K943" s="11">
        <f>IFERROR(INDEX(Roles!$B$17:$B$20,MATCH(J943,Roles!$A$17:$A$20,0)),1)</f>
        <v/>
      </c>
      <c r="L943" s="17" t="n">
        <v>1</v>
      </c>
      <c r="M943" s="11" t="n">
        <v>1.15</v>
      </c>
      <c r="N943" s="17" t="n"/>
      <c r="O943" s="17" t="n"/>
      <c r="P943" s="17" t="n"/>
      <c r="Q943" s="17" t="n"/>
      <c r="R943" s="17" t="n"/>
      <c r="S943" s="17" t="n"/>
      <c r="T943" s="17" t="n"/>
      <c r="U943" s="17" t="n">
        <v>0.4</v>
      </c>
      <c r="V943" s="17" t="n"/>
      <c r="W943" s="17" t="n">
        <v>0.6</v>
      </c>
      <c r="X943" s="17" t="n"/>
      <c r="Y943" s="17" t="n"/>
      <c r="Z943" s="13">
        <f>SUMPRODUCT(N943:Y943,$N$2:$Y$2)*$K943*$L943*$M943</f>
        <v/>
      </c>
      <c r="AA943" s="14">
        <f>SUM(N943:Y943)</f>
        <v/>
      </c>
      <c r="AB943" s="14">
        <f>IFERROR(IF(UPPER($E943)="L",SUMPRODUCT(N943:Y943,$N$3:$Y$3,$N$2:$Y$2),SUMPRODUCT(N943:Y943,$N$4:$Y$4,$N$2:$Y$2))/(Z943/($K943*$L943*$M943)),"")</f>
        <v/>
      </c>
      <c r="AC943" s="18" t="n"/>
    </row>
    <row r="944">
      <c r="A944" s="9" t="n">
        <v>814188</v>
      </c>
      <c r="B944" s="9" t="inlineStr">
        <is>
          <t>Jayson Bass</t>
        </is>
      </c>
      <c r="C944" s="9" t="inlineStr">
        <is>
          <t>MIN</t>
        </is>
      </c>
      <c r="D944" s="9" t="n">
        <v>25</v>
      </c>
      <c r="E944" s="16" t="inlineStr">
        <is>
          <t>S</t>
        </is>
      </c>
      <c r="F944" s="16" t="n"/>
      <c r="G944" s="9" t="n">
        <v>16.41025641025641</v>
      </c>
      <c r="H944" s="9" t="n">
        <v>16.41025641025641</v>
      </c>
      <c r="I944" s="9" t="inlineStr">
        <is>
          <t>Depth (no MLB PA)</t>
        </is>
      </c>
      <c r="J944" s="16" t="inlineStr">
        <is>
          <t>Opening Day</t>
        </is>
      </c>
      <c r="K944" s="11">
        <f>IFERROR(INDEX(Roles!$B$17:$B$20,MATCH(J944,Roles!$A$17:$A$20,0)),1)</f>
        <v/>
      </c>
      <c r="L944" s="17" t="n">
        <v>1</v>
      </c>
      <c r="M944" s="11" t="n">
        <v>1</v>
      </c>
      <c r="N944" s="17" t="n"/>
      <c r="O944" s="17" t="n"/>
      <c r="P944" s="17" t="n"/>
      <c r="Q944" s="17" t="n"/>
      <c r="R944" s="17" t="n"/>
      <c r="S944" s="17" t="n"/>
      <c r="T944" s="17" t="n"/>
      <c r="U944" s="17" t="n"/>
      <c r="V944" s="17" t="n"/>
      <c r="W944" s="17" t="n"/>
      <c r="X944" s="17" t="n"/>
      <c r="Y944" s="17" t="n">
        <v>1</v>
      </c>
      <c r="Z944" s="13">
        <f>SUMPRODUCT(N944:Y944,$N$2:$Y$2)*$K944*$L944*$M944</f>
        <v/>
      </c>
      <c r="AA944" s="14">
        <f>SUM(N944:Y944)</f>
        <v/>
      </c>
      <c r="AB944" s="14">
        <f>IFERROR(IF(UPPER($E944)="L",SUMPRODUCT(N944:Y944,$N$3:$Y$3,$N$2:$Y$2),SUMPRODUCT(N944:Y944,$N$4:$Y$4,$N$2:$Y$2))/(Z944/($K944*$L944*$M944)),"")</f>
        <v/>
      </c>
      <c r="AC944" s="18" t="n"/>
    </row>
    <row r="945">
      <c r="A945" s="9" t="n">
        <v>701373</v>
      </c>
      <c r="B945" s="9" t="inlineStr">
        <is>
          <t>Isaiah Barkett</t>
        </is>
      </c>
      <c r="C945" s="9" t="inlineStr">
        <is>
          <t>SF</t>
        </is>
      </c>
      <c r="D945" s="9" t="n">
        <v>25</v>
      </c>
      <c r="E945" s="16" t="inlineStr">
        <is>
          <t>R</t>
        </is>
      </c>
      <c r="F945" s="16" t="n"/>
      <c r="G945" s="9" t="n">
        <v>8.410256410256411</v>
      </c>
      <c r="H945" s="9" t="n">
        <v>8.410256410256411</v>
      </c>
      <c r="I945" s="9" t="inlineStr">
        <is>
          <t>Depth (no MLB PA)</t>
        </is>
      </c>
      <c r="J945" s="16" t="inlineStr">
        <is>
          <t>Opening Day</t>
        </is>
      </c>
      <c r="K945" s="11">
        <f>IFERROR(INDEX(Roles!$B$17:$B$20,MATCH(J945,Roles!$A$17:$A$20,0)),1)</f>
        <v/>
      </c>
      <c r="L945" s="17" t="n">
        <v>1</v>
      </c>
      <c r="M945" s="11" t="n">
        <v>1</v>
      </c>
      <c r="N945" s="17" t="n"/>
      <c r="O945" s="17" t="n"/>
      <c r="P945" s="17" t="n"/>
      <c r="Q945" s="17" t="n"/>
      <c r="R945" s="17" t="n"/>
      <c r="S945" s="17" t="n"/>
      <c r="T945" s="17" t="n"/>
      <c r="U945" s="17" t="n"/>
      <c r="V945" s="17" t="n"/>
      <c r="W945" s="17" t="n"/>
      <c r="X945" s="17" t="n"/>
      <c r="Y945" s="17" t="n">
        <v>1</v>
      </c>
      <c r="Z945" s="13">
        <f>SUMPRODUCT(N945:Y945,$N$2:$Y$2)*$K945*$L945*$M945</f>
        <v/>
      </c>
      <c r="AA945" s="14">
        <f>SUM(N945:Y945)</f>
        <v/>
      </c>
      <c r="AB945" s="14">
        <f>IFERROR(IF(UPPER($E945)="L",SUMPRODUCT(N945:Y945,$N$3:$Y$3,$N$2:$Y$2),SUMPRODUCT(N945:Y945,$N$4:$Y$4,$N$2:$Y$2))/(Z945/($K945*$L945*$M945)),"")</f>
        <v/>
      </c>
      <c r="AC945" s="18" t="n"/>
    </row>
    <row r="946">
      <c r="A946" s="9" t="n">
        <v>800191</v>
      </c>
      <c r="B946" s="9" t="inlineStr">
        <is>
          <t>Eliezer Rivero</t>
        </is>
      </c>
      <c r="C946" s="9" t="inlineStr">
        <is>
          <t>LAA</t>
        </is>
      </c>
      <c r="D946" s="9" t="n">
        <v>25</v>
      </c>
      <c r="E946" s="16" t="inlineStr">
        <is>
          <t>R</t>
        </is>
      </c>
      <c r="F946" s="16" t="n"/>
      <c r="G946" s="9" t="n">
        <v>4.184615384615385</v>
      </c>
      <c r="H946" s="9" t="n">
        <v>4.184615384615385</v>
      </c>
      <c r="I946" s="9" t="inlineStr">
        <is>
          <t>Depth (no MLB PA)</t>
        </is>
      </c>
      <c r="J946" s="16" t="inlineStr">
        <is>
          <t>Opening Day</t>
        </is>
      </c>
      <c r="K946" s="11">
        <f>IFERROR(INDEX(Roles!$B$17:$B$20,MATCH(J946,Roles!$A$17:$A$20,0)),1)</f>
        <v/>
      </c>
      <c r="L946" s="17" t="n">
        <v>1</v>
      </c>
      <c r="M946" s="11" t="n">
        <v>1</v>
      </c>
      <c r="N946" s="17" t="n"/>
      <c r="O946" s="17" t="n"/>
      <c r="P946" s="17" t="n"/>
      <c r="Q946" s="17" t="n"/>
      <c r="R946" s="17" t="n"/>
      <c r="S946" s="17" t="n"/>
      <c r="T946" s="17" t="n"/>
      <c r="U946" s="17" t="n"/>
      <c r="V946" s="17" t="n"/>
      <c r="W946" s="17" t="n"/>
      <c r="X946" s="17" t="n"/>
      <c r="Y946" s="17" t="n">
        <v>1</v>
      </c>
      <c r="Z946" s="13">
        <f>SUMPRODUCT(N946:Y946,$N$2:$Y$2)*$K946*$L946*$M946</f>
        <v/>
      </c>
      <c r="AA946" s="14">
        <f>SUM(N946:Y946)</f>
        <v/>
      </c>
      <c r="AB946" s="14">
        <f>IFERROR(IF(UPPER($E946)="L",SUMPRODUCT(N946:Y946,$N$3:$Y$3,$N$2:$Y$2),SUMPRODUCT(N946:Y946,$N$4:$Y$4,$N$2:$Y$2))/(Z946/($K946*$L946*$M946)),"")</f>
        <v/>
      </c>
      <c r="AC946" s="18" t="n"/>
    </row>
    <row r="947">
      <c r="A947" s="9" t="n">
        <v>692368</v>
      </c>
      <c r="B947" s="9" t="inlineStr">
        <is>
          <t>Adrián Sugastey</t>
        </is>
      </c>
      <c r="C947" s="9" t="inlineStr">
        <is>
          <t>SF</t>
        </is>
      </c>
      <c r="D947" s="9" t="n">
        <v>25</v>
      </c>
      <c r="E947" s="16" t="inlineStr">
        <is>
          <t>R</t>
        </is>
      </c>
      <c r="F947" s="16" t="n"/>
      <c r="G947" s="9" t="n">
        <v>51.33333333333334</v>
      </c>
      <c r="H947" s="9" t="n">
        <v>51.33333333333334</v>
      </c>
      <c r="I947" s="9" t="inlineStr">
        <is>
          <t>Depth (no MLB PA)</t>
        </is>
      </c>
      <c r="J947" s="16" t="inlineStr">
        <is>
          <t>Opening Day</t>
        </is>
      </c>
      <c r="K947" s="11">
        <f>IFERROR(INDEX(Roles!$B$17:$B$20,MATCH(J947,Roles!$A$17:$A$20,0)),1)</f>
        <v/>
      </c>
      <c r="L947" s="17" t="n">
        <v>1</v>
      </c>
      <c r="M947" s="11" t="n">
        <v>1</v>
      </c>
      <c r="N947" s="17" t="n"/>
      <c r="O947" s="17" t="n"/>
      <c r="P947" s="17" t="n"/>
      <c r="Q947" s="17" t="n"/>
      <c r="R947" s="17" t="n"/>
      <c r="S947" s="17" t="n"/>
      <c r="T947" s="17" t="n"/>
      <c r="U947" s="17" t="n"/>
      <c r="V947" s="17" t="n"/>
      <c r="W947" s="17" t="n"/>
      <c r="X947" s="17" t="n"/>
      <c r="Y947" s="17" t="n">
        <v>1</v>
      </c>
      <c r="Z947" s="13">
        <f>SUMPRODUCT(N947:Y947,$N$2:$Y$2)*$K947*$L947*$M947</f>
        <v/>
      </c>
      <c r="AA947" s="14">
        <f>SUM(N947:Y947)</f>
        <v/>
      </c>
      <c r="AB947" s="14">
        <f>IFERROR(IF(UPPER($E947)="L",SUMPRODUCT(N947:Y947,$N$3:$Y$3,$N$2:$Y$2),SUMPRODUCT(N947:Y947,$N$4:$Y$4,$N$2:$Y$2))/(Z947/($K947*$L947*$M947)),"")</f>
        <v/>
      </c>
      <c r="AC947" s="18" t="n"/>
    </row>
    <row r="948">
      <c r="A948" s="9" t="n">
        <v>694184</v>
      </c>
      <c r="B948" s="9" t="inlineStr">
        <is>
          <t>Cristian Santana</t>
        </is>
      </c>
      <c r="C948" s="9" t="inlineStr">
        <is>
          <t>DET</t>
        </is>
      </c>
      <c r="D948" s="9" t="n">
        <v>25</v>
      </c>
      <c r="E948" s="16" t="inlineStr">
        <is>
          <t>R</t>
        </is>
      </c>
      <c r="F948" s="16" t="n"/>
      <c r="G948" s="9" t="n">
        <v>69.12820512820512</v>
      </c>
      <c r="H948" s="9" t="n">
        <v>69.12820512820512</v>
      </c>
      <c r="I948" s="9" t="inlineStr">
        <is>
          <t>Depth (no MLB PA)</t>
        </is>
      </c>
      <c r="J948" s="16" t="inlineStr">
        <is>
          <t>Opening Day</t>
        </is>
      </c>
      <c r="K948" s="11">
        <f>IFERROR(INDEX(Roles!$B$17:$B$20,MATCH(J948,Roles!$A$17:$A$20,0)),1)</f>
        <v/>
      </c>
      <c r="L948" s="17" t="n">
        <v>1</v>
      </c>
      <c r="M948" s="11" t="n">
        <v>1</v>
      </c>
      <c r="N948" s="17" t="n"/>
      <c r="O948" s="17" t="n"/>
      <c r="P948" s="17" t="n"/>
      <c r="Q948" s="17" t="n"/>
      <c r="R948" s="17" t="n"/>
      <c r="S948" s="17" t="n"/>
      <c r="T948" s="17" t="n"/>
      <c r="U948" s="17" t="n"/>
      <c r="V948" s="17" t="n"/>
      <c r="W948" s="17" t="n"/>
      <c r="X948" s="17" t="n"/>
      <c r="Y948" s="17" t="n">
        <v>1</v>
      </c>
      <c r="Z948" s="13">
        <f>SUMPRODUCT(N948:Y948,$N$2:$Y$2)*$K948*$L948*$M948</f>
        <v/>
      </c>
      <c r="AA948" s="14">
        <f>SUM(N948:Y948)</f>
        <v/>
      </c>
      <c r="AB948" s="14">
        <f>IFERROR(IF(UPPER($E948)="L",SUMPRODUCT(N948:Y948,$N$3:$Y$3,$N$2:$Y$2),SUMPRODUCT(N948:Y948,$N$4:$Y$4,$N$2:$Y$2))/(Z948/($K948*$L948*$M948)),"")</f>
        <v/>
      </c>
      <c r="AC948" s="18" t="n"/>
    </row>
    <row r="949">
      <c r="A949" s="9" t="n">
        <v>802500</v>
      </c>
      <c r="B949" s="9" t="inlineStr">
        <is>
          <t>Deiten Lachance</t>
        </is>
      </c>
      <c r="C949" s="9" t="inlineStr">
        <is>
          <t>CLE</t>
        </is>
      </c>
      <c r="D949" s="9" t="n">
        <v>25</v>
      </c>
      <c r="E949" s="16" t="inlineStr">
        <is>
          <t>R</t>
        </is>
      </c>
      <c r="F949" s="16" t="n"/>
      <c r="G949" s="9" t="n">
        <v>8.615384615384615</v>
      </c>
      <c r="H949" s="9" t="n">
        <v>8.615384615384615</v>
      </c>
      <c r="I949" s="9" t="inlineStr">
        <is>
          <t>Depth (no MLB PA)</t>
        </is>
      </c>
      <c r="J949" s="16" t="inlineStr">
        <is>
          <t>Opening Day</t>
        </is>
      </c>
      <c r="K949" s="11">
        <f>IFERROR(INDEX(Roles!$B$17:$B$20,MATCH(J949,Roles!$A$17:$A$20,0)),1)</f>
        <v/>
      </c>
      <c r="L949" s="17" t="n">
        <v>1</v>
      </c>
      <c r="M949" s="11" t="n">
        <v>1</v>
      </c>
      <c r="N949" s="17" t="n"/>
      <c r="O949" s="17" t="n"/>
      <c r="P949" s="17" t="n"/>
      <c r="Q949" s="17" t="n"/>
      <c r="R949" s="17" t="n"/>
      <c r="S949" s="17" t="n"/>
      <c r="T949" s="17" t="n"/>
      <c r="U949" s="17" t="n"/>
      <c r="V949" s="17" t="n"/>
      <c r="W949" s="17" t="n"/>
      <c r="X949" s="17" t="n"/>
      <c r="Y949" s="17" t="n">
        <v>1</v>
      </c>
      <c r="Z949" s="13">
        <f>SUMPRODUCT(N949:Y949,$N$2:$Y$2)*$K949*$L949*$M949</f>
        <v/>
      </c>
      <c r="AA949" s="14">
        <f>SUM(N949:Y949)</f>
        <v/>
      </c>
      <c r="AB949" s="14">
        <f>IFERROR(IF(UPPER($E949)="L",SUMPRODUCT(N949:Y949,$N$3:$Y$3,$N$2:$Y$2),SUMPRODUCT(N949:Y949,$N$4:$Y$4,$N$2:$Y$2))/(Z949/($K949*$L949*$M949)),"")</f>
        <v/>
      </c>
      <c r="AC949" s="18" t="n"/>
    </row>
    <row r="950">
      <c r="A950" s="9" t="n">
        <v>823779</v>
      </c>
      <c r="B950" s="9" t="inlineStr">
        <is>
          <t>Ryan Sprock</t>
        </is>
      </c>
      <c r="C950" s="9" t="inlineStr">
        <is>
          <t>TOR</t>
        </is>
      </c>
      <c r="D950" s="9" t="n">
        <v>25</v>
      </c>
      <c r="E950" s="16" t="inlineStr">
        <is>
          <t>R</t>
        </is>
      </c>
      <c r="F950" s="16" t="n"/>
      <c r="G950" s="9" t="n">
        <v>29.12820512820513</v>
      </c>
      <c r="H950" s="9" t="n">
        <v>29.12820512820513</v>
      </c>
      <c r="I950" s="9" t="inlineStr">
        <is>
          <t>Depth (no MLB PA)</t>
        </is>
      </c>
      <c r="J950" s="16" t="inlineStr">
        <is>
          <t>Opening Day</t>
        </is>
      </c>
      <c r="K950" s="11">
        <f>IFERROR(INDEX(Roles!$B$17:$B$20,MATCH(J950,Roles!$A$17:$A$20,0)),1)</f>
        <v/>
      </c>
      <c r="L950" s="17" t="n">
        <v>1</v>
      </c>
      <c r="M950" s="11" t="n">
        <v>1</v>
      </c>
      <c r="N950" s="17" t="n"/>
      <c r="O950" s="17" t="n"/>
      <c r="P950" s="17" t="n"/>
      <c r="Q950" s="17" t="n"/>
      <c r="R950" s="17" t="n"/>
      <c r="S950" s="17" t="n"/>
      <c r="T950" s="17" t="n"/>
      <c r="U950" s="17" t="n"/>
      <c r="V950" s="17" t="n"/>
      <c r="W950" s="17" t="n"/>
      <c r="X950" s="17" t="n"/>
      <c r="Y950" s="17" t="n">
        <v>1</v>
      </c>
      <c r="Z950" s="13">
        <f>SUMPRODUCT(N950:Y950,$N$2:$Y$2)*$K950*$L950*$M950</f>
        <v/>
      </c>
      <c r="AA950" s="14">
        <f>SUM(N950:Y950)</f>
        <v/>
      </c>
      <c r="AB950" s="14">
        <f>IFERROR(IF(UPPER($E950)="L",SUMPRODUCT(N950:Y950,$N$3:$Y$3,$N$2:$Y$2),SUMPRODUCT(N950:Y950,$N$4:$Y$4,$N$2:$Y$2))/(Z950/($K950*$L950*$M950)),"")</f>
        <v/>
      </c>
      <c r="AC950" s="18" t="n"/>
    </row>
    <row r="951">
      <c r="A951" s="9" t="n">
        <v>821696</v>
      </c>
      <c r="B951" s="9" t="inlineStr">
        <is>
          <t>Kendrick Herrera</t>
        </is>
      </c>
      <c r="C951" s="9" t="inlineStr">
        <is>
          <t>PIT</t>
        </is>
      </c>
      <c r="D951" s="9" t="n">
        <v>25</v>
      </c>
      <c r="E951" s="16" t="inlineStr">
        <is>
          <t>R</t>
        </is>
      </c>
      <c r="F951" s="16" t="n"/>
      <c r="G951" s="9" t="n">
        <v>4.184615384615385</v>
      </c>
      <c r="H951" s="9" t="n">
        <v>4.184615384615385</v>
      </c>
      <c r="I951" s="9" t="inlineStr">
        <is>
          <t>Depth (no MLB PA)</t>
        </is>
      </c>
      <c r="J951" s="16" t="inlineStr">
        <is>
          <t>Opening Day</t>
        </is>
      </c>
      <c r="K951" s="11">
        <f>IFERROR(INDEX(Roles!$B$17:$B$20,MATCH(J951,Roles!$A$17:$A$20,0)),1)</f>
        <v/>
      </c>
      <c r="L951" s="17" t="n">
        <v>1</v>
      </c>
      <c r="M951" s="11" t="n">
        <v>1</v>
      </c>
      <c r="N951" s="17" t="n"/>
      <c r="O951" s="17" t="n"/>
      <c r="P951" s="17" t="n"/>
      <c r="Q951" s="17" t="n"/>
      <c r="R951" s="17" t="n"/>
      <c r="S951" s="17" t="n"/>
      <c r="T951" s="17" t="n"/>
      <c r="U951" s="17" t="n"/>
      <c r="V951" s="17" t="n"/>
      <c r="W951" s="17" t="n"/>
      <c r="X951" s="17" t="n"/>
      <c r="Y951" s="17" t="n">
        <v>1</v>
      </c>
      <c r="Z951" s="13">
        <f>SUMPRODUCT(N951:Y951,$N$2:$Y$2)*$K951*$L951*$M951</f>
        <v/>
      </c>
      <c r="AA951" s="14">
        <f>SUM(N951:Y951)</f>
        <v/>
      </c>
      <c r="AB951" s="14">
        <f>IFERROR(IF(UPPER($E951)="L",SUMPRODUCT(N951:Y951,$N$3:$Y$3,$N$2:$Y$2),SUMPRODUCT(N951:Y951,$N$4:$Y$4,$N$2:$Y$2))/(Z951/($K951*$L951*$M951)),"")</f>
        <v/>
      </c>
      <c r="AC951" s="18" t="n"/>
    </row>
    <row r="952">
      <c r="A952" s="9" t="n">
        <v>827290</v>
      </c>
      <c r="B952" s="9" t="inlineStr">
        <is>
          <t>Paul Gutierrez-Contreras II</t>
        </is>
      </c>
      <c r="C952" s="9" t="inlineStr">
        <is>
          <t>NYY</t>
        </is>
      </c>
      <c r="D952" s="9" t="n">
        <v>25</v>
      </c>
      <c r="E952" s="16" t="inlineStr">
        <is>
          <t>R</t>
        </is>
      </c>
      <c r="F952" s="16" t="n"/>
      <c r="G952" s="9" t="n">
        <v>8.615384615384615</v>
      </c>
      <c r="H952" s="9" t="n">
        <v>8.615384615384615</v>
      </c>
      <c r="I952" s="9" t="inlineStr">
        <is>
          <t>Depth (no MLB PA)</t>
        </is>
      </c>
      <c r="J952" s="16" t="inlineStr">
        <is>
          <t>Opening Day</t>
        </is>
      </c>
      <c r="K952" s="11">
        <f>IFERROR(INDEX(Roles!$B$17:$B$20,MATCH(J952,Roles!$A$17:$A$20,0)),1)</f>
        <v/>
      </c>
      <c r="L952" s="17" t="n">
        <v>1</v>
      </c>
      <c r="M952" s="11" t="n">
        <v>1</v>
      </c>
      <c r="N952" s="17" t="n"/>
      <c r="O952" s="17" t="n"/>
      <c r="P952" s="17" t="n"/>
      <c r="Q952" s="17" t="n"/>
      <c r="R952" s="17" t="n"/>
      <c r="S952" s="17" t="n"/>
      <c r="T952" s="17" t="n"/>
      <c r="U952" s="17" t="n"/>
      <c r="V952" s="17" t="n"/>
      <c r="W952" s="17" t="n"/>
      <c r="X952" s="17" t="n"/>
      <c r="Y952" s="17" t="n">
        <v>1</v>
      </c>
      <c r="Z952" s="13">
        <f>SUMPRODUCT(N952:Y952,$N$2:$Y$2)*$K952*$L952*$M952</f>
        <v/>
      </c>
      <c r="AA952" s="14">
        <f>SUM(N952:Y952)</f>
        <v/>
      </c>
      <c r="AB952" s="14">
        <f>IFERROR(IF(UPPER($E952)="L",SUMPRODUCT(N952:Y952,$N$3:$Y$3,$N$2:$Y$2),SUMPRODUCT(N952:Y952,$N$4:$Y$4,$N$2:$Y$2))/(Z952/($K952*$L952*$M952)),"")</f>
        <v/>
      </c>
      <c r="AC952" s="18" t="n"/>
    </row>
    <row r="953">
      <c r="A953" s="9" t="n">
        <v>811602</v>
      </c>
      <c r="B953" s="9" t="inlineStr">
        <is>
          <t>Yimy Tovar</t>
        </is>
      </c>
      <c r="C953" s="9" t="inlineStr">
        <is>
          <t>SD</t>
        </is>
      </c>
      <c r="D953" s="9" t="n">
        <v>25</v>
      </c>
      <c r="E953" s="16" t="inlineStr">
        <is>
          <t>R</t>
        </is>
      </c>
      <c r="F953" s="16" t="n"/>
      <c r="G953" s="9" t="n">
        <v>8.410256410256411</v>
      </c>
      <c r="H953" s="9" t="n">
        <v>8.410256410256411</v>
      </c>
      <c r="I953" s="9" t="inlineStr">
        <is>
          <t>Depth (no MLB PA)</t>
        </is>
      </c>
      <c r="J953" s="16" t="inlineStr">
        <is>
          <t>Opening Day</t>
        </is>
      </c>
      <c r="K953" s="11">
        <f>IFERROR(INDEX(Roles!$B$17:$B$20,MATCH(J953,Roles!$A$17:$A$20,0)),1)</f>
        <v/>
      </c>
      <c r="L953" s="17" t="n">
        <v>1</v>
      </c>
      <c r="M953" s="11" t="n">
        <v>1</v>
      </c>
      <c r="N953" s="17" t="n"/>
      <c r="O953" s="17" t="n"/>
      <c r="P953" s="17" t="n"/>
      <c r="Q953" s="17" t="n"/>
      <c r="R953" s="17" t="n"/>
      <c r="S953" s="17" t="n"/>
      <c r="T953" s="17" t="n"/>
      <c r="U953" s="17" t="n"/>
      <c r="V953" s="17" t="n"/>
      <c r="W953" s="17" t="n"/>
      <c r="X953" s="17" t="n"/>
      <c r="Y953" s="17" t="n">
        <v>1</v>
      </c>
      <c r="Z953" s="13">
        <f>SUMPRODUCT(N953:Y953,$N$2:$Y$2)*$K953*$L953*$M953</f>
        <v/>
      </c>
      <c r="AA953" s="14">
        <f>SUM(N953:Y953)</f>
        <v/>
      </c>
      <c r="AB953" s="14">
        <f>IFERROR(IF(UPPER($E953)="L",SUMPRODUCT(N953:Y953,$N$3:$Y$3,$N$2:$Y$2),SUMPRODUCT(N953:Y953,$N$4:$Y$4,$N$2:$Y$2))/(Z953/($K953*$L953*$M953)),"")</f>
        <v/>
      </c>
      <c r="AC953" s="18" t="n"/>
    </row>
    <row r="954">
      <c r="A954" s="9" t="n">
        <v>800299</v>
      </c>
      <c r="B954" s="9" t="inlineStr">
        <is>
          <t>Diomedes Hernandez</t>
        </is>
      </c>
      <c r="C954" s="9" t="inlineStr">
        <is>
          <t>NYY</t>
        </is>
      </c>
      <c r="D954" s="9" t="n">
        <v>25</v>
      </c>
      <c r="E954" s="16" t="inlineStr">
        <is>
          <t>R</t>
        </is>
      </c>
      <c r="F954" s="16" t="n"/>
      <c r="G954" s="9" t="n">
        <v>4.307692307692308</v>
      </c>
      <c r="H954" s="9" t="n">
        <v>4.307692307692308</v>
      </c>
      <c r="I954" s="9" t="inlineStr">
        <is>
          <t>Depth (no MLB PA)</t>
        </is>
      </c>
      <c r="J954" s="16" t="inlineStr">
        <is>
          <t>Opening Day</t>
        </is>
      </c>
      <c r="K954" s="11">
        <f>IFERROR(INDEX(Roles!$B$17:$B$20,MATCH(J954,Roles!$A$17:$A$20,0)),1)</f>
        <v/>
      </c>
      <c r="L954" s="17" t="n">
        <v>1</v>
      </c>
      <c r="M954" s="11" t="n">
        <v>1</v>
      </c>
      <c r="N954" s="17" t="n"/>
      <c r="O954" s="17" t="n"/>
      <c r="P954" s="17" t="n"/>
      <c r="Q954" s="17" t="n"/>
      <c r="R954" s="17" t="n"/>
      <c r="S954" s="17" t="n"/>
      <c r="T954" s="17" t="n"/>
      <c r="U954" s="17" t="n"/>
      <c r="V954" s="17" t="n"/>
      <c r="W954" s="17" t="n"/>
      <c r="X954" s="17" t="n"/>
      <c r="Y954" s="17" t="n">
        <v>1</v>
      </c>
      <c r="Z954" s="13">
        <f>SUMPRODUCT(N954:Y954,$N$2:$Y$2)*$K954*$L954*$M954</f>
        <v/>
      </c>
      <c r="AA954" s="14">
        <f>SUM(N954:Y954)</f>
        <v/>
      </c>
      <c r="AB954" s="14">
        <f>IFERROR(IF(UPPER($E954)="L",SUMPRODUCT(N954:Y954,$N$3:$Y$3,$N$2:$Y$2),SUMPRODUCT(N954:Y954,$N$4:$Y$4,$N$2:$Y$2))/(Z954/($K954*$L954*$M954)),"")</f>
        <v/>
      </c>
      <c r="AC954" s="18" t="n"/>
    </row>
    <row r="955">
      <c r="A955" s="9" t="n">
        <v>803124</v>
      </c>
      <c r="B955" s="9" t="inlineStr">
        <is>
          <t>Tristan Bissetta</t>
        </is>
      </c>
      <c r="C955" s="9" t="inlineStr">
        <is>
          <t>STL</t>
        </is>
      </c>
      <c r="D955" s="9" t="n">
        <v>25</v>
      </c>
      <c r="E955" s="16" t="inlineStr">
        <is>
          <t>L</t>
        </is>
      </c>
      <c r="F955" s="16" t="n"/>
      <c r="G955" s="9" t="n">
        <v>16.41025641025641</v>
      </c>
      <c r="H955" s="9" t="n">
        <v>16.41025641025641</v>
      </c>
      <c r="I955" s="9" t="inlineStr">
        <is>
          <t>Depth (no MLB PA)</t>
        </is>
      </c>
      <c r="J955" s="16" t="inlineStr">
        <is>
          <t>Opening Day</t>
        </is>
      </c>
      <c r="K955" s="11">
        <f>IFERROR(INDEX(Roles!$B$17:$B$20,MATCH(J955,Roles!$A$17:$A$20,0)),1)</f>
        <v/>
      </c>
      <c r="L955" s="17" t="n">
        <v>1</v>
      </c>
      <c r="M955" s="11" t="n">
        <v>1</v>
      </c>
      <c r="N955" s="17" t="n"/>
      <c r="O955" s="17" t="n"/>
      <c r="P955" s="17" t="n"/>
      <c r="Q955" s="17" t="n"/>
      <c r="R955" s="17" t="n"/>
      <c r="S955" s="17" t="n"/>
      <c r="T955" s="17" t="n"/>
      <c r="U955" s="17" t="n"/>
      <c r="V955" s="17" t="n"/>
      <c r="W955" s="17" t="n"/>
      <c r="X955" s="17" t="n"/>
      <c r="Y955" s="17" t="n">
        <v>1</v>
      </c>
      <c r="Z955" s="13">
        <f>SUMPRODUCT(N955:Y955,$N$2:$Y$2)*$K955*$L955*$M955</f>
        <v/>
      </c>
      <c r="AA955" s="14">
        <f>SUM(N955:Y955)</f>
        <v/>
      </c>
      <c r="AB955" s="14">
        <f>IFERROR(IF(UPPER($E955)="L",SUMPRODUCT(N955:Y955,$N$3:$Y$3,$N$2:$Y$2),SUMPRODUCT(N955:Y955,$N$4:$Y$4,$N$2:$Y$2))/(Z955/($K955*$L955*$M955)),"")</f>
        <v/>
      </c>
      <c r="AC955" s="18" t="n"/>
    </row>
    <row r="956">
      <c r="A956" s="9" t="n">
        <v>836153</v>
      </c>
      <c r="B956" s="9" t="inlineStr">
        <is>
          <t>Alex Ungar</t>
        </is>
      </c>
      <c r="C956" s="9" t="inlineStr">
        <is>
          <t>CWS</t>
        </is>
      </c>
      <c r="D956" s="9" t="n">
        <v>25</v>
      </c>
      <c r="E956" s="16" t="inlineStr">
        <is>
          <t>R</t>
        </is>
      </c>
      <c r="F956" s="16" t="n"/>
      <c r="G956" s="9" t="n">
        <v>32.82051282051282</v>
      </c>
      <c r="H956" s="9" t="n">
        <v>32.82051282051282</v>
      </c>
      <c r="I956" s="9" t="inlineStr">
        <is>
          <t>Depth (no MLB PA)</t>
        </is>
      </c>
      <c r="J956" s="16" t="inlineStr">
        <is>
          <t>Opening Day</t>
        </is>
      </c>
      <c r="K956" s="11">
        <f>IFERROR(INDEX(Roles!$B$17:$B$20,MATCH(J956,Roles!$A$17:$A$20,0)),1)</f>
        <v/>
      </c>
      <c r="L956" s="17" t="n">
        <v>1</v>
      </c>
      <c r="M956" s="11" t="n">
        <v>1</v>
      </c>
      <c r="N956" s="17" t="n"/>
      <c r="O956" s="17" t="n"/>
      <c r="P956" s="17" t="n"/>
      <c r="Q956" s="17" t="n"/>
      <c r="R956" s="17" t="n"/>
      <c r="S956" s="17" t="n"/>
      <c r="T956" s="17" t="n"/>
      <c r="U956" s="17" t="n"/>
      <c r="V956" s="17" t="n"/>
      <c r="W956" s="17" t="n"/>
      <c r="X956" s="17" t="n"/>
      <c r="Y956" s="17" t="n">
        <v>1</v>
      </c>
      <c r="Z956" s="13">
        <f>SUMPRODUCT(N956:Y956,$N$2:$Y$2)*$K956*$L956*$M956</f>
        <v/>
      </c>
      <c r="AA956" s="14">
        <f>SUM(N956:Y956)</f>
        <v/>
      </c>
      <c r="AB956" s="14">
        <f>IFERROR(IF(UPPER($E956)="L",SUMPRODUCT(N956:Y956,$N$3:$Y$3,$N$2:$Y$2),SUMPRODUCT(N956:Y956,$N$4:$Y$4,$N$2:$Y$2))/(Z956/($K956*$L956*$M956)),"")</f>
        <v/>
      </c>
      <c r="AC956" s="18" t="n"/>
    </row>
    <row r="957">
      <c r="A957" s="9" t="n">
        <v>813935</v>
      </c>
      <c r="B957" s="9" t="inlineStr">
        <is>
          <t>Ty Head</t>
        </is>
      </c>
      <c r="C957" s="9" t="inlineStr">
        <is>
          <t>BAL</t>
        </is>
      </c>
      <c r="D957" s="9" t="n">
        <v>22</v>
      </c>
      <c r="E957" s="16" t="inlineStr">
        <is>
          <t>L</t>
        </is>
      </c>
      <c r="F957" s="16" t="n"/>
      <c r="G957" s="9" t="n">
        <v>4.307692307692308</v>
      </c>
      <c r="H957" s="9" t="n">
        <v>4.307692307692308</v>
      </c>
      <c r="I957" s="9" t="inlineStr">
        <is>
          <t>Depth (no MLB PA)</t>
        </is>
      </c>
      <c r="J957" s="16" t="inlineStr">
        <is>
          <t>Opening Day</t>
        </is>
      </c>
      <c r="K957" s="11">
        <f>IFERROR(INDEX(Roles!$B$17:$B$20,MATCH(J957,Roles!$A$17:$A$20,0)),1)</f>
        <v/>
      </c>
      <c r="L957" s="17" t="n">
        <v>1</v>
      </c>
      <c r="M957" s="11" t="n">
        <v>1</v>
      </c>
      <c r="N957" s="17" t="n"/>
      <c r="O957" s="17" t="n"/>
      <c r="P957" s="17" t="n"/>
      <c r="Q957" s="17" t="n"/>
      <c r="R957" s="17" t="n"/>
      <c r="S957" s="17" t="n"/>
      <c r="T957" s="17" t="n"/>
      <c r="U957" s="17" t="n"/>
      <c r="V957" s="17" t="n"/>
      <c r="W957" s="17" t="n"/>
      <c r="X957" s="17" t="n"/>
      <c r="Y957" s="17" t="n">
        <v>1</v>
      </c>
      <c r="Z957" s="13">
        <f>SUMPRODUCT(N957:Y957,$N$2:$Y$2)*$K957*$L957*$M957</f>
        <v/>
      </c>
      <c r="AA957" s="14">
        <f>SUM(N957:Y957)</f>
        <v/>
      </c>
      <c r="AB957" s="14">
        <f>IFERROR(IF(UPPER($E957)="L",SUMPRODUCT(N957:Y957,$N$3:$Y$3,$N$2:$Y$2),SUMPRODUCT(N957:Y957,$N$4:$Y$4,$N$2:$Y$2))/(Z957/($K957*$L957*$M957)),"")</f>
        <v/>
      </c>
      <c r="AC957" s="18" t="n"/>
    </row>
    <row r="958">
      <c r="A958" s="9" t="n">
        <v>695477</v>
      </c>
      <c r="B958" s="9" t="inlineStr">
        <is>
          <t>Slate Alford</t>
        </is>
      </c>
      <c r="C958" s="9" t="inlineStr">
        <is>
          <t>LAA</t>
        </is>
      </c>
      <c r="D958" s="9" t="n">
        <v>25</v>
      </c>
      <c r="E958" s="16" t="inlineStr">
        <is>
          <t>R</t>
        </is>
      </c>
      <c r="F958" s="16" t="n"/>
      <c r="G958" s="9" t="n">
        <v>8.410256410256411</v>
      </c>
      <c r="H958" s="9" t="n">
        <v>8.410256410256411</v>
      </c>
      <c r="I958" s="9" t="inlineStr">
        <is>
          <t>Depth (no MLB PA)</t>
        </is>
      </c>
      <c r="J958" s="16" t="inlineStr">
        <is>
          <t>Opening Day</t>
        </is>
      </c>
      <c r="K958" s="11">
        <f>IFERROR(INDEX(Roles!$B$17:$B$20,MATCH(J958,Roles!$A$17:$A$20,0)),1)</f>
        <v/>
      </c>
      <c r="L958" s="17" t="n">
        <v>1</v>
      </c>
      <c r="M958" s="11" t="n">
        <v>1</v>
      </c>
      <c r="N958" s="17" t="n"/>
      <c r="O958" s="17" t="n"/>
      <c r="P958" s="17" t="n"/>
      <c r="Q958" s="17" t="n"/>
      <c r="R958" s="17" t="n"/>
      <c r="S958" s="17" t="n"/>
      <c r="T958" s="17" t="n"/>
      <c r="U958" s="17" t="n"/>
      <c r="V958" s="17" t="n"/>
      <c r="W958" s="17" t="n"/>
      <c r="X958" s="17" t="n"/>
      <c r="Y958" s="17" t="n">
        <v>1</v>
      </c>
      <c r="Z958" s="13">
        <f>SUMPRODUCT(N958:Y958,$N$2:$Y$2)*$K958*$L958*$M958</f>
        <v/>
      </c>
      <c r="AA958" s="14">
        <f>SUM(N958:Y958)</f>
        <v/>
      </c>
      <c r="AB958" s="14">
        <f>IFERROR(IF(UPPER($E958)="L",SUMPRODUCT(N958:Y958,$N$3:$Y$3,$N$2:$Y$2),SUMPRODUCT(N958:Y958,$N$4:$Y$4,$N$2:$Y$2))/(Z958/($K958*$L958*$M958)),"")</f>
        <v/>
      </c>
      <c r="AC958" s="18" t="n"/>
    </row>
    <row r="959">
      <c r="A959" s="9" t="n">
        <v>823455</v>
      </c>
      <c r="B959" s="9" t="inlineStr">
        <is>
          <t>Petey Soto Jr.</t>
        </is>
      </c>
      <c r="C959" s="9" t="inlineStr">
        <is>
          <t>HOU</t>
        </is>
      </c>
      <c r="D959" s="9" t="n">
        <v>25</v>
      </c>
      <c r="E959" s="16" t="inlineStr">
        <is>
          <t>R</t>
        </is>
      </c>
      <c r="F959" s="16" t="n"/>
      <c r="G959" s="9" t="n">
        <v>4.430769230769231</v>
      </c>
      <c r="H959" s="9" t="n">
        <v>4.430769230769231</v>
      </c>
      <c r="I959" s="9" t="inlineStr">
        <is>
          <t>Depth (no MLB PA)</t>
        </is>
      </c>
      <c r="J959" s="16" t="inlineStr">
        <is>
          <t>Opening Day</t>
        </is>
      </c>
      <c r="K959" s="11">
        <f>IFERROR(INDEX(Roles!$B$17:$B$20,MATCH(J959,Roles!$A$17:$A$20,0)),1)</f>
        <v/>
      </c>
      <c r="L959" s="17" t="n">
        <v>1</v>
      </c>
      <c r="M959" s="11" t="n">
        <v>1</v>
      </c>
      <c r="N959" s="17" t="n"/>
      <c r="O959" s="17" t="n"/>
      <c r="P959" s="17" t="n"/>
      <c r="Q959" s="17" t="n"/>
      <c r="R959" s="17" t="n"/>
      <c r="S959" s="17" t="n"/>
      <c r="T959" s="17" t="n"/>
      <c r="U959" s="17" t="n"/>
      <c r="V959" s="17" t="n"/>
      <c r="W959" s="17" t="n"/>
      <c r="X959" s="17" t="n"/>
      <c r="Y959" s="17" t="n">
        <v>1</v>
      </c>
      <c r="Z959" s="13">
        <f>SUMPRODUCT(N959:Y959,$N$2:$Y$2)*$K959*$L959*$M959</f>
        <v/>
      </c>
      <c r="AA959" s="14">
        <f>SUM(N959:Y959)</f>
        <v/>
      </c>
      <c r="AB959" s="14">
        <f>IFERROR(IF(UPPER($E959)="L",SUMPRODUCT(N959:Y959,$N$3:$Y$3,$N$2:$Y$2),SUMPRODUCT(N959:Y959,$N$4:$Y$4,$N$2:$Y$2))/(Z959/($K959*$L959*$M959)),"")</f>
        <v/>
      </c>
      <c r="AC959" s="18" t="n"/>
    </row>
    <row r="960">
      <c r="A960" s="9" t="n">
        <v>806174</v>
      </c>
      <c r="B960" s="9" t="inlineStr">
        <is>
          <t>Cameron Nelson</t>
        </is>
      </c>
      <c r="C960" s="9" t="inlineStr">
        <is>
          <t>COL</t>
        </is>
      </c>
      <c r="D960" s="9" t="n">
        <v>25</v>
      </c>
      <c r="E960" s="16" t="inlineStr">
        <is>
          <t>L</t>
        </is>
      </c>
      <c r="F960" s="16" t="n"/>
      <c r="G960" s="9" t="n">
        <v>8.615384615384617</v>
      </c>
      <c r="H960" s="9" t="n">
        <v>8.615384615384617</v>
      </c>
      <c r="I960" s="9" t="inlineStr">
        <is>
          <t>Depth (no MLB PA)</t>
        </is>
      </c>
      <c r="J960" s="16" t="inlineStr">
        <is>
          <t>Opening Day</t>
        </is>
      </c>
      <c r="K960" s="11">
        <f>IFERROR(INDEX(Roles!$B$17:$B$20,MATCH(J960,Roles!$A$17:$A$20,0)),1)</f>
        <v/>
      </c>
      <c r="L960" s="17" t="n">
        <v>1</v>
      </c>
      <c r="M960" s="11" t="n">
        <v>1</v>
      </c>
      <c r="N960" s="17" t="n"/>
      <c r="O960" s="17" t="n"/>
      <c r="P960" s="17" t="n"/>
      <c r="Q960" s="17" t="n"/>
      <c r="R960" s="17" t="n"/>
      <c r="S960" s="17" t="n"/>
      <c r="T960" s="17" t="n"/>
      <c r="U960" s="17" t="n"/>
      <c r="V960" s="17" t="n"/>
      <c r="W960" s="17" t="n"/>
      <c r="X960" s="17" t="n"/>
      <c r="Y960" s="17" t="n">
        <v>1</v>
      </c>
      <c r="Z960" s="13">
        <f>SUMPRODUCT(N960:Y960,$N$2:$Y$2)*$K960*$L960*$M960</f>
        <v/>
      </c>
      <c r="AA960" s="14">
        <f>SUM(N960:Y960)</f>
        <v/>
      </c>
      <c r="AB960" s="14">
        <f>IFERROR(IF(UPPER($E960)="L",SUMPRODUCT(N960:Y960,$N$3:$Y$3,$N$2:$Y$2),SUMPRODUCT(N960:Y960,$N$4:$Y$4,$N$2:$Y$2))/(Z960/($K960*$L960*$M960)),"")</f>
        <v/>
      </c>
      <c r="AC960" s="18" t="n"/>
    </row>
    <row r="961">
      <c r="A961" s="9" t="n">
        <v>703569</v>
      </c>
      <c r="B961" s="9" t="inlineStr">
        <is>
          <t>Brandon Crabtree</t>
        </is>
      </c>
      <c r="C961" s="9" t="inlineStr">
        <is>
          <t>TEX</t>
        </is>
      </c>
      <c r="D961" s="9" t="n">
        <v>25</v>
      </c>
      <c r="E961" s="16" t="inlineStr">
        <is>
          <t>L</t>
        </is>
      </c>
      <c r="F961" s="16" t="n"/>
      <c r="G961" s="9" t="n">
        <v>4.512820512820514</v>
      </c>
      <c r="H961" s="9" t="n">
        <v>4.512820512820514</v>
      </c>
      <c r="I961" s="9" t="inlineStr">
        <is>
          <t>Depth (no MLB PA)</t>
        </is>
      </c>
      <c r="J961" s="16" t="inlineStr">
        <is>
          <t>Opening Day</t>
        </is>
      </c>
      <c r="K961" s="11">
        <f>IFERROR(INDEX(Roles!$B$17:$B$20,MATCH(J961,Roles!$A$17:$A$20,0)),1)</f>
        <v/>
      </c>
      <c r="L961" s="17" t="n">
        <v>1</v>
      </c>
      <c r="M961" s="11" t="n">
        <v>1</v>
      </c>
      <c r="N961" s="17" t="n"/>
      <c r="O961" s="17" t="n"/>
      <c r="P961" s="17" t="n"/>
      <c r="Q961" s="17" t="n"/>
      <c r="R961" s="17" t="n"/>
      <c r="S961" s="17" t="n"/>
      <c r="T961" s="17" t="n"/>
      <c r="U961" s="17" t="n"/>
      <c r="V961" s="17" t="n"/>
      <c r="W961" s="17" t="n"/>
      <c r="X961" s="17" t="n"/>
      <c r="Y961" s="17" t="n">
        <v>1</v>
      </c>
      <c r="Z961" s="13">
        <f>SUMPRODUCT(N961:Y961,$N$2:$Y$2)*$K961*$L961*$M961</f>
        <v/>
      </c>
      <c r="AA961" s="14">
        <f>SUM(N961:Y961)</f>
        <v/>
      </c>
      <c r="AB961" s="14">
        <f>IFERROR(IF(UPPER($E961)="L",SUMPRODUCT(N961:Y961,$N$3:$Y$3,$N$2:$Y$2),SUMPRODUCT(N961:Y961,$N$4:$Y$4,$N$2:$Y$2))/(Z961/($K961*$L961*$M961)),"")</f>
        <v/>
      </c>
      <c r="AC961" s="18" t="n"/>
    </row>
    <row r="962">
      <c r="A962" s="9" t="n">
        <v>828318</v>
      </c>
      <c r="B962" s="9" t="inlineStr">
        <is>
          <t>Jaiden Lo Re</t>
        </is>
      </c>
      <c r="C962" s="9" t="inlineStr">
        <is>
          <t>BAL</t>
        </is>
      </c>
      <c r="D962" s="9" t="n">
        <v>20</v>
      </c>
      <c r="E962" s="16" t="inlineStr">
        <is>
          <t>R</t>
        </is>
      </c>
      <c r="F962" s="16" t="n"/>
      <c r="G962" s="9" t="n">
        <v>8.615384615384617</v>
      </c>
      <c r="H962" s="9" t="n">
        <v>8.615384615384617</v>
      </c>
      <c r="I962" s="9" t="inlineStr">
        <is>
          <t>Depth (no MLB PA)</t>
        </is>
      </c>
      <c r="J962" s="16" t="inlineStr">
        <is>
          <t>Opening Day</t>
        </is>
      </c>
      <c r="K962" s="11">
        <f>IFERROR(INDEX(Roles!$B$17:$B$20,MATCH(J962,Roles!$A$17:$A$20,0)),1)</f>
        <v/>
      </c>
      <c r="L962" s="17" t="n">
        <v>1</v>
      </c>
      <c r="M962" s="11" t="n">
        <v>1</v>
      </c>
      <c r="N962" s="17" t="n"/>
      <c r="O962" s="17" t="n"/>
      <c r="P962" s="17" t="n"/>
      <c r="Q962" s="17" t="n"/>
      <c r="R962" s="17" t="n"/>
      <c r="S962" s="17" t="n"/>
      <c r="T962" s="17" t="n"/>
      <c r="U962" s="17" t="n"/>
      <c r="V962" s="17" t="n"/>
      <c r="W962" s="17" t="n"/>
      <c r="X962" s="17" t="n"/>
      <c r="Y962" s="17" t="n">
        <v>1</v>
      </c>
      <c r="Z962" s="13">
        <f>SUMPRODUCT(N962:Y962,$N$2:$Y$2)*$K962*$L962*$M962</f>
        <v/>
      </c>
      <c r="AA962" s="14">
        <f>SUM(N962:Y962)</f>
        <v/>
      </c>
      <c r="AB962" s="14">
        <f>IFERROR(IF(UPPER($E962)="L",SUMPRODUCT(N962:Y962,$N$3:$Y$3,$N$2:$Y$2),SUMPRODUCT(N962:Y962,$N$4:$Y$4,$N$2:$Y$2))/(Z962/($K962*$L962*$M962)),"")</f>
        <v/>
      </c>
      <c r="AC962" s="18" t="n"/>
    </row>
    <row r="963">
      <c r="A963" s="9" t="n">
        <v>695601</v>
      </c>
      <c r="B963" s="9" t="inlineStr">
        <is>
          <t>Chris Katz</t>
        </is>
      </c>
      <c r="C963" s="9" t="inlineStr">
        <is>
          <t>ARI</t>
        </is>
      </c>
      <c r="D963" s="9" t="n">
        <v>25</v>
      </c>
      <c r="E963" s="16" t="inlineStr">
        <is>
          <t>R</t>
        </is>
      </c>
      <c r="F963" s="16" t="n"/>
      <c r="G963" s="9" t="n">
        <v>8.615384615384617</v>
      </c>
      <c r="H963" s="9" t="n">
        <v>8.615384615384617</v>
      </c>
      <c r="I963" s="9" t="inlineStr">
        <is>
          <t>Depth (no MLB PA)</t>
        </is>
      </c>
      <c r="J963" s="16" t="inlineStr">
        <is>
          <t>Opening Day</t>
        </is>
      </c>
      <c r="K963" s="11">
        <f>IFERROR(INDEX(Roles!$B$17:$B$20,MATCH(J963,Roles!$A$17:$A$20,0)),1)</f>
        <v/>
      </c>
      <c r="L963" s="17" t="n">
        <v>1</v>
      </c>
      <c r="M963" s="11" t="n">
        <v>1</v>
      </c>
      <c r="N963" s="17" t="n"/>
      <c r="O963" s="17" t="n"/>
      <c r="P963" s="17" t="n"/>
      <c r="Q963" s="17" t="n"/>
      <c r="R963" s="17" t="n"/>
      <c r="S963" s="17" t="n"/>
      <c r="T963" s="17" t="n"/>
      <c r="U963" s="17" t="n"/>
      <c r="V963" s="17" t="n"/>
      <c r="W963" s="17" t="n"/>
      <c r="X963" s="17" t="n"/>
      <c r="Y963" s="17" t="n">
        <v>1</v>
      </c>
      <c r="Z963" s="13">
        <f>SUMPRODUCT(N963:Y963,$N$2:$Y$2)*$K963*$L963*$M963</f>
        <v/>
      </c>
      <c r="AA963" s="14">
        <f>SUM(N963:Y963)</f>
        <v/>
      </c>
      <c r="AB963" s="14">
        <f>IFERROR(IF(UPPER($E963)="L",SUMPRODUCT(N963:Y963,$N$3:$Y$3,$N$2:$Y$2),SUMPRODUCT(N963:Y963,$N$4:$Y$4,$N$2:$Y$2))/(Z963/($K963*$L963*$M963)),"")</f>
        <v/>
      </c>
      <c r="AC963" s="18" t="n"/>
    </row>
    <row r="964">
      <c r="A964" s="9" t="n">
        <v>827624</v>
      </c>
      <c r="B964" s="9" t="inlineStr">
        <is>
          <t>Michael Hallquist</t>
        </is>
      </c>
      <c r="C964" s="9" t="inlineStr">
        <is>
          <t>CHC</t>
        </is>
      </c>
      <c r="D964" s="9" t="n">
        <v>25</v>
      </c>
      <c r="E964" s="16" t="inlineStr">
        <is>
          <t>R</t>
        </is>
      </c>
      <c r="F964" s="16" t="n"/>
      <c r="G964" s="9" t="n">
        <v>28.71794871794872</v>
      </c>
      <c r="H964" s="9" t="n">
        <v>28.71794871794872</v>
      </c>
      <c r="I964" s="9" t="inlineStr">
        <is>
          <t>Depth (no MLB PA)</t>
        </is>
      </c>
      <c r="J964" s="16" t="inlineStr">
        <is>
          <t>Opening Day</t>
        </is>
      </c>
      <c r="K964" s="11">
        <f>IFERROR(INDEX(Roles!$B$17:$B$20,MATCH(J964,Roles!$A$17:$A$20,0)),1)</f>
        <v/>
      </c>
      <c r="L964" s="17" t="n">
        <v>1</v>
      </c>
      <c r="M964" s="11" t="n">
        <v>1</v>
      </c>
      <c r="N964" s="17" t="n"/>
      <c r="O964" s="17" t="n"/>
      <c r="P964" s="17" t="n"/>
      <c r="Q964" s="17" t="n"/>
      <c r="R964" s="17" t="n"/>
      <c r="S964" s="17" t="n"/>
      <c r="T964" s="17" t="n"/>
      <c r="U964" s="17" t="n"/>
      <c r="V964" s="17" t="n"/>
      <c r="W964" s="17" t="n"/>
      <c r="X964" s="17" t="n"/>
      <c r="Y964" s="17" t="n">
        <v>1</v>
      </c>
      <c r="Z964" s="13">
        <f>SUMPRODUCT(N964:Y964,$N$2:$Y$2)*$K964*$L964*$M964</f>
        <v/>
      </c>
      <c r="AA964" s="14">
        <f>SUM(N964:Y964)</f>
        <v/>
      </c>
      <c r="AB964" s="14">
        <f>IFERROR(IF(UPPER($E964)="L",SUMPRODUCT(N964:Y964,$N$3:$Y$3,$N$2:$Y$2),SUMPRODUCT(N964:Y964,$N$4:$Y$4,$N$2:$Y$2))/(Z964/($K964*$L964*$M964)),"")</f>
        <v/>
      </c>
      <c r="AC964" s="18" t="n"/>
    </row>
    <row r="965">
      <c r="A965" s="9" t="n">
        <v>809057</v>
      </c>
      <c r="B965" s="9" t="inlineStr">
        <is>
          <t>Jack Toomey</t>
        </is>
      </c>
      <c r="C965" s="9" t="inlineStr">
        <is>
          <t>NYM</t>
        </is>
      </c>
      <c r="D965" s="9" t="n">
        <v>25</v>
      </c>
      <c r="E965" s="16" t="inlineStr">
        <is>
          <t>R</t>
        </is>
      </c>
      <c r="F965" s="16" t="n"/>
      <c r="G965" s="9" t="n">
        <v>6.523076923076923</v>
      </c>
      <c r="H965" s="9" t="n">
        <v>6.523076923076923</v>
      </c>
      <c r="I965" s="9" t="inlineStr">
        <is>
          <t>Depth (no MLB PA)</t>
        </is>
      </c>
      <c r="J965" s="16" t="inlineStr">
        <is>
          <t>Opening Day</t>
        </is>
      </c>
      <c r="K965" s="11">
        <f>IFERROR(INDEX(Roles!$B$17:$B$20,MATCH(J965,Roles!$A$17:$A$20,0)),1)</f>
        <v/>
      </c>
      <c r="L965" s="17" t="n">
        <v>1</v>
      </c>
      <c r="M965" s="11" t="n">
        <v>1</v>
      </c>
      <c r="N965" s="17" t="n"/>
      <c r="O965" s="17" t="n"/>
      <c r="P965" s="17" t="n"/>
      <c r="Q965" s="17" t="n"/>
      <c r="R965" s="17" t="n"/>
      <c r="S965" s="17" t="n"/>
      <c r="T965" s="17" t="n"/>
      <c r="U965" s="17" t="n"/>
      <c r="V965" s="17" t="n"/>
      <c r="W965" s="17" t="n"/>
      <c r="X965" s="17" t="n"/>
      <c r="Y965" s="17" t="n">
        <v>1</v>
      </c>
      <c r="Z965" s="13">
        <f>SUMPRODUCT(N965:Y965,$N$2:$Y$2)*$K965*$L965*$M965</f>
        <v/>
      </c>
      <c r="AA965" s="14">
        <f>SUM(N965:Y965)</f>
        <v/>
      </c>
      <c r="AB965" s="14">
        <f>IFERROR(IF(UPPER($E965)="L",SUMPRODUCT(N965:Y965,$N$3:$Y$3,$N$2:$Y$2),SUMPRODUCT(N965:Y965,$N$4:$Y$4,$N$2:$Y$2))/(Z965/($K965*$L965*$M965)),"")</f>
        <v/>
      </c>
      <c r="AC965" s="18" t="n"/>
    </row>
    <row r="966">
      <c r="A966" s="9" t="n">
        <v>823173</v>
      </c>
      <c r="B966" s="9" t="inlineStr">
        <is>
          <t>James Taussig</t>
        </is>
      </c>
      <c r="C966" s="9" t="inlineStr">
        <is>
          <t>CWS</t>
        </is>
      </c>
      <c r="D966" s="9" t="n">
        <v>25</v>
      </c>
      <c r="E966" s="16" t="inlineStr">
        <is>
          <t>L</t>
        </is>
      </c>
      <c r="F966" s="16" t="n"/>
      <c r="G966" s="9" t="n">
        <v>21.17948717948718</v>
      </c>
      <c r="H966" s="9" t="n">
        <v>21.17948717948718</v>
      </c>
      <c r="I966" s="9" t="inlineStr">
        <is>
          <t>Depth (no MLB PA)</t>
        </is>
      </c>
      <c r="J966" s="16" t="inlineStr">
        <is>
          <t>Opening Day</t>
        </is>
      </c>
      <c r="K966" s="11">
        <f>IFERROR(INDEX(Roles!$B$17:$B$20,MATCH(J966,Roles!$A$17:$A$20,0)),1)</f>
        <v/>
      </c>
      <c r="L966" s="17" t="n">
        <v>1</v>
      </c>
      <c r="M966" s="11" t="n">
        <v>1</v>
      </c>
      <c r="N966" s="17" t="n"/>
      <c r="O966" s="17" t="n"/>
      <c r="P966" s="17" t="n"/>
      <c r="Q966" s="17" t="n"/>
      <c r="R966" s="17" t="n"/>
      <c r="S966" s="17" t="n"/>
      <c r="T966" s="17" t="n"/>
      <c r="U966" s="17" t="n"/>
      <c r="V966" s="17" t="n"/>
      <c r="W966" s="17" t="n"/>
      <c r="X966" s="17" t="n"/>
      <c r="Y966" s="17" t="n">
        <v>1</v>
      </c>
      <c r="Z966" s="13">
        <f>SUMPRODUCT(N966:Y966,$N$2:$Y$2)*$K966*$L966*$M966</f>
        <v/>
      </c>
      <c r="AA966" s="14">
        <f>SUM(N966:Y966)</f>
        <v/>
      </c>
      <c r="AB966" s="14">
        <f>IFERROR(IF(UPPER($E966)="L",SUMPRODUCT(N966:Y966,$N$3:$Y$3,$N$2:$Y$2),SUMPRODUCT(N966:Y966,$N$4:$Y$4,$N$2:$Y$2))/(Z966/($K966*$L966*$M966)),"")</f>
        <v/>
      </c>
      <c r="AC966" s="18" t="n"/>
    </row>
    <row r="967">
      <c r="A967" s="9" t="n">
        <v>664057</v>
      </c>
      <c r="B967" s="9" t="inlineStr">
        <is>
          <t>Andrew Stevenson</t>
        </is>
      </c>
      <c r="C967" s="9" t="inlineStr">
        <is>
          <t>MIN</t>
        </is>
      </c>
      <c r="D967" s="9" t="n">
        <v>33</v>
      </c>
      <c r="E967" s="16" t="inlineStr">
        <is>
          <t>L</t>
        </is>
      </c>
      <c r="F967" s="16" t="inlineStr">
        <is>
          <t>CF</t>
        </is>
      </c>
      <c r="G967" s="9" t="n">
        <v>40</v>
      </c>
      <c r="H967" s="9" t="n">
        <v>40</v>
      </c>
      <c r="I967" s="9" t="inlineStr">
        <is>
          <t>Depth (no MLB PA)</t>
        </is>
      </c>
      <c r="J967" s="16" t="inlineStr">
        <is>
          <t>Opening Day</t>
        </is>
      </c>
      <c r="K967" s="11">
        <f>IFERROR(INDEX(Roles!$B$17:$B$20,MATCH(J967,Roles!$A$17:$A$20,0)),1)</f>
        <v/>
      </c>
      <c r="L967" s="17" t="n">
        <v>1</v>
      </c>
      <c r="M967" s="11" t="n">
        <v>1</v>
      </c>
      <c r="N967" s="17" t="n"/>
      <c r="O967" s="17" t="n"/>
      <c r="P967" s="17" t="n"/>
      <c r="Q967" s="17" t="n"/>
      <c r="R967" s="17" t="n"/>
      <c r="S967" s="17" t="n"/>
      <c r="T967" s="17" t="n"/>
      <c r="U967" s="17" t="n"/>
      <c r="V967" s="17" t="n"/>
      <c r="W967" s="17" t="n"/>
      <c r="X967" s="17" t="n"/>
      <c r="Y967" s="17" t="n">
        <v>1</v>
      </c>
      <c r="Z967" s="13">
        <f>SUMPRODUCT(N967:Y967,$N$2:$Y$2)*$K967*$L967*$M967</f>
        <v/>
      </c>
      <c r="AA967" s="14">
        <f>SUM(N967:Y967)</f>
        <v/>
      </c>
      <c r="AB967" s="14">
        <f>IFERROR(IF(UPPER($E967)="L",SUMPRODUCT(N967:Y967,$N$3:$Y$3,$N$2:$Y$2),SUMPRODUCT(N967:Y967,$N$4:$Y$4,$N$2:$Y$2))/(Z967/($K967*$L967*$M967)),"")</f>
        <v/>
      </c>
      <c r="AC967" s="18" t="n"/>
    </row>
    <row r="968">
      <c r="A968" s="9" t="n">
        <v>828620</v>
      </c>
      <c r="B968" s="9" t="inlineStr">
        <is>
          <t>Parker Coddou</t>
        </is>
      </c>
      <c r="C968" s="9" t="inlineStr">
        <is>
          <t>COL</t>
        </is>
      </c>
      <c r="D968" s="9" t="n">
        <v>25</v>
      </c>
      <c r="E968" s="16" t="inlineStr">
        <is>
          <t>L</t>
        </is>
      </c>
      <c r="F968" s="16" t="n"/>
      <c r="G968" s="9" t="n">
        <v>4.512820512820514</v>
      </c>
      <c r="H968" s="9" t="n">
        <v>4.512820512820514</v>
      </c>
      <c r="I968" s="9" t="inlineStr">
        <is>
          <t>Depth (no MLB PA)</t>
        </is>
      </c>
      <c r="J968" s="16" t="inlineStr">
        <is>
          <t>Opening Day</t>
        </is>
      </c>
      <c r="K968" s="11">
        <f>IFERROR(INDEX(Roles!$B$17:$B$20,MATCH(J968,Roles!$A$17:$A$20,0)),1)</f>
        <v/>
      </c>
      <c r="L968" s="17" t="n">
        <v>1</v>
      </c>
      <c r="M968" s="11" t="n">
        <v>1</v>
      </c>
      <c r="N968" s="17" t="n"/>
      <c r="O968" s="17" t="n"/>
      <c r="P968" s="17" t="n"/>
      <c r="Q968" s="17" t="n"/>
      <c r="R968" s="17" t="n"/>
      <c r="S968" s="17" t="n"/>
      <c r="T968" s="17" t="n"/>
      <c r="U968" s="17" t="n"/>
      <c r="V968" s="17" t="n"/>
      <c r="W968" s="17" t="n"/>
      <c r="X968" s="17" t="n"/>
      <c r="Y968" s="17" t="n">
        <v>1</v>
      </c>
      <c r="Z968" s="13">
        <f>SUMPRODUCT(N968:Y968,$N$2:$Y$2)*$K968*$L968*$M968</f>
        <v/>
      </c>
      <c r="AA968" s="14">
        <f>SUM(N968:Y968)</f>
        <v/>
      </c>
      <c r="AB968" s="14">
        <f>IFERROR(IF(UPPER($E968)="L",SUMPRODUCT(N968:Y968,$N$3:$Y$3,$N$2:$Y$2),SUMPRODUCT(N968:Y968,$N$4:$Y$4,$N$2:$Y$2))/(Z968/($K968*$L968*$M968)),"")</f>
        <v/>
      </c>
      <c r="AC968" s="18" t="n"/>
    </row>
    <row r="969">
      <c r="A969" s="9" t="n">
        <v>806223</v>
      </c>
      <c r="B969" s="9" t="inlineStr">
        <is>
          <t>Aidan Smith</t>
        </is>
      </c>
      <c r="C969" s="9" t="inlineStr">
        <is>
          <t>NYM</t>
        </is>
      </c>
      <c r="D969" s="9" t="n">
        <v>25</v>
      </c>
      <c r="E969" s="16" t="inlineStr">
        <is>
          <t>R</t>
        </is>
      </c>
      <c r="F969" s="16" t="n"/>
      <c r="G969" s="9" t="n">
        <v>65.23076923076924</v>
      </c>
      <c r="H969" s="9" t="n">
        <v>65.23076923076924</v>
      </c>
      <c r="I969" s="9" t="inlineStr">
        <is>
          <t>Depth (no MLB PA)</t>
        </is>
      </c>
      <c r="J969" s="16" t="inlineStr">
        <is>
          <t>Opening Day</t>
        </is>
      </c>
      <c r="K969" s="11">
        <f>IFERROR(INDEX(Roles!$B$17:$B$20,MATCH(J969,Roles!$A$17:$A$20,0)),1)</f>
        <v/>
      </c>
      <c r="L969" s="17" t="n">
        <v>1</v>
      </c>
      <c r="M969" s="11" t="n">
        <v>1</v>
      </c>
      <c r="N969" s="17" t="n"/>
      <c r="O969" s="17" t="n"/>
      <c r="P969" s="17" t="n"/>
      <c r="Q969" s="17" t="n"/>
      <c r="R969" s="17" t="n"/>
      <c r="S969" s="17" t="n"/>
      <c r="T969" s="17" t="n"/>
      <c r="U969" s="17" t="n"/>
      <c r="V969" s="17" t="n"/>
      <c r="W969" s="17" t="n"/>
      <c r="X969" s="17" t="n"/>
      <c r="Y969" s="17" t="n">
        <v>1</v>
      </c>
      <c r="Z969" s="13">
        <f>SUMPRODUCT(N969:Y969,$N$2:$Y$2)*$K969*$L969*$M969</f>
        <v/>
      </c>
      <c r="AA969" s="14">
        <f>SUM(N969:Y969)</f>
        <v/>
      </c>
      <c r="AB969" s="14">
        <f>IFERROR(IF(UPPER($E969)="L",SUMPRODUCT(N969:Y969,$N$3:$Y$3,$N$2:$Y$2),SUMPRODUCT(N969:Y969,$N$4:$Y$4,$N$2:$Y$2))/(Z969/($K969*$L969*$M969)),"")</f>
        <v/>
      </c>
      <c r="AC969" s="18" t="n"/>
    </row>
    <row r="970">
      <c r="A970" s="9" t="n">
        <v>821299</v>
      </c>
      <c r="B970" s="9" t="inlineStr">
        <is>
          <t>Caden Ferraro</t>
        </is>
      </c>
      <c r="C970" s="9" t="inlineStr">
        <is>
          <t>STL</t>
        </is>
      </c>
      <c r="D970" s="9" t="n">
        <v>23</v>
      </c>
      <c r="E970" s="16" t="inlineStr">
        <is>
          <t>L</t>
        </is>
      </c>
      <c r="F970" s="16" t="n"/>
      <c r="G970" s="9" t="n">
        <v>17.02564102564103</v>
      </c>
      <c r="H970" s="9" t="n">
        <v>17.02564102564103</v>
      </c>
      <c r="I970" s="9" t="inlineStr">
        <is>
          <t>Depth (no MLB PA)</t>
        </is>
      </c>
      <c r="J970" s="16" t="inlineStr">
        <is>
          <t>Opening Day</t>
        </is>
      </c>
      <c r="K970" s="11">
        <f>IFERROR(INDEX(Roles!$B$17:$B$20,MATCH(J970,Roles!$A$17:$A$20,0)),1)</f>
        <v/>
      </c>
      <c r="L970" s="17" t="n">
        <v>1</v>
      </c>
      <c r="M970" s="11" t="n">
        <v>1</v>
      </c>
      <c r="N970" s="17" t="n"/>
      <c r="O970" s="17" t="n"/>
      <c r="P970" s="17" t="n"/>
      <c r="Q970" s="17" t="n"/>
      <c r="R970" s="17" t="n"/>
      <c r="S970" s="17" t="n"/>
      <c r="T970" s="17" t="n"/>
      <c r="U970" s="17" t="n"/>
      <c r="V970" s="17" t="n"/>
      <c r="W970" s="17" t="n"/>
      <c r="X970" s="17" t="n"/>
      <c r="Y970" s="17" t="n">
        <v>1</v>
      </c>
      <c r="Z970" s="13">
        <f>SUMPRODUCT(N970:Y970,$N$2:$Y$2)*$K970*$L970*$M970</f>
        <v/>
      </c>
      <c r="AA970" s="14">
        <f>SUM(N970:Y970)</f>
        <v/>
      </c>
      <c r="AB970" s="14">
        <f>IFERROR(IF(UPPER($E970)="L",SUMPRODUCT(N970:Y970,$N$3:$Y$3,$N$2:$Y$2),SUMPRODUCT(N970:Y970,$N$4:$Y$4,$N$2:$Y$2))/(Z970/($K970*$L970*$M970)),"")</f>
        <v/>
      </c>
      <c r="AC970" s="18" t="n"/>
    </row>
    <row r="971">
      <c r="A971" s="9" t="n">
        <v>820991</v>
      </c>
      <c r="B971" s="9" t="inlineStr">
        <is>
          <t>Christofer Reyes</t>
        </is>
      </c>
      <c r="C971" s="9" t="inlineStr">
        <is>
          <t>NYY</t>
        </is>
      </c>
      <c r="D971" s="9" t="n">
        <v>25</v>
      </c>
      <c r="E971" s="16" t="inlineStr">
        <is>
          <t>R</t>
        </is>
      </c>
      <c r="F971" s="16" t="n"/>
      <c r="G971" s="9" t="n">
        <v>4.553846153846154</v>
      </c>
      <c r="H971" s="9" t="n">
        <v>4.553846153846154</v>
      </c>
      <c r="I971" s="9" t="inlineStr">
        <is>
          <t>Depth (no MLB PA)</t>
        </is>
      </c>
      <c r="J971" s="16" t="inlineStr">
        <is>
          <t>Opening Day</t>
        </is>
      </c>
      <c r="K971" s="11">
        <f>IFERROR(INDEX(Roles!$B$17:$B$20,MATCH(J971,Roles!$A$17:$A$20,0)),1)</f>
        <v/>
      </c>
      <c r="L971" s="17" t="n">
        <v>1</v>
      </c>
      <c r="M971" s="11" t="n">
        <v>1</v>
      </c>
      <c r="N971" s="17" t="n"/>
      <c r="O971" s="17" t="n"/>
      <c r="P971" s="17" t="n"/>
      <c r="Q971" s="17" t="n"/>
      <c r="R971" s="17" t="n"/>
      <c r="S971" s="17" t="n"/>
      <c r="T971" s="17" t="n"/>
      <c r="U971" s="17" t="n"/>
      <c r="V971" s="17" t="n"/>
      <c r="W971" s="17" t="n"/>
      <c r="X971" s="17" t="n"/>
      <c r="Y971" s="17" t="n">
        <v>1</v>
      </c>
      <c r="Z971" s="13">
        <f>SUMPRODUCT(N971:Y971,$N$2:$Y$2)*$K971*$L971*$M971</f>
        <v/>
      </c>
      <c r="AA971" s="14">
        <f>SUM(N971:Y971)</f>
        <v/>
      </c>
      <c r="AB971" s="14">
        <f>IFERROR(IF(UPPER($E971)="L",SUMPRODUCT(N971:Y971,$N$3:$Y$3,$N$2:$Y$2),SUMPRODUCT(N971:Y971,$N$4:$Y$4,$N$2:$Y$2))/(Z971/($K971*$L971*$M971)),"")</f>
        <v/>
      </c>
      <c r="AC971" s="18" t="n"/>
    </row>
    <row r="972">
      <c r="A972" s="9" t="n">
        <v>822406</v>
      </c>
      <c r="B972" s="9" t="inlineStr">
        <is>
          <t>Dylan Carey</t>
        </is>
      </c>
      <c r="C972" s="9" t="inlineStr">
        <is>
          <t>NYM</t>
        </is>
      </c>
      <c r="D972" s="9" t="n">
        <v>25</v>
      </c>
      <c r="E972" s="16" t="inlineStr">
        <is>
          <t>R</t>
        </is>
      </c>
      <c r="F972" s="16" t="n"/>
      <c r="G972" s="9" t="n">
        <v>8.861538461538462</v>
      </c>
      <c r="H972" s="9" t="n">
        <v>8.861538461538462</v>
      </c>
      <c r="I972" s="9" t="inlineStr">
        <is>
          <t>Depth (no MLB PA)</t>
        </is>
      </c>
      <c r="J972" s="16" t="inlineStr">
        <is>
          <t>Opening Day</t>
        </is>
      </c>
      <c r="K972" s="11">
        <f>IFERROR(INDEX(Roles!$B$17:$B$20,MATCH(J972,Roles!$A$17:$A$20,0)),1)</f>
        <v/>
      </c>
      <c r="L972" s="17" t="n">
        <v>1</v>
      </c>
      <c r="M972" s="11" t="n">
        <v>1</v>
      </c>
      <c r="N972" s="17" t="n"/>
      <c r="O972" s="17" t="n"/>
      <c r="P972" s="17" t="n"/>
      <c r="Q972" s="17" t="n"/>
      <c r="R972" s="17" t="n"/>
      <c r="S972" s="17" t="n"/>
      <c r="T972" s="17" t="n"/>
      <c r="U972" s="17" t="n"/>
      <c r="V972" s="17" t="n"/>
      <c r="W972" s="17" t="n"/>
      <c r="X972" s="17" t="n"/>
      <c r="Y972" s="17" t="n">
        <v>1</v>
      </c>
      <c r="Z972" s="13">
        <f>SUMPRODUCT(N972:Y972,$N$2:$Y$2)*$K972*$L972*$M972</f>
        <v/>
      </c>
      <c r="AA972" s="14">
        <f>SUM(N972:Y972)</f>
        <v/>
      </c>
      <c r="AB972" s="14">
        <f>IFERROR(IF(UPPER($E972)="L",SUMPRODUCT(N972:Y972,$N$3:$Y$3,$N$2:$Y$2),SUMPRODUCT(N972:Y972,$N$4:$Y$4,$N$2:$Y$2))/(Z972/($K972*$L972*$M972)),"")</f>
        <v/>
      </c>
      <c r="AC972" s="18" t="n"/>
    </row>
    <row r="973">
      <c r="A973" s="9" t="n">
        <v>702555</v>
      </c>
      <c r="B973" s="9" t="inlineStr">
        <is>
          <t>Cannon Peebles</t>
        </is>
      </c>
      <c r="C973" s="9" t="inlineStr">
        <is>
          <t>CLE</t>
        </is>
      </c>
      <c r="D973" s="9" t="n">
        <v>25</v>
      </c>
      <c r="E973" s="16" t="inlineStr">
        <is>
          <t>S</t>
        </is>
      </c>
      <c r="F973" s="16" t="n"/>
      <c r="G973" s="9" t="n">
        <v>20.71794871794872</v>
      </c>
      <c r="H973" s="9" t="n">
        <v>20.71794871794872</v>
      </c>
      <c r="I973" s="9" t="inlineStr">
        <is>
          <t>Depth (no MLB PA)</t>
        </is>
      </c>
      <c r="J973" s="16" t="inlineStr">
        <is>
          <t>Opening Day</t>
        </is>
      </c>
      <c r="K973" s="11">
        <f>IFERROR(INDEX(Roles!$B$17:$B$20,MATCH(J973,Roles!$A$17:$A$20,0)),1)</f>
        <v/>
      </c>
      <c r="L973" s="17" t="n">
        <v>1</v>
      </c>
      <c r="M973" s="11" t="n">
        <v>1</v>
      </c>
      <c r="N973" s="17" t="n"/>
      <c r="O973" s="17" t="n"/>
      <c r="P973" s="17" t="n"/>
      <c r="Q973" s="17" t="n"/>
      <c r="R973" s="17" t="n"/>
      <c r="S973" s="17" t="n"/>
      <c r="T973" s="17" t="n"/>
      <c r="U973" s="17" t="n"/>
      <c r="V973" s="17" t="n"/>
      <c r="W973" s="17" t="n"/>
      <c r="X973" s="17" t="n"/>
      <c r="Y973" s="17" t="n">
        <v>1</v>
      </c>
      <c r="Z973" s="13">
        <f>SUMPRODUCT(N973:Y973,$N$2:$Y$2)*$K973*$L973*$M973</f>
        <v/>
      </c>
      <c r="AA973" s="14">
        <f>SUM(N973:Y973)</f>
        <v/>
      </c>
      <c r="AB973" s="14">
        <f>IFERROR(IF(UPPER($E973)="L",SUMPRODUCT(N973:Y973,$N$3:$Y$3,$N$2:$Y$2),SUMPRODUCT(N973:Y973,$N$4:$Y$4,$N$2:$Y$2))/(Z973/($K973*$L973*$M973)),"")</f>
        <v/>
      </c>
      <c r="AC973" s="18" t="n"/>
    </row>
    <row r="974">
      <c r="A974" s="9" t="n">
        <v>808396</v>
      </c>
      <c r="B974" s="9" t="inlineStr">
        <is>
          <t>Jhocsuanth Vargas</t>
        </is>
      </c>
      <c r="C974" s="9" t="inlineStr">
        <is>
          <t>TEX</t>
        </is>
      </c>
      <c r="D974" s="9" t="n">
        <v>25</v>
      </c>
      <c r="E974" s="16" t="inlineStr">
        <is>
          <t>R</t>
        </is>
      </c>
      <c r="F974" s="16" t="n"/>
      <c r="G974" s="9" t="n">
        <v>4.553846153846154</v>
      </c>
      <c r="H974" s="9" t="n">
        <v>4.553846153846154</v>
      </c>
      <c r="I974" s="9" t="inlineStr">
        <is>
          <t>Depth (no MLB PA)</t>
        </is>
      </c>
      <c r="J974" s="16" t="inlineStr">
        <is>
          <t>Opening Day</t>
        </is>
      </c>
      <c r="K974" s="11">
        <f>IFERROR(INDEX(Roles!$B$17:$B$20,MATCH(J974,Roles!$A$17:$A$20,0)),1)</f>
        <v/>
      </c>
      <c r="L974" s="17" t="n">
        <v>1</v>
      </c>
      <c r="M974" s="11" t="n">
        <v>1</v>
      </c>
      <c r="N974" s="17" t="n"/>
      <c r="O974" s="17" t="n"/>
      <c r="P974" s="17" t="n"/>
      <c r="Q974" s="17" t="n"/>
      <c r="R974" s="17" t="n"/>
      <c r="S974" s="17" t="n"/>
      <c r="T974" s="17" t="n"/>
      <c r="U974" s="17" t="n"/>
      <c r="V974" s="17" t="n"/>
      <c r="W974" s="17" t="n"/>
      <c r="X974" s="17" t="n"/>
      <c r="Y974" s="17" t="n">
        <v>1</v>
      </c>
      <c r="Z974" s="13">
        <f>SUMPRODUCT(N974:Y974,$N$2:$Y$2)*$K974*$L974*$M974</f>
        <v/>
      </c>
      <c r="AA974" s="14">
        <f>SUM(N974:Y974)</f>
        <v/>
      </c>
      <c r="AB974" s="14">
        <f>IFERROR(IF(UPPER($E974)="L",SUMPRODUCT(N974:Y974,$N$3:$Y$3,$N$2:$Y$2),SUMPRODUCT(N974:Y974,$N$4:$Y$4,$N$2:$Y$2))/(Z974/($K974*$L974*$M974)),"")</f>
        <v/>
      </c>
      <c r="AC974" s="18" t="n"/>
    </row>
    <row r="975">
      <c r="A975" s="9" t="n">
        <v>813922</v>
      </c>
      <c r="B975" s="9" t="inlineStr">
        <is>
          <t>Jack Lines</t>
        </is>
      </c>
      <c r="C975" s="9" t="inlineStr">
        <is>
          <t>TB</t>
        </is>
      </c>
      <c r="D975" s="9" t="n">
        <v>25</v>
      </c>
      <c r="E975" s="16" t="inlineStr">
        <is>
          <t>L</t>
        </is>
      </c>
      <c r="F975" s="16" t="n"/>
      <c r="G975" s="9" t="n">
        <v>8.861538461538462</v>
      </c>
      <c r="H975" s="9" t="n">
        <v>8.861538461538462</v>
      </c>
      <c r="I975" s="9" t="inlineStr">
        <is>
          <t>Depth (no MLB PA)</t>
        </is>
      </c>
      <c r="J975" s="16" t="inlineStr">
        <is>
          <t>Opening Day</t>
        </is>
      </c>
      <c r="K975" s="11">
        <f>IFERROR(INDEX(Roles!$B$17:$B$20,MATCH(J975,Roles!$A$17:$A$20,0)),1)</f>
        <v/>
      </c>
      <c r="L975" s="17" t="n">
        <v>1</v>
      </c>
      <c r="M975" s="11" t="n">
        <v>1</v>
      </c>
      <c r="N975" s="17" t="n"/>
      <c r="O975" s="17" t="n"/>
      <c r="P975" s="17" t="n"/>
      <c r="Q975" s="17" t="n"/>
      <c r="R975" s="17" t="n"/>
      <c r="S975" s="17" t="n"/>
      <c r="T975" s="17" t="n"/>
      <c r="U975" s="17" t="n"/>
      <c r="V975" s="17" t="n"/>
      <c r="W975" s="17" t="n"/>
      <c r="X975" s="17" t="n"/>
      <c r="Y975" s="17" t="n">
        <v>1</v>
      </c>
      <c r="Z975" s="13">
        <f>SUMPRODUCT(N975:Y975,$N$2:$Y$2)*$K975*$L975*$M975</f>
        <v/>
      </c>
      <c r="AA975" s="14">
        <f>SUM(N975:Y975)</f>
        <v/>
      </c>
      <c r="AB975" s="14">
        <f>IFERROR(IF(UPPER($E975)="L",SUMPRODUCT(N975:Y975,$N$3:$Y$3,$N$2:$Y$2),SUMPRODUCT(N975:Y975,$N$4:$Y$4,$N$2:$Y$2))/(Z975/($K975*$L975*$M975)),"")</f>
        <v/>
      </c>
      <c r="AC975" s="18" t="n"/>
    </row>
    <row r="976">
      <c r="A976" s="9" t="n">
        <v>701594</v>
      </c>
      <c r="B976" s="9" t="inlineStr">
        <is>
          <t>Chris Brito</t>
        </is>
      </c>
      <c r="C976" s="9" t="inlineStr">
        <is>
          <t>KC</t>
        </is>
      </c>
      <c r="D976" s="9" t="n">
        <v>25</v>
      </c>
      <c r="E976" s="16" t="inlineStr">
        <is>
          <t>R</t>
        </is>
      </c>
      <c r="F976" s="16" t="n"/>
      <c r="G976" s="9" t="n">
        <v>20.92307692307692</v>
      </c>
      <c r="H976" s="9" t="n">
        <v>20.92307692307692</v>
      </c>
      <c r="I976" s="9" t="inlineStr">
        <is>
          <t>Depth (no MLB PA)</t>
        </is>
      </c>
      <c r="J976" s="16" t="inlineStr">
        <is>
          <t>Opening Day</t>
        </is>
      </c>
      <c r="K976" s="11">
        <f>IFERROR(INDEX(Roles!$B$17:$B$20,MATCH(J976,Roles!$A$17:$A$20,0)),1)</f>
        <v/>
      </c>
      <c r="L976" s="17" t="n">
        <v>1</v>
      </c>
      <c r="M976" s="11" t="n">
        <v>1</v>
      </c>
      <c r="N976" s="17" t="n"/>
      <c r="O976" s="17" t="n"/>
      <c r="P976" s="17" t="n"/>
      <c r="Q976" s="17" t="n"/>
      <c r="R976" s="17" t="n"/>
      <c r="S976" s="17" t="n"/>
      <c r="T976" s="17" t="n"/>
      <c r="U976" s="17" t="n"/>
      <c r="V976" s="17" t="n"/>
      <c r="W976" s="17" t="n"/>
      <c r="X976" s="17" t="n"/>
      <c r="Y976" s="17" t="n">
        <v>1</v>
      </c>
      <c r="Z976" s="13">
        <f>SUMPRODUCT(N976:Y976,$N$2:$Y$2)*$K976*$L976*$M976</f>
        <v/>
      </c>
      <c r="AA976" s="14">
        <f>SUM(N976:Y976)</f>
        <v/>
      </c>
      <c r="AB976" s="14">
        <f>IFERROR(IF(UPPER($E976)="L",SUMPRODUCT(N976:Y976,$N$3:$Y$3,$N$2:$Y$2),SUMPRODUCT(N976:Y976,$N$4:$Y$4,$N$2:$Y$2))/(Z976/($K976*$L976*$M976)),"")</f>
        <v/>
      </c>
      <c r="AC976" s="18" t="n"/>
    </row>
    <row r="977">
      <c r="A977" s="9" t="n">
        <v>800604</v>
      </c>
      <c r="B977" s="9" t="inlineStr">
        <is>
          <t>Roch Cholowsky</t>
        </is>
      </c>
      <c r="C977" s="9" t="inlineStr">
        <is>
          <t>CWS</t>
        </is>
      </c>
      <c r="D977" s="9" t="n">
        <v>22</v>
      </c>
      <c r="E977" s="16" t="inlineStr">
        <is>
          <t>R</t>
        </is>
      </c>
      <c r="F977" s="16" t="n"/>
      <c r="G977" s="9" t="n">
        <v>8.820512820512821</v>
      </c>
      <c r="H977" s="9" t="n">
        <v>8.820512820512821</v>
      </c>
      <c r="I977" s="9" t="inlineStr">
        <is>
          <t>Depth (no MLB PA)</t>
        </is>
      </c>
      <c r="J977" s="16" t="inlineStr">
        <is>
          <t>Opening Day</t>
        </is>
      </c>
      <c r="K977" s="11">
        <f>IFERROR(INDEX(Roles!$B$17:$B$20,MATCH(J977,Roles!$A$17:$A$20,0)),1)</f>
        <v/>
      </c>
      <c r="L977" s="17" t="n">
        <v>1</v>
      </c>
      <c r="M977" s="11" t="n">
        <v>1</v>
      </c>
      <c r="N977" s="17" t="n"/>
      <c r="O977" s="17" t="n"/>
      <c r="P977" s="17" t="n"/>
      <c r="Q977" s="17" t="n"/>
      <c r="R977" s="17" t="n"/>
      <c r="S977" s="17" t="n"/>
      <c r="T977" s="17" t="n"/>
      <c r="U977" s="17" t="n"/>
      <c r="V977" s="17" t="n"/>
      <c r="W977" s="17" t="n"/>
      <c r="X977" s="17" t="n"/>
      <c r="Y977" s="17" t="n">
        <v>1</v>
      </c>
      <c r="Z977" s="13">
        <f>SUMPRODUCT(N977:Y977,$N$2:$Y$2)*$K977*$L977*$M977</f>
        <v/>
      </c>
      <c r="AA977" s="14">
        <f>SUM(N977:Y977)</f>
        <v/>
      </c>
      <c r="AB977" s="14">
        <f>IFERROR(IF(UPPER($E977)="L",SUMPRODUCT(N977:Y977,$N$3:$Y$3,$N$2:$Y$2),SUMPRODUCT(N977:Y977,$N$4:$Y$4,$N$2:$Y$2))/(Z977/($K977*$L977*$M977)),"")</f>
        <v/>
      </c>
      <c r="AC977" s="18" t="n"/>
    </row>
    <row r="978">
      <c r="A978" s="9" t="n">
        <v>670097</v>
      </c>
      <c r="B978" s="9" t="inlineStr">
        <is>
          <t>Zack Short</t>
        </is>
      </c>
      <c r="C978" s="9" t="inlineStr">
        <is>
          <t>NYM</t>
        </is>
      </c>
      <c r="D978" s="9" t="n">
        <v>32</v>
      </c>
      <c r="E978" s="16" t="inlineStr">
        <is>
          <t>R</t>
        </is>
      </c>
      <c r="F978" s="16" t="inlineStr">
        <is>
          <t>SS</t>
        </is>
      </c>
      <c r="G978" s="9" t="n">
        <v>62</v>
      </c>
      <c r="H978" s="9" t="n">
        <v>472</v>
      </c>
      <c r="I978" s="9" t="inlineStr">
        <is>
          <t>Bench Bat</t>
        </is>
      </c>
      <c r="J978" s="16" t="inlineStr">
        <is>
          <t>Opening Day</t>
        </is>
      </c>
      <c r="K978" s="11">
        <f>IFERROR(INDEX(Roles!$B$17:$B$20,MATCH(J978,Roles!$A$17:$A$20,0)),1)</f>
        <v/>
      </c>
      <c r="L978" s="17" t="n">
        <v>1</v>
      </c>
      <c r="M978" s="11" t="n">
        <v>1</v>
      </c>
      <c r="N978" s="17" t="n"/>
      <c r="O978" s="17" t="n"/>
      <c r="P978" s="17" t="n"/>
      <c r="Q978" s="17" t="n"/>
      <c r="R978" s="17" t="n"/>
      <c r="S978" s="17" t="n"/>
      <c r="T978" s="17" t="n"/>
      <c r="U978" s="17" t="n"/>
      <c r="V978" s="17" t="n"/>
      <c r="W978" s="17" t="n">
        <v>1</v>
      </c>
      <c r="X978" s="17" t="n"/>
      <c r="Y978" s="17" t="n"/>
      <c r="Z978" s="13">
        <f>SUMPRODUCT(N978:Y978,$N$2:$Y$2)*$K978*$L978*$M978</f>
        <v/>
      </c>
      <c r="AA978" s="14">
        <f>SUM(N978:Y978)</f>
        <v/>
      </c>
      <c r="AB978" s="14">
        <f>IFERROR(IF(UPPER($E978)="L",SUMPRODUCT(N978:Y978,$N$3:$Y$3,$N$2:$Y$2),SUMPRODUCT(N978:Y978,$N$4:$Y$4,$N$2:$Y$2))/(Z978/($K978*$L978*$M978)),"")</f>
        <v/>
      </c>
      <c r="AC978" s="18" t="n"/>
    </row>
    <row r="979">
      <c r="A979" s="9" t="n">
        <v>803475</v>
      </c>
      <c r="B979" s="9" t="inlineStr">
        <is>
          <t>Colby Jones</t>
        </is>
      </c>
      <c r="C979" s="9" t="inlineStr">
        <is>
          <t>ATL</t>
        </is>
      </c>
      <c r="D979" s="9" t="n">
        <v>25</v>
      </c>
      <c r="E979" s="16" t="inlineStr">
        <is>
          <t>R</t>
        </is>
      </c>
      <c r="F979" s="16" t="n"/>
      <c r="G979" s="9" t="n">
        <v>4.666666666666667</v>
      </c>
      <c r="H979" s="9" t="n">
        <v>4.666666666666667</v>
      </c>
      <c r="I979" s="9" t="inlineStr">
        <is>
          <t>Depth (no MLB PA)</t>
        </is>
      </c>
      <c r="J979" s="16" t="inlineStr">
        <is>
          <t>Opening Day</t>
        </is>
      </c>
      <c r="K979" s="11">
        <f>IFERROR(INDEX(Roles!$B$17:$B$20,MATCH(J979,Roles!$A$17:$A$20,0)),1)</f>
        <v/>
      </c>
      <c r="L979" s="17" t="n">
        <v>1</v>
      </c>
      <c r="M979" s="11" t="n">
        <v>1</v>
      </c>
      <c r="N979" s="17" t="n"/>
      <c r="O979" s="17" t="n"/>
      <c r="P979" s="17" t="n"/>
      <c r="Q979" s="17" t="n"/>
      <c r="R979" s="17" t="n"/>
      <c r="S979" s="17" t="n"/>
      <c r="T979" s="17" t="n"/>
      <c r="U979" s="17" t="n"/>
      <c r="V979" s="17" t="n"/>
      <c r="W979" s="17" t="n"/>
      <c r="X979" s="17" t="n"/>
      <c r="Y979" s="17" t="n">
        <v>1</v>
      </c>
      <c r="Z979" s="13">
        <f>SUMPRODUCT(N979:Y979,$N$2:$Y$2)*$K979*$L979*$M979</f>
        <v/>
      </c>
      <c r="AA979" s="14">
        <f>SUM(N979:Y979)</f>
        <v/>
      </c>
      <c r="AB979" s="14">
        <f>IFERROR(IF(UPPER($E979)="L",SUMPRODUCT(N979:Y979,$N$3:$Y$3,$N$2:$Y$2),SUMPRODUCT(N979:Y979,$N$4:$Y$4,$N$2:$Y$2))/(Z979/($K979*$L979*$M979)),"")</f>
        <v/>
      </c>
      <c r="AC979" s="18" t="n"/>
    </row>
    <row r="980">
      <c r="A980" s="9" t="n">
        <v>800503</v>
      </c>
      <c r="B980" s="9" t="inlineStr">
        <is>
          <t>Enderson Delgado</t>
        </is>
      </c>
      <c r="C980" s="9" t="inlineStr">
        <is>
          <t>DET</t>
        </is>
      </c>
      <c r="D980" s="9" t="n">
        <v>25</v>
      </c>
      <c r="E980" s="16" t="inlineStr">
        <is>
          <t>S</t>
        </is>
      </c>
      <c r="F980" s="16" t="n"/>
      <c r="G980" s="9" t="n">
        <v>4.717948717948718</v>
      </c>
      <c r="H980" s="9" t="n">
        <v>4.717948717948718</v>
      </c>
      <c r="I980" s="9" t="inlineStr">
        <is>
          <t>Depth (no MLB PA)</t>
        </is>
      </c>
      <c r="J980" s="16" t="inlineStr">
        <is>
          <t>Opening Day</t>
        </is>
      </c>
      <c r="K980" s="11">
        <f>IFERROR(INDEX(Roles!$B$17:$B$20,MATCH(J980,Roles!$A$17:$A$20,0)),1)</f>
        <v/>
      </c>
      <c r="L980" s="17" t="n">
        <v>1</v>
      </c>
      <c r="M980" s="11" t="n">
        <v>1</v>
      </c>
      <c r="N980" s="17" t="n"/>
      <c r="O980" s="17" t="n"/>
      <c r="P980" s="17" t="n"/>
      <c r="Q980" s="17" t="n"/>
      <c r="R980" s="17" t="n"/>
      <c r="S980" s="17" t="n"/>
      <c r="T980" s="17" t="n"/>
      <c r="U980" s="17" t="n"/>
      <c r="V980" s="17" t="n"/>
      <c r="W980" s="17" t="n"/>
      <c r="X980" s="17" t="n"/>
      <c r="Y980" s="17" t="n">
        <v>1</v>
      </c>
      <c r="Z980" s="13">
        <f>SUMPRODUCT(N980:Y980,$N$2:$Y$2)*$K980*$L980*$M980</f>
        <v/>
      </c>
      <c r="AA980" s="14">
        <f>SUM(N980:Y980)</f>
        <v/>
      </c>
      <c r="AB980" s="14">
        <f>IFERROR(IF(UPPER($E980)="L",SUMPRODUCT(N980:Y980,$N$3:$Y$3,$N$2:$Y$2),SUMPRODUCT(N980:Y980,$N$4:$Y$4,$N$2:$Y$2))/(Z980/($K980*$L980*$M980)),"")</f>
        <v/>
      </c>
      <c r="AC980" s="18" t="n"/>
    </row>
    <row r="981">
      <c r="A981" s="9" t="n">
        <v>835215</v>
      </c>
      <c r="B981" s="9" t="inlineStr">
        <is>
          <t>Robbie Lavey</t>
        </is>
      </c>
      <c r="C981" s="9" t="inlineStr">
        <is>
          <t>SD</t>
        </is>
      </c>
      <c r="D981" s="9" t="n">
        <v>25</v>
      </c>
      <c r="E981" s="16" t="inlineStr">
        <is>
          <t>L</t>
        </is>
      </c>
      <c r="F981" s="16" t="n"/>
      <c r="G981" s="9" t="n">
        <v>12.92307692307692</v>
      </c>
      <c r="H981" s="9" t="n">
        <v>12.92307692307692</v>
      </c>
      <c r="I981" s="9" t="inlineStr">
        <is>
          <t>Depth (no MLB PA)</t>
        </is>
      </c>
      <c r="J981" s="16" t="inlineStr">
        <is>
          <t>Opening Day</t>
        </is>
      </c>
      <c r="K981" s="11">
        <f>IFERROR(INDEX(Roles!$B$17:$B$20,MATCH(J981,Roles!$A$17:$A$20,0)),1)</f>
        <v/>
      </c>
      <c r="L981" s="17" t="n">
        <v>1</v>
      </c>
      <c r="M981" s="11" t="n">
        <v>1</v>
      </c>
      <c r="N981" s="17" t="n"/>
      <c r="O981" s="17" t="n"/>
      <c r="P981" s="17" t="n"/>
      <c r="Q981" s="17" t="n"/>
      <c r="R981" s="17" t="n"/>
      <c r="S981" s="17" t="n"/>
      <c r="T981" s="17" t="n"/>
      <c r="U981" s="17" t="n"/>
      <c r="V981" s="17" t="n"/>
      <c r="W981" s="17" t="n"/>
      <c r="X981" s="17" t="n"/>
      <c r="Y981" s="17" t="n">
        <v>1</v>
      </c>
      <c r="Z981" s="13">
        <f>SUMPRODUCT(N981:Y981,$N$2:$Y$2)*$K981*$L981*$M981</f>
        <v/>
      </c>
      <c r="AA981" s="14">
        <f>SUM(N981:Y981)</f>
        <v/>
      </c>
      <c r="AB981" s="14">
        <f>IFERROR(IF(UPPER($E981)="L",SUMPRODUCT(N981:Y981,$N$3:$Y$3,$N$2:$Y$2),SUMPRODUCT(N981:Y981,$N$4:$Y$4,$N$2:$Y$2))/(Z981/($K981*$L981*$M981)),"")</f>
        <v/>
      </c>
      <c r="AC981" s="18" t="n"/>
    </row>
    <row r="982">
      <c r="A982" s="9" t="n">
        <v>831240</v>
      </c>
      <c r="B982" s="9" t="inlineStr">
        <is>
          <t>Colin Hynek</t>
        </is>
      </c>
      <c r="C982" s="9" t="inlineStr">
        <is>
          <t>CHC</t>
        </is>
      </c>
      <c r="D982" s="9" t="n">
        <v>25</v>
      </c>
      <c r="E982" s="16" t="inlineStr">
        <is>
          <t>R</t>
        </is>
      </c>
      <c r="F982" s="16" t="n"/>
      <c r="G982" s="9" t="n">
        <v>4.666666666666667</v>
      </c>
      <c r="H982" s="9" t="n">
        <v>4.666666666666667</v>
      </c>
      <c r="I982" s="9" t="inlineStr">
        <is>
          <t>Depth (no MLB PA)</t>
        </is>
      </c>
      <c r="J982" s="16" t="inlineStr">
        <is>
          <t>Opening Day</t>
        </is>
      </c>
      <c r="K982" s="11">
        <f>IFERROR(INDEX(Roles!$B$17:$B$20,MATCH(J982,Roles!$A$17:$A$20,0)),1)</f>
        <v/>
      </c>
      <c r="L982" s="17" t="n">
        <v>1</v>
      </c>
      <c r="M982" s="11" t="n">
        <v>1</v>
      </c>
      <c r="N982" s="17" t="n"/>
      <c r="O982" s="17" t="n"/>
      <c r="P982" s="17" t="n"/>
      <c r="Q982" s="17" t="n"/>
      <c r="R982" s="17" t="n"/>
      <c r="S982" s="17" t="n"/>
      <c r="T982" s="17" t="n"/>
      <c r="U982" s="17" t="n"/>
      <c r="V982" s="17" t="n"/>
      <c r="W982" s="17" t="n"/>
      <c r="X982" s="17" t="n"/>
      <c r="Y982" s="17" t="n">
        <v>1</v>
      </c>
      <c r="Z982" s="13">
        <f>SUMPRODUCT(N982:Y982,$N$2:$Y$2)*$K982*$L982*$M982</f>
        <v/>
      </c>
      <c r="AA982" s="14">
        <f>SUM(N982:Y982)</f>
        <v/>
      </c>
      <c r="AB982" s="14">
        <f>IFERROR(IF(UPPER($E982)="L",SUMPRODUCT(N982:Y982,$N$3:$Y$3,$N$2:$Y$2),SUMPRODUCT(N982:Y982,$N$4:$Y$4,$N$2:$Y$2))/(Z982/($K982*$L982*$M982)),"")</f>
        <v/>
      </c>
      <c r="AC982" s="18" t="n"/>
    </row>
    <row r="983">
      <c r="A983" s="9" t="n">
        <v>812818</v>
      </c>
      <c r="B983" s="9" t="inlineStr">
        <is>
          <t>Sherman Johnson</t>
        </is>
      </c>
      <c r="C983" s="9" t="inlineStr">
        <is>
          <t>CIN</t>
        </is>
      </c>
      <c r="D983" s="9" t="n">
        <v>25</v>
      </c>
      <c r="E983" s="16" t="inlineStr">
        <is>
          <t>R</t>
        </is>
      </c>
      <c r="F983" s="16" t="n"/>
      <c r="G983" s="9" t="n">
        <v>6.892307692307693</v>
      </c>
      <c r="H983" s="9" t="n">
        <v>6.892307692307693</v>
      </c>
      <c r="I983" s="9" t="inlineStr">
        <is>
          <t>Depth (no MLB PA)</t>
        </is>
      </c>
      <c r="J983" s="16" t="inlineStr">
        <is>
          <t>Opening Day</t>
        </is>
      </c>
      <c r="K983" s="11">
        <f>IFERROR(INDEX(Roles!$B$17:$B$20,MATCH(J983,Roles!$A$17:$A$20,0)),1)</f>
        <v/>
      </c>
      <c r="L983" s="17" t="n">
        <v>1</v>
      </c>
      <c r="M983" s="11" t="n">
        <v>1</v>
      </c>
      <c r="N983" s="17" t="n"/>
      <c r="O983" s="17" t="n"/>
      <c r="P983" s="17" t="n"/>
      <c r="Q983" s="17" t="n"/>
      <c r="R983" s="17" t="n"/>
      <c r="S983" s="17" t="n"/>
      <c r="T983" s="17" t="n"/>
      <c r="U983" s="17" t="n"/>
      <c r="V983" s="17" t="n"/>
      <c r="W983" s="17" t="n"/>
      <c r="X983" s="17" t="n"/>
      <c r="Y983" s="17" t="n">
        <v>1</v>
      </c>
      <c r="Z983" s="13">
        <f>SUMPRODUCT(N983:Y983,$N$2:$Y$2)*$K983*$L983*$M983</f>
        <v/>
      </c>
      <c r="AA983" s="14">
        <f>SUM(N983:Y983)</f>
        <v/>
      </c>
      <c r="AB983" s="14">
        <f>IFERROR(IF(UPPER($E983)="L",SUMPRODUCT(N983:Y983,$N$3:$Y$3,$N$2:$Y$2),SUMPRODUCT(N983:Y983,$N$4:$Y$4,$N$2:$Y$2))/(Z983/($K983*$L983*$M983)),"")</f>
        <v/>
      </c>
      <c r="AC983" s="18" t="n"/>
    </row>
    <row r="984">
      <c r="A984" s="9" t="n">
        <v>815890</v>
      </c>
      <c r="B984" s="9" t="inlineStr">
        <is>
          <t>Fernando Cruz</t>
        </is>
      </c>
      <c r="C984" s="9" t="inlineStr">
        <is>
          <t>CHC</t>
        </is>
      </c>
      <c r="D984" s="9" t="n">
        <v>25</v>
      </c>
      <c r="E984" s="16" t="inlineStr">
        <is>
          <t>R</t>
        </is>
      </c>
      <c r="F984" s="16" t="n"/>
      <c r="G984" s="9" t="n">
        <v>6.892307692307693</v>
      </c>
      <c r="H984" s="9" t="n">
        <v>6.892307692307693</v>
      </c>
      <c r="I984" s="9" t="inlineStr">
        <is>
          <t>Depth (no MLB PA)</t>
        </is>
      </c>
      <c r="J984" s="16" t="inlineStr">
        <is>
          <t>Opening Day</t>
        </is>
      </c>
      <c r="K984" s="11">
        <f>IFERROR(INDEX(Roles!$B$17:$B$20,MATCH(J984,Roles!$A$17:$A$20,0)),1)</f>
        <v/>
      </c>
      <c r="L984" s="17" t="n">
        <v>1</v>
      </c>
      <c r="M984" s="11" t="n">
        <v>1</v>
      </c>
      <c r="N984" s="17" t="n"/>
      <c r="O984" s="17" t="n"/>
      <c r="P984" s="17" t="n"/>
      <c r="Q984" s="17" t="n"/>
      <c r="R984" s="17" t="n"/>
      <c r="S984" s="17" t="n"/>
      <c r="T984" s="17" t="n"/>
      <c r="U984" s="17" t="n"/>
      <c r="V984" s="17" t="n"/>
      <c r="W984" s="17" t="n"/>
      <c r="X984" s="17" t="n"/>
      <c r="Y984" s="17" t="n">
        <v>1</v>
      </c>
      <c r="Z984" s="13">
        <f>SUMPRODUCT(N984:Y984,$N$2:$Y$2)*$K984*$L984*$M984</f>
        <v/>
      </c>
      <c r="AA984" s="14">
        <f>SUM(N984:Y984)</f>
        <v/>
      </c>
      <c r="AB984" s="14">
        <f>IFERROR(IF(UPPER($E984)="L",SUMPRODUCT(N984:Y984,$N$3:$Y$3,$N$2:$Y$2),SUMPRODUCT(N984:Y984,$N$4:$Y$4,$N$2:$Y$2))/(Z984/($K984*$L984*$M984)),"")</f>
        <v/>
      </c>
      <c r="AC984" s="18" t="n"/>
    </row>
    <row r="985">
      <c r="A985" s="9" t="n">
        <v>703196</v>
      </c>
      <c r="B985" s="9" t="inlineStr">
        <is>
          <t>Victor Izturis</t>
        </is>
      </c>
      <c r="C985" s="9" t="inlineStr">
        <is>
          <t>CLE</t>
        </is>
      </c>
      <c r="D985" s="9" t="n">
        <v>25</v>
      </c>
      <c r="E985" s="16" t="inlineStr">
        <is>
          <t>L</t>
        </is>
      </c>
      <c r="F985" s="16" t="n"/>
      <c r="G985" s="9" t="n">
        <v>4.717948717948718</v>
      </c>
      <c r="H985" s="9" t="n">
        <v>4.717948717948718</v>
      </c>
      <c r="I985" s="9" t="inlineStr">
        <is>
          <t>Depth (no MLB PA)</t>
        </is>
      </c>
      <c r="J985" s="16" t="inlineStr">
        <is>
          <t>Opening Day</t>
        </is>
      </c>
      <c r="K985" s="11">
        <f>IFERROR(INDEX(Roles!$B$17:$B$20,MATCH(J985,Roles!$A$17:$A$20,0)),1)</f>
        <v/>
      </c>
      <c r="L985" s="17" t="n">
        <v>1</v>
      </c>
      <c r="M985" s="11" t="n">
        <v>1</v>
      </c>
      <c r="N985" s="17" t="n"/>
      <c r="O985" s="17" t="n"/>
      <c r="P985" s="17" t="n"/>
      <c r="Q985" s="17" t="n"/>
      <c r="R985" s="17" t="n"/>
      <c r="S985" s="17" t="n"/>
      <c r="T985" s="17" t="n"/>
      <c r="U985" s="17" t="n"/>
      <c r="V985" s="17" t="n"/>
      <c r="W985" s="17" t="n"/>
      <c r="X985" s="17" t="n"/>
      <c r="Y985" s="17" t="n">
        <v>1</v>
      </c>
      <c r="Z985" s="13">
        <f>SUMPRODUCT(N985:Y985,$N$2:$Y$2)*$K985*$L985*$M985</f>
        <v/>
      </c>
      <c r="AA985" s="14">
        <f>SUM(N985:Y985)</f>
        <v/>
      </c>
      <c r="AB985" s="14">
        <f>IFERROR(IF(UPPER($E985)="L",SUMPRODUCT(N985:Y985,$N$3:$Y$3,$N$2:$Y$2),SUMPRODUCT(N985:Y985,$N$4:$Y$4,$N$2:$Y$2))/(Z985/($K985*$L985*$M985)),"")</f>
        <v/>
      </c>
      <c r="AC985" s="18" t="n"/>
    </row>
    <row r="986">
      <c r="A986" s="9" t="n">
        <v>844295</v>
      </c>
      <c r="B986" s="9" t="inlineStr">
        <is>
          <t>Jack Hopko</t>
        </is>
      </c>
      <c r="C986" s="9" t="inlineStr">
        <is>
          <t>PHI</t>
        </is>
      </c>
      <c r="D986" s="9" t="n">
        <v>25</v>
      </c>
      <c r="E986" s="16" t="inlineStr">
        <is>
          <t>L</t>
        </is>
      </c>
      <c r="F986" s="16" t="n"/>
      <c r="G986" s="9" t="n">
        <v>9.107692307692307</v>
      </c>
      <c r="H986" s="9" t="n">
        <v>9.107692307692307</v>
      </c>
      <c r="I986" s="9" t="inlineStr">
        <is>
          <t>Depth (no MLB PA)</t>
        </is>
      </c>
      <c r="J986" s="16" t="inlineStr">
        <is>
          <t>Opening Day</t>
        </is>
      </c>
      <c r="K986" s="11">
        <f>IFERROR(INDEX(Roles!$B$17:$B$20,MATCH(J986,Roles!$A$17:$A$20,0)),1)</f>
        <v/>
      </c>
      <c r="L986" s="17" t="n">
        <v>1</v>
      </c>
      <c r="M986" s="11" t="n">
        <v>1</v>
      </c>
      <c r="N986" s="17" t="n"/>
      <c r="O986" s="17" t="n"/>
      <c r="P986" s="17" t="n"/>
      <c r="Q986" s="17" t="n"/>
      <c r="R986" s="17" t="n"/>
      <c r="S986" s="17" t="n"/>
      <c r="T986" s="17" t="n"/>
      <c r="U986" s="17" t="n"/>
      <c r="V986" s="17" t="n"/>
      <c r="W986" s="17" t="n"/>
      <c r="X986" s="17" t="n"/>
      <c r="Y986" s="17" t="n">
        <v>1</v>
      </c>
      <c r="Z986" s="13">
        <f>SUMPRODUCT(N986:Y986,$N$2:$Y$2)*$K986*$L986*$M986</f>
        <v/>
      </c>
      <c r="AA986" s="14">
        <f>SUM(N986:Y986)</f>
        <v/>
      </c>
      <c r="AB986" s="14">
        <f>IFERROR(IF(UPPER($E986)="L",SUMPRODUCT(N986:Y986,$N$3:$Y$3,$N$2:$Y$2),SUMPRODUCT(N986:Y986,$N$4:$Y$4,$N$2:$Y$2))/(Z986/($K986*$L986*$M986)),"")</f>
        <v/>
      </c>
      <c r="AC986" s="18" t="n"/>
    </row>
    <row r="987">
      <c r="A987" s="9" t="n">
        <v>678218</v>
      </c>
      <c r="B987" s="9" t="inlineStr">
        <is>
          <t>Brandon Valenzuela</t>
        </is>
      </c>
      <c r="C987" s="9" t="inlineStr">
        <is>
          <t>TOR</t>
        </is>
      </c>
      <c r="D987" s="9" t="n">
        <v>26</v>
      </c>
      <c r="E987" s="16" t="inlineStr">
        <is>
          <t>S</t>
        </is>
      </c>
      <c r="F987" s="16" t="inlineStr">
        <is>
          <t>C</t>
        </is>
      </c>
      <c r="G987" s="9" t="n">
        <v>271</v>
      </c>
      <c r="H987" s="9" t="n">
        <v>271</v>
      </c>
      <c r="I987" s="9" t="inlineStr">
        <is>
          <t>Bench Bat</t>
        </is>
      </c>
      <c r="J987" s="16" t="inlineStr">
        <is>
          <t>Opening Day</t>
        </is>
      </c>
      <c r="K987" s="11">
        <f>IFERROR(INDEX(Roles!$B$17:$B$20,MATCH(J987,Roles!$A$17:$A$20,0)),1)</f>
        <v/>
      </c>
      <c r="L987" s="17" t="n">
        <v>1</v>
      </c>
      <c r="M987" s="11" t="n">
        <v>1</v>
      </c>
      <c r="N987" s="17" t="n"/>
      <c r="O987" s="17" t="n"/>
      <c r="P987" s="17" t="n"/>
      <c r="Q987" s="17" t="n"/>
      <c r="R987" s="17" t="n"/>
      <c r="S987" s="17" t="n"/>
      <c r="T987" s="17" t="n">
        <v>0.4</v>
      </c>
      <c r="U987" s="17" t="n"/>
      <c r="V987" s="17" t="n"/>
      <c r="W987" s="17" t="n">
        <v>0.6</v>
      </c>
      <c r="X987" s="17" t="n"/>
      <c r="Y987" s="17" t="n"/>
      <c r="Z987" s="13">
        <f>SUMPRODUCT(N987:Y987,$N$2:$Y$2)*$K987*$L987*$M987</f>
        <v/>
      </c>
      <c r="AA987" s="14">
        <f>SUM(N987:Y987)</f>
        <v/>
      </c>
      <c r="AB987" s="14">
        <f>IFERROR(IF(UPPER($E987)="L",SUMPRODUCT(N987:Y987,$N$3:$Y$3,$N$2:$Y$2),SUMPRODUCT(N987:Y987,$N$4:$Y$4,$N$2:$Y$2))/(Z987/($K987*$L987*$M987)),"")</f>
        <v/>
      </c>
      <c r="AC987" s="18" t="n"/>
    </row>
    <row r="988">
      <c r="A988" s="9" t="n">
        <v>821150</v>
      </c>
      <c r="B988" s="9" t="inlineStr">
        <is>
          <t>Enddy Azocar</t>
        </is>
      </c>
      <c r="C988" s="9" t="inlineStr">
        <is>
          <t>BAL</t>
        </is>
      </c>
      <c r="D988" s="9" t="n">
        <v>20</v>
      </c>
      <c r="E988" s="16" t="inlineStr">
        <is>
          <t>R</t>
        </is>
      </c>
      <c r="F988" s="16" t="n"/>
      <c r="G988" s="9" t="n">
        <v>67.28205128205128</v>
      </c>
      <c r="H988" s="9" t="n">
        <v>67.28205128205128</v>
      </c>
      <c r="I988" s="9" t="inlineStr">
        <is>
          <t>Depth (no MLB PA)</t>
        </is>
      </c>
      <c r="J988" s="16" t="inlineStr">
        <is>
          <t>Opening Day</t>
        </is>
      </c>
      <c r="K988" s="11">
        <f>IFERROR(INDEX(Roles!$B$17:$B$20,MATCH(J988,Roles!$A$17:$A$20,0)),1)</f>
        <v/>
      </c>
      <c r="L988" s="17" t="n">
        <v>1</v>
      </c>
      <c r="M988" s="11" t="n">
        <v>1</v>
      </c>
      <c r="N988" s="17" t="n"/>
      <c r="O988" s="17" t="n"/>
      <c r="P988" s="17" t="n"/>
      <c r="Q988" s="17" t="n"/>
      <c r="R988" s="17" t="n"/>
      <c r="S988" s="17" t="n"/>
      <c r="T988" s="17" t="n"/>
      <c r="U988" s="17" t="n"/>
      <c r="V988" s="17" t="n"/>
      <c r="W988" s="17" t="n"/>
      <c r="X988" s="17" t="n"/>
      <c r="Y988" s="17" t="n">
        <v>1</v>
      </c>
      <c r="Z988" s="13">
        <f>SUMPRODUCT(N988:Y988,$N$2:$Y$2)*$K988*$L988*$M988</f>
        <v/>
      </c>
      <c r="AA988" s="14">
        <f>SUM(N988:Y988)</f>
        <v/>
      </c>
      <c r="AB988" s="14">
        <f>IFERROR(IF(UPPER($E988)="L",SUMPRODUCT(N988:Y988,$N$3:$Y$3,$N$2:$Y$2),SUMPRODUCT(N988:Y988,$N$4:$Y$4,$N$2:$Y$2))/(Z988/($K988*$L988*$M988)),"")</f>
        <v/>
      </c>
      <c r="AC988" s="18" t="n"/>
    </row>
    <row r="989">
      <c r="A989" s="9" t="n">
        <v>801039</v>
      </c>
      <c r="B989" s="9" t="inlineStr">
        <is>
          <t>John Garcia</t>
        </is>
      </c>
      <c r="C989" s="9" t="inlineStr">
        <is>
          <t>HOU</t>
        </is>
      </c>
      <c r="D989" s="9" t="n">
        <v>25</v>
      </c>
      <c r="E989" s="16" t="inlineStr">
        <is>
          <t>R</t>
        </is>
      </c>
      <c r="F989" s="16" t="n"/>
      <c r="G989" s="9" t="n">
        <v>21.53846153846154</v>
      </c>
      <c r="H989" s="9" t="n">
        <v>21.53846153846154</v>
      </c>
      <c r="I989" s="9" t="inlineStr">
        <is>
          <t>Depth (no MLB PA)</t>
        </is>
      </c>
      <c r="J989" s="16" t="inlineStr">
        <is>
          <t>Opening Day</t>
        </is>
      </c>
      <c r="K989" s="11">
        <f>IFERROR(INDEX(Roles!$B$17:$B$20,MATCH(J989,Roles!$A$17:$A$20,0)),1)</f>
        <v/>
      </c>
      <c r="L989" s="17" t="n">
        <v>1</v>
      </c>
      <c r="M989" s="11" t="n">
        <v>1</v>
      </c>
      <c r="N989" s="17" t="n"/>
      <c r="O989" s="17" t="n"/>
      <c r="P989" s="17" t="n"/>
      <c r="Q989" s="17" t="n"/>
      <c r="R989" s="17" t="n"/>
      <c r="S989" s="17" t="n"/>
      <c r="T989" s="17" t="n"/>
      <c r="U989" s="17" t="n"/>
      <c r="V989" s="17" t="n"/>
      <c r="W989" s="17" t="n"/>
      <c r="X989" s="17" t="n"/>
      <c r="Y989" s="17" t="n">
        <v>1</v>
      </c>
      <c r="Z989" s="13">
        <f>SUMPRODUCT(N989:Y989,$N$2:$Y$2)*$K989*$L989*$M989</f>
        <v/>
      </c>
      <c r="AA989" s="14">
        <f>SUM(N989:Y989)</f>
        <v/>
      </c>
      <c r="AB989" s="14">
        <f>IFERROR(IF(UPPER($E989)="L",SUMPRODUCT(N989:Y989,$N$3:$Y$3,$N$2:$Y$2),SUMPRODUCT(N989:Y989,$N$4:$Y$4,$N$2:$Y$2))/(Z989/($K989*$L989*$M989)),"")</f>
        <v/>
      </c>
      <c r="AC989" s="18" t="n"/>
    </row>
    <row r="990">
      <c r="A990" s="9" t="n">
        <v>803174</v>
      </c>
      <c r="B990" s="9" t="inlineStr">
        <is>
          <t>Anthony Stephan</t>
        </is>
      </c>
      <c r="C990" s="9" t="inlineStr">
        <is>
          <t>CIN</t>
        </is>
      </c>
      <c r="D990" s="9" t="n">
        <v>25</v>
      </c>
      <c r="E990" s="16" t="inlineStr">
        <is>
          <t>L</t>
        </is>
      </c>
      <c r="F990" s="16" t="n"/>
      <c r="G990" s="9" t="n">
        <v>4.923076923076923</v>
      </c>
      <c r="H990" s="9" t="n">
        <v>4.923076923076923</v>
      </c>
      <c r="I990" s="9" t="inlineStr">
        <is>
          <t>Depth (no MLB PA)</t>
        </is>
      </c>
      <c r="J990" s="16" t="inlineStr">
        <is>
          <t>Opening Day</t>
        </is>
      </c>
      <c r="K990" s="11">
        <f>IFERROR(INDEX(Roles!$B$17:$B$20,MATCH(J990,Roles!$A$17:$A$20,0)),1)</f>
        <v/>
      </c>
      <c r="L990" s="17" t="n">
        <v>1</v>
      </c>
      <c r="M990" s="11" t="n">
        <v>1</v>
      </c>
      <c r="N990" s="17" t="n"/>
      <c r="O990" s="17" t="n"/>
      <c r="P990" s="17" t="n"/>
      <c r="Q990" s="17" t="n"/>
      <c r="R990" s="17" t="n"/>
      <c r="S990" s="17" t="n"/>
      <c r="T990" s="17" t="n"/>
      <c r="U990" s="17" t="n"/>
      <c r="V990" s="17" t="n"/>
      <c r="W990" s="17" t="n"/>
      <c r="X990" s="17" t="n"/>
      <c r="Y990" s="17" t="n">
        <v>1</v>
      </c>
      <c r="Z990" s="13">
        <f>SUMPRODUCT(N990:Y990,$N$2:$Y$2)*$K990*$L990*$M990</f>
        <v/>
      </c>
      <c r="AA990" s="14">
        <f>SUM(N990:Y990)</f>
        <v/>
      </c>
      <c r="AB990" s="14">
        <f>IFERROR(IF(UPPER($E990)="L",SUMPRODUCT(N990:Y990,$N$3:$Y$3,$N$2:$Y$2),SUMPRODUCT(N990:Y990,$N$4:$Y$4,$N$2:$Y$2))/(Z990/($K990*$L990*$M990)),"")</f>
        <v/>
      </c>
      <c r="AC990" s="18" t="n"/>
    </row>
    <row r="991">
      <c r="A991" s="9" t="n">
        <v>808665</v>
      </c>
      <c r="B991" s="9" t="inlineStr">
        <is>
          <t>Angel Acosta</t>
        </is>
      </c>
      <c r="C991" s="9" t="inlineStr">
        <is>
          <t>KC</t>
        </is>
      </c>
      <c r="D991" s="9" t="n">
        <v>25</v>
      </c>
      <c r="E991" s="16" t="inlineStr">
        <is>
          <t>L</t>
        </is>
      </c>
      <c r="F991" s="16" t="n"/>
      <c r="G991" s="9" t="n">
        <v>22.25641025641025</v>
      </c>
      <c r="H991" s="9" t="n">
        <v>22.25641025641025</v>
      </c>
      <c r="I991" s="9" t="inlineStr">
        <is>
          <t>Depth (no MLB PA)</t>
        </is>
      </c>
      <c r="J991" s="16" t="inlineStr">
        <is>
          <t>Opening Day</t>
        </is>
      </c>
      <c r="K991" s="11">
        <f>IFERROR(INDEX(Roles!$B$17:$B$20,MATCH(J991,Roles!$A$17:$A$20,0)),1)</f>
        <v/>
      </c>
      <c r="L991" s="17" t="n">
        <v>1</v>
      </c>
      <c r="M991" s="11" t="n">
        <v>1</v>
      </c>
      <c r="N991" s="17" t="n"/>
      <c r="O991" s="17" t="n"/>
      <c r="P991" s="17" t="n"/>
      <c r="Q991" s="17" t="n"/>
      <c r="R991" s="17" t="n"/>
      <c r="S991" s="17" t="n"/>
      <c r="T991" s="17" t="n"/>
      <c r="U991" s="17" t="n"/>
      <c r="V991" s="17" t="n"/>
      <c r="W991" s="17" t="n"/>
      <c r="X991" s="17" t="n"/>
      <c r="Y991" s="17" t="n">
        <v>1</v>
      </c>
      <c r="Z991" s="13">
        <f>SUMPRODUCT(N991:Y991,$N$2:$Y$2)*$K991*$L991*$M991</f>
        <v/>
      </c>
      <c r="AA991" s="14">
        <f>SUM(N991:Y991)</f>
        <v/>
      </c>
      <c r="AB991" s="14">
        <f>IFERROR(IF(UPPER($E991)="L",SUMPRODUCT(N991:Y991,$N$3:$Y$3,$N$2:$Y$2),SUMPRODUCT(N991:Y991,$N$4:$Y$4,$N$2:$Y$2))/(Z991/($K991*$L991*$M991)),"")</f>
        <v/>
      </c>
      <c r="AC991" s="18" t="n"/>
    </row>
    <row r="992">
      <c r="A992" s="9" t="n">
        <v>828140</v>
      </c>
      <c r="B992" s="9" t="inlineStr">
        <is>
          <t>Aidan West</t>
        </is>
      </c>
      <c r="C992" s="9" t="inlineStr">
        <is>
          <t>LAD</t>
        </is>
      </c>
      <c r="D992" s="9" t="n">
        <v>25</v>
      </c>
      <c r="E992" s="16" t="inlineStr">
        <is>
          <t>L</t>
        </is>
      </c>
      <c r="F992" s="16" t="n"/>
      <c r="G992" s="9" t="n">
        <v>7.138461538461539</v>
      </c>
      <c r="H992" s="9" t="n">
        <v>7.138461538461539</v>
      </c>
      <c r="I992" s="9" t="inlineStr">
        <is>
          <t>Depth (no MLB PA)</t>
        </is>
      </c>
      <c r="J992" s="16" t="inlineStr">
        <is>
          <t>Opening Day</t>
        </is>
      </c>
      <c r="K992" s="11">
        <f>IFERROR(INDEX(Roles!$B$17:$B$20,MATCH(J992,Roles!$A$17:$A$20,0)),1)</f>
        <v/>
      </c>
      <c r="L992" s="17" t="n">
        <v>1</v>
      </c>
      <c r="M992" s="11" t="n">
        <v>1</v>
      </c>
      <c r="N992" s="17" t="n"/>
      <c r="O992" s="17" t="n"/>
      <c r="P992" s="17" t="n"/>
      <c r="Q992" s="17" t="n"/>
      <c r="R992" s="17" t="n"/>
      <c r="S992" s="17" t="n"/>
      <c r="T992" s="17" t="n"/>
      <c r="U992" s="17" t="n"/>
      <c r="V992" s="17" t="n"/>
      <c r="W992" s="17" t="n"/>
      <c r="X992" s="17" t="n"/>
      <c r="Y992" s="17" t="n">
        <v>1</v>
      </c>
      <c r="Z992" s="13">
        <f>SUMPRODUCT(N992:Y992,$N$2:$Y$2)*$K992*$L992*$M992</f>
        <v/>
      </c>
      <c r="AA992" s="14">
        <f>SUM(N992:Y992)</f>
        <v/>
      </c>
      <c r="AB992" s="14">
        <f>IFERROR(IF(UPPER($E992)="L",SUMPRODUCT(N992:Y992,$N$3:$Y$3,$N$2:$Y$2),SUMPRODUCT(N992:Y992,$N$4:$Y$4,$N$2:$Y$2))/(Z992/($K992*$L992*$M992)),"")</f>
        <v/>
      </c>
      <c r="AC992" s="18" t="n"/>
    </row>
    <row r="993">
      <c r="A993" s="9" t="n">
        <v>815824</v>
      </c>
      <c r="B993" s="9" t="inlineStr">
        <is>
          <t>Josiah Hartshorn</t>
        </is>
      </c>
      <c r="C993" s="9" t="inlineStr">
        <is>
          <t>CHC</t>
        </is>
      </c>
      <c r="D993" s="9" t="n">
        <v>20</v>
      </c>
      <c r="E993" s="16" t="inlineStr">
        <is>
          <t>S</t>
        </is>
      </c>
      <c r="F993" s="16" t="n"/>
      <c r="G993" s="9" t="n">
        <v>5.025641025641026</v>
      </c>
      <c r="H993" s="9" t="n">
        <v>5.025641025641026</v>
      </c>
      <c r="I993" s="9" t="inlineStr">
        <is>
          <t>Bench Bat</t>
        </is>
      </c>
      <c r="J993" s="16" t="inlineStr">
        <is>
          <t>Mid Season (~July)</t>
        </is>
      </c>
      <c r="K993" s="11">
        <f>IFERROR(INDEX(Roles!$B$17:$B$20,MATCH(J993,Roles!$A$17:$A$20,0)),1)</f>
        <v/>
      </c>
      <c r="L993" s="17" t="n">
        <v>1</v>
      </c>
      <c r="M993" s="11" t="n">
        <v>1</v>
      </c>
      <c r="N993" s="17" t="n">
        <v>0.34</v>
      </c>
      <c r="O993" s="17" t="n"/>
      <c r="P993" s="17" t="n">
        <v>0.3</v>
      </c>
      <c r="Q993" s="17" t="n"/>
      <c r="R993" s="17" t="n"/>
      <c r="S993" s="17" t="n"/>
      <c r="T993" s="17" t="n"/>
      <c r="U993" s="17" t="n"/>
      <c r="V993" s="17" t="n"/>
      <c r="W993" s="17" t="n">
        <v>0.36</v>
      </c>
      <c r="X993" s="17" t="n"/>
      <c r="Y993" s="17" t="n"/>
      <c r="Z993" s="13">
        <f>SUMPRODUCT(N993:Y993,$N$2:$Y$2)*$K993*$L993*$M993</f>
        <v/>
      </c>
      <c r="AA993" s="14">
        <f>SUM(N993:Y993)</f>
        <v/>
      </c>
      <c r="AB993" s="14">
        <f>IFERROR(IF(UPPER($E993)="L",SUMPRODUCT(N993:Y993,$N$3:$Y$3,$N$2:$Y$2),SUMPRODUCT(N993:Y993,$N$4:$Y$4,$N$2:$Y$2))/(Z993/($K993*$L993*$M993)),"")</f>
        <v/>
      </c>
      <c r="AC993" s="18" t="n"/>
    </row>
    <row r="994">
      <c r="A994" s="9" t="n">
        <v>814505</v>
      </c>
      <c r="B994" s="9" t="inlineStr">
        <is>
          <t>Ace Reese</t>
        </is>
      </c>
      <c r="C994" s="9" t="inlineStr">
        <is>
          <t>SEA</t>
        </is>
      </c>
      <c r="D994" s="9" t="n">
        <v>22</v>
      </c>
      <c r="E994" s="16" t="inlineStr">
        <is>
          <t>L</t>
        </is>
      </c>
      <c r="F994" s="16" t="n"/>
      <c r="G994" s="9" t="n">
        <v>11.56923076923077</v>
      </c>
      <c r="H994" s="9" t="n">
        <v>11.56923076923077</v>
      </c>
      <c r="I994" s="9" t="inlineStr">
        <is>
          <t>Depth (no MLB PA)</t>
        </is>
      </c>
      <c r="J994" s="16" t="inlineStr">
        <is>
          <t>Opening Day</t>
        </is>
      </c>
      <c r="K994" s="11">
        <f>IFERROR(INDEX(Roles!$B$17:$B$20,MATCH(J994,Roles!$A$17:$A$20,0)),1)</f>
        <v/>
      </c>
      <c r="L994" s="17" t="n">
        <v>1</v>
      </c>
      <c r="M994" s="11" t="n">
        <v>1</v>
      </c>
      <c r="N994" s="17" t="n"/>
      <c r="O994" s="17" t="n"/>
      <c r="P994" s="17" t="n"/>
      <c r="Q994" s="17" t="n"/>
      <c r="R994" s="17" t="n"/>
      <c r="S994" s="17" t="n"/>
      <c r="T994" s="17" t="n"/>
      <c r="U994" s="17" t="n"/>
      <c r="V994" s="17" t="n"/>
      <c r="W994" s="17" t="n"/>
      <c r="X994" s="17" t="n"/>
      <c r="Y994" s="17" t="n">
        <v>1</v>
      </c>
      <c r="Z994" s="13">
        <f>SUMPRODUCT(N994:Y994,$N$2:$Y$2)*$K994*$L994*$M994</f>
        <v/>
      </c>
      <c r="AA994" s="14">
        <f>SUM(N994:Y994)</f>
        <v/>
      </c>
      <c r="AB994" s="14">
        <f>IFERROR(IF(UPPER($E994)="L",SUMPRODUCT(N994:Y994,$N$3:$Y$3,$N$2:$Y$2),SUMPRODUCT(N994:Y994,$N$4:$Y$4,$N$2:$Y$2))/(Z994/($K994*$L994*$M994)),"")</f>
        <v/>
      </c>
      <c r="AC994" s="18" t="n"/>
    </row>
    <row r="995">
      <c r="A995" s="9" t="n">
        <v>806014</v>
      </c>
      <c r="B995" s="9" t="inlineStr">
        <is>
          <t>Keduar Trujillo</t>
        </is>
      </c>
      <c r="C995" s="9" t="inlineStr">
        <is>
          <t>HOU</t>
        </is>
      </c>
      <c r="D995" s="9" t="n">
        <v>25</v>
      </c>
      <c r="E995" s="16" t="inlineStr">
        <is>
          <t>R</t>
        </is>
      </c>
      <c r="F995" s="16" t="n"/>
      <c r="G995" s="9" t="n">
        <v>9.025641025641027</v>
      </c>
      <c r="H995" s="9" t="n">
        <v>9.025641025641027</v>
      </c>
      <c r="I995" s="9" t="inlineStr">
        <is>
          <t>Depth (no MLB PA)</t>
        </is>
      </c>
      <c r="J995" s="16" t="inlineStr">
        <is>
          <t>Opening Day</t>
        </is>
      </c>
      <c r="K995" s="11">
        <f>IFERROR(INDEX(Roles!$B$17:$B$20,MATCH(J995,Roles!$A$17:$A$20,0)),1)</f>
        <v/>
      </c>
      <c r="L995" s="17" t="n">
        <v>1</v>
      </c>
      <c r="M995" s="11" t="n">
        <v>1</v>
      </c>
      <c r="N995" s="17" t="n"/>
      <c r="O995" s="17" t="n"/>
      <c r="P995" s="17" t="n"/>
      <c r="Q995" s="17" t="n"/>
      <c r="R995" s="17" t="n"/>
      <c r="S995" s="17" t="n"/>
      <c r="T995" s="17" t="n"/>
      <c r="U995" s="17" t="n"/>
      <c r="V995" s="17" t="n"/>
      <c r="W995" s="17" t="n"/>
      <c r="X995" s="17" t="n"/>
      <c r="Y995" s="17" t="n">
        <v>1</v>
      </c>
      <c r="Z995" s="13">
        <f>SUMPRODUCT(N995:Y995,$N$2:$Y$2)*$K995*$L995*$M995</f>
        <v/>
      </c>
      <c r="AA995" s="14">
        <f>SUM(N995:Y995)</f>
        <v/>
      </c>
      <c r="AB995" s="14">
        <f>IFERROR(IF(UPPER($E995)="L",SUMPRODUCT(N995:Y995,$N$3:$Y$3,$N$2:$Y$2),SUMPRODUCT(N995:Y995,$N$4:$Y$4,$N$2:$Y$2))/(Z995/($K995*$L995*$M995)),"")</f>
        <v/>
      </c>
      <c r="AC995" s="18" t="n"/>
    </row>
    <row r="996">
      <c r="A996" s="9" t="n">
        <v>800547</v>
      </c>
      <c r="B996" s="9" t="inlineStr">
        <is>
          <t>Ricardo Pena</t>
        </is>
      </c>
      <c r="C996" s="9" t="inlineStr">
        <is>
          <t>MIN</t>
        </is>
      </c>
      <c r="D996" s="9" t="n">
        <v>25</v>
      </c>
      <c r="E996" s="16" t="inlineStr">
        <is>
          <t>R</t>
        </is>
      </c>
      <c r="F996" s="16" t="n"/>
      <c r="G996" s="9" t="n">
        <v>4.923076923076923</v>
      </c>
      <c r="H996" s="9" t="n">
        <v>4.923076923076923</v>
      </c>
      <c r="I996" s="9" t="inlineStr">
        <is>
          <t>Depth (no MLB PA)</t>
        </is>
      </c>
      <c r="J996" s="16" t="inlineStr">
        <is>
          <t>Opening Day</t>
        </is>
      </c>
      <c r="K996" s="11">
        <f>IFERROR(INDEX(Roles!$B$17:$B$20,MATCH(J996,Roles!$A$17:$A$20,0)),1)</f>
        <v/>
      </c>
      <c r="L996" s="17" t="n">
        <v>1</v>
      </c>
      <c r="M996" s="11" t="n">
        <v>1</v>
      </c>
      <c r="N996" s="17" t="n"/>
      <c r="O996" s="17" t="n"/>
      <c r="P996" s="17" t="n"/>
      <c r="Q996" s="17" t="n"/>
      <c r="R996" s="17" t="n"/>
      <c r="S996" s="17" t="n"/>
      <c r="T996" s="17" t="n"/>
      <c r="U996" s="17" t="n"/>
      <c r="V996" s="17" t="n"/>
      <c r="W996" s="17" t="n"/>
      <c r="X996" s="17" t="n"/>
      <c r="Y996" s="17" t="n">
        <v>1</v>
      </c>
      <c r="Z996" s="13">
        <f>SUMPRODUCT(N996:Y996,$N$2:$Y$2)*$K996*$L996*$M996</f>
        <v/>
      </c>
      <c r="AA996" s="14">
        <f>SUM(N996:Y996)</f>
        <v/>
      </c>
      <c r="AB996" s="14">
        <f>IFERROR(IF(UPPER($E996)="L",SUMPRODUCT(N996:Y996,$N$3:$Y$3,$N$2:$Y$2),SUMPRODUCT(N996:Y996,$N$4:$Y$4,$N$2:$Y$2))/(Z996/($K996*$L996*$M996)),"")</f>
        <v/>
      </c>
      <c r="AC996" s="18" t="n"/>
    </row>
    <row r="997">
      <c r="A997" s="9" t="n">
        <v>808684</v>
      </c>
      <c r="B997" s="9" t="inlineStr">
        <is>
          <t>Javier Mogollon</t>
        </is>
      </c>
      <c r="C997" s="9" t="inlineStr">
        <is>
          <t>CWS</t>
        </is>
      </c>
      <c r="D997" s="9" t="n">
        <v>25</v>
      </c>
      <c r="E997" s="16" t="inlineStr">
        <is>
          <t>R</t>
        </is>
      </c>
      <c r="F997" s="16" t="n"/>
      <c r="G997" s="9" t="n">
        <v>33.43589743589744</v>
      </c>
      <c r="H997" s="9" t="n">
        <v>33.43589743589744</v>
      </c>
      <c r="I997" s="9" t="inlineStr">
        <is>
          <t>Depth (no MLB PA)</t>
        </is>
      </c>
      <c r="J997" s="16" t="inlineStr">
        <is>
          <t>Opening Day</t>
        </is>
      </c>
      <c r="K997" s="11">
        <f>IFERROR(INDEX(Roles!$B$17:$B$20,MATCH(J997,Roles!$A$17:$A$20,0)),1)</f>
        <v/>
      </c>
      <c r="L997" s="17" t="n">
        <v>1</v>
      </c>
      <c r="M997" s="11" t="n">
        <v>1</v>
      </c>
      <c r="N997" s="17" t="n"/>
      <c r="O997" s="17" t="n"/>
      <c r="P997" s="17" t="n"/>
      <c r="Q997" s="17" t="n"/>
      <c r="R997" s="17" t="n"/>
      <c r="S997" s="17" t="n"/>
      <c r="T997" s="17" t="n"/>
      <c r="U997" s="17" t="n"/>
      <c r="V997" s="17" t="n"/>
      <c r="W997" s="17" t="n"/>
      <c r="X997" s="17" t="n"/>
      <c r="Y997" s="17" t="n">
        <v>1</v>
      </c>
      <c r="Z997" s="13">
        <f>SUMPRODUCT(N997:Y997,$N$2:$Y$2)*$K997*$L997*$M997</f>
        <v/>
      </c>
      <c r="AA997" s="14">
        <f>SUM(N997:Y997)</f>
        <v/>
      </c>
      <c r="AB997" s="14">
        <f>IFERROR(IF(UPPER($E997)="L",SUMPRODUCT(N997:Y997,$N$3:$Y$3,$N$2:$Y$2),SUMPRODUCT(N997:Y997,$N$4:$Y$4,$N$2:$Y$2))/(Z997/($K997*$L997*$M997)),"")</f>
        <v/>
      </c>
      <c r="AC997" s="18" t="n"/>
    </row>
    <row r="998">
      <c r="A998" s="9" t="n">
        <v>814091</v>
      </c>
      <c r="B998" s="9" t="inlineStr">
        <is>
          <t>John Wimmer</t>
        </is>
      </c>
      <c r="C998" s="9" t="inlineStr">
        <is>
          <t>LAA</t>
        </is>
      </c>
      <c r="D998" s="9" t="n">
        <v>25</v>
      </c>
      <c r="E998" s="16" t="inlineStr">
        <is>
          <t>R</t>
        </is>
      </c>
      <c r="F998" s="16" t="n"/>
      <c r="G998" s="9" t="n">
        <v>25.96923076923077</v>
      </c>
      <c r="H998" s="9" t="n">
        <v>25.96923076923077</v>
      </c>
      <c r="I998" s="9" t="inlineStr">
        <is>
          <t>Depth (no MLB PA)</t>
        </is>
      </c>
      <c r="J998" s="16" t="inlineStr">
        <is>
          <t>Opening Day</t>
        </is>
      </c>
      <c r="K998" s="11">
        <f>IFERROR(INDEX(Roles!$B$17:$B$20,MATCH(J998,Roles!$A$17:$A$20,0)),1)</f>
        <v/>
      </c>
      <c r="L998" s="17" t="n">
        <v>1</v>
      </c>
      <c r="M998" s="11" t="n">
        <v>1</v>
      </c>
      <c r="N998" s="17" t="n"/>
      <c r="O998" s="17" t="n"/>
      <c r="P998" s="17" t="n"/>
      <c r="Q998" s="17" t="n"/>
      <c r="R998" s="17" t="n"/>
      <c r="S998" s="17" t="n"/>
      <c r="T998" s="17" t="n"/>
      <c r="U998" s="17" t="n"/>
      <c r="V998" s="17" t="n"/>
      <c r="W998" s="17" t="n"/>
      <c r="X998" s="17" t="n"/>
      <c r="Y998" s="17" t="n">
        <v>1</v>
      </c>
      <c r="Z998" s="13">
        <f>SUMPRODUCT(N998:Y998,$N$2:$Y$2)*$K998*$L998*$M998</f>
        <v/>
      </c>
      <c r="AA998" s="14">
        <f>SUM(N998:Y998)</f>
        <v/>
      </c>
      <c r="AB998" s="14">
        <f>IFERROR(IF(UPPER($E998)="L",SUMPRODUCT(N998:Y998,$N$3:$Y$3,$N$2:$Y$2),SUMPRODUCT(N998:Y998,$N$4:$Y$4,$N$2:$Y$2))/(Z998/($K998*$L998*$M998)),"")</f>
        <v/>
      </c>
      <c r="AC998" s="18" t="n"/>
    </row>
    <row r="999">
      <c r="A999" s="9" t="n">
        <v>821931</v>
      </c>
      <c r="B999" s="9" t="inlineStr">
        <is>
          <t>Trey Ebel</t>
        </is>
      </c>
      <c r="C999" s="9" t="inlineStr">
        <is>
          <t>MIL</t>
        </is>
      </c>
      <c r="D999" s="9" t="n">
        <v>19</v>
      </c>
      <c r="E999" s="16" t="inlineStr">
        <is>
          <t>R</t>
        </is>
      </c>
      <c r="F999" s="16" t="n"/>
      <c r="G999" s="9" t="n">
        <v>7.138461538461539</v>
      </c>
      <c r="H999" s="9" t="n">
        <v>7.138461538461539</v>
      </c>
      <c r="I999" s="9" t="inlineStr">
        <is>
          <t>Depth (no MLB PA)</t>
        </is>
      </c>
      <c r="J999" s="16" t="inlineStr">
        <is>
          <t>Opening Day</t>
        </is>
      </c>
      <c r="K999" s="11">
        <f>IFERROR(INDEX(Roles!$B$17:$B$20,MATCH(J999,Roles!$A$17:$A$20,0)),1)</f>
        <v/>
      </c>
      <c r="L999" s="17" t="n">
        <v>1</v>
      </c>
      <c r="M999" s="11" t="n">
        <v>1</v>
      </c>
      <c r="N999" s="17" t="n"/>
      <c r="O999" s="17" t="n"/>
      <c r="P999" s="17" t="n"/>
      <c r="Q999" s="17" t="n"/>
      <c r="R999" s="17" t="n"/>
      <c r="S999" s="17" t="n"/>
      <c r="T999" s="17" t="n"/>
      <c r="U999" s="17" t="n"/>
      <c r="V999" s="17" t="n"/>
      <c r="W999" s="17" t="n"/>
      <c r="X999" s="17" t="n"/>
      <c r="Y999" s="17" t="n">
        <v>1</v>
      </c>
      <c r="Z999" s="13">
        <f>SUMPRODUCT(N999:Y999,$N$2:$Y$2)*$K999*$L999*$M999</f>
        <v/>
      </c>
      <c r="AA999" s="14">
        <f>SUM(N999:Y999)</f>
        <v/>
      </c>
      <c r="AB999" s="14">
        <f>IFERROR(IF(UPPER($E999)="L",SUMPRODUCT(N999:Y999,$N$3:$Y$3,$N$2:$Y$2),SUMPRODUCT(N999:Y999,$N$4:$Y$4,$N$2:$Y$2))/(Z999/($K999*$L999*$M999)),"")</f>
        <v/>
      </c>
      <c r="AC999" s="18" t="n"/>
    </row>
    <row r="1000">
      <c r="A1000" s="9" t="n">
        <v>681323</v>
      </c>
      <c r="B1000" s="9" t="inlineStr">
        <is>
          <t>Alex Binelas</t>
        </is>
      </c>
      <c r="C1000" s="9" t="inlineStr">
        <is>
          <t>PHI</t>
        </is>
      </c>
      <c r="D1000" s="9" t="n">
        <v>25</v>
      </c>
      <c r="E1000" s="16" t="inlineStr">
        <is>
          <t>L</t>
        </is>
      </c>
      <c r="F1000" s="16" t="n"/>
      <c r="G1000" s="9" t="n">
        <v>5.076923076923078</v>
      </c>
      <c r="H1000" s="9" t="n">
        <v>5.076923076923078</v>
      </c>
      <c r="I1000" s="9" t="inlineStr">
        <is>
          <t>Depth (no MLB PA)</t>
        </is>
      </c>
      <c r="J1000" s="16" t="inlineStr">
        <is>
          <t>Opening Day</t>
        </is>
      </c>
      <c r="K1000" s="11">
        <f>IFERROR(INDEX(Roles!$B$17:$B$20,MATCH(J1000,Roles!$A$17:$A$20,0)),1)</f>
        <v/>
      </c>
      <c r="L1000" s="17" t="n">
        <v>1</v>
      </c>
      <c r="M1000" s="11" t="n">
        <v>1</v>
      </c>
      <c r="N1000" s="17" t="n"/>
      <c r="O1000" s="17" t="n"/>
      <c r="P1000" s="17" t="n"/>
      <c r="Q1000" s="17" t="n"/>
      <c r="R1000" s="17" t="n"/>
      <c r="S1000" s="17" t="n"/>
      <c r="T1000" s="17" t="n"/>
      <c r="U1000" s="17" t="n"/>
      <c r="V1000" s="17" t="n"/>
      <c r="W1000" s="17" t="n"/>
      <c r="X1000" s="17" t="n"/>
      <c r="Y1000" s="17" t="n">
        <v>1</v>
      </c>
      <c r="Z1000" s="13">
        <f>SUMPRODUCT(N1000:Y1000,$N$2:$Y$2)*$K1000*$L1000*$M1000</f>
        <v/>
      </c>
      <c r="AA1000" s="14">
        <f>SUM(N1000:Y1000)</f>
        <v/>
      </c>
      <c r="AB1000" s="14">
        <f>IFERROR(IF(UPPER($E1000)="L",SUMPRODUCT(N1000:Y1000,$N$3:$Y$3,$N$2:$Y$2),SUMPRODUCT(N1000:Y1000,$N$4:$Y$4,$N$2:$Y$2))/(Z1000/($K1000*$L1000*$M1000)),"")</f>
        <v/>
      </c>
      <c r="AC1000" s="18" t="n"/>
    </row>
    <row r="1001">
      <c r="A1001" s="9" t="n">
        <v>836055</v>
      </c>
      <c r="B1001" s="9" t="inlineStr">
        <is>
          <t>Zach Daudet</t>
        </is>
      </c>
      <c r="C1001" s="9" t="inlineStr">
        <is>
          <t>HOU</t>
        </is>
      </c>
      <c r="D1001" s="9" t="n">
        <v>25</v>
      </c>
      <c r="E1001" s="16" t="inlineStr">
        <is>
          <t>R</t>
        </is>
      </c>
      <c r="F1001" s="16" t="n"/>
      <c r="G1001" s="9" t="n">
        <v>5.025641025641026</v>
      </c>
      <c r="H1001" s="9" t="n">
        <v>5.025641025641026</v>
      </c>
      <c r="I1001" s="9" t="inlineStr">
        <is>
          <t>Depth (no MLB PA)</t>
        </is>
      </c>
      <c r="J1001" s="16" t="inlineStr">
        <is>
          <t>Opening Day</t>
        </is>
      </c>
      <c r="K1001" s="11">
        <f>IFERROR(INDEX(Roles!$B$17:$B$20,MATCH(J1001,Roles!$A$17:$A$20,0)),1)</f>
        <v/>
      </c>
      <c r="L1001" s="17" t="n">
        <v>1</v>
      </c>
      <c r="M1001" s="11" t="n">
        <v>1</v>
      </c>
      <c r="N1001" s="17" t="n"/>
      <c r="O1001" s="17" t="n"/>
      <c r="P1001" s="17" t="n"/>
      <c r="Q1001" s="17" t="n"/>
      <c r="R1001" s="17" t="n"/>
      <c r="S1001" s="17" t="n"/>
      <c r="T1001" s="17" t="n"/>
      <c r="U1001" s="17" t="n"/>
      <c r="V1001" s="17" t="n"/>
      <c r="W1001" s="17" t="n"/>
      <c r="X1001" s="17" t="n"/>
      <c r="Y1001" s="17" t="n">
        <v>1</v>
      </c>
      <c r="Z1001" s="13">
        <f>SUMPRODUCT(N1001:Y1001,$N$2:$Y$2)*$K1001*$L1001*$M1001</f>
        <v/>
      </c>
      <c r="AA1001" s="14">
        <f>SUM(N1001:Y1001)</f>
        <v/>
      </c>
      <c r="AB1001" s="14">
        <f>IFERROR(IF(UPPER($E1001)="L",SUMPRODUCT(N1001:Y1001,$N$3:$Y$3,$N$2:$Y$2),SUMPRODUCT(N1001:Y1001,$N$4:$Y$4,$N$2:$Y$2))/(Z1001/($K1001*$L1001*$M1001)),"")</f>
        <v/>
      </c>
      <c r="AC1001" s="18" t="n"/>
    </row>
    <row r="1002">
      <c r="A1002" s="9" t="n">
        <v>811278</v>
      </c>
      <c r="B1002" s="9" t="inlineStr">
        <is>
          <t>Connor Rasmussen</t>
        </is>
      </c>
      <c r="C1002" s="9" t="inlineStr">
        <is>
          <t>KC</t>
        </is>
      </c>
      <c r="D1002" s="9" t="n">
        <v>25</v>
      </c>
      <c r="E1002" s="16" t="inlineStr">
        <is>
          <t>L</t>
        </is>
      </c>
      <c r="F1002" s="16" t="n"/>
      <c r="G1002" s="9" t="n">
        <v>5.025641025641026</v>
      </c>
      <c r="H1002" s="9" t="n">
        <v>5.025641025641026</v>
      </c>
      <c r="I1002" s="9" t="inlineStr">
        <is>
          <t>Depth (no MLB PA)</t>
        </is>
      </c>
      <c r="J1002" s="16" t="inlineStr">
        <is>
          <t>Opening Day</t>
        </is>
      </c>
      <c r="K1002" s="11">
        <f>IFERROR(INDEX(Roles!$B$17:$B$20,MATCH(J1002,Roles!$A$17:$A$20,0)),1)</f>
        <v/>
      </c>
      <c r="L1002" s="17" t="n">
        <v>1</v>
      </c>
      <c r="M1002" s="11" t="n">
        <v>1</v>
      </c>
      <c r="N1002" s="17" t="n"/>
      <c r="O1002" s="17" t="n"/>
      <c r="P1002" s="17" t="n"/>
      <c r="Q1002" s="17" t="n"/>
      <c r="R1002" s="17" t="n"/>
      <c r="S1002" s="17" t="n"/>
      <c r="T1002" s="17" t="n"/>
      <c r="U1002" s="17" t="n"/>
      <c r="V1002" s="17" t="n"/>
      <c r="W1002" s="17" t="n"/>
      <c r="X1002" s="17" t="n"/>
      <c r="Y1002" s="17" t="n">
        <v>1</v>
      </c>
      <c r="Z1002" s="13">
        <f>SUMPRODUCT(N1002:Y1002,$N$2:$Y$2)*$K1002*$L1002*$M1002</f>
        <v/>
      </c>
      <c r="AA1002" s="14">
        <f>SUM(N1002:Y1002)</f>
        <v/>
      </c>
      <c r="AB1002" s="14">
        <f>IFERROR(IF(UPPER($E1002)="L",SUMPRODUCT(N1002:Y1002,$N$3:$Y$3,$N$2:$Y$2),SUMPRODUCT(N1002:Y1002,$N$4:$Y$4,$N$2:$Y$2))/(Z1002/($K1002*$L1002*$M1002)),"")</f>
        <v/>
      </c>
      <c r="AC1002" s="18" t="n"/>
    </row>
    <row r="1003">
      <c r="A1003" s="9" t="n">
        <v>802098</v>
      </c>
      <c r="B1003" s="9" t="inlineStr">
        <is>
          <t>Leandro Alsinois</t>
        </is>
      </c>
      <c r="C1003" s="9" t="inlineStr">
        <is>
          <t>CWS</t>
        </is>
      </c>
      <c r="D1003" s="9" t="n">
        <v>25</v>
      </c>
      <c r="E1003" s="16" t="inlineStr">
        <is>
          <t>R</t>
        </is>
      </c>
      <c r="F1003" s="16" t="n"/>
      <c r="G1003" s="9" t="n">
        <v>5.046153846153846</v>
      </c>
      <c r="H1003" s="9" t="n">
        <v>5.046153846153846</v>
      </c>
      <c r="I1003" s="9" t="inlineStr">
        <is>
          <t>Depth (no MLB PA)</t>
        </is>
      </c>
      <c r="J1003" s="16" t="inlineStr">
        <is>
          <t>Opening Day</t>
        </is>
      </c>
      <c r="K1003" s="11">
        <f>IFERROR(INDEX(Roles!$B$17:$B$20,MATCH(J1003,Roles!$A$17:$A$20,0)),1)</f>
        <v/>
      </c>
      <c r="L1003" s="17" t="n">
        <v>1</v>
      </c>
      <c r="M1003" s="11" t="n">
        <v>1</v>
      </c>
      <c r="N1003" s="17" t="n"/>
      <c r="O1003" s="17" t="n"/>
      <c r="P1003" s="17" t="n"/>
      <c r="Q1003" s="17" t="n"/>
      <c r="R1003" s="17" t="n"/>
      <c r="S1003" s="17" t="n"/>
      <c r="T1003" s="17" t="n"/>
      <c r="U1003" s="17" t="n"/>
      <c r="V1003" s="17" t="n"/>
      <c r="W1003" s="17" t="n"/>
      <c r="X1003" s="17" t="n"/>
      <c r="Y1003" s="17" t="n">
        <v>1</v>
      </c>
      <c r="Z1003" s="13">
        <f>SUMPRODUCT(N1003:Y1003,$N$2:$Y$2)*$K1003*$L1003*$M1003</f>
        <v/>
      </c>
      <c r="AA1003" s="14">
        <f>SUM(N1003:Y1003)</f>
        <v/>
      </c>
      <c r="AB1003" s="14">
        <f>IFERROR(IF(UPPER($E1003)="L",SUMPRODUCT(N1003:Y1003,$N$3:$Y$3,$N$2:$Y$2),SUMPRODUCT(N1003:Y1003,$N$4:$Y$4,$N$2:$Y$2))/(Z1003/($K1003*$L1003*$M1003)),"")</f>
        <v/>
      </c>
      <c r="AC1003" s="18" t="n"/>
    </row>
    <row r="1004">
      <c r="A1004" s="9" t="n">
        <v>823185</v>
      </c>
      <c r="B1004" s="9" t="inlineStr">
        <is>
          <t>Zane Zielinski</t>
        </is>
      </c>
      <c r="C1004" s="9" t="inlineStr">
        <is>
          <t>SF</t>
        </is>
      </c>
      <c r="D1004" s="9" t="n">
        <v>25</v>
      </c>
      <c r="E1004" s="16" t="inlineStr">
        <is>
          <t>R</t>
        </is>
      </c>
      <c r="F1004" s="16" t="n"/>
      <c r="G1004" s="9" t="n">
        <v>5.076923076923078</v>
      </c>
      <c r="H1004" s="9" t="n">
        <v>5.076923076923078</v>
      </c>
      <c r="I1004" s="9" t="inlineStr">
        <is>
          <t>Depth (no MLB PA)</t>
        </is>
      </c>
      <c r="J1004" s="16" t="inlineStr">
        <is>
          <t>Opening Day</t>
        </is>
      </c>
      <c r="K1004" s="11">
        <f>IFERROR(INDEX(Roles!$B$17:$B$20,MATCH(J1004,Roles!$A$17:$A$20,0)),1)</f>
        <v/>
      </c>
      <c r="L1004" s="17" t="n">
        <v>1</v>
      </c>
      <c r="M1004" s="11" t="n">
        <v>1</v>
      </c>
      <c r="N1004" s="17" t="n"/>
      <c r="O1004" s="17" t="n"/>
      <c r="P1004" s="17" t="n"/>
      <c r="Q1004" s="17" t="n"/>
      <c r="R1004" s="17" t="n"/>
      <c r="S1004" s="17" t="n"/>
      <c r="T1004" s="17" t="n"/>
      <c r="U1004" s="17" t="n"/>
      <c r="V1004" s="17" t="n"/>
      <c r="W1004" s="17" t="n"/>
      <c r="X1004" s="17" t="n"/>
      <c r="Y1004" s="17" t="n">
        <v>1</v>
      </c>
      <c r="Z1004" s="13">
        <f>SUMPRODUCT(N1004:Y1004,$N$2:$Y$2)*$K1004*$L1004*$M1004</f>
        <v/>
      </c>
      <c r="AA1004" s="14">
        <f>SUM(N1004:Y1004)</f>
        <v/>
      </c>
      <c r="AB1004" s="14">
        <f>IFERROR(IF(UPPER($E1004)="L",SUMPRODUCT(N1004:Y1004,$N$3:$Y$3,$N$2:$Y$2),SUMPRODUCT(N1004:Y1004,$N$4:$Y$4,$N$2:$Y$2))/(Z1004/($K1004*$L1004*$M1004)),"")</f>
        <v/>
      </c>
      <c r="AC1004" s="18" t="n"/>
    </row>
    <row r="1005">
      <c r="A1005" s="9" t="n">
        <v>805953</v>
      </c>
      <c r="B1005" s="9" t="inlineStr">
        <is>
          <t>Anthony Huezo</t>
        </is>
      </c>
      <c r="C1005" s="9" t="inlineStr">
        <is>
          <t>HOU</t>
        </is>
      </c>
      <c r="D1005" s="9" t="n">
        <v>22</v>
      </c>
      <c r="E1005" s="16" t="inlineStr">
        <is>
          <t>L</t>
        </is>
      </c>
      <c r="F1005" s="16" t="n"/>
      <c r="G1005" s="9" t="n">
        <v>5.025641025641026</v>
      </c>
      <c r="H1005" s="9" t="n">
        <v>5.025641025641026</v>
      </c>
      <c r="I1005" s="9" t="inlineStr">
        <is>
          <t>Depth (no MLB PA)</t>
        </is>
      </c>
      <c r="J1005" s="16" t="inlineStr">
        <is>
          <t>Opening Day</t>
        </is>
      </c>
      <c r="K1005" s="11">
        <f>IFERROR(INDEX(Roles!$B$17:$B$20,MATCH(J1005,Roles!$A$17:$A$20,0)),1)</f>
        <v/>
      </c>
      <c r="L1005" s="17" t="n">
        <v>1</v>
      </c>
      <c r="M1005" s="11" t="n">
        <v>1</v>
      </c>
      <c r="N1005" s="17" t="n"/>
      <c r="O1005" s="17" t="n"/>
      <c r="P1005" s="17" t="n"/>
      <c r="Q1005" s="17" t="n"/>
      <c r="R1005" s="17" t="n"/>
      <c r="S1005" s="17" t="n"/>
      <c r="T1005" s="17" t="n"/>
      <c r="U1005" s="17" t="n"/>
      <c r="V1005" s="17" t="n"/>
      <c r="W1005" s="17" t="n"/>
      <c r="X1005" s="17" t="n"/>
      <c r="Y1005" s="17" t="n">
        <v>1</v>
      </c>
      <c r="Z1005" s="13">
        <f>SUMPRODUCT(N1005:Y1005,$N$2:$Y$2)*$K1005*$L1005*$M1005</f>
        <v/>
      </c>
      <c r="AA1005" s="14">
        <f>SUM(N1005:Y1005)</f>
        <v/>
      </c>
      <c r="AB1005" s="14">
        <f>IFERROR(IF(UPPER($E1005)="L",SUMPRODUCT(N1005:Y1005,$N$3:$Y$3,$N$2:$Y$2),SUMPRODUCT(N1005:Y1005,$N$4:$Y$4,$N$2:$Y$2))/(Z1005/($K1005*$L1005*$M1005)),"")</f>
        <v/>
      </c>
      <c r="AC1005" s="18" t="n"/>
    </row>
    <row r="1006">
      <c r="A1006" s="9" t="n">
        <v>701100</v>
      </c>
      <c r="B1006" s="9" t="inlineStr">
        <is>
          <t>Ben McCabe</t>
        </is>
      </c>
      <c r="C1006" s="9" t="inlineStr">
        <is>
          <t>COL</t>
        </is>
      </c>
      <c r="D1006" s="9" t="n">
        <v>25</v>
      </c>
      <c r="E1006" s="16" t="inlineStr">
        <is>
          <t>R</t>
        </is>
      </c>
      <c r="F1006" s="16" t="n"/>
      <c r="G1006" s="9" t="n">
        <v>5.025641025641026</v>
      </c>
      <c r="H1006" s="9" t="n">
        <v>5.025641025641026</v>
      </c>
      <c r="I1006" s="9" t="inlineStr">
        <is>
          <t>Depth (no MLB PA)</t>
        </is>
      </c>
      <c r="J1006" s="16" t="inlineStr">
        <is>
          <t>Opening Day</t>
        </is>
      </c>
      <c r="K1006" s="11">
        <f>IFERROR(INDEX(Roles!$B$17:$B$20,MATCH(J1006,Roles!$A$17:$A$20,0)),1)</f>
        <v/>
      </c>
      <c r="L1006" s="17" t="n">
        <v>1</v>
      </c>
      <c r="M1006" s="11" t="n">
        <v>1</v>
      </c>
      <c r="N1006" s="17" t="n"/>
      <c r="O1006" s="17" t="n"/>
      <c r="P1006" s="17" t="n"/>
      <c r="Q1006" s="17" t="n"/>
      <c r="R1006" s="17" t="n"/>
      <c r="S1006" s="17" t="n"/>
      <c r="T1006" s="17" t="n"/>
      <c r="U1006" s="17" t="n"/>
      <c r="V1006" s="17" t="n"/>
      <c r="W1006" s="17" t="n"/>
      <c r="X1006" s="17" t="n"/>
      <c r="Y1006" s="17" t="n">
        <v>1</v>
      </c>
      <c r="Z1006" s="13">
        <f>SUMPRODUCT(N1006:Y1006,$N$2:$Y$2)*$K1006*$L1006*$M1006</f>
        <v/>
      </c>
      <c r="AA1006" s="14">
        <f>SUM(N1006:Y1006)</f>
        <v/>
      </c>
      <c r="AB1006" s="14">
        <f>IFERROR(IF(UPPER($E1006)="L",SUMPRODUCT(N1006:Y1006,$N$3:$Y$3,$N$2:$Y$2),SUMPRODUCT(N1006:Y1006,$N$4:$Y$4,$N$2:$Y$2))/(Z1006/($K1006*$L1006*$M1006)),"")</f>
        <v/>
      </c>
      <c r="AC1006" s="18" t="n"/>
    </row>
    <row r="1007">
      <c r="A1007" s="9" t="n">
        <v>682692</v>
      </c>
      <c r="B1007" s="9" t="inlineStr">
        <is>
          <t>Miguel Palma</t>
        </is>
      </c>
      <c r="C1007" s="9" t="inlineStr">
        <is>
          <t>NYY</t>
        </is>
      </c>
      <c r="D1007" s="9" t="n">
        <v>25</v>
      </c>
      <c r="E1007" s="16" t="inlineStr">
        <is>
          <t>R</t>
        </is>
      </c>
      <c r="F1007" s="16" t="n"/>
      <c r="G1007" s="9" t="n">
        <v>5.076923076923078</v>
      </c>
      <c r="H1007" s="9" t="n">
        <v>5.076923076923078</v>
      </c>
      <c r="I1007" s="9" t="inlineStr">
        <is>
          <t>Depth (no MLB PA)</t>
        </is>
      </c>
      <c r="J1007" s="16" t="inlineStr">
        <is>
          <t>Opening Day</t>
        </is>
      </c>
      <c r="K1007" s="11">
        <f>IFERROR(INDEX(Roles!$B$17:$B$20,MATCH(J1007,Roles!$A$17:$A$20,0)),1)</f>
        <v/>
      </c>
      <c r="L1007" s="17" t="n">
        <v>1</v>
      </c>
      <c r="M1007" s="11" t="n">
        <v>1</v>
      </c>
      <c r="N1007" s="17" t="n"/>
      <c r="O1007" s="17" t="n"/>
      <c r="P1007" s="17" t="n"/>
      <c r="Q1007" s="17" t="n"/>
      <c r="R1007" s="17" t="n"/>
      <c r="S1007" s="17" t="n"/>
      <c r="T1007" s="17" t="n"/>
      <c r="U1007" s="17" t="n"/>
      <c r="V1007" s="17" t="n"/>
      <c r="W1007" s="17" t="n"/>
      <c r="X1007" s="17" t="n"/>
      <c r="Y1007" s="17" t="n">
        <v>1</v>
      </c>
      <c r="Z1007" s="13">
        <f>SUMPRODUCT(N1007:Y1007,$N$2:$Y$2)*$K1007*$L1007*$M1007</f>
        <v/>
      </c>
      <c r="AA1007" s="14">
        <f>SUM(N1007:Y1007)</f>
        <v/>
      </c>
      <c r="AB1007" s="14">
        <f>IFERROR(IF(UPPER($E1007)="L",SUMPRODUCT(N1007:Y1007,$N$3:$Y$3,$N$2:$Y$2),SUMPRODUCT(N1007:Y1007,$N$4:$Y$4,$N$2:$Y$2))/(Z1007/($K1007*$L1007*$M1007)),"")</f>
        <v/>
      </c>
      <c r="AC1007" s="18" t="n"/>
    </row>
    <row r="1008">
      <c r="A1008" s="9" t="n">
        <v>806964</v>
      </c>
      <c r="B1008" s="9" t="inlineStr">
        <is>
          <t>Sebastian Walcott</t>
        </is>
      </c>
      <c r="C1008" s="9" t="inlineStr">
        <is>
          <t>TEX</t>
        </is>
      </c>
      <c r="D1008" s="9" t="n">
        <v>21</v>
      </c>
      <c r="E1008" s="16" t="inlineStr">
        <is>
          <t>R</t>
        </is>
      </c>
      <c r="F1008" s="16" t="n"/>
      <c r="G1008" s="9" t="n">
        <v>5.076923076923078</v>
      </c>
      <c r="H1008" s="9" t="n">
        <v>5.076923076923078</v>
      </c>
      <c r="I1008" s="9" t="inlineStr">
        <is>
          <t>Full Time</t>
        </is>
      </c>
      <c r="J1008" s="16" t="inlineStr">
        <is>
          <t>Early Season (~May)</t>
        </is>
      </c>
      <c r="K1008" s="11">
        <f>IFERROR(INDEX(Roles!$B$17:$B$20,MATCH(J1008,Roles!$A$17:$A$20,0)),1)</f>
        <v/>
      </c>
      <c r="L1008" s="17" t="n">
        <v>1</v>
      </c>
      <c r="M1008" s="11" t="n">
        <v>1</v>
      </c>
      <c r="N1008" s="17" t="n">
        <v>0.47</v>
      </c>
      <c r="O1008" s="17" t="n"/>
      <c r="P1008" s="17" t="n">
        <v>0.25</v>
      </c>
      <c r="Q1008" s="17" t="n"/>
      <c r="R1008" s="17" t="n"/>
      <c r="S1008" s="17" t="n"/>
      <c r="T1008" s="17" t="n"/>
      <c r="U1008" s="17" t="n"/>
      <c r="V1008" s="17" t="n"/>
      <c r="W1008" s="17" t="n">
        <v>0.28</v>
      </c>
      <c r="X1008" s="17" t="n"/>
      <c r="Y1008" s="17" t="n"/>
      <c r="Z1008" s="13">
        <f>SUMPRODUCT(N1008:Y1008,$N$2:$Y$2)*$K1008*$L1008*$M1008</f>
        <v/>
      </c>
      <c r="AA1008" s="14">
        <f>SUM(N1008:Y1008)</f>
        <v/>
      </c>
      <c r="AB1008" s="14">
        <f>IFERROR(IF(UPPER($E1008)="L",SUMPRODUCT(N1008:Y1008,$N$3:$Y$3,$N$2:$Y$2),SUMPRODUCT(N1008:Y1008,$N$4:$Y$4,$N$2:$Y$2))/(Z1008/($K1008*$L1008*$M1008)),"")</f>
        <v/>
      </c>
      <c r="AC1008" s="18" t="n"/>
    </row>
    <row r="1009">
      <c r="A1009" s="9" t="n">
        <v>694661</v>
      </c>
      <c r="B1009" s="9" t="inlineStr">
        <is>
          <t>Riley Tirotta</t>
        </is>
      </c>
      <c r="C1009" s="9" t="inlineStr">
        <is>
          <t>TOR</t>
        </is>
      </c>
      <c r="D1009" s="9" t="n">
        <v>25</v>
      </c>
      <c r="E1009" s="16" t="inlineStr">
        <is>
          <t>R</t>
        </is>
      </c>
      <c r="F1009" s="16" t="n"/>
      <c r="G1009" s="9" t="n">
        <v>110</v>
      </c>
      <c r="H1009" s="9" t="n">
        <v>110</v>
      </c>
      <c r="I1009" s="9" t="inlineStr">
        <is>
          <t>Depth (no MLB PA)</t>
        </is>
      </c>
      <c r="J1009" s="16" t="inlineStr">
        <is>
          <t>Opening Day</t>
        </is>
      </c>
      <c r="K1009" s="11">
        <f>IFERROR(INDEX(Roles!$B$17:$B$20,MATCH(J1009,Roles!$A$17:$A$20,0)),1)</f>
        <v/>
      </c>
      <c r="L1009" s="17" t="n">
        <v>1</v>
      </c>
      <c r="M1009" s="11" t="n">
        <v>1</v>
      </c>
      <c r="N1009" s="17" t="n"/>
      <c r="O1009" s="17" t="n"/>
      <c r="P1009" s="17" t="n"/>
      <c r="Q1009" s="17" t="n"/>
      <c r="R1009" s="17" t="n"/>
      <c r="S1009" s="17" t="n"/>
      <c r="T1009" s="17" t="n"/>
      <c r="U1009" s="17" t="n"/>
      <c r="V1009" s="17" t="n"/>
      <c r="W1009" s="17" t="n"/>
      <c r="X1009" s="17" t="n"/>
      <c r="Y1009" s="17" t="n">
        <v>1</v>
      </c>
      <c r="Z1009" s="13">
        <f>SUMPRODUCT(N1009:Y1009,$N$2:$Y$2)*$K1009*$L1009*$M1009</f>
        <v/>
      </c>
      <c r="AA1009" s="14">
        <f>SUM(N1009:Y1009)</f>
        <v/>
      </c>
      <c r="AB1009" s="14">
        <f>IFERROR(IF(UPPER($E1009)="L",SUMPRODUCT(N1009:Y1009,$N$3:$Y$3,$N$2:$Y$2),SUMPRODUCT(N1009:Y1009,$N$4:$Y$4,$N$2:$Y$2))/(Z1009/($K1009*$L1009*$M1009)),"")</f>
        <v/>
      </c>
      <c r="AC1009" s="18" t="n"/>
    </row>
    <row r="1010">
      <c r="A1010" s="9" t="n">
        <v>682657</v>
      </c>
      <c r="B1010" s="9" t="inlineStr">
        <is>
          <t>Angel Martínez</t>
        </is>
      </c>
      <c r="C1010" s="9" t="inlineStr">
        <is>
          <t>CLE</t>
        </is>
      </c>
      <c r="D1010" s="9" t="n">
        <v>25</v>
      </c>
      <c r="E1010" s="16" t="inlineStr">
        <is>
          <t>S</t>
        </is>
      </c>
      <c r="F1010" s="16" t="inlineStr">
        <is>
          <t>LF</t>
        </is>
      </c>
      <c r="G1010" s="9" t="n">
        <v>416</v>
      </c>
      <c r="H1010" s="9" t="n">
        <v>1069</v>
      </c>
      <c r="I1010" s="9" t="inlineStr">
        <is>
          <t>Full Time</t>
        </is>
      </c>
      <c r="J1010" s="16" t="inlineStr">
        <is>
          <t>Opening Day</t>
        </is>
      </c>
      <c r="K1010" s="11">
        <f>IFERROR(INDEX(Roles!$B$17:$B$20,MATCH(J1010,Roles!$A$17:$A$20,0)),1)</f>
        <v/>
      </c>
      <c r="L1010" s="17" t="n">
        <v>1</v>
      </c>
      <c r="M1010" s="11" t="n">
        <v>1.01799815715786</v>
      </c>
      <c r="N1010" s="17" t="n">
        <v>0.75</v>
      </c>
      <c r="O1010" s="17" t="n"/>
      <c r="P1010" s="17" t="n">
        <v>0.25</v>
      </c>
      <c r="Q1010" s="17" t="n"/>
      <c r="R1010" s="17" t="n"/>
      <c r="S1010" s="17" t="n"/>
      <c r="T1010" s="17" t="n"/>
      <c r="U1010" s="17" t="n"/>
      <c r="V1010" s="17" t="n"/>
      <c r="W1010" s="17" t="n"/>
      <c r="X1010" s="17" t="n"/>
      <c r="Y1010" s="17" t="n"/>
      <c r="Z1010" s="13">
        <f>SUMPRODUCT(N1010:Y1010,$N$2:$Y$2)*$K1010*$L1010*$M1010</f>
        <v/>
      </c>
      <c r="AA1010" s="14">
        <f>SUM(N1010:Y1010)</f>
        <v/>
      </c>
      <c r="AB1010" s="14">
        <f>IFERROR(IF(UPPER($E1010)="L",SUMPRODUCT(N1010:Y1010,$N$3:$Y$3,$N$2:$Y$2),SUMPRODUCT(N1010:Y1010,$N$4:$Y$4,$N$2:$Y$2))/(Z1010/($K1010*$L1010*$M1010)),"")</f>
        <v/>
      </c>
      <c r="AC1010" s="18" t="n"/>
    </row>
    <row r="1011">
      <c r="A1011" s="9" t="n">
        <v>666164</v>
      </c>
      <c r="B1011" s="9" t="inlineStr">
        <is>
          <t>Blake Rutherford</t>
        </is>
      </c>
      <c r="C1011" s="9" t="inlineStr">
        <is>
          <t>WSH</t>
        </is>
      </c>
      <c r="D1011" s="9" t="n">
        <v>30</v>
      </c>
      <c r="E1011" s="16" t="inlineStr">
        <is>
          <t>L</t>
        </is>
      </c>
      <c r="F1011" s="16" t="inlineStr">
        <is>
          <t>LF</t>
        </is>
      </c>
      <c r="G1011" s="9" t="n">
        <v>36</v>
      </c>
      <c r="H1011" s="9" t="n">
        <v>36</v>
      </c>
      <c r="I1011" s="9" t="inlineStr">
        <is>
          <t>Depth (no MLB PA)</t>
        </is>
      </c>
      <c r="J1011" s="16" t="inlineStr">
        <is>
          <t>Opening Day</t>
        </is>
      </c>
      <c r="K1011" s="11">
        <f>IFERROR(INDEX(Roles!$B$17:$B$20,MATCH(J1011,Roles!$A$17:$A$20,0)),1)</f>
        <v/>
      </c>
      <c r="L1011" s="17" t="n">
        <v>1</v>
      </c>
      <c r="M1011" s="11" t="n">
        <v>1</v>
      </c>
      <c r="N1011" s="17" t="n"/>
      <c r="O1011" s="17" t="n"/>
      <c r="P1011" s="17" t="n"/>
      <c r="Q1011" s="17" t="n"/>
      <c r="R1011" s="17" t="n"/>
      <c r="S1011" s="17" t="n"/>
      <c r="T1011" s="17" t="n"/>
      <c r="U1011" s="17" t="n"/>
      <c r="V1011" s="17" t="n"/>
      <c r="W1011" s="17" t="n"/>
      <c r="X1011" s="17" t="n"/>
      <c r="Y1011" s="17" t="n">
        <v>1</v>
      </c>
      <c r="Z1011" s="13">
        <f>SUMPRODUCT(N1011:Y1011,$N$2:$Y$2)*$K1011*$L1011*$M1011</f>
        <v/>
      </c>
      <c r="AA1011" s="14">
        <f>SUM(N1011:Y1011)</f>
        <v/>
      </c>
      <c r="AB1011" s="14">
        <f>IFERROR(IF(UPPER($E1011)="L",SUMPRODUCT(N1011:Y1011,$N$3:$Y$3,$N$2:$Y$2),SUMPRODUCT(N1011:Y1011,$N$4:$Y$4,$N$2:$Y$2))/(Z1011/($K1011*$L1011*$M1011)),"")</f>
        <v/>
      </c>
      <c r="AC1011" s="18" t="n"/>
    </row>
    <row r="1012">
      <c r="A1012" s="9" t="n">
        <v>840927</v>
      </c>
      <c r="B1012" s="9" t="inlineStr">
        <is>
          <t>Erick Dessens</t>
        </is>
      </c>
      <c r="C1012" s="9" t="inlineStr">
        <is>
          <t>CLE</t>
        </is>
      </c>
      <c r="D1012" s="9" t="n">
        <v>25</v>
      </c>
      <c r="E1012" s="16" t="inlineStr">
        <is>
          <t>L</t>
        </is>
      </c>
      <c r="F1012" s="16" t="n"/>
      <c r="G1012" s="9" t="n">
        <v>7.261538461538461</v>
      </c>
      <c r="H1012" s="9" t="n">
        <v>7.261538461538461</v>
      </c>
      <c r="I1012" s="9" t="inlineStr">
        <is>
          <t>Depth (no MLB PA)</t>
        </is>
      </c>
      <c r="J1012" s="16" t="inlineStr">
        <is>
          <t>Opening Day</t>
        </is>
      </c>
      <c r="K1012" s="11">
        <f>IFERROR(INDEX(Roles!$B$17:$B$20,MATCH(J1012,Roles!$A$17:$A$20,0)),1)</f>
        <v/>
      </c>
      <c r="L1012" s="17" t="n">
        <v>1</v>
      </c>
      <c r="M1012" s="11" t="n">
        <v>1</v>
      </c>
      <c r="N1012" s="17" t="n"/>
      <c r="O1012" s="17" t="n"/>
      <c r="P1012" s="17" t="n"/>
      <c r="Q1012" s="17" t="n"/>
      <c r="R1012" s="17" t="n"/>
      <c r="S1012" s="17" t="n"/>
      <c r="T1012" s="17" t="n"/>
      <c r="U1012" s="17" t="n"/>
      <c r="V1012" s="17" t="n"/>
      <c r="W1012" s="17" t="n"/>
      <c r="X1012" s="17" t="n"/>
      <c r="Y1012" s="17" t="n">
        <v>1</v>
      </c>
      <c r="Z1012" s="13">
        <f>SUMPRODUCT(N1012:Y1012,$N$2:$Y$2)*$K1012*$L1012*$M1012</f>
        <v/>
      </c>
      <c r="AA1012" s="14">
        <f>SUM(N1012:Y1012)</f>
        <v/>
      </c>
      <c r="AB1012" s="14">
        <f>IFERROR(IF(UPPER($E1012)="L",SUMPRODUCT(N1012:Y1012,$N$3:$Y$3,$N$2:$Y$2),SUMPRODUCT(N1012:Y1012,$N$4:$Y$4,$N$2:$Y$2))/(Z1012/($K1012*$L1012*$M1012)),"")</f>
        <v/>
      </c>
      <c r="AC1012" s="18" t="n"/>
    </row>
    <row r="1013">
      <c r="A1013" s="9" t="n">
        <v>835678</v>
      </c>
      <c r="B1013" s="9" t="inlineStr">
        <is>
          <t>Martin Shelar</t>
        </is>
      </c>
      <c r="C1013" s="9" t="inlineStr">
        <is>
          <t>BOS</t>
        </is>
      </c>
      <c r="D1013" s="9" t="n">
        <v>20</v>
      </c>
      <c r="E1013" s="16" t="inlineStr">
        <is>
          <t>R</t>
        </is>
      </c>
      <c r="F1013" s="16" t="n"/>
      <c r="G1013" s="9" t="n">
        <v>7.261538461538461</v>
      </c>
      <c r="H1013" s="9" t="n">
        <v>7.261538461538461</v>
      </c>
      <c r="I1013" s="9" t="inlineStr">
        <is>
          <t>Depth (no MLB PA)</t>
        </is>
      </c>
      <c r="J1013" s="16" t="inlineStr">
        <is>
          <t>Opening Day</t>
        </is>
      </c>
      <c r="K1013" s="11">
        <f>IFERROR(INDEX(Roles!$B$17:$B$20,MATCH(J1013,Roles!$A$17:$A$20,0)),1)</f>
        <v/>
      </c>
      <c r="L1013" s="17" t="n">
        <v>1</v>
      </c>
      <c r="M1013" s="11" t="n">
        <v>1</v>
      </c>
      <c r="N1013" s="17" t="n"/>
      <c r="O1013" s="17" t="n"/>
      <c r="P1013" s="17" t="n"/>
      <c r="Q1013" s="17" t="n"/>
      <c r="R1013" s="17" t="n"/>
      <c r="S1013" s="17" t="n"/>
      <c r="T1013" s="17" t="n"/>
      <c r="U1013" s="17" t="n"/>
      <c r="V1013" s="17" t="n"/>
      <c r="W1013" s="17" t="n"/>
      <c r="X1013" s="17" t="n"/>
      <c r="Y1013" s="17" t="n">
        <v>1</v>
      </c>
      <c r="Z1013" s="13">
        <f>SUMPRODUCT(N1013:Y1013,$N$2:$Y$2)*$K1013*$L1013*$M1013</f>
        <v/>
      </c>
      <c r="AA1013" s="14">
        <f>SUM(N1013:Y1013)</f>
        <v/>
      </c>
      <c r="AB1013" s="14">
        <f>IFERROR(IF(UPPER($E1013)="L",SUMPRODUCT(N1013:Y1013,$N$3:$Y$3,$N$2:$Y$2),SUMPRODUCT(N1013:Y1013,$N$4:$Y$4,$N$2:$Y$2))/(Z1013/($K1013*$L1013*$M1013)),"")</f>
        <v/>
      </c>
      <c r="AC1013" s="18" t="n"/>
    </row>
    <row r="1014">
      <c r="A1014" s="9" t="n">
        <v>803679</v>
      </c>
      <c r="B1014" s="9" t="inlineStr">
        <is>
          <t>Sammy Hernandez</t>
        </is>
      </c>
      <c r="C1014" s="9" t="inlineStr">
        <is>
          <t>STL</t>
        </is>
      </c>
      <c r="D1014" s="9" t="n">
        <v>23</v>
      </c>
      <c r="E1014" s="16" t="inlineStr">
        <is>
          <t>R</t>
        </is>
      </c>
      <c r="F1014" s="16" t="n"/>
      <c r="G1014" s="9" t="n">
        <v>50.66666666666667</v>
      </c>
      <c r="H1014" s="9" t="n">
        <v>50.66666666666667</v>
      </c>
      <c r="I1014" s="9" t="inlineStr">
        <is>
          <t>Depth (no MLB PA)</t>
        </is>
      </c>
      <c r="J1014" s="16" t="inlineStr">
        <is>
          <t>Opening Day</t>
        </is>
      </c>
      <c r="K1014" s="11">
        <f>IFERROR(INDEX(Roles!$B$17:$B$20,MATCH(J1014,Roles!$A$17:$A$20,0)),1)</f>
        <v/>
      </c>
      <c r="L1014" s="17" t="n">
        <v>1</v>
      </c>
      <c r="M1014" s="11" t="n">
        <v>1</v>
      </c>
      <c r="N1014" s="17" t="n"/>
      <c r="O1014" s="17" t="n"/>
      <c r="P1014" s="17" t="n"/>
      <c r="Q1014" s="17" t="n"/>
      <c r="R1014" s="17" t="n"/>
      <c r="S1014" s="17" t="n"/>
      <c r="T1014" s="17" t="n"/>
      <c r="U1014" s="17" t="n"/>
      <c r="V1014" s="17" t="n"/>
      <c r="W1014" s="17" t="n"/>
      <c r="X1014" s="17" t="n"/>
      <c r="Y1014" s="17" t="n">
        <v>1</v>
      </c>
      <c r="Z1014" s="13">
        <f>SUMPRODUCT(N1014:Y1014,$N$2:$Y$2)*$K1014*$L1014*$M1014</f>
        <v/>
      </c>
      <c r="AA1014" s="14">
        <f>SUM(N1014:Y1014)</f>
        <v/>
      </c>
      <c r="AB1014" s="14">
        <f>IFERROR(IF(UPPER($E1014)="L",SUMPRODUCT(N1014:Y1014,$N$3:$Y$3,$N$2:$Y$2),SUMPRODUCT(N1014:Y1014,$N$4:$Y$4,$N$2:$Y$2))/(Z1014/($K1014*$L1014*$M1014)),"")</f>
        <v/>
      </c>
      <c r="AC1014" s="18" t="n"/>
    </row>
    <row r="1015">
      <c r="A1015" s="9" t="n">
        <v>804603</v>
      </c>
      <c r="B1015" s="9" t="inlineStr">
        <is>
          <t>Duncan Pastore</t>
        </is>
      </c>
      <c r="C1015" s="9" t="inlineStr">
        <is>
          <t>NYY</t>
        </is>
      </c>
      <c r="D1015" s="9" t="n">
        <v>25</v>
      </c>
      <c r="E1015" s="16" t="inlineStr">
        <is>
          <t>R</t>
        </is>
      </c>
      <c r="F1015" s="16" t="n"/>
      <c r="G1015" s="9" t="n">
        <v>5.076923076923078</v>
      </c>
      <c r="H1015" s="9" t="n">
        <v>5.076923076923078</v>
      </c>
      <c r="I1015" s="9" t="inlineStr">
        <is>
          <t>Depth (no MLB PA)</t>
        </is>
      </c>
      <c r="J1015" s="16" t="inlineStr">
        <is>
          <t>Opening Day</t>
        </is>
      </c>
      <c r="K1015" s="11">
        <f>IFERROR(INDEX(Roles!$B$17:$B$20,MATCH(J1015,Roles!$A$17:$A$20,0)),1)</f>
        <v/>
      </c>
      <c r="L1015" s="17" t="n">
        <v>1</v>
      </c>
      <c r="M1015" s="11" t="n">
        <v>1</v>
      </c>
      <c r="N1015" s="17" t="n"/>
      <c r="O1015" s="17" t="n"/>
      <c r="P1015" s="17" t="n"/>
      <c r="Q1015" s="17" t="n"/>
      <c r="R1015" s="17" t="n"/>
      <c r="S1015" s="17" t="n"/>
      <c r="T1015" s="17" t="n"/>
      <c r="U1015" s="17" t="n"/>
      <c r="V1015" s="17" t="n"/>
      <c r="W1015" s="17" t="n"/>
      <c r="X1015" s="17" t="n"/>
      <c r="Y1015" s="17" t="n">
        <v>1</v>
      </c>
      <c r="Z1015" s="13">
        <f>SUMPRODUCT(N1015:Y1015,$N$2:$Y$2)*$K1015*$L1015*$M1015</f>
        <v/>
      </c>
      <c r="AA1015" s="14">
        <f>SUM(N1015:Y1015)</f>
        <v/>
      </c>
      <c r="AB1015" s="14">
        <f>IFERROR(IF(UPPER($E1015)="L",SUMPRODUCT(N1015:Y1015,$N$3:$Y$3,$N$2:$Y$2),SUMPRODUCT(N1015:Y1015,$N$4:$Y$4,$N$2:$Y$2))/(Z1015/($K1015*$L1015*$M1015)),"")</f>
        <v/>
      </c>
      <c r="AC1015" s="18" t="n"/>
    </row>
    <row r="1016">
      <c r="A1016" s="9" t="n">
        <v>543482</v>
      </c>
      <c r="B1016" s="9" t="inlineStr">
        <is>
          <t>Drew Maggi</t>
        </is>
      </c>
      <c r="C1016" s="9" t="inlineStr">
        <is>
          <t>PIT</t>
        </is>
      </c>
      <c r="D1016" s="9" t="n">
        <v>38</v>
      </c>
      <c r="E1016" s="16" t="inlineStr">
        <is>
          <t>R</t>
        </is>
      </c>
      <c r="F1016" s="16" t="inlineStr">
        <is>
          <t>3B</t>
        </is>
      </c>
      <c r="G1016" s="9" t="n">
        <v>6</v>
      </c>
      <c r="H1016" s="9" t="n">
        <v>6</v>
      </c>
      <c r="I1016" s="9" t="inlineStr">
        <is>
          <t>Depth (no MLB PA)</t>
        </is>
      </c>
      <c r="J1016" s="16" t="inlineStr">
        <is>
          <t>Opening Day</t>
        </is>
      </c>
      <c r="K1016" s="11">
        <f>IFERROR(INDEX(Roles!$B$17:$B$20,MATCH(J1016,Roles!$A$17:$A$20,0)),1)</f>
        <v/>
      </c>
      <c r="L1016" s="17" t="n">
        <v>1</v>
      </c>
      <c r="M1016" s="11" t="n">
        <v>1</v>
      </c>
      <c r="N1016" s="17" t="n"/>
      <c r="O1016" s="17" t="n"/>
      <c r="P1016" s="17" t="n"/>
      <c r="Q1016" s="17" t="n"/>
      <c r="R1016" s="17" t="n"/>
      <c r="S1016" s="17" t="n"/>
      <c r="T1016" s="17" t="n"/>
      <c r="U1016" s="17" t="n"/>
      <c r="V1016" s="17" t="n"/>
      <c r="W1016" s="17" t="n"/>
      <c r="X1016" s="17" t="n"/>
      <c r="Y1016" s="17" t="n">
        <v>1</v>
      </c>
      <c r="Z1016" s="13">
        <f>SUMPRODUCT(N1016:Y1016,$N$2:$Y$2)*$K1016*$L1016*$M1016</f>
        <v/>
      </c>
      <c r="AA1016" s="14">
        <f>SUM(N1016:Y1016)</f>
        <v/>
      </c>
      <c r="AB1016" s="14">
        <f>IFERROR(IF(UPPER($E1016)="L",SUMPRODUCT(N1016:Y1016,$N$3:$Y$3,$N$2:$Y$2),SUMPRODUCT(N1016:Y1016,$N$4:$Y$4,$N$2:$Y$2))/(Z1016/($K1016*$L1016*$M1016)),"")</f>
        <v/>
      </c>
      <c r="AC1016" s="18" t="n"/>
    </row>
    <row r="1017">
      <c r="A1017" s="9" t="n">
        <v>701527</v>
      </c>
      <c r="B1017" s="9" t="inlineStr">
        <is>
          <t>Mike Sirota</t>
        </is>
      </c>
      <c r="C1017" s="9" t="inlineStr">
        <is>
          <t>LAD</t>
        </is>
      </c>
      <c r="D1017" s="9" t="n">
        <v>24</v>
      </c>
      <c r="E1017" s="16" t="inlineStr">
        <is>
          <t>R</t>
        </is>
      </c>
      <c r="F1017" s="16" t="n"/>
      <c r="G1017" s="9" t="n">
        <v>5.076923076923078</v>
      </c>
      <c r="H1017" s="9" t="n">
        <v>5.076923076923078</v>
      </c>
      <c r="I1017" s="9" t="inlineStr">
        <is>
          <t>Full Time</t>
        </is>
      </c>
      <c r="J1017" s="16" t="inlineStr">
        <is>
          <t>Early Season (~May)</t>
        </is>
      </c>
      <c r="K1017" s="11">
        <f>IFERROR(INDEX(Roles!$B$17:$B$20,MATCH(J1017,Roles!$A$17:$A$20,0)),1)</f>
        <v/>
      </c>
      <c r="L1017" s="17" t="n">
        <v>1</v>
      </c>
      <c r="M1017" s="11" t="n">
        <v>1</v>
      </c>
      <c r="N1017" s="17" t="n">
        <v>0.47</v>
      </c>
      <c r="O1017" s="17" t="n"/>
      <c r="P1017" s="17" t="n">
        <v>0.25</v>
      </c>
      <c r="Q1017" s="17" t="n"/>
      <c r="R1017" s="17" t="n"/>
      <c r="S1017" s="17" t="n"/>
      <c r="T1017" s="17" t="n"/>
      <c r="U1017" s="17" t="n"/>
      <c r="V1017" s="17" t="n"/>
      <c r="W1017" s="17" t="n">
        <v>0.28</v>
      </c>
      <c r="X1017" s="17" t="n"/>
      <c r="Y1017" s="17" t="n"/>
      <c r="Z1017" s="13">
        <f>SUMPRODUCT(N1017:Y1017,$N$2:$Y$2)*$K1017*$L1017*$M1017</f>
        <v/>
      </c>
      <c r="AA1017" s="14">
        <f>SUM(N1017:Y1017)</f>
        <v/>
      </c>
      <c r="AB1017" s="14">
        <f>IFERROR(IF(UPPER($E1017)="L",SUMPRODUCT(N1017:Y1017,$N$3:$Y$3,$N$2:$Y$2),SUMPRODUCT(N1017:Y1017,$N$4:$Y$4,$N$2:$Y$2))/(Z1017/($K1017*$L1017*$M1017)),"")</f>
        <v/>
      </c>
      <c r="AC1017" s="18" t="n"/>
    </row>
    <row r="1018">
      <c r="A1018" s="9" t="n">
        <v>832219</v>
      </c>
      <c r="B1018" s="9" t="inlineStr">
        <is>
          <t>Brady Ballinger</t>
        </is>
      </c>
      <c r="C1018" s="9" t="inlineStr">
        <is>
          <t>DET</t>
        </is>
      </c>
      <c r="D1018" s="9" t="n">
        <v>25</v>
      </c>
      <c r="E1018" s="16" t="inlineStr">
        <is>
          <t>L</t>
        </is>
      </c>
      <c r="F1018" s="16" t="n"/>
      <c r="G1018" s="9" t="n">
        <v>5.16923076923077</v>
      </c>
      <c r="H1018" s="9" t="n">
        <v>5.16923076923077</v>
      </c>
      <c r="I1018" s="9" t="inlineStr">
        <is>
          <t>Depth (no MLB PA)</t>
        </is>
      </c>
      <c r="J1018" s="16" t="inlineStr">
        <is>
          <t>Opening Day</t>
        </is>
      </c>
      <c r="K1018" s="11">
        <f>IFERROR(INDEX(Roles!$B$17:$B$20,MATCH(J1018,Roles!$A$17:$A$20,0)),1)</f>
        <v/>
      </c>
      <c r="L1018" s="17" t="n">
        <v>1</v>
      </c>
      <c r="M1018" s="11" t="n">
        <v>1</v>
      </c>
      <c r="N1018" s="17" t="n"/>
      <c r="O1018" s="17" t="n"/>
      <c r="P1018" s="17" t="n"/>
      <c r="Q1018" s="17" t="n"/>
      <c r="R1018" s="17" t="n"/>
      <c r="S1018" s="17" t="n"/>
      <c r="T1018" s="17" t="n"/>
      <c r="U1018" s="17" t="n"/>
      <c r="V1018" s="17" t="n"/>
      <c r="W1018" s="17" t="n"/>
      <c r="X1018" s="17" t="n"/>
      <c r="Y1018" s="17" t="n">
        <v>1</v>
      </c>
      <c r="Z1018" s="13">
        <f>SUMPRODUCT(N1018:Y1018,$N$2:$Y$2)*$K1018*$L1018*$M1018</f>
        <v/>
      </c>
      <c r="AA1018" s="14">
        <f>SUM(N1018:Y1018)</f>
        <v/>
      </c>
      <c r="AB1018" s="14">
        <f>IFERROR(IF(UPPER($E1018)="L",SUMPRODUCT(N1018:Y1018,$N$3:$Y$3,$N$2:$Y$2),SUMPRODUCT(N1018:Y1018,$N$4:$Y$4,$N$2:$Y$2))/(Z1018/($K1018*$L1018*$M1018)),"")</f>
        <v/>
      </c>
      <c r="AC1018" s="18" t="n"/>
    </row>
    <row r="1019">
      <c r="A1019" s="9" t="n">
        <v>814269</v>
      </c>
      <c r="B1019" s="9" t="inlineStr">
        <is>
          <t>Kevin Verde</t>
        </is>
      </c>
      <c r="C1019" s="9" t="inlineStr">
        <is>
          <t>NYY</t>
        </is>
      </c>
      <c r="D1019" s="9" t="n">
        <v>25</v>
      </c>
      <c r="E1019" s="16" t="inlineStr">
        <is>
          <t>R</t>
        </is>
      </c>
      <c r="F1019" s="16" t="n"/>
      <c r="G1019" s="9" t="n">
        <v>39.12820512820512</v>
      </c>
      <c r="H1019" s="9" t="n">
        <v>39.12820512820512</v>
      </c>
      <c r="I1019" s="9" t="inlineStr">
        <is>
          <t>Depth (no MLB PA)</t>
        </is>
      </c>
      <c r="J1019" s="16" t="inlineStr">
        <is>
          <t>Opening Day</t>
        </is>
      </c>
      <c r="K1019" s="11">
        <f>IFERROR(INDEX(Roles!$B$17:$B$20,MATCH(J1019,Roles!$A$17:$A$20,0)),1)</f>
        <v/>
      </c>
      <c r="L1019" s="17" t="n">
        <v>1</v>
      </c>
      <c r="M1019" s="11" t="n">
        <v>1</v>
      </c>
      <c r="N1019" s="17" t="n"/>
      <c r="O1019" s="17" t="n"/>
      <c r="P1019" s="17" t="n"/>
      <c r="Q1019" s="17" t="n"/>
      <c r="R1019" s="17" t="n"/>
      <c r="S1019" s="17" t="n"/>
      <c r="T1019" s="17" t="n"/>
      <c r="U1019" s="17" t="n"/>
      <c r="V1019" s="17" t="n"/>
      <c r="W1019" s="17" t="n"/>
      <c r="X1019" s="17" t="n"/>
      <c r="Y1019" s="17" t="n">
        <v>1</v>
      </c>
      <c r="Z1019" s="13">
        <f>SUMPRODUCT(N1019:Y1019,$N$2:$Y$2)*$K1019*$L1019*$M1019</f>
        <v/>
      </c>
      <c r="AA1019" s="14">
        <f>SUM(N1019:Y1019)</f>
        <v/>
      </c>
      <c r="AB1019" s="14">
        <f>IFERROR(IF(UPPER($E1019)="L",SUMPRODUCT(N1019:Y1019,$N$3:$Y$3,$N$2:$Y$2),SUMPRODUCT(N1019:Y1019,$N$4:$Y$4,$N$2:$Y$2))/(Z1019/($K1019*$L1019*$M1019)),"")</f>
        <v/>
      </c>
      <c r="AC1019" s="18" t="n"/>
    </row>
    <row r="1020">
      <c r="A1020" s="9" t="n">
        <v>688457</v>
      </c>
      <c r="B1020" s="9" t="inlineStr">
        <is>
          <t>Gavin Cross</t>
        </is>
      </c>
      <c r="C1020" s="9" t="inlineStr">
        <is>
          <t>KC</t>
        </is>
      </c>
      <c r="D1020" s="9" t="n">
        <v>25</v>
      </c>
      <c r="E1020" s="16" t="inlineStr">
        <is>
          <t>L</t>
        </is>
      </c>
      <c r="F1020" s="16" t="n"/>
      <c r="G1020" s="9" t="n">
        <v>262.3076923076923</v>
      </c>
      <c r="H1020" s="9" t="n">
        <v>262.3076923076923</v>
      </c>
      <c r="I1020" s="9" t="inlineStr">
        <is>
          <t>Depth (no MLB PA)</t>
        </is>
      </c>
      <c r="J1020" s="16" t="inlineStr">
        <is>
          <t>Opening Day</t>
        </is>
      </c>
      <c r="K1020" s="11">
        <f>IFERROR(INDEX(Roles!$B$17:$B$20,MATCH(J1020,Roles!$A$17:$A$20,0)),1)</f>
        <v/>
      </c>
      <c r="L1020" s="17" t="n">
        <v>1</v>
      </c>
      <c r="M1020" s="11" t="n">
        <v>1</v>
      </c>
      <c r="N1020" s="17" t="n"/>
      <c r="O1020" s="17" t="n"/>
      <c r="P1020" s="17" t="n"/>
      <c r="Q1020" s="17" t="n"/>
      <c r="R1020" s="17" t="n"/>
      <c r="S1020" s="17" t="n"/>
      <c r="T1020" s="17" t="n"/>
      <c r="U1020" s="17" t="n"/>
      <c r="V1020" s="17" t="n"/>
      <c r="W1020" s="17" t="n"/>
      <c r="X1020" s="17" t="n"/>
      <c r="Y1020" s="17" t="n">
        <v>1</v>
      </c>
      <c r="Z1020" s="13">
        <f>SUMPRODUCT(N1020:Y1020,$N$2:$Y$2)*$K1020*$L1020*$M1020</f>
        <v/>
      </c>
      <c r="AA1020" s="14">
        <f>SUM(N1020:Y1020)</f>
        <v/>
      </c>
      <c r="AB1020" s="14">
        <f>IFERROR(IF(UPPER($E1020)="L",SUMPRODUCT(N1020:Y1020,$N$3:$Y$3,$N$2:$Y$2),SUMPRODUCT(N1020:Y1020,$N$4:$Y$4,$N$2:$Y$2))/(Z1020/($K1020*$L1020*$M1020)),"")</f>
        <v/>
      </c>
      <c r="AC1020" s="18" t="n"/>
    </row>
    <row r="1021">
      <c r="A1021" s="9" t="n">
        <v>621532</v>
      </c>
      <c r="B1021" s="9" t="inlineStr">
        <is>
          <t>Anthony Bemboom</t>
        </is>
      </c>
      <c r="C1021" s="9" t="inlineStr">
        <is>
          <t>BAL</t>
        </is>
      </c>
      <c r="D1021" s="9" t="n">
        <v>37</v>
      </c>
      <c r="E1021" s="16" t="inlineStr">
        <is>
          <t>L</t>
        </is>
      </c>
      <c r="F1021" s="16" t="inlineStr">
        <is>
          <t>C</t>
        </is>
      </c>
      <c r="G1021" s="9" t="n">
        <v>13</v>
      </c>
      <c r="H1021" s="9" t="n">
        <v>72</v>
      </c>
      <c r="I1021" s="9" t="inlineStr">
        <is>
          <t>Depth (no MLB PA)</t>
        </is>
      </c>
      <c r="J1021" s="16" t="inlineStr">
        <is>
          <t>Opening Day</t>
        </is>
      </c>
      <c r="K1021" s="11">
        <f>IFERROR(INDEX(Roles!$B$17:$B$20,MATCH(J1021,Roles!$A$17:$A$20,0)),1)</f>
        <v/>
      </c>
      <c r="L1021" s="17" t="n">
        <v>1</v>
      </c>
      <c r="M1021" s="11" t="n">
        <v>1</v>
      </c>
      <c r="N1021" s="17" t="n"/>
      <c r="O1021" s="17" t="n"/>
      <c r="P1021" s="17" t="n"/>
      <c r="Q1021" s="17" t="n"/>
      <c r="R1021" s="17" t="n"/>
      <c r="S1021" s="17" t="n"/>
      <c r="T1021" s="17" t="n"/>
      <c r="U1021" s="17" t="n"/>
      <c r="V1021" s="17" t="n"/>
      <c r="W1021" s="17" t="n"/>
      <c r="X1021" s="17" t="n"/>
      <c r="Y1021" s="17" t="n">
        <v>1</v>
      </c>
      <c r="Z1021" s="13">
        <f>SUMPRODUCT(N1021:Y1021,$N$2:$Y$2)*$K1021*$L1021*$M1021</f>
        <v/>
      </c>
      <c r="AA1021" s="14">
        <f>SUM(N1021:Y1021)</f>
        <v/>
      </c>
      <c r="AB1021" s="14">
        <f>IFERROR(IF(UPPER($E1021)="L",SUMPRODUCT(N1021:Y1021,$N$3:$Y$3,$N$2:$Y$2),SUMPRODUCT(N1021:Y1021,$N$4:$Y$4,$N$2:$Y$2))/(Z1021/($K1021*$L1021*$M1021)),"")</f>
        <v/>
      </c>
      <c r="AC1021" s="18" t="n"/>
    </row>
    <row r="1022">
      <c r="A1022" s="9" t="n">
        <v>809338</v>
      </c>
      <c r="B1022" s="9" t="inlineStr">
        <is>
          <t>Trevor Austin</t>
        </is>
      </c>
      <c r="C1022" s="9" t="inlineStr">
        <is>
          <t>HOU</t>
        </is>
      </c>
      <c r="D1022" s="9" t="n">
        <v>25</v>
      </c>
      <c r="E1022" s="16" t="inlineStr">
        <is>
          <t>R</t>
        </is>
      </c>
      <c r="F1022" s="16" t="n"/>
      <c r="G1022" s="9" t="n">
        <v>20.30769230769231</v>
      </c>
      <c r="H1022" s="9" t="n">
        <v>20.30769230769231</v>
      </c>
      <c r="I1022" s="9" t="inlineStr">
        <is>
          <t>Depth (no MLB PA)</t>
        </is>
      </c>
      <c r="J1022" s="16" t="inlineStr">
        <is>
          <t>Opening Day</t>
        </is>
      </c>
      <c r="K1022" s="11">
        <f>IFERROR(INDEX(Roles!$B$17:$B$20,MATCH(J1022,Roles!$A$17:$A$20,0)),1)</f>
        <v/>
      </c>
      <c r="L1022" s="17" t="n">
        <v>1</v>
      </c>
      <c r="M1022" s="11" t="n">
        <v>1</v>
      </c>
      <c r="N1022" s="17" t="n"/>
      <c r="O1022" s="17" t="n"/>
      <c r="P1022" s="17" t="n"/>
      <c r="Q1022" s="17" t="n"/>
      <c r="R1022" s="17" t="n"/>
      <c r="S1022" s="17" t="n"/>
      <c r="T1022" s="17" t="n"/>
      <c r="U1022" s="17" t="n"/>
      <c r="V1022" s="17" t="n"/>
      <c r="W1022" s="17" t="n"/>
      <c r="X1022" s="17" t="n"/>
      <c r="Y1022" s="17" t="n">
        <v>1</v>
      </c>
      <c r="Z1022" s="13">
        <f>SUMPRODUCT(N1022:Y1022,$N$2:$Y$2)*$K1022*$L1022*$M1022</f>
        <v/>
      </c>
      <c r="AA1022" s="14">
        <f>SUM(N1022:Y1022)</f>
        <v/>
      </c>
      <c r="AB1022" s="14">
        <f>IFERROR(IF(UPPER($E1022)="L",SUMPRODUCT(N1022:Y1022,$N$3:$Y$3,$N$2:$Y$2),SUMPRODUCT(N1022:Y1022,$N$4:$Y$4,$N$2:$Y$2))/(Z1022/($K1022*$L1022*$M1022)),"")</f>
        <v/>
      </c>
      <c r="AC1022" s="18" t="n"/>
    </row>
    <row r="1023">
      <c r="A1023" s="9" t="n">
        <v>804944</v>
      </c>
      <c r="B1023" s="9" t="inlineStr">
        <is>
          <t>Jackson Lovich</t>
        </is>
      </c>
      <c r="C1023" s="9" t="inlineStr">
        <is>
          <t>NYY</t>
        </is>
      </c>
      <c r="D1023" s="9" t="n">
        <v>25</v>
      </c>
      <c r="E1023" s="16" t="inlineStr">
        <is>
          <t>R</t>
        </is>
      </c>
      <c r="F1023" s="16" t="n"/>
      <c r="G1023" s="9" t="n">
        <v>29.74358974358975</v>
      </c>
      <c r="H1023" s="9" t="n">
        <v>29.74358974358975</v>
      </c>
      <c r="I1023" s="9" t="inlineStr">
        <is>
          <t>Depth (no MLB PA)</t>
        </is>
      </c>
      <c r="J1023" s="16" t="inlineStr">
        <is>
          <t>Opening Day</t>
        </is>
      </c>
      <c r="K1023" s="11">
        <f>IFERROR(INDEX(Roles!$B$17:$B$20,MATCH(J1023,Roles!$A$17:$A$20,0)),1)</f>
        <v/>
      </c>
      <c r="L1023" s="17" t="n">
        <v>1</v>
      </c>
      <c r="M1023" s="11" t="n">
        <v>1</v>
      </c>
      <c r="N1023" s="17" t="n"/>
      <c r="O1023" s="17" t="n"/>
      <c r="P1023" s="17" t="n"/>
      <c r="Q1023" s="17" t="n"/>
      <c r="R1023" s="17" t="n"/>
      <c r="S1023" s="17" t="n"/>
      <c r="T1023" s="17" t="n"/>
      <c r="U1023" s="17" t="n"/>
      <c r="V1023" s="17" t="n"/>
      <c r="W1023" s="17" t="n"/>
      <c r="X1023" s="17" t="n"/>
      <c r="Y1023" s="17" t="n">
        <v>1</v>
      </c>
      <c r="Z1023" s="13">
        <f>SUMPRODUCT(N1023:Y1023,$N$2:$Y$2)*$K1023*$L1023*$M1023</f>
        <v/>
      </c>
      <c r="AA1023" s="14">
        <f>SUM(N1023:Y1023)</f>
        <v/>
      </c>
      <c r="AB1023" s="14">
        <f>IFERROR(IF(UPPER($E1023)="L",SUMPRODUCT(N1023:Y1023,$N$3:$Y$3,$N$2:$Y$2),SUMPRODUCT(N1023:Y1023,$N$4:$Y$4,$N$2:$Y$2))/(Z1023/($K1023*$L1023*$M1023)),"")</f>
        <v/>
      </c>
      <c r="AC1023" s="18" t="n"/>
    </row>
    <row r="1024">
      <c r="A1024" s="9" t="n">
        <v>808116</v>
      </c>
      <c r="B1024" s="9" t="inlineStr">
        <is>
          <t>Pedro Dalmagro</t>
        </is>
      </c>
      <c r="C1024" s="9" t="inlineStr">
        <is>
          <t>CLE</t>
        </is>
      </c>
      <c r="D1024" s="9" t="n">
        <v>25</v>
      </c>
      <c r="E1024" s="16" t="inlineStr">
        <is>
          <t>L</t>
        </is>
      </c>
      <c r="F1024" s="16" t="n"/>
      <c r="G1024" s="9" t="n">
        <v>9.6</v>
      </c>
      <c r="H1024" s="9" t="n">
        <v>9.6</v>
      </c>
      <c r="I1024" s="9" t="inlineStr">
        <is>
          <t>Depth (no MLB PA)</t>
        </is>
      </c>
      <c r="J1024" s="16" t="inlineStr">
        <is>
          <t>Opening Day</t>
        </is>
      </c>
      <c r="K1024" s="11">
        <f>IFERROR(INDEX(Roles!$B$17:$B$20,MATCH(J1024,Roles!$A$17:$A$20,0)),1)</f>
        <v/>
      </c>
      <c r="L1024" s="17" t="n">
        <v>1</v>
      </c>
      <c r="M1024" s="11" t="n">
        <v>1</v>
      </c>
      <c r="N1024" s="17" t="n"/>
      <c r="O1024" s="17" t="n"/>
      <c r="P1024" s="17" t="n"/>
      <c r="Q1024" s="17" t="n"/>
      <c r="R1024" s="17" t="n"/>
      <c r="S1024" s="17" t="n"/>
      <c r="T1024" s="17" t="n"/>
      <c r="U1024" s="17" t="n"/>
      <c r="V1024" s="17" t="n"/>
      <c r="W1024" s="17" t="n"/>
      <c r="X1024" s="17" t="n"/>
      <c r="Y1024" s="17" t="n">
        <v>1</v>
      </c>
      <c r="Z1024" s="13">
        <f>SUMPRODUCT(N1024:Y1024,$N$2:$Y$2)*$K1024*$L1024*$M1024</f>
        <v/>
      </c>
      <c r="AA1024" s="14">
        <f>SUM(N1024:Y1024)</f>
        <v/>
      </c>
      <c r="AB1024" s="14">
        <f>IFERROR(IF(UPPER($E1024)="L",SUMPRODUCT(N1024:Y1024,$N$3:$Y$3,$N$2:$Y$2),SUMPRODUCT(N1024:Y1024,$N$4:$Y$4,$N$2:$Y$2))/(Z1024/($K1024*$L1024*$M1024)),"")</f>
        <v/>
      </c>
      <c r="AC1024" s="18" t="n"/>
    </row>
    <row r="1025">
      <c r="A1025" s="9" t="n">
        <v>542583</v>
      </c>
      <c r="B1025" s="9" t="inlineStr">
        <is>
          <t>Jesús Aguilar</t>
        </is>
      </c>
      <c r="C1025" s="9" t="inlineStr">
        <is>
          <t>OAK</t>
        </is>
      </c>
      <c r="D1025" s="9" t="n">
        <v>37</v>
      </c>
      <c r="E1025" s="16" t="inlineStr">
        <is>
          <t>R</t>
        </is>
      </c>
      <c r="F1025" s="16" t="inlineStr">
        <is>
          <t>1B</t>
        </is>
      </c>
      <c r="G1025" s="9" t="n">
        <v>115</v>
      </c>
      <c r="H1025" s="9" t="n">
        <v>622</v>
      </c>
      <c r="I1025" s="9" t="inlineStr">
        <is>
          <t>Depth (no MLB PA)</t>
        </is>
      </c>
      <c r="J1025" s="16" t="inlineStr">
        <is>
          <t>Opening Day</t>
        </is>
      </c>
      <c r="K1025" s="11">
        <f>IFERROR(INDEX(Roles!$B$17:$B$20,MATCH(J1025,Roles!$A$17:$A$20,0)),1)</f>
        <v/>
      </c>
      <c r="L1025" s="17" t="n">
        <v>1</v>
      </c>
      <c r="M1025" s="11" t="n">
        <v>1</v>
      </c>
      <c r="N1025" s="17" t="n"/>
      <c r="O1025" s="17" t="n"/>
      <c r="P1025" s="17" t="n"/>
      <c r="Q1025" s="17" t="n"/>
      <c r="R1025" s="17" t="n"/>
      <c r="S1025" s="17" t="n"/>
      <c r="T1025" s="17" t="n"/>
      <c r="U1025" s="17" t="n"/>
      <c r="V1025" s="17" t="n"/>
      <c r="W1025" s="17" t="n"/>
      <c r="X1025" s="17" t="n"/>
      <c r="Y1025" s="17" t="n">
        <v>1</v>
      </c>
      <c r="Z1025" s="13">
        <f>SUMPRODUCT(N1025:Y1025,$N$2:$Y$2)*$K1025*$L1025*$M1025</f>
        <v/>
      </c>
      <c r="AA1025" s="14">
        <f>SUM(N1025:Y1025)</f>
        <v/>
      </c>
      <c r="AB1025" s="14">
        <f>IFERROR(IF(UPPER($E1025)="L",SUMPRODUCT(N1025:Y1025,$N$3:$Y$3,$N$2:$Y$2),SUMPRODUCT(N1025:Y1025,$N$4:$Y$4,$N$2:$Y$2))/(Z1025/($K1025*$L1025*$M1025)),"")</f>
        <v/>
      </c>
      <c r="AC1025" s="18" t="n"/>
    </row>
    <row r="1026">
      <c r="A1026" s="9" t="n">
        <v>828783</v>
      </c>
      <c r="B1026" s="9" t="inlineStr">
        <is>
          <t>Luis Leon</t>
        </is>
      </c>
      <c r="C1026" s="9" t="inlineStr">
        <is>
          <t>MIA</t>
        </is>
      </c>
      <c r="D1026" s="9" t="n">
        <v>25</v>
      </c>
      <c r="E1026" s="16" t="inlineStr">
        <is>
          <t>R</t>
        </is>
      </c>
      <c r="F1026" s="16" t="n"/>
      <c r="G1026" s="9" t="n">
        <v>7.384615384615384</v>
      </c>
      <c r="H1026" s="9" t="n">
        <v>7.384615384615384</v>
      </c>
      <c r="I1026" s="9" t="inlineStr">
        <is>
          <t>Depth (no MLB PA)</t>
        </is>
      </c>
      <c r="J1026" s="16" t="inlineStr">
        <is>
          <t>Opening Day</t>
        </is>
      </c>
      <c r="K1026" s="11">
        <f>IFERROR(INDEX(Roles!$B$17:$B$20,MATCH(J1026,Roles!$A$17:$A$20,0)),1)</f>
        <v/>
      </c>
      <c r="L1026" s="17" t="n">
        <v>1</v>
      </c>
      <c r="M1026" s="11" t="n">
        <v>1</v>
      </c>
      <c r="N1026" s="17" t="n"/>
      <c r="O1026" s="17" t="n"/>
      <c r="P1026" s="17" t="n"/>
      <c r="Q1026" s="17" t="n"/>
      <c r="R1026" s="17" t="n"/>
      <c r="S1026" s="17" t="n"/>
      <c r="T1026" s="17" t="n"/>
      <c r="U1026" s="17" t="n"/>
      <c r="V1026" s="17" t="n"/>
      <c r="W1026" s="17" t="n"/>
      <c r="X1026" s="17" t="n"/>
      <c r="Y1026" s="17" t="n">
        <v>1</v>
      </c>
      <c r="Z1026" s="13">
        <f>SUMPRODUCT(N1026:Y1026,$N$2:$Y$2)*$K1026*$L1026*$M1026</f>
        <v/>
      </c>
      <c r="AA1026" s="14">
        <f>SUM(N1026:Y1026)</f>
        <v/>
      </c>
      <c r="AB1026" s="14">
        <f>IFERROR(IF(UPPER($E1026)="L",SUMPRODUCT(N1026:Y1026,$N$3:$Y$3,$N$2:$Y$2),SUMPRODUCT(N1026:Y1026,$N$4:$Y$4,$N$2:$Y$2))/(Z1026/($K1026*$L1026*$M1026)),"")</f>
        <v/>
      </c>
      <c r="AC1026" s="18" t="n"/>
    </row>
    <row r="1027">
      <c r="A1027" s="9" t="n">
        <v>806992</v>
      </c>
      <c r="B1027" s="9" t="inlineStr">
        <is>
          <t>Enrique Jimenez</t>
        </is>
      </c>
      <c r="C1027" s="9" t="inlineStr">
        <is>
          <t>MIN</t>
        </is>
      </c>
      <c r="D1027" s="9" t="n">
        <v>25</v>
      </c>
      <c r="E1027" s="16" t="inlineStr">
        <is>
          <t>S</t>
        </is>
      </c>
      <c r="F1027" s="16" t="n"/>
      <c r="G1027" s="9" t="n">
        <v>21.74358974358974</v>
      </c>
      <c r="H1027" s="9" t="n">
        <v>21.74358974358974</v>
      </c>
      <c r="I1027" s="9" t="inlineStr">
        <is>
          <t>Depth (no MLB PA)</t>
        </is>
      </c>
      <c r="J1027" s="16" t="inlineStr">
        <is>
          <t>Opening Day</t>
        </is>
      </c>
      <c r="K1027" s="11">
        <f>IFERROR(INDEX(Roles!$B$17:$B$20,MATCH(J1027,Roles!$A$17:$A$20,0)),1)</f>
        <v/>
      </c>
      <c r="L1027" s="17" t="n">
        <v>1</v>
      </c>
      <c r="M1027" s="11" t="n">
        <v>1</v>
      </c>
      <c r="N1027" s="17" t="n"/>
      <c r="O1027" s="17" t="n"/>
      <c r="P1027" s="17" t="n"/>
      <c r="Q1027" s="17" t="n"/>
      <c r="R1027" s="17" t="n"/>
      <c r="S1027" s="17" t="n"/>
      <c r="T1027" s="17" t="n"/>
      <c r="U1027" s="17" t="n"/>
      <c r="V1027" s="17" t="n"/>
      <c r="W1027" s="17" t="n"/>
      <c r="X1027" s="17" t="n"/>
      <c r="Y1027" s="17" t="n">
        <v>1</v>
      </c>
      <c r="Z1027" s="13">
        <f>SUMPRODUCT(N1027:Y1027,$N$2:$Y$2)*$K1027*$L1027*$M1027</f>
        <v/>
      </c>
      <c r="AA1027" s="14">
        <f>SUM(N1027:Y1027)</f>
        <v/>
      </c>
      <c r="AB1027" s="14">
        <f>IFERROR(IF(UPPER($E1027)="L",SUMPRODUCT(N1027:Y1027,$N$3:$Y$3,$N$2:$Y$2),SUMPRODUCT(N1027:Y1027,$N$4:$Y$4,$N$2:$Y$2))/(Z1027/($K1027*$L1027*$M1027)),"")</f>
        <v/>
      </c>
      <c r="AC1027" s="18" t="n"/>
    </row>
    <row r="1028">
      <c r="A1028" s="9" t="n">
        <v>842167</v>
      </c>
      <c r="B1028" s="9" t="inlineStr">
        <is>
          <t>Carlos Sanchez</t>
        </is>
      </c>
      <c r="C1028" s="9" t="inlineStr">
        <is>
          <t>BAL</t>
        </is>
      </c>
      <c r="D1028" s="9" t="n">
        <v>25</v>
      </c>
      <c r="E1028" s="16" t="inlineStr">
        <is>
          <t>R</t>
        </is>
      </c>
      <c r="F1028" s="16" t="n"/>
      <c r="G1028" s="9" t="n">
        <v>5.415384615384616</v>
      </c>
      <c r="H1028" s="9" t="n">
        <v>5.415384615384616</v>
      </c>
      <c r="I1028" s="9" t="inlineStr">
        <is>
          <t>Depth (no MLB PA)</t>
        </is>
      </c>
      <c r="J1028" s="16" t="inlineStr">
        <is>
          <t>Opening Day</t>
        </is>
      </c>
      <c r="K1028" s="11">
        <f>IFERROR(INDEX(Roles!$B$17:$B$20,MATCH(J1028,Roles!$A$17:$A$20,0)),1)</f>
        <v/>
      </c>
      <c r="L1028" s="17" t="n">
        <v>1</v>
      </c>
      <c r="M1028" s="11" t="n">
        <v>1</v>
      </c>
      <c r="N1028" s="17" t="n"/>
      <c r="O1028" s="17" t="n"/>
      <c r="P1028" s="17" t="n"/>
      <c r="Q1028" s="17" t="n"/>
      <c r="R1028" s="17" t="n"/>
      <c r="S1028" s="17" t="n"/>
      <c r="T1028" s="17" t="n"/>
      <c r="U1028" s="17" t="n"/>
      <c r="V1028" s="17" t="n"/>
      <c r="W1028" s="17" t="n"/>
      <c r="X1028" s="17" t="n"/>
      <c r="Y1028" s="17" t="n">
        <v>1</v>
      </c>
      <c r="Z1028" s="13">
        <f>SUMPRODUCT(N1028:Y1028,$N$2:$Y$2)*$K1028*$L1028*$M1028</f>
        <v/>
      </c>
      <c r="AA1028" s="14">
        <f>SUM(N1028:Y1028)</f>
        <v/>
      </c>
      <c r="AB1028" s="14">
        <f>IFERROR(IF(UPPER($E1028)="L",SUMPRODUCT(N1028:Y1028,$N$3:$Y$3,$N$2:$Y$2),SUMPRODUCT(N1028:Y1028,$N$4:$Y$4,$N$2:$Y$2))/(Z1028/($K1028*$L1028*$M1028)),"")</f>
        <v/>
      </c>
      <c r="AC1028" s="18" t="n"/>
    </row>
    <row r="1029">
      <c r="A1029" s="9" t="n">
        <v>829748</v>
      </c>
      <c r="B1029" s="9" t="inlineStr">
        <is>
          <t>Hyun Seung Lee</t>
        </is>
      </c>
      <c r="C1029" s="9" t="inlineStr">
        <is>
          <t>PIT</t>
        </is>
      </c>
      <c r="D1029" s="9" t="n">
        <v>25</v>
      </c>
      <c r="E1029" s="16" t="inlineStr">
        <is>
          <t>L</t>
        </is>
      </c>
      <c r="F1029" s="16" t="n"/>
      <c r="G1029" s="9" t="n">
        <v>7.384615384615384</v>
      </c>
      <c r="H1029" s="9" t="n">
        <v>7.384615384615384</v>
      </c>
      <c r="I1029" s="9" t="inlineStr">
        <is>
          <t>Depth (no MLB PA)</t>
        </is>
      </c>
      <c r="J1029" s="16" t="inlineStr">
        <is>
          <t>Opening Day</t>
        </is>
      </c>
      <c r="K1029" s="11">
        <f>IFERROR(INDEX(Roles!$B$17:$B$20,MATCH(J1029,Roles!$A$17:$A$20,0)),1)</f>
        <v/>
      </c>
      <c r="L1029" s="17" t="n">
        <v>1</v>
      </c>
      <c r="M1029" s="11" t="n">
        <v>1</v>
      </c>
      <c r="N1029" s="17" t="n"/>
      <c r="O1029" s="17" t="n"/>
      <c r="P1029" s="17" t="n"/>
      <c r="Q1029" s="17" t="n"/>
      <c r="R1029" s="17" t="n"/>
      <c r="S1029" s="17" t="n"/>
      <c r="T1029" s="17" t="n"/>
      <c r="U1029" s="17" t="n"/>
      <c r="V1029" s="17" t="n"/>
      <c r="W1029" s="17" t="n"/>
      <c r="X1029" s="17" t="n"/>
      <c r="Y1029" s="17" t="n">
        <v>1</v>
      </c>
      <c r="Z1029" s="13">
        <f>SUMPRODUCT(N1029:Y1029,$N$2:$Y$2)*$K1029*$L1029*$M1029</f>
        <v/>
      </c>
      <c r="AA1029" s="14">
        <f>SUM(N1029:Y1029)</f>
        <v/>
      </c>
      <c r="AB1029" s="14">
        <f>IFERROR(IF(UPPER($E1029)="L",SUMPRODUCT(N1029:Y1029,$N$3:$Y$3,$N$2:$Y$2),SUMPRODUCT(N1029:Y1029,$N$4:$Y$4,$N$2:$Y$2))/(Z1029/($K1029*$L1029*$M1029)),"")</f>
        <v/>
      </c>
      <c r="AC1029" s="18" t="n"/>
    </row>
    <row r="1030">
      <c r="A1030" s="9" t="n">
        <v>821171</v>
      </c>
      <c r="B1030" s="9" t="inlineStr">
        <is>
          <t>Dauri Fernández</t>
        </is>
      </c>
      <c r="C1030" s="9" t="inlineStr">
        <is>
          <t>CLE</t>
        </is>
      </c>
      <c r="D1030" s="9" t="n">
        <v>25</v>
      </c>
      <c r="E1030" s="16" t="inlineStr">
        <is>
          <t>S</t>
        </is>
      </c>
      <c r="F1030" s="16" t="n"/>
      <c r="G1030" s="9" t="n">
        <v>13.74358974358974</v>
      </c>
      <c r="H1030" s="9" t="n">
        <v>13.74358974358974</v>
      </c>
      <c r="I1030" s="9" t="inlineStr">
        <is>
          <t>Depth (no MLB PA)</t>
        </is>
      </c>
      <c r="J1030" s="16" t="inlineStr">
        <is>
          <t>Opening Day</t>
        </is>
      </c>
      <c r="K1030" s="11">
        <f>IFERROR(INDEX(Roles!$B$17:$B$20,MATCH(J1030,Roles!$A$17:$A$20,0)),1)</f>
        <v/>
      </c>
      <c r="L1030" s="17" t="n">
        <v>1</v>
      </c>
      <c r="M1030" s="11" t="n">
        <v>1</v>
      </c>
      <c r="N1030" s="17" t="n"/>
      <c r="O1030" s="17" t="n"/>
      <c r="P1030" s="17" t="n"/>
      <c r="Q1030" s="17" t="n"/>
      <c r="R1030" s="17" t="n"/>
      <c r="S1030" s="17" t="n"/>
      <c r="T1030" s="17" t="n"/>
      <c r="U1030" s="17" t="n"/>
      <c r="V1030" s="17" t="n"/>
      <c r="W1030" s="17" t="n"/>
      <c r="X1030" s="17" t="n"/>
      <c r="Y1030" s="17" t="n">
        <v>1</v>
      </c>
      <c r="Z1030" s="13">
        <f>SUMPRODUCT(N1030:Y1030,$N$2:$Y$2)*$K1030*$L1030*$M1030</f>
        <v/>
      </c>
      <c r="AA1030" s="14">
        <f>SUM(N1030:Y1030)</f>
        <v/>
      </c>
      <c r="AB1030" s="14">
        <f>IFERROR(IF(UPPER($E1030)="L",SUMPRODUCT(N1030:Y1030,$N$3:$Y$3,$N$2:$Y$2),SUMPRODUCT(N1030:Y1030,$N$4:$Y$4,$N$2:$Y$2))/(Z1030/($K1030*$L1030*$M1030)),"")</f>
        <v/>
      </c>
      <c r="AC1030" s="18" t="n"/>
    </row>
    <row r="1031">
      <c r="A1031" s="9" t="n">
        <v>806197</v>
      </c>
      <c r="B1031" s="9" t="inlineStr">
        <is>
          <t>Hideki Prather</t>
        </is>
      </c>
      <c r="C1031" s="9" t="inlineStr">
        <is>
          <t>MIN</t>
        </is>
      </c>
      <c r="D1031" s="9" t="n">
        <v>25</v>
      </c>
      <c r="E1031" s="16" t="inlineStr">
        <is>
          <t>R</t>
        </is>
      </c>
      <c r="F1031" s="16" t="n"/>
      <c r="G1031" s="9" t="n">
        <v>5.415384615384616</v>
      </c>
      <c r="H1031" s="9" t="n">
        <v>5.415384615384616</v>
      </c>
      <c r="I1031" s="9" t="inlineStr">
        <is>
          <t>Depth (no MLB PA)</t>
        </is>
      </c>
      <c r="J1031" s="16" t="inlineStr">
        <is>
          <t>Opening Day</t>
        </is>
      </c>
      <c r="K1031" s="11">
        <f>IFERROR(INDEX(Roles!$B$17:$B$20,MATCH(J1031,Roles!$A$17:$A$20,0)),1)</f>
        <v/>
      </c>
      <c r="L1031" s="17" t="n">
        <v>1</v>
      </c>
      <c r="M1031" s="11" t="n">
        <v>1</v>
      </c>
      <c r="N1031" s="17" t="n"/>
      <c r="O1031" s="17" t="n"/>
      <c r="P1031" s="17" t="n"/>
      <c r="Q1031" s="17" t="n"/>
      <c r="R1031" s="17" t="n"/>
      <c r="S1031" s="17" t="n"/>
      <c r="T1031" s="17" t="n"/>
      <c r="U1031" s="17" t="n"/>
      <c r="V1031" s="17" t="n"/>
      <c r="W1031" s="17" t="n"/>
      <c r="X1031" s="17" t="n"/>
      <c r="Y1031" s="17" t="n">
        <v>1</v>
      </c>
      <c r="Z1031" s="13">
        <f>SUMPRODUCT(N1031:Y1031,$N$2:$Y$2)*$K1031*$L1031*$M1031</f>
        <v/>
      </c>
      <c r="AA1031" s="14">
        <f>SUM(N1031:Y1031)</f>
        <v/>
      </c>
      <c r="AB1031" s="14">
        <f>IFERROR(IF(UPPER($E1031)="L",SUMPRODUCT(N1031:Y1031,$N$3:$Y$3,$N$2:$Y$2),SUMPRODUCT(N1031:Y1031,$N$4:$Y$4,$N$2:$Y$2))/(Z1031/($K1031*$L1031*$M1031)),"")</f>
        <v/>
      </c>
      <c r="AC1031" s="18" t="n"/>
    </row>
    <row r="1032">
      <c r="A1032" s="9" t="n">
        <v>800256</v>
      </c>
      <c r="B1032" s="9" t="inlineStr">
        <is>
          <t>Natanael Yuten</t>
        </is>
      </c>
      <c r="C1032" s="9" t="inlineStr">
        <is>
          <t>BOS</t>
        </is>
      </c>
      <c r="D1032" s="9" t="n">
        <v>25</v>
      </c>
      <c r="E1032" s="16" t="inlineStr">
        <is>
          <t>L</t>
        </is>
      </c>
      <c r="F1032" s="16" t="n"/>
      <c r="G1032" s="9" t="n">
        <v>21.74358974358974</v>
      </c>
      <c r="H1032" s="9" t="n">
        <v>21.74358974358974</v>
      </c>
      <c r="I1032" s="9" t="inlineStr">
        <is>
          <t>Depth (no MLB PA)</t>
        </is>
      </c>
      <c r="J1032" s="16" t="inlineStr">
        <is>
          <t>Opening Day</t>
        </is>
      </c>
      <c r="K1032" s="11">
        <f>IFERROR(INDEX(Roles!$B$17:$B$20,MATCH(J1032,Roles!$A$17:$A$20,0)),1)</f>
        <v/>
      </c>
      <c r="L1032" s="17" t="n">
        <v>1</v>
      </c>
      <c r="M1032" s="11" t="n">
        <v>1</v>
      </c>
      <c r="N1032" s="17" t="n"/>
      <c r="O1032" s="17" t="n"/>
      <c r="P1032" s="17" t="n"/>
      <c r="Q1032" s="17" t="n"/>
      <c r="R1032" s="17" t="n"/>
      <c r="S1032" s="17" t="n"/>
      <c r="T1032" s="17" t="n"/>
      <c r="U1032" s="17" t="n"/>
      <c r="V1032" s="17" t="n"/>
      <c r="W1032" s="17" t="n"/>
      <c r="X1032" s="17" t="n"/>
      <c r="Y1032" s="17" t="n">
        <v>1</v>
      </c>
      <c r="Z1032" s="13">
        <f>SUMPRODUCT(N1032:Y1032,$N$2:$Y$2)*$K1032*$L1032*$M1032</f>
        <v/>
      </c>
      <c r="AA1032" s="14">
        <f>SUM(N1032:Y1032)</f>
        <v/>
      </c>
      <c r="AB1032" s="14">
        <f>IFERROR(IF(UPPER($E1032)="L",SUMPRODUCT(N1032:Y1032,$N$3:$Y$3,$N$2:$Y$2),SUMPRODUCT(N1032:Y1032,$N$4:$Y$4,$N$2:$Y$2))/(Z1032/($K1032*$L1032*$M1032)),"")</f>
        <v/>
      </c>
      <c r="AC1032" s="18" t="n"/>
    </row>
    <row r="1033">
      <c r="A1033" s="9" t="n">
        <v>806470</v>
      </c>
      <c r="B1033" s="9" t="inlineStr">
        <is>
          <t>Caden Bogenpohl</t>
        </is>
      </c>
      <c r="C1033" s="9" t="inlineStr">
        <is>
          <t>PHI</t>
        </is>
      </c>
      <c r="D1033" s="9" t="n">
        <v>22</v>
      </c>
      <c r="E1033" s="16" t="inlineStr">
        <is>
          <t>L</t>
        </is>
      </c>
      <c r="F1033" s="16" t="n"/>
      <c r="G1033" s="9" t="n">
        <v>9.723076923076922</v>
      </c>
      <c r="H1033" s="9" t="n">
        <v>9.723076923076922</v>
      </c>
      <c r="I1033" s="9" t="inlineStr">
        <is>
          <t>Depth (no MLB PA)</t>
        </is>
      </c>
      <c r="J1033" s="16" t="inlineStr">
        <is>
          <t>Opening Day</t>
        </is>
      </c>
      <c r="K1033" s="11">
        <f>IFERROR(INDEX(Roles!$B$17:$B$20,MATCH(J1033,Roles!$A$17:$A$20,0)),1)</f>
        <v/>
      </c>
      <c r="L1033" s="17" t="n">
        <v>1</v>
      </c>
      <c r="M1033" s="11" t="n">
        <v>1</v>
      </c>
      <c r="N1033" s="17" t="n"/>
      <c r="O1033" s="17" t="n"/>
      <c r="P1033" s="17" t="n"/>
      <c r="Q1033" s="17" t="n"/>
      <c r="R1033" s="17" t="n"/>
      <c r="S1033" s="17" t="n"/>
      <c r="T1033" s="17" t="n"/>
      <c r="U1033" s="17" t="n"/>
      <c r="V1033" s="17" t="n"/>
      <c r="W1033" s="17" t="n"/>
      <c r="X1033" s="17" t="n"/>
      <c r="Y1033" s="17" t="n">
        <v>1</v>
      </c>
      <c r="Z1033" s="13">
        <f>SUMPRODUCT(N1033:Y1033,$N$2:$Y$2)*$K1033*$L1033*$M1033</f>
        <v/>
      </c>
      <c r="AA1033" s="14">
        <f>SUM(N1033:Y1033)</f>
        <v/>
      </c>
      <c r="AB1033" s="14">
        <f>IFERROR(IF(UPPER($E1033)="L",SUMPRODUCT(N1033:Y1033,$N$3:$Y$3,$N$2:$Y$2),SUMPRODUCT(N1033:Y1033,$N$4:$Y$4,$N$2:$Y$2))/(Z1033/($K1033*$L1033*$M1033)),"")</f>
        <v/>
      </c>
      <c r="AC1033" s="18" t="n"/>
    </row>
    <row r="1034">
      <c r="A1034" s="9" t="n">
        <v>807645</v>
      </c>
      <c r="B1034" s="9" t="inlineStr">
        <is>
          <t>Adolfo Sanchez</t>
        </is>
      </c>
      <c r="C1034" s="9" t="inlineStr">
        <is>
          <t>CIN</t>
        </is>
      </c>
      <c r="D1034" s="9" t="n">
        <v>25</v>
      </c>
      <c r="E1034" s="16" t="inlineStr">
        <is>
          <t>L</t>
        </is>
      </c>
      <c r="F1034" s="16" t="n"/>
      <c r="G1034" s="9" t="n">
        <v>13.90769230769231</v>
      </c>
      <c r="H1034" s="9" t="n">
        <v>13.90769230769231</v>
      </c>
      <c r="I1034" s="9" t="inlineStr">
        <is>
          <t>Depth (no MLB PA)</t>
        </is>
      </c>
      <c r="J1034" s="16" t="inlineStr">
        <is>
          <t>Opening Day</t>
        </is>
      </c>
      <c r="K1034" s="11">
        <f>IFERROR(INDEX(Roles!$B$17:$B$20,MATCH(J1034,Roles!$A$17:$A$20,0)),1)</f>
        <v/>
      </c>
      <c r="L1034" s="17" t="n">
        <v>1</v>
      </c>
      <c r="M1034" s="11" t="n">
        <v>1</v>
      </c>
      <c r="N1034" s="17" t="n"/>
      <c r="O1034" s="17" t="n"/>
      <c r="P1034" s="17" t="n"/>
      <c r="Q1034" s="17" t="n"/>
      <c r="R1034" s="17" t="n"/>
      <c r="S1034" s="17" t="n"/>
      <c r="T1034" s="17" t="n"/>
      <c r="U1034" s="17" t="n"/>
      <c r="V1034" s="17" t="n"/>
      <c r="W1034" s="17" t="n"/>
      <c r="X1034" s="17" t="n"/>
      <c r="Y1034" s="17" t="n">
        <v>1</v>
      </c>
      <c r="Z1034" s="13">
        <f>SUMPRODUCT(N1034:Y1034,$N$2:$Y$2)*$K1034*$L1034*$M1034</f>
        <v/>
      </c>
      <c r="AA1034" s="14">
        <f>SUM(N1034:Y1034)</f>
        <v/>
      </c>
      <c r="AB1034" s="14">
        <f>IFERROR(IF(UPPER($E1034)="L",SUMPRODUCT(N1034:Y1034,$N$3:$Y$3,$N$2:$Y$2),SUMPRODUCT(N1034:Y1034,$N$4:$Y$4,$N$2:$Y$2))/(Z1034/($K1034*$L1034*$M1034)),"")</f>
        <v/>
      </c>
      <c r="AC1034" s="18" t="n"/>
    </row>
    <row r="1035">
      <c r="A1035" s="9" t="n">
        <v>815220</v>
      </c>
      <c r="B1035" s="9" t="inlineStr">
        <is>
          <t>Aldo Gaxiola</t>
        </is>
      </c>
      <c r="C1035" s="9" t="inlineStr">
        <is>
          <t>TOR</t>
        </is>
      </c>
      <c r="D1035" s="9" t="n">
        <v>25</v>
      </c>
      <c r="E1035" s="16" t="inlineStr">
        <is>
          <t>R</t>
        </is>
      </c>
      <c r="F1035" s="16" t="n"/>
      <c r="G1035" s="9" t="n">
        <v>43.81538461538462</v>
      </c>
      <c r="H1035" s="9" t="n">
        <v>43.81538461538462</v>
      </c>
      <c r="I1035" s="9" t="inlineStr">
        <is>
          <t>Depth (no MLB PA)</t>
        </is>
      </c>
      <c r="J1035" s="16" t="inlineStr">
        <is>
          <t>Opening Day</t>
        </is>
      </c>
      <c r="K1035" s="11">
        <f>IFERROR(INDEX(Roles!$B$17:$B$20,MATCH(J1035,Roles!$A$17:$A$20,0)),1)</f>
        <v/>
      </c>
      <c r="L1035" s="17" t="n">
        <v>1</v>
      </c>
      <c r="M1035" s="11" t="n">
        <v>1</v>
      </c>
      <c r="N1035" s="17" t="n"/>
      <c r="O1035" s="17" t="n"/>
      <c r="P1035" s="17" t="n"/>
      <c r="Q1035" s="17" t="n"/>
      <c r="R1035" s="17" t="n"/>
      <c r="S1035" s="17" t="n"/>
      <c r="T1035" s="17" t="n"/>
      <c r="U1035" s="17" t="n"/>
      <c r="V1035" s="17" t="n"/>
      <c r="W1035" s="17" t="n"/>
      <c r="X1035" s="17" t="n"/>
      <c r="Y1035" s="17" t="n">
        <v>1</v>
      </c>
      <c r="Z1035" s="13">
        <f>SUMPRODUCT(N1035:Y1035,$N$2:$Y$2)*$K1035*$L1035*$M1035</f>
        <v/>
      </c>
      <c r="AA1035" s="14">
        <f>SUM(N1035:Y1035)</f>
        <v/>
      </c>
      <c r="AB1035" s="14">
        <f>IFERROR(IF(UPPER($E1035)="L",SUMPRODUCT(N1035:Y1035,$N$3:$Y$3,$N$2:$Y$2),SUMPRODUCT(N1035:Y1035,$N$4:$Y$4,$N$2:$Y$2))/(Z1035/($K1035*$L1035*$M1035)),"")</f>
        <v/>
      </c>
      <c r="AC1035" s="18" t="n"/>
    </row>
    <row r="1036">
      <c r="A1036" s="9" t="n">
        <v>805225</v>
      </c>
      <c r="B1036" s="9" t="inlineStr">
        <is>
          <t>Nu'u Contrades</t>
        </is>
      </c>
      <c r="C1036" s="9" t="inlineStr">
        <is>
          <t>SD</t>
        </is>
      </c>
      <c r="D1036" s="9" t="n">
        <v>25</v>
      </c>
      <c r="E1036" s="16" t="inlineStr">
        <is>
          <t>R</t>
        </is>
      </c>
      <c r="F1036" s="16" t="n"/>
      <c r="G1036" s="9" t="n">
        <v>11.93846153846154</v>
      </c>
      <c r="H1036" s="9" t="n">
        <v>11.93846153846154</v>
      </c>
      <c r="I1036" s="9" t="inlineStr">
        <is>
          <t>Depth (no MLB PA)</t>
        </is>
      </c>
      <c r="J1036" s="16" t="inlineStr">
        <is>
          <t>Opening Day</t>
        </is>
      </c>
      <c r="K1036" s="11">
        <f>IFERROR(INDEX(Roles!$B$17:$B$20,MATCH(J1036,Roles!$A$17:$A$20,0)),1)</f>
        <v/>
      </c>
      <c r="L1036" s="17" t="n">
        <v>1</v>
      </c>
      <c r="M1036" s="11" t="n">
        <v>1</v>
      </c>
      <c r="N1036" s="17" t="n"/>
      <c r="O1036" s="17" t="n"/>
      <c r="P1036" s="17" t="n"/>
      <c r="Q1036" s="17" t="n"/>
      <c r="R1036" s="17" t="n"/>
      <c r="S1036" s="17" t="n"/>
      <c r="T1036" s="17" t="n"/>
      <c r="U1036" s="17" t="n"/>
      <c r="V1036" s="17" t="n"/>
      <c r="W1036" s="17" t="n"/>
      <c r="X1036" s="17" t="n"/>
      <c r="Y1036" s="17" t="n">
        <v>1</v>
      </c>
      <c r="Z1036" s="13">
        <f>SUMPRODUCT(N1036:Y1036,$N$2:$Y$2)*$K1036*$L1036*$M1036</f>
        <v/>
      </c>
      <c r="AA1036" s="14">
        <f>SUM(N1036:Y1036)</f>
        <v/>
      </c>
      <c r="AB1036" s="14">
        <f>IFERROR(IF(UPPER($E1036)="L",SUMPRODUCT(N1036:Y1036,$N$3:$Y$3,$N$2:$Y$2),SUMPRODUCT(N1036:Y1036,$N$4:$Y$4,$N$2:$Y$2))/(Z1036/($K1036*$L1036*$M1036)),"")</f>
        <v/>
      </c>
      <c r="AC1036" s="18" t="n"/>
    </row>
    <row r="1037">
      <c r="A1037" s="9" t="n">
        <v>800208</v>
      </c>
      <c r="B1037" s="9" t="inlineStr">
        <is>
          <t>Axiel Plaz</t>
        </is>
      </c>
      <c r="C1037" s="9" t="inlineStr">
        <is>
          <t>PIT</t>
        </is>
      </c>
      <c r="D1037" s="9" t="n">
        <v>22</v>
      </c>
      <c r="E1037" s="16" t="inlineStr">
        <is>
          <t>R</t>
        </is>
      </c>
      <c r="F1037" s="16" t="n"/>
      <c r="G1037" s="9" t="n">
        <v>81.23076923076924</v>
      </c>
      <c r="H1037" s="9" t="n">
        <v>81.23076923076924</v>
      </c>
      <c r="I1037" s="9" t="inlineStr">
        <is>
          <t>Depth (no MLB PA)</t>
        </is>
      </c>
      <c r="J1037" s="16" t="inlineStr">
        <is>
          <t>Opening Day</t>
        </is>
      </c>
      <c r="K1037" s="11">
        <f>IFERROR(INDEX(Roles!$B$17:$B$20,MATCH(J1037,Roles!$A$17:$A$20,0)),1)</f>
        <v/>
      </c>
      <c r="L1037" s="17" t="n">
        <v>1</v>
      </c>
      <c r="M1037" s="11" t="n">
        <v>1</v>
      </c>
      <c r="N1037" s="17" t="n"/>
      <c r="O1037" s="17" t="n"/>
      <c r="P1037" s="17" t="n"/>
      <c r="Q1037" s="17" t="n"/>
      <c r="R1037" s="17" t="n"/>
      <c r="S1037" s="17" t="n"/>
      <c r="T1037" s="17" t="n"/>
      <c r="U1037" s="17" t="n"/>
      <c r="V1037" s="17" t="n"/>
      <c r="W1037" s="17" t="n"/>
      <c r="X1037" s="17" t="n"/>
      <c r="Y1037" s="17" t="n">
        <v>1</v>
      </c>
      <c r="Z1037" s="13">
        <f>SUMPRODUCT(N1037:Y1037,$N$2:$Y$2)*$K1037*$L1037*$M1037</f>
        <v/>
      </c>
      <c r="AA1037" s="14">
        <f>SUM(N1037:Y1037)</f>
        <v/>
      </c>
      <c r="AB1037" s="14">
        <f>IFERROR(IF(UPPER($E1037)="L",SUMPRODUCT(N1037:Y1037,$N$3:$Y$3,$N$2:$Y$2),SUMPRODUCT(N1037:Y1037,$N$4:$Y$4,$N$2:$Y$2))/(Z1037/($K1037*$L1037*$M1037)),"")</f>
        <v/>
      </c>
      <c r="AC1037" s="18" t="n"/>
    </row>
    <row r="1038">
      <c r="A1038" s="9" t="n">
        <v>815927</v>
      </c>
      <c r="B1038" s="9" t="inlineStr">
        <is>
          <t>Jose Ramos</t>
        </is>
      </c>
      <c r="C1038" s="9" t="inlineStr">
        <is>
          <t>OAK</t>
        </is>
      </c>
      <c r="D1038" s="9" t="n">
        <v>25</v>
      </c>
      <c r="E1038" s="16" t="inlineStr">
        <is>
          <t>S</t>
        </is>
      </c>
      <c r="F1038" s="16" t="n"/>
      <c r="G1038" s="9" t="n">
        <v>5.415384615384616</v>
      </c>
      <c r="H1038" s="9" t="n">
        <v>5.415384615384616</v>
      </c>
      <c r="I1038" s="9" t="inlineStr">
        <is>
          <t>Depth (no MLB PA)</t>
        </is>
      </c>
      <c r="J1038" s="16" t="inlineStr">
        <is>
          <t>Opening Day</t>
        </is>
      </c>
      <c r="K1038" s="11">
        <f>IFERROR(INDEX(Roles!$B$17:$B$20,MATCH(J1038,Roles!$A$17:$A$20,0)),1)</f>
        <v/>
      </c>
      <c r="L1038" s="17" t="n">
        <v>1</v>
      </c>
      <c r="M1038" s="11" t="n">
        <v>1</v>
      </c>
      <c r="N1038" s="17" t="n"/>
      <c r="O1038" s="17" t="n"/>
      <c r="P1038" s="17" t="n"/>
      <c r="Q1038" s="17" t="n"/>
      <c r="R1038" s="17" t="n"/>
      <c r="S1038" s="17" t="n"/>
      <c r="T1038" s="17" t="n"/>
      <c r="U1038" s="17" t="n"/>
      <c r="V1038" s="17" t="n"/>
      <c r="W1038" s="17" t="n"/>
      <c r="X1038" s="17" t="n"/>
      <c r="Y1038" s="17" t="n">
        <v>1</v>
      </c>
      <c r="Z1038" s="13">
        <f>SUMPRODUCT(N1038:Y1038,$N$2:$Y$2)*$K1038*$L1038*$M1038</f>
        <v/>
      </c>
      <c r="AA1038" s="14">
        <f>SUM(N1038:Y1038)</f>
        <v/>
      </c>
      <c r="AB1038" s="14">
        <f>IFERROR(IF(UPPER($E1038)="L",SUMPRODUCT(N1038:Y1038,$N$3:$Y$3,$N$2:$Y$2),SUMPRODUCT(N1038:Y1038,$N$4:$Y$4,$N$2:$Y$2))/(Z1038/($K1038*$L1038*$M1038)),"")</f>
        <v/>
      </c>
      <c r="AC1038" s="18" t="n"/>
    </row>
    <row r="1039">
      <c r="A1039" s="9" t="n">
        <v>814097</v>
      </c>
      <c r="B1039" s="9" t="inlineStr">
        <is>
          <t>Ben Cleary</t>
        </is>
      </c>
      <c r="C1039" s="9" t="inlineStr">
        <is>
          <t>CLE</t>
        </is>
      </c>
      <c r="D1039" s="9" t="n">
        <v>25</v>
      </c>
      <c r="E1039" s="16" t="inlineStr">
        <is>
          <t>R</t>
        </is>
      </c>
      <c r="F1039" s="16" t="n"/>
      <c r="G1039" s="9" t="n">
        <v>5.538461538461538</v>
      </c>
      <c r="H1039" s="9" t="n">
        <v>5.538461538461538</v>
      </c>
      <c r="I1039" s="9" t="inlineStr">
        <is>
          <t>Depth (no MLB PA)</t>
        </is>
      </c>
      <c r="J1039" s="16" t="inlineStr">
        <is>
          <t>Opening Day</t>
        </is>
      </c>
      <c r="K1039" s="11">
        <f>IFERROR(INDEX(Roles!$B$17:$B$20,MATCH(J1039,Roles!$A$17:$A$20,0)),1)</f>
        <v/>
      </c>
      <c r="L1039" s="17" t="n">
        <v>1</v>
      </c>
      <c r="M1039" s="11" t="n">
        <v>1</v>
      </c>
      <c r="N1039" s="17" t="n"/>
      <c r="O1039" s="17" t="n"/>
      <c r="P1039" s="17" t="n"/>
      <c r="Q1039" s="17" t="n"/>
      <c r="R1039" s="17" t="n"/>
      <c r="S1039" s="17" t="n"/>
      <c r="T1039" s="17" t="n"/>
      <c r="U1039" s="17" t="n"/>
      <c r="V1039" s="17" t="n"/>
      <c r="W1039" s="17" t="n"/>
      <c r="X1039" s="17" t="n"/>
      <c r="Y1039" s="17" t="n">
        <v>1</v>
      </c>
      <c r="Z1039" s="13">
        <f>SUMPRODUCT(N1039:Y1039,$N$2:$Y$2)*$K1039*$L1039*$M1039</f>
        <v/>
      </c>
      <c r="AA1039" s="14">
        <f>SUM(N1039:Y1039)</f>
        <v/>
      </c>
      <c r="AB1039" s="14">
        <f>IFERROR(IF(UPPER($E1039)="L",SUMPRODUCT(N1039:Y1039,$N$3:$Y$3,$N$2:$Y$2),SUMPRODUCT(N1039:Y1039,$N$4:$Y$4,$N$2:$Y$2))/(Z1039/($K1039*$L1039*$M1039)),"")</f>
        <v/>
      </c>
      <c r="AC1039" s="18" t="n"/>
    </row>
    <row r="1040">
      <c r="A1040" s="9" t="n">
        <v>808281</v>
      </c>
      <c r="B1040" s="9" t="inlineStr">
        <is>
          <t>Braylin Morel</t>
        </is>
      </c>
      <c r="C1040" s="9" t="inlineStr">
        <is>
          <t>TEX</t>
        </is>
      </c>
      <c r="D1040" s="9" t="n">
        <v>25</v>
      </c>
      <c r="E1040" s="16" t="inlineStr">
        <is>
          <t>R</t>
        </is>
      </c>
      <c r="F1040" s="16" t="n"/>
      <c r="G1040" s="9" t="n">
        <v>9.723076923076922</v>
      </c>
      <c r="H1040" s="9" t="n">
        <v>9.723076923076922</v>
      </c>
      <c r="I1040" s="9" t="inlineStr">
        <is>
          <t>Depth (no MLB PA)</t>
        </is>
      </c>
      <c r="J1040" s="16" t="inlineStr">
        <is>
          <t>Opening Day</t>
        </is>
      </c>
      <c r="K1040" s="11">
        <f>IFERROR(INDEX(Roles!$B$17:$B$20,MATCH(J1040,Roles!$A$17:$A$20,0)),1)</f>
        <v/>
      </c>
      <c r="L1040" s="17" t="n">
        <v>1</v>
      </c>
      <c r="M1040" s="11" t="n">
        <v>1</v>
      </c>
      <c r="N1040" s="17" t="n"/>
      <c r="O1040" s="17" t="n"/>
      <c r="P1040" s="17" t="n"/>
      <c r="Q1040" s="17" t="n"/>
      <c r="R1040" s="17" t="n"/>
      <c r="S1040" s="17" t="n"/>
      <c r="T1040" s="17" t="n"/>
      <c r="U1040" s="17" t="n"/>
      <c r="V1040" s="17" t="n"/>
      <c r="W1040" s="17" t="n"/>
      <c r="X1040" s="17" t="n"/>
      <c r="Y1040" s="17" t="n">
        <v>1</v>
      </c>
      <c r="Z1040" s="13">
        <f>SUMPRODUCT(N1040:Y1040,$N$2:$Y$2)*$K1040*$L1040*$M1040</f>
        <v/>
      </c>
      <c r="AA1040" s="14">
        <f>SUM(N1040:Y1040)</f>
        <v/>
      </c>
      <c r="AB1040" s="14">
        <f>IFERROR(IF(UPPER($E1040)="L",SUMPRODUCT(N1040:Y1040,$N$3:$Y$3,$N$2:$Y$2),SUMPRODUCT(N1040:Y1040,$N$4:$Y$4,$N$2:$Y$2))/(Z1040/($K1040*$L1040*$M1040)),"")</f>
        <v/>
      </c>
      <c r="AC1040" s="18" t="n"/>
    </row>
    <row r="1041">
      <c r="A1041" s="9" t="n">
        <v>702631</v>
      </c>
      <c r="B1041" s="9" t="inlineStr">
        <is>
          <t>Adonys Guzman</t>
        </is>
      </c>
      <c r="C1041" s="9" t="inlineStr">
        <is>
          <t>BOS</t>
        </is>
      </c>
      <c r="D1041" s="9" t="n">
        <v>25</v>
      </c>
      <c r="E1041" s="16" t="inlineStr">
        <is>
          <t>R</t>
        </is>
      </c>
      <c r="F1041" s="16" t="n"/>
      <c r="G1041" s="9" t="n">
        <v>17.84615384615385</v>
      </c>
      <c r="H1041" s="9" t="n">
        <v>17.84615384615385</v>
      </c>
      <c r="I1041" s="9" t="inlineStr">
        <is>
          <t>Depth (no MLB PA)</t>
        </is>
      </c>
      <c r="J1041" s="16" t="inlineStr">
        <is>
          <t>Opening Day</t>
        </is>
      </c>
      <c r="K1041" s="11">
        <f>IFERROR(INDEX(Roles!$B$17:$B$20,MATCH(J1041,Roles!$A$17:$A$20,0)),1)</f>
        <v/>
      </c>
      <c r="L1041" s="17" t="n">
        <v>1</v>
      </c>
      <c r="M1041" s="11" t="n">
        <v>1</v>
      </c>
      <c r="N1041" s="17" t="n"/>
      <c r="O1041" s="17" t="n"/>
      <c r="P1041" s="17" t="n"/>
      <c r="Q1041" s="17" t="n"/>
      <c r="R1041" s="17" t="n"/>
      <c r="S1041" s="17" t="n"/>
      <c r="T1041" s="17" t="n"/>
      <c r="U1041" s="17" t="n"/>
      <c r="V1041" s="17" t="n"/>
      <c r="W1041" s="17" t="n"/>
      <c r="X1041" s="17" t="n"/>
      <c r="Y1041" s="17" t="n">
        <v>1</v>
      </c>
      <c r="Z1041" s="13">
        <f>SUMPRODUCT(N1041:Y1041,$N$2:$Y$2)*$K1041*$L1041*$M1041</f>
        <v/>
      </c>
      <c r="AA1041" s="14">
        <f>SUM(N1041:Y1041)</f>
        <v/>
      </c>
      <c r="AB1041" s="14">
        <f>IFERROR(IF(UPPER($E1041)="L",SUMPRODUCT(N1041:Y1041,$N$3:$Y$3,$N$2:$Y$2),SUMPRODUCT(N1041:Y1041,$N$4:$Y$4,$N$2:$Y$2))/(Z1041/($K1041*$L1041*$M1041)),"")</f>
        <v/>
      </c>
      <c r="AC1041" s="18" t="n"/>
    </row>
    <row r="1042">
      <c r="A1042" s="9" t="n">
        <v>828903</v>
      </c>
      <c r="B1042" s="9" t="inlineStr">
        <is>
          <t>Tyson Moran</t>
        </is>
      </c>
      <c r="C1042" s="9" t="inlineStr">
        <is>
          <t>KC</t>
        </is>
      </c>
      <c r="D1042" s="9" t="n">
        <v>25</v>
      </c>
      <c r="E1042" s="16" t="inlineStr">
        <is>
          <t>L</t>
        </is>
      </c>
      <c r="F1042" s="16" t="n"/>
      <c r="G1042" s="9" t="n">
        <v>7.753846153846153</v>
      </c>
      <c r="H1042" s="9" t="n">
        <v>7.753846153846153</v>
      </c>
      <c r="I1042" s="9" t="inlineStr">
        <is>
          <t>Depth (no MLB PA)</t>
        </is>
      </c>
      <c r="J1042" s="16" t="inlineStr">
        <is>
          <t>Opening Day</t>
        </is>
      </c>
      <c r="K1042" s="11">
        <f>IFERROR(INDEX(Roles!$B$17:$B$20,MATCH(J1042,Roles!$A$17:$A$20,0)),1)</f>
        <v/>
      </c>
      <c r="L1042" s="17" t="n">
        <v>1</v>
      </c>
      <c r="M1042" s="11" t="n">
        <v>1</v>
      </c>
      <c r="N1042" s="17" t="n"/>
      <c r="O1042" s="17" t="n"/>
      <c r="P1042" s="17" t="n"/>
      <c r="Q1042" s="17" t="n"/>
      <c r="R1042" s="17" t="n"/>
      <c r="S1042" s="17" t="n"/>
      <c r="T1042" s="17" t="n"/>
      <c r="U1042" s="17" t="n"/>
      <c r="V1042" s="17" t="n"/>
      <c r="W1042" s="17" t="n"/>
      <c r="X1042" s="17" t="n"/>
      <c r="Y1042" s="17" t="n">
        <v>1</v>
      </c>
      <c r="Z1042" s="13">
        <f>SUMPRODUCT(N1042:Y1042,$N$2:$Y$2)*$K1042*$L1042*$M1042</f>
        <v/>
      </c>
      <c r="AA1042" s="14">
        <f>SUM(N1042:Y1042)</f>
        <v/>
      </c>
      <c r="AB1042" s="14">
        <f>IFERROR(IF(UPPER($E1042)="L",SUMPRODUCT(N1042:Y1042,$N$3:$Y$3,$N$2:$Y$2),SUMPRODUCT(N1042:Y1042,$N$4:$Y$4,$N$2:$Y$2))/(Z1042/($K1042*$L1042*$M1042)),"")</f>
        <v/>
      </c>
      <c r="AC1042" s="18" t="n"/>
    </row>
    <row r="1043">
      <c r="A1043" s="9" t="n">
        <v>702582</v>
      </c>
      <c r="B1043" s="9" t="inlineStr">
        <is>
          <t>Dallas Macias</t>
        </is>
      </c>
      <c r="C1043" s="9" t="inlineStr">
        <is>
          <t>ATL</t>
        </is>
      </c>
      <c r="D1043" s="9" t="n">
        <v>25</v>
      </c>
      <c r="E1043" s="16" t="inlineStr">
        <is>
          <t>S</t>
        </is>
      </c>
      <c r="F1043" s="16" t="n"/>
      <c r="G1043" s="9" t="n">
        <v>22.56410256410257</v>
      </c>
      <c r="H1043" s="9" t="n">
        <v>22.56410256410257</v>
      </c>
      <c r="I1043" s="9" t="inlineStr">
        <is>
          <t>Depth (no MLB PA)</t>
        </is>
      </c>
      <c r="J1043" s="16" t="inlineStr">
        <is>
          <t>Opening Day</t>
        </is>
      </c>
      <c r="K1043" s="11">
        <f>IFERROR(INDEX(Roles!$B$17:$B$20,MATCH(J1043,Roles!$A$17:$A$20,0)),1)</f>
        <v/>
      </c>
      <c r="L1043" s="17" t="n">
        <v>1</v>
      </c>
      <c r="M1043" s="11" t="n">
        <v>1</v>
      </c>
      <c r="N1043" s="17" t="n"/>
      <c r="O1043" s="17" t="n"/>
      <c r="P1043" s="17" t="n"/>
      <c r="Q1043" s="17" t="n"/>
      <c r="R1043" s="17" t="n"/>
      <c r="S1043" s="17" t="n"/>
      <c r="T1043" s="17" t="n"/>
      <c r="U1043" s="17" t="n"/>
      <c r="V1043" s="17" t="n"/>
      <c r="W1043" s="17" t="n"/>
      <c r="X1043" s="17" t="n"/>
      <c r="Y1043" s="17" t="n">
        <v>1</v>
      </c>
      <c r="Z1043" s="13">
        <f>SUMPRODUCT(N1043:Y1043,$N$2:$Y$2)*$K1043*$L1043*$M1043</f>
        <v/>
      </c>
      <c r="AA1043" s="14">
        <f>SUM(N1043:Y1043)</f>
        <v/>
      </c>
      <c r="AB1043" s="14">
        <f>IFERROR(IF(UPPER($E1043)="L",SUMPRODUCT(N1043:Y1043,$N$3:$Y$3,$N$2:$Y$2),SUMPRODUCT(N1043:Y1043,$N$4:$Y$4,$N$2:$Y$2))/(Z1043/($K1043*$L1043*$M1043)),"")</f>
        <v/>
      </c>
      <c r="AC1043" s="18" t="n"/>
    </row>
    <row r="1044">
      <c r="A1044" s="9" t="n">
        <v>694294</v>
      </c>
      <c r="B1044" s="9" t="inlineStr">
        <is>
          <t>Colton Vincent</t>
        </is>
      </c>
      <c r="C1044" s="9" t="inlineStr">
        <is>
          <t>SD</t>
        </is>
      </c>
      <c r="D1044" s="9" t="n">
        <v>25</v>
      </c>
      <c r="E1044" s="16" t="inlineStr">
        <is>
          <t>R</t>
        </is>
      </c>
      <c r="F1044" s="16" t="n"/>
      <c r="G1044" s="9" t="n">
        <v>5.641025641025642</v>
      </c>
      <c r="H1044" s="9" t="n">
        <v>5.641025641025642</v>
      </c>
      <c r="I1044" s="9" t="inlineStr">
        <is>
          <t>Depth (no MLB PA)</t>
        </is>
      </c>
      <c r="J1044" s="16" t="inlineStr">
        <is>
          <t>Opening Day</t>
        </is>
      </c>
      <c r="K1044" s="11">
        <f>IFERROR(INDEX(Roles!$B$17:$B$20,MATCH(J1044,Roles!$A$17:$A$20,0)),1)</f>
        <v/>
      </c>
      <c r="L1044" s="17" t="n">
        <v>1</v>
      </c>
      <c r="M1044" s="11" t="n">
        <v>1</v>
      </c>
      <c r="N1044" s="17" t="n"/>
      <c r="O1044" s="17" t="n"/>
      <c r="P1044" s="17" t="n"/>
      <c r="Q1044" s="17" t="n"/>
      <c r="R1044" s="17" t="n"/>
      <c r="S1044" s="17" t="n"/>
      <c r="T1044" s="17" t="n"/>
      <c r="U1044" s="17" t="n"/>
      <c r="V1044" s="17" t="n"/>
      <c r="W1044" s="17" t="n"/>
      <c r="X1044" s="17" t="n"/>
      <c r="Y1044" s="17" t="n">
        <v>1</v>
      </c>
      <c r="Z1044" s="13">
        <f>SUMPRODUCT(N1044:Y1044,$N$2:$Y$2)*$K1044*$L1044*$M1044</f>
        <v/>
      </c>
      <c r="AA1044" s="14">
        <f>SUM(N1044:Y1044)</f>
        <v/>
      </c>
      <c r="AB1044" s="14">
        <f>IFERROR(IF(UPPER($E1044)="L",SUMPRODUCT(N1044:Y1044,$N$3:$Y$3,$N$2:$Y$2),SUMPRODUCT(N1044:Y1044,$N$4:$Y$4,$N$2:$Y$2))/(Z1044/($K1044*$L1044*$M1044)),"")</f>
        <v/>
      </c>
      <c r="AC1044" s="18" t="n"/>
    </row>
    <row r="1045">
      <c r="A1045" s="9" t="n">
        <v>801130</v>
      </c>
      <c r="B1045" s="9" t="inlineStr">
        <is>
          <t>Alex Birge</t>
        </is>
      </c>
      <c r="C1045" s="9" t="inlineStr">
        <is>
          <t>STL</t>
        </is>
      </c>
      <c r="D1045" s="9" t="n">
        <v>25</v>
      </c>
      <c r="E1045" s="16" t="inlineStr">
        <is>
          <t>L</t>
        </is>
      </c>
      <c r="F1045" s="16" t="n"/>
      <c r="G1045" s="9" t="n">
        <v>5.538461538461539</v>
      </c>
      <c r="H1045" s="9" t="n">
        <v>5.538461538461539</v>
      </c>
      <c r="I1045" s="9" t="inlineStr">
        <is>
          <t>Depth (no MLB PA)</t>
        </is>
      </c>
      <c r="J1045" s="16" t="inlineStr">
        <is>
          <t>Opening Day</t>
        </is>
      </c>
      <c r="K1045" s="11">
        <f>IFERROR(INDEX(Roles!$B$17:$B$20,MATCH(J1045,Roles!$A$17:$A$20,0)),1)</f>
        <v/>
      </c>
      <c r="L1045" s="17" t="n">
        <v>1</v>
      </c>
      <c r="M1045" s="11" t="n">
        <v>1</v>
      </c>
      <c r="N1045" s="17" t="n"/>
      <c r="O1045" s="17" t="n"/>
      <c r="P1045" s="17" t="n"/>
      <c r="Q1045" s="17" t="n"/>
      <c r="R1045" s="17" t="n"/>
      <c r="S1045" s="17" t="n"/>
      <c r="T1045" s="17" t="n"/>
      <c r="U1045" s="17" t="n"/>
      <c r="V1045" s="17" t="n"/>
      <c r="W1045" s="17" t="n"/>
      <c r="X1045" s="17" t="n"/>
      <c r="Y1045" s="17" t="n">
        <v>1</v>
      </c>
      <c r="Z1045" s="13">
        <f>SUMPRODUCT(N1045:Y1045,$N$2:$Y$2)*$K1045*$L1045*$M1045</f>
        <v/>
      </c>
      <c r="AA1045" s="14">
        <f>SUM(N1045:Y1045)</f>
        <v/>
      </c>
      <c r="AB1045" s="14">
        <f>IFERROR(IF(UPPER($E1045)="L",SUMPRODUCT(N1045:Y1045,$N$3:$Y$3,$N$2:$Y$2),SUMPRODUCT(N1045:Y1045,$N$4:$Y$4,$N$2:$Y$2))/(Z1045/($K1045*$L1045*$M1045)),"")</f>
        <v/>
      </c>
      <c r="AC1045" s="18" t="n"/>
    </row>
    <row r="1046">
      <c r="A1046" s="9" t="n">
        <v>813842</v>
      </c>
      <c r="B1046" s="9" t="inlineStr">
        <is>
          <t>Chase Call</t>
        </is>
      </c>
      <c r="C1046" s="9" t="inlineStr">
        <is>
          <t>HOU</t>
        </is>
      </c>
      <c r="D1046" s="9" t="n">
        <v>25</v>
      </c>
      <c r="E1046" s="16" t="inlineStr">
        <is>
          <t>R</t>
        </is>
      </c>
      <c r="F1046" s="16" t="n"/>
      <c r="G1046" s="9" t="n">
        <v>54.56410256410257</v>
      </c>
      <c r="H1046" s="9" t="n">
        <v>54.56410256410257</v>
      </c>
      <c r="I1046" s="9" t="inlineStr">
        <is>
          <t>Depth (no MLB PA)</t>
        </is>
      </c>
      <c r="J1046" s="16" t="inlineStr">
        <is>
          <t>Opening Day</t>
        </is>
      </c>
      <c r="K1046" s="11">
        <f>IFERROR(INDEX(Roles!$B$17:$B$20,MATCH(J1046,Roles!$A$17:$A$20,0)),1)</f>
        <v/>
      </c>
      <c r="L1046" s="17" t="n">
        <v>1</v>
      </c>
      <c r="M1046" s="11" t="n">
        <v>1</v>
      </c>
      <c r="N1046" s="17" t="n"/>
      <c r="O1046" s="17" t="n"/>
      <c r="P1046" s="17" t="n"/>
      <c r="Q1046" s="17" t="n"/>
      <c r="R1046" s="17" t="n"/>
      <c r="S1046" s="17" t="n"/>
      <c r="T1046" s="17" t="n"/>
      <c r="U1046" s="17" t="n"/>
      <c r="V1046" s="17" t="n"/>
      <c r="W1046" s="17" t="n"/>
      <c r="X1046" s="17" t="n"/>
      <c r="Y1046" s="17" t="n">
        <v>1</v>
      </c>
      <c r="Z1046" s="13">
        <f>SUMPRODUCT(N1046:Y1046,$N$2:$Y$2)*$K1046*$L1046*$M1046</f>
        <v/>
      </c>
      <c r="AA1046" s="14">
        <f>SUM(N1046:Y1046)</f>
        <v/>
      </c>
      <c r="AB1046" s="14">
        <f>IFERROR(IF(UPPER($E1046)="L",SUMPRODUCT(N1046:Y1046,$N$3:$Y$3,$N$2:$Y$2),SUMPRODUCT(N1046:Y1046,$N$4:$Y$4,$N$2:$Y$2))/(Z1046/($K1046*$L1046*$M1046)),"")</f>
        <v/>
      </c>
      <c r="AC1046" s="18" t="n"/>
    </row>
    <row r="1047">
      <c r="A1047" s="9" t="n">
        <v>835938</v>
      </c>
      <c r="B1047" s="9" t="inlineStr">
        <is>
          <t>Hayden Friese</t>
        </is>
      </c>
      <c r="C1047" s="9" t="inlineStr">
        <is>
          <t>ATL</t>
        </is>
      </c>
      <c r="D1047" s="9" t="n">
        <v>25</v>
      </c>
      <c r="E1047" s="16" t="inlineStr">
        <is>
          <t>L</t>
        </is>
      </c>
      <c r="F1047" s="16" t="n"/>
      <c r="G1047" s="9" t="n">
        <v>5.538461538461539</v>
      </c>
      <c r="H1047" s="9" t="n">
        <v>5.538461538461539</v>
      </c>
      <c r="I1047" s="9" t="inlineStr">
        <is>
          <t>Depth (no MLB PA)</t>
        </is>
      </c>
      <c r="J1047" s="16" t="inlineStr">
        <is>
          <t>Opening Day</t>
        </is>
      </c>
      <c r="K1047" s="11">
        <f>IFERROR(INDEX(Roles!$B$17:$B$20,MATCH(J1047,Roles!$A$17:$A$20,0)),1)</f>
        <v/>
      </c>
      <c r="L1047" s="17" t="n">
        <v>1</v>
      </c>
      <c r="M1047" s="11" t="n">
        <v>1</v>
      </c>
      <c r="N1047" s="17" t="n"/>
      <c r="O1047" s="17" t="n"/>
      <c r="P1047" s="17" t="n"/>
      <c r="Q1047" s="17" t="n"/>
      <c r="R1047" s="17" t="n"/>
      <c r="S1047" s="17" t="n"/>
      <c r="T1047" s="17" t="n"/>
      <c r="U1047" s="17" t="n"/>
      <c r="V1047" s="17" t="n"/>
      <c r="W1047" s="17" t="n"/>
      <c r="X1047" s="17" t="n"/>
      <c r="Y1047" s="17" t="n">
        <v>1</v>
      </c>
      <c r="Z1047" s="13">
        <f>SUMPRODUCT(N1047:Y1047,$N$2:$Y$2)*$K1047*$L1047*$M1047</f>
        <v/>
      </c>
      <c r="AA1047" s="14">
        <f>SUM(N1047:Y1047)</f>
        <v/>
      </c>
      <c r="AB1047" s="14">
        <f>IFERROR(IF(UPPER($E1047)="L",SUMPRODUCT(N1047:Y1047,$N$3:$Y$3,$N$2:$Y$2),SUMPRODUCT(N1047:Y1047,$N$4:$Y$4,$N$2:$Y$2))/(Z1047/($K1047*$L1047*$M1047)),"")</f>
        <v/>
      </c>
      <c r="AC1047" s="18" t="n"/>
    </row>
    <row r="1048">
      <c r="A1048" s="9" t="n">
        <v>821147</v>
      </c>
      <c r="B1048" s="9" t="inlineStr">
        <is>
          <t>Josue Brito</t>
        </is>
      </c>
      <c r="C1048" s="9" t="inlineStr">
        <is>
          <t>BOS</t>
        </is>
      </c>
      <c r="D1048" s="9" t="n">
        <v>25</v>
      </c>
      <c r="E1048" s="16" t="inlineStr">
        <is>
          <t>R</t>
        </is>
      </c>
      <c r="F1048" s="16" t="n"/>
      <c r="G1048" s="9" t="n">
        <v>9.846153846153848</v>
      </c>
      <c r="H1048" s="9" t="n">
        <v>9.846153846153848</v>
      </c>
      <c r="I1048" s="9" t="inlineStr">
        <is>
          <t>Depth (no MLB PA)</t>
        </is>
      </c>
      <c r="J1048" s="16" t="inlineStr">
        <is>
          <t>Opening Day</t>
        </is>
      </c>
      <c r="K1048" s="11">
        <f>IFERROR(INDEX(Roles!$B$17:$B$20,MATCH(J1048,Roles!$A$17:$A$20,0)),1)</f>
        <v/>
      </c>
      <c r="L1048" s="17" t="n">
        <v>1</v>
      </c>
      <c r="M1048" s="11" t="n">
        <v>1</v>
      </c>
      <c r="N1048" s="17" t="n"/>
      <c r="O1048" s="17" t="n"/>
      <c r="P1048" s="17" t="n"/>
      <c r="Q1048" s="17" t="n"/>
      <c r="R1048" s="17" t="n"/>
      <c r="S1048" s="17" t="n"/>
      <c r="T1048" s="17" t="n"/>
      <c r="U1048" s="17" t="n"/>
      <c r="V1048" s="17" t="n"/>
      <c r="W1048" s="17" t="n"/>
      <c r="X1048" s="17" t="n"/>
      <c r="Y1048" s="17" t="n">
        <v>1</v>
      </c>
      <c r="Z1048" s="13">
        <f>SUMPRODUCT(N1048:Y1048,$N$2:$Y$2)*$K1048*$L1048*$M1048</f>
        <v/>
      </c>
      <c r="AA1048" s="14">
        <f>SUM(N1048:Y1048)</f>
        <v/>
      </c>
      <c r="AB1048" s="14">
        <f>IFERROR(IF(UPPER($E1048)="L",SUMPRODUCT(N1048:Y1048,$N$3:$Y$3,$N$2:$Y$2),SUMPRODUCT(N1048:Y1048,$N$4:$Y$4,$N$2:$Y$2))/(Z1048/($K1048*$L1048*$M1048)),"")</f>
        <v/>
      </c>
      <c r="AC1048" s="18" t="n"/>
    </row>
    <row r="1049">
      <c r="A1049" s="9" t="n">
        <v>702895</v>
      </c>
      <c r="B1049" s="9" t="inlineStr">
        <is>
          <t>Geuri Lubo</t>
        </is>
      </c>
      <c r="C1049" s="9" t="inlineStr">
        <is>
          <t>CHC</t>
        </is>
      </c>
      <c r="D1049" s="9" t="n">
        <v>25</v>
      </c>
      <c r="E1049" s="16" t="inlineStr">
        <is>
          <t>R</t>
        </is>
      </c>
      <c r="F1049" s="16" t="n"/>
      <c r="G1049" s="9" t="n">
        <v>13.74358974358974</v>
      </c>
      <c r="H1049" s="9" t="n">
        <v>13.74358974358974</v>
      </c>
      <c r="I1049" s="9" t="inlineStr">
        <is>
          <t>Depth (no MLB PA)</t>
        </is>
      </c>
      <c r="J1049" s="16" t="inlineStr">
        <is>
          <t>Opening Day</t>
        </is>
      </c>
      <c r="K1049" s="11">
        <f>IFERROR(INDEX(Roles!$B$17:$B$20,MATCH(J1049,Roles!$A$17:$A$20,0)),1)</f>
        <v/>
      </c>
      <c r="L1049" s="17" t="n">
        <v>1</v>
      </c>
      <c r="M1049" s="11" t="n">
        <v>1</v>
      </c>
      <c r="N1049" s="17" t="n"/>
      <c r="O1049" s="17" t="n"/>
      <c r="P1049" s="17" t="n"/>
      <c r="Q1049" s="17" t="n"/>
      <c r="R1049" s="17" t="n"/>
      <c r="S1049" s="17" t="n"/>
      <c r="T1049" s="17" t="n"/>
      <c r="U1049" s="17" t="n"/>
      <c r="V1049" s="17" t="n"/>
      <c r="W1049" s="17" t="n"/>
      <c r="X1049" s="17" t="n"/>
      <c r="Y1049" s="17" t="n">
        <v>1</v>
      </c>
      <c r="Z1049" s="13">
        <f>SUMPRODUCT(N1049:Y1049,$N$2:$Y$2)*$K1049*$L1049*$M1049</f>
        <v/>
      </c>
      <c r="AA1049" s="14">
        <f>SUM(N1049:Y1049)</f>
        <v/>
      </c>
      <c r="AB1049" s="14">
        <f>IFERROR(IF(UPPER($E1049)="L",SUMPRODUCT(N1049:Y1049,$N$3:$Y$3,$N$2:$Y$2),SUMPRODUCT(N1049:Y1049,$N$4:$Y$4,$N$2:$Y$2))/(Z1049/($K1049*$L1049*$M1049)),"")</f>
        <v/>
      </c>
      <c r="AC1049" s="18" t="n"/>
    </row>
    <row r="1050">
      <c r="A1050" s="9" t="n">
        <v>656514</v>
      </c>
      <c r="B1050" s="9" t="inlineStr">
        <is>
          <t>Adam Haseley</t>
        </is>
      </c>
      <c r="C1050" s="9" t="inlineStr">
        <is>
          <t>CWS</t>
        </is>
      </c>
      <c r="D1050" s="9" t="n">
        <v>31</v>
      </c>
      <c r="E1050" s="16" t="inlineStr">
        <is>
          <t>L</t>
        </is>
      </c>
      <c r="F1050" s="16" t="inlineStr">
        <is>
          <t>RF</t>
        </is>
      </c>
      <c r="G1050" s="9" t="n">
        <v>39</v>
      </c>
      <c r="H1050" s="9" t="n">
        <v>64</v>
      </c>
      <c r="I1050" s="9" t="inlineStr">
        <is>
          <t>Depth (no MLB PA)</t>
        </is>
      </c>
      <c r="J1050" s="16" t="inlineStr">
        <is>
          <t>Opening Day</t>
        </is>
      </c>
      <c r="K1050" s="11">
        <f>IFERROR(INDEX(Roles!$B$17:$B$20,MATCH(J1050,Roles!$A$17:$A$20,0)),1)</f>
        <v/>
      </c>
      <c r="L1050" s="17" t="n">
        <v>1</v>
      </c>
      <c r="M1050" s="11" t="n">
        <v>1</v>
      </c>
      <c r="N1050" s="17" t="n"/>
      <c r="O1050" s="17" t="n"/>
      <c r="P1050" s="17" t="n"/>
      <c r="Q1050" s="17" t="n"/>
      <c r="R1050" s="17" t="n"/>
      <c r="S1050" s="17" t="n"/>
      <c r="T1050" s="17" t="n"/>
      <c r="U1050" s="17" t="n"/>
      <c r="V1050" s="17" t="n"/>
      <c r="W1050" s="17" t="n"/>
      <c r="X1050" s="17" t="n"/>
      <c r="Y1050" s="17" t="n">
        <v>1</v>
      </c>
      <c r="Z1050" s="13">
        <f>SUMPRODUCT(N1050:Y1050,$N$2:$Y$2)*$K1050*$L1050*$M1050</f>
        <v/>
      </c>
      <c r="AA1050" s="14">
        <f>SUM(N1050:Y1050)</f>
        <v/>
      </c>
      <c r="AB1050" s="14">
        <f>IFERROR(IF(UPPER($E1050)="L",SUMPRODUCT(N1050:Y1050,$N$3:$Y$3,$N$2:$Y$2),SUMPRODUCT(N1050:Y1050,$N$4:$Y$4,$N$2:$Y$2))/(Z1050/($K1050*$L1050*$M1050)),"")</f>
        <v/>
      </c>
      <c r="AC1050" s="18" t="n"/>
    </row>
    <row r="1051">
      <c r="A1051" s="9" t="n">
        <v>830984</v>
      </c>
      <c r="B1051" s="9" t="inlineStr">
        <is>
          <t>Brennan Hudson</t>
        </is>
      </c>
      <c r="C1051" s="9" t="inlineStr">
        <is>
          <t>CHC</t>
        </is>
      </c>
      <c r="D1051" s="9" t="n">
        <v>25</v>
      </c>
      <c r="E1051" s="16" t="inlineStr">
        <is>
          <t>L</t>
        </is>
      </c>
      <c r="F1051" s="16" t="n"/>
      <c r="G1051" s="9" t="n">
        <v>13.74358974358974</v>
      </c>
      <c r="H1051" s="9" t="n">
        <v>13.74358974358974</v>
      </c>
      <c r="I1051" s="9" t="inlineStr">
        <is>
          <t>Depth (no MLB PA)</t>
        </is>
      </c>
      <c r="J1051" s="16" t="inlineStr">
        <is>
          <t>Opening Day</t>
        </is>
      </c>
      <c r="K1051" s="11">
        <f>IFERROR(INDEX(Roles!$B$17:$B$20,MATCH(J1051,Roles!$A$17:$A$20,0)),1)</f>
        <v/>
      </c>
      <c r="L1051" s="17" t="n">
        <v>1</v>
      </c>
      <c r="M1051" s="11" t="n">
        <v>1</v>
      </c>
      <c r="N1051" s="17" t="n"/>
      <c r="O1051" s="17" t="n"/>
      <c r="P1051" s="17" t="n"/>
      <c r="Q1051" s="17" t="n"/>
      <c r="R1051" s="17" t="n"/>
      <c r="S1051" s="17" t="n"/>
      <c r="T1051" s="17" t="n"/>
      <c r="U1051" s="17" t="n"/>
      <c r="V1051" s="17" t="n"/>
      <c r="W1051" s="17" t="n"/>
      <c r="X1051" s="17" t="n"/>
      <c r="Y1051" s="17" t="n">
        <v>1</v>
      </c>
      <c r="Z1051" s="13">
        <f>SUMPRODUCT(N1051:Y1051,$N$2:$Y$2)*$K1051*$L1051*$M1051</f>
        <v/>
      </c>
      <c r="AA1051" s="14">
        <f>SUM(N1051:Y1051)</f>
        <v/>
      </c>
      <c r="AB1051" s="14">
        <f>IFERROR(IF(UPPER($E1051)="L",SUMPRODUCT(N1051:Y1051,$N$3:$Y$3,$N$2:$Y$2),SUMPRODUCT(N1051:Y1051,$N$4:$Y$4,$N$2:$Y$2))/(Z1051/($K1051*$L1051*$M1051)),"")</f>
        <v/>
      </c>
      <c r="AC1051" s="18" t="n"/>
    </row>
    <row r="1052">
      <c r="A1052" s="9" t="n">
        <v>806680</v>
      </c>
      <c r="B1052" s="9" t="inlineStr">
        <is>
          <t>Chris Hacopian</t>
        </is>
      </c>
      <c r="C1052" s="9" t="inlineStr">
        <is>
          <t>WSH</t>
        </is>
      </c>
      <c r="D1052" s="9" t="n">
        <v>23</v>
      </c>
      <c r="E1052" s="16" t="inlineStr">
        <is>
          <t>R</t>
        </is>
      </c>
      <c r="F1052" s="16" t="n"/>
      <c r="G1052" s="9" t="n">
        <v>9.846153846153848</v>
      </c>
      <c r="H1052" s="9" t="n">
        <v>9.846153846153848</v>
      </c>
      <c r="I1052" s="9" t="inlineStr">
        <is>
          <t>Depth (no MLB PA)</t>
        </is>
      </c>
      <c r="J1052" s="16" t="inlineStr">
        <is>
          <t>Opening Day</t>
        </is>
      </c>
      <c r="K1052" s="11">
        <f>IFERROR(INDEX(Roles!$B$17:$B$20,MATCH(J1052,Roles!$A$17:$A$20,0)),1)</f>
        <v/>
      </c>
      <c r="L1052" s="17" t="n">
        <v>1</v>
      </c>
      <c r="M1052" s="11" t="n">
        <v>1</v>
      </c>
      <c r="N1052" s="17" t="n"/>
      <c r="O1052" s="17" t="n"/>
      <c r="P1052" s="17" t="n"/>
      <c r="Q1052" s="17" t="n"/>
      <c r="R1052" s="17" t="n"/>
      <c r="S1052" s="17" t="n"/>
      <c r="T1052" s="17" t="n"/>
      <c r="U1052" s="17" t="n"/>
      <c r="V1052" s="17" t="n"/>
      <c r="W1052" s="17" t="n"/>
      <c r="X1052" s="17" t="n"/>
      <c r="Y1052" s="17" t="n">
        <v>1</v>
      </c>
      <c r="Z1052" s="13">
        <f>SUMPRODUCT(N1052:Y1052,$N$2:$Y$2)*$K1052*$L1052*$M1052</f>
        <v/>
      </c>
      <c r="AA1052" s="14">
        <f>SUM(N1052:Y1052)</f>
        <v/>
      </c>
      <c r="AB1052" s="14">
        <f>IFERROR(IF(UPPER($E1052)="L",SUMPRODUCT(N1052:Y1052,$N$3:$Y$3,$N$2:$Y$2),SUMPRODUCT(N1052:Y1052,$N$4:$Y$4,$N$2:$Y$2))/(Z1052/($K1052*$L1052*$M1052)),"")</f>
        <v/>
      </c>
      <c r="AC1052" s="18" t="n"/>
    </row>
    <row r="1053">
      <c r="A1053" s="9" t="n">
        <v>835716</v>
      </c>
      <c r="B1053" s="9" t="inlineStr">
        <is>
          <t>Jack Barker</t>
        </is>
      </c>
      <c r="C1053" s="9" t="inlineStr">
        <is>
          <t>PHI</t>
        </is>
      </c>
      <c r="D1053" s="9" t="n">
        <v>25</v>
      </c>
      <c r="E1053" s="16" t="inlineStr">
        <is>
          <t>L</t>
        </is>
      </c>
      <c r="F1053" s="16" t="n"/>
      <c r="G1053" s="9" t="n">
        <v>5.538461538461538</v>
      </c>
      <c r="H1053" s="9" t="n">
        <v>5.538461538461538</v>
      </c>
      <c r="I1053" s="9" t="inlineStr">
        <is>
          <t>Depth (no MLB PA)</t>
        </is>
      </c>
      <c r="J1053" s="16" t="inlineStr">
        <is>
          <t>Opening Day</t>
        </is>
      </c>
      <c r="K1053" s="11">
        <f>IFERROR(INDEX(Roles!$B$17:$B$20,MATCH(J1053,Roles!$A$17:$A$20,0)),1)</f>
        <v/>
      </c>
      <c r="L1053" s="17" t="n">
        <v>1</v>
      </c>
      <c r="M1053" s="11" t="n">
        <v>1</v>
      </c>
      <c r="N1053" s="17" t="n"/>
      <c r="O1053" s="17" t="n"/>
      <c r="P1053" s="17" t="n"/>
      <c r="Q1053" s="17" t="n"/>
      <c r="R1053" s="17" t="n"/>
      <c r="S1053" s="17" t="n"/>
      <c r="T1053" s="17" t="n"/>
      <c r="U1053" s="17" t="n"/>
      <c r="V1053" s="17" t="n"/>
      <c r="W1053" s="17" t="n"/>
      <c r="X1053" s="17" t="n"/>
      <c r="Y1053" s="17" t="n">
        <v>1</v>
      </c>
      <c r="Z1053" s="13">
        <f>SUMPRODUCT(N1053:Y1053,$N$2:$Y$2)*$K1053*$L1053*$M1053</f>
        <v/>
      </c>
      <c r="AA1053" s="14">
        <f>SUM(N1053:Y1053)</f>
        <v/>
      </c>
      <c r="AB1053" s="14">
        <f>IFERROR(IF(UPPER($E1053)="L",SUMPRODUCT(N1053:Y1053,$N$3:$Y$3,$N$2:$Y$2),SUMPRODUCT(N1053:Y1053,$N$4:$Y$4,$N$2:$Y$2))/(Z1053/($K1053*$L1053*$M1053)),"")</f>
        <v/>
      </c>
      <c r="AC1053" s="18" t="n"/>
    </row>
    <row r="1054">
      <c r="A1054" s="9" t="n">
        <v>832104</v>
      </c>
      <c r="B1054" s="9" t="inlineStr">
        <is>
          <t>Kooper Schulte</t>
        </is>
      </c>
      <c r="C1054" s="9" t="inlineStr">
        <is>
          <t>NYM</t>
        </is>
      </c>
      <c r="D1054" s="9" t="n">
        <v>25</v>
      </c>
      <c r="E1054" s="16" t="inlineStr">
        <is>
          <t>R</t>
        </is>
      </c>
      <c r="F1054" s="16" t="n"/>
      <c r="G1054" s="9" t="n">
        <v>5.538461538461538</v>
      </c>
      <c r="H1054" s="9" t="n">
        <v>5.538461538461538</v>
      </c>
      <c r="I1054" s="9" t="inlineStr">
        <is>
          <t>Depth (no MLB PA)</t>
        </is>
      </c>
      <c r="J1054" s="16" t="inlineStr">
        <is>
          <t>Opening Day</t>
        </is>
      </c>
      <c r="K1054" s="11">
        <f>IFERROR(INDEX(Roles!$B$17:$B$20,MATCH(J1054,Roles!$A$17:$A$20,0)),1)</f>
        <v/>
      </c>
      <c r="L1054" s="17" t="n">
        <v>1</v>
      </c>
      <c r="M1054" s="11" t="n">
        <v>1</v>
      </c>
      <c r="N1054" s="17" t="n"/>
      <c r="O1054" s="17" t="n"/>
      <c r="P1054" s="17" t="n"/>
      <c r="Q1054" s="17" t="n"/>
      <c r="R1054" s="17" t="n"/>
      <c r="S1054" s="17" t="n"/>
      <c r="T1054" s="17" t="n"/>
      <c r="U1054" s="17" t="n"/>
      <c r="V1054" s="17" t="n"/>
      <c r="W1054" s="17" t="n"/>
      <c r="X1054" s="17" t="n"/>
      <c r="Y1054" s="17" t="n">
        <v>1</v>
      </c>
      <c r="Z1054" s="13">
        <f>SUMPRODUCT(N1054:Y1054,$N$2:$Y$2)*$K1054*$L1054*$M1054</f>
        <v/>
      </c>
      <c r="AA1054" s="14">
        <f>SUM(N1054:Y1054)</f>
        <v/>
      </c>
      <c r="AB1054" s="14">
        <f>IFERROR(IF(UPPER($E1054)="L",SUMPRODUCT(N1054:Y1054,$N$3:$Y$3,$N$2:$Y$2),SUMPRODUCT(N1054:Y1054,$N$4:$Y$4,$N$2:$Y$2))/(Z1054/($K1054*$L1054*$M1054)),"")</f>
        <v/>
      </c>
      <c r="AC1054" s="18" t="n"/>
    </row>
    <row r="1055">
      <c r="A1055" s="9" t="n">
        <v>678099</v>
      </c>
      <c r="B1055" s="9" t="inlineStr">
        <is>
          <t>Gavin Logan</t>
        </is>
      </c>
      <c r="C1055" s="9" t="inlineStr">
        <is>
          <t>ARI</t>
        </is>
      </c>
      <c r="D1055" s="9" t="n">
        <v>25</v>
      </c>
      <c r="E1055" s="16" t="inlineStr">
        <is>
          <t>L</t>
        </is>
      </c>
      <c r="F1055" s="16" t="n"/>
      <c r="G1055" s="9" t="n">
        <v>5.641025641025642</v>
      </c>
      <c r="H1055" s="9" t="n">
        <v>5.641025641025642</v>
      </c>
      <c r="I1055" s="9" t="inlineStr">
        <is>
          <t>Depth (no MLB PA)</t>
        </is>
      </c>
      <c r="J1055" s="16" t="inlineStr">
        <is>
          <t>Opening Day</t>
        </is>
      </c>
      <c r="K1055" s="11">
        <f>IFERROR(INDEX(Roles!$B$17:$B$20,MATCH(J1055,Roles!$A$17:$A$20,0)),1)</f>
        <v/>
      </c>
      <c r="L1055" s="17" t="n">
        <v>1</v>
      </c>
      <c r="M1055" s="11" t="n">
        <v>1</v>
      </c>
      <c r="N1055" s="17" t="n"/>
      <c r="O1055" s="17" t="n"/>
      <c r="P1055" s="17" t="n"/>
      <c r="Q1055" s="17" t="n"/>
      <c r="R1055" s="17" t="n"/>
      <c r="S1055" s="17" t="n"/>
      <c r="T1055" s="17" t="n"/>
      <c r="U1055" s="17" t="n"/>
      <c r="V1055" s="17" t="n"/>
      <c r="W1055" s="17" t="n"/>
      <c r="X1055" s="17" t="n"/>
      <c r="Y1055" s="17" t="n">
        <v>1</v>
      </c>
      <c r="Z1055" s="13">
        <f>SUMPRODUCT(N1055:Y1055,$N$2:$Y$2)*$K1055*$L1055*$M1055</f>
        <v/>
      </c>
      <c r="AA1055" s="14">
        <f>SUM(N1055:Y1055)</f>
        <v/>
      </c>
      <c r="AB1055" s="14">
        <f>IFERROR(IF(UPPER($E1055)="L",SUMPRODUCT(N1055:Y1055,$N$3:$Y$3,$N$2:$Y$2),SUMPRODUCT(N1055:Y1055,$N$4:$Y$4,$N$2:$Y$2))/(Z1055/($K1055*$L1055*$M1055)),"")</f>
        <v/>
      </c>
      <c r="AC1055" s="18" t="n"/>
    </row>
    <row r="1056">
      <c r="A1056" s="9" t="n">
        <v>807740</v>
      </c>
      <c r="B1056" s="9" t="inlineStr">
        <is>
          <t>Luke Shliger</t>
        </is>
      </c>
      <c r="C1056" s="9" t="inlineStr">
        <is>
          <t>DET</t>
        </is>
      </c>
      <c r="D1056" s="9" t="n">
        <v>25</v>
      </c>
      <c r="E1056" s="16" t="inlineStr">
        <is>
          <t>L</t>
        </is>
      </c>
      <c r="F1056" s="16" t="n"/>
      <c r="G1056" s="9" t="n">
        <v>5.641025641025642</v>
      </c>
      <c r="H1056" s="9" t="n">
        <v>5.641025641025642</v>
      </c>
      <c r="I1056" s="9" t="inlineStr">
        <is>
          <t>Depth (no MLB PA)</t>
        </is>
      </c>
      <c r="J1056" s="16" t="inlineStr">
        <is>
          <t>Opening Day</t>
        </is>
      </c>
      <c r="K1056" s="11">
        <f>IFERROR(INDEX(Roles!$B$17:$B$20,MATCH(J1056,Roles!$A$17:$A$20,0)),1)</f>
        <v/>
      </c>
      <c r="L1056" s="17" t="n">
        <v>1</v>
      </c>
      <c r="M1056" s="11" t="n">
        <v>1</v>
      </c>
      <c r="N1056" s="17" t="n"/>
      <c r="O1056" s="17" t="n"/>
      <c r="P1056" s="17" t="n"/>
      <c r="Q1056" s="17" t="n"/>
      <c r="R1056" s="17" t="n"/>
      <c r="S1056" s="17" t="n"/>
      <c r="T1056" s="17" t="n"/>
      <c r="U1056" s="17" t="n"/>
      <c r="V1056" s="17" t="n"/>
      <c r="W1056" s="17" t="n"/>
      <c r="X1056" s="17" t="n"/>
      <c r="Y1056" s="17" t="n">
        <v>1</v>
      </c>
      <c r="Z1056" s="13">
        <f>SUMPRODUCT(N1056:Y1056,$N$2:$Y$2)*$K1056*$L1056*$M1056</f>
        <v/>
      </c>
      <c r="AA1056" s="14">
        <f>SUM(N1056:Y1056)</f>
        <v/>
      </c>
      <c r="AB1056" s="14">
        <f>IFERROR(IF(UPPER($E1056)="L",SUMPRODUCT(N1056:Y1056,$N$3:$Y$3,$N$2:$Y$2),SUMPRODUCT(N1056:Y1056,$N$4:$Y$4,$N$2:$Y$2))/(Z1056/($K1056*$L1056*$M1056)),"")</f>
        <v/>
      </c>
      <c r="AC1056" s="18" t="n"/>
    </row>
    <row r="1057">
      <c r="A1057" s="9" t="n">
        <v>824558</v>
      </c>
      <c r="B1057" s="9" t="inlineStr">
        <is>
          <t>Alex Conover</t>
        </is>
      </c>
      <c r="C1057" s="9" t="inlineStr">
        <is>
          <t>SD</t>
        </is>
      </c>
      <c r="D1057" s="9" t="n">
        <v>25</v>
      </c>
      <c r="E1057" s="16" t="inlineStr">
        <is>
          <t>L</t>
        </is>
      </c>
      <c r="F1057" s="16" t="n"/>
      <c r="G1057" s="9" t="n">
        <v>10.09230769230769</v>
      </c>
      <c r="H1057" s="9" t="n">
        <v>10.09230769230769</v>
      </c>
      <c r="I1057" s="9" t="inlineStr">
        <is>
          <t>Depth (no MLB PA)</t>
        </is>
      </c>
      <c r="J1057" s="16" t="inlineStr">
        <is>
          <t>Opening Day</t>
        </is>
      </c>
      <c r="K1057" s="11">
        <f>IFERROR(INDEX(Roles!$B$17:$B$20,MATCH(J1057,Roles!$A$17:$A$20,0)),1)</f>
        <v/>
      </c>
      <c r="L1057" s="17" t="n">
        <v>1</v>
      </c>
      <c r="M1057" s="11" t="n">
        <v>1</v>
      </c>
      <c r="N1057" s="17" t="n"/>
      <c r="O1057" s="17" t="n"/>
      <c r="P1057" s="17" t="n"/>
      <c r="Q1057" s="17" t="n"/>
      <c r="R1057" s="17" t="n"/>
      <c r="S1057" s="17" t="n"/>
      <c r="T1057" s="17" t="n"/>
      <c r="U1057" s="17" t="n"/>
      <c r="V1057" s="17" t="n"/>
      <c r="W1057" s="17" t="n"/>
      <c r="X1057" s="17" t="n"/>
      <c r="Y1057" s="17" t="n">
        <v>1</v>
      </c>
      <c r="Z1057" s="13">
        <f>SUMPRODUCT(N1057:Y1057,$N$2:$Y$2)*$K1057*$L1057*$M1057</f>
        <v/>
      </c>
      <c r="AA1057" s="14">
        <f>SUM(N1057:Y1057)</f>
        <v/>
      </c>
      <c r="AB1057" s="14">
        <f>IFERROR(IF(UPPER($E1057)="L",SUMPRODUCT(N1057:Y1057,$N$3:$Y$3,$N$2:$Y$2),SUMPRODUCT(N1057:Y1057,$N$4:$Y$4,$N$2:$Y$2))/(Z1057/($K1057*$L1057*$M1057)),"")</f>
        <v/>
      </c>
      <c r="AC1057" s="18" t="n"/>
    </row>
    <row r="1058">
      <c r="A1058" s="9" t="n">
        <v>801290</v>
      </c>
      <c r="B1058" s="9" t="inlineStr">
        <is>
          <t>Max Viera</t>
        </is>
      </c>
      <c r="C1058" s="9" t="inlineStr">
        <is>
          <t>TOR</t>
        </is>
      </c>
      <c r="D1058" s="9" t="n">
        <v>25</v>
      </c>
      <c r="E1058" s="16" t="inlineStr">
        <is>
          <t>R</t>
        </is>
      </c>
      <c r="F1058" s="16" t="n"/>
      <c r="G1058" s="9" t="n">
        <v>13.74358974358974</v>
      </c>
      <c r="H1058" s="9" t="n">
        <v>13.74358974358974</v>
      </c>
      <c r="I1058" s="9" t="inlineStr">
        <is>
          <t>Depth (no MLB PA)</t>
        </is>
      </c>
      <c r="J1058" s="16" t="inlineStr">
        <is>
          <t>Opening Day</t>
        </is>
      </c>
      <c r="K1058" s="11">
        <f>IFERROR(INDEX(Roles!$B$17:$B$20,MATCH(J1058,Roles!$A$17:$A$20,0)),1)</f>
        <v/>
      </c>
      <c r="L1058" s="17" t="n">
        <v>1</v>
      </c>
      <c r="M1058" s="11" t="n">
        <v>1</v>
      </c>
      <c r="N1058" s="17" t="n"/>
      <c r="O1058" s="17" t="n"/>
      <c r="P1058" s="17" t="n"/>
      <c r="Q1058" s="17" t="n"/>
      <c r="R1058" s="17" t="n"/>
      <c r="S1058" s="17" t="n"/>
      <c r="T1058" s="17" t="n"/>
      <c r="U1058" s="17" t="n"/>
      <c r="V1058" s="17" t="n"/>
      <c r="W1058" s="17" t="n"/>
      <c r="X1058" s="17" t="n"/>
      <c r="Y1058" s="17" t="n">
        <v>1</v>
      </c>
      <c r="Z1058" s="13">
        <f>SUMPRODUCT(N1058:Y1058,$N$2:$Y$2)*$K1058*$L1058*$M1058</f>
        <v/>
      </c>
      <c r="AA1058" s="14">
        <f>SUM(N1058:Y1058)</f>
        <v/>
      </c>
      <c r="AB1058" s="14">
        <f>IFERROR(IF(UPPER($E1058)="L",SUMPRODUCT(N1058:Y1058,$N$3:$Y$3,$N$2:$Y$2),SUMPRODUCT(N1058:Y1058,$N$4:$Y$4,$N$2:$Y$2))/(Z1058/($K1058*$L1058*$M1058)),"")</f>
        <v/>
      </c>
      <c r="AC1058" s="18" t="n"/>
    </row>
    <row r="1059">
      <c r="A1059" s="9" t="n">
        <v>687248</v>
      </c>
      <c r="B1059" s="9" t="inlineStr">
        <is>
          <t>Keshawn Ogans</t>
        </is>
      </c>
      <c r="C1059" s="9" t="inlineStr">
        <is>
          <t>ATL</t>
        </is>
      </c>
      <c r="D1059" s="9" t="n">
        <v>25</v>
      </c>
      <c r="E1059" s="16" t="inlineStr">
        <is>
          <t>R</t>
        </is>
      </c>
      <c r="F1059" s="16" t="n"/>
      <c r="G1059" s="9" t="n">
        <v>5.641025641025642</v>
      </c>
      <c r="H1059" s="9" t="n">
        <v>5.641025641025642</v>
      </c>
      <c r="I1059" s="9" t="inlineStr">
        <is>
          <t>Depth (no MLB PA)</t>
        </is>
      </c>
      <c r="J1059" s="16" t="inlineStr">
        <is>
          <t>Opening Day</t>
        </is>
      </c>
      <c r="K1059" s="11">
        <f>IFERROR(INDEX(Roles!$B$17:$B$20,MATCH(J1059,Roles!$A$17:$A$20,0)),1)</f>
        <v/>
      </c>
      <c r="L1059" s="17" t="n">
        <v>1</v>
      </c>
      <c r="M1059" s="11" t="n">
        <v>1</v>
      </c>
      <c r="N1059" s="17" t="n"/>
      <c r="O1059" s="17" t="n"/>
      <c r="P1059" s="17" t="n"/>
      <c r="Q1059" s="17" t="n"/>
      <c r="R1059" s="17" t="n"/>
      <c r="S1059" s="17" t="n"/>
      <c r="T1059" s="17" t="n"/>
      <c r="U1059" s="17" t="n"/>
      <c r="V1059" s="17" t="n"/>
      <c r="W1059" s="17" t="n"/>
      <c r="X1059" s="17" t="n"/>
      <c r="Y1059" s="17" t="n">
        <v>1</v>
      </c>
      <c r="Z1059" s="13">
        <f>SUMPRODUCT(N1059:Y1059,$N$2:$Y$2)*$K1059*$L1059*$M1059</f>
        <v/>
      </c>
      <c r="AA1059" s="14">
        <f>SUM(N1059:Y1059)</f>
        <v/>
      </c>
      <c r="AB1059" s="14">
        <f>IFERROR(IF(UPPER($E1059)="L",SUMPRODUCT(N1059:Y1059,$N$3:$Y$3,$N$2:$Y$2),SUMPRODUCT(N1059:Y1059,$N$4:$Y$4,$N$2:$Y$2))/(Z1059/($K1059*$L1059*$M1059)),"")</f>
        <v/>
      </c>
      <c r="AC1059" s="18" t="n"/>
    </row>
    <row r="1060">
      <c r="A1060" s="9" t="n">
        <v>805744</v>
      </c>
      <c r="B1060" s="9" t="inlineStr">
        <is>
          <t>Athanael Duarte</t>
        </is>
      </c>
      <c r="C1060" s="9" t="inlineStr">
        <is>
          <t>LAA</t>
        </is>
      </c>
      <c r="D1060" s="9" t="n">
        <v>25</v>
      </c>
      <c r="E1060" s="16" t="inlineStr">
        <is>
          <t>R</t>
        </is>
      </c>
      <c r="F1060" s="16" t="n"/>
      <c r="G1060" s="9" t="n">
        <v>7.753846153846153</v>
      </c>
      <c r="H1060" s="9" t="n">
        <v>7.753846153846153</v>
      </c>
      <c r="I1060" s="9" t="inlineStr">
        <is>
          <t>Depth (no MLB PA)</t>
        </is>
      </c>
      <c r="J1060" s="16" t="inlineStr">
        <is>
          <t>Opening Day</t>
        </is>
      </c>
      <c r="K1060" s="11">
        <f>IFERROR(INDEX(Roles!$B$17:$B$20,MATCH(J1060,Roles!$A$17:$A$20,0)),1)</f>
        <v/>
      </c>
      <c r="L1060" s="17" t="n">
        <v>1</v>
      </c>
      <c r="M1060" s="11" t="n">
        <v>1</v>
      </c>
      <c r="N1060" s="17" t="n"/>
      <c r="O1060" s="17" t="n"/>
      <c r="P1060" s="17" t="n"/>
      <c r="Q1060" s="17" t="n"/>
      <c r="R1060" s="17" t="n"/>
      <c r="S1060" s="17" t="n"/>
      <c r="T1060" s="17" t="n"/>
      <c r="U1060" s="17" t="n"/>
      <c r="V1060" s="17" t="n"/>
      <c r="W1060" s="17" t="n"/>
      <c r="X1060" s="17" t="n"/>
      <c r="Y1060" s="17" t="n">
        <v>1</v>
      </c>
      <c r="Z1060" s="13">
        <f>SUMPRODUCT(N1060:Y1060,$N$2:$Y$2)*$K1060*$L1060*$M1060</f>
        <v/>
      </c>
      <c r="AA1060" s="14">
        <f>SUM(N1060:Y1060)</f>
        <v/>
      </c>
      <c r="AB1060" s="14">
        <f>IFERROR(IF(UPPER($E1060)="L",SUMPRODUCT(N1060:Y1060,$N$3:$Y$3,$N$2:$Y$2),SUMPRODUCT(N1060:Y1060,$N$4:$Y$4,$N$2:$Y$2))/(Z1060/($K1060*$L1060*$M1060)),"")</f>
        <v/>
      </c>
      <c r="AC1060" s="18" t="n"/>
    </row>
    <row r="1061">
      <c r="A1061" s="9" t="n">
        <v>691621</v>
      </c>
      <c r="B1061" s="9" t="inlineStr">
        <is>
          <t>Jheremy Vargas</t>
        </is>
      </c>
      <c r="C1061" s="9" t="inlineStr">
        <is>
          <t>MIL</t>
        </is>
      </c>
      <c r="D1061" s="9" t="n">
        <v>25</v>
      </c>
      <c r="E1061" s="16" t="inlineStr">
        <is>
          <t>R</t>
        </is>
      </c>
      <c r="F1061" s="16" t="n"/>
      <c r="G1061" s="9" t="n">
        <v>5.641025641025642</v>
      </c>
      <c r="H1061" s="9" t="n">
        <v>5.641025641025642</v>
      </c>
      <c r="I1061" s="9" t="inlineStr">
        <is>
          <t>Depth (no MLB PA)</t>
        </is>
      </c>
      <c r="J1061" s="16" t="inlineStr">
        <is>
          <t>Opening Day</t>
        </is>
      </c>
      <c r="K1061" s="11">
        <f>IFERROR(INDEX(Roles!$B$17:$B$20,MATCH(J1061,Roles!$A$17:$A$20,0)),1)</f>
        <v/>
      </c>
      <c r="L1061" s="17" t="n">
        <v>1</v>
      </c>
      <c r="M1061" s="11" t="n">
        <v>1</v>
      </c>
      <c r="N1061" s="17" t="n"/>
      <c r="O1061" s="17" t="n"/>
      <c r="P1061" s="17" t="n"/>
      <c r="Q1061" s="17" t="n"/>
      <c r="R1061" s="17" t="n"/>
      <c r="S1061" s="17" t="n"/>
      <c r="T1061" s="17" t="n"/>
      <c r="U1061" s="17" t="n"/>
      <c r="V1061" s="17" t="n"/>
      <c r="W1061" s="17" t="n"/>
      <c r="X1061" s="17" t="n"/>
      <c r="Y1061" s="17" t="n">
        <v>1</v>
      </c>
      <c r="Z1061" s="13">
        <f>SUMPRODUCT(N1061:Y1061,$N$2:$Y$2)*$K1061*$L1061*$M1061</f>
        <v/>
      </c>
      <c r="AA1061" s="14">
        <f>SUM(N1061:Y1061)</f>
        <v/>
      </c>
      <c r="AB1061" s="14">
        <f>IFERROR(IF(UPPER($E1061)="L",SUMPRODUCT(N1061:Y1061,$N$3:$Y$3,$N$2:$Y$2),SUMPRODUCT(N1061:Y1061,$N$4:$Y$4,$N$2:$Y$2))/(Z1061/($K1061*$L1061*$M1061)),"")</f>
        <v/>
      </c>
      <c r="AC1061" s="18" t="n"/>
    </row>
    <row r="1062">
      <c r="A1062" s="9" t="n">
        <v>825479</v>
      </c>
      <c r="B1062" s="9" t="inlineStr">
        <is>
          <t>Luis De Leon</t>
        </is>
      </c>
      <c r="C1062" s="9" t="inlineStr">
        <is>
          <t>HOU</t>
        </is>
      </c>
      <c r="D1062" s="9" t="n">
        <v>25</v>
      </c>
      <c r="E1062" s="16" t="inlineStr">
        <is>
          <t>R</t>
        </is>
      </c>
      <c r="F1062" s="16" t="n"/>
      <c r="G1062" s="9" t="n">
        <v>5.784615384615384</v>
      </c>
      <c r="H1062" s="9" t="n">
        <v>5.784615384615384</v>
      </c>
      <c r="I1062" s="9" t="inlineStr">
        <is>
          <t>Depth (no MLB PA)</t>
        </is>
      </c>
      <c r="J1062" s="16" t="inlineStr">
        <is>
          <t>Opening Day</t>
        </is>
      </c>
      <c r="K1062" s="11">
        <f>IFERROR(INDEX(Roles!$B$17:$B$20,MATCH(J1062,Roles!$A$17:$A$20,0)),1)</f>
        <v/>
      </c>
      <c r="L1062" s="17" t="n">
        <v>1</v>
      </c>
      <c r="M1062" s="11" t="n">
        <v>1</v>
      </c>
      <c r="N1062" s="17" t="n"/>
      <c r="O1062" s="17" t="n"/>
      <c r="P1062" s="17" t="n"/>
      <c r="Q1062" s="17" t="n"/>
      <c r="R1062" s="17" t="n"/>
      <c r="S1062" s="17" t="n"/>
      <c r="T1062" s="17" t="n"/>
      <c r="U1062" s="17" t="n"/>
      <c r="V1062" s="17" t="n"/>
      <c r="W1062" s="17" t="n"/>
      <c r="X1062" s="17" t="n"/>
      <c r="Y1062" s="17" t="n">
        <v>1</v>
      </c>
      <c r="Z1062" s="13">
        <f>SUMPRODUCT(N1062:Y1062,$N$2:$Y$2)*$K1062*$L1062*$M1062</f>
        <v/>
      </c>
      <c r="AA1062" s="14">
        <f>SUM(N1062:Y1062)</f>
        <v/>
      </c>
      <c r="AB1062" s="14">
        <f>IFERROR(IF(UPPER($E1062)="L",SUMPRODUCT(N1062:Y1062,$N$3:$Y$3,$N$2:$Y$2),SUMPRODUCT(N1062:Y1062,$N$4:$Y$4,$N$2:$Y$2))/(Z1062/($K1062*$L1062*$M1062)),"")</f>
        <v/>
      </c>
      <c r="AC1062" s="18" t="n"/>
    </row>
    <row r="1063">
      <c r="A1063" s="9" t="n">
        <v>700668</v>
      </c>
      <c r="B1063" s="9" t="inlineStr">
        <is>
          <t>Cam Hassert</t>
        </is>
      </c>
      <c r="C1063" s="9" t="inlineStr">
        <is>
          <t>COL</t>
        </is>
      </c>
      <c r="D1063" s="9" t="n">
        <v>25</v>
      </c>
      <c r="E1063" s="16" t="inlineStr">
        <is>
          <t>L</t>
        </is>
      </c>
      <c r="F1063" s="16" t="n"/>
      <c r="G1063" s="9" t="n">
        <v>7.753846153846153</v>
      </c>
      <c r="H1063" s="9" t="n">
        <v>7.753846153846153</v>
      </c>
      <c r="I1063" s="9" t="inlineStr">
        <is>
          <t>Depth (no MLB PA)</t>
        </is>
      </c>
      <c r="J1063" s="16" t="inlineStr">
        <is>
          <t>Opening Day</t>
        </is>
      </c>
      <c r="K1063" s="11">
        <f>IFERROR(INDEX(Roles!$B$17:$B$20,MATCH(J1063,Roles!$A$17:$A$20,0)),1)</f>
        <v/>
      </c>
      <c r="L1063" s="17" t="n">
        <v>1</v>
      </c>
      <c r="M1063" s="11" t="n">
        <v>1</v>
      </c>
      <c r="N1063" s="17" t="n"/>
      <c r="O1063" s="17" t="n"/>
      <c r="P1063" s="17" t="n"/>
      <c r="Q1063" s="17" t="n"/>
      <c r="R1063" s="17" t="n"/>
      <c r="S1063" s="17" t="n"/>
      <c r="T1063" s="17" t="n"/>
      <c r="U1063" s="17" t="n"/>
      <c r="V1063" s="17" t="n"/>
      <c r="W1063" s="17" t="n"/>
      <c r="X1063" s="17" t="n"/>
      <c r="Y1063" s="17" t="n">
        <v>1</v>
      </c>
      <c r="Z1063" s="13">
        <f>SUMPRODUCT(N1063:Y1063,$N$2:$Y$2)*$K1063*$L1063*$M1063</f>
        <v/>
      </c>
      <c r="AA1063" s="14">
        <f>SUM(N1063:Y1063)</f>
        <v/>
      </c>
      <c r="AB1063" s="14">
        <f>IFERROR(IF(UPPER($E1063)="L",SUMPRODUCT(N1063:Y1063,$N$3:$Y$3,$N$2:$Y$2),SUMPRODUCT(N1063:Y1063,$N$4:$Y$4,$N$2:$Y$2))/(Z1063/($K1063*$L1063*$M1063)),"")</f>
        <v/>
      </c>
      <c r="AC1063" s="18" t="n"/>
    </row>
    <row r="1064">
      <c r="A1064" s="9" t="n">
        <v>806027</v>
      </c>
      <c r="B1064" s="9" t="inlineStr">
        <is>
          <t>Eric Becker</t>
        </is>
      </c>
      <c r="C1064" s="9" t="inlineStr">
        <is>
          <t>CIN</t>
        </is>
      </c>
      <c r="D1064" s="9" t="n">
        <v>22</v>
      </c>
      <c r="E1064" s="16" t="inlineStr">
        <is>
          <t>L</t>
        </is>
      </c>
      <c r="F1064" s="16" t="n"/>
      <c r="G1064" s="9" t="n">
        <v>18.25641025641026</v>
      </c>
      <c r="H1064" s="9" t="n">
        <v>18.25641025641026</v>
      </c>
      <c r="I1064" s="9" t="inlineStr">
        <is>
          <t>Depth (no MLB PA)</t>
        </is>
      </c>
      <c r="J1064" s="16" t="inlineStr">
        <is>
          <t>Opening Day</t>
        </is>
      </c>
      <c r="K1064" s="11">
        <f>IFERROR(INDEX(Roles!$B$17:$B$20,MATCH(J1064,Roles!$A$17:$A$20,0)),1)</f>
        <v/>
      </c>
      <c r="L1064" s="17" t="n">
        <v>1</v>
      </c>
      <c r="M1064" s="11" t="n">
        <v>1</v>
      </c>
      <c r="N1064" s="17" t="n"/>
      <c r="O1064" s="17" t="n"/>
      <c r="P1064" s="17" t="n"/>
      <c r="Q1064" s="17" t="n"/>
      <c r="R1064" s="17" t="n"/>
      <c r="S1064" s="17" t="n"/>
      <c r="T1064" s="17" t="n"/>
      <c r="U1064" s="17" t="n"/>
      <c r="V1064" s="17" t="n"/>
      <c r="W1064" s="17" t="n"/>
      <c r="X1064" s="17" t="n"/>
      <c r="Y1064" s="17" t="n">
        <v>1</v>
      </c>
      <c r="Z1064" s="13">
        <f>SUMPRODUCT(N1064:Y1064,$N$2:$Y$2)*$K1064*$L1064*$M1064</f>
        <v/>
      </c>
      <c r="AA1064" s="14">
        <f>SUM(N1064:Y1064)</f>
        <v/>
      </c>
      <c r="AB1064" s="14">
        <f>IFERROR(IF(UPPER($E1064)="L",SUMPRODUCT(N1064:Y1064,$N$3:$Y$3,$N$2:$Y$2),SUMPRODUCT(N1064:Y1064,$N$4:$Y$4,$N$2:$Y$2))/(Z1064/($K1064*$L1064*$M1064)),"")</f>
        <v/>
      </c>
      <c r="AC1064" s="18" t="n"/>
    </row>
    <row r="1065">
      <c r="A1065" s="9" t="n">
        <v>805365</v>
      </c>
      <c r="B1065" s="9" t="inlineStr">
        <is>
          <t>Isaiah Jackson</t>
        </is>
      </c>
      <c r="C1065" s="9" t="inlineStr">
        <is>
          <t>BOS</t>
        </is>
      </c>
      <c r="D1065" s="9" t="n">
        <v>25</v>
      </c>
      <c r="E1065" s="16" t="inlineStr">
        <is>
          <t>L</t>
        </is>
      </c>
      <c r="F1065" s="16" t="n"/>
      <c r="G1065" s="9" t="n">
        <v>5.743589743589744</v>
      </c>
      <c r="H1065" s="9" t="n">
        <v>5.743589743589744</v>
      </c>
      <c r="I1065" s="9" t="inlineStr">
        <is>
          <t>Depth (no MLB PA)</t>
        </is>
      </c>
      <c r="J1065" s="16" t="inlineStr">
        <is>
          <t>Opening Day</t>
        </is>
      </c>
      <c r="K1065" s="11">
        <f>IFERROR(INDEX(Roles!$B$17:$B$20,MATCH(J1065,Roles!$A$17:$A$20,0)),1)</f>
        <v/>
      </c>
      <c r="L1065" s="17" t="n">
        <v>1</v>
      </c>
      <c r="M1065" s="11" t="n">
        <v>1</v>
      </c>
      <c r="N1065" s="17" t="n"/>
      <c r="O1065" s="17" t="n"/>
      <c r="P1065" s="17" t="n"/>
      <c r="Q1065" s="17" t="n"/>
      <c r="R1065" s="17" t="n"/>
      <c r="S1065" s="17" t="n"/>
      <c r="T1065" s="17" t="n"/>
      <c r="U1065" s="17" t="n"/>
      <c r="V1065" s="17" t="n"/>
      <c r="W1065" s="17" t="n"/>
      <c r="X1065" s="17" t="n"/>
      <c r="Y1065" s="17" t="n">
        <v>1</v>
      </c>
      <c r="Z1065" s="13">
        <f>SUMPRODUCT(N1065:Y1065,$N$2:$Y$2)*$K1065*$L1065*$M1065</f>
        <v/>
      </c>
      <c r="AA1065" s="14">
        <f>SUM(N1065:Y1065)</f>
        <v/>
      </c>
      <c r="AB1065" s="14">
        <f>IFERROR(IF(UPPER($E1065)="L",SUMPRODUCT(N1065:Y1065,$N$3:$Y$3,$N$2:$Y$2),SUMPRODUCT(N1065:Y1065,$N$4:$Y$4,$N$2:$Y$2))/(Z1065/($K1065*$L1065*$M1065)),"")</f>
        <v/>
      </c>
      <c r="AC1065" s="18" t="n"/>
    </row>
    <row r="1066">
      <c r="A1066" s="9" t="n">
        <v>680713</v>
      </c>
      <c r="B1066" s="9" t="inlineStr">
        <is>
          <t>P.J. Hilson</t>
        </is>
      </c>
      <c r="C1066" s="9" t="inlineStr">
        <is>
          <t>PIT</t>
        </is>
      </c>
      <c r="D1066" s="9" t="n">
        <v>25</v>
      </c>
      <c r="E1066" s="16" t="inlineStr">
        <is>
          <t>R</t>
        </is>
      </c>
      <c r="F1066" s="16" t="n"/>
      <c r="G1066" s="9" t="n">
        <v>20.87179487179487</v>
      </c>
      <c r="H1066" s="9" t="n">
        <v>20.87179487179487</v>
      </c>
      <c r="I1066" s="9" t="inlineStr">
        <is>
          <t>Depth (no MLB PA)</t>
        </is>
      </c>
      <c r="J1066" s="16" t="inlineStr">
        <is>
          <t>Opening Day</t>
        </is>
      </c>
      <c r="K1066" s="11">
        <f>IFERROR(INDEX(Roles!$B$17:$B$20,MATCH(J1066,Roles!$A$17:$A$20,0)),1)</f>
        <v/>
      </c>
      <c r="L1066" s="17" t="n">
        <v>1</v>
      </c>
      <c r="M1066" s="11" t="n">
        <v>1</v>
      </c>
      <c r="N1066" s="17" t="n"/>
      <c r="O1066" s="17" t="n"/>
      <c r="P1066" s="17" t="n"/>
      <c r="Q1066" s="17" t="n"/>
      <c r="R1066" s="17" t="n"/>
      <c r="S1066" s="17" t="n"/>
      <c r="T1066" s="17" t="n"/>
      <c r="U1066" s="17" t="n"/>
      <c r="V1066" s="17" t="n"/>
      <c r="W1066" s="17" t="n"/>
      <c r="X1066" s="17" t="n"/>
      <c r="Y1066" s="17" t="n">
        <v>1</v>
      </c>
      <c r="Z1066" s="13">
        <f>SUMPRODUCT(N1066:Y1066,$N$2:$Y$2)*$K1066*$L1066*$M1066</f>
        <v/>
      </c>
      <c r="AA1066" s="14">
        <f>SUM(N1066:Y1066)</f>
        <v/>
      </c>
      <c r="AB1066" s="14">
        <f>IFERROR(IF(UPPER($E1066)="L",SUMPRODUCT(N1066:Y1066,$N$3:$Y$3,$N$2:$Y$2),SUMPRODUCT(N1066:Y1066,$N$4:$Y$4,$N$2:$Y$2))/(Z1066/($K1066*$L1066*$M1066)),"")</f>
        <v/>
      </c>
      <c r="AC1066" s="18" t="n"/>
    </row>
    <row r="1067">
      <c r="A1067" s="9" t="n">
        <v>687260</v>
      </c>
      <c r="B1067" s="9" t="inlineStr">
        <is>
          <t>Brian Kalmer</t>
        </is>
      </c>
      <c r="C1067" s="9" t="inlineStr">
        <is>
          <t>CHC</t>
        </is>
      </c>
      <c r="D1067" s="9" t="n">
        <v>25</v>
      </c>
      <c r="E1067" s="16" t="inlineStr">
        <is>
          <t>R</t>
        </is>
      </c>
      <c r="F1067" s="16" t="n"/>
      <c r="G1067" s="9" t="n">
        <v>5.743589743589745</v>
      </c>
      <c r="H1067" s="9" t="n">
        <v>5.743589743589745</v>
      </c>
      <c r="I1067" s="9" t="inlineStr">
        <is>
          <t>Depth (no MLB PA)</t>
        </is>
      </c>
      <c r="J1067" s="16" t="inlineStr">
        <is>
          <t>Opening Day</t>
        </is>
      </c>
      <c r="K1067" s="11">
        <f>IFERROR(INDEX(Roles!$B$17:$B$20,MATCH(J1067,Roles!$A$17:$A$20,0)),1)</f>
        <v/>
      </c>
      <c r="L1067" s="17" t="n">
        <v>1</v>
      </c>
      <c r="M1067" s="11" t="n">
        <v>1</v>
      </c>
      <c r="N1067" s="17" t="n"/>
      <c r="O1067" s="17" t="n"/>
      <c r="P1067" s="17" t="n"/>
      <c r="Q1067" s="17" t="n"/>
      <c r="R1067" s="17" t="n"/>
      <c r="S1067" s="17" t="n"/>
      <c r="T1067" s="17" t="n"/>
      <c r="U1067" s="17" t="n"/>
      <c r="V1067" s="17" t="n"/>
      <c r="W1067" s="17" t="n"/>
      <c r="X1067" s="17" t="n"/>
      <c r="Y1067" s="17" t="n">
        <v>1</v>
      </c>
      <c r="Z1067" s="13">
        <f>SUMPRODUCT(N1067:Y1067,$N$2:$Y$2)*$K1067*$L1067*$M1067</f>
        <v/>
      </c>
      <c r="AA1067" s="14">
        <f>SUM(N1067:Y1067)</f>
        <v/>
      </c>
      <c r="AB1067" s="14">
        <f>IFERROR(IF(UPPER($E1067)="L",SUMPRODUCT(N1067:Y1067,$N$3:$Y$3,$N$2:$Y$2),SUMPRODUCT(N1067:Y1067,$N$4:$Y$4,$N$2:$Y$2))/(Z1067/($K1067*$L1067*$M1067)),"")</f>
        <v/>
      </c>
      <c r="AC1067" s="18" t="n"/>
    </row>
    <row r="1068">
      <c r="A1068" s="9" t="n">
        <v>691021</v>
      </c>
      <c r="B1068" s="9" t="inlineStr">
        <is>
          <t>A.J. Vukovich</t>
        </is>
      </c>
      <c r="C1068" s="9" t="inlineStr">
        <is>
          <t>ARI</t>
        </is>
      </c>
      <c r="D1068" s="9" t="n">
        <v>25</v>
      </c>
      <c r="E1068" s="16" t="inlineStr">
        <is>
          <t>R</t>
        </is>
      </c>
      <c r="F1068" s="16" t="n"/>
      <c r="G1068" s="9" t="n">
        <v>143.2820512820513</v>
      </c>
      <c r="H1068" s="9" t="n">
        <v>143.2820512820513</v>
      </c>
      <c r="I1068" s="9" t="inlineStr">
        <is>
          <t>Depth (no MLB PA)</t>
        </is>
      </c>
      <c r="J1068" s="16" t="inlineStr">
        <is>
          <t>Opening Day</t>
        </is>
      </c>
      <c r="K1068" s="11">
        <f>IFERROR(INDEX(Roles!$B$17:$B$20,MATCH(J1068,Roles!$A$17:$A$20,0)),1)</f>
        <v/>
      </c>
      <c r="L1068" s="17" t="n">
        <v>1</v>
      </c>
      <c r="M1068" s="11" t="n">
        <v>1</v>
      </c>
      <c r="N1068" s="17" t="n"/>
      <c r="O1068" s="17" t="n"/>
      <c r="P1068" s="17" t="n"/>
      <c r="Q1068" s="17" t="n"/>
      <c r="R1068" s="17" t="n"/>
      <c r="S1068" s="17" t="n"/>
      <c r="T1068" s="17" t="n"/>
      <c r="U1068" s="17" t="n"/>
      <c r="V1068" s="17" t="n"/>
      <c r="W1068" s="17" t="n"/>
      <c r="X1068" s="17" t="n"/>
      <c r="Y1068" s="17" t="n">
        <v>1</v>
      </c>
      <c r="Z1068" s="13">
        <f>SUMPRODUCT(N1068:Y1068,$N$2:$Y$2)*$K1068*$L1068*$M1068</f>
        <v/>
      </c>
      <c r="AA1068" s="14">
        <f>SUM(N1068:Y1068)</f>
        <v/>
      </c>
      <c r="AB1068" s="14">
        <f>IFERROR(IF(UPPER($E1068)="L",SUMPRODUCT(N1068:Y1068,$N$3:$Y$3,$N$2:$Y$2),SUMPRODUCT(N1068:Y1068,$N$4:$Y$4,$N$2:$Y$2))/(Z1068/($K1068*$L1068*$M1068)),"")</f>
        <v/>
      </c>
      <c r="AC1068" s="18" t="n"/>
    </row>
    <row r="1069">
      <c r="A1069" s="9" t="n">
        <v>668663</v>
      </c>
      <c r="B1069" s="9" t="inlineStr">
        <is>
          <t>Tres Barrera</t>
        </is>
      </c>
      <c r="C1069" s="9" t="inlineStr">
        <is>
          <t>WSH</t>
        </is>
      </c>
      <c r="D1069" s="9" t="n">
        <v>32</v>
      </c>
      <c r="E1069" s="16" t="inlineStr">
        <is>
          <t>R</t>
        </is>
      </c>
      <c r="F1069" s="16" t="inlineStr">
        <is>
          <t>C</t>
        </is>
      </c>
      <c r="G1069" s="9" t="n">
        <v>2</v>
      </c>
      <c r="H1069" s="9" t="n">
        <v>55</v>
      </c>
      <c r="I1069" s="9" t="inlineStr">
        <is>
          <t>Depth (no MLB PA)</t>
        </is>
      </c>
      <c r="J1069" s="16" t="inlineStr">
        <is>
          <t>Opening Day</t>
        </is>
      </c>
      <c r="K1069" s="11">
        <f>IFERROR(INDEX(Roles!$B$17:$B$20,MATCH(J1069,Roles!$A$17:$A$20,0)),1)</f>
        <v/>
      </c>
      <c r="L1069" s="17" t="n">
        <v>1</v>
      </c>
      <c r="M1069" s="11" t="n">
        <v>1</v>
      </c>
      <c r="N1069" s="17" t="n"/>
      <c r="O1069" s="17" t="n"/>
      <c r="P1069" s="17" t="n"/>
      <c r="Q1069" s="17" t="n"/>
      <c r="R1069" s="17" t="n"/>
      <c r="S1069" s="17" t="n"/>
      <c r="T1069" s="17" t="n"/>
      <c r="U1069" s="17" t="n"/>
      <c r="V1069" s="17" t="n"/>
      <c r="W1069" s="17" t="n"/>
      <c r="X1069" s="17" t="n"/>
      <c r="Y1069" s="17" t="n">
        <v>1</v>
      </c>
      <c r="Z1069" s="13">
        <f>SUMPRODUCT(N1069:Y1069,$N$2:$Y$2)*$K1069*$L1069*$M1069</f>
        <v/>
      </c>
      <c r="AA1069" s="14">
        <f>SUM(N1069:Y1069)</f>
        <v/>
      </c>
      <c r="AB1069" s="14">
        <f>IFERROR(IF(UPPER($E1069)="L",SUMPRODUCT(N1069:Y1069,$N$3:$Y$3,$N$2:$Y$2),SUMPRODUCT(N1069:Y1069,$N$4:$Y$4,$N$2:$Y$2))/(Z1069/($K1069*$L1069*$M1069)),"")</f>
        <v/>
      </c>
      <c r="AC1069" s="18" t="n"/>
    </row>
    <row r="1070">
      <c r="A1070" s="9" t="n">
        <v>821770</v>
      </c>
      <c r="B1070" s="9" t="inlineStr">
        <is>
          <t>Andres Torres</t>
        </is>
      </c>
      <c r="C1070" s="9" t="inlineStr">
        <is>
          <t>TB</t>
        </is>
      </c>
      <c r="D1070" s="9" t="n">
        <v>25</v>
      </c>
      <c r="E1070" s="16" t="inlineStr">
        <is>
          <t>L</t>
        </is>
      </c>
      <c r="F1070" s="16" t="n"/>
      <c r="G1070" s="9" t="n">
        <v>5.784615384615384</v>
      </c>
      <c r="H1070" s="9" t="n">
        <v>5.784615384615384</v>
      </c>
      <c r="I1070" s="9" t="inlineStr">
        <is>
          <t>Depth (no MLB PA)</t>
        </is>
      </c>
      <c r="J1070" s="16" t="inlineStr">
        <is>
          <t>Opening Day</t>
        </is>
      </c>
      <c r="K1070" s="11">
        <f>IFERROR(INDEX(Roles!$B$17:$B$20,MATCH(J1070,Roles!$A$17:$A$20,0)),1)</f>
        <v/>
      </c>
      <c r="L1070" s="17" t="n">
        <v>1</v>
      </c>
      <c r="M1070" s="11" t="n">
        <v>1</v>
      </c>
      <c r="N1070" s="17" t="n"/>
      <c r="O1070" s="17" t="n"/>
      <c r="P1070" s="17" t="n"/>
      <c r="Q1070" s="17" t="n"/>
      <c r="R1070" s="17" t="n"/>
      <c r="S1070" s="17" t="n"/>
      <c r="T1070" s="17" t="n"/>
      <c r="U1070" s="17" t="n"/>
      <c r="V1070" s="17" t="n"/>
      <c r="W1070" s="17" t="n"/>
      <c r="X1070" s="17" t="n"/>
      <c r="Y1070" s="17" t="n">
        <v>1</v>
      </c>
      <c r="Z1070" s="13">
        <f>SUMPRODUCT(N1070:Y1070,$N$2:$Y$2)*$K1070*$L1070*$M1070</f>
        <v/>
      </c>
      <c r="AA1070" s="14">
        <f>SUM(N1070:Y1070)</f>
        <v/>
      </c>
      <c r="AB1070" s="14">
        <f>IFERROR(IF(UPPER($E1070)="L",SUMPRODUCT(N1070:Y1070,$N$3:$Y$3,$N$2:$Y$2),SUMPRODUCT(N1070:Y1070,$N$4:$Y$4,$N$2:$Y$2))/(Z1070/($K1070*$L1070*$M1070)),"")</f>
        <v/>
      </c>
      <c r="AC1070" s="18" t="n"/>
    </row>
    <row r="1071">
      <c r="A1071" s="9" t="n">
        <v>804569</v>
      </c>
      <c r="B1071" s="9" t="inlineStr">
        <is>
          <t>Tre Phelps</t>
        </is>
      </c>
      <c r="C1071" s="9" t="inlineStr">
        <is>
          <t>PIT</t>
        </is>
      </c>
      <c r="D1071" s="9" t="n">
        <v>25</v>
      </c>
      <c r="E1071" s="16" t="inlineStr">
        <is>
          <t>R</t>
        </is>
      </c>
      <c r="F1071" s="16" t="n"/>
      <c r="G1071" s="9" t="n">
        <v>8</v>
      </c>
      <c r="H1071" s="9" t="n">
        <v>8</v>
      </c>
      <c r="I1071" s="9" t="inlineStr">
        <is>
          <t>Depth (no MLB PA)</t>
        </is>
      </c>
      <c r="J1071" s="16" t="inlineStr">
        <is>
          <t>Opening Day</t>
        </is>
      </c>
      <c r="K1071" s="11">
        <f>IFERROR(INDEX(Roles!$B$17:$B$20,MATCH(J1071,Roles!$A$17:$A$20,0)),1)</f>
        <v/>
      </c>
      <c r="L1071" s="17" t="n">
        <v>1</v>
      </c>
      <c r="M1071" s="11" t="n">
        <v>1</v>
      </c>
      <c r="N1071" s="17" t="n"/>
      <c r="O1071" s="17" t="n"/>
      <c r="P1071" s="17" t="n"/>
      <c r="Q1071" s="17" t="n"/>
      <c r="R1071" s="17" t="n"/>
      <c r="S1071" s="17" t="n"/>
      <c r="T1071" s="17" t="n"/>
      <c r="U1071" s="17" t="n"/>
      <c r="V1071" s="17" t="n"/>
      <c r="W1071" s="17" t="n"/>
      <c r="X1071" s="17" t="n"/>
      <c r="Y1071" s="17" t="n">
        <v>1</v>
      </c>
      <c r="Z1071" s="13">
        <f>SUMPRODUCT(N1071:Y1071,$N$2:$Y$2)*$K1071*$L1071*$M1071</f>
        <v/>
      </c>
      <c r="AA1071" s="14">
        <f>SUM(N1071:Y1071)</f>
        <v/>
      </c>
      <c r="AB1071" s="14">
        <f>IFERROR(IF(UPPER($E1071)="L",SUMPRODUCT(N1071:Y1071,$N$3:$Y$3,$N$2:$Y$2),SUMPRODUCT(N1071:Y1071,$N$4:$Y$4,$N$2:$Y$2))/(Z1071/($K1071*$L1071*$M1071)),"")</f>
        <v/>
      </c>
      <c r="AC1071" s="18" t="n"/>
    </row>
    <row r="1072">
      <c r="A1072" s="9" t="n">
        <v>500871</v>
      </c>
      <c r="B1072" s="9" t="inlineStr">
        <is>
          <t>Eduardo Escobar</t>
        </is>
      </c>
      <c r="C1072" s="9" t="inlineStr">
        <is>
          <t>LAA</t>
        </is>
      </c>
      <c r="D1072" s="9" t="n">
        <v>38</v>
      </c>
      <c r="E1072" s="16" t="inlineStr">
        <is>
          <t>S</t>
        </is>
      </c>
      <c r="F1072" s="16" t="inlineStr">
        <is>
          <t>3B</t>
        </is>
      </c>
      <c r="G1072" s="9" t="n">
        <v>309</v>
      </c>
      <c r="H1072" s="9" t="n">
        <v>851</v>
      </c>
      <c r="I1072" s="9" t="inlineStr">
        <is>
          <t>Depth (no MLB PA)</t>
        </is>
      </c>
      <c r="J1072" s="16" t="inlineStr">
        <is>
          <t>Opening Day</t>
        </is>
      </c>
      <c r="K1072" s="11">
        <f>IFERROR(INDEX(Roles!$B$17:$B$20,MATCH(J1072,Roles!$A$17:$A$20,0)),1)</f>
        <v/>
      </c>
      <c r="L1072" s="17" t="n">
        <v>1</v>
      </c>
      <c r="M1072" s="11" t="n">
        <v>1</v>
      </c>
      <c r="N1072" s="17" t="n"/>
      <c r="O1072" s="17" t="n"/>
      <c r="P1072" s="17" t="n"/>
      <c r="Q1072" s="17" t="n"/>
      <c r="R1072" s="17" t="n"/>
      <c r="S1072" s="17" t="n"/>
      <c r="T1072" s="17" t="n"/>
      <c r="U1072" s="17" t="n"/>
      <c r="V1072" s="17" t="n"/>
      <c r="W1072" s="17" t="n"/>
      <c r="X1072" s="17" t="n"/>
      <c r="Y1072" s="17" t="n">
        <v>1</v>
      </c>
      <c r="Z1072" s="13">
        <f>SUMPRODUCT(N1072:Y1072,$N$2:$Y$2)*$K1072*$L1072*$M1072</f>
        <v/>
      </c>
      <c r="AA1072" s="14">
        <f>SUM(N1072:Y1072)</f>
        <v/>
      </c>
      <c r="AB1072" s="14">
        <f>IFERROR(IF(UPPER($E1072)="L",SUMPRODUCT(N1072:Y1072,$N$3:$Y$3,$N$2:$Y$2),SUMPRODUCT(N1072:Y1072,$N$4:$Y$4,$N$2:$Y$2))/(Z1072/($K1072*$L1072*$M1072)),"")</f>
        <v/>
      </c>
      <c r="AC1072" s="18" t="n"/>
    </row>
    <row r="1073">
      <c r="A1073" s="9" t="n">
        <v>814499</v>
      </c>
      <c r="B1073" s="9" t="inlineStr">
        <is>
          <t>Brady Cerkownyk</t>
        </is>
      </c>
      <c r="C1073" s="9" t="inlineStr">
        <is>
          <t>WSH</t>
        </is>
      </c>
      <c r="D1073" s="9" t="n">
        <v>25</v>
      </c>
      <c r="E1073" s="16" t="inlineStr">
        <is>
          <t>R</t>
        </is>
      </c>
      <c r="F1073" s="16" t="n"/>
      <c r="G1073" s="9" t="n">
        <v>5.743589743589745</v>
      </c>
      <c r="H1073" s="9" t="n">
        <v>5.743589743589745</v>
      </c>
      <c r="I1073" s="9" t="inlineStr">
        <is>
          <t>Depth (no MLB PA)</t>
        </is>
      </c>
      <c r="J1073" s="16" t="inlineStr">
        <is>
          <t>Opening Day</t>
        </is>
      </c>
      <c r="K1073" s="11">
        <f>IFERROR(INDEX(Roles!$B$17:$B$20,MATCH(J1073,Roles!$A$17:$A$20,0)),1)</f>
        <v/>
      </c>
      <c r="L1073" s="17" t="n">
        <v>1</v>
      </c>
      <c r="M1073" s="11" t="n">
        <v>1</v>
      </c>
      <c r="N1073" s="17" t="n"/>
      <c r="O1073" s="17" t="n"/>
      <c r="P1073" s="17" t="n"/>
      <c r="Q1073" s="17" t="n"/>
      <c r="R1073" s="17" t="n"/>
      <c r="S1073" s="17" t="n"/>
      <c r="T1073" s="17" t="n"/>
      <c r="U1073" s="17" t="n"/>
      <c r="V1073" s="17" t="n"/>
      <c r="W1073" s="17" t="n"/>
      <c r="X1073" s="17" t="n"/>
      <c r="Y1073" s="17" t="n">
        <v>1</v>
      </c>
      <c r="Z1073" s="13">
        <f>SUMPRODUCT(N1073:Y1073,$N$2:$Y$2)*$K1073*$L1073*$M1073</f>
        <v/>
      </c>
      <c r="AA1073" s="14">
        <f>SUM(N1073:Y1073)</f>
        <v/>
      </c>
      <c r="AB1073" s="14">
        <f>IFERROR(IF(UPPER($E1073)="L",SUMPRODUCT(N1073:Y1073,$N$3:$Y$3,$N$2:$Y$2),SUMPRODUCT(N1073:Y1073,$N$4:$Y$4,$N$2:$Y$2))/(Z1073/($K1073*$L1073*$M1073)),"")</f>
        <v/>
      </c>
      <c r="AC1073" s="18" t="n"/>
    </row>
    <row r="1074">
      <c r="A1074" s="9" t="n">
        <v>801427</v>
      </c>
      <c r="B1074" s="9" t="inlineStr">
        <is>
          <t>Alex Fernandes</t>
        </is>
      </c>
      <c r="C1074" s="9" t="inlineStr">
        <is>
          <t>OAK</t>
        </is>
      </c>
      <c r="D1074" s="9" t="n">
        <v>25</v>
      </c>
      <c r="E1074" s="16" t="inlineStr">
        <is>
          <t>L</t>
        </is>
      </c>
      <c r="F1074" s="16" t="n"/>
      <c r="G1074" s="9" t="n">
        <v>5.948717948717949</v>
      </c>
      <c r="H1074" s="9" t="n">
        <v>5.948717948717949</v>
      </c>
      <c r="I1074" s="9" t="inlineStr">
        <is>
          <t>Depth (no MLB PA)</t>
        </is>
      </c>
      <c r="J1074" s="16" t="inlineStr">
        <is>
          <t>Opening Day</t>
        </is>
      </c>
      <c r="K1074" s="11">
        <f>IFERROR(INDEX(Roles!$B$17:$B$20,MATCH(J1074,Roles!$A$17:$A$20,0)),1)</f>
        <v/>
      </c>
      <c r="L1074" s="17" t="n">
        <v>1</v>
      </c>
      <c r="M1074" s="11" t="n">
        <v>1</v>
      </c>
      <c r="N1074" s="17" t="n"/>
      <c r="O1074" s="17" t="n"/>
      <c r="P1074" s="17" t="n"/>
      <c r="Q1074" s="17" t="n"/>
      <c r="R1074" s="17" t="n"/>
      <c r="S1074" s="17" t="n"/>
      <c r="T1074" s="17" t="n"/>
      <c r="U1074" s="17" t="n"/>
      <c r="V1074" s="17" t="n"/>
      <c r="W1074" s="17" t="n"/>
      <c r="X1074" s="17" t="n"/>
      <c r="Y1074" s="17" t="n">
        <v>1</v>
      </c>
      <c r="Z1074" s="13">
        <f>SUMPRODUCT(N1074:Y1074,$N$2:$Y$2)*$K1074*$L1074*$M1074</f>
        <v/>
      </c>
      <c r="AA1074" s="14">
        <f>SUM(N1074:Y1074)</f>
        <v/>
      </c>
      <c r="AB1074" s="14">
        <f>IFERROR(IF(UPPER($E1074)="L",SUMPRODUCT(N1074:Y1074,$N$3:$Y$3,$N$2:$Y$2),SUMPRODUCT(N1074:Y1074,$N$4:$Y$4,$N$2:$Y$2))/(Z1074/($K1074*$L1074*$M1074)),"")</f>
        <v/>
      </c>
      <c r="AC1074" s="18" t="n"/>
    </row>
    <row r="1075">
      <c r="A1075" s="9" t="n">
        <v>804503</v>
      </c>
      <c r="B1075" s="9" t="inlineStr">
        <is>
          <t>Bradley Frye</t>
        </is>
      </c>
      <c r="C1075" s="9" t="inlineStr">
        <is>
          <t>SD</t>
        </is>
      </c>
      <c r="D1075" s="9" t="n">
        <v>25</v>
      </c>
      <c r="E1075" s="16" t="inlineStr">
        <is>
          <t>R</t>
        </is>
      </c>
      <c r="F1075" s="16" t="n"/>
      <c r="G1075" s="9" t="n">
        <v>14.15384615384616</v>
      </c>
      <c r="H1075" s="9" t="n">
        <v>14.15384615384616</v>
      </c>
      <c r="I1075" s="9" t="inlineStr">
        <is>
          <t>Depth (no MLB PA)</t>
        </is>
      </c>
      <c r="J1075" s="16" t="inlineStr">
        <is>
          <t>Opening Day</t>
        </is>
      </c>
      <c r="K1075" s="11">
        <f>IFERROR(INDEX(Roles!$B$17:$B$20,MATCH(J1075,Roles!$A$17:$A$20,0)),1)</f>
        <v/>
      </c>
      <c r="L1075" s="17" t="n">
        <v>1</v>
      </c>
      <c r="M1075" s="11" t="n">
        <v>1</v>
      </c>
      <c r="N1075" s="17" t="n"/>
      <c r="O1075" s="17" t="n"/>
      <c r="P1075" s="17" t="n"/>
      <c r="Q1075" s="17" t="n"/>
      <c r="R1075" s="17" t="n"/>
      <c r="S1075" s="17" t="n"/>
      <c r="T1075" s="17" t="n"/>
      <c r="U1075" s="17" t="n"/>
      <c r="V1075" s="17" t="n"/>
      <c r="W1075" s="17" t="n"/>
      <c r="X1075" s="17" t="n"/>
      <c r="Y1075" s="17" t="n">
        <v>1</v>
      </c>
      <c r="Z1075" s="13">
        <f>SUMPRODUCT(N1075:Y1075,$N$2:$Y$2)*$K1075*$L1075*$M1075</f>
        <v/>
      </c>
      <c r="AA1075" s="14">
        <f>SUM(N1075:Y1075)</f>
        <v/>
      </c>
      <c r="AB1075" s="14">
        <f>IFERROR(IF(UPPER($E1075)="L",SUMPRODUCT(N1075:Y1075,$N$3:$Y$3,$N$2:$Y$2),SUMPRODUCT(N1075:Y1075,$N$4:$Y$4,$N$2:$Y$2))/(Z1075/($K1075*$L1075*$M1075)),"")</f>
        <v/>
      </c>
      <c r="AC1075" s="18" t="n"/>
    </row>
    <row r="1076">
      <c r="A1076" s="9" t="n">
        <v>806264</v>
      </c>
      <c r="B1076" s="9" t="inlineStr">
        <is>
          <t>Macon Winslow</t>
        </is>
      </c>
      <c r="C1076" s="9" t="inlineStr">
        <is>
          <t>PHI</t>
        </is>
      </c>
      <c r="D1076" s="9" t="n">
        <v>25</v>
      </c>
      <c r="E1076" s="16" t="inlineStr">
        <is>
          <t>R</t>
        </is>
      </c>
      <c r="F1076" s="16" t="n"/>
      <c r="G1076" s="9" t="n">
        <v>10.21538461538462</v>
      </c>
      <c r="H1076" s="9" t="n">
        <v>10.21538461538462</v>
      </c>
      <c r="I1076" s="9" t="inlineStr">
        <is>
          <t>Depth (no MLB PA)</t>
        </is>
      </c>
      <c r="J1076" s="16" t="inlineStr">
        <is>
          <t>Opening Day</t>
        </is>
      </c>
      <c r="K1076" s="11">
        <f>IFERROR(INDEX(Roles!$B$17:$B$20,MATCH(J1076,Roles!$A$17:$A$20,0)),1)</f>
        <v/>
      </c>
      <c r="L1076" s="17" t="n">
        <v>1</v>
      </c>
      <c r="M1076" s="11" t="n">
        <v>1</v>
      </c>
      <c r="N1076" s="17" t="n"/>
      <c r="O1076" s="17" t="n"/>
      <c r="P1076" s="17" t="n"/>
      <c r="Q1076" s="17" t="n"/>
      <c r="R1076" s="17" t="n"/>
      <c r="S1076" s="17" t="n"/>
      <c r="T1076" s="17" t="n"/>
      <c r="U1076" s="17" t="n"/>
      <c r="V1076" s="17" t="n"/>
      <c r="W1076" s="17" t="n"/>
      <c r="X1076" s="17" t="n"/>
      <c r="Y1076" s="17" t="n">
        <v>1</v>
      </c>
      <c r="Z1076" s="13">
        <f>SUMPRODUCT(N1076:Y1076,$N$2:$Y$2)*$K1076*$L1076*$M1076</f>
        <v/>
      </c>
      <c r="AA1076" s="14">
        <f>SUM(N1076:Y1076)</f>
        <v/>
      </c>
      <c r="AB1076" s="14">
        <f>IFERROR(IF(UPPER($E1076)="L",SUMPRODUCT(N1076:Y1076,$N$3:$Y$3,$N$2:$Y$2),SUMPRODUCT(N1076:Y1076,$N$4:$Y$4,$N$2:$Y$2))/(Z1076/($K1076*$L1076*$M1076)),"")</f>
        <v/>
      </c>
      <c r="AC1076" s="18" t="n"/>
    </row>
    <row r="1077">
      <c r="A1077" s="9" t="n">
        <v>801957</v>
      </c>
      <c r="B1077" s="9" t="inlineStr">
        <is>
          <t>Dub Gleed</t>
        </is>
      </c>
      <c r="C1077" s="9" t="inlineStr">
        <is>
          <t>TOR</t>
        </is>
      </c>
      <c r="D1077" s="9" t="n">
        <v>25</v>
      </c>
      <c r="E1077" s="16" t="inlineStr">
        <is>
          <t>R</t>
        </is>
      </c>
      <c r="F1077" s="16" t="n"/>
      <c r="G1077" s="9" t="n">
        <v>101.2307692307692</v>
      </c>
      <c r="H1077" s="9" t="n">
        <v>101.2307692307692</v>
      </c>
      <c r="I1077" s="9" t="inlineStr">
        <is>
          <t>Depth (no MLB PA)</t>
        </is>
      </c>
      <c r="J1077" s="16" t="inlineStr">
        <is>
          <t>Opening Day</t>
        </is>
      </c>
      <c r="K1077" s="11">
        <f>IFERROR(INDEX(Roles!$B$17:$B$20,MATCH(J1077,Roles!$A$17:$A$20,0)),1)</f>
        <v/>
      </c>
      <c r="L1077" s="17" t="n">
        <v>1</v>
      </c>
      <c r="M1077" s="11" t="n">
        <v>1</v>
      </c>
      <c r="N1077" s="17" t="n"/>
      <c r="O1077" s="17" t="n"/>
      <c r="P1077" s="17" t="n"/>
      <c r="Q1077" s="17" t="n"/>
      <c r="R1077" s="17" t="n"/>
      <c r="S1077" s="17" t="n"/>
      <c r="T1077" s="17" t="n"/>
      <c r="U1077" s="17" t="n"/>
      <c r="V1077" s="17" t="n"/>
      <c r="W1077" s="17" t="n"/>
      <c r="X1077" s="17" t="n"/>
      <c r="Y1077" s="17" t="n">
        <v>1</v>
      </c>
      <c r="Z1077" s="13">
        <f>SUMPRODUCT(N1077:Y1077,$N$2:$Y$2)*$K1077*$L1077*$M1077</f>
        <v/>
      </c>
      <c r="AA1077" s="14">
        <f>SUM(N1077:Y1077)</f>
        <v/>
      </c>
      <c r="AB1077" s="14">
        <f>IFERROR(IF(UPPER($E1077)="L",SUMPRODUCT(N1077:Y1077,$N$3:$Y$3,$N$2:$Y$2),SUMPRODUCT(N1077:Y1077,$N$4:$Y$4,$N$2:$Y$2))/(Z1077/($K1077*$L1077*$M1077)),"")</f>
        <v/>
      </c>
      <c r="AC1077" s="18" t="n"/>
    </row>
    <row r="1078">
      <c r="A1078" s="9" t="n">
        <v>665846</v>
      </c>
      <c r="B1078" s="9" t="inlineStr">
        <is>
          <t>Jesús Bastidas</t>
        </is>
      </c>
      <c r="C1078" s="9" t="inlineStr">
        <is>
          <t>MIA</t>
        </is>
      </c>
      <c r="D1078" s="9" t="n">
        <v>25</v>
      </c>
      <c r="E1078" s="16" t="inlineStr">
        <is>
          <t>R</t>
        </is>
      </c>
      <c r="F1078" s="16" t="n"/>
      <c r="G1078" s="9" t="n">
        <v>82.35897435897436</v>
      </c>
      <c r="H1078" s="9" t="n">
        <v>82.35897435897436</v>
      </c>
      <c r="I1078" s="9" t="inlineStr">
        <is>
          <t>Depth (no MLB PA)</t>
        </is>
      </c>
      <c r="J1078" s="16" t="inlineStr">
        <is>
          <t>Opening Day</t>
        </is>
      </c>
      <c r="K1078" s="11">
        <f>IFERROR(INDEX(Roles!$B$17:$B$20,MATCH(J1078,Roles!$A$17:$A$20,0)),1)</f>
        <v/>
      </c>
      <c r="L1078" s="17" t="n">
        <v>1</v>
      </c>
      <c r="M1078" s="11" t="n">
        <v>1</v>
      </c>
      <c r="N1078" s="17" t="n"/>
      <c r="O1078" s="17" t="n"/>
      <c r="P1078" s="17" t="n"/>
      <c r="Q1078" s="17" t="n"/>
      <c r="R1078" s="17" t="n"/>
      <c r="S1078" s="17" t="n"/>
      <c r="T1078" s="17" t="n"/>
      <c r="U1078" s="17" t="n"/>
      <c r="V1078" s="17" t="n"/>
      <c r="W1078" s="17" t="n"/>
      <c r="X1078" s="17" t="n"/>
      <c r="Y1078" s="17" t="n">
        <v>1</v>
      </c>
      <c r="Z1078" s="13">
        <f>SUMPRODUCT(N1078:Y1078,$N$2:$Y$2)*$K1078*$L1078*$M1078</f>
        <v/>
      </c>
      <c r="AA1078" s="14">
        <f>SUM(N1078:Y1078)</f>
        <v/>
      </c>
      <c r="AB1078" s="14">
        <f>IFERROR(IF(UPPER($E1078)="L",SUMPRODUCT(N1078:Y1078,$N$3:$Y$3,$N$2:$Y$2),SUMPRODUCT(N1078:Y1078,$N$4:$Y$4,$N$2:$Y$2))/(Z1078/($K1078*$L1078*$M1078)),"")</f>
        <v/>
      </c>
      <c r="AC1078" s="18" t="n"/>
    </row>
    <row r="1079">
      <c r="A1079" s="9" t="n">
        <v>813930</v>
      </c>
      <c r="B1079" s="9" t="inlineStr">
        <is>
          <t>Ivan Luciano</t>
        </is>
      </c>
      <c r="C1079" s="9" t="inlineStr">
        <is>
          <t>ARI</t>
        </is>
      </c>
      <c r="D1079" s="9" t="n">
        <v>25</v>
      </c>
      <c r="E1079" s="16" t="inlineStr">
        <is>
          <t>L</t>
        </is>
      </c>
      <c r="F1079" s="16" t="n"/>
      <c r="G1079" s="9" t="n">
        <v>10.05128205128205</v>
      </c>
      <c r="H1079" s="9" t="n">
        <v>10.05128205128205</v>
      </c>
      <c r="I1079" s="9" t="inlineStr">
        <is>
          <t>Depth (no MLB PA)</t>
        </is>
      </c>
      <c r="J1079" s="16" t="inlineStr">
        <is>
          <t>Opening Day</t>
        </is>
      </c>
      <c r="K1079" s="11">
        <f>IFERROR(INDEX(Roles!$B$17:$B$20,MATCH(J1079,Roles!$A$17:$A$20,0)),1)</f>
        <v/>
      </c>
      <c r="L1079" s="17" t="n">
        <v>1</v>
      </c>
      <c r="M1079" s="11" t="n">
        <v>1</v>
      </c>
      <c r="N1079" s="17" t="n"/>
      <c r="O1079" s="17" t="n"/>
      <c r="P1079" s="17" t="n"/>
      <c r="Q1079" s="17" t="n"/>
      <c r="R1079" s="17" t="n"/>
      <c r="S1079" s="17" t="n"/>
      <c r="T1079" s="17" t="n"/>
      <c r="U1079" s="17" t="n"/>
      <c r="V1079" s="17" t="n"/>
      <c r="W1079" s="17" t="n"/>
      <c r="X1079" s="17" t="n"/>
      <c r="Y1079" s="17" t="n">
        <v>1</v>
      </c>
      <c r="Z1079" s="13">
        <f>SUMPRODUCT(N1079:Y1079,$N$2:$Y$2)*$K1079*$L1079*$M1079</f>
        <v/>
      </c>
      <c r="AA1079" s="14">
        <f>SUM(N1079:Y1079)</f>
        <v/>
      </c>
      <c r="AB1079" s="14">
        <f>IFERROR(IF(UPPER($E1079)="L",SUMPRODUCT(N1079:Y1079,$N$3:$Y$3,$N$2:$Y$2),SUMPRODUCT(N1079:Y1079,$N$4:$Y$4,$N$2:$Y$2))/(Z1079/($K1079*$L1079*$M1079)),"")</f>
        <v/>
      </c>
      <c r="AC1079" s="18" t="n"/>
    </row>
    <row r="1080">
      <c r="A1080" s="9" t="n">
        <v>801881</v>
      </c>
      <c r="B1080" s="9" t="inlineStr">
        <is>
          <t>Jacob Jenkins-Cowart</t>
        </is>
      </c>
      <c r="C1080" s="9" t="inlineStr">
        <is>
          <t>MIA</t>
        </is>
      </c>
      <c r="D1080" s="9" t="n">
        <v>25</v>
      </c>
      <c r="E1080" s="16" t="inlineStr">
        <is>
          <t>L</t>
        </is>
      </c>
      <c r="F1080" s="16" t="n"/>
      <c r="G1080" s="9" t="n">
        <v>42.87179487179488</v>
      </c>
      <c r="H1080" s="9" t="n">
        <v>42.87179487179488</v>
      </c>
      <c r="I1080" s="9" t="inlineStr">
        <is>
          <t>Depth (no MLB PA)</t>
        </is>
      </c>
      <c r="J1080" s="16" t="inlineStr">
        <is>
          <t>Opening Day</t>
        </is>
      </c>
      <c r="K1080" s="11">
        <f>IFERROR(INDEX(Roles!$B$17:$B$20,MATCH(J1080,Roles!$A$17:$A$20,0)),1)</f>
        <v/>
      </c>
      <c r="L1080" s="17" t="n">
        <v>1</v>
      </c>
      <c r="M1080" s="11" t="n">
        <v>1</v>
      </c>
      <c r="N1080" s="17" t="n"/>
      <c r="O1080" s="17" t="n"/>
      <c r="P1080" s="17" t="n"/>
      <c r="Q1080" s="17" t="n"/>
      <c r="R1080" s="17" t="n"/>
      <c r="S1080" s="17" t="n"/>
      <c r="T1080" s="17" t="n"/>
      <c r="U1080" s="17" t="n"/>
      <c r="V1080" s="17" t="n"/>
      <c r="W1080" s="17" t="n"/>
      <c r="X1080" s="17" t="n"/>
      <c r="Y1080" s="17" t="n">
        <v>1</v>
      </c>
      <c r="Z1080" s="13">
        <f>SUMPRODUCT(N1080:Y1080,$N$2:$Y$2)*$K1080*$L1080*$M1080</f>
        <v/>
      </c>
      <c r="AA1080" s="14">
        <f>SUM(N1080:Y1080)</f>
        <v/>
      </c>
      <c r="AB1080" s="14">
        <f>IFERROR(IF(UPPER($E1080)="L",SUMPRODUCT(N1080:Y1080,$N$3:$Y$3,$N$2:$Y$2),SUMPRODUCT(N1080:Y1080,$N$4:$Y$4,$N$2:$Y$2))/(Z1080/($K1080*$L1080*$M1080)),"")</f>
        <v/>
      </c>
      <c r="AC1080" s="18" t="n"/>
    </row>
    <row r="1081">
      <c r="A1081" s="9" t="n">
        <v>805102</v>
      </c>
      <c r="B1081" s="9" t="inlineStr">
        <is>
          <t>Byron Chourio</t>
        </is>
      </c>
      <c r="C1081" s="9" t="inlineStr">
        <is>
          <t>MIN</t>
        </is>
      </c>
      <c r="D1081" s="9" t="n">
        <v>25</v>
      </c>
      <c r="E1081" s="16" t="inlineStr">
        <is>
          <t>S</t>
        </is>
      </c>
      <c r="F1081" s="16" t="n"/>
      <c r="G1081" s="9" t="n">
        <v>18.46153846153846</v>
      </c>
      <c r="H1081" s="9" t="n">
        <v>18.46153846153846</v>
      </c>
      <c r="I1081" s="9" t="inlineStr">
        <is>
          <t>Depth (no MLB PA)</t>
        </is>
      </c>
      <c r="J1081" s="16" t="inlineStr">
        <is>
          <t>Opening Day</t>
        </is>
      </c>
      <c r="K1081" s="11">
        <f>IFERROR(INDEX(Roles!$B$17:$B$20,MATCH(J1081,Roles!$A$17:$A$20,0)),1)</f>
        <v/>
      </c>
      <c r="L1081" s="17" t="n">
        <v>1</v>
      </c>
      <c r="M1081" s="11" t="n">
        <v>1</v>
      </c>
      <c r="N1081" s="17" t="n"/>
      <c r="O1081" s="17" t="n"/>
      <c r="P1081" s="17" t="n"/>
      <c r="Q1081" s="17" t="n"/>
      <c r="R1081" s="17" t="n"/>
      <c r="S1081" s="17" t="n"/>
      <c r="T1081" s="17" t="n"/>
      <c r="U1081" s="17" t="n"/>
      <c r="V1081" s="17" t="n"/>
      <c r="W1081" s="17" t="n"/>
      <c r="X1081" s="17" t="n"/>
      <c r="Y1081" s="17" t="n">
        <v>1</v>
      </c>
      <c r="Z1081" s="13">
        <f>SUMPRODUCT(N1081:Y1081,$N$2:$Y$2)*$K1081*$L1081*$M1081</f>
        <v/>
      </c>
      <c r="AA1081" s="14">
        <f>SUM(N1081:Y1081)</f>
        <v/>
      </c>
      <c r="AB1081" s="14">
        <f>IFERROR(IF(UPPER($E1081)="L",SUMPRODUCT(N1081:Y1081,$N$3:$Y$3,$N$2:$Y$2),SUMPRODUCT(N1081:Y1081,$N$4:$Y$4,$N$2:$Y$2))/(Z1081/($K1081*$L1081*$M1081)),"")</f>
        <v/>
      </c>
      <c r="AC1081" s="18" t="n"/>
    </row>
    <row r="1082">
      <c r="A1082" s="9" t="n">
        <v>827522</v>
      </c>
      <c r="B1082" s="9" t="inlineStr">
        <is>
          <t>Colby Turner</t>
        </is>
      </c>
      <c r="C1082" s="9" t="inlineStr">
        <is>
          <t>MIN</t>
        </is>
      </c>
      <c r="D1082" s="9" t="n">
        <v>25</v>
      </c>
      <c r="E1082" s="16" t="inlineStr">
        <is>
          <t>R</t>
        </is>
      </c>
      <c r="F1082" s="16" t="n"/>
      <c r="G1082" s="9" t="n">
        <v>12.55384615384615</v>
      </c>
      <c r="H1082" s="9" t="n">
        <v>12.55384615384615</v>
      </c>
      <c r="I1082" s="9" t="inlineStr">
        <is>
          <t>Depth (no MLB PA)</t>
        </is>
      </c>
      <c r="J1082" s="16" t="inlineStr">
        <is>
          <t>Opening Day</t>
        </is>
      </c>
      <c r="K1082" s="11">
        <f>IFERROR(INDEX(Roles!$B$17:$B$20,MATCH(J1082,Roles!$A$17:$A$20,0)),1)</f>
        <v/>
      </c>
      <c r="L1082" s="17" t="n">
        <v>1</v>
      </c>
      <c r="M1082" s="11" t="n">
        <v>1</v>
      </c>
      <c r="N1082" s="17" t="n"/>
      <c r="O1082" s="17" t="n"/>
      <c r="P1082" s="17" t="n"/>
      <c r="Q1082" s="17" t="n"/>
      <c r="R1082" s="17" t="n"/>
      <c r="S1082" s="17" t="n"/>
      <c r="T1082" s="17" t="n"/>
      <c r="U1082" s="17" t="n"/>
      <c r="V1082" s="17" t="n"/>
      <c r="W1082" s="17" t="n"/>
      <c r="X1082" s="17" t="n"/>
      <c r="Y1082" s="17" t="n">
        <v>1</v>
      </c>
      <c r="Z1082" s="13">
        <f>SUMPRODUCT(N1082:Y1082,$N$2:$Y$2)*$K1082*$L1082*$M1082</f>
        <v/>
      </c>
      <c r="AA1082" s="14">
        <f>SUM(N1082:Y1082)</f>
        <v/>
      </c>
      <c r="AB1082" s="14">
        <f>IFERROR(IF(UPPER($E1082)="L",SUMPRODUCT(N1082:Y1082,$N$3:$Y$3,$N$2:$Y$2),SUMPRODUCT(N1082:Y1082,$N$4:$Y$4,$N$2:$Y$2))/(Z1082/($K1082*$L1082*$M1082)),"")</f>
        <v/>
      </c>
      <c r="AC1082" s="18" t="n"/>
    </row>
    <row r="1083">
      <c r="A1083" s="9" t="n">
        <v>821763</v>
      </c>
      <c r="B1083" s="9" t="inlineStr">
        <is>
          <t>Hector Campusano</t>
        </is>
      </c>
      <c r="C1083" s="9" t="inlineStr">
        <is>
          <t>BAL</t>
        </is>
      </c>
      <c r="D1083" s="9" t="n">
        <v>25</v>
      </c>
      <c r="E1083" s="16" t="inlineStr">
        <is>
          <t>S</t>
        </is>
      </c>
      <c r="F1083" s="16" t="n"/>
      <c r="G1083" s="9" t="n">
        <v>5.907692307692308</v>
      </c>
      <c r="H1083" s="9" t="n">
        <v>5.907692307692308</v>
      </c>
      <c r="I1083" s="9" t="inlineStr">
        <is>
          <t>Depth (no MLB PA)</t>
        </is>
      </c>
      <c r="J1083" s="16" t="inlineStr">
        <is>
          <t>Opening Day</t>
        </is>
      </c>
      <c r="K1083" s="11">
        <f>IFERROR(INDEX(Roles!$B$17:$B$20,MATCH(J1083,Roles!$A$17:$A$20,0)),1)</f>
        <v/>
      </c>
      <c r="L1083" s="17" t="n">
        <v>1</v>
      </c>
      <c r="M1083" s="11" t="n">
        <v>1</v>
      </c>
      <c r="N1083" s="17" t="n"/>
      <c r="O1083" s="17" t="n"/>
      <c r="P1083" s="17" t="n"/>
      <c r="Q1083" s="17" t="n"/>
      <c r="R1083" s="17" t="n"/>
      <c r="S1083" s="17" t="n"/>
      <c r="T1083" s="17" t="n"/>
      <c r="U1083" s="17" t="n"/>
      <c r="V1083" s="17" t="n"/>
      <c r="W1083" s="17" t="n"/>
      <c r="X1083" s="17" t="n"/>
      <c r="Y1083" s="17" t="n">
        <v>1</v>
      </c>
      <c r="Z1083" s="13">
        <f>SUMPRODUCT(N1083:Y1083,$N$2:$Y$2)*$K1083*$L1083*$M1083</f>
        <v/>
      </c>
      <c r="AA1083" s="14">
        <f>SUM(N1083:Y1083)</f>
        <v/>
      </c>
      <c r="AB1083" s="14">
        <f>IFERROR(IF(UPPER($E1083)="L",SUMPRODUCT(N1083:Y1083,$N$3:$Y$3,$N$2:$Y$2),SUMPRODUCT(N1083:Y1083,$N$4:$Y$4,$N$2:$Y$2))/(Z1083/($K1083*$L1083*$M1083)),"")</f>
        <v/>
      </c>
      <c r="AC1083" s="18" t="n"/>
    </row>
    <row r="1084">
      <c r="A1084" s="9" t="n">
        <v>800548</v>
      </c>
      <c r="B1084" s="9" t="inlineStr">
        <is>
          <t>Josi Novas</t>
        </is>
      </c>
      <c r="C1084" s="9" t="inlineStr">
        <is>
          <t>KC</t>
        </is>
      </c>
      <c r="D1084" s="9" t="n">
        <v>25</v>
      </c>
      <c r="E1084" s="16" t="inlineStr">
        <is>
          <t>R</t>
        </is>
      </c>
      <c r="F1084" s="16" t="n"/>
      <c r="G1084" s="9" t="n">
        <v>8</v>
      </c>
      <c r="H1084" s="9" t="n">
        <v>8</v>
      </c>
      <c r="I1084" s="9" t="inlineStr">
        <is>
          <t>Depth (no MLB PA)</t>
        </is>
      </c>
      <c r="J1084" s="16" t="inlineStr">
        <is>
          <t>Opening Day</t>
        </is>
      </c>
      <c r="K1084" s="11">
        <f>IFERROR(INDEX(Roles!$B$17:$B$20,MATCH(J1084,Roles!$A$17:$A$20,0)),1)</f>
        <v/>
      </c>
      <c r="L1084" s="17" t="n">
        <v>1</v>
      </c>
      <c r="M1084" s="11" t="n">
        <v>1</v>
      </c>
      <c r="N1084" s="17" t="n"/>
      <c r="O1084" s="17" t="n"/>
      <c r="P1084" s="17" t="n"/>
      <c r="Q1084" s="17" t="n"/>
      <c r="R1084" s="17" t="n"/>
      <c r="S1084" s="17" t="n"/>
      <c r="T1084" s="17" t="n"/>
      <c r="U1084" s="17" t="n"/>
      <c r="V1084" s="17" t="n"/>
      <c r="W1084" s="17" t="n"/>
      <c r="X1084" s="17" t="n"/>
      <c r="Y1084" s="17" t="n">
        <v>1</v>
      </c>
      <c r="Z1084" s="13">
        <f>SUMPRODUCT(N1084:Y1084,$N$2:$Y$2)*$K1084*$L1084*$M1084</f>
        <v/>
      </c>
      <c r="AA1084" s="14">
        <f>SUM(N1084:Y1084)</f>
        <v/>
      </c>
      <c r="AB1084" s="14">
        <f>IFERROR(IF(UPPER($E1084)="L",SUMPRODUCT(N1084:Y1084,$N$3:$Y$3,$N$2:$Y$2),SUMPRODUCT(N1084:Y1084,$N$4:$Y$4,$N$2:$Y$2))/(Z1084/($K1084*$L1084*$M1084)),"")</f>
        <v/>
      </c>
      <c r="AC1084" s="18" t="n"/>
    </row>
    <row r="1085">
      <c r="A1085" s="9" t="n">
        <v>661388</v>
      </c>
      <c r="B1085" s="9" t="inlineStr">
        <is>
          <t>William Contreras</t>
        </is>
      </c>
      <c r="C1085" s="9" t="inlineStr">
        <is>
          <t>MIL</t>
        </is>
      </c>
      <c r="D1085" s="9" t="n">
        <v>29</v>
      </c>
      <c r="E1085" s="16" t="inlineStr">
        <is>
          <t>R</t>
        </is>
      </c>
      <c r="F1085" s="16" t="inlineStr">
        <is>
          <t>C</t>
        </is>
      </c>
      <c r="G1085" s="9" t="n">
        <v>640</v>
      </c>
      <c r="H1085" s="9" t="n">
        <v>2965</v>
      </c>
      <c r="I1085" s="9" t="inlineStr">
        <is>
          <t>Catcher - Primary</t>
        </is>
      </c>
      <c r="J1085" s="16" t="inlineStr">
        <is>
          <t>Opening Day</t>
        </is>
      </c>
      <c r="K1085" s="11">
        <f>IFERROR(INDEX(Roles!$B$17:$B$20,MATCH(J1085,Roles!$A$17:$A$20,0)),1)</f>
        <v/>
      </c>
      <c r="L1085" s="17" t="n">
        <v>1</v>
      </c>
      <c r="M1085" s="11" t="n">
        <v>1.15</v>
      </c>
      <c r="N1085" s="17" t="n"/>
      <c r="O1085" s="17" t="n"/>
      <c r="P1085" s="17" t="n"/>
      <c r="Q1085" s="17" t="n"/>
      <c r="R1085" s="17" t="n">
        <v>1</v>
      </c>
      <c r="S1085" s="17" t="n"/>
      <c r="T1085" s="17" t="n"/>
      <c r="U1085" s="17" t="n"/>
      <c r="V1085" s="17" t="n"/>
      <c r="W1085" s="17" t="n"/>
      <c r="X1085" s="17" t="n"/>
      <c r="Y1085" s="17" t="n"/>
      <c r="Z1085" s="13">
        <f>SUMPRODUCT(N1085:Y1085,$N$2:$Y$2)*$K1085*$L1085*$M1085</f>
        <v/>
      </c>
      <c r="AA1085" s="14">
        <f>SUM(N1085:Y1085)</f>
        <v/>
      </c>
      <c r="AB1085" s="14">
        <f>IFERROR(IF(UPPER($E1085)="L",SUMPRODUCT(N1085:Y1085,$N$3:$Y$3,$N$2:$Y$2),SUMPRODUCT(N1085:Y1085,$N$4:$Y$4,$N$2:$Y$2))/(Z1085/($K1085*$L1085*$M1085)),"")</f>
        <v/>
      </c>
      <c r="AC1085" s="18" t="n"/>
    </row>
    <row r="1086">
      <c r="A1086" s="9" t="n">
        <v>815584</v>
      </c>
      <c r="B1086" s="9" t="inlineStr">
        <is>
          <t>Alcides Hernandez</t>
        </is>
      </c>
      <c r="C1086" s="9" t="inlineStr">
        <is>
          <t>SD</t>
        </is>
      </c>
      <c r="D1086" s="9" t="n">
        <v>25</v>
      </c>
      <c r="E1086" s="16" t="inlineStr">
        <is>
          <t>L</t>
        </is>
      </c>
      <c r="F1086" s="16" t="n"/>
      <c r="G1086" s="9" t="n">
        <v>6.030769230769231</v>
      </c>
      <c r="H1086" s="9" t="n">
        <v>6.030769230769231</v>
      </c>
      <c r="I1086" s="9" t="inlineStr">
        <is>
          <t>Depth (no MLB PA)</t>
        </is>
      </c>
      <c r="J1086" s="16" t="inlineStr">
        <is>
          <t>Opening Day</t>
        </is>
      </c>
      <c r="K1086" s="11">
        <f>IFERROR(INDEX(Roles!$B$17:$B$20,MATCH(J1086,Roles!$A$17:$A$20,0)),1)</f>
        <v/>
      </c>
      <c r="L1086" s="17" t="n">
        <v>1</v>
      </c>
      <c r="M1086" s="11" t="n">
        <v>1</v>
      </c>
      <c r="N1086" s="17" t="n"/>
      <c r="O1086" s="17" t="n"/>
      <c r="P1086" s="17" t="n"/>
      <c r="Q1086" s="17" t="n"/>
      <c r="R1086" s="17" t="n"/>
      <c r="S1086" s="17" t="n"/>
      <c r="T1086" s="17" t="n"/>
      <c r="U1086" s="17" t="n"/>
      <c r="V1086" s="17" t="n"/>
      <c r="W1086" s="17" t="n"/>
      <c r="X1086" s="17" t="n"/>
      <c r="Y1086" s="17" t="n">
        <v>1</v>
      </c>
      <c r="Z1086" s="13">
        <f>SUMPRODUCT(N1086:Y1086,$N$2:$Y$2)*$K1086*$L1086*$M1086</f>
        <v/>
      </c>
      <c r="AA1086" s="14">
        <f>SUM(N1086:Y1086)</f>
        <v/>
      </c>
      <c r="AB1086" s="14">
        <f>IFERROR(IF(UPPER($E1086)="L",SUMPRODUCT(N1086:Y1086,$N$3:$Y$3,$N$2:$Y$2),SUMPRODUCT(N1086:Y1086,$N$4:$Y$4,$N$2:$Y$2))/(Z1086/($K1086*$L1086*$M1086)),"")</f>
        <v/>
      </c>
      <c r="AC1086" s="18" t="n"/>
    </row>
    <row r="1087">
      <c r="A1087" s="9" t="n">
        <v>824569</v>
      </c>
      <c r="B1087" s="9" t="inlineStr">
        <is>
          <t>Chris McHugh</t>
        </is>
      </c>
      <c r="C1087" s="9" t="inlineStr">
        <is>
          <t>SD</t>
        </is>
      </c>
      <c r="D1087" s="9" t="n">
        <v>25</v>
      </c>
      <c r="E1087" s="16" t="inlineStr">
        <is>
          <t>R</t>
        </is>
      </c>
      <c r="F1087" s="16" t="n"/>
      <c r="G1087" s="9" t="n">
        <v>8.246153846153845</v>
      </c>
      <c r="H1087" s="9" t="n">
        <v>8.246153846153845</v>
      </c>
      <c r="I1087" s="9" t="inlineStr">
        <is>
          <t>Depth (no MLB PA)</t>
        </is>
      </c>
      <c r="J1087" s="16" t="inlineStr">
        <is>
          <t>Opening Day</t>
        </is>
      </c>
      <c r="K1087" s="11">
        <f>IFERROR(INDEX(Roles!$B$17:$B$20,MATCH(J1087,Roles!$A$17:$A$20,0)),1)</f>
        <v/>
      </c>
      <c r="L1087" s="17" t="n">
        <v>1</v>
      </c>
      <c r="M1087" s="11" t="n">
        <v>1</v>
      </c>
      <c r="N1087" s="17" t="n"/>
      <c r="O1087" s="17" t="n"/>
      <c r="P1087" s="17" t="n"/>
      <c r="Q1087" s="17" t="n"/>
      <c r="R1087" s="17" t="n"/>
      <c r="S1087" s="17" t="n"/>
      <c r="T1087" s="17" t="n"/>
      <c r="U1087" s="17" t="n"/>
      <c r="V1087" s="17" t="n"/>
      <c r="W1087" s="17" t="n"/>
      <c r="X1087" s="17" t="n"/>
      <c r="Y1087" s="17" t="n">
        <v>1</v>
      </c>
      <c r="Z1087" s="13">
        <f>SUMPRODUCT(N1087:Y1087,$N$2:$Y$2)*$K1087*$L1087*$M1087</f>
        <v/>
      </c>
      <c r="AA1087" s="14">
        <f>SUM(N1087:Y1087)</f>
        <v/>
      </c>
      <c r="AB1087" s="14">
        <f>IFERROR(IF(UPPER($E1087)="L",SUMPRODUCT(N1087:Y1087,$N$3:$Y$3,$N$2:$Y$2),SUMPRODUCT(N1087:Y1087,$N$4:$Y$4,$N$2:$Y$2))/(Z1087/($K1087*$L1087*$M1087)),"")</f>
        <v/>
      </c>
      <c r="AC1087" s="18" t="n"/>
    </row>
    <row r="1088">
      <c r="A1088" s="9" t="n">
        <v>702504</v>
      </c>
      <c r="B1088" s="9" t="inlineStr">
        <is>
          <t>Gavin Turley</t>
        </is>
      </c>
      <c r="C1088" s="9" t="inlineStr">
        <is>
          <t>OAK</t>
        </is>
      </c>
      <c r="D1088" s="9" t="n">
        <v>25</v>
      </c>
      <c r="E1088" s="16" t="inlineStr">
        <is>
          <t>R</t>
        </is>
      </c>
      <c r="F1088" s="16" t="n"/>
      <c r="G1088" s="9" t="n">
        <v>5.948717948717949</v>
      </c>
      <c r="H1088" s="9" t="n">
        <v>5.948717948717949</v>
      </c>
      <c r="I1088" s="9" t="inlineStr">
        <is>
          <t>Depth (no MLB PA)</t>
        </is>
      </c>
      <c r="J1088" s="16" t="inlineStr">
        <is>
          <t>Opening Day</t>
        </is>
      </c>
      <c r="K1088" s="11">
        <f>IFERROR(INDEX(Roles!$B$17:$B$20,MATCH(J1088,Roles!$A$17:$A$20,0)),1)</f>
        <v/>
      </c>
      <c r="L1088" s="17" t="n">
        <v>1</v>
      </c>
      <c r="M1088" s="11" t="n">
        <v>1</v>
      </c>
      <c r="N1088" s="17" t="n"/>
      <c r="O1088" s="17" t="n"/>
      <c r="P1088" s="17" t="n"/>
      <c r="Q1088" s="17" t="n"/>
      <c r="R1088" s="17" t="n"/>
      <c r="S1088" s="17" t="n"/>
      <c r="T1088" s="17" t="n"/>
      <c r="U1088" s="17" t="n"/>
      <c r="V1088" s="17" t="n"/>
      <c r="W1088" s="17" t="n"/>
      <c r="X1088" s="17" t="n"/>
      <c r="Y1088" s="17" t="n">
        <v>1</v>
      </c>
      <c r="Z1088" s="13">
        <f>SUMPRODUCT(N1088:Y1088,$N$2:$Y$2)*$K1088*$L1088*$M1088</f>
        <v/>
      </c>
      <c r="AA1088" s="14">
        <f>SUM(N1088:Y1088)</f>
        <v/>
      </c>
      <c r="AB1088" s="14">
        <f>IFERROR(IF(UPPER($E1088)="L",SUMPRODUCT(N1088:Y1088,$N$3:$Y$3,$N$2:$Y$2),SUMPRODUCT(N1088:Y1088,$N$4:$Y$4,$N$2:$Y$2))/(Z1088/($K1088*$L1088*$M1088)),"")</f>
        <v/>
      </c>
      <c r="AC1088" s="18" t="n"/>
    </row>
    <row r="1089">
      <c r="A1089" s="9" t="n">
        <v>820847</v>
      </c>
      <c r="B1089" s="9" t="inlineStr">
        <is>
          <t>Jordan Sanchez</t>
        </is>
      </c>
      <c r="C1089" s="9" t="inlineStr">
        <is>
          <t>BAL</t>
        </is>
      </c>
      <c r="D1089" s="9" t="n">
        <v>25</v>
      </c>
      <c r="E1089" s="16" t="inlineStr">
        <is>
          <t>L</t>
        </is>
      </c>
      <c r="F1089" s="16" t="n"/>
      <c r="G1089" s="9" t="n">
        <v>14.35897435897436</v>
      </c>
      <c r="H1089" s="9" t="n">
        <v>14.35897435897436</v>
      </c>
      <c r="I1089" s="9" t="inlineStr">
        <is>
          <t>Depth (no MLB PA)</t>
        </is>
      </c>
      <c r="J1089" s="16" t="inlineStr">
        <is>
          <t>Opening Day</t>
        </is>
      </c>
      <c r="K1089" s="11">
        <f>IFERROR(INDEX(Roles!$B$17:$B$20,MATCH(J1089,Roles!$A$17:$A$20,0)),1)</f>
        <v/>
      </c>
      <c r="L1089" s="17" t="n">
        <v>1</v>
      </c>
      <c r="M1089" s="11" t="n">
        <v>1</v>
      </c>
      <c r="N1089" s="17" t="n"/>
      <c r="O1089" s="17" t="n"/>
      <c r="P1089" s="17" t="n"/>
      <c r="Q1089" s="17" t="n"/>
      <c r="R1089" s="17" t="n"/>
      <c r="S1089" s="17" t="n"/>
      <c r="T1089" s="17" t="n"/>
      <c r="U1089" s="17" t="n"/>
      <c r="V1089" s="17" t="n"/>
      <c r="W1089" s="17" t="n"/>
      <c r="X1089" s="17" t="n"/>
      <c r="Y1089" s="17" t="n">
        <v>1</v>
      </c>
      <c r="Z1089" s="13">
        <f>SUMPRODUCT(N1089:Y1089,$N$2:$Y$2)*$K1089*$L1089*$M1089</f>
        <v/>
      </c>
      <c r="AA1089" s="14">
        <f>SUM(N1089:Y1089)</f>
        <v/>
      </c>
      <c r="AB1089" s="14">
        <f>IFERROR(IF(UPPER($E1089)="L",SUMPRODUCT(N1089:Y1089,$N$3:$Y$3,$N$2:$Y$2),SUMPRODUCT(N1089:Y1089,$N$4:$Y$4,$N$2:$Y$2))/(Z1089/($K1089*$L1089*$M1089)),"")</f>
        <v/>
      </c>
      <c r="AC1089" s="18" t="n"/>
    </row>
    <row r="1090">
      <c r="A1090" s="9" t="n">
        <v>699127</v>
      </c>
      <c r="B1090" s="9" t="inlineStr">
        <is>
          <t>Luis Castillo</t>
        </is>
      </c>
      <c r="C1090" s="9" t="inlineStr">
        <is>
          <t>MIL</t>
        </is>
      </c>
      <c r="D1090" s="9" t="n">
        <v>25</v>
      </c>
      <c r="E1090" s="16" t="inlineStr">
        <is>
          <t>L</t>
        </is>
      </c>
      <c r="F1090" s="16" t="n"/>
      <c r="G1090" s="9" t="n">
        <v>88.41025641025641</v>
      </c>
      <c r="H1090" s="9" t="n">
        <v>88.41025641025641</v>
      </c>
      <c r="I1090" s="9" t="inlineStr">
        <is>
          <t>Depth (no MLB PA)</t>
        </is>
      </c>
      <c r="J1090" s="16" t="inlineStr">
        <is>
          <t>Opening Day</t>
        </is>
      </c>
      <c r="K1090" s="11">
        <f>IFERROR(INDEX(Roles!$B$17:$B$20,MATCH(J1090,Roles!$A$17:$A$20,0)),1)</f>
        <v/>
      </c>
      <c r="L1090" s="17" t="n">
        <v>1</v>
      </c>
      <c r="M1090" s="11" t="n">
        <v>1</v>
      </c>
      <c r="N1090" s="17" t="n"/>
      <c r="O1090" s="17" t="n"/>
      <c r="P1090" s="17" t="n"/>
      <c r="Q1090" s="17" t="n"/>
      <c r="R1090" s="17" t="n"/>
      <c r="S1090" s="17" t="n"/>
      <c r="T1090" s="17" t="n"/>
      <c r="U1090" s="17" t="n"/>
      <c r="V1090" s="17" t="n"/>
      <c r="W1090" s="17" t="n"/>
      <c r="X1090" s="17" t="n"/>
      <c r="Y1090" s="17" t="n">
        <v>1</v>
      </c>
      <c r="Z1090" s="13">
        <f>SUMPRODUCT(N1090:Y1090,$N$2:$Y$2)*$K1090*$L1090*$M1090</f>
        <v/>
      </c>
      <c r="AA1090" s="14">
        <f>SUM(N1090:Y1090)</f>
        <v/>
      </c>
      <c r="AB1090" s="14">
        <f>IFERROR(IF(UPPER($E1090)="L",SUMPRODUCT(N1090:Y1090,$N$3:$Y$3,$N$2:$Y$2),SUMPRODUCT(N1090:Y1090,$N$4:$Y$4,$N$2:$Y$2))/(Z1090/($K1090*$L1090*$M1090)),"")</f>
        <v/>
      </c>
      <c r="AC1090" s="18" t="n"/>
    </row>
    <row r="1091">
      <c r="A1091" s="9" t="n">
        <v>444489</v>
      </c>
      <c r="B1091" s="9" t="inlineStr">
        <is>
          <t>Manny Piña</t>
        </is>
      </c>
      <c r="C1091" s="9" t="inlineStr">
        <is>
          <t>OAK</t>
        </is>
      </c>
      <c r="D1091" s="9" t="n">
        <v>40</v>
      </c>
      <c r="E1091" s="16" t="inlineStr">
        <is>
          <t>R</t>
        </is>
      </c>
      <c r="F1091" s="16" t="inlineStr">
        <is>
          <t>C</t>
        </is>
      </c>
      <c r="G1091" s="9" t="n">
        <v>12</v>
      </c>
      <c r="H1091" s="9" t="n">
        <v>29</v>
      </c>
      <c r="I1091" s="9" t="inlineStr">
        <is>
          <t>Depth (no MLB PA)</t>
        </is>
      </c>
      <c r="J1091" s="16" t="inlineStr">
        <is>
          <t>Opening Day</t>
        </is>
      </c>
      <c r="K1091" s="11">
        <f>IFERROR(INDEX(Roles!$B$17:$B$20,MATCH(J1091,Roles!$A$17:$A$20,0)),1)</f>
        <v/>
      </c>
      <c r="L1091" s="17" t="n">
        <v>1</v>
      </c>
      <c r="M1091" s="11" t="n">
        <v>1</v>
      </c>
      <c r="N1091" s="17" t="n"/>
      <c r="O1091" s="17" t="n"/>
      <c r="P1091" s="17" t="n"/>
      <c r="Q1091" s="17" t="n"/>
      <c r="R1091" s="17" t="n"/>
      <c r="S1091" s="17" t="n"/>
      <c r="T1091" s="17" t="n"/>
      <c r="U1091" s="17" t="n"/>
      <c r="V1091" s="17" t="n"/>
      <c r="W1091" s="17" t="n"/>
      <c r="X1091" s="17" t="n"/>
      <c r="Y1091" s="17" t="n">
        <v>1</v>
      </c>
      <c r="Z1091" s="13">
        <f>SUMPRODUCT(N1091:Y1091,$N$2:$Y$2)*$K1091*$L1091*$M1091</f>
        <v/>
      </c>
      <c r="AA1091" s="14">
        <f>SUM(N1091:Y1091)</f>
        <v/>
      </c>
      <c r="AB1091" s="14">
        <f>IFERROR(IF(UPPER($E1091)="L",SUMPRODUCT(N1091:Y1091,$N$3:$Y$3,$N$2:$Y$2),SUMPRODUCT(N1091:Y1091,$N$4:$Y$4,$N$2:$Y$2))/(Z1091/($K1091*$L1091*$M1091)),"")</f>
        <v/>
      </c>
      <c r="AC1091" s="18" t="n"/>
    </row>
    <row r="1092">
      <c r="A1092" s="9" t="n">
        <v>812469</v>
      </c>
      <c r="B1092" s="9" t="inlineStr">
        <is>
          <t>Ryan Franden</t>
        </is>
      </c>
      <c r="C1092" s="9" t="inlineStr">
        <is>
          <t>TOR</t>
        </is>
      </c>
      <c r="D1092" s="9" t="n">
        <v>25</v>
      </c>
      <c r="E1092" s="16" t="inlineStr">
        <is>
          <t>L</t>
        </is>
      </c>
      <c r="F1092" s="16" t="n"/>
      <c r="G1092" s="9" t="n">
        <v>8.246153846153845</v>
      </c>
      <c r="H1092" s="9" t="n">
        <v>8.246153846153845</v>
      </c>
      <c r="I1092" s="9" t="inlineStr">
        <is>
          <t>Depth (no MLB PA)</t>
        </is>
      </c>
      <c r="J1092" s="16" t="inlineStr">
        <is>
          <t>Opening Day</t>
        </is>
      </c>
      <c r="K1092" s="11">
        <f>IFERROR(INDEX(Roles!$B$17:$B$20,MATCH(J1092,Roles!$A$17:$A$20,0)),1)</f>
        <v/>
      </c>
      <c r="L1092" s="17" t="n">
        <v>1</v>
      </c>
      <c r="M1092" s="11" t="n">
        <v>1</v>
      </c>
      <c r="N1092" s="17" t="n"/>
      <c r="O1092" s="17" t="n"/>
      <c r="P1092" s="17" t="n"/>
      <c r="Q1092" s="17" t="n"/>
      <c r="R1092" s="17" t="n"/>
      <c r="S1092" s="17" t="n"/>
      <c r="T1092" s="17" t="n"/>
      <c r="U1092" s="17" t="n"/>
      <c r="V1092" s="17" t="n"/>
      <c r="W1092" s="17" t="n"/>
      <c r="X1092" s="17" t="n"/>
      <c r="Y1092" s="17" t="n">
        <v>1</v>
      </c>
      <c r="Z1092" s="13">
        <f>SUMPRODUCT(N1092:Y1092,$N$2:$Y$2)*$K1092*$L1092*$M1092</f>
        <v/>
      </c>
      <c r="AA1092" s="14">
        <f>SUM(N1092:Y1092)</f>
        <v/>
      </c>
      <c r="AB1092" s="14">
        <f>IFERROR(IF(UPPER($E1092)="L",SUMPRODUCT(N1092:Y1092,$N$3:$Y$3,$N$2:$Y$2),SUMPRODUCT(N1092:Y1092,$N$4:$Y$4,$N$2:$Y$2))/(Z1092/($K1092*$L1092*$M1092)),"")</f>
        <v/>
      </c>
      <c r="AC1092" s="18" t="n"/>
    </row>
    <row r="1093">
      <c r="A1093" s="9" t="n">
        <v>693073</v>
      </c>
      <c r="B1093" s="9" t="inlineStr">
        <is>
          <t>Clayton Campbell</t>
        </is>
      </c>
      <c r="C1093" s="9" t="inlineStr">
        <is>
          <t>DET</t>
        </is>
      </c>
      <c r="D1093" s="9" t="n">
        <v>25</v>
      </c>
      <c r="E1093" s="16" t="inlineStr">
        <is>
          <t>R</t>
        </is>
      </c>
      <c r="F1093" s="16" t="n"/>
      <c r="G1093" s="9" t="n">
        <v>14.71794871794872</v>
      </c>
      <c r="H1093" s="9" t="n">
        <v>14.71794871794872</v>
      </c>
      <c r="I1093" s="9" t="inlineStr">
        <is>
          <t>Depth (no MLB PA)</t>
        </is>
      </c>
      <c r="J1093" s="16" t="inlineStr">
        <is>
          <t>Opening Day</t>
        </is>
      </c>
      <c r="K1093" s="11">
        <f>IFERROR(INDEX(Roles!$B$17:$B$20,MATCH(J1093,Roles!$A$17:$A$20,0)),1)</f>
        <v/>
      </c>
      <c r="L1093" s="17" t="n">
        <v>1</v>
      </c>
      <c r="M1093" s="11" t="n">
        <v>1</v>
      </c>
      <c r="N1093" s="17" t="n"/>
      <c r="O1093" s="17" t="n"/>
      <c r="P1093" s="17" t="n"/>
      <c r="Q1093" s="17" t="n"/>
      <c r="R1093" s="17" t="n"/>
      <c r="S1093" s="17" t="n"/>
      <c r="T1093" s="17" t="n"/>
      <c r="U1093" s="17" t="n"/>
      <c r="V1093" s="17" t="n"/>
      <c r="W1093" s="17" t="n"/>
      <c r="X1093" s="17" t="n"/>
      <c r="Y1093" s="17" t="n">
        <v>1</v>
      </c>
      <c r="Z1093" s="13">
        <f>SUMPRODUCT(N1093:Y1093,$N$2:$Y$2)*$K1093*$L1093*$M1093</f>
        <v/>
      </c>
      <c r="AA1093" s="14">
        <f>SUM(N1093:Y1093)</f>
        <v/>
      </c>
      <c r="AB1093" s="14">
        <f>IFERROR(IF(UPPER($E1093)="L",SUMPRODUCT(N1093:Y1093,$N$3:$Y$3,$N$2:$Y$2),SUMPRODUCT(N1093:Y1093,$N$4:$Y$4,$N$2:$Y$2))/(Z1093/($K1093*$L1093*$M1093)),"")</f>
        <v/>
      </c>
      <c r="AC1093" s="18" t="n"/>
    </row>
    <row r="1094">
      <c r="A1094" s="9" t="n">
        <v>811312</v>
      </c>
      <c r="B1094" s="9" t="inlineStr">
        <is>
          <t>Justin Riemer</t>
        </is>
      </c>
      <c r="C1094" s="9" t="inlineStr">
        <is>
          <t>OAK</t>
        </is>
      </c>
      <c r="D1094" s="9" t="n">
        <v>25</v>
      </c>
      <c r="E1094" s="16" t="inlineStr">
        <is>
          <t>R</t>
        </is>
      </c>
      <c r="F1094" s="16" t="n"/>
      <c r="G1094" s="9" t="n">
        <v>6.205128205128206</v>
      </c>
      <c r="H1094" s="9" t="n">
        <v>6.205128205128206</v>
      </c>
      <c r="I1094" s="9" t="inlineStr">
        <is>
          <t>Depth (no MLB PA)</t>
        </is>
      </c>
      <c r="J1094" s="16" t="inlineStr">
        <is>
          <t>Opening Day</t>
        </is>
      </c>
      <c r="K1094" s="11">
        <f>IFERROR(INDEX(Roles!$B$17:$B$20,MATCH(J1094,Roles!$A$17:$A$20,0)),1)</f>
        <v/>
      </c>
      <c r="L1094" s="17" t="n">
        <v>1</v>
      </c>
      <c r="M1094" s="11" t="n">
        <v>1</v>
      </c>
      <c r="N1094" s="17" t="n"/>
      <c r="O1094" s="17" t="n"/>
      <c r="P1094" s="17" t="n"/>
      <c r="Q1094" s="17" t="n"/>
      <c r="R1094" s="17" t="n"/>
      <c r="S1094" s="17" t="n"/>
      <c r="T1094" s="17" t="n"/>
      <c r="U1094" s="17" t="n"/>
      <c r="V1094" s="17" t="n"/>
      <c r="W1094" s="17" t="n"/>
      <c r="X1094" s="17" t="n"/>
      <c r="Y1094" s="17" t="n">
        <v>1</v>
      </c>
      <c r="Z1094" s="13">
        <f>SUMPRODUCT(N1094:Y1094,$N$2:$Y$2)*$K1094*$L1094*$M1094</f>
        <v/>
      </c>
      <c r="AA1094" s="14">
        <f>SUM(N1094:Y1094)</f>
        <v/>
      </c>
      <c r="AB1094" s="14">
        <f>IFERROR(IF(UPPER($E1094)="L",SUMPRODUCT(N1094:Y1094,$N$3:$Y$3,$N$2:$Y$2),SUMPRODUCT(N1094:Y1094,$N$4:$Y$4,$N$2:$Y$2))/(Z1094/($K1094*$L1094*$M1094)),"")</f>
        <v/>
      </c>
      <c r="AC1094" s="18" t="n"/>
    </row>
    <row r="1095">
      <c r="A1095" s="9" t="n">
        <v>691182</v>
      </c>
      <c r="B1095" s="9" t="inlineStr">
        <is>
          <t>Adael Amador</t>
        </is>
      </c>
      <c r="C1095" s="9" t="inlineStr">
        <is>
          <t>COL</t>
        </is>
      </c>
      <c r="D1095" s="9" t="n">
        <v>24</v>
      </c>
      <c r="E1095" s="16" t="inlineStr">
        <is>
          <t>S</t>
        </is>
      </c>
      <c r="F1095" s="16" t="inlineStr">
        <is>
          <t>2B</t>
        </is>
      </c>
      <c r="G1095" s="9" t="n">
        <v>95</v>
      </c>
      <c r="H1095" s="9" t="n">
        <v>259</v>
      </c>
      <c r="I1095" s="9" t="inlineStr">
        <is>
          <t>Everyday DH / 1B-DH</t>
        </is>
      </c>
      <c r="J1095" s="16" t="inlineStr">
        <is>
          <t>Opening Day</t>
        </is>
      </c>
      <c r="K1095" s="11">
        <f>IFERROR(INDEX(Roles!$B$17:$B$20,MATCH(J1095,Roles!$A$17:$A$20,0)),1)</f>
        <v/>
      </c>
      <c r="L1095" s="17" t="n">
        <v>1</v>
      </c>
      <c r="M1095" s="11" t="n">
        <v>1</v>
      </c>
      <c r="N1095" s="17" t="n"/>
      <c r="O1095" s="17" t="n">
        <v>0.62</v>
      </c>
      <c r="P1095" s="17" t="n"/>
      <c r="Q1095" s="17" t="n"/>
      <c r="R1095" s="17" t="n"/>
      <c r="S1095" s="17" t="n"/>
      <c r="T1095" s="17" t="n"/>
      <c r="U1095" s="17" t="n"/>
      <c r="V1095" s="17" t="n"/>
      <c r="W1095" s="17" t="n">
        <v>0.38</v>
      </c>
      <c r="X1095" s="17" t="n"/>
      <c r="Y1095" s="17" t="n"/>
      <c r="Z1095" s="13">
        <f>SUMPRODUCT(N1095:Y1095,$N$2:$Y$2)*$K1095*$L1095*$M1095</f>
        <v/>
      </c>
      <c r="AA1095" s="14">
        <f>SUM(N1095:Y1095)</f>
        <v/>
      </c>
      <c r="AB1095" s="14">
        <f>IFERROR(IF(UPPER($E1095)="L",SUMPRODUCT(N1095:Y1095,$N$3:$Y$3,$N$2:$Y$2),SUMPRODUCT(N1095:Y1095,$N$4:$Y$4,$N$2:$Y$2))/(Z1095/($K1095*$L1095*$M1095)),"")</f>
        <v/>
      </c>
      <c r="AC1095" s="18" t="n"/>
    </row>
    <row r="1096">
      <c r="A1096" s="9" t="n">
        <v>681114</v>
      </c>
      <c r="B1096" s="9" t="inlineStr">
        <is>
          <t>Michael Trautwein</t>
        </is>
      </c>
      <c r="C1096" s="9" t="inlineStr">
        <is>
          <t>CIN</t>
        </is>
      </c>
      <c r="D1096" s="9" t="n">
        <v>25</v>
      </c>
      <c r="E1096" s="16" t="inlineStr">
        <is>
          <t>L</t>
        </is>
      </c>
      <c r="F1096" s="16" t="n"/>
      <c r="G1096" s="9" t="n">
        <v>6.205128205128206</v>
      </c>
      <c r="H1096" s="9" t="n">
        <v>6.205128205128206</v>
      </c>
      <c r="I1096" s="9" t="inlineStr">
        <is>
          <t>Depth (no MLB PA)</t>
        </is>
      </c>
      <c r="J1096" s="16" t="inlineStr">
        <is>
          <t>Opening Day</t>
        </is>
      </c>
      <c r="K1096" s="11">
        <f>IFERROR(INDEX(Roles!$B$17:$B$20,MATCH(J1096,Roles!$A$17:$A$20,0)),1)</f>
        <v/>
      </c>
      <c r="L1096" s="17" t="n">
        <v>1</v>
      </c>
      <c r="M1096" s="11" t="n">
        <v>1</v>
      </c>
      <c r="N1096" s="17" t="n"/>
      <c r="O1096" s="17" t="n"/>
      <c r="P1096" s="17" t="n"/>
      <c r="Q1096" s="17" t="n"/>
      <c r="R1096" s="17" t="n"/>
      <c r="S1096" s="17" t="n"/>
      <c r="T1096" s="17" t="n"/>
      <c r="U1096" s="17" t="n"/>
      <c r="V1096" s="17" t="n"/>
      <c r="W1096" s="17" t="n"/>
      <c r="X1096" s="17" t="n"/>
      <c r="Y1096" s="17" t="n">
        <v>1</v>
      </c>
      <c r="Z1096" s="13">
        <f>SUMPRODUCT(N1096:Y1096,$N$2:$Y$2)*$K1096*$L1096*$M1096</f>
        <v/>
      </c>
      <c r="AA1096" s="14">
        <f>SUM(N1096:Y1096)</f>
        <v/>
      </c>
      <c r="AB1096" s="14">
        <f>IFERROR(IF(UPPER($E1096)="L",SUMPRODUCT(N1096:Y1096,$N$3:$Y$3,$N$2:$Y$2),SUMPRODUCT(N1096:Y1096,$N$4:$Y$4,$N$2:$Y$2))/(Z1096/($K1096*$L1096*$M1096)),"")</f>
        <v/>
      </c>
      <c r="AC1096" s="18" t="n"/>
    </row>
    <row r="1097">
      <c r="A1097" s="9" t="n">
        <v>695570</v>
      </c>
      <c r="B1097" s="9" t="inlineStr">
        <is>
          <t>Jonathan Vastine</t>
        </is>
      </c>
      <c r="C1097" s="9" t="inlineStr">
        <is>
          <t>SD</t>
        </is>
      </c>
      <c r="D1097" s="9" t="n">
        <v>25</v>
      </c>
      <c r="E1097" s="16" t="inlineStr">
        <is>
          <t>L</t>
        </is>
      </c>
      <c r="F1097" s="16" t="n"/>
      <c r="G1097" s="9" t="n">
        <v>22.35897435897436</v>
      </c>
      <c r="H1097" s="9" t="n">
        <v>22.35897435897436</v>
      </c>
      <c r="I1097" s="9" t="inlineStr">
        <is>
          <t>Depth (no MLB PA)</t>
        </is>
      </c>
      <c r="J1097" s="16" t="inlineStr">
        <is>
          <t>Opening Day</t>
        </is>
      </c>
      <c r="K1097" s="11">
        <f>IFERROR(INDEX(Roles!$B$17:$B$20,MATCH(J1097,Roles!$A$17:$A$20,0)),1)</f>
        <v/>
      </c>
      <c r="L1097" s="17" t="n">
        <v>1</v>
      </c>
      <c r="M1097" s="11" t="n">
        <v>1</v>
      </c>
      <c r="N1097" s="17" t="n"/>
      <c r="O1097" s="17" t="n"/>
      <c r="P1097" s="17" t="n"/>
      <c r="Q1097" s="17" t="n"/>
      <c r="R1097" s="17" t="n"/>
      <c r="S1097" s="17" t="n"/>
      <c r="T1097" s="17" t="n"/>
      <c r="U1097" s="17" t="n"/>
      <c r="V1097" s="17" t="n"/>
      <c r="W1097" s="17" t="n"/>
      <c r="X1097" s="17" t="n"/>
      <c r="Y1097" s="17" t="n">
        <v>1</v>
      </c>
      <c r="Z1097" s="13">
        <f>SUMPRODUCT(N1097:Y1097,$N$2:$Y$2)*$K1097*$L1097*$M1097</f>
        <v/>
      </c>
      <c r="AA1097" s="14">
        <f>SUM(N1097:Y1097)</f>
        <v/>
      </c>
      <c r="AB1097" s="14">
        <f>IFERROR(IF(UPPER($E1097)="L",SUMPRODUCT(N1097:Y1097,$N$3:$Y$3,$N$2:$Y$2),SUMPRODUCT(N1097:Y1097,$N$4:$Y$4,$N$2:$Y$2))/(Z1097/($K1097*$L1097*$M1097)),"")</f>
        <v/>
      </c>
      <c r="AC1097" s="18" t="n"/>
    </row>
    <row r="1098">
      <c r="A1098" s="9" t="n">
        <v>806968</v>
      </c>
      <c r="B1098" s="9" t="inlineStr">
        <is>
          <t>Ludwing Espinoza</t>
        </is>
      </c>
      <c r="C1098" s="9" t="inlineStr">
        <is>
          <t>CHC</t>
        </is>
      </c>
      <c r="D1098" s="9" t="n">
        <v>25</v>
      </c>
      <c r="E1098" s="16" t="inlineStr">
        <is>
          <t>R</t>
        </is>
      </c>
      <c r="F1098" s="16" t="n"/>
      <c r="G1098" s="9" t="n">
        <v>8.36923076923077</v>
      </c>
      <c r="H1098" s="9" t="n">
        <v>8.36923076923077</v>
      </c>
      <c r="I1098" s="9" t="inlineStr">
        <is>
          <t>Depth (no MLB PA)</t>
        </is>
      </c>
      <c r="J1098" s="16" t="inlineStr">
        <is>
          <t>Opening Day</t>
        </is>
      </c>
      <c r="K1098" s="11">
        <f>IFERROR(INDEX(Roles!$B$17:$B$20,MATCH(J1098,Roles!$A$17:$A$20,0)),1)</f>
        <v/>
      </c>
      <c r="L1098" s="17" t="n">
        <v>1</v>
      </c>
      <c r="M1098" s="11" t="n">
        <v>1</v>
      </c>
      <c r="N1098" s="17" t="n"/>
      <c r="O1098" s="17" t="n"/>
      <c r="P1098" s="17" t="n"/>
      <c r="Q1098" s="17" t="n"/>
      <c r="R1098" s="17" t="n"/>
      <c r="S1098" s="17" t="n"/>
      <c r="T1098" s="17" t="n"/>
      <c r="U1098" s="17" t="n"/>
      <c r="V1098" s="17" t="n"/>
      <c r="W1098" s="17" t="n"/>
      <c r="X1098" s="17" t="n"/>
      <c r="Y1098" s="17" t="n">
        <v>1</v>
      </c>
      <c r="Z1098" s="13">
        <f>SUMPRODUCT(N1098:Y1098,$N$2:$Y$2)*$K1098*$L1098*$M1098</f>
        <v/>
      </c>
      <c r="AA1098" s="14">
        <f>SUM(N1098:Y1098)</f>
        <v/>
      </c>
      <c r="AB1098" s="14">
        <f>IFERROR(IF(UPPER($E1098)="L",SUMPRODUCT(N1098:Y1098,$N$3:$Y$3,$N$2:$Y$2),SUMPRODUCT(N1098:Y1098,$N$4:$Y$4,$N$2:$Y$2))/(Z1098/($K1098*$L1098*$M1098)),"")</f>
        <v/>
      </c>
      <c r="AC1098" s="18" t="n"/>
    </row>
    <row r="1099">
      <c r="A1099" s="9" t="n">
        <v>816406</v>
      </c>
      <c r="B1099" s="9" t="inlineStr">
        <is>
          <t>Ivan Cespedes</t>
        </is>
      </c>
      <c r="C1099" s="9" t="inlineStr">
        <is>
          <t>CHC</t>
        </is>
      </c>
      <c r="D1099" s="9" t="n">
        <v>25</v>
      </c>
      <c r="E1099" s="16" t="inlineStr">
        <is>
          <t>R</t>
        </is>
      </c>
      <c r="F1099" s="16" t="n"/>
      <c r="G1099" s="9" t="n">
        <v>12.55384615384615</v>
      </c>
      <c r="H1099" s="9" t="n">
        <v>12.55384615384615</v>
      </c>
      <c r="I1099" s="9" t="inlineStr">
        <is>
          <t>Depth (no MLB PA)</t>
        </is>
      </c>
      <c r="J1099" s="16" t="inlineStr">
        <is>
          <t>Opening Day</t>
        </is>
      </c>
      <c r="K1099" s="11">
        <f>IFERROR(INDEX(Roles!$B$17:$B$20,MATCH(J1099,Roles!$A$17:$A$20,0)),1)</f>
        <v/>
      </c>
      <c r="L1099" s="17" t="n">
        <v>1</v>
      </c>
      <c r="M1099" s="11" t="n">
        <v>1</v>
      </c>
      <c r="N1099" s="17" t="n"/>
      <c r="O1099" s="17" t="n"/>
      <c r="P1099" s="17" t="n"/>
      <c r="Q1099" s="17" t="n"/>
      <c r="R1099" s="17" t="n"/>
      <c r="S1099" s="17" t="n"/>
      <c r="T1099" s="17" t="n"/>
      <c r="U1099" s="17" t="n"/>
      <c r="V1099" s="17" t="n"/>
      <c r="W1099" s="17" t="n"/>
      <c r="X1099" s="17" t="n"/>
      <c r="Y1099" s="17" t="n">
        <v>1</v>
      </c>
      <c r="Z1099" s="13">
        <f>SUMPRODUCT(N1099:Y1099,$N$2:$Y$2)*$K1099*$L1099*$M1099</f>
        <v/>
      </c>
      <c r="AA1099" s="14">
        <f>SUM(N1099:Y1099)</f>
        <v/>
      </c>
      <c r="AB1099" s="14">
        <f>IFERROR(IF(UPPER($E1099)="L",SUMPRODUCT(N1099:Y1099,$N$3:$Y$3,$N$2:$Y$2),SUMPRODUCT(N1099:Y1099,$N$4:$Y$4,$N$2:$Y$2))/(Z1099/($K1099*$L1099*$M1099)),"")</f>
        <v/>
      </c>
      <c r="AC1099" s="18" t="n"/>
    </row>
    <row r="1100">
      <c r="A1100" s="9" t="n">
        <v>680672</v>
      </c>
      <c r="B1100" s="9" t="inlineStr">
        <is>
          <t>Luke Waddell</t>
        </is>
      </c>
      <c r="C1100" s="9" t="inlineStr">
        <is>
          <t>ATL</t>
        </is>
      </c>
      <c r="D1100" s="9" t="n">
        <v>25</v>
      </c>
      <c r="E1100" s="16" t="inlineStr">
        <is>
          <t>L</t>
        </is>
      </c>
      <c r="F1100" s="16" t="n"/>
      <c r="G1100" s="9" t="n">
        <v>6.205128205128206</v>
      </c>
      <c r="H1100" s="9" t="n">
        <v>6.205128205128206</v>
      </c>
      <c r="I1100" s="9" t="inlineStr">
        <is>
          <t>Depth (no MLB PA)</t>
        </is>
      </c>
      <c r="J1100" s="16" t="inlineStr">
        <is>
          <t>Opening Day</t>
        </is>
      </c>
      <c r="K1100" s="11">
        <f>IFERROR(INDEX(Roles!$B$17:$B$20,MATCH(J1100,Roles!$A$17:$A$20,0)),1)</f>
        <v/>
      </c>
      <c r="L1100" s="17" t="n">
        <v>1</v>
      </c>
      <c r="M1100" s="11" t="n">
        <v>1</v>
      </c>
      <c r="N1100" s="17" t="n"/>
      <c r="O1100" s="17" t="n"/>
      <c r="P1100" s="17" t="n"/>
      <c r="Q1100" s="17" t="n"/>
      <c r="R1100" s="17" t="n"/>
      <c r="S1100" s="17" t="n"/>
      <c r="T1100" s="17" t="n"/>
      <c r="U1100" s="17" t="n"/>
      <c r="V1100" s="17" t="n"/>
      <c r="W1100" s="17" t="n"/>
      <c r="X1100" s="17" t="n"/>
      <c r="Y1100" s="17" t="n">
        <v>1</v>
      </c>
      <c r="Z1100" s="13">
        <f>SUMPRODUCT(N1100:Y1100,$N$2:$Y$2)*$K1100*$L1100*$M1100</f>
        <v/>
      </c>
      <c r="AA1100" s="14">
        <f>SUM(N1100:Y1100)</f>
        <v/>
      </c>
      <c r="AB1100" s="14">
        <f>IFERROR(IF(UPPER($E1100)="L",SUMPRODUCT(N1100:Y1100,$N$3:$Y$3,$N$2:$Y$2),SUMPRODUCT(N1100:Y1100,$N$4:$Y$4,$N$2:$Y$2))/(Z1100/($K1100*$L1100*$M1100)),"")</f>
        <v/>
      </c>
      <c r="AC1100" s="18" t="n"/>
    </row>
    <row r="1101">
      <c r="A1101" s="9" t="n">
        <v>684976</v>
      </c>
      <c r="B1101" s="9" t="inlineStr">
        <is>
          <t>Johnathon Thomas</t>
        </is>
      </c>
      <c r="C1101" s="9" t="inlineStr">
        <is>
          <t>WSH</t>
        </is>
      </c>
      <c r="D1101" s="9" t="n">
        <v>25</v>
      </c>
      <c r="E1101" s="16" t="inlineStr">
        <is>
          <t>R</t>
        </is>
      </c>
      <c r="F1101" s="16" t="n"/>
      <c r="G1101" s="9" t="n">
        <v>21.43589743589744</v>
      </c>
      <c r="H1101" s="9" t="n">
        <v>21.43589743589744</v>
      </c>
      <c r="I1101" s="9" t="inlineStr">
        <is>
          <t>Depth (no MLB PA)</t>
        </is>
      </c>
      <c r="J1101" s="16" t="inlineStr">
        <is>
          <t>Opening Day</t>
        </is>
      </c>
      <c r="K1101" s="11">
        <f>IFERROR(INDEX(Roles!$B$17:$B$20,MATCH(J1101,Roles!$A$17:$A$20,0)),1)</f>
        <v/>
      </c>
      <c r="L1101" s="17" t="n">
        <v>1</v>
      </c>
      <c r="M1101" s="11" t="n">
        <v>1</v>
      </c>
      <c r="N1101" s="17" t="n"/>
      <c r="O1101" s="17" t="n"/>
      <c r="P1101" s="17" t="n"/>
      <c r="Q1101" s="17" t="n"/>
      <c r="R1101" s="17" t="n"/>
      <c r="S1101" s="17" t="n"/>
      <c r="T1101" s="17" t="n"/>
      <c r="U1101" s="17" t="n"/>
      <c r="V1101" s="17" t="n"/>
      <c r="W1101" s="17" t="n"/>
      <c r="X1101" s="17" t="n"/>
      <c r="Y1101" s="17" t="n">
        <v>1</v>
      </c>
      <c r="Z1101" s="13">
        <f>SUMPRODUCT(N1101:Y1101,$N$2:$Y$2)*$K1101*$L1101*$M1101</f>
        <v/>
      </c>
      <c r="AA1101" s="14">
        <f>SUM(N1101:Y1101)</f>
        <v/>
      </c>
      <c r="AB1101" s="14">
        <f>IFERROR(IF(UPPER($E1101)="L",SUMPRODUCT(N1101:Y1101,$N$3:$Y$3,$N$2:$Y$2),SUMPRODUCT(N1101:Y1101,$N$4:$Y$4,$N$2:$Y$2))/(Z1101/($K1101*$L1101*$M1101)),"")</f>
        <v/>
      </c>
      <c r="AC1101" s="18" t="n"/>
    </row>
    <row r="1102">
      <c r="A1102" s="9" t="n">
        <v>514888</v>
      </c>
      <c r="B1102" s="9" t="inlineStr">
        <is>
          <t>Jose Altuve</t>
        </is>
      </c>
      <c r="C1102" s="9" t="inlineStr">
        <is>
          <t>HOU</t>
        </is>
      </c>
      <c r="D1102" s="9" t="n">
        <v>37</v>
      </c>
      <c r="E1102" s="16" t="inlineStr">
        <is>
          <t>R</t>
        </is>
      </c>
      <c r="F1102" s="16" t="inlineStr">
        <is>
          <t>2B</t>
        </is>
      </c>
      <c r="G1102" s="9" t="n">
        <v>573</v>
      </c>
      <c r="H1102" s="9" t="n">
        <v>2923</v>
      </c>
      <c r="I1102" s="9" t="inlineStr">
        <is>
          <t>Full Time</t>
        </is>
      </c>
      <c r="J1102" s="16" t="inlineStr">
        <is>
          <t>Opening Day</t>
        </is>
      </c>
      <c r="K1102" s="11">
        <f>IFERROR(INDEX(Roles!$B$17:$B$20,MATCH(J1102,Roles!$A$17:$A$20,0)),1)</f>
        <v/>
      </c>
      <c r="L1102" s="17" t="n">
        <v>1</v>
      </c>
      <c r="M1102" s="11" t="n">
        <v>1.126792300804764</v>
      </c>
      <c r="N1102" s="17" t="n">
        <v>1</v>
      </c>
      <c r="O1102" s="17" t="n"/>
      <c r="P1102" s="17" t="n"/>
      <c r="Q1102" s="17" t="n"/>
      <c r="R1102" s="17" t="n"/>
      <c r="S1102" s="17" t="n"/>
      <c r="T1102" s="17" t="n"/>
      <c r="U1102" s="17" t="n"/>
      <c r="V1102" s="17" t="n"/>
      <c r="W1102" s="17" t="n"/>
      <c r="X1102" s="17" t="n"/>
      <c r="Y1102" s="17" t="n"/>
      <c r="Z1102" s="13">
        <f>SUMPRODUCT(N1102:Y1102,$N$2:$Y$2)*$K1102*$L1102*$M1102</f>
        <v/>
      </c>
      <c r="AA1102" s="14">
        <f>SUM(N1102:Y1102)</f>
        <v/>
      </c>
      <c r="AB1102" s="14">
        <f>IFERROR(IF(UPPER($E1102)="L",SUMPRODUCT(N1102:Y1102,$N$3:$Y$3,$N$2:$Y$2),SUMPRODUCT(N1102:Y1102,$N$4:$Y$4,$N$2:$Y$2))/(Z1102/($K1102*$L1102*$M1102)),"")</f>
        <v/>
      </c>
      <c r="AC1102" s="18" t="n"/>
    </row>
    <row r="1103">
      <c r="A1103" s="9" t="n">
        <v>669087</v>
      </c>
      <c r="B1103" s="9" t="inlineStr">
        <is>
          <t>Sam Huff</t>
        </is>
      </c>
      <c r="C1103" s="9" t="inlineStr">
        <is>
          <t>BAL</t>
        </is>
      </c>
      <c r="D1103" s="9" t="n">
        <v>29</v>
      </c>
      <c r="E1103" s="16" t="inlineStr">
        <is>
          <t>R</t>
        </is>
      </c>
      <c r="F1103" s="16" t="inlineStr">
        <is>
          <t>C</t>
        </is>
      </c>
      <c r="G1103" s="9" t="n">
        <v>34</v>
      </c>
      <c r="H1103" s="9" t="n">
        <v>273</v>
      </c>
      <c r="I1103" s="9" t="inlineStr">
        <is>
          <t>Catcher - Backup</t>
        </is>
      </c>
      <c r="J1103" s="16" t="inlineStr">
        <is>
          <t>Opening Day</t>
        </is>
      </c>
      <c r="K1103" s="11">
        <f>IFERROR(INDEX(Roles!$B$17:$B$20,MATCH(J1103,Roles!$A$17:$A$20,0)),1)</f>
        <v/>
      </c>
      <c r="L1103" s="17" t="n">
        <v>1</v>
      </c>
      <c r="M1103" s="11" t="n">
        <v>1</v>
      </c>
      <c r="N1103" s="17" t="n"/>
      <c r="O1103" s="17" t="n"/>
      <c r="P1103" s="17" t="n"/>
      <c r="Q1103" s="17" t="n"/>
      <c r="R1103" s="17" t="n"/>
      <c r="S1103" s="17" t="n"/>
      <c r="T1103" s="17" t="n">
        <v>1</v>
      </c>
      <c r="U1103" s="17" t="n"/>
      <c r="V1103" s="17" t="n"/>
      <c r="W1103" s="17" t="n"/>
      <c r="X1103" s="17" t="n"/>
      <c r="Y1103" s="17" t="n"/>
      <c r="Z1103" s="13">
        <f>SUMPRODUCT(N1103:Y1103,$N$2:$Y$2)*$K1103*$L1103*$M1103</f>
        <v/>
      </c>
      <c r="AA1103" s="14">
        <f>SUM(N1103:Y1103)</f>
        <v/>
      </c>
      <c r="AB1103" s="14">
        <f>IFERROR(IF(UPPER($E1103)="L",SUMPRODUCT(N1103:Y1103,$N$3:$Y$3,$N$2:$Y$2),SUMPRODUCT(N1103:Y1103,$N$4:$Y$4,$N$2:$Y$2))/(Z1103/($K1103*$L1103*$M1103)),"")</f>
        <v/>
      </c>
      <c r="AC1103" s="18" t="n"/>
    </row>
    <row r="1104">
      <c r="A1104" s="9" t="n">
        <v>808123</v>
      </c>
      <c r="B1104" s="9" t="inlineStr">
        <is>
          <t>Victor Rodriguez</t>
        </is>
      </c>
      <c r="C1104" s="9" t="inlineStr">
        <is>
          <t>LAA</t>
        </is>
      </c>
      <c r="D1104" s="9" t="n">
        <v>25</v>
      </c>
      <c r="E1104" s="16" t="inlineStr">
        <is>
          <t>R</t>
        </is>
      </c>
      <c r="F1104" s="16" t="n"/>
      <c r="G1104" s="9" t="n">
        <v>10.46153846153846</v>
      </c>
      <c r="H1104" s="9" t="n">
        <v>10.46153846153846</v>
      </c>
      <c r="I1104" s="9" t="inlineStr">
        <is>
          <t>Depth (no MLB PA)</t>
        </is>
      </c>
      <c r="J1104" s="16" t="inlineStr">
        <is>
          <t>Opening Day</t>
        </is>
      </c>
      <c r="K1104" s="11">
        <f>IFERROR(INDEX(Roles!$B$17:$B$20,MATCH(J1104,Roles!$A$17:$A$20,0)),1)</f>
        <v/>
      </c>
      <c r="L1104" s="17" t="n">
        <v>1</v>
      </c>
      <c r="M1104" s="11" t="n">
        <v>1</v>
      </c>
      <c r="N1104" s="17" t="n"/>
      <c r="O1104" s="17" t="n"/>
      <c r="P1104" s="17" t="n"/>
      <c r="Q1104" s="17" t="n"/>
      <c r="R1104" s="17" t="n"/>
      <c r="S1104" s="17" t="n"/>
      <c r="T1104" s="17" t="n"/>
      <c r="U1104" s="17" t="n"/>
      <c r="V1104" s="17" t="n"/>
      <c r="W1104" s="17" t="n"/>
      <c r="X1104" s="17" t="n"/>
      <c r="Y1104" s="17" t="n">
        <v>1</v>
      </c>
      <c r="Z1104" s="13">
        <f>SUMPRODUCT(N1104:Y1104,$N$2:$Y$2)*$K1104*$L1104*$M1104</f>
        <v/>
      </c>
      <c r="AA1104" s="14">
        <f>SUM(N1104:Y1104)</f>
        <v/>
      </c>
      <c r="AB1104" s="14">
        <f>IFERROR(IF(UPPER($E1104)="L",SUMPRODUCT(N1104:Y1104,$N$3:$Y$3,$N$2:$Y$2),SUMPRODUCT(N1104:Y1104,$N$4:$Y$4,$N$2:$Y$2))/(Z1104/($K1104*$L1104*$M1104)),"")</f>
        <v/>
      </c>
      <c r="AC1104" s="18" t="n"/>
    </row>
    <row r="1105">
      <c r="A1105" s="9" t="n">
        <v>680574</v>
      </c>
      <c r="B1105" s="9" t="inlineStr">
        <is>
          <t>Matt McLain</t>
        </is>
      </c>
      <c r="C1105" s="9" t="inlineStr">
        <is>
          <t>CIN</t>
        </is>
      </c>
      <c r="D1105" s="9" t="n">
        <v>27</v>
      </c>
      <c r="E1105" s="16" t="inlineStr">
        <is>
          <t>R</t>
        </is>
      </c>
      <c r="F1105" s="16" t="inlineStr">
        <is>
          <t>2B</t>
        </is>
      </c>
      <c r="G1105" s="9" t="n">
        <v>496</v>
      </c>
      <c r="H1105" s="9" t="n">
        <v>1476</v>
      </c>
      <c r="I1105" s="9" t="inlineStr">
        <is>
          <t>Full Time</t>
        </is>
      </c>
      <c r="J1105" s="16" t="inlineStr">
        <is>
          <t>Opening Day</t>
        </is>
      </c>
      <c r="K1105" s="11">
        <f>IFERROR(INDEX(Roles!$B$17:$B$20,MATCH(J1105,Roles!$A$17:$A$20,0)),1)</f>
        <v/>
      </c>
      <c r="L1105" s="17" t="n">
        <v>1</v>
      </c>
      <c r="M1105" s="11" t="n">
        <v>1.068508677109382</v>
      </c>
      <c r="N1105" s="17" t="n">
        <v>1</v>
      </c>
      <c r="O1105" s="17" t="n"/>
      <c r="P1105" s="17" t="n"/>
      <c r="Q1105" s="17" t="n"/>
      <c r="R1105" s="17" t="n"/>
      <c r="S1105" s="17" t="n"/>
      <c r="T1105" s="17" t="n"/>
      <c r="U1105" s="17" t="n"/>
      <c r="V1105" s="17" t="n"/>
      <c r="W1105" s="17" t="n"/>
      <c r="X1105" s="17" t="n"/>
      <c r="Y1105" s="17" t="n"/>
      <c r="Z1105" s="13">
        <f>SUMPRODUCT(N1105:Y1105,$N$2:$Y$2)*$K1105*$L1105*$M1105</f>
        <v/>
      </c>
      <c r="AA1105" s="14">
        <f>SUM(N1105:Y1105)</f>
        <v/>
      </c>
      <c r="AB1105" s="14">
        <f>IFERROR(IF(UPPER($E1105)="L",SUMPRODUCT(N1105:Y1105,$N$3:$Y$3,$N$2:$Y$2),SUMPRODUCT(N1105:Y1105,$N$4:$Y$4,$N$2:$Y$2))/(Z1105/($K1105*$L1105*$M1105)),"")</f>
        <v/>
      </c>
      <c r="AC1105" s="18" t="n"/>
    </row>
    <row r="1106">
      <c r="A1106" s="9" t="n">
        <v>696510</v>
      </c>
      <c r="B1106" s="9" t="inlineStr">
        <is>
          <t>Peyton Stovall</t>
        </is>
      </c>
      <c r="C1106" s="9" t="inlineStr">
        <is>
          <t>CIN</t>
        </is>
      </c>
      <c r="D1106" s="9" t="n">
        <v>25</v>
      </c>
      <c r="E1106" s="16" t="inlineStr">
        <is>
          <t>L</t>
        </is>
      </c>
      <c r="F1106" s="16" t="n"/>
      <c r="G1106" s="9" t="n">
        <v>40.20512820512821</v>
      </c>
      <c r="H1106" s="9" t="n">
        <v>40.20512820512821</v>
      </c>
      <c r="I1106" s="9" t="inlineStr">
        <is>
          <t>Depth (no MLB PA)</t>
        </is>
      </c>
      <c r="J1106" s="16" t="inlineStr">
        <is>
          <t>Opening Day</t>
        </is>
      </c>
      <c r="K1106" s="11">
        <f>IFERROR(INDEX(Roles!$B$17:$B$20,MATCH(J1106,Roles!$A$17:$A$20,0)),1)</f>
        <v/>
      </c>
      <c r="L1106" s="17" t="n">
        <v>1</v>
      </c>
      <c r="M1106" s="11" t="n">
        <v>1</v>
      </c>
      <c r="N1106" s="17" t="n"/>
      <c r="O1106" s="17" t="n"/>
      <c r="P1106" s="17" t="n"/>
      <c r="Q1106" s="17" t="n"/>
      <c r="R1106" s="17" t="n"/>
      <c r="S1106" s="17" t="n"/>
      <c r="T1106" s="17" t="n"/>
      <c r="U1106" s="17" t="n"/>
      <c r="V1106" s="17" t="n"/>
      <c r="W1106" s="17" t="n"/>
      <c r="X1106" s="17" t="n"/>
      <c r="Y1106" s="17" t="n">
        <v>1</v>
      </c>
      <c r="Z1106" s="13">
        <f>SUMPRODUCT(N1106:Y1106,$N$2:$Y$2)*$K1106*$L1106*$M1106</f>
        <v/>
      </c>
      <c r="AA1106" s="14">
        <f>SUM(N1106:Y1106)</f>
        <v/>
      </c>
      <c r="AB1106" s="14">
        <f>IFERROR(IF(UPPER($E1106)="L",SUMPRODUCT(N1106:Y1106,$N$3:$Y$3,$N$2:$Y$2),SUMPRODUCT(N1106:Y1106,$N$4:$Y$4,$N$2:$Y$2))/(Z1106/($K1106*$L1106*$M1106)),"")</f>
        <v/>
      </c>
      <c r="AC1106" s="18" t="n"/>
    </row>
    <row r="1107">
      <c r="A1107" s="9" t="n">
        <v>676882</v>
      </c>
      <c r="B1107" s="9" t="inlineStr">
        <is>
          <t>Chandler Seagle</t>
        </is>
      </c>
      <c r="C1107" s="9" t="inlineStr">
        <is>
          <t>SD</t>
        </is>
      </c>
      <c r="D1107" s="9" t="n">
        <v>31</v>
      </c>
      <c r="E1107" s="16" t="inlineStr">
        <is>
          <t>R</t>
        </is>
      </c>
      <c r="F1107" s="16" t="n"/>
      <c r="G1107" s="9" t="n">
        <v>1</v>
      </c>
      <c r="H1107" s="9" t="n">
        <v>1</v>
      </c>
      <c r="I1107" s="9" t="inlineStr">
        <is>
          <t>Depth (no MLB PA)</t>
        </is>
      </c>
      <c r="J1107" s="16" t="inlineStr">
        <is>
          <t>Opening Day</t>
        </is>
      </c>
      <c r="K1107" s="11">
        <f>IFERROR(INDEX(Roles!$B$17:$B$20,MATCH(J1107,Roles!$A$17:$A$20,0)),1)</f>
        <v/>
      </c>
      <c r="L1107" s="17" t="n">
        <v>1</v>
      </c>
      <c r="M1107" s="11" t="n">
        <v>1</v>
      </c>
      <c r="N1107" s="17" t="n"/>
      <c r="O1107" s="17" t="n"/>
      <c r="P1107" s="17" t="n"/>
      <c r="Q1107" s="17" t="n"/>
      <c r="R1107" s="17" t="n"/>
      <c r="S1107" s="17" t="n"/>
      <c r="T1107" s="17" t="n"/>
      <c r="U1107" s="17" t="n"/>
      <c r="V1107" s="17" t="n"/>
      <c r="W1107" s="17" t="n"/>
      <c r="X1107" s="17" t="n"/>
      <c r="Y1107" s="17" t="n">
        <v>1</v>
      </c>
      <c r="Z1107" s="13">
        <f>SUMPRODUCT(N1107:Y1107,$N$2:$Y$2)*$K1107*$L1107*$M1107</f>
        <v/>
      </c>
      <c r="AA1107" s="14">
        <f>SUM(N1107:Y1107)</f>
        <v/>
      </c>
      <c r="AB1107" s="14">
        <f>IFERROR(IF(UPPER($E1107)="L",SUMPRODUCT(N1107:Y1107,$N$3:$Y$3,$N$2:$Y$2),SUMPRODUCT(N1107:Y1107,$N$4:$Y$4,$N$2:$Y$2))/(Z1107/($K1107*$L1107*$M1107)),"")</f>
        <v/>
      </c>
      <c r="AC1107" s="18" t="n"/>
    </row>
    <row r="1108">
      <c r="A1108" s="9" t="n">
        <v>807721</v>
      </c>
      <c r="B1108" s="9" t="inlineStr">
        <is>
          <t>Ryan Cooney</t>
        </is>
      </c>
      <c r="C1108" s="9" t="inlineStr">
        <is>
          <t>TOR</t>
        </is>
      </c>
      <c r="D1108" s="9" t="n">
        <v>25</v>
      </c>
      <c r="E1108" s="16" t="inlineStr">
        <is>
          <t>R</t>
        </is>
      </c>
      <c r="F1108" s="16" t="n"/>
      <c r="G1108" s="9" t="n">
        <v>10.58461538461538</v>
      </c>
      <c r="H1108" s="9" t="n">
        <v>10.58461538461538</v>
      </c>
      <c r="I1108" s="9" t="inlineStr">
        <is>
          <t>Depth (no MLB PA)</t>
        </is>
      </c>
      <c r="J1108" s="16" t="inlineStr">
        <is>
          <t>Opening Day</t>
        </is>
      </c>
      <c r="K1108" s="11">
        <f>IFERROR(INDEX(Roles!$B$17:$B$20,MATCH(J1108,Roles!$A$17:$A$20,0)),1)</f>
        <v/>
      </c>
      <c r="L1108" s="17" t="n">
        <v>1</v>
      </c>
      <c r="M1108" s="11" t="n">
        <v>1</v>
      </c>
      <c r="N1108" s="17" t="n"/>
      <c r="O1108" s="17" t="n"/>
      <c r="P1108" s="17" t="n"/>
      <c r="Q1108" s="17" t="n"/>
      <c r="R1108" s="17" t="n"/>
      <c r="S1108" s="17" t="n"/>
      <c r="T1108" s="17" t="n"/>
      <c r="U1108" s="17" t="n"/>
      <c r="V1108" s="17" t="n"/>
      <c r="W1108" s="17" t="n"/>
      <c r="X1108" s="17" t="n"/>
      <c r="Y1108" s="17" t="n">
        <v>1</v>
      </c>
      <c r="Z1108" s="13">
        <f>SUMPRODUCT(N1108:Y1108,$N$2:$Y$2)*$K1108*$L1108*$M1108</f>
        <v/>
      </c>
      <c r="AA1108" s="14">
        <f>SUM(N1108:Y1108)</f>
        <v/>
      </c>
      <c r="AB1108" s="14">
        <f>IFERROR(IF(UPPER($E1108)="L",SUMPRODUCT(N1108:Y1108,$N$3:$Y$3,$N$2:$Y$2),SUMPRODUCT(N1108:Y1108,$N$4:$Y$4,$N$2:$Y$2))/(Z1108/($K1108*$L1108*$M1108)),"")</f>
        <v/>
      </c>
      <c r="AC1108" s="18" t="n"/>
    </row>
    <row r="1109">
      <c r="A1109" s="9" t="n">
        <v>811765</v>
      </c>
      <c r="B1109" s="9" t="inlineStr">
        <is>
          <t>Deniel Ortiz</t>
        </is>
      </c>
      <c r="C1109" s="9" t="inlineStr">
        <is>
          <t>STL</t>
        </is>
      </c>
      <c r="D1109" s="9" t="n">
        <v>23</v>
      </c>
      <c r="E1109" s="16" t="inlineStr">
        <is>
          <t>R</t>
        </is>
      </c>
      <c r="F1109" s="16" t="n"/>
      <c r="G1109" s="9" t="n">
        <v>91.53846153846152</v>
      </c>
      <c r="H1109" s="9" t="n">
        <v>91.53846153846152</v>
      </c>
      <c r="I1109" s="9" t="inlineStr">
        <is>
          <t>Depth (no MLB PA)</t>
        </is>
      </c>
      <c r="J1109" s="16" t="inlineStr">
        <is>
          <t>Opening Day</t>
        </is>
      </c>
      <c r="K1109" s="11">
        <f>IFERROR(INDEX(Roles!$B$17:$B$20,MATCH(J1109,Roles!$A$17:$A$20,0)),1)</f>
        <v/>
      </c>
      <c r="L1109" s="17" t="n">
        <v>1</v>
      </c>
      <c r="M1109" s="11" t="n">
        <v>1</v>
      </c>
      <c r="N1109" s="17" t="n"/>
      <c r="O1109" s="17" t="n"/>
      <c r="P1109" s="17" t="n"/>
      <c r="Q1109" s="17" t="n"/>
      <c r="R1109" s="17" t="n"/>
      <c r="S1109" s="17" t="n"/>
      <c r="T1109" s="17" t="n"/>
      <c r="U1109" s="17" t="n"/>
      <c r="V1109" s="17" t="n"/>
      <c r="W1109" s="17" t="n"/>
      <c r="X1109" s="17" t="n"/>
      <c r="Y1109" s="17" t="n">
        <v>1</v>
      </c>
      <c r="Z1109" s="13">
        <f>SUMPRODUCT(N1109:Y1109,$N$2:$Y$2)*$K1109*$L1109*$M1109</f>
        <v/>
      </c>
      <c r="AA1109" s="14">
        <f>SUM(N1109:Y1109)</f>
        <v/>
      </c>
      <c r="AB1109" s="14">
        <f>IFERROR(IF(UPPER($E1109)="L",SUMPRODUCT(N1109:Y1109,$N$3:$Y$3,$N$2:$Y$2),SUMPRODUCT(N1109:Y1109,$N$4:$Y$4,$N$2:$Y$2))/(Z1109/($K1109*$L1109*$M1109)),"")</f>
        <v/>
      </c>
      <c r="AC1109" s="18" t="n"/>
    </row>
    <row r="1110">
      <c r="A1110" s="9" t="n">
        <v>806233</v>
      </c>
      <c r="B1110" s="9" t="inlineStr">
        <is>
          <t>Luke Stevenson</t>
        </is>
      </c>
      <c r="C1110" s="9" t="inlineStr">
        <is>
          <t>SEA</t>
        </is>
      </c>
      <c r="D1110" s="9" t="n">
        <v>23</v>
      </c>
      <c r="E1110" s="16" t="inlineStr">
        <is>
          <t>L</t>
        </is>
      </c>
      <c r="F1110" s="16" t="n"/>
      <c r="G1110" s="9" t="n">
        <v>95.3846153846154</v>
      </c>
      <c r="H1110" s="9" t="n">
        <v>95.3846153846154</v>
      </c>
      <c r="I1110" s="9" t="inlineStr">
        <is>
          <t>Depth (no MLB PA)</t>
        </is>
      </c>
      <c r="J1110" s="16" t="inlineStr">
        <is>
          <t>Opening Day</t>
        </is>
      </c>
      <c r="K1110" s="11">
        <f>IFERROR(INDEX(Roles!$B$17:$B$20,MATCH(J1110,Roles!$A$17:$A$20,0)),1)</f>
        <v/>
      </c>
      <c r="L1110" s="17" t="n">
        <v>1</v>
      </c>
      <c r="M1110" s="11" t="n">
        <v>1</v>
      </c>
      <c r="N1110" s="17" t="n"/>
      <c r="O1110" s="17" t="n"/>
      <c r="P1110" s="17" t="n"/>
      <c r="Q1110" s="17" t="n"/>
      <c r="R1110" s="17" t="n"/>
      <c r="S1110" s="17" t="n"/>
      <c r="T1110" s="17" t="n"/>
      <c r="U1110" s="17" t="n"/>
      <c r="V1110" s="17" t="n"/>
      <c r="W1110" s="17" t="n"/>
      <c r="X1110" s="17" t="n"/>
      <c r="Y1110" s="17" t="n">
        <v>1</v>
      </c>
      <c r="Z1110" s="13">
        <f>SUMPRODUCT(N1110:Y1110,$N$2:$Y$2)*$K1110*$L1110*$M1110</f>
        <v/>
      </c>
      <c r="AA1110" s="14">
        <f>SUM(N1110:Y1110)</f>
        <v/>
      </c>
      <c r="AB1110" s="14">
        <f>IFERROR(IF(UPPER($E1110)="L",SUMPRODUCT(N1110:Y1110,$N$3:$Y$3,$N$2:$Y$2),SUMPRODUCT(N1110:Y1110,$N$4:$Y$4,$N$2:$Y$2))/(Z1110/($K1110*$L1110*$M1110)),"")</f>
        <v/>
      </c>
      <c r="AC1110" s="18" t="n"/>
    </row>
    <row r="1111">
      <c r="A1111" s="9" t="n">
        <v>683569</v>
      </c>
      <c r="B1111" s="9" t="inlineStr">
        <is>
          <t>Jose Colmenares</t>
        </is>
      </c>
      <c r="C1111" s="9" t="inlineStr">
        <is>
          <t>CWS</t>
        </is>
      </c>
      <c r="D1111" s="9" t="n">
        <v>25</v>
      </c>
      <c r="E1111" s="16" t="inlineStr">
        <is>
          <t>R</t>
        </is>
      </c>
      <c r="F1111" s="16" t="n"/>
      <c r="G1111" s="9" t="n">
        <v>31.58974358974359</v>
      </c>
      <c r="H1111" s="9" t="n">
        <v>31.58974358974359</v>
      </c>
      <c r="I1111" s="9" t="inlineStr">
        <is>
          <t>Depth (no MLB PA)</t>
        </is>
      </c>
      <c r="J1111" s="16" t="inlineStr">
        <is>
          <t>Opening Day</t>
        </is>
      </c>
      <c r="K1111" s="11">
        <f>IFERROR(INDEX(Roles!$B$17:$B$20,MATCH(J1111,Roles!$A$17:$A$20,0)),1)</f>
        <v/>
      </c>
      <c r="L1111" s="17" t="n">
        <v>1</v>
      </c>
      <c r="M1111" s="11" t="n">
        <v>1</v>
      </c>
      <c r="N1111" s="17" t="n"/>
      <c r="O1111" s="17" t="n"/>
      <c r="P1111" s="17" t="n"/>
      <c r="Q1111" s="17" t="n"/>
      <c r="R1111" s="17" t="n"/>
      <c r="S1111" s="17" t="n"/>
      <c r="T1111" s="17" t="n"/>
      <c r="U1111" s="17" t="n"/>
      <c r="V1111" s="17" t="n"/>
      <c r="W1111" s="17" t="n"/>
      <c r="X1111" s="17" t="n"/>
      <c r="Y1111" s="17" t="n">
        <v>1</v>
      </c>
      <c r="Z1111" s="13">
        <f>SUMPRODUCT(N1111:Y1111,$N$2:$Y$2)*$K1111*$L1111*$M1111</f>
        <v/>
      </c>
      <c r="AA1111" s="14">
        <f>SUM(N1111:Y1111)</f>
        <v/>
      </c>
      <c r="AB1111" s="14">
        <f>IFERROR(IF(UPPER($E1111)="L",SUMPRODUCT(N1111:Y1111,$N$3:$Y$3,$N$2:$Y$2),SUMPRODUCT(N1111:Y1111,$N$4:$Y$4,$N$2:$Y$2))/(Z1111/($K1111*$L1111*$M1111)),"")</f>
        <v/>
      </c>
      <c r="AC1111" s="18" t="n"/>
    </row>
    <row r="1112">
      <c r="A1112" s="9" t="n">
        <v>811551</v>
      </c>
      <c r="B1112" s="9" t="inlineStr">
        <is>
          <t>Isael Arias</t>
        </is>
      </c>
      <c r="C1112" s="9" t="inlineStr">
        <is>
          <t>NYY</t>
        </is>
      </c>
      <c r="D1112" s="9" t="n">
        <v>25</v>
      </c>
      <c r="E1112" s="16" t="inlineStr">
        <is>
          <t>R</t>
        </is>
      </c>
      <c r="F1112" s="16" t="n"/>
      <c r="G1112" s="9" t="n">
        <v>6.276923076923077</v>
      </c>
      <c r="H1112" s="9" t="n">
        <v>6.276923076923077</v>
      </c>
      <c r="I1112" s="9" t="inlineStr">
        <is>
          <t>Depth (no MLB PA)</t>
        </is>
      </c>
      <c r="J1112" s="16" t="inlineStr">
        <is>
          <t>Opening Day</t>
        </is>
      </c>
      <c r="K1112" s="11">
        <f>IFERROR(INDEX(Roles!$B$17:$B$20,MATCH(J1112,Roles!$A$17:$A$20,0)),1)</f>
        <v/>
      </c>
      <c r="L1112" s="17" t="n">
        <v>1</v>
      </c>
      <c r="M1112" s="11" t="n">
        <v>1</v>
      </c>
      <c r="N1112" s="17" t="n"/>
      <c r="O1112" s="17" t="n"/>
      <c r="P1112" s="17" t="n"/>
      <c r="Q1112" s="17" t="n"/>
      <c r="R1112" s="17" t="n"/>
      <c r="S1112" s="17" t="n"/>
      <c r="T1112" s="17" t="n"/>
      <c r="U1112" s="17" t="n"/>
      <c r="V1112" s="17" t="n"/>
      <c r="W1112" s="17" t="n"/>
      <c r="X1112" s="17" t="n"/>
      <c r="Y1112" s="17" t="n">
        <v>1</v>
      </c>
      <c r="Z1112" s="13">
        <f>SUMPRODUCT(N1112:Y1112,$N$2:$Y$2)*$K1112*$L1112*$M1112</f>
        <v/>
      </c>
      <c r="AA1112" s="14">
        <f>SUM(N1112:Y1112)</f>
        <v/>
      </c>
      <c r="AB1112" s="14">
        <f>IFERROR(IF(UPPER($E1112)="L",SUMPRODUCT(N1112:Y1112,$N$3:$Y$3,$N$2:$Y$2),SUMPRODUCT(N1112:Y1112,$N$4:$Y$4,$N$2:$Y$2))/(Z1112/($K1112*$L1112*$M1112)),"")</f>
        <v/>
      </c>
      <c r="AC1112" s="18" t="n"/>
    </row>
    <row r="1113">
      <c r="A1113" s="9" t="n">
        <v>808298</v>
      </c>
      <c r="B1113" s="9" t="inlineStr">
        <is>
          <t>Heriberto Rincon</t>
        </is>
      </c>
      <c r="C1113" s="9" t="inlineStr">
        <is>
          <t>NYM</t>
        </is>
      </c>
      <c r="D1113" s="9" t="n">
        <v>25</v>
      </c>
      <c r="E1113" s="16" t="inlineStr">
        <is>
          <t>R</t>
        </is>
      </c>
      <c r="F1113" s="16" t="n"/>
      <c r="G1113" s="9" t="n">
        <v>6.35897435897436</v>
      </c>
      <c r="H1113" s="9" t="n">
        <v>6.35897435897436</v>
      </c>
      <c r="I1113" s="9" t="inlineStr">
        <is>
          <t>Depth (no MLB PA)</t>
        </is>
      </c>
      <c r="J1113" s="16" t="inlineStr">
        <is>
          <t>Opening Day</t>
        </is>
      </c>
      <c r="K1113" s="11">
        <f>IFERROR(INDEX(Roles!$B$17:$B$20,MATCH(J1113,Roles!$A$17:$A$20,0)),1)</f>
        <v/>
      </c>
      <c r="L1113" s="17" t="n">
        <v>1</v>
      </c>
      <c r="M1113" s="11" t="n">
        <v>1</v>
      </c>
      <c r="N1113" s="17" t="n"/>
      <c r="O1113" s="17" t="n"/>
      <c r="P1113" s="17" t="n"/>
      <c r="Q1113" s="17" t="n"/>
      <c r="R1113" s="17" t="n"/>
      <c r="S1113" s="17" t="n"/>
      <c r="T1113" s="17" t="n"/>
      <c r="U1113" s="17" t="n"/>
      <c r="V1113" s="17" t="n"/>
      <c r="W1113" s="17" t="n"/>
      <c r="X1113" s="17" t="n"/>
      <c r="Y1113" s="17" t="n">
        <v>1</v>
      </c>
      <c r="Z1113" s="13">
        <f>SUMPRODUCT(N1113:Y1113,$N$2:$Y$2)*$K1113*$L1113*$M1113</f>
        <v/>
      </c>
      <c r="AA1113" s="14">
        <f>SUM(N1113:Y1113)</f>
        <v/>
      </c>
      <c r="AB1113" s="14">
        <f>IFERROR(IF(UPPER($E1113)="L",SUMPRODUCT(N1113:Y1113,$N$3:$Y$3,$N$2:$Y$2),SUMPRODUCT(N1113:Y1113,$N$4:$Y$4,$N$2:$Y$2))/(Z1113/($K1113*$L1113*$M1113)),"")</f>
        <v/>
      </c>
      <c r="AC1113" s="18" t="n"/>
    </row>
    <row r="1114">
      <c r="A1114" s="9" t="n">
        <v>691191</v>
      </c>
      <c r="B1114" s="9" t="inlineStr">
        <is>
          <t>Jose Salas</t>
        </is>
      </c>
      <c r="C1114" s="9" t="inlineStr">
        <is>
          <t>MIN</t>
        </is>
      </c>
      <c r="D1114" s="9" t="n">
        <v>25</v>
      </c>
      <c r="E1114" s="16" t="inlineStr">
        <is>
          <t>L</t>
        </is>
      </c>
      <c r="F1114" s="16" t="n"/>
      <c r="G1114" s="9" t="n">
        <v>64.61538461538461</v>
      </c>
      <c r="H1114" s="9" t="n">
        <v>64.61538461538461</v>
      </c>
      <c r="I1114" s="9" t="inlineStr">
        <is>
          <t>Depth (no MLB PA)</t>
        </is>
      </c>
      <c r="J1114" s="16" t="inlineStr">
        <is>
          <t>Opening Day</t>
        </is>
      </c>
      <c r="K1114" s="11">
        <f>IFERROR(INDEX(Roles!$B$17:$B$20,MATCH(J1114,Roles!$A$17:$A$20,0)),1)</f>
        <v/>
      </c>
      <c r="L1114" s="17" t="n">
        <v>1</v>
      </c>
      <c r="M1114" s="11" t="n">
        <v>1</v>
      </c>
      <c r="N1114" s="17" t="n"/>
      <c r="O1114" s="17" t="n"/>
      <c r="P1114" s="17" t="n"/>
      <c r="Q1114" s="17" t="n"/>
      <c r="R1114" s="17" t="n"/>
      <c r="S1114" s="17" t="n"/>
      <c r="T1114" s="17" t="n"/>
      <c r="U1114" s="17" t="n"/>
      <c r="V1114" s="17" t="n"/>
      <c r="W1114" s="17" t="n"/>
      <c r="X1114" s="17" t="n"/>
      <c r="Y1114" s="17" t="n">
        <v>1</v>
      </c>
      <c r="Z1114" s="13">
        <f>SUMPRODUCT(N1114:Y1114,$N$2:$Y$2)*$K1114*$L1114*$M1114</f>
        <v/>
      </c>
      <c r="AA1114" s="14">
        <f>SUM(N1114:Y1114)</f>
        <v/>
      </c>
      <c r="AB1114" s="14">
        <f>IFERROR(IF(UPPER($E1114)="L",SUMPRODUCT(N1114:Y1114,$N$3:$Y$3,$N$2:$Y$2),SUMPRODUCT(N1114:Y1114,$N$4:$Y$4,$N$2:$Y$2))/(Z1114/($K1114*$L1114*$M1114)),"")</f>
        <v/>
      </c>
      <c r="AC1114" s="18" t="n"/>
    </row>
    <row r="1115">
      <c r="A1115" s="9" t="n">
        <v>806494</v>
      </c>
      <c r="B1115" s="9" t="inlineStr">
        <is>
          <t>Kam Durnin</t>
        </is>
      </c>
      <c r="C1115" s="9" t="inlineStr">
        <is>
          <t>HOU</t>
        </is>
      </c>
      <c r="D1115" s="9" t="n">
        <v>25</v>
      </c>
      <c r="E1115" s="16" t="inlineStr">
        <is>
          <t>R</t>
        </is>
      </c>
      <c r="F1115" s="16" t="n"/>
      <c r="G1115" s="9" t="n">
        <v>10.70769230769231</v>
      </c>
      <c r="H1115" s="9" t="n">
        <v>10.70769230769231</v>
      </c>
      <c r="I1115" s="9" t="inlineStr">
        <is>
          <t>Depth (no MLB PA)</t>
        </is>
      </c>
      <c r="J1115" s="16" t="inlineStr">
        <is>
          <t>Opening Day</t>
        </is>
      </c>
      <c r="K1115" s="11">
        <f>IFERROR(INDEX(Roles!$B$17:$B$20,MATCH(J1115,Roles!$A$17:$A$20,0)),1)</f>
        <v/>
      </c>
      <c r="L1115" s="17" t="n">
        <v>1</v>
      </c>
      <c r="M1115" s="11" t="n">
        <v>1</v>
      </c>
      <c r="N1115" s="17" t="n"/>
      <c r="O1115" s="17" t="n"/>
      <c r="P1115" s="17" t="n"/>
      <c r="Q1115" s="17" t="n"/>
      <c r="R1115" s="17" t="n"/>
      <c r="S1115" s="17" t="n"/>
      <c r="T1115" s="17" t="n"/>
      <c r="U1115" s="17" t="n"/>
      <c r="V1115" s="17" t="n"/>
      <c r="W1115" s="17" t="n"/>
      <c r="X1115" s="17" t="n"/>
      <c r="Y1115" s="17" t="n">
        <v>1</v>
      </c>
      <c r="Z1115" s="13">
        <f>SUMPRODUCT(N1115:Y1115,$N$2:$Y$2)*$K1115*$L1115*$M1115</f>
        <v/>
      </c>
      <c r="AA1115" s="14">
        <f>SUM(N1115:Y1115)</f>
        <v/>
      </c>
      <c r="AB1115" s="14">
        <f>IFERROR(IF(UPPER($E1115)="L",SUMPRODUCT(N1115:Y1115,$N$3:$Y$3,$N$2:$Y$2),SUMPRODUCT(N1115:Y1115,$N$4:$Y$4,$N$2:$Y$2))/(Z1115/($K1115*$L1115*$M1115)),"")</f>
        <v/>
      </c>
      <c r="AC1115" s="18" t="n"/>
    </row>
    <row r="1116">
      <c r="A1116" s="9" t="n">
        <v>823050</v>
      </c>
      <c r="B1116" s="9" t="inlineStr">
        <is>
          <t>Mulivai Levu</t>
        </is>
      </c>
      <c r="C1116" s="9" t="inlineStr">
        <is>
          <t>CIN</t>
        </is>
      </c>
      <c r="D1116" s="9" t="n">
        <v>25</v>
      </c>
      <c r="E1116" s="16" t="inlineStr">
        <is>
          <t>L</t>
        </is>
      </c>
      <c r="F1116" s="16" t="n"/>
      <c r="G1116" s="9" t="n">
        <v>10.83076923076923</v>
      </c>
      <c r="H1116" s="9" t="n">
        <v>10.83076923076923</v>
      </c>
      <c r="I1116" s="9" t="inlineStr">
        <is>
          <t>Depth (no MLB PA)</t>
        </is>
      </c>
      <c r="J1116" s="16" t="inlineStr">
        <is>
          <t>Opening Day</t>
        </is>
      </c>
      <c r="K1116" s="11">
        <f>IFERROR(INDEX(Roles!$B$17:$B$20,MATCH(J1116,Roles!$A$17:$A$20,0)),1)</f>
        <v/>
      </c>
      <c r="L1116" s="17" t="n">
        <v>1</v>
      </c>
      <c r="M1116" s="11" t="n">
        <v>1</v>
      </c>
      <c r="N1116" s="17" t="n"/>
      <c r="O1116" s="17" t="n"/>
      <c r="P1116" s="17" t="n"/>
      <c r="Q1116" s="17" t="n"/>
      <c r="R1116" s="17" t="n"/>
      <c r="S1116" s="17" t="n"/>
      <c r="T1116" s="17" t="n"/>
      <c r="U1116" s="17" t="n"/>
      <c r="V1116" s="17" t="n"/>
      <c r="W1116" s="17" t="n"/>
      <c r="X1116" s="17" t="n"/>
      <c r="Y1116" s="17" t="n">
        <v>1</v>
      </c>
      <c r="Z1116" s="13">
        <f>SUMPRODUCT(N1116:Y1116,$N$2:$Y$2)*$K1116*$L1116*$M1116</f>
        <v/>
      </c>
      <c r="AA1116" s="14">
        <f>SUM(N1116:Y1116)</f>
        <v/>
      </c>
      <c r="AB1116" s="14">
        <f>IFERROR(IF(UPPER($E1116)="L",SUMPRODUCT(N1116:Y1116,$N$3:$Y$3,$N$2:$Y$2),SUMPRODUCT(N1116:Y1116,$N$4:$Y$4,$N$2:$Y$2))/(Z1116/($K1116*$L1116*$M1116)),"")</f>
        <v/>
      </c>
      <c r="AC1116" s="18" t="n"/>
    </row>
    <row r="1117">
      <c r="A1117" s="9" t="n">
        <v>821262</v>
      </c>
      <c r="B1117" s="9" t="inlineStr">
        <is>
          <t>José Anderson</t>
        </is>
      </c>
      <c r="C1117" s="9" t="inlineStr">
        <is>
          <t>MIL</t>
        </is>
      </c>
      <c r="D1117" s="9" t="n">
        <v>25</v>
      </c>
      <c r="E1117" s="16" t="inlineStr">
        <is>
          <t>R</t>
        </is>
      </c>
      <c r="F1117" s="16" t="n"/>
      <c r="G1117" s="9" t="n">
        <v>54.27692307692308</v>
      </c>
      <c r="H1117" s="9" t="n">
        <v>54.27692307692308</v>
      </c>
      <c r="I1117" s="9" t="inlineStr">
        <is>
          <t>Depth (no MLB PA)</t>
        </is>
      </c>
      <c r="J1117" s="16" t="inlineStr">
        <is>
          <t>Opening Day</t>
        </is>
      </c>
      <c r="K1117" s="11">
        <f>IFERROR(INDEX(Roles!$B$17:$B$20,MATCH(J1117,Roles!$A$17:$A$20,0)),1)</f>
        <v/>
      </c>
      <c r="L1117" s="17" t="n">
        <v>1</v>
      </c>
      <c r="M1117" s="11" t="n">
        <v>1</v>
      </c>
      <c r="N1117" s="17" t="n"/>
      <c r="O1117" s="17" t="n"/>
      <c r="P1117" s="17" t="n"/>
      <c r="Q1117" s="17" t="n"/>
      <c r="R1117" s="17" t="n"/>
      <c r="S1117" s="17" t="n"/>
      <c r="T1117" s="17" t="n"/>
      <c r="U1117" s="17" t="n"/>
      <c r="V1117" s="17" t="n"/>
      <c r="W1117" s="17" t="n"/>
      <c r="X1117" s="17" t="n"/>
      <c r="Y1117" s="17" t="n">
        <v>1</v>
      </c>
      <c r="Z1117" s="13">
        <f>SUMPRODUCT(N1117:Y1117,$N$2:$Y$2)*$K1117*$L1117*$M1117</f>
        <v/>
      </c>
      <c r="AA1117" s="14">
        <f>SUM(N1117:Y1117)</f>
        <v/>
      </c>
      <c r="AB1117" s="14">
        <f>IFERROR(IF(UPPER($E1117)="L",SUMPRODUCT(N1117:Y1117,$N$3:$Y$3,$N$2:$Y$2),SUMPRODUCT(N1117:Y1117,$N$4:$Y$4,$N$2:$Y$2))/(Z1117/($K1117*$L1117*$M1117)),"")</f>
        <v/>
      </c>
      <c r="AC1117" s="18" t="n"/>
    </row>
    <row r="1118">
      <c r="A1118" s="9" t="n">
        <v>823658</v>
      </c>
      <c r="B1118" s="9" t="inlineStr">
        <is>
          <t>Daniel Dickinson</t>
        </is>
      </c>
      <c r="C1118" s="9" t="inlineStr">
        <is>
          <t>MIL</t>
        </is>
      </c>
      <c r="D1118" s="9" t="n">
        <v>25</v>
      </c>
      <c r="E1118" s="16" t="inlineStr">
        <is>
          <t>R</t>
        </is>
      </c>
      <c r="F1118" s="16" t="n"/>
      <c r="G1118" s="9" t="n">
        <v>6.461538461538462</v>
      </c>
      <c r="H1118" s="9" t="n">
        <v>6.461538461538462</v>
      </c>
      <c r="I1118" s="9" t="inlineStr">
        <is>
          <t>Depth (no MLB PA)</t>
        </is>
      </c>
      <c r="J1118" s="16" t="inlineStr">
        <is>
          <t>Opening Day</t>
        </is>
      </c>
      <c r="K1118" s="11">
        <f>IFERROR(INDEX(Roles!$B$17:$B$20,MATCH(J1118,Roles!$A$17:$A$20,0)),1)</f>
        <v/>
      </c>
      <c r="L1118" s="17" t="n">
        <v>1</v>
      </c>
      <c r="M1118" s="11" t="n">
        <v>1</v>
      </c>
      <c r="N1118" s="17" t="n"/>
      <c r="O1118" s="17" t="n"/>
      <c r="P1118" s="17" t="n"/>
      <c r="Q1118" s="17" t="n"/>
      <c r="R1118" s="17" t="n"/>
      <c r="S1118" s="17" t="n"/>
      <c r="T1118" s="17" t="n"/>
      <c r="U1118" s="17" t="n"/>
      <c r="V1118" s="17" t="n"/>
      <c r="W1118" s="17" t="n"/>
      <c r="X1118" s="17" t="n"/>
      <c r="Y1118" s="17" t="n">
        <v>1</v>
      </c>
      <c r="Z1118" s="13">
        <f>SUMPRODUCT(N1118:Y1118,$N$2:$Y$2)*$K1118*$L1118*$M1118</f>
        <v/>
      </c>
      <c r="AA1118" s="14">
        <f>SUM(N1118:Y1118)</f>
        <v/>
      </c>
      <c r="AB1118" s="14">
        <f>IFERROR(IF(UPPER($E1118)="L",SUMPRODUCT(N1118:Y1118,$N$3:$Y$3,$N$2:$Y$2),SUMPRODUCT(N1118:Y1118,$N$4:$Y$4,$N$2:$Y$2))/(Z1118/($K1118*$L1118*$M1118)),"")</f>
        <v/>
      </c>
      <c r="AC1118" s="18" t="n"/>
    </row>
    <row r="1119">
      <c r="A1119" s="9" t="n">
        <v>825578</v>
      </c>
      <c r="B1119" s="9" t="inlineStr">
        <is>
          <t>Matt Quintanar</t>
        </is>
      </c>
      <c r="C1119" s="9" t="inlineStr">
        <is>
          <t>PHI</t>
        </is>
      </c>
      <c r="D1119" s="9" t="n">
        <v>25</v>
      </c>
      <c r="E1119" s="16" t="inlineStr">
        <is>
          <t>R</t>
        </is>
      </c>
      <c r="F1119" s="16" t="n"/>
      <c r="G1119" s="9" t="n">
        <v>6.523076923076923</v>
      </c>
      <c r="H1119" s="9" t="n">
        <v>6.523076923076923</v>
      </c>
      <c r="I1119" s="9" t="inlineStr">
        <is>
          <t>Depth (no MLB PA)</t>
        </is>
      </c>
      <c r="J1119" s="16" t="inlineStr">
        <is>
          <t>Opening Day</t>
        </is>
      </c>
      <c r="K1119" s="11">
        <f>IFERROR(INDEX(Roles!$B$17:$B$20,MATCH(J1119,Roles!$A$17:$A$20,0)),1)</f>
        <v/>
      </c>
      <c r="L1119" s="17" t="n">
        <v>1</v>
      </c>
      <c r="M1119" s="11" t="n">
        <v>1</v>
      </c>
      <c r="N1119" s="17" t="n"/>
      <c r="O1119" s="17" t="n"/>
      <c r="P1119" s="17" t="n"/>
      <c r="Q1119" s="17" t="n"/>
      <c r="R1119" s="17" t="n"/>
      <c r="S1119" s="17" t="n"/>
      <c r="T1119" s="17" t="n"/>
      <c r="U1119" s="17" t="n"/>
      <c r="V1119" s="17" t="n"/>
      <c r="W1119" s="17" t="n"/>
      <c r="X1119" s="17" t="n"/>
      <c r="Y1119" s="17" t="n">
        <v>1</v>
      </c>
      <c r="Z1119" s="13">
        <f>SUMPRODUCT(N1119:Y1119,$N$2:$Y$2)*$K1119*$L1119*$M1119</f>
        <v/>
      </c>
      <c r="AA1119" s="14">
        <f>SUM(N1119:Y1119)</f>
        <v/>
      </c>
      <c r="AB1119" s="14">
        <f>IFERROR(IF(UPPER($E1119)="L",SUMPRODUCT(N1119:Y1119,$N$3:$Y$3,$N$2:$Y$2),SUMPRODUCT(N1119:Y1119,$N$4:$Y$4,$N$2:$Y$2))/(Z1119/($K1119*$L1119*$M1119)),"")</f>
        <v/>
      </c>
      <c r="AC1119" s="18" t="n"/>
    </row>
    <row r="1120">
      <c r="A1120" s="9" t="n">
        <v>694318</v>
      </c>
      <c r="B1120" s="9" t="inlineStr">
        <is>
          <t>Austin St. Laurent</t>
        </is>
      </c>
      <c r="C1120" s="9" t="inlineStr">
        <is>
          <t>SEA</t>
        </is>
      </c>
      <c r="D1120" s="9" t="n">
        <v>25</v>
      </c>
      <c r="E1120" s="16" t="inlineStr">
        <is>
          <t>R</t>
        </is>
      </c>
      <c r="F1120" s="16" t="n"/>
      <c r="G1120" s="9" t="n">
        <v>6.461538461538462</v>
      </c>
      <c r="H1120" s="9" t="n">
        <v>6.461538461538462</v>
      </c>
      <c r="I1120" s="9" t="inlineStr">
        <is>
          <t>Depth (no MLB PA)</t>
        </is>
      </c>
      <c r="J1120" s="16" t="inlineStr">
        <is>
          <t>Opening Day</t>
        </is>
      </c>
      <c r="K1120" s="11">
        <f>IFERROR(INDEX(Roles!$B$17:$B$20,MATCH(J1120,Roles!$A$17:$A$20,0)),1)</f>
        <v/>
      </c>
      <c r="L1120" s="17" t="n">
        <v>1</v>
      </c>
      <c r="M1120" s="11" t="n">
        <v>1</v>
      </c>
      <c r="N1120" s="17" t="n"/>
      <c r="O1120" s="17" t="n"/>
      <c r="P1120" s="17" t="n"/>
      <c r="Q1120" s="17" t="n"/>
      <c r="R1120" s="17" t="n"/>
      <c r="S1120" s="17" t="n"/>
      <c r="T1120" s="17" t="n"/>
      <c r="U1120" s="17" t="n"/>
      <c r="V1120" s="17" t="n"/>
      <c r="W1120" s="17" t="n"/>
      <c r="X1120" s="17" t="n"/>
      <c r="Y1120" s="17" t="n">
        <v>1</v>
      </c>
      <c r="Z1120" s="13">
        <f>SUMPRODUCT(N1120:Y1120,$N$2:$Y$2)*$K1120*$L1120*$M1120</f>
        <v/>
      </c>
      <c r="AA1120" s="14">
        <f>SUM(N1120:Y1120)</f>
        <v/>
      </c>
      <c r="AB1120" s="14">
        <f>IFERROR(IF(UPPER($E1120)="L",SUMPRODUCT(N1120:Y1120,$N$3:$Y$3,$N$2:$Y$2),SUMPRODUCT(N1120:Y1120,$N$4:$Y$4,$N$2:$Y$2))/(Z1120/($K1120*$L1120*$M1120)),"")</f>
        <v/>
      </c>
      <c r="AC1120" s="18" t="n"/>
    </row>
    <row r="1121">
      <c r="A1121" s="9" t="n">
        <v>681581</v>
      </c>
      <c r="B1121" s="9" t="inlineStr">
        <is>
          <t>Andy Weber</t>
        </is>
      </c>
      <c r="C1121" s="9" t="inlineStr">
        <is>
          <t>CWS</t>
        </is>
      </c>
      <c r="D1121" s="9" t="n">
        <v>25</v>
      </c>
      <c r="E1121" s="16" t="inlineStr">
        <is>
          <t>L</t>
        </is>
      </c>
      <c r="F1121" s="16" t="n"/>
      <c r="G1121" s="9" t="n">
        <v>192.3589743589744</v>
      </c>
      <c r="H1121" s="9" t="n">
        <v>192.3589743589744</v>
      </c>
      <c r="I1121" s="9" t="inlineStr">
        <is>
          <t>Depth (no MLB PA)</t>
        </is>
      </c>
      <c r="J1121" s="16" t="inlineStr">
        <is>
          <t>Opening Day</t>
        </is>
      </c>
      <c r="K1121" s="11">
        <f>IFERROR(INDEX(Roles!$B$17:$B$20,MATCH(J1121,Roles!$A$17:$A$20,0)),1)</f>
        <v/>
      </c>
      <c r="L1121" s="17" t="n">
        <v>1</v>
      </c>
      <c r="M1121" s="11" t="n">
        <v>1</v>
      </c>
      <c r="N1121" s="17" t="n"/>
      <c r="O1121" s="17" t="n"/>
      <c r="P1121" s="17" t="n"/>
      <c r="Q1121" s="17" t="n"/>
      <c r="R1121" s="17" t="n"/>
      <c r="S1121" s="17" t="n"/>
      <c r="T1121" s="17" t="n"/>
      <c r="U1121" s="17" t="n"/>
      <c r="V1121" s="17" t="n"/>
      <c r="W1121" s="17" t="n"/>
      <c r="X1121" s="17" t="n"/>
      <c r="Y1121" s="17" t="n">
        <v>1</v>
      </c>
      <c r="Z1121" s="13">
        <f>SUMPRODUCT(N1121:Y1121,$N$2:$Y$2)*$K1121*$L1121*$M1121</f>
        <v/>
      </c>
      <c r="AA1121" s="14">
        <f>SUM(N1121:Y1121)</f>
        <v/>
      </c>
      <c r="AB1121" s="14">
        <f>IFERROR(IF(UPPER($E1121)="L",SUMPRODUCT(N1121:Y1121,$N$3:$Y$3,$N$2:$Y$2),SUMPRODUCT(N1121:Y1121,$N$4:$Y$4,$N$2:$Y$2))/(Z1121/($K1121*$L1121*$M1121)),"")</f>
        <v/>
      </c>
      <c r="AC1121" s="18" t="n"/>
    </row>
    <row r="1122">
      <c r="A1122" s="9" t="n">
        <v>694227</v>
      </c>
      <c r="B1122" s="9" t="inlineStr">
        <is>
          <t>Danyer Cueva</t>
        </is>
      </c>
      <c r="C1122" s="9" t="inlineStr">
        <is>
          <t>TEX</t>
        </is>
      </c>
      <c r="D1122" s="9" t="n">
        <v>25</v>
      </c>
      <c r="E1122" s="16" t="inlineStr">
        <is>
          <t>L</t>
        </is>
      </c>
      <c r="F1122" s="16" t="n"/>
      <c r="G1122" s="9" t="n">
        <v>6.461538461538462</v>
      </c>
      <c r="H1122" s="9" t="n">
        <v>6.461538461538462</v>
      </c>
      <c r="I1122" s="9" t="inlineStr">
        <is>
          <t>Depth (no MLB PA)</t>
        </is>
      </c>
      <c r="J1122" s="16" t="inlineStr">
        <is>
          <t>Opening Day</t>
        </is>
      </c>
      <c r="K1122" s="11">
        <f>IFERROR(INDEX(Roles!$B$17:$B$20,MATCH(J1122,Roles!$A$17:$A$20,0)),1)</f>
        <v/>
      </c>
      <c r="L1122" s="17" t="n">
        <v>1</v>
      </c>
      <c r="M1122" s="11" t="n">
        <v>1</v>
      </c>
      <c r="N1122" s="17" t="n"/>
      <c r="O1122" s="17" t="n"/>
      <c r="P1122" s="17" t="n"/>
      <c r="Q1122" s="17" t="n"/>
      <c r="R1122" s="17" t="n"/>
      <c r="S1122" s="17" t="n"/>
      <c r="T1122" s="17" t="n"/>
      <c r="U1122" s="17" t="n"/>
      <c r="V1122" s="17" t="n"/>
      <c r="W1122" s="17" t="n"/>
      <c r="X1122" s="17" t="n"/>
      <c r="Y1122" s="17" t="n">
        <v>1</v>
      </c>
      <c r="Z1122" s="13">
        <f>SUMPRODUCT(N1122:Y1122,$N$2:$Y$2)*$K1122*$L1122*$M1122</f>
        <v/>
      </c>
      <c r="AA1122" s="14">
        <f>SUM(N1122:Y1122)</f>
        <v/>
      </c>
      <c r="AB1122" s="14">
        <f>IFERROR(IF(UPPER($E1122)="L",SUMPRODUCT(N1122:Y1122,$N$3:$Y$3,$N$2:$Y$2),SUMPRODUCT(N1122:Y1122,$N$4:$Y$4,$N$2:$Y$2))/(Z1122/($K1122*$L1122*$M1122)),"")</f>
        <v/>
      </c>
      <c r="AC1122" s="18" t="n"/>
    </row>
    <row r="1123">
      <c r="A1123" s="9" t="n">
        <v>694943</v>
      </c>
      <c r="B1123" s="9" t="inlineStr">
        <is>
          <t>Juan Gonzalez</t>
        </is>
      </c>
      <c r="C1123" s="9" t="inlineStr">
        <is>
          <t>CWS</t>
        </is>
      </c>
      <c r="D1123" s="9" t="n">
        <v>25</v>
      </c>
      <c r="E1123" s="16" t="inlineStr">
        <is>
          <t>R</t>
        </is>
      </c>
      <c r="F1123" s="16" t="n"/>
      <c r="G1123" s="9" t="n">
        <v>6.461538461538462</v>
      </c>
      <c r="H1123" s="9" t="n">
        <v>6.461538461538462</v>
      </c>
      <c r="I1123" s="9" t="inlineStr">
        <is>
          <t>Depth (no MLB PA)</t>
        </is>
      </c>
      <c r="J1123" s="16" t="inlineStr">
        <is>
          <t>Opening Day</t>
        </is>
      </c>
      <c r="K1123" s="11">
        <f>IFERROR(INDEX(Roles!$B$17:$B$20,MATCH(J1123,Roles!$A$17:$A$20,0)),1)</f>
        <v/>
      </c>
      <c r="L1123" s="17" t="n">
        <v>1</v>
      </c>
      <c r="M1123" s="11" t="n">
        <v>1</v>
      </c>
      <c r="N1123" s="17" t="n"/>
      <c r="O1123" s="17" t="n"/>
      <c r="P1123" s="17" t="n"/>
      <c r="Q1123" s="17" t="n"/>
      <c r="R1123" s="17" t="n"/>
      <c r="S1123" s="17" t="n"/>
      <c r="T1123" s="17" t="n"/>
      <c r="U1123" s="17" t="n"/>
      <c r="V1123" s="17" t="n"/>
      <c r="W1123" s="17" t="n"/>
      <c r="X1123" s="17" t="n"/>
      <c r="Y1123" s="17" t="n">
        <v>1</v>
      </c>
      <c r="Z1123" s="13">
        <f>SUMPRODUCT(N1123:Y1123,$N$2:$Y$2)*$K1123*$L1123*$M1123</f>
        <v/>
      </c>
      <c r="AA1123" s="14">
        <f>SUM(N1123:Y1123)</f>
        <v/>
      </c>
      <c r="AB1123" s="14">
        <f>IFERROR(IF(UPPER($E1123)="L",SUMPRODUCT(N1123:Y1123,$N$3:$Y$3,$N$2:$Y$2),SUMPRODUCT(N1123:Y1123,$N$4:$Y$4,$N$2:$Y$2))/(Z1123/($K1123*$L1123*$M1123)),"")</f>
        <v/>
      </c>
      <c r="AC1123" s="18" t="n"/>
    </row>
    <row r="1124">
      <c r="A1124" s="9" t="n">
        <v>578570</v>
      </c>
      <c r="B1124" s="9" t="inlineStr">
        <is>
          <t>Juniel Querecuto</t>
        </is>
      </c>
      <c r="C1124" s="9" t="inlineStr">
        <is>
          <t>STL</t>
        </is>
      </c>
      <c r="D1124" s="9" t="n">
        <v>34</v>
      </c>
      <c r="E1124" s="16" t="inlineStr">
        <is>
          <t>S</t>
        </is>
      </c>
      <c r="F1124" s="16" t="inlineStr">
        <is>
          <t>3B</t>
        </is>
      </c>
      <c r="G1124" s="9" t="n">
        <v>21</v>
      </c>
      <c r="H1124" s="9" t="n">
        <v>21</v>
      </c>
      <c r="I1124" s="9" t="inlineStr">
        <is>
          <t>Depth (no MLB PA)</t>
        </is>
      </c>
      <c r="J1124" s="16" t="inlineStr">
        <is>
          <t>Opening Day</t>
        </is>
      </c>
      <c r="K1124" s="11">
        <f>IFERROR(INDEX(Roles!$B$17:$B$20,MATCH(J1124,Roles!$A$17:$A$20,0)),1)</f>
        <v/>
      </c>
      <c r="L1124" s="17" t="n">
        <v>1</v>
      </c>
      <c r="M1124" s="11" t="n">
        <v>1</v>
      </c>
      <c r="N1124" s="17" t="n"/>
      <c r="O1124" s="17" t="n"/>
      <c r="P1124" s="17" t="n"/>
      <c r="Q1124" s="17" t="n"/>
      <c r="R1124" s="17" t="n"/>
      <c r="S1124" s="17" t="n"/>
      <c r="T1124" s="17" t="n"/>
      <c r="U1124" s="17" t="n"/>
      <c r="V1124" s="17" t="n"/>
      <c r="W1124" s="17" t="n"/>
      <c r="X1124" s="17" t="n"/>
      <c r="Y1124" s="17" t="n">
        <v>1</v>
      </c>
      <c r="Z1124" s="13">
        <f>SUMPRODUCT(N1124:Y1124,$N$2:$Y$2)*$K1124*$L1124*$M1124</f>
        <v/>
      </c>
      <c r="AA1124" s="14">
        <f>SUM(N1124:Y1124)</f>
        <v/>
      </c>
      <c r="AB1124" s="14">
        <f>IFERROR(IF(UPPER($E1124)="L",SUMPRODUCT(N1124:Y1124,$N$3:$Y$3,$N$2:$Y$2),SUMPRODUCT(N1124:Y1124,$N$4:$Y$4,$N$2:$Y$2))/(Z1124/($K1124*$L1124*$M1124)),"")</f>
        <v/>
      </c>
      <c r="AC1124" s="18" t="n"/>
    </row>
    <row r="1125">
      <c r="A1125" s="9" t="n">
        <v>692169</v>
      </c>
      <c r="B1125" s="9" t="inlineStr">
        <is>
          <t>Jonny McGill</t>
        </is>
      </c>
      <c r="C1125" s="9" t="inlineStr">
        <is>
          <t>LAA</t>
        </is>
      </c>
      <c r="D1125" s="9" t="n">
        <v>25</v>
      </c>
      <c r="E1125" s="16" t="inlineStr">
        <is>
          <t>L</t>
        </is>
      </c>
      <c r="F1125" s="16" t="n"/>
      <c r="G1125" s="9" t="n">
        <v>10.66666666666667</v>
      </c>
      <c r="H1125" s="9" t="n">
        <v>10.66666666666667</v>
      </c>
      <c r="I1125" s="9" t="inlineStr">
        <is>
          <t>Depth (no MLB PA)</t>
        </is>
      </c>
      <c r="J1125" s="16" t="inlineStr">
        <is>
          <t>Opening Day</t>
        </is>
      </c>
      <c r="K1125" s="11">
        <f>IFERROR(INDEX(Roles!$B$17:$B$20,MATCH(J1125,Roles!$A$17:$A$20,0)),1)</f>
        <v/>
      </c>
      <c r="L1125" s="17" t="n">
        <v>1</v>
      </c>
      <c r="M1125" s="11" t="n">
        <v>1</v>
      </c>
      <c r="N1125" s="17" t="n"/>
      <c r="O1125" s="17" t="n"/>
      <c r="P1125" s="17" t="n"/>
      <c r="Q1125" s="17" t="n"/>
      <c r="R1125" s="17" t="n"/>
      <c r="S1125" s="17" t="n"/>
      <c r="T1125" s="17" t="n"/>
      <c r="U1125" s="17" t="n"/>
      <c r="V1125" s="17" t="n"/>
      <c r="W1125" s="17" t="n"/>
      <c r="X1125" s="17" t="n"/>
      <c r="Y1125" s="17" t="n">
        <v>1</v>
      </c>
      <c r="Z1125" s="13">
        <f>SUMPRODUCT(N1125:Y1125,$N$2:$Y$2)*$K1125*$L1125*$M1125</f>
        <v/>
      </c>
      <c r="AA1125" s="14">
        <f>SUM(N1125:Y1125)</f>
        <v/>
      </c>
      <c r="AB1125" s="14">
        <f>IFERROR(IF(UPPER($E1125)="L",SUMPRODUCT(N1125:Y1125,$N$3:$Y$3,$N$2:$Y$2),SUMPRODUCT(N1125:Y1125,$N$4:$Y$4,$N$2:$Y$2))/(Z1125/($K1125*$L1125*$M1125)),"")</f>
        <v/>
      </c>
      <c r="AC1125" s="18" t="n"/>
    </row>
    <row r="1126">
      <c r="A1126" s="9" t="n">
        <v>829751</v>
      </c>
      <c r="B1126" s="9" t="inlineStr">
        <is>
          <t>Angel De Los Santos</t>
        </is>
      </c>
      <c r="C1126" s="9" t="inlineStr">
        <is>
          <t>DET</t>
        </is>
      </c>
      <c r="D1126" s="9" t="n">
        <v>25</v>
      </c>
      <c r="E1126" s="16" t="inlineStr">
        <is>
          <t>R</t>
        </is>
      </c>
      <c r="F1126" s="16" t="n"/>
      <c r="G1126" s="9" t="n">
        <v>12.92307692307692</v>
      </c>
      <c r="H1126" s="9" t="n">
        <v>12.92307692307692</v>
      </c>
      <c r="I1126" s="9" t="inlineStr">
        <is>
          <t>Depth (no MLB PA)</t>
        </is>
      </c>
      <c r="J1126" s="16" t="inlineStr">
        <is>
          <t>Opening Day</t>
        </is>
      </c>
      <c r="K1126" s="11">
        <f>IFERROR(INDEX(Roles!$B$17:$B$20,MATCH(J1126,Roles!$A$17:$A$20,0)),1)</f>
        <v/>
      </c>
      <c r="L1126" s="17" t="n">
        <v>1</v>
      </c>
      <c r="M1126" s="11" t="n">
        <v>1</v>
      </c>
      <c r="N1126" s="17" t="n"/>
      <c r="O1126" s="17" t="n"/>
      <c r="P1126" s="17" t="n"/>
      <c r="Q1126" s="17" t="n"/>
      <c r="R1126" s="17" t="n"/>
      <c r="S1126" s="17" t="n"/>
      <c r="T1126" s="17" t="n"/>
      <c r="U1126" s="17" t="n"/>
      <c r="V1126" s="17" t="n"/>
      <c r="W1126" s="17" t="n"/>
      <c r="X1126" s="17" t="n"/>
      <c r="Y1126" s="17" t="n">
        <v>1</v>
      </c>
      <c r="Z1126" s="13">
        <f>SUMPRODUCT(N1126:Y1126,$N$2:$Y$2)*$K1126*$L1126*$M1126</f>
        <v/>
      </c>
      <c r="AA1126" s="14">
        <f>SUM(N1126:Y1126)</f>
        <v/>
      </c>
      <c r="AB1126" s="14">
        <f>IFERROR(IF(UPPER($E1126)="L",SUMPRODUCT(N1126:Y1126,$N$3:$Y$3,$N$2:$Y$2),SUMPRODUCT(N1126:Y1126,$N$4:$Y$4,$N$2:$Y$2))/(Z1126/($K1126*$L1126*$M1126)),"")</f>
        <v/>
      </c>
      <c r="AC1126" s="18" t="n"/>
    </row>
    <row r="1127">
      <c r="A1127" s="9" t="n">
        <v>702701</v>
      </c>
      <c r="B1127" s="9" t="inlineStr">
        <is>
          <t>Parker Brosius</t>
        </is>
      </c>
      <c r="C1127" s="9" t="inlineStr">
        <is>
          <t>ATL</t>
        </is>
      </c>
      <c r="D1127" s="9" t="n">
        <v>25</v>
      </c>
      <c r="E1127" s="16" t="inlineStr">
        <is>
          <t>R</t>
        </is>
      </c>
      <c r="F1127" s="16" t="n"/>
      <c r="G1127" s="9" t="n">
        <v>12.92307692307692</v>
      </c>
      <c r="H1127" s="9" t="n">
        <v>12.92307692307692</v>
      </c>
      <c r="I1127" s="9" t="inlineStr">
        <is>
          <t>Depth (no MLB PA)</t>
        </is>
      </c>
      <c r="J1127" s="16" t="inlineStr">
        <is>
          <t>Opening Day</t>
        </is>
      </c>
      <c r="K1127" s="11">
        <f>IFERROR(INDEX(Roles!$B$17:$B$20,MATCH(J1127,Roles!$A$17:$A$20,0)),1)</f>
        <v/>
      </c>
      <c r="L1127" s="17" t="n">
        <v>1</v>
      </c>
      <c r="M1127" s="11" t="n">
        <v>1</v>
      </c>
      <c r="N1127" s="17" t="n"/>
      <c r="O1127" s="17" t="n"/>
      <c r="P1127" s="17" t="n"/>
      <c r="Q1127" s="17" t="n"/>
      <c r="R1127" s="17" t="n"/>
      <c r="S1127" s="17" t="n"/>
      <c r="T1127" s="17" t="n"/>
      <c r="U1127" s="17" t="n"/>
      <c r="V1127" s="17" t="n"/>
      <c r="W1127" s="17" t="n"/>
      <c r="X1127" s="17" t="n"/>
      <c r="Y1127" s="17" t="n">
        <v>1</v>
      </c>
      <c r="Z1127" s="13">
        <f>SUMPRODUCT(N1127:Y1127,$N$2:$Y$2)*$K1127*$L1127*$M1127</f>
        <v/>
      </c>
      <c r="AA1127" s="14">
        <f>SUM(N1127:Y1127)</f>
        <v/>
      </c>
      <c r="AB1127" s="14">
        <f>IFERROR(IF(UPPER($E1127)="L",SUMPRODUCT(N1127:Y1127,$N$3:$Y$3,$N$2:$Y$2),SUMPRODUCT(N1127:Y1127,$N$4:$Y$4,$N$2:$Y$2))/(Z1127/($K1127*$L1127*$M1127)),"")</f>
        <v/>
      </c>
      <c r="AC1127" s="18" t="n"/>
    </row>
    <row r="1128">
      <c r="A1128" s="9" t="n">
        <v>676566</v>
      </c>
      <c r="B1128" s="9" t="inlineStr">
        <is>
          <t>Shawn Ross</t>
        </is>
      </c>
      <c r="C1128" s="9" t="inlineStr">
        <is>
          <t>PIT</t>
        </is>
      </c>
      <c r="D1128" s="9" t="n">
        <v>27</v>
      </c>
      <c r="E1128" s="16" t="inlineStr">
        <is>
          <t>R</t>
        </is>
      </c>
      <c r="F1128" s="16" t="inlineStr">
        <is>
          <t>C</t>
        </is>
      </c>
      <c r="G1128" s="9" t="n">
        <v>5</v>
      </c>
      <c r="H1128" s="9" t="n">
        <v>5</v>
      </c>
      <c r="I1128" s="9" t="inlineStr">
        <is>
          <t>Depth (no MLB PA)</t>
        </is>
      </c>
      <c r="J1128" s="16" t="inlineStr">
        <is>
          <t>Opening Day</t>
        </is>
      </c>
      <c r="K1128" s="11">
        <f>IFERROR(INDEX(Roles!$B$17:$B$20,MATCH(J1128,Roles!$A$17:$A$20,0)),1)</f>
        <v/>
      </c>
      <c r="L1128" s="17" t="n">
        <v>1</v>
      </c>
      <c r="M1128" s="11" t="n">
        <v>1</v>
      </c>
      <c r="N1128" s="17" t="n"/>
      <c r="O1128" s="17" t="n"/>
      <c r="P1128" s="17" t="n"/>
      <c r="Q1128" s="17" t="n"/>
      <c r="R1128" s="17" t="n"/>
      <c r="S1128" s="17" t="n"/>
      <c r="T1128" s="17" t="n"/>
      <c r="U1128" s="17" t="n"/>
      <c r="V1128" s="17" t="n"/>
      <c r="W1128" s="17" t="n"/>
      <c r="X1128" s="17" t="n"/>
      <c r="Y1128" s="17" t="n">
        <v>1</v>
      </c>
      <c r="Z1128" s="13">
        <f>SUMPRODUCT(N1128:Y1128,$N$2:$Y$2)*$K1128*$L1128*$M1128</f>
        <v/>
      </c>
      <c r="AA1128" s="14">
        <f>SUM(N1128:Y1128)</f>
        <v/>
      </c>
      <c r="AB1128" s="14">
        <f>IFERROR(IF(UPPER($E1128)="L",SUMPRODUCT(N1128:Y1128,$N$3:$Y$3,$N$2:$Y$2),SUMPRODUCT(N1128:Y1128,$N$4:$Y$4,$N$2:$Y$2))/(Z1128/($K1128*$L1128*$M1128)),"")</f>
        <v/>
      </c>
      <c r="AC1128" s="18" t="n"/>
    </row>
    <row r="1129">
      <c r="A1129" s="9" t="n">
        <v>670712</v>
      </c>
      <c r="B1129" s="9" t="inlineStr">
        <is>
          <t>Mike Brosseau</t>
        </is>
      </c>
      <c r="C1129" s="9" t="inlineStr">
        <is>
          <t>MIL</t>
        </is>
      </c>
      <c r="D1129" s="9" t="n">
        <v>33</v>
      </c>
      <c r="E1129" s="16" t="inlineStr">
        <is>
          <t>R</t>
        </is>
      </c>
      <c r="F1129" s="16" t="inlineStr">
        <is>
          <t>3B</t>
        </is>
      </c>
      <c r="G1129" s="9" t="n">
        <v>78</v>
      </c>
      <c r="H1129" s="9" t="n">
        <v>238</v>
      </c>
      <c r="I1129" s="9" t="inlineStr">
        <is>
          <t>Depth (no MLB PA)</t>
        </is>
      </c>
      <c r="J1129" s="16" t="inlineStr">
        <is>
          <t>Opening Day</t>
        </is>
      </c>
      <c r="K1129" s="11">
        <f>IFERROR(INDEX(Roles!$B$17:$B$20,MATCH(J1129,Roles!$A$17:$A$20,0)),1)</f>
        <v/>
      </c>
      <c r="L1129" s="17" t="n">
        <v>1</v>
      </c>
      <c r="M1129" s="11" t="n">
        <v>1</v>
      </c>
      <c r="N1129" s="17" t="n"/>
      <c r="O1129" s="17" t="n"/>
      <c r="P1129" s="17" t="n"/>
      <c r="Q1129" s="17" t="n"/>
      <c r="R1129" s="17" t="n"/>
      <c r="S1129" s="17" t="n"/>
      <c r="T1129" s="17" t="n"/>
      <c r="U1129" s="17" t="n"/>
      <c r="V1129" s="17" t="n"/>
      <c r="W1129" s="17" t="n"/>
      <c r="X1129" s="17" t="n"/>
      <c r="Y1129" s="17" t="n">
        <v>1</v>
      </c>
      <c r="Z1129" s="13">
        <f>SUMPRODUCT(N1129:Y1129,$N$2:$Y$2)*$K1129*$L1129*$M1129</f>
        <v/>
      </c>
      <c r="AA1129" s="14">
        <f>SUM(N1129:Y1129)</f>
        <v/>
      </c>
      <c r="AB1129" s="14">
        <f>IFERROR(IF(UPPER($E1129)="L",SUMPRODUCT(N1129:Y1129,$N$3:$Y$3,$N$2:$Y$2),SUMPRODUCT(N1129:Y1129,$N$4:$Y$4,$N$2:$Y$2))/(Z1129/($K1129*$L1129*$M1129)),"")</f>
        <v/>
      </c>
      <c r="AC1129" s="18" t="n"/>
    </row>
    <row r="1130">
      <c r="A1130" s="9" t="n">
        <v>801932</v>
      </c>
      <c r="B1130" s="9" t="inlineStr">
        <is>
          <t>Alex McCoy</t>
        </is>
      </c>
      <c r="C1130" s="9" t="inlineStr">
        <is>
          <t>SD</t>
        </is>
      </c>
      <c r="D1130" s="9" t="n">
        <v>25</v>
      </c>
      <c r="E1130" s="16" t="inlineStr">
        <is>
          <t>R</t>
        </is>
      </c>
      <c r="F1130" s="16" t="n"/>
      <c r="G1130" s="9" t="n">
        <v>40.56410256410256</v>
      </c>
      <c r="H1130" s="9" t="n">
        <v>40.56410256410256</v>
      </c>
      <c r="I1130" s="9" t="inlineStr">
        <is>
          <t>Depth (no MLB PA)</t>
        </is>
      </c>
      <c r="J1130" s="16" t="inlineStr">
        <is>
          <t>Opening Day</t>
        </is>
      </c>
      <c r="K1130" s="11">
        <f>IFERROR(INDEX(Roles!$B$17:$B$20,MATCH(J1130,Roles!$A$17:$A$20,0)),1)</f>
        <v/>
      </c>
      <c r="L1130" s="17" t="n">
        <v>1</v>
      </c>
      <c r="M1130" s="11" t="n">
        <v>1</v>
      </c>
      <c r="N1130" s="17" t="n"/>
      <c r="O1130" s="17" t="n"/>
      <c r="P1130" s="17" t="n"/>
      <c r="Q1130" s="17" t="n"/>
      <c r="R1130" s="17" t="n"/>
      <c r="S1130" s="17" t="n"/>
      <c r="T1130" s="17" t="n"/>
      <c r="U1130" s="17" t="n"/>
      <c r="V1130" s="17" t="n"/>
      <c r="W1130" s="17" t="n"/>
      <c r="X1130" s="17" t="n"/>
      <c r="Y1130" s="17" t="n">
        <v>1</v>
      </c>
      <c r="Z1130" s="13">
        <f>SUMPRODUCT(N1130:Y1130,$N$2:$Y$2)*$K1130*$L1130*$M1130</f>
        <v/>
      </c>
      <c r="AA1130" s="14">
        <f>SUM(N1130:Y1130)</f>
        <v/>
      </c>
      <c r="AB1130" s="14">
        <f>IFERROR(IF(UPPER($E1130)="L",SUMPRODUCT(N1130:Y1130,$N$3:$Y$3,$N$2:$Y$2),SUMPRODUCT(N1130:Y1130,$N$4:$Y$4,$N$2:$Y$2))/(Z1130/($K1130*$L1130*$M1130)),"")</f>
        <v/>
      </c>
      <c r="AC1130" s="18" t="n"/>
    </row>
    <row r="1131">
      <c r="A1131" s="9" t="n">
        <v>686681</v>
      </c>
      <c r="B1131" s="9" t="inlineStr">
        <is>
          <t>Michael Massey</t>
        </is>
      </c>
      <c r="C1131" s="9" t="inlineStr">
        <is>
          <t>KC</t>
        </is>
      </c>
      <c r="D1131" s="9" t="n">
        <v>29</v>
      </c>
      <c r="E1131" s="16" t="inlineStr">
        <is>
          <t>L</t>
        </is>
      </c>
      <c r="F1131" s="16" t="inlineStr">
        <is>
          <t>2B</t>
        </is>
      </c>
      <c r="G1131" s="9" t="n">
        <v>452</v>
      </c>
      <c r="H1131" s="9" t="n">
        <v>1740</v>
      </c>
      <c r="I1131" s="9" t="inlineStr">
        <is>
          <t>Strong Side Platoon</t>
        </is>
      </c>
      <c r="J1131" s="16" t="inlineStr">
        <is>
          <t>Opening Day</t>
        </is>
      </c>
      <c r="K1131" s="11">
        <f>IFERROR(INDEX(Roles!$B$17:$B$20,MATCH(J1131,Roles!$A$17:$A$20,0)),1)</f>
        <v/>
      </c>
      <c r="L1131" s="17" t="n">
        <v>1</v>
      </c>
      <c r="M1131" s="11" t="n">
        <v>0.9741742083815536</v>
      </c>
      <c r="N1131" s="17" t="n">
        <v>0.4</v>
      </c>
      <c r="O1131" s="17" t="n"/>
      <c r="P1131" s="17" t="n">
        <v>0.6</v>
      </c>
      <c r="Q1131" s="17" t="n"/>
      <c r="R1131" s="17" t="n"/>
      <c r="S1131" s="17" t="n"/>
      <c r="T1131" s="17" t="n"/>
      <c r="U1131" s="17" t="n"/>
      <c r="V1131" s="17" t="n"/>
      <c r="W1131" s="17" t="n"/>
      <c r="X1131" s="17" t="n"/>
      <c r="Y1131" s="17" t="n"/>
      <c r="Z1131" s="13">
        <f>SUMPRODUCT(N1131:Y1131,$N$2:$Y$2)*$K1131*$L1131*$M1131</f>
        <v/>
      </c>
      <c r="AA1131" s="14">
        <f>SUM(N1131:Y1131)</f>
        <v/>
      </c>
      <c r="AB1131" s="14">
        <f>IFERROR(IF(UPPER($E1131)="L",SUMPRODUCT(N1131:Y1131,$N$3:$Y$3,$N$2:$Y$2),SUMPRODUCT(N1131:Y1131,$N$4:$Y$4,$N$2:$Y$2))/(Z1131/($K1131*$L1131*$M1131)),"")</f>
        <v/>
      </c>
      <c r="AC1131" s="18" t="n"/>
    </row>
    <row r="1132">
      <c r="A1132" s="9" t="n">
        <v>800605</v>
      </c>
      <c r="B1132" s="9" t="inlineStr">
        <is>
          <t>Will Gasparino</t>
        </is>
      </c>
      <c r="C1132" s="9" t="inlineStr">
        <is>
          <t>PHI</t>
        </is>
      </c>
      <c r="D1132" s="9" t="n">
        <v>25</v>
      </c>
      <c r="E1132" s="16" t="inlineStr">
        <is>
          <t>R</t>
        </is>
      </c>
      <c r="F1132" s="16" t="n"/>
      <c r="G1132" s="9" t="n">
        <v>10.95384615384615</v>
      </c>
      <c r="H1132" s="9" t="n">
        <v>10.95384615384615</v>
      </c>
      <c r="I1132" s="9" t="inlineStr">
        <is>
          <t>Depth (no MLB PA)</t>
        </is>
      </c>
      <c r="J1132" s="16" t="inlineStr">
        <is>
          <t>Opening Day</t>
        </is>
      </c>
      <c r="K1132" s="11">
        <f>IFERROR(INDEX(Roles!$B$17:$B$20,MATCH(J1132,Roles!$A$17:$A$20,0)),1)</f>
        <v/>
      </c>
      <c r="L1132" s="17" t="n">
        <v>1</v>
      </c>
      <c r="M1132" s="11" t="n">
        <v>1</v>
      </c>
      <c r="N1132" s="17" t="n"/>
      <c r="O1132" s="17" t="n"/>
      <c r="P1132" s="17" t="n"/>
      <c r="Q1132" s="17" t="n"/>
      <c r="R1132" s="17" t="n"/>
      <c r="S1132" s="17" t="n"/>
      <c r="T1132" s="17" t="n"/>
      <c r="U1132" s="17" t="n"/>
      <c r="V1132" s="17" t="n"/>
      <c r="W1132" s="17" t="n"/>
      <c r="X1132" s="17" t="n"/>
      <c r="Y1132" s="17" t="n">
        <v>1</v>
      </c>
      <c r="Z1132" s="13">
        <f>SUMPRODUCT(N1132:Y1132,$N$2:$Y$2)*$K1132*$L1132*$M1132</f>
        <v/>
      </c>
      <c r="AA1132" s="14">
        <f>SUM(N1132:Y1132)</f>
        <v/>
      </c>
      <c r="AB1132" s="14">
        <f>IFERROR(IF(UPPER($E1132)="L",SUMPRODUCT(N1132:Y1132,$N$3:$Y$3,$N$2:$Y$2),SUMPRODUCT(N1132:Y1132,$N$4:$Y$4,$N$2:$Y$2))/(Z1132/($K1132*$L1132*$M1132)),"")</f>
        <v/>
      </c>
      <c r="AC1132" s="18" t="n"/>
    </row>
    <row r="1133">
      <c r="A1133" s="9" t="n">
        <v>692598</v>
      </c>
      <c r="B1133" s="9" t="inlineStr">
        <is>
          <t>Newremberg Rondon</t>
        </is>
      </c>
      <c r="C1133" s="9" t="inlineStr">
        <is>
          <t>DET</t>
        </is>
      </c>
      <c r="D1133" s="9" t="n">
        <v>25</v>
      </c>
      <c r="E1133" s="16" t="inlineStr">
        <is>
          <t>R</t>
        </is>
      </c>
      <c r="F1133" s="16" t="n"/>
      <c r="G1133" s="9" t="n">
        <v>8.738461538461538</v>
      </c>
      <c r="H1133" s="9" t="n">
        <v>8.738461538461538</v>
      </c>
      <c r="I1133" s="9" t="inlineStr">
        <is>
          <t>Depth (no MLB PA)</t>
        </is>
      </c>
      <c r="J1133" s="16" t="inlineStr">
        <is>
          <t>Opening Day</t>
        </is>
      </c>
      <c r="K1133" s="11">
        <f>IFERROR(INDEX(Roles!$B$17:$B$20,MATCH(J1133,Roles!$A$17:$A$20,0)),1)</f>
        <v/>
      </c>
      <c r="L1133" s="17" t="n">
        <v>1</v>
      </c>
      <c r="M1133" s="11" t="n">
        <v>1</v>
      </c>
      <c r="N1133" s="17" t="n"/>
      <c r="O1133" s="17" t="n"/>
      <c r="P1133" s="17" t="n"/>
      <c r="Q1133" s="17" t="n"/>
      <c r="R1133" s="17" t="n"/>
      <c r="S1133" s="17" t="n"/>
      <c r="T1133" s="17" t="n"/>
      <c r="U1133" s="17" t="n"/>
      <c r="V1133" s="17" t="n"/>
      <c r="W1133" s="17" t="n"/>
      <c r="X1133" s="17" t="n"/>
      <c r="Y1133" s="17" t="n">
        <v>1</v>
      </c>
      <c r="Z1133" s="13">
        <f>SUMPRODUCT(N1133:Y1133,$N$2:$Y$2)*$K1133*$L1133*$M1133</f>
        <v/>
      </c>
      <c r="AA1133" s="14">
        <f>SUM(N1133:Y1133)</f>
        <v/>
      </c>
      <c r="AB1133" s="14">
        <f>IFERROR(IF(UPPER($E1133)="L",SUMPRODUCT(N1133:Y1133,$N$3:$Y$3,$N$2:$Y$2),SUMPRODUCT(N1133:Y1133,$N$4:$Y$4,$N$2:$Y$2))/(Z1133/($K1133*$L1133*$M1133)),"")</f>
        <v/>
      </c>
      <c r="AC1133" s="18" t="n"/>
    </row>
    <row r="1134">
      <c r="A1134" s="9" t="n">
        <v>808120</v>
      </c>
      <c r="B1134" s="9" t="inlineStr">
        <is>
          <t>Samil Dishmey</t>
        </is>
      </c>
      <c r="C1134" s="9" t="inlineStr">
        <is>
          <t>LAA</t>
        </is>
      </c>
      <c r="D1134" s="9" t="n">
        <v>25</v>
      </c>
      <c r="E1134" s="16" t="inlineStr">
        <is>
          <t>L</t>
        </is>
      </c>
      <c r="F1134" s="16" t="n"/>
      <c r="G1134" s="9" t="n">
        <v>10.83076923076923</v>
      </c>
      <c r="H1134" s="9" t="n">
        <v>10.83076923076923</v>
      </c>
      <c r="I1134" s="9" t="inlineStr">
        <is>
          <t>Depth (no MLB PA)</t>
        </is>
      </c>
      <c r="J1134" s="16" t="inlineStr">
        <is>
          <t>Opening Day</t>
        </is>
      </c>
      <c r="K1134" s="11">
        <f>IFERROR(INDEX(Roles!$B$17:$B$20,MATCH(J1134,Roles!$A$17:$A$20,0)),1)</f>
        <v/>
      </c>
      <c r="L1134" s="17" t="n">
        <v>1</v>
      </c>
      <c r="M1134" s="11" t="n">
        <v>1</v>
      </c>
      <c r="N1134" s="17" t="n"/>
      <c r="O1134" s="17" t="n"/>
      <c r="P1134" s="17" t="n"/>
      <c r="Q1134" s="17" t="n"/>
      <c r="R1134" s="17" t="n"/>
      <c r="S1134" s="17" t="n"/>
      <c r="T1134" s="17" t="n"/>
      <c r="U1134" s="17" t="n"/>
      <c r="V1134" s="17" t="n"/>
      <c r="W1134" s="17" t="n"/>
      <c r="X1134" s="17" t="n"/>
      <c r="Y1134" s="17" t="n">
        <v>1</v>
      </c>
      <c r="Z1134" s="13">
        <f>SUMPRODUCT(N1134:Y1134,$N$2:$Y$2)*$K1134*$L1134*$M1134</f>
        <v/>
      </c>
      <c r="AA1134" s="14">
        <f>SUM(N1134:Y1134)</f>
        <v/>
      </c>
      <c r="AB1134" s="14">
        <f>IFERROR(IF(UPPER($E1134)="L",SUMPRODUCT(N1134:Y1134,$N$3:$Y$3,$N$2:$Y$2),SUMPRODUCT(N1134:Y1134,$N$4:$Y$4,$N$2:$Y$2))/(Z1134/($K1134*$L1134*$M1134)),"")</f>
        <v/>
      </c>
      <c r="AC1134" s="18" t="n"/>
    </row>
    <row r="1135">
      <c r="A1135" s="9" t="n">
        <v>682947</v>
      </c>
      <c r="B1135" s="9" t="inlineStr">
        <is>
          <t>Jose Ramos</t>
        </is>
      </c>
      <c r="C1135" s="9" t="inlineStr">
        <is>
          <t>NYM</t>
        </is>
      </c>
      <c r="D1135" s="9" t="n">
        <v>25</v>
      </c>
      <c r="E1135" s="16" t="inlineStr">
        <is>
          <t>R</t>
        </is>
      </c>
      <c r="F1135" s="16" t="n"/>
      <c r="G1135" s="9" t="n">
        <v>68.25641025641026</v>
      </c>
      <c r="H1135" s="9" t="n">
        <v>68.25641025641026</v>
      </c>
      <c r="I1135" s="9" t="inlineStr">
        <is>
          <t>Depth (no MLB PA)</t>
        </is>
      </c>
      <c r="J1135" s="16" t="inlineStr">
        <is>
          <t>Opening Day</t>
        </is>
      </c>
      <c r="K1135" s="11">
        <f>IFERROR(INDEX(Roles!$B$17:$B$20,MATCH(J1135,Roles!$A$17:$A$20,0)),1)</f>
        <v/>
      </c>
      <c r="L1135" s="17" t="n">
        <v>1</v>
      </c>
      <c r="M1135" s="11" t="n">
        <v>1</v>
      </c>
      <c r="N1135" s="17" t="n"/>
      <c r="O1135" s="17" t="n"/>
      <c r="P1135" s="17" t="n"/>
      <c r="Q1135" s="17" t="n"/>
      <c r="R1135" s="17" t="n"/>
      <c r="S1135" s="17" t="n"/>
      <c r="T1135" s="17" t="n"/>
      <c r="U1135" s="17" t="n"/>
      <c r="V1135" s="17" t="n"/>
      <c r="W1135" s="17" t="n"/>
      <c r="X1135" s="17" t="n"/>
      <c r="Y1135" s="17" t="n">
        <v>1</v>
      </c>
      <c r="Z1135" s="13">
        <f>SUMPRODUCT(N1135:Y1135,$N$2:$Y$2)*$K1135*$L1135*$M1135</f>
        <v/>
      </c>
      <c r="AA1135" s="14">
        <f>SUM(N1135:Y1135)</f>
        <v/>
      </c>
      <c r="AB1135" s="14">
        <f>IFERROR(IF(UPPER($E1135)="L",SUMPRODUCT(N1135:Y1135,$N$3:$Y$3,$N$2:$Y$2),SUMPRODUCT(N1135:Y1135,$N$4:$Y$4,$N$2:$Y$2))/(Z1135/($K1135*$L1135*$M1135)),"")</f>
        <v/>
      </c>
      <c r="AC1135" s="18" t="n"/>
    </row>
    <row r="1136">
      <c r="A1136" s="9" t="n">
        <v>823352</v>
      </c>
      <c r="B1136" s="9" t="inlineStr">
        <is>
          <t>Luke Nixon</t>
        </is>
      </c>
      <c r="C1136" s="9" t="inlineStr">
        <is>
          <t>SF</t>
        </is>
      </c>
      <c r="D1136" s="9" t="n">
        <v>25</v>
      </c>
      <c r="E1136" s="16" t="inlineStr">
        <is>
          <t>L</t>
        </is>
      </c>
      <c r="F1136" s="16" t="n"/>
      <c r="G1136" s="9" t="n">
        <v>6.646153846153847</v>
      </c>
      <c r="H1136" s="9" t="n">
        <v>6.646153846153847</v>
      </c>
      <c r="I1136" s="9" t="inlineStr">
        <is>
          <t>Depth (no MLB PA)</t>
        </is>
      </c>
      <c r="J1136" s="16" t="inlineStr">
        <is>
          <t>Opening Day</t>
        </is>
      </c>
      <c r="K1136" s="11">
        <f>IFERROR(INDEX(Roles!$B$17:$B$20,MATCH(J1136,Roles!$A$17:$A$20,0)),1)</f>
        <v/>
      </c>
      <c r="L1136" s="17" t="n">
        <v>1</v>
      </c>
      <c r="M1136" s="11" t="n">
        <v>1</v>
      </c>
      <c r="N1136" s="17" t="n"/>
      <c r="O1136" s="17" t="n"/>
      <c r="P1136" s="17" t="n"/>
      <c r="Q1136" s="17" t="n"/>
      <c r="R1136" s="17" t="n"/>
      <c r="S1136" s="17" t="n"/>
      <c r="T1136" s="17" t="n"/>
      <c r="U1136" s="17" t="n"/>
      <c r="V1136" s="17" t="n"/>
      <c r="W1136" s="17" t="n"/>
      <c r="X1136" s="17" t="n"/>
      <c r="Y1136" s="17" t="n">
        <v>1</v>
      </c>
      <c r="Z1136" s="13">
        <f>SUMPRODUCT(N1136:Y1136,$N$2:$Y$2)*$K1136*$L1136*$M1136</f>
        <v/>
      </c>
      <c r="AA1136" s="14">
        <f>SUM(N1136:Y1136)</f>
        <v/>
      </c>
      <c r="AB1136" s="14">
        <f>IFERROR(IF(UPPER($E1136)="L",SUMPRODUCT(N1136:Y1136,$N$3:$Y$3,$N$2:$Y$2),SUMPRODUCT(N1136:Y1136,$N$4:$Y$4,$N$2:$Y$2))/(Z1136/($K1136*$L1136*$M1136)),"")</f>
        <v/>
      </c>
      <c r="AC1136" s="18" t="n"/>
    </row>
    <row r="1137">
      <c r="A1137" s="9" t="n">
        <v>808786</v>
      </c>
      <c r="B1137" s="9" t="inlineStr">
        <is>
          <t>Jake Duer</t>
        </is>
      </c>
      <c r="C1137" s="9" t="inlineStr">
        <is>
          <t>ARI</t>
        </is>
      </c>
      <c r="D1137" s="9" t="n">
        <v>25</v>
      </c>
      <c r="E1137" s="16" t="inlineStr">
        <is>
          <t>L</t>
        </is>
      </c>
      <c r="F1137" s="16" t="n"/>
      <c r="G1137" s="9" t="n">
        <v>6.646153846153847</v>
      </c>
      <c r="H1137" s="9" t="n">
        <v>6.646153846153847</v>
      </c>
      <c r="I1137" s="9" t="inlineStr">
        <is>
          <t>Depth (no MLB PA)</t>
        </is>
      </c>
      <c r="J1137" s="16" t="inlineStr">
        <is>
          <t>Opening Day</t>
        </is>
      </c>
      <c r="K1137" s="11">
        <f>IFERROR(INDEX(Roles!$B$17:$B$20,MATCH(J1137,Roles!$A$17:$A$20,0)),1)</f>
        <v/>
      </c>
      <c r="L1137" s="17" t="n">
        <v>1</v>
      </c>
      <c r="M1137" s="11" t="n">
        <v>1</v>
      </c>
      <c r="N1137" s="17" t="n"/>
      <c r="O1137" s="17" t="n"/>
      <c r="P1137" s="17" t="n"/>
      <c r="Q1137" s="17" t="n"/>
      <c r="R1137" s="17" t="n"/>
      <c r="S1137" s="17" t="n"/>
      <c r="T1137" s="17" t="n"/>
      <c r="U1137" s="17" t="n"/>
      <c r="V1137" s="17" t="n"/>
      <c r="W1137" s="17" t="n"/>
      <c r="X1137" s="17" t="n"/>
      <c r="Y1137" s="17" t="n">
        <v>1</v>
      </c>
      <c r="Z1137" s="13">
        <f>SUMPRODUCT(N1137:Y1137,$N$2:$Y$2)*$K1137*$L1137*$M1137</f>
        <v/>
      </c>
      <c r="AA1137" s="14">
        <f>SUM(N1137:Y1137)</f>
        <v/>
      </c>
      <c r="AB1137" s="14">
        <f>IFERROR(IF(UPPER($E1137)="L",SUMPRODUCT(N1137:Y1137,$N$3:$Y$3,$N$2:$Y$2),SUMPRODUCT(N1137:Y1137,$N$4:$Y$4,$N$2:$Y$2))/(Z1137/($K1137*$L1137*$M1137)),"")</f>
        <v/>
      </c>
      <c r="AC1137" s="18" t="n"/>
    </row>
    <row r="1138">
      <c r="A1138" s="9" t="n">
        <v>842049</v>
      </c>
      <c r="B1138" s="9" t="inlineStr">
        <is>
          <t>Grayson Fitzwater</t>
        </is>
      </c>
      <c r="C1138" s="9" t="inlineStr">
        <is>
          <t>CWS</t>
        </is>
      </c>
      <c r="D1138" s="9" t="n">
        <v>25</v>
      </c>
      <c r="E1138" s="16" t="inlineStr">
        <is>
          <t>L</t>
        </is>
      </c>
      <c r="F1138" s="16" t="n"/>
      <c r="G1138" s="9" t="n">
        <v>15.13846153846154</v>
      </c>
      <c r="H1138" s="9" t="n">
        <v>15.13846153846154</v>
      </c>
      <c r="I1138" s="9" t="inlineStr">
        <is>
          <t>Depth (no MLB PA)</t>
        </is>
      </c>
      <c r="J1138" s="16" t="inlineStr">
        <is>
          <t>Opening Day</t>
        </is>
      </c>
      <c r="K1138" s="11">
        <f>IFERROR(INDEX(Roles!$B$17:$B$20,MATCH(J1138,Roles!$A$17:$A$20,0)),1)</f>
        <v/>
      </c>
      <c r="L1138" s="17" t="n">
        <v>1</v>
      </c>
      <c r="M1138" s="11" t="n">
        <v>1</v>
      </c>
      <c r="N1138" s="17" t="n"/>
      <c r="O1138" s="17" t="n"/>
      <c r="P1138" s="17" t="n"/>
      <c r="Q1138" s="17" t="n"/>
      <c r="R1138" s="17" t="n"/>
      <c r="S1138" s="17" t="n"/>
      <c r="T1138" s="17" t="n"/>
      <c r="U1138" s="17" t="n"/>
      <c r="V1138" s="17" t="n"/>
      <c r="W1138" s="17" t="n"/>
      <c r="X1138" s="17" t="n"/>
      <c r="Y1138" s="17" t="n">
        <v>1</v>
      </c>
      <c r="Z1138" s="13">
        <f>SUMPRODUCT(N1138:Y1138,$N$2:$Y$2)*$K1138*$L1138*$M1138</f>
        <v/>
      </c>
      <c r="AA1138" s="14">
        <f>SUM(N1138:Y1138)</f>
        <v/>
      </c>
      <c r="AB1138" s="14">
        <f>IFERROR(IF(UPPER($E1138)="L",SUMPRODUCT(N1138:Y1138,$N$3:$Y$3,$N$2:$Y$2),SUMPRODUCT(N1138:Y1138,$N$4:$Y$4,$N$2:$Y$2))/(Z1138/($K1138*$L1138*$M1138)),"")</f>
        <v/>
      </c>
      <c r="AC1138" s="18" t="n"/>
    </row>
    <row r="1139">
      <c r="A1139" s="9" t="n">
        <v>826932</v>
      </c>
      <c r="B1139" s="9" t="inlineStr">
        <is>
          <t>Cobb Hightower</t>
        </is>
      </c>
      <c r="C1139" s="9" t="inlineStr">
        <is>
          <t>BAL</t>
        </is>
      </c>
      <c r="D1139" s="9" t="n">
        <v>25</v>
      </c>
      <c r="E1139" s="16" t="inlineStr">
        <is>
          <t>R</t>
        </is>
      </c>
      <c r="F1139" s="16" t="n"/>
      <c r="G1139" s="9" t="n">
        <v>6.769230769230769</v>
      </c>
      <c r="H1139" s="9" t="n">
        <v>6.769230769230769</v>
      </c>
      <c r="I1139" s="9" t="inlineStr">
        <is>
          <t>Depth (no MLB PA)</t>
        </is>
      </c>
      <c r="J1139" s="16" t="inlineStr">
        <is>
          <t>Opening Day</t>
        </is>
      </c>
      <c r="K1139" s="11">
        <f>IFERROR(INDEX(Roles!$B$17:$B$20,MATCH(J1139,Roles!$A$17:$A$20,0)),1)</f>
        <v/>
      </c>
      <c r="L1139" s="17" t="n">
        <v>1</v>
      </c>
      <c r="M1139" s="11" t="n">
        <v>1</v>
      </c>
      <c r="N1139" s="17" t="n"/>
      <c r="O1139" s="17" t="n"/>
      <c r="P1139" s="17" t="n"/>
      <c r="Q1139" s="17" t="n"/>
      <c r="R1139" s="17" t="n"/>
      <c r="S1139" s="17" t="n"/>
      <c r="T1139" s="17" t="n"/>
      <c r="U1139" s="17" t="n"/>
      <c r="V1139" s="17" t="n"/>
      <c r="W1139" s="17" t="n"/>
      <c r="X1139" s="17" t="n"/>
      <c r="Y1139" s="17" t="n">
        <v>1</v>
      </c>
      <c r="Z1139" s="13">
        <f>SUMPRODUCT(N1139:Y1139,$N$2:$Y$2)*$K1139*$L1139*$M1139</f>
        <v/>
      </c>
      <c r="AA1139" s="14">
        <f>SUM(N1139:Y1139)</f>
        <v/>
      </c>
      <c r="AB1139" s="14">
        <f>IFERROR(IF(UPPER($E1139)="L",SUMPRODUCT(N1139:Y1139,$N$3:$Y$3,$N$2:$Y$2),SUMPRODUCT(N1139:Y1139,$N$4:$Y$4,$N$2:$Y$2))/(Z1139/($K1139*$L1139*$M1139)),"")</f>
        <v/>
      </c>
      <c r="AC1139" s="18" t="n"/>
    </row>
    <row r="1140">
      <c r="A1140" s="9" t="n">
        <v>800185</v>
      </c>
      <c r="B1140" s="9" t="inlineStr">
        <is>
          <t>Ruben Santana</t>
        </is>
      </c>
      <c r="C1140" s="9" t="inlineStr">
        <is>
          <t>ARI</t>
        </is>
      </c>
      <c r="D1140" s="9" t="n">
        <v>25</v>
      </c>
      <c r="E1140" s="16" t="inlineStr">
        <is>
          <t>R</t>
        </is>
      </c>
      <c r="F1140" s="16" t="n"/>
      <c r="G1140" s="9" t="n">
        <v>6.564102564102566</v>
      </c>
      <c r="H1140" s="9" t="n">
        <v>6.564102564102566</v>
      </c>
      <c r="I1140" s="9" t="inlineStr">
        <is>
          <t>Depth (no MLB PA)</t>
        </is>
      </c>
      <c r="J1140" s="16" t="inlineStr">
        <is>
          <t>Opening Day</t>
        </is>
      </c>
      <c r="K1140" s="11">
        <f>IFERROR(INDEX(Roles!$B$17:$B$20,MATCH(J1140,Roles!$A$17:$A$20,0)),1)</f>
        <v/>
      </c>
      <c r="L1140" s="17" t="n">
        <v>1</v>
      </c>
      <c r="M1140" s="11" t="n">
        <v>1</v>
      </c>
      <c r="N1140" s="17" t="n"/>
      <c r="O1140" s="17" t="n"/>
      <c r="P1140" s="17" t="n"/>
      <c r="Q1140" s="17" t="n"/>
      <c r="R1140" s="17" t="n"/>
      <c r="S1140" s="17" t="n"/>
      <c r="T1140" s="17" t="n"/>
      <c r="U1140" s="17" t="n"/>
      <c r="V1140" s="17" t="n"/>
      <c r="W1140" s="17" t="n"/>
      <c r="X1140" s="17" t="n"/>
      <c r="Y1140" s="17" t="n">
        <v>1</v>
      </c>
      <c r="Z1140" s="13">
        <f>SUMPRODUCT(N1140:Y1140,$N$2:$Y$2)*$K1140*$L1140*$M1140</f>
        <v/>
      </c>
      <c r="AA1140" s="14">
        <f>SUM(N1140:Y1140)</f>
        <v/>
      </c>
      <c r="AB1140" s="14">
        <f>IFERROR(IF(UPPER($E1140)="L",SUMPRODUCT(N1140:Y1140,$N$3:$Y$3,$N$2:$Y$2),SUMPRODUCT(N1140:Y1140,$N$4:$Y$4,$N$2:$Y$2))/(Z1140/($K1140*$L1140*$M1140)),"")</f>
        <v/>
      </c>
      <c r="AC1140" s="18" t="n"/>
    </row>
    <row r="1141">
      <c r="A1141" s="9" t="n">
        <v>686490</v>
      </c>
      <c r="B1141" s="9" t="inlineStr">
        <is>
          <t>Cam Eden</t>
        </is>
      </c>
      <c r="C1141" s="9" t="inlineStr">
        <is>
          <t>TOR</t>
        </is>
      </c>
      <c r="D1141" s="9" t="n">
        <v>29</v>
      </c>
      <c r="E1141" s="16" t="inlineStr">
        <is>
          <t>R</t>
        </is>
      </c>
      <c r="F1141" s="16" t="inlineStr">
        <is>
          <t>LF</t>
        </is>
      </c>
      <c r="G1141" s="9" t="n">
        <v>6</v>
      </c>
      <c r="H1141" s="9" t="n">
        <v>6</v>
      </c>
      <c r="I1141" s="9" t="inlineStr">
        <is>
          <t>Depth (no MLB PA)</t>
        </is>
      </c>
      <c r="J1141" s="16" t="inlineStr">
        <is>
          <t>Opening Day</t>
        </is>
      </c>
      <c r="K1141" s="11">
        <f>IFERROR(INDEX(Roles!$B$17:$B$20,MATCH(J1141,Roles!$A$17:$A$20,0)),1)</f>
        <v/>
      </c>
      <c r="L1141" s="17" t="n">
        <v>1</v>
      </c>
      <c r="M1141" s="11" t="n">
        <v>1</v>
      </c>
      <c r="N1141" s="17" t="n"/>
      <c r="O1141" s="17" t="n"/>
      <c r="P1141" s="17" t="n"/>
      <c r="Q1141" s="17" t="n"/>
      <c r="R1141" s="17" t="n"/>
      <c r="S1141" s="17" t="n"/>
      <c r="T1141" s="17" t="n"/>
      <c r="U1141" s="17" t="n"/>
      <c r="V1141" s="17" t="n"/>
      <c r="W1141" s="17" t="n"/>
      <c r="X1141" s="17" t="n"/>
      <c r="Y1141" s="17" t="n">
        <v>1</v>
      </c>
      <c r="Z1141" s="13">
        <f>SUMPRODUCT(N1141:Y1141,$N$2:$Y$2)*$K1141*$L1141*$M1141</f>
        <v/>
      </c>
      <c r="AA1141" s="14">
        <f>SUM(N1141:Y1141)</f>
        <v/>
      </c>
      <c r="AB1141" s="14">
        <f>IFERROR(IF(UPPER($E1141)="L",SUMPRODUCT(N1141:Y1141,$N$3:$Y$3,$N$2:$Y$2),SUMPRODUCT(N1141:Y1141,$N$4:$Y$4,$N$2:$Y$2))/(Z1141/($K1141*$L1141*$M1141)),"")</f>
        <v/>
      </c>
      <c r="AC1141" s="18" t="n"/>
    </row>
    <row r="1142">
      <c r="A1142" s="9" t="n">
        <v>832226</v>
      </c>
      <c r="B1142" s="9" t="inlineStr">
        <is>
          <t>Jackson Hauge</t>
        </is>
      </c>
      <c r="C1142" s="9" t="inlineStr">
        <is>
          <t>NYM</t>
        </is>
      </c>
      <c r="D1142" s="9" t="n">
        <v>25</v>
      </c>
      <c r="E1142" s="16" t="inlineStr">
        <is>
          <t>R</t>
        </is>
      </c>
      <c r="F1142" s="16" t="n"/>
      <c r="G1142" s="9" t="n">
        <v>10.95384615384615</v>
      </c>
      <c r="H1142" s="9" t="n">
        <v>10.95384615384615</v>
      </c>
      <c r="I1142" s="9" t="inlineStr">
        <is>
          <t>Depth (no MLB PA)</t>
        </is>
      </c>
      <c r="J1142" s="16" t="inlineStr">
        <is>
          <t>Opening Day</t>
        </is>
      </c>
      <c r="K1142" s="11">
        <f>IFERROR(INDEX(Roles!$B$17:$B$20,MATCH(J1142,Roles!$A$17:$A$20,0)),1)</f>
        <v/>
      </c>
      <c r="L1142" s="17" t="n">
        <v>1</v>
      </c>
      <c r="M1142" s="11" t="n">
        <v>1</v>
      </c>
      <c r="N1142" s="17" t="n"/>
      <c r="O1142" s="17" t="n"/>
      <c r="P1142" s="17" t="n"/>
      <c r="Q1142" s="17" t="n"/>
      <c r="R1142" s="17" t="n"/>
      <c r="S1142" s="17" t="n"/>
      <c r="T1142" s="17" t="n"/>
      <c r="U1142" s="17" t="n"/>
      <c r="V1142" s="17" t="n"/>
      <c r="W1142" s="17" t="n"/>
      <c r="X1142" s="17" t="n"/>
      <c r="Y1142" s="17" t="n">
        <v>1</v>
      </c>
      <c r="Z1142" s="13">
        <f>SUMPRODUCT(N1142:Y1142,$N$2:$Y$2)*$K1142*$L1142*$M1142</f>
        <v/>
      </c>
      <c r="AA1142" s="14">
        <f>SUM(N1142:Y1142)</f>
        <v/>
      </c>
      <c r="AB1142" s="14">
        <f>IFERROR(IF(UPPER($E1142)="L",SUMPRODUCT(N1142:Y1142,$N$3:$Y$3,$N$2:$Y$2),SUMPRODUCT(N1142:Y1142,$N$4:$Y$4,$N$2:$Y$2))/(Z1142/($K1142*$L1142*$M1142)),"")</f>
        <v/>
      </c>
      <c r="AC1142" s="18" t="n"/>
    </row>
    <row r="1143">
      <c r="A1143" s="9" t="n">
        <v>527038</v>
      </c>
      <c r="B1143" s="9" t="inlineStr">
        <is>
          <t>Wilmer Flores</t>
        </is>
      </c>
      <c r="C1143" s="9" t="inlineStr">
        <is>
          <t>SF</t>
        </is>
      </c>
      <c r="D1143" s="9" t="n">
        <v>35</v>
      </c>
      <c r="E1143" s="16" t="inlineStr">
        <is>
          <t>R</t>
        </is>
      </c>
      <c r="F1143" s="16" t="inlineStr">
        <is>
          <t>1B</t>
        </is>
      </c>
      <c r="G1143" s="9" t="n">
        <v>463</v>
      </c>
      <c r="H1143" s="9" t="n">
        <v>1761</v>
      </c>
      <c r="I1143" s="9" t="inlineStr">
        <is>
          <t>Full Time</t>
        </is>
      </c>
      <c r="J1143" s="16" t="inlineStr">
        <is>
          <t>Opening Day</t>
        </is>
      </c>
      <c r="K1143" s="11">
        <f>IFERROR(INDEX(Roles!$B$17:$B$20,MATCH(J1143,Roles!$A$17:$A$20,0)),1)</f>
        <v/>
      </c>
      <c r="L1143" s="17" t="n">
        <v>1</v>
      </c>
      <c r="M1143" s="11" t="n">
        <v>0.888601694776612</v>
      </c>
      <c r="N1143" s="17" t="n">
        <v>1</v>
      </c>
      <c r="O1143" s="17" t="n"/>
      <c r="P1143" s="17" t="n"/>
      <c r="Q1143" s="17" t="n"/>
      <c r="R1143" s="17" t="n"/>
      <c r="S1143" s="17" t="n"/>
      <c r="T1143" s="17" t="n"/>
      <c r="U1143" s="17" t="n"/>
      <c r="V1143" s="17" t="n"/>
      <c r="W1143" s="17" t="n"/>
      <c r="X1143" s="17" t="n"/>
      <c r="Y1143" s="17" t="n"/>
      <c r="Z1143" s="13">
        <f>SUMPRODUCT(N1143:Y1143,$N$2:$Y$2)*$K1143*$L1143*$M1143</f>
        <v/>
      </c>
      <c r="AA1143" s="14">
        <f>SUM(N1143:Y1143)</f>
        <v/>
      </c>
      <c r="AB1143" s="14">
        <f>IFERROR(IF(UPPER($E1143)="L",SUMPRODUCT(N1143:Y1143,$N$3:$Y$3,$N$2:$Y$2),SUMPRODUCT(N1143:Y1143,$N$4:$Y$4,$N$2:$Y$2))/(Z1143/($K1143*$L1143*$M1143)),"")</f>
        <v/>
      </c>
      <c r="AC1143" s="18" t="n"/>
    </row>
    <row r="1144">
      <c r="A1144" s="9" t="n">
        <v>699712</v>
      </c>
      <c r="B1144" s="9" t="inlineStr">
        <is>
          <t>Raylin Heredia</t>
        </is>
      </c>
      <c r="C1144" s="9" t="inlineStr">
        <is>
          <t>PHI</t>
        </is>
      </c>
      <c r="D1144" s="9" t="n">
        <v>25</v>
      </c>
      <c r="E1144" s="16" t="inlineStr">
        <is>
          <t>R</t>
        </is>
      </c>
      <c r="F1144" s="16" t="n"/>
      <c r="G1144" s="9" t="n">
        <v>203.8974358974359</v>
      </c>
      <c r="H1144" s="9" t="n">
        <v>203.8974358974359</v>
      </c>
      <c r="I1144" s="9" t="inlineStr">
        <is>
          <t>Depth (no MLB PA)</t>
        </is>
      </c>
      <c r="J1144" s="16" t="inlineStr">
        <is>
          <t>Opening Day</t>
        </is>
      </c>
      <c r="K1144" s="11">
        <f>IFERROR(INDEX(Roles!$B$17:$B$20,MATCH(J1144,Roles!$A$17:$A$20,0)),1)</f>
        <v/>
      </c>
      <c r="L1144" s="17" t="n">
        <v>1</v>
      </c>
      <c r="M1144" s="11" t="n">
        <v>1</v>
      </c>
      <c r="N1144" s="17" t="n"/>
      <c r="O1144" s="17" t="n"/>
      <c r="P1144" s="17" t="n"/>
      <c r="Q1144" s="17" t="n"/>
      <c r="R1144" s="17" t="n"/>
      <c r="S1144" s="17" t="n"/>
      <c r="T1144" s="17" t="n"/>
      <c r="U1144" s="17" t="n"/>
      <c r="V1144" s="17" t="n"/>
      <c r="W1144" s="17" t="n"/>
      <c r="X1144" s="17" t="n"/>
      <c r="Y1144" s="17" t="n">
        <v>1</v>
      </c>
      <c r="Z1144" s="13">
        <f>SUMPRODUCT(N1144:Y1144,$N$2:$Y$2)*$K1144*$L1144*$M1144</f>
        <v/>
      </c>
      <c r="AA1144" s="14">
        <f>SUM(N1144:Y1144)</f>
        <v/>
      </c>
      <c r="AB1144" s="14">
        <f>IFERROR(IF(UPPER($E1144)="L",SUMPRODUCT(N1144:Y1144,$N$3:$Y$3,$N$2:$Y$2),SUMPRODUCT(N1144:Y1144,$N$4:$Y$4,$N$2:$Y$2))/(Z1144/($K1144*$L1144*$M1144)),"")</f>
        <v/>
      </c>
      <c r="AC1144" s="18" t="n"/>
    </row>
    <row r="1145">
      <c r="A1145" s="9" t="n">
        <v>691398</v>
      </c>
      <c r="B1145" s="9" t="inlineStr">
        <is>
          <t>Yerlin Confidan</t>
        </is>
      </c>
      <c r="C1145" s="9" t="inlineStr">
        <is>
          <t>CIN</t>
        </is>
      </c>
      <c r="D1145" s="9" t="n">
        <v>25</v>
      </c>
      <c r="E1145" s="16" t="inlineStr">
        <is>
          <t>L</t>
        </is>
      </c>
      <c r="F1145" s="16" t="n"/>
      <c r="G1145" s="9" t="n">
        <v>75.02564102564102</v>
      </c>
      <c r="H1145" s="9" t="n">
        <v>75.02564102564102</v>
      </c>
      <c r="I1145" s="9" t="inlineStr">
        <is>
          <t>Depth (no MLB PA)</t>
        </is>
      </c>
      <c r="J1145" s="16" t="inlineStr">
        <is>
          <t>Opening Day</t>
        </is>
      </c>
      <c r="K1145" s="11">
        <f>IFERROR(INDEX(Roles!$B$17:$B$20,MATCH(J1145,Roles!$A$17:$A$20,0)),1)</f>
        <v/>
      </c>
      <c r="L1145" s="17" t="n">
        <v>1</v>
      </c>
      <c r="M1145" s="11" t="n">
        <v>1</v>
      </c>
      <c r="N1145" s="17" t="n"/>
      <c r="O1145" s="17" t="n"/>
      <c r="P1145" s="17" t="n"/>
      <c r="Q1145" s="17" t="n"/>
      <c r="R1145" s="17" t="n"/>
      <c r="S1145" s="17" t="n"/>
      <c r="T1145" s="17" t="n"/>
      <c r="U1145" s="17" t="n"/>
      <c r="V1145" s="17" t="n"/>
      <c r="W1145" s="17" t="n"/>
      <c r="X1145" s="17" t="n"/>
      <c r="Y1145" s="17" t="n">
        <v>1</v>
      </c>
      <c r="Z1145" s="13">
        <f>SUMPRODUCT(N1145:Y1145,$N$2:$Y$2)*$K1145*$L1145*$M1145</f>
        <v/>
      </c>
      <c r="AA1145" s="14">
        <f>SUM(N1145:Y1145)</f>
        <v/>
      </c>
      <c r="AB1145" s="14">
        <f>IFERROR(IF(UPPER($E1145)="L",SUMPRODUCT(N1145:Y1145,$N$3:$Y$3,$N$2:$Y$2),SUMPRODUCT(N1145:Y1145,$N$4:$Y$4,$N$2:$Y$2))/(Z1145/($K1145*$L1145*$M1145)),"")</f>
        <v/>
      </c>
      <c r="AC1145" s="18" t="n"/>
    </row>
    <row r="1146">
      <c r="A1146" s="9" t="n">
        <v>702265</v>
      </c>
      <c r="B1146" s="9" t="inlineStr">
        <is>
          <t>Paxton Kling</t>
        </is>
      </c>
      <c r="C1146" s="9" t="inlineStr">
        <is>
          <t>TEX</t>
        </is>
      </c>
      <c r="D1146" s="9" t="n">
        <v>25</v>
      </c>
      <c r="E1146" s="16" t="inlineStr">
        <is>
          <t>R</t>
        </is>
      </c>
      <c r="F1146" s="16" t="n"/>
      <c r="G1146" s="9" t="n">
        <v>6.820512820512821</v>
      </c>
      <c r="H1146" s="9" t="n">
        <v>6.820512820512821</v>
      </c>
      <c r="I1146" s="9" t="inlineStr">
        <is>
          <t>Depth (no MLB PA)</t>
        </is>
      </c>
      <c r="J1146" s="16" t="inlineStr">
        <is>
          <t>Opening Day</t>
        </is>
      </c>
      <c r="K1146" s="11">
        <f>IFERROR(INDEX(Roles!$B$17:$B$20,MATCH(J1146,Roles!$A$17:$A$20,0)),1)</f>
        <v/>
      </c>
      <c r="L1146" s="17" t="n">
        <v>1</v>
      </c>
      <c r="M1146" s="11" t="n">
        <v>1</v>
      </c>
      <c r="N1146" s="17" t="n"/>
      <c r="O1146" s="17" t="n"/>
      <c r="P1146" s="17" t="n"/>
      <c r="Q1146" s="17" t="n"/>
      <c r="R1146" s="17" t="n"/>
      <c r="S1146" s="17" t="n"/>
      <c r="T1146" s="17" t="n"/>
      <c r="U1146" s="17" t="n"/>
      <c r="V1146" s="17" t="n"/>
      <c r="W1146" s="17" t="n"/>
      <c r="X1146" s="17" t="n"/>
      <c r="Y1146" s="17" t="n">
        <v>1</v>
      </c>
      <c r="Z1146" s="13">
        <f>SUMPRODUCT(N1146:Y1146,$N$2:$Y$2)*$K1146*$L1146*$M1146</f>
        <v/>
      </c>
      <c r="AA1146" s="14">
        <f>SUM(N1146:Y1146)</f>
        <v/>
      </c>
      <c r="AB1146" s="14">
        <f>IFERROR(IF(UPPER($E1146)="L",SUMPRODUCT(N1146:Y1146,$N$3:$Y$3,$N$2:$Y$2),SUMPRODUCT(N1146:Y1146,$N$4:$Y$4,$N$2:$Y$2))/(Z1146/($K1146*$L1146*$M1146)),"")</f>
        <v/>
      </c>
      <c r="AC1146" s="18" t="n"/>
    </row>
    <row r="1147">
      <c r="A1147" s="9" t="n">
        <v>800171</v>
      </c>
      <c r="B1147" s="9" t="inlineStr">
        <is>
          <t>Angel Mata</t>
        </is>
      </c>
      <c r="C1147" s="9" t="inlineStr">
        <is>
          <t>PHI</t>
        </is>
      </c>
      <c r="D1147" s="9" t="n">
        <v>25</v>
      </c>
      <c r="E1147" s="16" t="inlineStr">
        <is>
          <t>R</t>
        </is>
      </c>
      <c r="F1147" s="16" t="n"/>
      <c r="G1147" s="9" t="n">
        <v>6.76923076923077</v>
      </c>
      <c r="H1147" s="9" t="n">
        <v>6.76923076923077</v>
      </c>
      <c r="I1147" s="9" t="inlineStr">
        <is>
          <t>Depth (no MLB PA)</t>
        </is>
      </c>
      <c r="J1147" s="16" t="inlineStr">
        <is>
          <t>Opening Day</t>
        </is>
      </c>
      <c r="K1147" s="11">
        <f>IFERROR(INDEX(Roles!$B$17:$B$20,MATCH(J1147,Roles!$A$17:$A$20,0)),1)</f>
        <v/>
      </c>
      <c r="L1147" s="17" t="n">
        <v>1</v>
      </c>
      <c r="M1147" s="11" t="n">
        <v>1</v>
      </c>
      <c r="N1147" s="17" t="n"/>
      <c r="O1147" s="17" t="n"/>
      <c r="P1147" s="17" t="n"/>
      <c r="Q1147" s="17" t="n"/>
      <c r="R1147" s="17" t="n"/>
      <c r="S1147" s="17" t="n"/>
      <c r="T1147" s="17" t="n"/>
      <c r="U1147" s="17" t="n"/>
      <c r="V1147" s="17" t="n"/>
      <c r="W1147" s="17" t="n"/>
      <c r="X1147" s="17" t="n"/>
      <c r="Y1147" s="17" t="n">
        <v>1</v>
      </c>
      <c r="Z1147" s="13">
        <f>SUMPRODUCT(N1147:Y1147,$N$2:$Y$2)*$K1147*$L1147*$M1147</f>
        <v/>
      </c>
      <c r="AA1147" s="14">
        <f>SUM(N1147:Y1147)</f>
        <v/>
      </c>
      <c r="AB1147" s="14">
        <f>IFERROR(IF(UPPER($E1147)="L",SUMPRODUCT(N1147:Y1147,$N$3:$Y$3,$N$2:$Y$2),SUMPRODUCT(N1147:Y1147,$N$4:$Y$4,$N$2:$Y$2))/(Z1147/($K1147*$L1147*$M1147)),"")</f>
        <v/>
      </c>
      <c r="AC1147" s="18" t="n"/>
    </row>
    <row r="1148">
      <c r="A1148" s="9" t="n">
        <v>695607</v>
      </c>
      <c r="B1148" s="9" t="inlineStr">
        <is>
          <t>Nick McLain</t>
        </is>
      </c>
      <c r="C1148" s="9" t="inlineStr">
        <is>
          <t>CWS</t>
        </is>
      </c>
      <c r="D1148" s="9" t="n">
        <v>25</v>
      </c>
      <c r="E1148" s="16" t="inlineStr">
        <is>
          <t>S</t>
        </is>
      </c>
      <c r="F1148" s="16" t="n"/>
      <c r="G1148" s="9" t="n">
        <v>23.38461538461539</v>
      </c>
      <c r="H1148" s="9" t="n">
        <v>23.38461538461539</v>
      </c>
      <c r="I1148" s="9" t="inlineStr">
        <is>
          <t>Depth (no MLB PA)</t>
        </is>
      </c>
      <c r="J1148" s="16" t="inlineStr">
        <is>
          <t>Opening Day</t>
        </is>
      </c>
      <c r="K1148" s="11">
        <f>IFERROR(INDEX(Roles!$B$17:$B$20,MATCH(J1148,Roles!$A$17:$A$20,0)),1)</f>
        <v/>
      </c>
      <c r="L1148" s="17" t="n">
        <v>1</v>
      </c>
      <c r="M1148" s="11" t="n">
        <v>1</v>
      </c>
      <c r="N1148" s="17" t="n"/>
      <c r="O1148" s="17" t="n"/>
      <c r="P1148" s="17" t="n"/>
      <c r="Q1148" s="17" t="n"/>
      <c r="R1148" s="17" t="n"/>
      <c r="S1148" s="17" t="n"/>
      <c r="T1148" s="17" t="n"/>
      <c r="U1148" s="17" t="n"/>
      <c r="V1148" s="17" t="n"/>
      <c r="W1148" s="17" t="n"/>
      <c r="X1148" s="17" t="n"/>
      <c r="Y1148" s="17" t="n">
        <v>1</v>
      </c>
      <c r="Z1148" s="13">
        <f>SUMPRODUCT(N1148:Y1148,$N$2:$Y$2)*$K1148*$L1148*$M1148</f>
        <v/>
      </c>
      <c r="AA1148" s="14">
        <f>SUM(N1148:Y1148)</f>
        <v/>
      </c>
      <c r="AB1148" s="14">
        <f>IFERROR(IF(UPPER($E1148)="L",SUMPRODUCT(N1148:Y1148,$N$3:$Y$3,$N$2:$Y$2),SUMPRODUCT(N1148:Y1148,$N$4:$Y$4,$N$2:$Y$2))/(Z1148/($K1148*$L1148*$M1148)),"")</f>
        <v/>
      </c>
      <c r="AC1148" s="18" t="n"/>
    </row>
    <row r="1149">
      <c r="A1149" s="9" t="n">
        <v>822153</v>
      </c>
      <c r="B1149" s="9" t="inlineStr">
        <is>
          <t>Jeffery Heard</t>
        </is>
      </c>
      <c r="C1149" s="9" t="inlineStr">
        <is>
          <t>LAA</t>
        </is>
      </c>
      <c r="D1149" s="9" t="n">
        <v>25</v>
      </c>
      <c r="E1149" s="16" t="inlineStr">
        <is>
          <t>L</t>
        </is>
      </c>
      <c r="F1149" s="16" t="n"/>
      <c r="G1149" s="9" t="n">
        <v>13.29230769230769</v>
      </c>
      <c r="H1149" s="9" t="n">
        <v>13.29230769230769</v>
      </c>
      <c r="I1149" s="9" t="inlineStr">
        <is>
          <t>Depth (no MLB PA)</t>
        </is>
      </c>
      <c r="J1149" s="16" t="inlineStr">
        <is>
          <t>Opening Day</t>
        </is>
      </c>
      <c r="K1149" s="11">
        <f>IFERROR(INDEX(Roles!$B$17:$B$20,MATCH(J1149,Roles!$A$17:$A$20,0)),1)</f>
        <v/>
      </c>
      <c r="L1149" s="17" t="n">
        <v>1</v>
      </c>
      <c r="M1149" s="11" t="n">
        <v>1</v>
      </c>
      <c r="N1149" s="17" t="n"/>
      <c r="O1149" s="17" t="n"/>
      <c r="P1149" s="17" t="n"/>
      <c r="Q1149" s="17" t="n"/>
      <c r="R1149" s="17" t="n"/>
      <c r="S1149" s="17" t="n"/>
      <c r="T1149" s="17" t="n"/>
      <c r="U1149" s="17" t="n"/>
      <c r="V1149" s="17" t="n"/>
      <c r="W1149" s="17" t="n"/>
      <c r="X1149" s="17" t="n"/>
      <c r="Y1149" s="17" t="n">
        <v>1</v>
      </c>
      <c r="Z1149" s="13">
        <f>SUMPRODUCT(N1149:Y1149,$N$2:$Y$2)*$K1149*$L1149*$M1149</f>
        <v/>
      </c>
      <c r="AA1149" s="14">
        <f>SUM(N1149:Y1149)</f>
        <v/>
      </c>
      <c r="AB1149" s="14">
        <f>IFERROR(IF(UPPER($E1149)="L",SUMPRODUCT(N1149:Y1149,$N$3:$Y$3,$N$2:$Y$2),SUMPRODUCT(N1149:Y1149,$N$4:$Y$4,$N$2:$Y$2))/(Z1149/($K1149*$L1149*$M1149)),"")</f>
        <v/>
      </c>
      <c r="AC1149" s="18" t="n"/>
    </row>
    <row r="1150">
      <c r="A1150" s="9" t="n">
        <v>821762</v>
      </c>
      <c r="B1150" s="9" t="inlineStr">
        <is>
          <t>Oliver Tejada</t>
        </is>
      </c>
      <c r="C1150" s="9" t="inlineStr">
        <is>
          <t>SF</t>
        </is>
      </c>
      <c r="D1150" s="9" t="n">
        <v>25</v>
      </c>
      <c r="E1150" s="16" t="inlineStr">
        <is>
          <t>R</t>
        </is>
      </c>
      <c r="F1150" s="16" t="n"/>
      <c r="G1150" s="9" t="n">
        <v>21.78461538461539</v>
      </c>
      <c r="H1150" s="9" t="n">
        <v>21.78461538461539</v>
      </c>
      <c r="I1150" s="9" t="inlineStr">
        <is>
          <t>Depth (no MLB PA)</t>
        </is>
      </c>
      <c r="J1150" s="16" t="inlineStr">
        <is>
          <t>Opening Day</t>
        </is>
      </c>
      <c r="K1150" s="11">
        <f>IFERROR(INDEX(Roles!$B$17:$B$20,MATCH(J1150,Roles!$A$17:$A$20,0)),1)</f>
        <v/>
      </c>
      <c r="L1150" s="17" t="n">
        <v>1</v>
      </c>
      <c r="M1150" s="11" t="n">
        <v>1</v>
      </c>
      <c r="N1150" s="17" t="n"/>
      <c r="O1150" s="17" t="n"/>
      <c r="P1150" s="17" t="n"/>
      <c r="Q1150" s="17" t="n"/>
      <c r="R1150" s="17" t="n"/>
      <c r="S1150" s="17" t="n"/>
      <c r="T1150" s="17" t="n"/>
      <c r="U1150" s="17" t="n"/>
      <c r="V1150" s="17" t="n"/>
      <c r="W1150" s="17" t="n"/>
      <c r="X1150" s="17" t="n"/>
      <c r="Y1150" s="17" t="n">
        <v>1</v>
      </c>
      <c r="Z1150" s="13">
        <f>SUMPRODUCT(N1150:Y1150,$N$2:$Y$2)*$K1150*$L1150*$M1150</f>
        <v/>
      </c>
      <c r="AA1150" s="14">
        <f>SUM(N1150:Y1150)</f>
        <v/>
      </c>
      <c r="AB1150" s="14">
        <f>IFERROR(IF(UPPER($E1150)="L",SUMPRODUCT(N1150:Y1150,$N$3:$Y$3,$N$2:$Y$2),SUMPRODUCT(N1150:Y1150,$N$4:$Y$4,$N$2:$Y$2))/(Z1150/($K1150*$L1150*$M1150)),"")</f>
        <v/>
      </c>
      <c r="AC1150" s="18" t="n"/>
    </row>
    <row r="1151">
      <c r="A1151" s="9" t="n">
        <v>834710</v>
      </c>
      <c r="B1151" s="9" t="inlineStr">
        <is>
          <t>Ryan Niedzwiedz</t>
        </is>
      </c>
      <c r="C1151" s="9" t="inlineStr">
        <is>
          <t>COL</t>
        </is>
      </c>
      <c r="D1151" s="9" t="n">
        <v>25</v>
      </c>
      <c r="E1151" s="16" t="inlineStr">
        <is>
          <t>L</t>
        </is>
      </c>
      <c r="F1151" s="16" t="n"/>
      <c r="G1151" s="9" t="n">
        <v>6.892307692307693</v>
      </c>
      <c r="H1151" s="9" t="n">
        <v>6.892307692307693</v>
      </c>
      <c r="I1151" s="9" t="inlineStr">
        <is>
          <t>Depth (no MLB PA)</t>
        </is>
      </c>
      <c r="J1151" s="16" t="inlineStr">
        <is>
          <t>Opening Day</t>
        </is>
      </c>
      <c r="K1151" s="11">
        <f>IFERROR(INDEX(Roles!$B$17:$B$20,MATCH(J1151,Roles!$A$17:$A$20,0)),1)</f>
        <v/>
      </c>
      <c r="L1151" s="17" t="n">
        <v>1</v>
      </c>
      <c r="M1151" s="11" t="n">
        <v>1</v>
      </c>
      <c r="N1151" s="17" t="n"/>
      <c r="O1151" s="17" t="n"/>
      <c r="P1151" s="17" t="n"/>
      <c r="Q1151" s="17" t="n"/>
      <c r="R1151" s="17" t="n"/>
      <c r="S1151" s="17" t="n"/>
      <c r="T1151" s="17" t="n"/>
      <c r="U1151" s="17" t="n"/>
      <c r="V1151" s="17" t="n"/>
      <c r="W1151" s="17" t="n"/>
      <c r="X1151" s="17" t="n"/>
      <c r="Y1151" s="17" t="n">
        <v>1</v>
      </c>
      <c r="Z1151" s="13">
        <f>SUMPRODUCT(N1151:Y1151,$N$2:$Y$2)*$K1151*$L1151*$M1151</f>
        <v/>
      </c>
      <c r="AA1151" s="14">
        <f>SUM(N1151:Y1151)</f>
        <v/>
      </c>
      <c r="AB1151" s="14">
        <f>IFERROR(IF(UPPER($E1151)="L",SUMPRODUCT(N1151:Y1151,$N$3:$Y$3,$N$2:$Y$2),SUMPRODUCT(N1151:Y1151,$N$4:$Y$4,$N$2:$Y$2))/(Z1151/($K1151*$L1151*$M1151)),"")</f>
        <v/>
      </c>
      <c r="AC1151" s="18" t="n"/>
    </row>
    <row r="1152">
      <c r="A1152" s="9" t="n">
        <v>827326</v>
      </c>
      <c r="B1152" s="9" t="inlineStr">
        <is>
          <t>Yorman Licourt</t>
        </is>
      </c>
      <c r="C1152" s="9" t="inlineStr">
        <is>
          <t>TOR</t>
        </is>
      </c>
      <c r="D1152" s="9" t="n">
        <v>25</v>
      </c>
      <c r="E1152" s="16" t="inlineStr">
        <is>
          <t>L</t>
        </is>
      </c>
      <c r="F1152" s="16" t="n"/>
      <c r="G1152" s="9" t="n">
        <v>23.50769230769231</v>
      </c>
      <c r="H1152" s="9" t="n">
        <v>23.50769230769231</v>
      </c>
      <c r="I1152" s="9" t="inlineStr">
        <is>
          <t>Depth (no MLB PA)</t>
        </is>
      </c>
      <c r="J1152" s="16" t="inlineStr">
        <is>
          <t>Opening Day</t>
        </is>
      </c>
      <c r="K1152" s="11">
        <f>IFERROR(INDEX(Roles!$B$17:$B$20,MATCH(J1152,Roles!$A$17:$A$20,0)),1)</f>
        <v/>
      </c>
      <c r="L1152" s="17" t="n">
        <v>1</v>
      </c>
      <c r="M1152" s="11" t="n">
        <v>1</v>
      </c>
      <c r="N1152" s="17" t="n"/>
      <c r="O1152" s="17" t="n"/>
      <c r="P1152" s="17" t="n"/>
      <c r="Q1152" s="17" t="n"/>
      <c r="R1152" s="17" t="n"/>
      <c r="S1152" s="17" t="n"/>
      <c r="T1152" s="17" t="n"/>
      <c r="U1152" s="17" t="n"/>
      <c r="V1152" s="17" t="n"/>
      <c r="W1152" s="17" t="n"/>
      <c r="X1152" s="17" t="n"/>
      <c r="Y1152" s="17" t="n">
        <v>1</v>
      </c>
      <c r="Z1152" s="13">
        <f>SUMPRODUCT(N1152:Y1152,$N$2:$Y$2)*$K1152*$L1152*$M1152</f>
        <v/>
      </c>
      <c r="AA1152" s="14">
        <f>SUM(N1152:Y1152)</f>
        <v/>
      </c>
      <c r="AB1152" s="14">
        <f>IFERROR(IF(UPPER($E1152)="L",SUMPRODUCT(N1152:Y1152,$N$3:$Y$3,$N$2:$Y$2),SUMPRODUCT(N1152:Y1152,$N$4:$Y$4,$N$2:$Y$2))/(Z1152/($K1152*$L1152*$M1152)),"")</f>
        <v/>
      </c>
      <c r="AC1152" s="18" t="n"/>
    </row>
    <row r="1153">
      <c r="A1153" s="9" t="n">
        <v>805182</v>
      </c>
      <c r="B1153" s="9" t="inlineStr">
        <is>
          <t>Isaiah Lane</t>
        </is>
      </c>
      <c r="C1153" s="9" t="inlineStr">
        <is>
          <t>MIN</t>
        </is>
      </c>
      <c r="D1153" s="9" t="n">
        <v>25</v>
      </c>
      <c r="E1153" s="16" t="inlineStr">
        <is>
          <t>R</t>
        </is>
      </c>
      <c r="F1153" s="16" t="n"/>
      <c r="G1153" s="9" t="n">
        <v>11.2</v>
      </c>
      <c r="H1153" s="9" t="n">
        <v>11.2</v>
      </c>
      <c r="I1153" s="9" t="inlineStr">
        <is>
          <t>Depth (no MLB PA)</t>
        </is>
      </c>
      <c r="J1153" s="16" t="inlineStr">
        <is>
          <t>Opening Day</t>
        </is>
      </c>
      <c r="K1153" s="11">
        <f>IFERROR(INDEX(Roles!$B$17:$B$20,MATCH(J1153,Roles!$A$17:$A$20,0)),1)</f>
        <v/>
      </c>
      <c r="L1153" s="17" t="n">
        <v>1</v>
      </c>
      <c r="M1153" s="11" t="n">
        <v>1</v>
      </c>
      <c r="N1153" s="17" t="n"/>
      <c r="O1153" s="17" t="n"/>
      <c r="P1153" s="17" t="n"/>
      <c r="Q1153" s="17" t="n"/>
      <c r="R1153" s="17" t="n"/>
      <c r="S1153" s="17" t="n"/>
      <c r="T1153" s="17" t="n"/>
      <c r="U1153" s="17" t="n"/>
      <c r="V1153" s="17" t="n"/>
      <c r="W1153" s="17" t="n"/>
      <c r="X1153" s="17" t="n"/>
      <c r="Y1153" s="17" t="n">
        <v>1</v>
      </c>
      <c r="Z1153" s="13">
        <f>SUMPRODUCT(N1153:Y1153,$N$2:$Y$2)*$K1153*$L1153*$M1153</f>
        <v/>
      </c>
      <c r="AA1153" s="14">
        <f>SUM(N1153:Y1153)</f>
        <v/>
      </c>
      <c r="AB1153" s="14">
        <f>IFERROR(IF(UPPER($E1153)="L",SUMPRODUCT(N1153:Y1153,$N$3:$Y$3,$N$2:$Y$2),SUMPRODUCT(N1153:Y1153,$N$4:$Y$4,$N$2:$Y$2))/(Z1153/($K1153*$L1153*$M1153)),"")</f>
        <v/>
      </c>
      <c r="AC1153" s="18" t="n"/>
    </row>
    <row r="1154">
      <c r="A1154" s="9" t="n">
        <v>692044</v>
      </c>
      <c r="B1154" s="9" t="inlineStr">
        <is>
          <t>Luis Suisbel</t>
        </is>
      </c>
      <c r="C1154" s="9" t="inlineStr">
        <is>
          <t>SEA</t>
        </is>
      </c>
      <c r="D1154" s="9" t="n">
        <v>25</v>
      </c>
      <c r="E1154" s="16" t="inlineStr">
        <is>
          <t>S</t>
        </is>
      </c>
      <c r="F1154" s="16" t="n"/>
      <c r="G1154" s="9" t="n">
        <v>85.74358974358975</v>
      </c>
      <c r="H1154" s="9" t="n">
        <v>85.74358974358975</v>
      </c>
      <c r="I1154" s="9" t="inlineStr">
        <is>
          <t>Depth (no MLB PA)</t>
        </is>
      </c>
      <c r="J1154" s="16" t="inlineStr">
        <is>
          <t>Opening Day</t>
        </is>
      </c>
      <c r="K1154" s="11">
        <f>IFERROR(INDEX(Roles!$B$17:$B$20,MATCH(J1154,Roles!$A$17:$A$20,0)),1)</f>
        <v/>
      </c>
      <c r="L1154" s="17" t="n">
        <v>1</v>
      </c>
      <c r="M1154" s="11" t="n">
        <v>1</v>
      </c>
      <c r="N1154" s="17" t="n"/>
      <c r="O1154" s="17" t="n"/>
      <c r="P1154" s="17" t="n"/>
      <c r="Q1154" s="17" t="n"/>
      <c r="R1154" s="17" t="n"/>
      <c r="S1154" s="17" t="n"/>
      <c r="T1154" s="17" t="n"/>
      <c r="U1154" s="17" t="n"/>
      <c r="V1154" s="17" t="n"/>
      <c r="W1154" s="17" t="n"/>
      <c r="X1154" s="17" t="n"/>
      <c r="Y1154" s="17" t="n">
        <v>1</v>
      </c>
      <c r="Z1154" s="13">
        <f>SUMPRODUCT(N1154:Y1154,$N$2:$Y$2)*$K1154*$L1154*$M1154</f>
        <v/>
      </c>
      <c r="AA1154" s="14">
        <f>SUM(N1154:Y1154)</f>
        <v/>
      </c>
      <c r="AB1154" s="14">
        <f>IFERROR(IF(UPPER($E1154)="L",SUMPRODUCT(N1154:Y1154,$N$3:$Y$3,$N$2:$Y$2),SUMPRODUCT(N1154:Y1154,$N$4:$Y$4,$N$2:$Y$2))/(Z1154/($K1154*$L1154*$M1154)),"")</f>
        <v/>
      </c>
      <c r="AC1154" s="18" t="n"/>
    </row>
    <row r="1155">
      <c r="A1155" s="9" t="n">
        <v>815491</v>
      </c>
      <c r="B1155" s="9" t="inlineStr">
        <is>
          <t>Wills Maginnis</t>
        </is>
      </c>
      <c r="C1155" s="9" t="inlineStr">
        <is>
          <t>BOS</t>
        </is>
      </c>
      <c r="D1155" s="9" t="n">
        <v>25</v>
      </c>
      <c r="E1155" s="16" t="inlineStr">
        <is>
          <t>R</t>
        </is>
      </c>
      <c r="F1155" s="16" t="n"/>
      <c r="G1155" s="9" t="n">
        <v>9.107692307692307</v>
      </c>
      <c r="H1155" s="9" t="n">
        <v>9.107692307692307</v>
      </c>
      <c r="I1155" s="9" t="inlineStr">
        <is>
          <t>Depth (no MLB PA)</t>
        </is>
      </c>
      <c r="J1155" s="16" t="inlineStr">
        <is>
          <t>Opening Day</t>
        </is>
      </c>
      <c r="K1155" s="11">
        <f>IFERROR(INDEX(Roles!$B$17:$B$20,MATCH(J1155,Roles!$A$17:$A$20,0)),1)</f>
        <v/>
      </c>
      <c r="L1155" s="17" t="n">
        <v>1</v>
      </c>
      <c r="M1155" s="11" t="n">
        <v>1</v>
      </c>
      <c r="N1155" s="17" t="n"/>
      <c r="O1155" s="17" t="n"/>
      <c r="P1155" s="17" t="n"/>
      <c r="Q1155" s="17" t="n"/>
      <c r="R1155" s="17" t="n"/>
      <c r="S1155" s="17" t="n"/>
      <c r="T1155" s="17" t="n"/>
      <c r="U1155" s="17" t="n"/>
      <c r="V1155" s="17" t="n"/>
      <c r="W1155" s="17" t="n"/>
      <c r="X1155" s="17" t="n"/>
      <c r="Y1155" s="17" t="n">
        <v>1</v>
      </c>
      <c r="Z1155" s="13">
        <f>SUMPRODUCT(N1155:Y1155,$N$2:$Y$2)*$K1155*$L1155*$M1155</f>
        <v/>
      </c>
      <c r="AA1155" s="14">
        <f>SUM(N1155:Y1155)</f>
        <v/>
      </c>
      <c r="AB1155" s="14">
        <f>IFERROR(IF(UPPER($E1155)="L",SUMPRODUCT(N1155:Y1155,$N$3:$Y$3,$N$2:$Y$2),SUMPRODUCT(N1155:Y1155,$N$4:$Y$4,$N$2:$Y$2))/(Z1155/($K1155*$L1155*$M1155)),"")</f>
        <v/>
      </c>
      <c r="AC1155" s="18" t="n"/>
    </row>
    <row r="1156">
      <c r="A1156" s="9" t="n">
        <v>806169</v>
      </c>
      <c r="B1156" s="9" t="inlineStr">
        <is>
          <t>Lucas Moore</t>
        </is>
      </c>
      <c r="C1156" s="9" t="inlineStr">
        <is>
          <t>CLE</t>
        </is>
      </c>
      <c r="D1156" s="9" t="n">
        <v>25</v>
      </c>
      <c r="E1156" s="16" t="inlineStr">
        <is>
          <t>L</t>
        </is>
      </c>
      <c r="F1156" s="16" t="n"/>
      <c r="G1156" s="9" t="n">
        <v>7.015384615384615</v>
      </c>
      <c r="H1156" s="9" t="n">
        <v>7.015384615384615</v>
      </c>
      <c r="I1156" s="9" t="inlineStr">
        <is>
          <t>Depth (no MLB PA)</t>
        </is>
      </c>
      <c r="J1156" s="16" t="inlineStr">
        <is>
          <t>Opening Day</t>
        </is>
      </c>
      <c r="K1156" s="11">
        <f>IFERROR(INDEX(Roles!$B$17:$B$20,MATCH(J1156,Roles!$A$17:$A$20,0)),1)</f>
        <v/>
      </c>
      <c r="L1156" s="17" t="n">
        <v>1</v>
      </c>
      <c r="M1156" s="11" t="n">
        <v>1</v>
      </c>
      <c r="N1156" s="17" t="n"/>
      <c r="O1156" s="17" t="n"/>
      <c r="P1156" s="17" t="n"/>
      <c r="Q1156" s="17" t="n"/>
      <c r="R1156" s="17" t="n"/>
      <c r="S1156" s="17" t="n"/>
      <c r="T1156" s="17" t="n"/>
      <c r="U1156" s="17" t="n"/>
      <c r="V1156" s="17" t="n"/>
      <c r="W1156" s="17" t="n"/>
      <c r="X1156" s="17" t="n"/>
      <c r="Y1156" s="17" t="n">
        <v>1</v>
      </c>
      <c r="Z1156" s="13">
        <f>SUMPRODUCT(N1156:Y1156,$N$2:$Y$2)*$K1156*$L1156*$M1156</f>
        <v/>
      </c>
      <c r="AA1156" s="14">
        <f>SUM(N1156:Y1156)</f>
        <v/>
      </c>
      <c r="AB1156" s="14">
        <f>IFERROR(IF(UPPER($E1156)="L",SUMPRODUCT(N1156:Y1156,$N$3:$Y$3,$N$2:$Y$2),SUMPRODUCT(N1156:Y1156,$N$4:$Y$4,$N$2:$Y$2))/(Z1156/($K1156*$L1156*$M1156)),"")</f>
        <v/>
      </c>
      <c r="AC1156" s="18" t="n"/>
    </row>
    <row r="1157">
      <c r="A1157" s="9" t="n">
        <v>685337</v>
      </c>
      <c r="B1157" s="9" t="inlineStr">
        <is>
          <t>Sergio Tapia</t>
        </is>
      </c>
      <c r="C1157" s="9" t="inlineStr">
        <is>
          <t>DET</t>
        </is>
      </c>
      <c r="D1157" s="9" t="n">
        <v>25</v>
      </c>
      <c r="E1157" s="16" t="inlineStr">
        <is>
          <t>R</t>
        </is>
      </c>
      <c r="F1157" s="16" t="n"/>
      <c r="G1157" s="9" t="n">
        <v>11.44615384615385</v>
      </c>
      <c r="H1157" s="9" t="n">
        <v>11.44615384615385</v>
      </c>
      <c r="I1157" s="9" t="inlineStr">
        <is>
          <t>Depth (no MLB PA)</t>
        </is>
      </c>
      <c r="J1157" s="16" t="inlineStr">
        <is>
          <t>Opening Day</t>
        </is>
      </c>
      <c r="K1157" s="11">
        <f>IFERROR(INDEX(Roles!$B$17:$B$20,MATCH(J1157,Roles!$A$17:$A$20,0)),1)</f>
        <v/>
      </c>
      <c r="L1157" s="17" t="n">
        <v>1</v>
      </c>
      <c r="M1157" s="11" t="n">
        <v>1</v>
      </c>
      <c r="N1157" s="17" t="n"/>
      <c r="O1157" s="17" t="n"/>
      <c r="P1157" s="17" t="n"/>
      <c r="Q1157" s="17" t="n"/>
      <c r="R1157" s="17" t="n"/>
      <c r="S1157" s="17" t="n"/>
      <c r="T1157" s="17" t="n"/>
      <c r="U1157" s="17" t="n"/>
      <c r="V1157" s="17" t="n"/>
      <c r="W1157" s="17" t="n"/>
      <c r="X1157" s="17" t="n"/>
      <c r="Y1157" s="17" t="n">
        <v>1</v>
      </c>
      <c r="Z1157" s="13">
        <f>SUMPRODUCT(N1157:Y1157,$N$2:$Y$2)*$K1157*$L1157*$M1157</f>
        <v/>
      </c>
      <c r="AA1157" s="14">
        <f>SUM(N1157:Y1157)</f>
        <v/>
      </c>
      <c r="AB1157" s="14">
        <f>IFERROR(IF(UPPER($E1157)="L",SUMPRODUCT(N1157:Y1157,$N$3:$Y$3,$N$2:$Y$2),SUMPRODUCT(N1157:Y1157,$N$4:$Y$4,$N$2:$Y$2))/(Z1157/($K1157*$L1157*$M1157)),"")</f>
        <v/>
      </c>
      <c r="AC1157" s="18" t="n"/>
    </row>
    <row r="1158">
      <c r="A1158" s="9" t="n">
        <v>829251</v>
      </c>
      <c r="B1158" s="9" t="inlineStr">
        <is>
          <t>Arturo Flores</t>
        </is>
      </c>
      <c r="C1158" s="9" t="inlineStr">
        <is>
          <t>HOU</t>
        </is>
      </c>
      <c r="D1158" s="9" t="n">
        <v>25</v>
      </c>
      <c r="E1158" s="16" t="inlineStr">
        <is>
          <t>R</t>
        </is>
      </c>
      <c r="F1158" s="16" t="n"/>
      <c r="G1158" s="9" t="n">
        <v>42.46153846153846</v>
      </c>
      <c r="H1158" s="9" t="n">
        <v>42.46153846153846</v>
      </c>
      <c r="I1158" s="9" t="inlineStr">
        <is>
          <t>Depth (no MLB PA)</t>
        </is>
      </c>
      <c r="J1158" s="16" t="inlineStr">
        <is>
          <t>Opening Day</t>
        </is>
      </c>
      <c r="K1158" s="11">
        <f>IFERROR(INDEX(Roles!$B$17:$B$20,MATCH(J1158,Roles!$A$17:$A$20,0)),1)</f>
        <v/>
      </c>
      <c r="L1158" s="17" t="n">
        <v>1</v>
      </c>
      <c r="M1158" s="11" t="n">
        <v>1</v>
      </c>
      <c r="N1158" s="17" t="n"/>
      <c r="O1158" s="17" t="n"/>
      <c r="P1158" s="17" t="n"/>
      <c r="Q1158" s="17" t="n"/>
      <c r="R1158" s="17" t="n"/>
      <c r="S1158" s="17" t="n"/>
      <c r="T1158" s="17" t="n"/>
      <c r="U1158" s="17" t="n"/>
      <c r="V1158" s="17" t="n"/>
      <c r="W1158" s="17" t="n"/>
      <c r="X1158" s="17" t="n"/>
      <c r="Y1158" s="17" t="n">
        <v>1</v>
      </c>
      <c r="Z1158" s="13">
        <f>SUMPRODUCT(N1158:Y1158,$N$2:$Y$2)*$K1158*$L1158*$M1158</f>
        <v/>
      </c>
      <c r="AA1158" s="14">
        <f>SUM(N1158:Y1158)</f>
        <v/>
      </c>
      <c r="AB1158" s="14">
        <f>IFERROR(IF(UPPER($E1158)="L",SUMPRODUCT(N1158:Y1158,$N$3:$Y$3,$N$2:$Y$2),SUMPRODUCT(N1158:Y1158,$N$4:$Y$4,$N$2:$Y$2))/(Z1158/($K1158*$L1158*$M1158)),"")</f>
        <v/>
      </c>
      <c r="AC1158" s="18" t="n"/>
    </row>
    <row r="1159">
      <c r="A1159" s="9" t="n">
        <v>676203</v>
      </c>
      <c r="B1159" s="9" t="inlineStr">
        <is>
          <t>Marcos Castañon</t>
        </is>
      </c>
      <c r="C1159" s="9" t="inlineStr">
        <is>
          <t>SD</t>
        </is>
      </c>
      <c r="D1159" s="9" t="n">
        <v>25</v>
      </c>
      <c r="E1159" s="16" t="inlineStr">
        <is>
          <t>R</t>
        </is>
      </c>
      <c r="F1159" s="16" t="n"/>
      <c r="G1159" s="9" t="n">
        <v>274.7179487179488</v>
      </c>
      <c r="H1159" s="9" t="n">
        <v>274.7179487179488</v>
      </c>
      <c r="I1159" s="9" t="inlineStr">
        <is>
          <t>Depth (no MLB PA)</t>
        </is>
      </c>
      <c r="J1159" s="16" t="inlineStr">
        <is>
          <t>Opening Day</t>
        </is>
      </c>
      <c r="K1159" s="11">
        <f>IFERROR(INDEX(Roles!$B$17:$B$20,MATCH(J1159,Roles!$A$17:$A$20,0)),1)</f>
        <v/>
      </c>
      <c r="L1159" s="17" t="n">
        <v>1</v>
      </c>
      <c r="M1159" s="11" t="n">
        <v>1</v>
      </c>
      <c r="N1159" s="17" t="n"/>
      <c r="O1159" s="17" t="n"/>
      <c r="P1159" s="17" t="n"/>
      <c r="Q1159" s="17" t="n"/>
      <c r="R1159" s="17" t="n"/>
      <c r="S1159" s="17" t="n"/>
      <c r="T1159" s="17" t="n"/>
      <c r="U1159" s="17" t="n"/>
      <c r="V1159" s="17" t="n"/>
      <c r="W1159" s="17" t="n"/>
      <c r="X1159" s="17" t="n"/>
      <c r="Y1159" s="17" t="n">
        <v>1</v>
      </c>
      <c r="Z1159" s="13">
        <f>SUMPRODUCT(N1159:Y1159,$N$2:$Y$2)*$K1159*$L1159*$M1159</f>
        <v/>
      </c>
      <c r="AA1159" s="14">
        <f>SUM(N1159:Y1159)</f>
        <v/>
      </c>
      <c r="AB1159" s="14">
        <f>IFERROR(IF(UPPER($E1159)="L",SUMPRODUCT(N1159:Y1159,$N$3:$Y$3,$N$2:$Y$2),SUMPRODUCT(N1159:Y1159,$N$4:$Y$4,$N$2:$Y$2))/(Z1159/($K1159*$L1159*$M1159)),"")</f>
        <v/>
      </c>
      <c r="AC1159" s="18" t="n"/>
    </row>
    <row r="1160">
      <c r="A1160" s="9" t="n">
        <v>821036</v>
      </c>
      <c r="B1160" s="9" t="inlineStr">
        <is>
          <t>Cristofer Lebrón</t>
        </is>
      </c>
      <c r="C1160" s="9" t="inlineStr">
        <is>
          <t>STL</t>
        </is>
      </c>
      <c r="D1160" s="9" t="n">
        <v>25</v>
      </c>
      <c r="E1160" s="16" t="inlineStr">
        <is>
          <t>R</t>
        </is>
      </c>
      <c r="F1160" s="16" t="n"/>
      <c r="G1160" s="9" t="n">
        <v>7.015384615384615</v>
      </c>
      <c r="H1160" s="9" t="n">
        <v>7.015384615384615</v>
      </c>
      <c r="I1160" s="9" t="inlineStr">
        <is>
          <t>Depth (no MLB PA)</t>
        </is>
      </c>
      <c r="J1160" s="16" t="inlineStr">
        <is>
          <t>Opening Day</t>
        </is>
      </c>
      <c r="K1160" s="11">
        <f>IFERROR(INDEX(Roles!$B$17:$B$20,MATCH(J1160,Roles!$A$17:$A$20,0)),1)</f>
        <v/>
      </c>
      <c r="L1160" s="17" t="n">
        <v>1</v>
      </c>
      <c r="M1160" s="11" t="n">
        <v>1</v>
      </c>
      <c r="N1160" s="17" t="n"/>
      <c r="O1160" s="17" t="n"/>
      <c r="P1160" s="17" t="n"/>
      <c r="Q1160" s="17" t="n"/>
      <c r="R1160" s="17" t="n"/>
      <c r="S1160" s="17" t="n"/>
      <c r="T1160" s="17" t="n"/>
      <c r="U1160" s="17" t="n"/>
      <c r="V1160" s="17" t="n"/>
      <c r="W1160" s="17" t="n"/>
      <c r="X1160" s="17" t="n"/>
      <c r="Y1160" s="17" t="n">
        <v>1</v>
      </c>
      <c r="Z1160" s="13">
        <f>SUMPRODUCT(N1160:Y1160,$N$2:$Y$2)*$K1160*$L1160*$M1160</f>
        <v/>
      </c>
      <c r="AA1160" s="14">
        <f>SUM(N1160:Y1160)</f>
        <v/>
      </c>
      <c r="AB1160" s="14">
        <f>IFERROR(IF(UPPER($E1160)="L",SUMPRODUCT(N1160:Y1160,$N$3:$Y$3,$N$2:$Y$2),SUMPRODUCT(N1160:Y1160,$N$4:$Y$4,$N$2:$Y$2))/(Z1160/($K1160*$L1160*$M1160)),"")</f>
        <v/>
      </c>
      <c r="AC1160" s="18" t="n"/>
    </row>
    <row r="1161">
      <c r="A1161" s="9" t="n">
        <v>800632</v>
      </c>
      <c r="B1161" s="9" t="inlineStr">
        <is>
          <t>Dean West</t>
        </is>
      </c>
      <c r="C1161" s="9" t="inlineStr">
        <is>
          <t>TOR</t>
        </is>
      </c>
      <c r="D1161" s="9" t="n">
        <v>25</v>
      </c>
      <c r="E1161" s="16" t="inlineStr">
        <is>
          <t>L</t>
        </is>
      </c>
      <c r="F1161" s="16" t="n"/>
      <c r="G1161" s="9" t="n">
        <v>7.138461538461539</v>
      </c>
      <c r="H1161" s="9" t="n">
        <v>7.138461538461539</v>
      </c>
      <c r="I1161" s="9" t="inlineStr">
        <is>
          <t>Depth (no MLB PA)</t>
        </is>
      </c>
      <c r="J1161" s="16" t="inlineStr">
        <is>
          <t>Opening Day</t>
        </is>
      </c>
      <c r="K1161" s="11">
        <f>IFERROR(INDEX(Roles!$B$17:$B$20,MATCH(J1161,Roles!$A$17:$A$20,0)),1)</f>
        <v/>
      </c>
      <c r="L1161" s="17" t="n">
        <v>1</v>
      </c>
      <c r="M1161" s="11" t="n">
        <v>1</v>
      </c>
      <c r="N1161" s="17" t="n"/>
      <c r="O1161" s="17" t="n"/>
      <c r="P1161" s="17" t="n"/>
      <c r="Q1161" s="17" t="n"/>
      <c r="R1161" s="17" t="n"/>
      <c r="S1161" s="17" t="n"/>
      <c r="T1161" s="17" t="n"/>
      <c r="U1161" s="17" t="n"/>
      <c r="V1161" s="17" t="n"/>
      <c r="W1161" s="17" t="n"/>
      <c r="X1161" s="17" t="n"/>
      <c r="Y1161" s="17" t="n">
        <v>1</v>
      </c>
      <c r="Z1161" s="13">
        <f>SUMPRODUCT(N1161:Y1161,$N$2:$Y$2)*$K1161*$L1161*$M1161</f>
        <v/>
      </c>
      <c r="AA1161" s="14">
        <f>SUM(N1161:Y1161)</f>
        <v/>
      </c>
      <c r="AB1161" s="14">
        <f>IFERROR(IF(UPPER($E1161)="L",SUMPRODUCT(N1161:Y1161,$N$3:$Y$3,$N$2:$Y$2),SUMPRODUCT(N1161:Y1161,$N$4:$Y$4,$N$2:$Y$2))/(Z1161/($K1161*$L1161*$M1161)),"")</f>
        <v/>
      </c>
      <c r="AC1161" s="18" t="n"/>
    </row>
    <row r="1162">
      <c r="A1162" s="9" t="n">
        <v>815915</v>
      </c>
      <c r="B1162" s="9" t="inlineStr">
        <is>
          <t>Joswa Lugo</t>
        </is>
      </c>
      <c r="C1162" s="9" t="inlineStr">
        <is>
          <t>LAA</t>
        </is>
      </c>
      <c r="D1162" s="9" t="n">
        <v>25</v>
      </c>
      <c r="E1162" s="16" t="inlineStr">
        <is>
          <t>R</t>
        </is>
      </c>
      <c r="F1162" s="16" t="n"/>
      <c r="G1162" s="9" t="n">
        <v>13.66153846153846</v>
      </c>
      <c r="H1162" s="9" t="n">
        <v>13.66153846153846</v>
      </c>
      <c r="I1162" s="9" t="inlineStr">
        <is>
          <t>Depth (no MLB PA)</t>
        </is>
      </c>
      <c r="J1162" s="16" t="inlineStr">
        <is>
          <t>Opening Day</t>
        </is>
      </c>
      <c r="K1162" s="11">
        <f>IFERROR(INDEX(Roles!$B$17:$B$20,MATCH(J1162,Roles!$A$17:$A$20,0)),1)</f>
        <v/>
      </c>
      <c r="L1162" s="17" t="n">
        <v>1</v>
      </c>
      <c r="M1162" s="11" t="n">
        <v>1</v>
      </c>
      <c r="N1162" s="17" t="n"/>
      <c r="O1162" s="17" t="n"/>
      <c r="P1162" s="17" t="n"/>
      <c r="Q1162" s="17" t="n"/>
      <c r="R1162" s="17" t="n"/>
      <c r="S1162" s="17" t="n"/>
      <c r="T1162" s="17" t="n"/>
      <c r="U1162" s="17" t="n"/>
      <c r="V1162" s="17" t="n"/>
      <c r="W1162" s="17" t="n"/>
      <c r="X1162" s="17" t="n"/>
      <c r="Y1162" s="17" t="n">
        <v>1</v>
      </c>
      <c r="Z1162" s="13">
        <f>SUMPRODUCT(N1162:Y1162,$N$2:$Y$2)*$K1162*$L1162*$M1162</f>
        <v/>
      </c>
      <c r="AA1162" s="14">
        <f>SUM(N1162:Y1162)</f>
        <v/>
      </c>
      <c r="AB1162" s="14">
        <f>IFERROR(IF(UPPER($E1162)="L",SUMPRODUCT(N1162:Y1162,$N$3:$Y$3,$N$2:$Y$2),SUMPRODUCT(N1162:Y1162,$N$4:$Y$4,$N$2:$Y$2))/(Z1162/($K1162*$L1162*$M1162)),"")</f>
        <v/>
      </c>
      <c r="AC1162" s="18" t="n"/>
    </row>
    <row r="1163">
      <c r="A1163" s="9" t="n">
        <v>810891</v>
      </c>
      <c r="B1163" s="9" t="inlineStr">
        <is>
          <t>Jay Beshears</t>
        </is>
      </c>
      <c r="C1163" s="9" t="inlineStr">
        <is>
          <t>MIA</t>
        </is>
      </c>
      <c r="D1163" s="9" t="n">
        <v>25</v>
      </c>
      <c r="E1163" s="16" t="inlineStr">
        <is>
          <t>R</t>
        </is>
      </c>
      <c r="F1163" s="16" t="n"/>
      <c r="G1163" s="9" t="n">
        <v>100.5128205128205</v>
      </c>
      <c r="H1163" s="9" t="n">
        <v>100.5128205128205</v>
      </c>
      <c r="I1163" s="9" t="inlineStr">
        <is>
          <t>Depth (no MLB PA)</t>
        </is>
      </c>
      <c r="J1163" s="16" t="inlineStr">
        <is>
          <t>Opening Day</t>
        </is>
      </c>
      <c r="K1163" s="11">
        <f>IFERROR(INDEX(Roles!$B$17:$B$20,MATCH(J1163,Roles!$A$17:$A$20,0)),1)</f>
        <v/>
      </c>
      <c r="L1163" s="17" t="n">
        <v>1</v>
      </c>
      <c r="M1163" s="11" t="n">
        <v>1</v>
      </c>
      <c r="N1163" s="17" t="n"/>
      <c r="O1163" s="17" t="n"/>
      <c r="P1163" s="17" t="n"/>
      <c r="Q1163" s="17" t="n"/>
      <c r="R1163" s="17" t="n"/>
      <c r="S1163" s="17" t="n"/>
      <c r="T1163" s="17" t="n"/>
      <c r="U1163" s="17" t="n"/>
      <c r="V1163" s="17" t="n"/>
      <c r="W1163" s="17" t="n"/>
      <c r="X1163" s="17" t="n"/>
      <c r="Y1163" s="17" t="n">
        <v>1</v>
      </c>
      <c r="Z1163" s="13">
        <f>SUMPRODUCT(N1163:Y1163,$N$2:$Y$2)*$K1163*$L1163*$M1163</f>
        <v/>
      </c>
      <c r="AA1163" s="14">
        <f>SUM(N1163:Y1163)</f>
        <v/>
      </c>
      <c r="AB1163" s="14">
        <f>IFERROR(IF(UPPER($E1163)="L",SUMPRODUCT(N1163:Y1163,$N$3:$Y$3,$N$2:$Y$2),SUMPRODUCT(N1163:Y1163,$N$4:$Y$4,$N$2:$Y$2))/(Z1163/($K1163*$L1163*$M1163)),"")</f>
        <v/>
      </c>
      <c r="AC1163" s="18" t="n"/>
    </row>
    <row r="1164">
      <c r="A1164" s="9" t="n">
        <v>700081</v>
      </c>
      <c r="B1164" s="9" t="inlineStr">
        <is>
          <t>Jake Thompson</t>
        </is>
      </c>
      <c r="C1164" s="9" t="inlineStr">
        <is>
          <t>LAA</t>
        </is>
      </c>
      <c r="D1164" s="9" t="n">
        <v>25</v>
      </c>
      <c r="E1164" s="16" t="inlineStr">
        <is>
          <t>L</t>
        </is>
      </c>
      <c r="F1164" s="16" t="n"/>
      <c r="G1164" s="9" t="n">
        <v>50.97435897435897</v>
      </c>
      <c r="H1164" s="9" t="n">
        <v>50.97435897435897</v>
      </c>
      <c r="I1164" s="9" t="inlineStr">
        <is>
          <t>Depth (no MLB PA)</t>
        </is>
      </c>
      <c r="J1164" s="16" t="inlineStr">
        <is>
          <t>Opening Day</t>
        </is>
      </c>
      <c r="K1164" s="11">
        <f>IFERROR(INDEX(Roles!$B$17:$B$20,MATCH(J1164,Roles!$A$17:$A$20,0)),1)</f>
        <v/>
      </c>
      <c r="L1164" s="17" t="n">
        <v>1</v>
      </c>
      <c r="M1164" s="11" t="n">
        <v>1</v>
      </c>
      <c r="N1164" s="17" t="n"/>
      <c r="O1164" s="17" t="n"/>
      <c r="P1164" s="17" t="n"/>
      <c r="Q1164" s="17" t="n"/>
      <c r="R1164" s="17" t="n"/>
      <c r="S1164" s="17" t="n"/>
      <c r="T1164" s="17" t="n"/>
      <c r="U1164" s="17" t="n"/>
      <c r="V1164" s="17" t="n"/>
      <c r="W1164" s="17" t="n"/>
      <c r="X1164" s="17" t="n"/>
      <c r="Y1164" s="17" t="n">
        <v>1</v>
      </c>
      <c r="Z1164" s="13">
        <f>SUMPRODUCT(N1164:Y1164,$N$2:$Y$2)*$K1164*$L1164*$M1164</f>
        <v/>
      </c>
      <c r="AA1164" s="14">
        <f>SUM(N1164:Y1164)</f>
        <v/>
      </c>
      <c r="AB1164" s="14">
        <f>IFERROR(IF(UPPER($E1164)="L",SUMPRODUCT(N1164:Y1164,$N$3:$Y$3,$N$2:$Y$2),SUMPRODUCT(N1164:Y1164,$N$4:$Y$4,$N$2:$Y$2))/(Z1164/($K1164*$L1164*$M1164)),"")</f>
        <v/>
      </c>
      <c r="AC1164" s="18" t="n"/>
    </row>
    <row r="1165">
      <c r="A1165" s="9" t="n">
        <v>801522</v>
      </c>
      <c r="B1165" s="9" t="inlineStr">
        <is>
          <t>Carlos Sanchez</t>
        </is>
      </c>
      <c r="C1165" s="9" t="inlineStr">
        <is>
          <t>MIA</t>
        </is>
      </c>
      <c r="D1165" s="9" t="n">
        <v>25</v>
      </c>
      <c r="E1165" s="16" t="inlineStr">
        <is>
          <t>S</t>
        </is>
      </c>
      <c r="F1165" s="16" t="n"/>
      <c r="G1165" s="9" t="n">
        <v>27.69230769230769</v>
      </c>
      <c r="H1165" s="9" t="n">
        <v>27.69230769230769</v>
      </c>
      <c r="I1165" s="9" t="inlineStr">
        <is>
          <t>Depth (no MLB PA)</t>
        </is>
      </c>
      <c r="J1165" s="16" t="inlineStr">
        <is>
          <t>Opening Day</t>
        </is>
      </c>
      <c r="K1165" s="11">
        <f>IFERROR(INDEX(Roles!$B$17:$B$20,MATCH(J1165,Roles!$A$17:$A$20,0)),1)</f>
        <v/>
      </c>
      <c r="L1165" s="17" t="n">
        <v>1</v>
      </c>
      <c r="M1165" s="11" t="n">
        <v>1</v>
      </c>
      <c r="N1165" s="17" t="n"/>
      <c r="O1165" s="17" t="n"/>
      <c r="P1165" s="17" t="n"/>
      <c r="Q1165" s="17" t="n"/>
      <c r="R1165" s="17" t="n"/>
      <c r="S1165" s="17" t="n"/>
      <c r="T1165" s="17" t="n"/>
      <c r="U1165" s="17" t="n"/>
      <c r="V1165" s="17" t="n"/>
      <c r="W1165" s="17" t="n"/>
      <c r="X1165" s="17" t="n"/>
      <c r="Y1165" s="17" t="n">
        <v>1</v>
      </c>
      <c r="Z1165" s="13">
        <f>SUMPRODUCT(N1165:Y1165,$N$2:$Y$2)*$K1165*$L1165*$M1165</f>
        <v/>
      </c>
      <c r="AA1165" s="14">
        <f>SUM(N1165:Y1165)</f>
        <v/>
      </c>
      <c r="AB1165" s="14">
        <f>IFERROR(IF(UPPER($E1165)="L",SUMPRODUCT(N1165:Y1165,$N$3:$Y$3,$N$2:$Y$2),SUMPRODUCT(N1165:Y1165,$N$4:$Y$4,$N$2:$Y$2))/(Z1165/($K1165*$L1165*$M1165)),"")</f>
        <v/>
      </c>
      <c r="AC1165" s="18" t="n"/>
    </row>
    <row r="1166">
      <c r="A1166" s="9" t="n">
        <v>807647</v>
      </c>
      <c r="B1166" s="9" t="inlineStr">
        <is>
          <t>Pablo Nunez</t>
        </is>
      </c>
      <c r="C1166" s="9" t="inlineStr">
        <is>
          <t>CIN</t>
        </is>
      </c>
      <c r="D1166" s="9" t="n">
        <v>25</v>
      </c>
      <c r="E1166" s="16" t="inlineStr">
        <is>
          <t>L</t>
        </is>
      </c>
      <c r="F1166" s="16" t="n"/>
      <c r="G1166" s="9" t="n">
        <v>7.261538461538461</v>
      </c>
      <c r="H1166" s="9" t="n">
        <v>7.261538461538461</v>
      </c>
      <c r="I1166" s="9" t="inlineStr">
        <is>
          <t>Depth (no MLB PA)</t>
        </is>
      </c>
      <c r="J1166" s="16" t="inlineStr">
        <is>
          <t>Opening Day</t>
        </is>
      </c>
      <c r="K1166" s="11">
        <f>IFERROR(INDEX(Roles!$B$17:$B$20,MATCH(J1166,Roles!$A$17:$A$20,0)),1)</f>
        <v/>
      </c>
      <c r="L1166" s="17" t="n">
        <v>1</v>
      </c>
      <c r="M1166" s="11" t="n">
        <v>1</v>
      </c>
      <c r="N1166" s="17" t="n"/>
      <c r="O1166" s="17" t="n"/>
      <c r="P1166" s="17" t="n"/>
      <c r="Q1166" s="17" t="n"/>
      <c r="R1166" s="17" t="n"/>
      <c r="S1166" s="17" t="n"/>
      <c r="T1166" s="17" t="n"/>
      <c r="U1166" s="17" t="n"/>
      <c r="V1166" s="17" t="n"/>
      <c r="W1166" s="17" t="n"/>
      <c r="X1166" s="17" t="n"/>
      <c r="Y1166" s="17" t="n">
        <v>1</v>
      </c>
      <c r="Z1166" s="13">
        <f>SUMPRODUCT(N1166:Y1166,$N$2:$Y$2)*$K1166*$L1166*$M1166</f>
        <v/>
      </c>
      <c r="AA1166" s="14">
        <f>SUM(N1166:Y1166)</f>
        <v/>
      </c>
      <c r="AB1166" s="14">
        <f>IFERROR(IF(UPPER($E1166)="L",SUMPRODUCT(N1166:Y1166,$N$3:$Y$3,$N$2:$Y$2),SUMPRODUCT(N1166:Y1166,$N$4:$Y$4,$N$2:$Y$2))/(Z1166/($K1166*$L1166*$M1166)),"")</f>
        <v/>
      </c>
      <c r="AC1166" s="18" t="n"/>
    </row>
    <row r="1167">
      <c r="A1167" s="9" t="n">
        <v>669384</v>
      </c>
      <c r="B1167" s="9" t="inlineStr">
        <is>
          <t>Raynel Delgado</t>
        </is>
      </c>
      <c r="C1167" s="9" t="inlineStr">
        <is>
          <t>HOU</t>
        </is>
      </c>
      <c r="D1167" s="9" t="n">
        <v>27</v>
      </c>
      <c r="E1167" s="16" t="inlineStr">
        <is>
          <t>L</t>
        </is>
      </c>
      <c r="F1167" s="16" t="inlineStr">
        <is>
          <t>3B</t>
        </is>
      </c>
      <c r="G1167" s="9" t="n">
        <v>41</v>
      </c>
      <c r="H1167" s="9" t="n">
        <v>41</v>
      </c>
      <c r="I1167" s="9" t="inlineStr">
        <is>
          <t>Bench Bat</t>
        </is>
      </c>
      <c r="J1167" s="16" t="inlineStr">
        <is>
          <t>Opening Day</t>
        </is>
      </c>
      <c r="K1167" s="11">
        <f>IFERROR(INDEX(Roles!$B$17:$B$20,MATCH(J1167,Roles!$A$17:$A$20,0)),1)</f>
        <v/>
      </c>
      <c r="L1167" s="17" t="n">
        <v>1</v>
      </c>
      <c r="M1167" s="11" t="n">
        <v>1</v>
      </c>
      <c r="N1167" s="17" t="n"/>
      <c r="O1167" s="17" t="n"/>
      <c r="P1167" s="17" t="n"/>
      <c r="Q1167" s="17" t="n"/>
      <c r="R1167" s="17" t="n"/>
      <c r="S1167" s="17" t="n"/>
      <c r="T1167" s="17" t="n"/>
      <c r="U1167" s="17" t="n">
        <v>0.4</v>
      </c>
      <c r="V1167" s="17" t="n"/>
      <c r="W1167" s="17" t="n">
        <v>0.6</v>
      </c>
      <c r="X1167" s="17" t="n"/>
      <c r="Y1167" s="17" t="n"/>
      <c r="Z1167" s="13">
        <f>SUMPRODUCT(N1167:Y1167,$N$2:$Y$2)*$K1167*$L1167*$M1167</f>
        <v/>
      </c>
      <c r="AA1167" s="14">
        <f>SUM(N1167:Y1167)</f>
        <v/>
      </c>
      <c r="AB1167" s="14">
        <f>IFERROR(IF(UPPER($E1167)="L",SUMPRODUCT(N1167:Y1167,$N$3:$Y$3,$N$2:$Y$2),SUMPRODUCT(N1167:Y1167,$N$4:$Y$4,$N$2:$Y$2))/(Z1167/($K1167*$L1167*$M1167)),"")</f>
        <v/>
      </c>
      <c r="AC1167" s="18" t="n"/>
    </row>
    <row r="1168">
      <c r="A1168" s="9" t="n">
        <v>821716</v>
      </c>
      <c r="B1168" s="9" t="inlineStr">
        <is>
          <t>Jhonayker Ugarte</t>
        </is>
      </c>
      <c r="C1168" s="9" t="inlineStr">
        <is>
          <t>KC</t>
        </is>
      </c>
      <c r="D1168" s="9" t="n">
        <v>25</v>
      </c>
      <c r="E1168" s="16" t="inlineStr">
        <is>
          <t>R</t>
        </is>
      </c>
      <c r="F1168" s="16" t="n"/>
      <c r="G1168" s="9" t="n">
        <v>7.261538461538461</v>
      </c>
      <c r="H1168" s="9" t="n">
        <v>7.261538461538461</v>
      </c>
      <c r="I1168" s="9" t="inlineStr">
        <is>
          <t>Depth (no MLB PA)</t>
        </is>
      </c>
      <c r="J1168" s="16" t="inlineStr">
        <is>
          <t>Opening Day</t>
        </is>
      </c>
      <c r="K1168" s="11">
        <f>IFERROR(INDEX(Roles!$B$17:$B$20,MATCH(J1168,Roles!$A$17:$A$20,0)),1)</f>
        <v/>
      </c>
      <c r="L1168" s="17" t="n">
        <v>1</v>
      </c>
      <c r="M1168" s="11" t="n">
        <v>1</v>
      </c>
      <c r="N1168" s="17" t="n"/>
      <c r="O1168" s="17" t="n"/>
      <c r="P1168" s="17" t="n"/>
      <c r="Q1168" s="17" t="n"/>
      <c r="R1168" s="17" t="n"/>
      <c r="S1168" s="17" t="n"/>
      <c r="T1168" s="17" t="n"/>
      <c r="U1168" s="17" t="n"/>
      <c r="V1168" s="17" t="n"/>
      <c r="W1168" s="17" t="n"/>
      <c r="X1168" s="17" t="n"/>
      <c r="Y1168" s="17" t="n">
        <v>1</v>
      </c>
      <c r="Z1168" s="13">
        <f>SUMPRODUCT(N1168:Y1168,$N$2:$Y$2)*$K1168*$L1168*$M1168</f>
        <v/>
      </c>
      <c r="AA1168" s="14">
        <f>SUM(N1168:Y1168)</f>
        <v/>
      </c>
      <c r="AB1168" s="14">
        <f>IFERROR(IF(UPPER($E1168)="L",SUMPRODUCT(N1168:Y1168,$N$3:$Y$3,$N$2:$Y$2),SUMPRODUCT(N1168:Y1168,$N$4:$Y$4,$N$2:$Y$2))/(Z1168/($K1168*$L1168*$M1168)),"")</f>
        <v/>
      </c>
      <c r="AC1168" s="18" t="n"/>
    </row>
    <row r="1169">
      <c r="A1169" s="9" t="n">
        <v>702656</v>
      </c>
      <c r="B1169" s="9" t="inlineStr">
        <is>
          <t>Drew Faurot</t>
        </is>
      </c>
      <c r="C1169" s="9" t="inlineStr">
        <is>
          <t>MIA</t>
        </is>
      </c>
      <c r="D1169" s="9" t="n">
        <v>25</v>
      </c>
      <c r="E1169" s="16" t="inlineStr">
        <is>
          <t>S</t>
        </is>
      </c>
      <c r="F1169" s="16" t="n"/>
      <c r="G1169" s="9" t="n">
        <v>7.17948717948718</v>
      </c>
      <c r="H1169" s="9" t="n">
        <v>7.17948717948718</v>
      </c>
      <c r="I1169" s="9" t="inlineStr">
        <is>
          <t>Depth (no MLB PA)</t>
        </is>
      </c>
      <c r="J1169" s="16" t="inlineStr">
        <is>
          <t>Opening Day</t>
        </is>
      </c>
      <c r="K1169" s="11">
        <f>IFERROR(INDEX(Roles!$B$17:$B$20,MATCH(J1169,Roles!$A$17:$A$20,0)),1)</f>
        <v/>
      </c>
      <c r="L1169" s="17" t="n">
        <v>1</v>
      </c>
      <c r="M1169" s="11" t="n">
        <v>1</v>
      </c>
      <c r="N1169" s="17" t="n"/>
      <c r="O1169" s="17" t="n"/>
      <c r="P1169" s="17" t="n"/>
      <c r="Q1169" s="17" t="n"/>
      <c r="R1169" s="17" t="n"/>
      <c r="S1169" s="17" t="n"/>
      <c r="T1169" s="17" t="n"/>
      <c r="U1169" s="17" t="n"/>
      <c r="V1169" s="17" t="n"/>
      <c r="W1169" s="17" t="n"/>
      <c r="X1169" s="17" t="n"/>
      <c r="Y1169" s="17" t="n">
        <v>1</v>
      </c>
      <c r="Z1169" s="13">
        <f>SUMPRODUCT(N1169:Y1169,$N$2:$Y$2)*$K1169*$L1169*$M1169</f>
        <v/>
      </c>
      <c r="AA1169" s="14">
        <f>SUM(N1169:Y1169)</f>
        <v/>
      </c>
      <c r="AB1169" s="14">
        <f>IFERROR(IF(UPPER($E1169)="L",SUMPRODUCT(N1169:Y1169,$N$3:$Y$3,$N$2:$Y$2),SUMPRODUCT(N1169:Y1169,$N$4:$Y$4,$N$2:$Y$2))/(Z1169/($K1169*$L1169*$M1169)),"")</f>
        <v/>
      </c>
      <c r="AC1169" s="18" t="n"/>
    </row>
    <row r="1170">
      <c r="A1170" s="9" t="n">
        <v>425794</v>
      </c>
      <c r="B1170" s="9" t="inlineStr">
        <is>
          <t>Adam Wainwright</t>
        </is>
      </c>
      <c r="C1170" s="9" t="inlineStr">
        <is>
          <t>STL</t>
        </is>
      </c>
      <c r="D1170" s="9" t="n">
        <v>45</v>
      </c>
      <c r="E1170" s="16" t="inlineStr">
        <is>
          <t>R</t>
        </is>
      </c>
      <c r="F1170" s="16" t="inlineStr">
        <is>
          <t>P</t>
        </is>
      </c>
      <c r="G1170" s="9" t="n">
        <v>2</v>
      </c>
      <c r="H1170" s="9" t="n">
        <v>2</v>
      </c>
      <c r="I1170" s="9" t="inlineStr">
        <is>
          <t>Depth (no MLB PA)</t>
        </is>
      </c>
      <c r="J1170" s="16" t="inlineStr">
        <is>
          <t>Opening Day</t>
        </is>
      </c>
      <c r="K1170" s="11">
        <f>IFERROR(INDEX(Roles!$B$17:$B$20,MATCH(J1170,Roles!$A$17:$A$20,0)),1)</f>
        <v/>
      </c>
      <c r="L1170" s="17" t="n">
        <v>1</v>
      </c>
      <c r="M1170" s="11" t="n">
        <v>1</v>
      </c>
      <c r="N1170" s="17" t="n"/>
      <c r="O1170" s="17" t="n"/>
      <c r="P1170" s="17" t="n"/>
      <c r="Q1170" s="17" t="n"/>
      <c r="R1170" s="17" t="n"/>
      <c r="S1170" s="17" t="n"/>
      <c r="T1170" s="17" t="n"/>
      <c r="U1170" s="17" t="n"/>
      <c r="V1170" s="17" t="n"/>
      <c r="W1170" s="17" t="n"/>
      <c r="X1170" s="17" t="n"/>
      <c r="Y1170" s="17" t="n">
        <v>1</v>
      </c>
      <c r="Z1170" s="13">
        <f>SUMPRODUCT(N1170:Y1170,$N$2:$Y$2)*$K1170*$L1170*$M1170</f>
        <v/>
      </c>
      <c r="AA1170" s="14">
        <f>SUM(N1170:Y1170)</f>
        <v/>
      </c>
      <c r="AB1170" s="14">
        <f>IFERROR(IF(UPPER($E1170)="L",SUMPRODUCT(N1170:Y1170,$N$3:$Y$3,$N$2:$Y$2),SUMPRODUCT(N1170:Y1170,$N$4:$Y$4,$N$2:$Y$2))/(Z1170/($K1170*$L1170*$M1170)),"")</f>
        <v/>
      </c>
      <c r="AC1170" s="18" t="n"/>
    </row>
    <row r="1171">
      <c r="A1171" s="9" t="n">
        <v>821073</v>
      </c>
      <c r="B1171" s="9" t="inlineStr">
        <is>
          <t>Jirvin Morillo</t>
        </is>
      </c>
      <c r="C1171" s="9" t="inlineStr">
        <is>
          <t>CIN</t>
        </is>
      </c>
      <c r="D1171" s="9" t="n">
        <v>25</v>
      </c>
      <c r="E1171" s="16" t="inlineStr">
        <is>
          <t>S</t>
        </is>
      </c>
      <c r="F1171" s="16" t="n"/>
      <c r="G1171" s="9" t="n">
        <v>11.56923076923077</v>
      </c>
      <c r="H1171" s="9" t="n">
        <v>11.56923076923077</v>
      </c>
      <c r="I1171" s="9" t="inlineStr">
        <is>
          <t>Depth (no MLB PA)</t>
        </is>
      </c>
      <c r="J1171" s="16" t="inlineStr">
        <is>
          <t>Opening Day</t>
        </is>
      </c>
      <c r="K1171" s="11">
        <f>IFERROR(INDEX(Roles!$B$17:$B$20,MATCH(J1171,Roles!$A$17:$A$20,0)),1)</f>
        <v/>
      </c>
      <c r="L1171" s="17" t="n">
        <v>1</v>
      </c>
      <c r="M1171" s="11" t="n">
        <v>1</v>
      </c>
      <c r="N1171" s="17" t="n"/>
      <c r="O1171" s="17" t="n"/>
      <c r="P1171" s="17" t="n"/>
      <c r="Q1171" s="17" t="n"/>
      <c r="R1171" s="17" t="n"/>
      <c r="S1171" s="17" t="n"/>
      <c r="T1171" s="17" t="n"/>
      <c r="U1171" s="17" t="n"/>
      <c r="V1171" s="17" t="n"/>
      <c r="W1171" s="17" t="n"/>
      <c r="X1171" s="17" t="n"/>
      <c r="Y1171" s="17" t="n">
        <v>1</v>
      </c>
      <c r="Z1171" s="13">
        <f>SUMPRODUCT(N1171:Y1171,$N$2:$Y$2)*$K1171*$L1171*$M1171</f>
        <v/>
      </c>
      <c r="AA1171" s="14">
        <f>SUM(N1171:Y1171)</f>
        <v/>
      </c>
      <c r="AB1171" s="14">
        <f>IFERROR(IF(UPPER($E1171)="L",SUMPRODUCT(N1171:Y1171,$N$3:$Y$3,$N$2:$Y$2),SUMPRODUCT(N1171:Y1171,$N$4:$Y$4,$N$2:$Y$2))/(Z1171/($K1171*$L1171*$M1171)),"")</f>
        <v/>
      </c>
      <c r="AC1171" s="18" t="n"/>
    </row>
    <row r="1172">
      <c r="A1172" s="9" t="n">
        <v>815690</v>
      </c>
      <c r="B1172" s="9" t="inlineStr">
        <is>
          <t>Grady Emerson</t>
        </is>
      </c>
      <c r="C1172" s="9" t="inlineStr">
        <is>
          <t>TB</t>
        </is>
      </c>
      <c r="D1172" s="9" t="n">
        <v>19</v>
      </c>
      <c r="E1172" s="16" t="inlineStr">
        <is>
          <t>L</t>
        </is>
      </c>
      <c r="F1172" s="16" t="n"/>
      <c r="G1172" s="9" t="n">
        <v>7.261538461538461</v>
      </c>
      <c r="H1172" s="9" t="n">
        <v>7.261538461538461</v>
      </c>
      <c r="I1172" s="9" t="inlineStr">
        <is>
          <t>Depth (no MLB PA)</t>
        </is>
      </c>
      <c r="J1172" s="16" t="inlineStr">
        <is>
          <t>Opening Day</t>
        </is>
      </c>
      <c r="K1172" s="11">
        <f>IFERROR(INDEX(Roles!$B$17:$B$20,MATCH(J1172,Roles!$A$17:$A$20,0)),1)</f>
        <v/>
      </c>
      <c r="L1172" s="17" t="n">
        <v>1</v>
      </c>
      <c r="M1172" s="11" t="n">
        <v>1</v>
      </c>
      <c r="N1172" s="17" t="n"/>
      <c r="O1172" s="17" t="n"/>
      <c r="P1172" s="17" t="n"/>
      <c r="Q1172" s="17" t="n"/>
      <c r="R1172" s="17" t="n"/>
      <c r="S1172" s="17" t="n"/>
      <c r="T1172" s="17" t="n"/>
      <c r="U1172" s="17" t="n"/>
      <c r="V1172" s="17" t="n"/>
      <c r="W1172" s="17" t="n"/>
      <c r="X1172" s="17" t="n"/>
      <c r="Y1172" s="17" t="n">
        <v>1</v>
      </c>
      <c r="Z1172" s="13">
        <f>SUMPRODUCT(N1172:Y1172,$N$2:$Y$2)*$K1172*$L1172*$M1172</f>
        <v/>
      </c>
      <c r="AA1172" s="14">
        <f>SUM(N1172:Y1172)</f>
        <v/>
      </c>
      <c r="AB1172" s="14">
        <f>IFERROR(IF(UPPER($E1172)="L",SUMPRODUCT(N1172:Y1172,$N$3:$Y$3,$N$2:$Y$2),SUMPRODUCT(N1172:Y1172,$N$4:$Y$4,$N$2:$Y$2))/(Z1172/($K1172*$L1172*$M1172)),"")</f>
        <v/>
      </c>
      <c r="AC1172" s="18" t="n"/>
    </row>
    <row r="1173">
      <c r="A1173" s="9" t="n">
        <v>702691</v>
      </c>
      <c r="B1173" s="9" t="inlineStr">
        <is>
          <t>Cade Climie</t>
        </is>
      </c>
      <c r="C1173" s="9" t="inlineStr">
        <is>
          <t>PHI</t>
        </is>
      </c>
      <c r="D1173" s="9" t="n">
        <v>25</v>
      </c>
      <c r="E1173" s="16" t="inlineStr">
        <is>
          <t>R</t>
        </is>
      </c>
      <c r="F1173" s="16" t="n"/>
      <c r="G1173" s="9" t="n">
        <v>9.476923076923075</v>
      </c>
      <c r="H1173" s="9" t="n">
        <v>9.476923076923075</v>
      </c>
      <c r="I1173" s="9" t="inlineStr">
        <is>
          <t>Depth (no MLB PA)</t>
        </is>
      </c>
      <c r="J1173" s="16" t="inlineStr">
        <is>
          <t>Opening Day</t>
        </is>
      </c>
      <c r="K1173" s="11">
        <f>IFERROR(INDEX(Roles!$B$17:$B$20,MATCH(J1173,Roles!$A$17:$A$20,0)),1)</f>
        <v/>
      </c>
      <c r="L1173" s="17" t="n">
        <v>1</v>
      </c>
      <c r="M1173" s="11" t="n">
        <v>1</v>
      </c>
      <c r="N1173" s="17" t="n"/>
      <c r="O1173" s="17" t="n"/>
      <c r="P1173" s="17" t="n"/>
      <c r="Q1173" s="17" t="n"/>
      <c r="R1173" s="17" t="n"/>
      <c r="S1173" s="17" t="n"/>
      <c r="T1173" s="17" t="n"/>
      <c r="U1173" s="17" t="n"/>
      <c r="V1173" s="17" t="n"/>
      <c r="W1173" s="17" t="n"/>
      <c r="X1173" s="17" t="n"/>
      <c r="Y1173" s="17" t="n">
        <v>1</v>
      </c>
      <c r="Z1173" s="13">
        <f>SUMPRODUCT(N1173:Y1173,$N$2:$Y$2)*$K1173*$L1173*$M1173</f>
        <v/>
      </c>
      <c r="AA1173" s="14">
        <f>SUM(N1173:Y1173)</f>
        <v/>
      </c>
      <c r="AB1173" s="14">
        <f>IFERROR(IF(UPPER($E1173)="L",SUMPRODUCT(N1173:Y1173,$N$3:$Y$3,$N$2:$Y$2),SUMPRODUCT(N1173:Y1173,$N$4:$Y$4,$N$2:$Y$2))/(Z1173/($K1173*$L1173*$M1173)),"")</f>
        <v/>
      </c>
      <c r="AC1173" s="18" t="n"/>
    </row>
    <row r="1174">
      <c r="A1174" s="9" t="n">
        <v>807231</v>
      </c>
      <c r="B1174" s="9" t="inlineStr">
        <is>
          <t>Ryan Wynn</t>
        </is>
      </c>
      <c r="C1174" s="9" t="inlineStr">
        <is>
          <t>SEA</t>
        </is>
      </c>
      <c r="D1174" s="9" t="n">
        <v>25</v>
      </c>
      <c r="E1174" s="16" t="inlineStr">
        <is>
          <t>R</t>
        </is>
      </c>
      <c r="F1174" s="16" t="n"/>
      <c r="G1174" s="9" t="n">
        <v>11.44615384615385</v>
      </c>
      <c r="H1174" s="9" t="n">
        <v>11.44615384615385</v>
      </c>
      <c r="I1174" s="9" t="inlineStr">
        <is>
          <t>Depth (no MLB PA)</t>
        </is>
      </c>
      <c r="J1174" s="16" t="inlineStr">
        <is>
          <t>Opening Day</t>
        </is>
      </c>
      <c r="K1174" s="11">
        <f>IFERROR(INDEX(Roles!$B$17:$B$20,MATCH(J1174,Roles!$A$17:$A$20,0)),1)</f>
        <v/>
      </c>
      <c r="L1174" s="17" t="n">
        <v>1</v>
      </c>
      <c r="M1174" s="11" t="n">
        <v>1</v>
      </c>
      <c r="N1174" s="17" t="n"/>
      <c r="O1174" s="17" t="n"/>
      <c r="P1174" s="17" t="n"/>
      <c r="Q1174" s="17" t="n"/>
      <c r="R1174" s="17" t="n"/>
      <c r="S1174" s="17" t="n"/>
      <c r="T1174" s="17" t="n"/>
      <c r="U1174" s="17" t="n"/>
      <c r="V1174" s="17" t="n"/>
      <c r="W1174" s="17" t="n"/>
      <c r="X1174" s="17" t="n"/>
      <c r="Y1174" s="17" t="n">
        <v>1</v>
      </c>
      <c r="Z1174" s="13">
        <f>SUMPRODUCT(N1174:Y1174,$N$2:$Y$2)*$K1174*$L1174*$M1174</f>
        <v/>
      </c>
      <c r="AA1174" s="14">
        <f>SUM(N1174:Y1174)</f>
        <v/>
      </c>
      <c r="AB1174" s="14">
        <f>IFERROR(IF(UPPER($E1174)="L",SUMPRODUCT(N1174:Y1174,$N$3:$Y$3,$N$2:$Y$2),SUMPRODUCT(N1174:Y1174,$N$4:$Y$4,$N$2:$Y$2))/(Z1174/($K1174*$L1174*$M1174)),"")</f>
        <v/>
      </c>
      <c r="AC1174" s="18" t="n"/>
    </row>
    <row r="1175">
      <c r="A1175" s="9" t="n">
        <v>815415</v>
      </c>
      <c r="B1175" s="9" t="inlineStr">
        <is>
          <t>Alex Hernandez</t>
        </is>
      </c>
      <c r="C1175" s="9" t="inlineStr">
        <is>
          <t>OAK</t>
        </is>
      </c>
      <c r="D1175" s="9" t="n">
        <v>25</v>
      </c>
      <c r="E1175" s="16" t="inlineStr">
        <is>
          <t>R</t>
        </is>
      </c>
      <c r="F1175" s="16" t="n"/>
      <c r="G1175" s="9" t="n">
        <v>9.476923076923075</v>
      </c>
      <c r="H1175" s="9" t="n">
        <v>9.476923076923075</v>
      </c>
      <c r="I1175" s="9" t="inlineStr">
        <is>
          <t>Depth (no MLB PA)</t>
        </is>
      </c>
      <c r="J1175" s="16" t="inlineStr">
        <is>
          <t>Opening Day</t>
        </is>
      </c>
      <c r="K1175" s="11">
        <f>IFERROR(INDEX(Roles!$B$17:$B$20,MATCH(J1175,Roles!$A$17:$A$20,0)),1)</f>
        <v/>
      </c>
      <c r="L1175" s="17" t="n">
        <v>1</v>
      </c>
      <c r="M1175" s="11" t="n">
        <v>1</v>
      </c>
      <c r="N1175" s="17" t="n"/>
      <c r="O1175" s="17" t="n"/>
      <c r="P1175" s="17" t="n"/>
      <c r="Q1175" s="17" t="n"/>
      <c r="R1175" s="17" t="n"/>
      <c r="S1175" s="17" t="n"/>
      <c r="T1175" s="17" t="n"/>
      <c r="U1175" s="17" t="n"/>
      <c r="V1175" s="17" t="n"/>
      <c r="W1175" s="17" t="n"/>
      <c r="X1175" s="17" t="n"/>
      <c r="Y1175" s="17" t="n">
        <v>1</v>
      </c>
      <c r="Z1175" s="13">
        <f>SUMPRODUCT(N1175:Y1175,$N$2:$Y$2)*$K1175*$L1175*$M1175</f>
        <v/>
      </c>
      <c r="AA1175" s="14">
        <f>SUM(N1175:Y1175)</f>
        <v/>
      </c>
      <c r="AB1175" s="14">
        <f>IFERROR(IF(UPPER($E1175)="L",SUMPRODUCT(N1175:Y1175,$N$3:$Y$3,$N$2:$Y$2),SUMPRODUCT(N1175:Y1175,$N$4:$Y$4,$N$2:$Y$2))/(Z1175/($K1175*$L1175*$M1175)),"")</f>
        <v/>
      </c>
      <c r="AC1175" s="18" t="n"/>
    </row>
    <row r="1176">
      <c r="A1176" s="9" t="n">
        <v>691588</v>
      </c>
      <c r="B1176" s="9" t="inlineStr">
        <is>
          <t>Ian Lewis Jr.</t>
        </is>
      </c>
      <c r="C1176" s="9" t="inlineStr">
        <is>
          <t>MIA</t>
        </is>
      </c>
      <c r="D1176" s="9" t="n">
        <v>25</v>
      </c>
      <c r="E1176" s="16" t="inlineStr">
        <is>
          <t>S</t>
        </is>
      </c>
      <c r="F1176" s="16" t="n"/>
      <c r="G1176" s="9" t="n">
        <v>94.76923076923076</v>
      </c>
      <c r="H1176" s="9" t="n">
        <v>94.76923076923076</v>
      </c>
      <c r="I1176" s="9" t="inlineStr">
        <is>
          <t>Depth (no MLB PA)</t>
        </is>
      </c>
      <c r="J1176" s="16" t="inlineStr">
        <is>
          <t>Opening Day</t>
        </is>
      </c>
      <c r="K1176" s="11">
        <f>IFERROR(INDEX(Roles!$B$17:$B$20,MATCH(J1176,Roles!$A$17:$A$20,0)),1)</f>
        <v/>
      </c>
      <c r="L1176" s="17" t="n">
        <v>1</v>
      </c>
      <c r="M1176" s="11" t="n">
        <v>1</v>
      </c>
      <c r="N1176" s="17" t="n"/>
      <c r="O1176" s="17" t="n"/>
      <c r="P1176" s="17" t="n"/>
      <c r="Q1176" s="17" t="n"/>
      <c r="R1176" s="17" t="n"/>
      <c r="S1176" s="17" t="n"/>
      <c r="T1176" s="17" t="n"/>
      <c r="U1176" s="17" t="n"/>
      <c r="V1176" s="17" t="n"/>
      <c r="W1176" s="17" t="n"/>
      <c r="X1176" s="17" t="n"/>
      <c r="Y1176" s="17" t="n">
        <v>1</v>
      </c>
      <c r="Z1176" s="13">
        <f>SUMPRODUCT(N1176:Y1176,$N$2:$Y$2)*$K1176*$L1176*$M1176</f>
        <v/>
      </c>
      <c r="AA1176" s="14">
        <f>SUM(N1176:Y1176)</f>
        <v/>
      </c>
      <c r="AB1176" s="14">
        <f>IFERROR(IF(UPPER($E1176)="L",SUMPRODUCT(N1176:Y1176,$N$3:$Y$3,$N$2:$Y$2),SUMPRODUCT(N1176:Y1176,$N$4:$Y$4,$N$2:$Y$2))/(Z1176/($K1176*$L1176*$M1176)),"")</f>
        <v/>
      </c>
      <c r="AC1176" s="18" t="n"/>
    </row>
    <row r="1177">
      <c r="A1177" s="9" t="n">
        <v>687526</v>
      </c>
      <c r="B1177" s="9" t="inlineStr">
        <is>
          <t>Marcus Smith</t>
        </is>
      </c>
      <c r="C1177" s="9" t="inlineStr">
        <is>
          <t>CIN</t>
        </is>
      </c>
      <c r="D1177" s="9" t="n">
        <v>25</v>
      </c>
      <c r="E1177" s="16" t="inlineStr">
        <is>
          <t>L</t>
        </is>
      </c>
      <c r="F1177" s="16" t="n"/>
      <c r="G1177" s="9" t="n">
        <v>7.17948717948718</v>
      </c>
      <c r="H1177" s="9" t="n">
        <v>7.17948717948718</v>
      </c>
      <c r="I1177" s="9" t="inlineStr">
        <is>
          <t>Depth (no MLB PA)</t>
        </is>
      </c>
      <c r="J1177" s="16" t="inlineStr">
        <is>
          <t>Opening Day</t>
        </is>
      </c>
      <c r="K1177" s="11">
        <f>IFERROR(INDEX(Roles!$B$17:$B$20,MATCH(J1177,Roles!$A$17:$A$20,0)),1)</f>
        <v/>
      </c>
      <c r="L1177" s="17" t="n">
        <v>1</v>
      </c>
      <c r="M1177" s="11" t="n">
        <v>1</v>
      </c>
      <c r="N1177" s="17" t="n"/>
      <c r="O1177" s="17" t="n"/>
      <c r="P1177" s="17" t="n"/>
      <c r="Q1177" s="17" t="n"/>
      <c r="R1177" s="17" t="n"/>
      <c r="S1177" s="17" t="n"/>
      <c r="T1177" s="17" t="n"/>
      <c r="U1177" s="17" t="n"/>
      <c r="V1177" s="17" t="n"/>
      <c r="W1177" s="17" t="n"/>
      <c r="X1177" s="17" t="n"/>
      <c r="Y1177" s="17" t="n">
        <v>1</v>
      </c>
      <c r="Z1177" s="13">
        <f>SUMPRODUCT(N1177:Y1177,$N$2:$Y$2)*$K1177*$L1177*$M1177</f>
        <v/>
      </c>
      <c r="AA1177" s="14">
        <f>SUM(N1177:Y1177)</f>
        <v/>
      </c>
      <c r="AB1177" s="14">
        <f>IFERROR(IF(UPPER($E1177)="L",SUMPRODUCT(N1177:Y1177,$N$3:$Y$3,$N$2:$Y$2),SUMPRODUCT(N1177:Y1177,$N$4:$Y$4,$N$2:$Y$2))/(Z1177/($K1177*$L1177*$M1177)),"")</f>
        <v/>
      </c>
      <c r="AC1177" s="18" t="n"/>
    </row>
    <row r="1178">
      <c r="A1178" s="9" t="n">
        <v>800506</v>
      </c>
      <c r="B1178" s="9" t="inlineStr">
        <is>
          <t>Luis Sanchez</t>
        </is>
      </c>
      <c r="C1178" s="9" t="inlineStr">
        <is>
          <t>ATL</t>
        </is>
      </c>
      <c r="D1178" s="9" t="n">
        <v>25</v>
      </c>
      <c r="E1178" s="16" t="inlineStr">
        <is>
          <t>R</t>
        </is>
      </c>
      <c r="F1178" s="16" t="n"/>
      <c r="G1178" s="9" t="n">
        <v>7.384615384615386</v>
      </c>
      <c r="H1178" s="9" t="n">
        <v>7.384615384615386</v>
      </c>
      <c r="I1178" s="9" t="inlineStr">
        <is>
          <t>Depth (no MLB PA)</t>
        </is>
      </c>
      <c r="J1178" s="16" t="inlineStr">
        <is>
          <t>Opening Day</t>
        </is>
      </c>
      <c r="K1178" s="11">
        <f>IFERROR(INDEX(Roles!$B$17:$B$20,MATCH(J1178,Roles!$A$17:$A$20,0)),1)</f>
        <v/>
      </c>
      <c r="L1178" s="17" t="n">
        <v>1</v>
      </c>
      <c r="M1178" s="11" t="n">
        <v>1</v>
      </c>
      <c r="N1178" s="17" t="n"/>
      <c r="O1178" s="17" t="n"/>
      <c r="P1178" s="17" t="n"/>
      <c r="Q1178" s="17" t="n"/>
      <c r="R1178" s="17" t="n"/>
      <c r="S1178" s="17" t="n"/>
      <c r="T1178" s="17" t="n"/>
      <c r="U1178" s="17" t="n"/>
      <c r="V1178" s="17" t="n"/>
      <c r="W1178" s="17" t="n"/>
      <c r="X1178" s="17" t="n"/>
      <c r="Y1178" s="17" t="n">
        <v>1</v>
      </c>
      <c r="Z1178" s="13">
        <f>SUMPRODUCT(N1178:Y1178,$N$2:$Y$2)*$K1178*$L1178*$M1178</f>
        <v/>
      </c>
      <c r="AA1178" s="14">
        <f>SUM(N1178:Y1178)</f>
        <v/>
      </c>
      <c r="AB1178" s="14">
        <f>IFERROR(IF(UPPER($E1178)="L",SUMPRODUCT(N1178:Y1178,$N$3:$Y$3,$N$2:$Y$2),SUMPRODUCT(N1178:Y1178,$N$4:$Y$4,$N$2:$Y$2))/(Z1178/($K1178*$L1178*$M1178)),"")</f>
        <v/>
      </c>
      <c r="AC1178" s="18" t="n"/>
    </row>
    <row r="1179">
      <c r="A1179" s="9" t="n">
        <v>700178</v>
      </c>
      <c r="B1179" s="9" t="inlineStr">
        <is>
          <t>Ryan McCoy</t>
        </is>
      </c>
      <c r="C1179" s="9" t="inlineStr">
        <is>
          <t>TB</t>
        </is>
      </c>
      <c r="D1179" s="9" t="n">
        <v>25</v>
      </c>
      <c r="E1179" s="16" t="inlineStr">
        <is>
          <t>L</t>
        </is>
      </c>
      <c r="F1179" s="16" t="n"/>
      <c r="G1179" s="9" t="n">
        <v>80.61538461538463</v>
      </c>
      <c r="H1179" s="9" t="n">
        <v>80.61538461538463</v>
      </c>
      <c r="I1179" s="9" t="inlineStr">
        <is>
          <t>Depth (no MLB PA)</t>
        </is>
      </c>
      <c r="J1179" s="16" t="inlineStr">
        <is>
          <t>Opening Day</t>
        </is>
      </c>
      <c r="K1179" s="11">
        <f>IFERROR(INDEX(Roles!$B$17:$B$20,MATCH(J1179,Roles!$A$17:$A$20,0)),1)</f>
        <v/>
      </c>
      <c r="L1179" s="17" t="n">
        <v>1</v>
      </c>
      <c r="M1179" s="11" t="n">
        <v>1</v>
      </c>
      <c r="N1179" s="17" t="n"/>
      <c r="O1179" s="17" t="n"/>
      <c r="P1179" s="17" t="n"/>
      <c r="Q1179" s="17" t="n"/>
      <c r="R1179" s="17" t="n"/>
      <c r="S1179" s="17" t="n"/>
      <c r="T1179" s="17" t="n"/>
      <c r="U1179" s="17" t="n"/>
      <c r="V1179" s="17" t="n"/>
      <c r="W1179" s="17" t="n"/>
      <c r="X1179" s="17" t="n"/>
      <c r="Y1179" s="17" t="n">
        <v>1</v>
      </c>
      <c r="Z1179" s="13">
        <f>SUMPRODUCT(N1179:Y1179,$N$2:$Y$2)*$K1179*$L1179*$M1179</f>
        <v/>
      </c>
      <c r="AA1179" s="14">
        <f>SUM(N1179:Y1179)</f>
        <v/>
      </c>
      <c r="AB1179" s="14">
        <f>IFERROR(IF(UPPER($E1179)="L",SUMPRODUCT(N1179:Y1179,$N$3:$Y$3,$N$2:$Y$2),SUMPRODUCT(N1179:Y1179,$N$4:$Y$4,$N$2:$Y$2))/(Z1179/($K1179*$L1179*$M1179)),"")</f>
        <v/>
      </c>
      <c r="AC1179" s="18" t="n"/>
    </row>
    <row r="1180">
      <c r="A1180" s="9" t="n">
        <v>680753</v>
      </c>
      <c r="B1180" s="9" t="inlineStr">
        <is>
          <t>Adam Hackenberg</t>
        </is>
      </c>
      <c r="C1180" s="9" t="inlineStr">
        <is>
          <t>TOR</t>
        </is>
      </c>
      <c r="D1180" s="9" t="n">
        <v>25</v>
      </c>
      <c r="E1180" s="16" t="inlineStr">
        <is>
          <t>R</t>
        </is>
      </c>
      <c r="F1180" s="16" t="n"/>
      <c r="G1180" s="9" t="n">
        <v>7.333333333333334</v>
      </c>
      <c r="H1180" s="9" t="n">
        <v>7.333333333333334</v>
      </c>
      <c r="I1180" s="9" t="inlineStr">
        <is>
          <t>Depth (no MLB PA)</t>
        </is>
      </c>
      <c r="J1180" s="16" t="inlineStr">
        <is>
          <t>Opening Day</t>
        </is>
      </c>
      <c r="K1180" s="11">
        <f>IFERROR(INDEX(Roles!$B$17:$B$20,MATCH(J1180,Roles!$A$17:$A$20,0)),1)</f>
        <v/>
      </c>
      <c r="L1180" s="17" t="n">
        <v>1</v>
      </c>
      <c r="M1180" s="11" t="n">
        <v>1</v>
      </c>
      <c r="N1180" s="17" t="n"/>
      <c r="O1180" s="17" t="n"/>
      <c r="P1180" s="17" t="n"/>
      <c r="Q1180" s="17" t="n"/>
      <c r="R1180" s="17" t="n"/>
      <c r="S1180" s="17" t="n"/>
      <c r="T1180" s="17" t="n"/>
      <c r="U1180" s="17" t="n"/>
      <c r="V1180" s="17" t="n"/>
      <c r="W1180" s="17" t="n"/>
      <c r="X1180" s="17" t="n"/>
      <c r="Y1180" s="17" t="n">
        <v>1</v>
      </c>
      <c r="Z1180" s="13">
        <f>SUMPRODUCT(N1180:Y1180,$N$2:$Y$2)*$K1180*$L1180*$M1180</f>
        <v/>
      </c>
      <c r="AA1180" s="14">
        <f>SUM(N1180:Y1180)</f>
        <v/>
      </c>
      <c r="AB1180" s="14">
        <f>IFERROR(IF(UPPER($E1180)="L",SUMPRODUCT(N1180:Y1180,$N$3:$Y$3,$N$2:$Y$2),SUMPRODUCT(N1180:Y1180,$N$4:$Y$4,$N$2:$Y$2))/(Z1180/($K1180*$L1180*$M1180)),"")</f>
        <v/>
      </c>
      <c r="AC1180" s="18" t="n"/>
    </row>
    <row r="1181">
      <c r="A1181" s="9" t="n">
        <v>701831</v>
      </c>
      <c r="B1181" s="9" t="inlineStr">
        <is>
          <t>Carson DeMartini</t>
        </is>
      </c>
      <c r="C1181" s="9" t="inlineStr">
        <is>
          <t>PHI</t>
        </is>
      </c>
      <c r="D1181" s="9" t="n">
        <v>25</v>
      </c>
      <c r="E1181" s="16" t="inlineStr">
        <is>
          <t>L</t>
        </is>
      </c>
      <c r="F1181" s="16" t="n"/>
      <c r="G1181" s="9" t="n">
        <v>83.28205128205128</v>
      </c>
      <c r="H1181" s="9" t="n">
        <v>83.28205128205128</v>
      </c>
      <c r="I1181" s="9" t="inlineStr">
        <is>
          <t>Depth (no MLB PA)</t>
        </is>
      </c>
      <c r="J1181" s="16" t="inlineStr">
        <is>
          <t>Opening Day</t>
        </is>
      </c>
      <c r="K1181" s="11">
        <f>IFERROR(INDEX(Roles!$B$17:$B$20,MATCH(J1181,Roles!$A$17:$A$20,0)),1)</f>
        <v/>
      </c>
      <c r="L1181" s="17" t="n">
        <v>1</v>
      </c>
      <c r="M1181" s="11" t="n">
        <v>1</v>
      </c>
      <c r="N1181" s="17" t="n"/>
      <c r="O1181" s="17" t="n"/>
      <c r="P1181" s="17" t="n"/>
      <c r="Q1181" s="17" t="n"/>
      <c r="R1181" s="17" t="n"/>
      <c r="S1181" s="17" t="n"/>
      <c r="T1181" s="17" t="n"/>
      <c r="U1181" s="17" t="n"/>
      <c r="V1181" s="17" t="n"/>
      <c r="W1181" s="17" t="n"/>
      <c r="X1181" s="17" t="n"/>
      <c r="Y1181" s="17" t="n">
        <v>1</v>
      </c>
      <c r="Z1181" s="13">
        <f>SUMPRODUCT(N1181:Y1181,$N$2:$Y$2)*$K1181*$L1181*$M1181</f>
        <v/>
      </c>
      <c r="AA1181" s="14">
        <f>SUM(N1181:Y1181)</f>
        <v/>
      </c>
      <c r="AB1181" s="14">
        <f>IFERROR(IF(UPPER($E1181)="L",SUMPRODUCT(N1181:Y1181,$N$3:$Y$3,$N$2:$Y$2),SUMPRODUCT(N1181:Y1181,$N$4:$Y$4,$N$2:$Y$2))/(Z1181/($K1181*$L1181*$M1181)),"")</f>
        <v/>
      </c>
      <c r="AC1181" s="18" t="n"/>
    </row>
    <row r="1182">
      <c r="A1182" s="9" t="n">
        <v>805704</v>
      </c>
      <c r="B1182" s="9" t="inlineStr">
        <is>
          <t>Keaton Anthony</t>
        </is>
      </c>
      <c r="C1182" s="9" t="inlineStr">
        <is>
          <t>PHI</t>
        </is>
      </c>
      <c r="D1182" s="9" t="n">
        <v>25</v>
      </c>
      <c r="E1182" s="16" t="inlineStr">
        <is>
          <t>R</t>
        </is>
      </c>
      <c r="F1182" s="16" t="n"/>
      <c r="G1182" s="9" t="n">
        <v>180.5128205128205</v>
      </c>
      <c r="H1182" s="9" t="n">
        <v>180.5128205128205</v>
      </c>
      <c r="I1182" s="9" t="inlineStr">
        <is>
          <t>Depth (no MLB PA)</t>
        </is>
      </c>
      <c r="J1182" s="16" t="inlineStr">
        <is>
          <t>Opening Day</t>
        </is>
      </c>
      <c r="K1182" s="11">
        <f>IFERROR(INDEX(Roles!$B$17:$B$20,MATCH(J1182,Roles!$A$17:$A$20,0)),1)</f>
        <v/>
      </c>
      <c r="L1182" s="17" t="n">
        <v>1</v>
      </c>
      <c r="M1182" s="11" t="n">
        <v>1</v>
      </c>
      <c r="N1182" s="17" t="n"/>
      <c r="O1182" s="17" t="n"/>
      <c r="P1182" s="17" t="n"/>
      <c r="Q1182" s="17" t="n"/>
      <c r="R1182" s="17" t="n"/>
      <c r="S1182" s="17" t="n"/>
      <c r="T1182" s="17" t="n"/>
      <c r="U1182" s="17" t="n"/>
      <c r="V1182" s="17" t="n"/>
      <c r="W1182" s="17" t="n"/>
      <c r="X1182" s="17" t="n"/>
      <c r="Y1182" s="17" t="n">
        <v>1</v>
      </c>
      <c r="Z1182" s="13">
        <f>SUMPRODUCT(N1182:Y1182,$N$2:$Y$2)*$K1182*$L1182*$M1182</f>
        <v/>
      </c>
      <c r="AA1182" s="14">
        <f>SUM(N1182:Y1182)</f>
        <v/>
      </c>
      <c r="AB1182" s="14">
        <f>IFERROR(IF(UPPER($E1182)="L",SUMPRODUCT(N1182:Y1182,$N$3:$Y$3,$N$2:$Y$2),SUMPRODUCT(N1182:Y1182,$N$4:$Y$4,$N$2:$Y$2))/(Z1182/($K1182*$L1182*$M1182)),"")</f>
        <v/>
      </c>
      <c r="AC1182" s="18" t="n"/>
    </row>
    <row r="1183">
      <c r="A1183" s="9" t="n">
        <v>820989</v>
      </c>
      <c r="B1183" s="9" t="inlineStr">
        <is>
          <t>Kyle Sinzza</t>
        </is>
      </c>
      <c r="C1183" s="9" t="inlineStr">
        <is>
          <t>ARI</t>
        </is>
      </c>
      <c r="D1183" s="9" t="n">
        <v>25</v>
      </c>
      <c r="E1183" s="16" t="inlineStr">
        <is>
          <t>R</t>
        </is>
      </c>
      <c r="F1183" s="16" t="n"/>
      <c r="G1183" s="9" t="n">
        <v>7.384615384615384</v>
      </c>
      <c r="H1183" s="9" t="n">
        <v>7.384615384615384</v>
      </c>
      <c r="I1183" s="9" t="inlineStr">
        <is>
          <t>Depth (no MLB PA)</t>
        </is>
      </c>
      <c r="J1183" s="16" t="inlineStr">
        <is>
          <t>Opening Day</t>
        </is>
      </c>
      <c r="K1183" s="11">
        <f>IFERROR(INDEX(Roles!$B$17:$B$20,MATCH(J1183,Roles!$A$17:$A$20,0)),1)</f>
        <v/>
      </c>
      <c r="L1183" s="17" t="n">
        <v>1</v>
      </c>
      <c r="M1183" s="11" t="n">
        <v>1</v>
      </c>
      <c r="N1183" s="17" t="n"/>
      <c r="O1183" s="17" t="n"/>
      <c r="P1183" s="17" t="n"/>
      <c r="Q1183" s="17" t="n"/>
      <c r="R1183" s="17" t="n"/>
      <c r="S1183" s="17" t="n"/>
      <c r="T1183" s="17" t="n"/>
      <c r="U1183" s="17" t="n"/>
      <c r="V1183" s="17" t="n"/>
      <c r="W1183" s="17" t="n"/>
      <c r="X1183" s="17" t="n"/>
      <c r="Y1183" s="17" t="n">
        <v>1</v>
      </c>
      <c r="Z1183" s="13">
        <f>SUMPRODUCT(N1183:Y1183,$N$2:$Y$2)*$K1183*$L1183*$M1183</f>
        <v/>
      </c>
      <c r="AA1183" s="14">
        <f>SUM(N1183:Y1183)</f>
        <v/>
      </c>
      <c r="AB1183" s="14">
        <f>IFERROR(IF(UPPER($E1183)="L",SUMPRODUCT(N1183:Y1183,$N$3:$Y$3,$N$2:$Y$2),SUMPRODUCT(N1183:Y1183,$N$4:$Y$4,$N$2:$Y$2))/(Z1183/($K1183*$L1183*$M1183)),"")</f>
        <v/>
      </c>
      <c r="AC1183" s="18" t="n"/>
    </row>
    <row r="1184">
      <c r="A1184" s="9" t="n">
        <v>828074</v>
      </c>
      <c r="B1184" s="9" t="inlineStr">
        <is>
          <t>TJ Ford</t>
        </is>
      </c>
      <c r="C1184" s="9" t="inlineStr">
        <is>
          <t>LAA</t>
        </is>
      </c>
      <c r="D1184" s="9" t="n">
        <v>25</v>
      </c>
      <c r="E1184" s="16" t="inlineStr">
        <is>
          <t>S</t>
        </is>
      </c>
      <c r="F1184" s="16" t="n"/>
      <c r="G1184" s="9" t="n">
        <v>7.384615384615384</v>
      </c>
      <c r="H1184" s="9" t="n">
        <v>7.384615384615384</v>
      </c>
      <c r="I1184" s="9" t="inlineStr">
        <is>
          <t>Depth (no MLB PA)</t>
        </is>
      </c>
      <c r="J1184" s="16" t="inlineStr">
        <is>
          <t>Opening Day</t>
        </is>
      </c>
      <c r="K1184" s="11">
        <f>IFERROR(INDEX(Roles!$B$17:$B$20,MATCH(J1184,Roles!$A$17:$A$20,0)),1)</f>
        <v/>
      </c>
      <c r="L1184" s="17" t="n">
        <v>1</v>
      </c>
      <c r="M1184" s="11" t="n">
        <v>1</v>
      </c>
      <c r="N1184" s="17" t="n"/>
      <c r="O1184" s="17" t="n"/>
      <c r="P1184" s="17" t="n"/>
      <c r="Q1184" s="17" t="n"/>
      <c r="R1184" s="17" t="n"/>
      <c r="S1184" s="17" t="n"/>
      <c r="T1184" s="17" t="n"/>
      <c r="U1184" s="17" t="n"/>
      <c r="V1184" s="17" t="n"/>
      <c r="W1184" s="17" t="n"/>
      <c r="X1184" s="17" t="n"/>
      <c r="Y1184" s="17" t="n">
        <v>1</v>
      </c>
      <c r="Z1184" s="13">
        <f>SUMPRODUCT(N1184:Y1184,$N$2:$Y$2)*$K1184*$L1184*$M1184</f>
        <v/>
      </c>
      <c r="AA1184" s="14">
        <f>SUM(N1184:Y1184)</f>
        <v/>
      </c>
      <c r="AB1184" s="14">
        <f>IFERROR(IF(UPPER($E1184)="L",SUMPRODUCT(N1184:Y1184,$N$3:$Y$3,$N$2:$Y$2),SUMPRODUCT(N1184:Y1184,$N$4:$Y$4,$N$2:$Y$2))/(Z1184/($K1184*$L1184*$M1184)),"")</f>
        <v/>
      </c>
      <c r="AC1184" s="18" t="n"/>
    </row>
    <row r="1185">
      <c r="A1185" s="9" t="n">
        <v>808060</v>
      </c>
      <c r="B1185" s="9" t="inlineStr">
        <is>
          <t>Yoiber Ocopio</t>
        </is>
      </c>
      <c r="C1185" s="9" t="inlineStr">
        <is>
          <t>SD</t>
        </is>
      </c>
      <c r="D1185" s="9" t="n">
        <v>25</v>
      </c>
      <c r="E1185" s="16" t="inlineStr">
        <is>
          <t>R</t>
        </is>
      </c>
      <c r="F1185" s="16" t="n"/>
      <c r="G1185" s="9" t="n">
        <v>11.69230769230769</v>
      </c>
      <c r="H1185" s="9" t="n">
        <v>11.69230769230769</v>
      </c>
      <c r="I1185" s="9" t="inlineStr">
        <is>
          <t>Depth (no MLB PA)</t>
        </is>
      </c>
      <c r="J1185" s="16" t="inlineStr">
        <is>
          <t>Opening Day</t>
        </is>
      </c>
      <c r="K1185" s="11">
        <f>IFERROR(INDEX(Roles!$B$17:$B$20,MATCH(J1185,Roles!$A$17:$A$20,0)),1)</f>
        <v/>
      </c>
      <c r="L1185" s="17" t="n">
        <v>1</v>
      </c>
      <c r="M1185" s="11" t="n">
        <v>1</v>
      </c>
      <c r="N1185" s="17" t="n"/>
      <c r="O1185" s="17" t="n"/>
      <c r="P1185" s="17" t="n"/>
      <c r="Q1185" s="17" t="n"/>
      <c r="R1185" s="17" t="n"/>
      <c r="S1185" s="17" t="n"/>
      <c r="T1185" s="17" t="n"/>
      <c r="U1185" s="17" t="n"/>
      <c r="V1185" s="17" t="n"/>
      <c r="W1185" s="17" t="n"/>
      <c r="X1185" s="17" t="n"/>
      <c r="Y1185" s="17" t="n">
        <v>1</v>
      </c>
      <c r="Z1185" s="13">
        <f>SUMPRODUCT(N1185:Y1185,$N$2:$Y$2)*$K1185*$L1185*$M1185</f>
        <v/>
      </c>
      <c r="AA1185" s="14">
        <f>SUM(N1185:Y1185)</f>
        <v/>
      </c>
      <c r="AB1185" s="14">
        <f>IFERROR(IF(UPPER($E1185)="L",SUMPRODUCT(N1185:Y1185,$N$3:$Y$3,$N$2:$Y$2),SUMPRODUCT(N1185:Y1185,$N$4:$Y$4,$N$2:$Y$2))/(Z1185/($K1185*$L1185*$M1185)),"")</f>
        <v/>
      </c>
      <c r="AC1185" s="18" t="n"/>
    </row>
    <row r="1186">
      <c r="A1186" s="9" t="n">
        <v>687144</v>
      </c>
      <c r="B1186" s="9" t="inlineStr">
        <is>
          <t>Corey Joyce</t>
        </is>
      </c>
      <c r="C1186" s="9" t="inlineStr">
        <is>
          <t>TEX</t>
        </is>
      </c>
      <c r="D1186" s="9" t="n">
        <v>25</v>
      </c>
      <c r="E1186" s="16" t="inlineStr">
        <is>
          <t>R</t>
        </is>
      </c>
      <c r="F1186" s="16" t="n"/>
      <c r="G1186" s="9" t="n">
        <v>118.8205128205128</v>
      </c>
      <c r="H1186" s="9" t="n">
        <v>118.8205128205128</v>
      </c>
      <c r="I1186" s="9" t="inlineStr">
        <is>
          <t>Depth (no MLB PA)</t>
        </is>
      </c>
      <c r="J1186" s="16" t="inlineStr">
        <is>
          <t>Opening Day</t>
        </is>
      </c>
      <c r="K1186" s="11">
        <f>IFERROR(INDEX(Roles!$B$17:$B$20,MATCH(J1186,Roles!$A$17:$A$20,0)),1)</f>
        <v/>
      </c>
      <c r="L1186" s="17" t="n">
        <v>1</v>
      </c>
      <c r="M1186" s="11" t="n">
        <v>1</v>
      </c>
      <c r="N1186" s="17" t="n"/>
      <c r="O1186" s="17" t="n"/>
      <c r="P1186" s="17" t="n"/>
      <c r="Q1186" s="17" t="n"/>
      <c r="R1186" s="17" t="n"/>
      <c r="S1186" s="17" t="n"/>
      <c r="T1186" s="17" t="n"/>
      <c r="U1186" s="17" t="n"/>
      <c r="V1186" s="17" t="n"/>
      <c r="W1186" s="17" t="n"/>
      <c r="X1186" s="17" t="n"/>
      <c r="Y1186" s="17" t="n">
        <v>1</v>
      </c>
      <c r="Z1186" s="13">
        <f>SUMPRODUCT(N1186:Y1186,$N$2:$Y$2)*$K1186*$L1186*$M1186</f>
        <v/>
      </c>
      <c r="AA1186" s="14">
        <f>SUM(N1186:Y1186)</f>
        <v/>
      </c>
      <c r="AB1186" s="14">
        <f>IFERROR(IF(UPPER($E1186)="L",SUMPRODUCT(N1186:Y1186,$N$3:$Y$3,$N$2:$Y$2),SUMPRODUCT(N1186:Y1186,$N$4:$Y$4,$N$2:$Y$2))/(Z1186/($K1186*$L1186*$M1186)),"")</f>
        <v/>
      </c>
      <c r="AC1186" s="18" t="n"/>
    </row>
    <row r="1187">
      <c r="A1187" s="9" t="n">
        <v>800432</v>
      </c>
      <c r="B1187" s="9" t="inlineStr">
        <is>
          <t>Felix Cotes</t>
        </is>
      </c>
      <c r="C1187" s="9" t="inlineStr">
        <is>
          <t>TB</t>
        </is>
      </c>
      <c r="D1187" s="9" t="n">
        <v>25</v>
      </c>
      <c r="E1187" s="16" t="inlineStr">
        <is>
          <t>S</t>
        </is>
      </c>
      <c r="F1187" s="16" t="n"/>
      <c r="G1187" s="9" t="n">
        <v>7.384615384615386</v>
      </c>
      <c r="H1187" s="9" t="n">
        <v>7.384615384615386</v>
      </c>
      <c r="I1187" s="9" t="inlineStr">
        <is>
          <t>Depth (no MLB PA)</t>
        </is>
      </c>
      <c r="J1187" s="16" t="inlineStr">
        <is>
          <t>Opening Day</t>
        </is>
      </c>
      <c r="K1187" s="11">
        <f>IFERROR(INDEX(Roles!$B$17:$B$20,MATCH(J1187,Roles!$A$17:$A$20,0)),1)</f>
        <v/>
      </c>
      <c r="L1187" s="17" t="n">
        <v>1</v>
      </c>
      <c r="M1187" s="11" t="n">
        <v>1</v>
      </c>
      <c r="N1187" s="17" t="n"/>
      <c r="O1187" s="17" t="n"/>
      <c r="P1187" s="17" t="n"/>
      <c r="Q1187" s="17" t="n"/>
      <c r="R1187" s="17" t="n"/>
      <c r="S1187" s="17" t="n"/>
      <c r="T1187" s="17" t="n"/>
      <c r="U1187" s="17" t="n"/>
      <c r="V1187" s="17" t="n"/>
      <c r="W1187" s="17" t="n"/>
      <c r="X1187" s="17" t="n"/>
      <c r="Y1187" s="17" t="n">
        <v>1</v>
      </c>
      <c r="Z1187" s="13">
        <f>SUMPRODUCT(N1187:Y1187,$N$2:$Y$2)*$K1187*$L1187*$M1187</f>
        <v/>
      </c>
      <c r="AA1187" s="14">
        <f>SUM(N1187:Y1187)</f>
        <v/>
      </c>
      <c r="AB1187" s="14">
        <f>IFERROR(IF(UPPER($E1187)="L",SUMPRODUCT(N1187:Y1187,$N$3:$Y$3,$N$2:$Y$2),SUMPRODUCT(N1187:Y1187,$N$4:$Y$4,$N$2:$Y$2))/(Z1187/($K1187*$L1187*$M1187)),"")</f>
        <v/>
      </c>
      <c r="AC1187" s="18" t="n"/>
    </row>
    <row r="1188">
      <c r="A1188" s="9" t="n">
        <v>702025</v>
      </c>
      <c r="B1188" s="9" t="inlineStr">
        <is>
          <t>Harry Genth</t>
        </is>
      </c>
      <c r="C1188" s="9" t="inlineStr">
        <is>
          <t>MIN</t>
        </is>
      </c>
      <c r="D1188" s="9" t="n">
        <v>25</v>
      </c>
      <c r="E1188" s="16" t="inlineStr">
        <is>
          <t>R</t>
        </is>
      </c>
      <c r="F1188" s="16" t="n"/>
      <c r="G1188" s="9" t="n">
        <v>7.333333333333334</v>
      </c>
      <c r="H1188" s="9" t="n">
        <v>7.333333333333334</v>
      </c>
      <c r="I1188" s="9" t="inlineStr">
        <is>
          <t>Depth (no MLB PA)</t>
        </is>
      </c>
      <c r="J1188" s="16" t="inlineStr">
        <is>
          <t>Opening Day</t>
        </is>
      </c>
      <c r="K1188" s="11">
        <f>IFERROR(INDEX(Roles!$B$17:$B$20,MATCH(J1188,Roles!$A$17:$A$20,0)),1)</f>
        <v/>
      </c>
      <c r="L1188" s="17" t="n">
        <v>1</v>
      </c>
      <c r="M1188" s="11" t="n">
        <v>1</v>
      </c>
      <c r="N1188" s="17" t="n"/>
      <c r="O1188" s="17" t="n"/>
      <c r="P1188" s="17" t="n"/>
      <c r="Q1188" s="17" t="n"/>
      <c r="R1188" s="17" t="n"/>
      <c r="S1188" s="17" t="n"/>
      <c r="T1188" s="17" t="n"/>
      <c r="U1188" s="17" t="n"/>
      <c r="V1188" s="17" t="n"/>
      <c r="W1188" s="17" t="n"/>
      <c r="X1188" s="17" t="n"/>
      <c r="Y1188" s="17" t="n">
        <v>1</v>
      </c>
      <c r="Z1188" s="13">
        <f>SUMPRODUCT(N1188:Y1188,$N$2:$Y$2)*$K1188*$L1188*$M1188</f>
        <v/>
      </c>
      <c r="AA1188" s="14">
        <f>SUM(N1188:Y1188)</f>
        <v/>
      </c>
      <c r="AB1188" s="14">
        <f>IFERROR(IF(UPPER($E1188)="L",SUMPRODUCT(N1188:Y1188,$N$3:$Y$3,$N$2:$Y$2),SUMPRODUCT(N1188:Y1188,$N$4:$Y$4,$N$2:$Y$2))/(Z1188/($K1188*$L1188*$M1188)),"")</f>
        <v/>
      </c>
      <c r="AC1188" s="18" t="n"/>
    </row>
    <row r="1189">
      <c r="A1189" s="9" t="n">
        <v>827264</v>
      </c>
      <c r="B1189" s="9" t="inlineStr">
        <is>
          <t>Ryan Picollo</t>
        </is>
      </c>
      <c r="C1189" s="9" t="inlineStr">
        <is>
          <t>SEA</t>
        </is>
      </c>
      <c r="D1189" s="9" t="n">
        <v>25</v>
      </c>
      <c r="E1189" s="16" t="inlineStr">
        <is>
          <t>R</t>
        </is>
      </c>
      <c r="F1189" s="16" t="n"/>
      <c r="G1189" s="9" t="n">
        <v>28.43076923076924</v>
      </c>
      <c r="H1189" s="9" t="n">
        <v>28.43076923076924</v>
      </c>
      <c r="I1189" s="9" t="inlineStr">
        <is>
          <t>Depth (no MLB PA)</t>
        </is>
      </c>
      <c r="J1189" s="16" t="inlineStr">
        <is>
          <t>Opening Day</t>
        </is>
      </c>
      <c r="K1189" s="11">
        <f>IFERROR(INDEX(Roles!$B$17:$B$20,MATCH(J1189,Roles!$A$17:$A$20,0)),1)</f>
        <v/>
      </c>
      <c r="L1189" s="17" t="n">
        <v>1</v>
      </c>
      <c r="M1189" s="11" t="n">
        <v>1</v>
      </c>
      <c r="N1189" s="17" t="n"/>
      <c r="O1189" s="17" t="n"/>
      <c r="P1189" s="17" t="n"/>
      <c r="Q1189" s="17" t="n"/>
      <c r="R1189" s="17" t="n"/>
      <c r="S1189" s="17" t="n"/>
      <c r="T1189" s="17" t="n"/>
      <c r="U1189" s="17" t="n"/>
      <c r="V1189" s="17" t="n"/>
      <c r="W1189" s="17" t="n"/>
      <c r="X1189" s="17" t="n"/>
      <c r="Y1189" s="17" t="n">
        <v>1</v>
      </c>
      <c r="Z1189" s="13">
        <f>SUMPRODUCT(N1189:Y1189,$N$2:$Y$2)*$K1189*$L1189*$M1189</f>
        <v/>
      </c>
      <c r="AA1189" s="14">
        <f>SUM(N1189:Y1189)</f>
        <v/>
      </c>
      <c r="AB1189" s="14">
        <f>IFERROR(IF(UPPER($E1189)="L",SUMPRODUCT(N1189:Y1189,$N$3:$Y$3,$N$2:$Y$2),SUMPRODUCT(N1189:Y1189,$N$4:$Y$4,$N$2:$Y$2))/(Z1189/($K1189*$L1189*$M1189)),"")</f>
        <v/>
      </c>
      <c r="AC1189" s="18" t="n"/>
    </row>
    <row r="1190">
      <c r="A1190" s="9" t="n">
        <v>800051</v>
      </c>
      <c r="B1190" s="9" t="inlineStr">
        <is>
          <t>Austin Charles</t>
        </is>
      </c>
      <c r="C1190" s="9" t="inlineStr">
        <is>
          <t>KC</t>
        </is>
      </c>
      <c r="D1190" s="9" t="n">
        <v>25</v>
      </c>
      <c r="E1190" s="16" t="inlineStr">
        <is>
          <t>R</t>
        </is>
      </c>
      <c r="F1190" s="16" t="n"/>
      <c r="G1190" s="9" t="n">
        <v>37.12820512820513</v>
      </c>
      <c r="H1190" s="9" t="n">
        <v>37.12820512820513</v>
      </c>
      <c r="I1190" s="9" t="inlineStr">
        <is>
          <t>Depth (no MLB PA)</t>
        </is>
      </c>
      <c r="J1190" s="16" t="inlineStr">
        <is>
          <t>Opening Day</t>
        </is>
      </c>
      <c r="K1190" s="11">
        <f>IFERROR(INDEX(Roles!$B$17:$B$20,MATCH(J1190,Roles!$A$17:$A$20,0)),1)</f>
        <v/>
      </c>
      <c r="L1190" s="17" t="n">
        <v>1</v>
      </c>
      <c r="M1190" s="11" t="n">
        <v>1</v>
      </c>
      <c r="N1190" s="17" t="n"/>
      <c r="O1190" s="17" t="n"/>
      <c r="P1190" s="17" t="n"/>
      <c r="Q1190" s="17" t="n"/>
      <c r="R1190" s="17" t="n"/>
      <c r="S1190" s="17" t="n"/>
      <c r="T1190" s="17" t="n"/>
      <c r="U1190" s="17" t="n"/>
      <c r="V1190" s="17" t="n"/>
      <c r="W1190" s="17" t="n"/>
      <c r="X1190" s="17" t="n"/>
      <c r="Y1190" s="17" t="n">
        <v>1</v>
      </c>
      <c r="Z1190" s="13">
        <f>SUMPRODUCT(N1190:Y1190,$N$2:$Y$2)*$K1190*$L1190*$M1190</f>
        <v/>
      </c>
      <c r="AA1190" s="14">
        <f>SUM(N1190:Y1190)</f>
        <v/>
      </c>
      <c r="AB1190" s="14">
        <f>IFERROR(IF(UPPER($E1190)="L",SUMPRODUCT(N1190:Y1190,$N$3:$Y$3,$N$2:$Y$2),SUMPRODUCT(N1190:Y1190,$N$4:$Y$4,$N$2:$Y$2))/(Z1190/($K1190*$L1190*$M1190)),"")</f>
        <v/>
      </c>
      <c r="AC1190" s="18" t="n"/>
    </row>
    <row r="1191">
      <c r="A1191" s="9" t="n">
        <v>814158</v>
      </c>
      <c r="B1191" s="9" t="inlineStr">
        <is>
          <t>Cashel Dugger</t>
        </is>
      </c>
      <c r="C1191" s="9" t="inlineStr">
        <is>
          <t>WSH</t>
        </is>
      </c>
      <c r="D1191" s="9" t="n">
        <v>25</v>
      </c>
      <c r="E1191" s="16" t="inlineStr">
        <is>
          <t>L</t>
        </is>
      </c>
      <c r="F1191" s="16" t="n"/>
      <c r="G1191" s="9" t="n">
        <v>7.384615384615384</v>
      </c>
      <c r="H1191" s="9" t="n">
        <v>7.384615384615384</v>
      </c>
      <c r="I1191" s="9" t="inlineStr">
        <is>
          <t>Depth (no MLB PA)</t>
        </is>
      </c>
      <c r="J1191" s="16" t="inlineStr">
        <is>
          <t>Opening Day</t>
        </is>
      </c>
      <c r="K1191" s="11">
        <f>IFERROR(INDEX(Roles!$B$17:$B$20,MATCH(J1191,Roles!$A$17:$A$20,0)),1)</f>
        <v/>
      </c>
      <c r="L1191" s="17" t="n">
        <v>1</v>
      </c>
      <c r="M1191" s="11" t="n">
        <v>1</v>
      </c>
      <c r="N1191" s="17" t="n"/>
      <c r="O1191" s="17" t="n"/>
      <c r="P1191" s="17" t="n"/>
      <c r="Q1191" s="17" t="n"/>
      <c r="R1191" s="17" t="n"/>
      <c r="S1191" s="17" t="n"/>
      <c r="T1191" s="17" t="n"/>
      <c r="U1191" s="17" t="n"/>
      <c r="V1191" s="17" t="n"/>
      <c r="W1191" s="17" t="n"/>
      <c r="X1191" s="17" t="n"/>
      <c r="Y1191" s="17" t="n">
        <v>1</v>
      </c>
      <c r="Z1191" s="13">
        <f>SUMPRODUCT(N1191:Y1191,$N$2:$Y$2)*$K1191*$L1191*$M1191</f>
        <v/>
      </c>
      <c r="AA1191" s="14">
        <f>SUM(N1191:Y1191)</f>
        <v/>
      </c>
      <c r="AB1191" s="14">
        <f>IFERROR(IF(UPPER($E1191)="L",SUMPRODUCT(N1191:Y1191,$N$3:$Y$3,$N$2:$Y$2),SUMPRODUCT(N1191:Y1191,$N$4:$Y$4,$N$2:$Y$2))/(Z1191/($K1191*$L1191*$M1191)),"")</f>
        <v/>
      </c>
      <c r="AC1191" s="18" t="n"/>
    </row>
    <row r="1192">
      <c r="A1192" s="9" t="n">
        <v>666906</v>
      </c>
      <c r="B1192" s="9" t="inlineStr">
        <is>
          <t>Jake Alu</t>
        </is>
      </c>
      <c r="C1192" s="9" t="inlineStr">
        <is>
          <t>WSH</t>
        </is>
      </c>
      <c r="D1192" s="9" t="n">
        <v>30</v>
      </c>
      <c r="E1192" s="16" t="inlineStr">
        <is>
          <t>L</t>
        </is>
      </c>
      <c r="F1192" s="16" t="inlineStr">
        <is>
          <t>LF</t>
        </is>
      </c>
      <c r="G1192" s="9" t="n">
        <v>175</v>
      </c>
      <c r="H1192" s="9" t="n">
        <v>175</v>
      </c>
      <c r="I1192" s="9" t="inlineStr">
        <is>
          <t>Depth (no MLB PA)</t>
        </is>
      </c>
      <c r="J1192" s="16" t="inlineStr">
        <is>
          <t>Opening Day</t>
        </is>
      </c>
      <c r="K1192" s="11">
        <f>IFERROR(INDEX(Roles!$B$17:$B$20,MATCH(J1192,Roles!$A$17:$A$20,0)),1)</f>
        <v/>
      </c>
      <c r="L1192" s="17" t="n">
        <v>1</v>
      </c>
      <c r="M1192" s="11" t="n">
        <v>1</v>
      </c>
      <c r="N1192" s="17" t="n"/>
      <c r="O1192" s="17" t="n"/>
      <c r="P1192" s="17" t="n"/>
      <c r="Q1192" s="17" t="n"/>
      <c r="R1192" s="17" t="n"/>
      <c r="S1192" s="17" t="n"/>
      <c r="T1192" s="17" t="n"/>
      <c r="U1192" s="17" t="n"/>
      <c r="V1192" s="17" t="n"/>
      <c r="W1192" s="17" t="n"/>
      <c r="X1192" s="17" t="n"/>
      <c r="Y1192" s="17" t="n">
        <v>1</v>
      </c>
      <c r="Z1192" s="13">
        <f>SUMPRODUCT(N1192:Y1192,$N$2:$Y$2)*$K1192*$L1192*$M1192</f>
        <v/>
      </c>
      <c r="AA1192" s="14">
        <f>SUM(N1192:Y1192)</f>
        <v/>
      </c>
      <c r="AB1192" s="14">
        <f>IFERROR(IF(UPPER($E1192)="L",SUMPRODUCT(N1192:Y1192,$N$3:$Y$3,$N$2:$Y$2),SUMPRODUCT(N1192:Y1192,$N$4:$Y$4,$N$2:$Y$2))/(Z1192/($K1192*$L1192*$M1192)),"")</f>
        <v/>
      </c>
      <c r="AC1192" s="18" t="n"/>
    </row>
    <row r="1193">
      <c r="A1193" s="9" t="n">
        <v>701342</v>
      </c>
      <c r="B1193" s="9" t="inlineStr">
        <is>
          <t>Kendrey Maduro</t>
        </is>
      </c>
      <c r="C1193" s="9" t="inlineStr">
        <is>
          <t>LAA</t>
        </is>
      </c>
      <c r="D1193" s="9" t="n">
        <v>25</v>
      </c>
      <c r="E1193" s="16" t="inlineStr">
        <is>
          <t>R</t>
        </is>
      </c>
      <c r="F1193" s="16" t="n"/>
      <c r="G1193" s="9" t="n">
        <v>24.41025641025641</v>
      </c>
      <c r="H1193" s="9" t="n">
        <v>24.41025641025641</v>
      </c>
      <c r="I1193" s="9" t="inlineStr">
        <is>
          <t>Depth (no MLB PA)</t>
        </is>
      </c>
      <c r="J1193" s="16" t="inlineStr">
        <is>
          <t>Opening Day</t>
        </is>
      </c>
      <c r="K1193" s="11">
        <f>IFERROR(INDEX(Roles!$B$17:$B$20,MATCH(J1193,Roles!$A$17:$A$20,0)),1)</f>
        <v/>
      </c>
      <c r="L1193" s="17" t="n">
        <v>1</v>
      </c>
      <c r="M1193" s="11" t="n">
        <v>1</v>
      </c>
      <c r="N1193" s="17" t="n"/>
      <c r="O1193" s="17" t="n"/>
      <c r="P1193" s="17" t="n"/>
      <c r="Q1193" s="17" t="n"/>
      <c r="R1193" s="17" t="n"/>
      <c r="S1193" s="17" t="n"/>
      <c r="T1193" s="17" t="n"/>
      <c r="U1193" s="17" t="n"/>
      <c r="V1193" s="17" t="n"/>
      <c r="W1193" s="17" t="n"/>
      <c r="X1193" s="17" t="n"/>
      <c r="Y1193" s="17" t="n">
        <v>1</v>
      </c>
      <c r="Z1193" s="13">
        <f>SUMPRODUCT(N1193:Y1193,$N$2:$Y$2)*$K1193*$L1193*$M1193</f>
        <v/>
      </c>
      <c r="AA1193" s="14">
        <f>SUM(N1193:Y1193)</f>
        <v/>
      </c>
      <c r="AB1193" s="14">
        <f>IFERROR(IF(UPPER($E1193)="L",SUMPRODUCT(N1193:Y1193,$N$3:$Y$3,$N$2:$Y$2),SUMPRODUCT(N1193:Y1193,$N$4:$Y$4,$N$2:$Y$2))/(Z1193/($K1193*$L1193*$M1193)),"")</f>
        <v/>
      </c>
      <c r="AC1193" s="18" t="n"/>
    </row>
    <row r="1194">
      <c r="A1194" s="9" t="n">
        <v>822679</v>
      </c>
      <c r="B1194" s="9" t="inlineStr">
        <is>
          <t>Cort MacDonald</t>
        </is>
      </c>
      <c r="C1194" s="9" t="inlineStr">
        <is>
          <t>COL</t>
        </is>
      </c>
      <c r="D1194" s="9" t="n">
        <v>25</v>
      </c>
      <c r="E1194" s="16" t="inlineStr">
        <is>
          <t>L</t>
        </is>
      </c>
      <c r="F1194" s="16" t="n"/>
      <c r="G1194" s="9" t="n">
        <v>9.969230769230769</v>
      </c>
      <c r="H1194" s="9" t="n">
        <v>9.969230769230769</v>
      </c>
      <c r="I1194" s="9" t="inlineStr">
        <is>
          <t>Depth (no MLB PA)</t>
        </is>
      </c>
      <c r="J1194" s="16" t="inlineStr">
        <is>
          <t>Opening Day</t>
        </is>
      </c>
      <c r="K1194" s="11">
        <f>IFERROR(INDEX(Roles!$B$17:$B$20,MATCH(J1194,Roles!$A$17:$A$20,0)),1)</f>
        <v/>
      </c>
      <c r="L1194" s="17" t="n">
        <v>1</v>
      </c>
      <c r="M1194" s="11" t="n">
        <v>1</v>
      </c>
      <c r="N1194" s="17" t="n"/>
      <c r="O1194" s="17" t="n"/>
      <c r="P1194" s="17" t="n"/>
      <c r="Q1194" s="17" t="n"/>
      <c r="R1194" s="17" t="n"/>
      <c r="S1194" s="17" t="n"/>
      <c r="T1194" s="17" t="n"/>
      <c r="U1194" s="17" t="n"/>
      <c r="V1194" s="17" t="n"/>
      <c r="W1194" s="17" t="n"/>
      <c r="X1194" s="17" t="n"/>
      <c r="Y1194" s="17" t="n">
        <v>1</v>
      </c>
      <c r="Z1194" s="13">
        <f>SUMPRODUCT(N1194:Y1194,$N$2:$Y$2)*$K1194*$L1194*$M1194</f>
        <v/>
      </c>
      <c r="AA1194" s="14">
        <f>SUM(N1194:Y1194)</f>
        <v/>
      </c>
      <c r="AB1194" s="14">
        <f>IFERROR(IF(UPPER($E1194)="L",SUMPRODUCT(N1194:Y1194,$N$3:$Y$3,$N$2:$Y$2),SUMPRODUCT(N1194:Y1194,$N$4:$Y$4,$N$2:$Y$2))/(Z1194/($K1194*$L1194*$M1194)),"")</f>
        <v/>
      </c>
      <c r="AC1194" s="18" t="n"/>
    </row>
    <row r="1195">
      <c r="A1195" s="9" t="n">
        <v>670128</v>
      </c>
      <c r="B1195" s="9" t="inlineStr">
        <is>
          <t>Taylor Kohlwey</t>
        </is>
      </c>
      <c r="C1195" s="9" t="inlineStr">
        <is>
          <t>SD</t>
        </is>
      </c>
      <c r="D1195" s="9" t="n">
        <v>32</v>
      </c>
      <c r="E1195" s="16" t="inlineStr">
        <is>
          <t>L</t>
        </is>
      </c>
      <c r="F1195" s="16" t="inlineStr">
        <is>
          <t>LF</t>
        </is>
      </c>
      <c r="G1195" s="9" t="n">
        <v>13</v>
      </c>
      <c r="H1195" s="9" t="n">
        <v>13</v>
      </c>
      <c r="I1195" s="9" t="inlineStr">
        <is>
          <t>Depth (no MLB PA)</t>
        </is>
      </c>
      <c r="J1195" s="16" t="inlineStr">
        <is>
          <t>Opening Day</t>
        </is>
      </c>
      <c r="K1195" s="11">
        <f>IFERROR(INDEX(Roles!$B$17:$B$20,MATCH(J1195,Roles!$A$17:$A$20,0)),1)</f>
        <v/>
      </c>
      <c r="L1195" s="17" t="n">
        <v>1</v>
      </c>
      <c r="M1195" s="11" t="n">
        <v>1</v>
      </c>
      <c r="N1195" s="17" t="n"/>
      <c r="O1195" s="17" t="n"/>
      <c r="P1195" s="17" t="n"/>
      <c r="Q1195" s="17" t="n"/>
      <c r="R1195" s="17" t="n"/>
      <c r="S1195" s="17" t="n"/>
      <c r="T1195" s="17" t="n"/>
      <c r="U1195" s="17" t="n"/>
      <c r="V1195" s="17" t="n"/>
      <c r="W1195" s="17" t="n"/>
      <c r="X1195" s="17" t="n"/>
      <c r="Y1195" s="17" t="n">
        <v>1</v>
      </c>
      <c r="Z1195" s="13">
        <f>SUMPRODUCT(N1195:Y1195,$N$2:$Y$2)*$K1195*$L1195*$M1195</f>
        <v/>
      </c>
      <c r="AA1195" s="14">
        <f>SUM(N1195:Y1195)</f>
        <v/>
      </c>
      <c r="AB1195" s="14">
        <f>IFERROR(IF(UPPER($E1195)="L",SUMPRODUCT(N1195:Y1195,$N$3:$Y$3,$N$2:$Y$2),SUMPRODUCT(N1195:Y1195,$N$4:$Y$4,$N$2:$Y$2))/(Z1195/($K1195*$L1195*$M1195)),"")</f>
        <v/>
      </c>
      <c r="AC1195" s="18" t="n"/>
    </row>
    <row r="1196">
      <c r="A1196" s="9" t="n">
        <v>800840</v>
      </c>
      <c r="B1196" s="9" t="inlineStr">
        <is>
          <t>Chase Heath</t>
        </is>
      </c>
      <c r="C1196" s="9" t="inlineStr">
        <is>
          <t>STL</t>
        </is>
      </c>
      <c r="D1196" s="9" t="n">
        <v>25</v>
      </c>
      <c r="E1196" s="16" t="inlineStr">
        <is>
          <t>R</t>
        </is>
      </c>
      <c r="F1196" s="16" t="n"/>
      <c r="G1196" s="9" t="n">
        <v>7.538461538461538</v>
      </c>
      <c r="H1196" s="9" t="n">
        <v>7.538461538461538</v>
      </c>
      <c r="I1196" s="9" t="inlineStr">
        <is>
          <t>Depth (no MLB PA)</t>
        </is>
      </c>
      <c r="J1196" s="16" t="inlineStr">
        <is>
          <t>Opening Day</t>
        </is>
      </c>
      <c r="K1196" s="11">
        <f>IFERROR(INDEX(Roles!$B$17:$B$20,MATCH(J1196,Roles!$A$17:$A$20,0)),1)</f>
        <v/>
      </c>
      <c r="L1196" s="17" t="n">
        <v>1</v>
      </c>
      <c r="M1196" s="11" t="n">
        <v>1</v>
      </c>
      <c r="N1196" s="17" t="n"/>
      <c r="O1196" s="17" t="n"/>
      <c r="P1196" s="17" t="n"/>
      <c r="Q1196" s="17" t="n"/>
      <c r="R1196" s="17" t="n"/>
      <c r="S1196" s="17" t="n"/>
      <c r="T1196" s="17" t="n"/>
      <c r="U1196" s="17" t="n"/>
      <c r="V1196" s="17" t="n"/>
      <c r="W1196" s="17" t="n"/>
      <c r="X1196" s="17" t="n"/>
      <c r="Y1196" s="17" t="n">
        <v>1</v>
      </c>
      <c r="Z1196" s="13">
        <f>SUMPRODUCT(N1196:Y1196,$N$2:$Y$2)*$K1196*$L1196*$M1196</f>
        <v/>
      </c>
      <c r="AA1196" s="14">
        <f>SUM(N1196:Y1196)</f>
        <v/>
      </c>
      <c r="AB1196" s="14">
        <f>IFERROR(IF(UPPER($E1196)="L",SUMPRODUCT(N1196:Y1196,$N$3:$Y$3,$N$2:$Y$2),SUMPRODUCT(N1196:Y1196,$N$4:$Y$4,$N$2:$Y$2))/(Z1196/($K1196*$L1196*$M1196)),"")</f>
        <v/>
      </c>
      <c r="AC1196" s="18" t="n"/>
    </row>
    <row r="1197">
      <c r="A1197" s="9" t="n">
        <v>825128</v>
      </c>
      <c r="B1197" s="9" t="inlineStr">
        <is>
          <t>Camden Johnson</t>
        </is>
      </c>
      <c r="C1197" s="9" t="inlineStr">
        <is>
          <t>KC</t>
        </is>
      </c>
      <c r="D1197" s="9" t="n">
        <v>25</v>
      </c>
      <c r="E1197" s="16" t="inlineStr">
        <is>
          <t>L</t>
        </is>
      </c>
      <c r="F1197" s="16" t="n"/>
      <c r="G1197" s="9" t="n">
        <v>9.6</v>
      </c>
      <c r="H1197" s="9" t="n">
        <v>9.6</v>
      </c>
      <c r="I1197" s="9" t="inlineStr">
        <is>
          <t>Depth (no MLB PA)</t>
        </is>
      </c>
      <c r="J1197" s="16" t="inlineStr">
        <is>
          <t>Opening Day</t>
        </is>
      </c>
      <c r="K1197" s="11">
        <f>IFERROR(INDEX(Roles!$B$17:$B$20,MATCH(J1197,Roles!$A$17:$A$20,0)),1)</f>
        <v/>
      </c>
      <c r="L1197" s="17" t="n">
        <v>1</v>
      </c>
      <c r="M1197" s="11" t="n">
        <v>1</v>
      </c>
      <c r="N1197" s="17" t="n"/>
      <c r="O1197" s="17" t="n"/>
      <c r="P1197" s="17" t="n"/>
      <c r="Q1197" s="17" t="n"/>
      <c r="R1197" s="17" t="n"/>
      <c r="S1197" s="17" t="n"/>
      <c r="T1197" s="17" t="n"/>
      <c r="U1197" s="17" t="n"/>
      <c r="V1197" s="17" t="n"/>
      <c r="W1197" s="17" t="n"/>
      <c r="X1197" s="17" t="n"/>
      <c r="Y1197" s="17" t="n">
        <v>1</v>
      </c>
      <c r="Z1197" s="13">
        <f>SUMPRODUCT(N1197:Y1197,$N$2:$Y$2)*$K1197*$L1197*$M1197</f>
        <v/>
      </c>
      <c r="AA1197" s="14">
        <f>SUM(N1197:Y1197)</f>
        <v/>
      </c>
      <c r="AB1197" s="14">
        <f>IFERROR(IF(UPPER($E1197)="L",SUMPRODUCT(N1197:Y1197,$N$3:$Y$3,$N$2:$Y$2),SUMPRODUCT(N1197:Y1197,$N$4:$Y$4,$N$2:$Y$2))/(Z1197/($K1197*$L1197*$M1197)),"")</f>
        <v/>
      </c>
      <c r="AC1197" s="18" t="n"/>
    </row>
    <row r="1198">
      <c r="A1198" s="9" t="n">
        <v>814451</v>
      </c>
      <c r="B1198" s="9" t="inlineStr">
        <is>
          <t>Jakob Christian</t>
        </is>
      </c>
      <c r="C1198" s="9" t="inlineStr">
        <is>
          <t>SF</t>
        </is>
      </c>
      <c r="D1198" s="9" t="n">
        <v>25</v>
      </c>
      <c r="E1198" s="16" t="inlineStr">
        <is>
          <t>R</t>
        </is>
      </c>
      <c r="F1198" s="16" t="n"/>
      <c r="G1198" s="9" t="n">
        <v>44.10256410256411</v>
      </c>
      <c r="H1198" s="9" t="n">
        <v>44.10256410256411</v>
      </c>
      <c r="I1198" s="9" t="inlineStr">
        <is>
          <t>Depth (no MLB PA)</t>
        </is>
      </c>
      <c r="J1198" s="16" t="inlineStr">
        <is>
          <t>Opening Day</t>
        </is>
      </c>
      <c r="K1198" s="11">
        <f>IFERROR(INDEX(Roles!$B$17:$B$20,MATCH(J1198,Roles!$A$17:$A$20,0)),1)</f>
        <v/>
      </c>
      <c r="L1198" s="17" t="n">
        <v>1</v>
      </c>
      <c r="M1198" s="11" t="n">
        <v>1</v>
      </c>
      <c r="N1198" s="17" t="n"/>
      <c r="O1198" s="17" t="n"/>
      <c r="P1198" s="17" t="n"/>
      <c r="Q1198" s="17" t="n"/>
      <c r="R1198" s="17" t="n"/>
      <c r="S1198" s="17" t="n"/>
      <c r="T1198" s="17" t="n"/>
      <c r="U1198" s="17" t="n"/>
      <c r="V1198" s="17" t="n"/>
      <c r="W1198" s="17" t="n"/>
      <c r="X1198" s="17" t="n"/>
      <c r="Y1198" s="17" t="n">
        <v>1</v>
      </c>
      <c r="Z1198" s="13">
        <f>SUMPRODUCT(N1198:Y1198,$N$2:$Y$2)*$K1198*$L1198*$M1198</f>
        <v/>
      </c>
      <c r="AA1198" s="14">
        <f>SUM(N1198:Y1198)</f>
        <v/>
      </c>
      <c r="AB1198" s="14">
        <f>IFERROR(IF(UPPER($E1198)="L",SUMPRODUCT(N1198:Y1198,$N$3:$Y$3,$N$2:$Y$2),SUMPRODUCT(N1198:Y1198,$N$4:$Y$4,$N$2:$Y$2))/(Z1198/($K1198*$L1198*$M1198)),"")</f>
        <v/>
      </c>
      <c r="AC1198" s="18" t="n"/>
    </row>
    <row r="1199">
      <c r="A1199" s="9" t="n">
        <v>701778</v>
      </c>
      <c r="B1199" s="9" t="inlineStr">
        <is>
          <t>Jace Avina</t>
        </is>
      </c>
      <c r="C1199" s="9" t="inlineStr">
        <is>
          <t>NYY</t>
        </is>
      </c>
      <c r="D1199" s="9" t="n">
        <v>25</v>
      </c>
      <c r="E1199" s="16" t="inlineStr">
        <is>
          <t>R</t>
        </is>
      </c>
      <c r="F1199" s="16" t="n"/>
      <c r="G1199" s="9" t="n">
        <v>187.0256410256411</v>
      </c>
      <c r="H1199" s="9" t="n">
        <v>187.0256410256411</v>
      </c>
      <c r="I1199" s="9" t="inlineStr">
        <is>
          <t>Depth (no MLB PA)</t>
        </is>
      </c>
      <c r="J1199" s="16" t="inlineStr">
        <is>
          <t>Opening Day</t>
        </is>
      </c>
      <c r="K1199" s="11">
        <f>IFERROR(INDEX(Roles!$B$17:$B$20,MATCH(J1199,Roles!$A$17:$A$20,0)),1)</f>
        <v/>
      </c>
      <c r="L1199" s="17" t="n">
        <v>1</v>
      </c>
      <c r="M1199" s="11" t="n">
        <v>1</v>
      </c>
      <c r="N1199" s="17" t="n"/>
      <c r="O1199" s="17" t="n"/>
      <c r="P1199" s="17" t="n"/>
      <c r="Q1199" s="17" t="n"/>
      <c r="R1199" s="17" t="n"/>
      <c r="S1199" s="17" t="n"/>
      <c r="T1199" s="17" t="n"/>
      <c r="U1199" s="17" t="n"/>
      <c r="V1199" s="17" t="n"/>
      <c r="W1199" s="17" t="n"/>
      <c r="X1199" s="17" t="n"/>
      <c r="Y1199" s="17" t="n">
        <v>1</v>
      </c>
      <c r="Z1199" s="13">
        <f>SUMPRODUCT(N1199:Y1199,$N$2:$Y$2)*$K1199*$L1199*$M1199</f>
        <v/>
      </c>
      <c r="AA1199" s="14">
        <f>SUM(N1199:Y1199)</f>
        <v/>
      </c>
      <c r="AB1199" s="14">
        <f>IFERROR(IF(UPPER($E1199)="L",SUMPRODUCT(N1199:Y1199,$N$3:$Y$3,$N$2:$Y$2),SUMPRODUCT(N1199:Y1199,$N$4:$Y$4,$N$2:$Y$2))/(Z1199/($K1199*$L1199*$M1199)),"")</f>
        <v/>
      </c>
      <c r="AC1199" s="18" t="n"/>
    </row>
    <row r="1200">
      <c r="A1200" s="9" t="n">
        <v>808265</v>
      </c>
      <c r="B1200" s="9" t="inlineStr">
        <is>
          <t>Franklin Arias</t>
        </is>
      </c>
      <c r="C1200" s="9" t="inlineStr">
        <is>
          <t>BOS</t>
        </is>
      </c>
      <c r="D1200" s="9" t="n">
        <v>22</v>
      </c>
      <c r="E1200" s="16" t="inlineStr">
        <is>
          <t>R</t>
        </is>
      </c>
      <c r="F1200" s="16" t="n"/>
      <c r="G1200" s="9" t="n">
        <v>102.6666666666667</v>
      </c>
      <c r="H1200" s="9" t="n">
        <v>102.6666666666667</v>
      </c>
      <c r="I1200" s="9" t="inlineStr">
        <is>
          <t>Full Time</t>
        </is>
      </c>
      <c r="J1200" s="16" t="inlineStr">
        <is>
          <t>Early Season (~May)</t>
        </is>
      </c>
      <c r="K1200" s="11">
        <f>IFERROR(INDEX(Roles!$B$17:$B$20,MATCH(J1200,Roles!$A$17:$A$20,0)),1)</f>
        <v/>
      </c>
      <c r="L1200" s="17" t="n">
        <v>1</v>
      </c>
      <c r="M1200" s="11" t="n">
        <v>1</v>
      </c>
      <c r="N1200" s="17" t="n">
        <v>0.47</v>
      </c>
      <c r="O1200" s="17" t="n"/>
      <c r="P1200" s="17" t="n">
        <v>0.25</v>
      </c>
      <c r="Q1200" s="17" t="n"/>
      <c r="R1200" s="17" t="n"/>
      <c r="S1200" s="17" t="n"/>
      <c r="T1200" s="17" t="n"/>
      <c r="U1200" s="17" t="n"/>
      <c r="V1200" s="17" t="n"/>
      <c r="W1200" s="17" t="n">
        <v>0.28</v>
      </c>
      <c r="X1200" s="17" t="n"/>
      <c r="Y1200" s="17" t="n"/>
      <c r="Z1200" s="13">
        <f>SUMPRODUCT(N1200:Y1200,$N$2:$Y$2)*$K1200*$L1200*$M1200</f>
        <v/>
      </c>
      <c r="AA1200" s="14">
        <f>SUM(N1200:Y1200)</f>
        <v/>
      </c>
      <c r="AB1200" s="14">
        <f>IFERROR(IF(UPPER($E1200)="L",SUMPRODUCT(N1200:Y1200,$N$3:$Y$3,$N$2:$Y$2),SUMPRODUCT(N1200:Y1200,$N$4:$Y$4,$N$2:$Y$2))/(Z1200/($K1200*$L1200*$M1200)),"")</f>
        <v/>
      </c>
      <c r="AC1200" s="18" t="n"/>
    </row>
    <row r="1201">
      <c r="A1201" s="9" t="n">
        <v>836582</v>
      </c>
      <c r="B1201" s="9" t="inlineStr">
        <is>
          <t>Luis Hernández</t>
        </is>
      </c>
      <c r="C1201" s="9" t="inlineStr">
        <is>
          <t>SF</t>
        </is>
      </c>
      <c r="D1201" s="9" t="n">
        <v>19</v>
      </c>
      <c r="E1201" s="16" t="inlineStr">
        <is>
          <t>R</t>
        </is>
      </c>
      <c r="F1201" s="16" t="n"/>
      <c r="G1201" s="9" t="n">
        <v>11.93846153846154</v>
      </c>
      <c r="H1201" s="9" t="n">
        <v>11.93846153846154</v>
      </c>
      <c r="I1201" s="9" t="inlineStr">
        <is>
          <t>Depth (no MLB PA)</t>
        </is>
      </c>
      <c r="J1201" s="16" t="inlineStr">
        <is>
          <t>Opening Day</t>
        </is>
      </c>
      <c r="K1201" s="11">
        <f>IFERROR(INDEX(Roles!$B$17:$B$20,MATCH(J1201,Roles!$A$17:$A$20,0)),1)</f>
        <v/>
      </c>
      <c r="L1201" s="17" t="n">
        <v>1</v>
      </c>
      <c r="M1201" s="11" t="n">
        <v>1</v>
      </c>
      <c r="N1201" s="17" t="n"/>
      <c r="O1201" s="17" t="n"/>
      <c r="P1201" s="17" t="n"/>
      <c r="Q1201" s="17" t="n"/>
      <c r="R1201" s="17" t="n"/>
      <c r="S1201" s="17" t="n"/>
      <c r="T1201" s="17" t="n"/>
      <c r="U1201" s="17" t="n"/>
      <c r="V1201" s="17" t="n"/>
      <c r="W1201" s="17" t="n"/>
      <c r="X1201" s="17" t="n"/>
      <c r="Y1201" s="17" t="n">
        <v>1</v>
      </c>
      <c r="Z1201" s="13">
        <f>SUMPRODUCT(N1201:Y1201,$N$2:$Y$2)*$K1201*$L1201*$M1201</f>
        <v/>
      </c>
      <c r="AA1201" s="14">
        <f>SUM(N1201:Y1201)</f>
        <v/>
      </c>
      <c r="AB1201" s="14">
        <f>IFERROR(IF(UPPER($E1201)="L",SUMPRODUCT(N1201:Y1201,$N$3:$Y$3,$N$2:$Y$2),SUMPRODUCT(N1201:Y1201,$N$4:$Y$4,$N$2:$Y$2))/(Z1201/($K1201*$L1201*$M1201)),"")</f>
        <v/>
      </c>
      <c r="AC1201" s="18" t="n"/>
    </row>
    <row r="1202">
      <c r="A1202" s="9" t="n">
        <v>701807</v>
      </c>
      <c r="B1202" s="9" t="inlineStr">
        <is>
          <t>Carson Benge</t>
        </is>
      </c>
      <c r="C1202" s="9" t="inlineStr">
        <is>
          <t>NYM</t>
        </is>
      </c>
      <c r="D1202" s="9" t="n">
        <v>24</v>
      </c>
      <c r="E1202" s="16" t="inlineStr">
        <is>
          <t>L</t>
        </is>
      </c>
      <c r="F1202" s="16" t="inlineStr">
        <is>
          <t>RF</t>
        </is>
      </c>
      <c r="G1202" s="9" t="n">
        <v>654</v>
      </c>
      <c r="H1202" s="9" t="n">
        <v>654</v>
      </c>
      <c r="I1202" s="9" t="inlineStr">
        <is>
          <t>Full Time</t>
        </is>
      </c>
      <c r="J1202" s="16" t="inlineStr">
        <is>
          <t>Opening Day</t>
        </is>
      </c>
      <c r="K1202" s="11">
        <f>IFERROR(INDEX(Roles!$B$17:$B$20,MATCH(J1202,Roles!$A$17:$A$20,0)),1)</f>
        <v/>
      </c>
      <c r="L1202" s="17" t="n">
        <v>1</v>
      </c>
      <c r="M1202" s="11" t="n">
        <v>1.084696537249269</v>
      </c>
      <c r="N1202" s="17" t="n">
        <v>1</v>
      </c>
      <c r="O1202" s="17" t="n"/>
      <c r="P1202" s="17" t="n"/>
      <c r="Q1202" s="17" t="n"/>
      <c r="R1202" s="17" t="n"/>
      <c r="S1202" s="17" t="n"/>
      <c r="T1202" s="17" t="n"/>
      <c r="U1202" s="17" t="n"/>
      <c r="V1202" s="17" t="n"/>
      <c r="W1202" s="17" t="n"/>
      <c r="X1202" s="17" t="n"/>
      <c r="Y1202" s="17" t="n"/>
      <c r="Z1202" s="13">
        <f>SUMPRODUCT(N1202:Y1202,$N$2:$Y$2)*$K1202*$L1202*$M1202</f>
        <v/>
      </c>
      <c r="AA1202" s="14">
        <f>SUM(N1202:Y1202)</f>
        <v/>
      </c>
      <c r="AB1202" s="14">
        <f>IFERROR(IF(UPPER($E1202)="L",SUMPRODUCT(N1202:Y1202,$N$3:$Y$3,$N$2:$Y$2),SUMPRODUCT(N1202:Y1202,$N$4:$Y$4,$N$2:$Y$2))/(Z1202/($K1202*$L1202*$M1202)),"")</f>
        <v/>
      </c>
      <c r="AC1202" s="18" t="n"/>
    </row>
    <row r="1203">
      <c r="A1203" s="9" t="n">
        <v>694376</v>
      </c>
      <c r="B1203" s="9" t="inlineStr">
        <is>
          <t>Shay Whitcomb</t>
        </is>
      </c>
      <c r="C1203" s="9" t="inlineStr">
        <is>
          <t>SF</t>
        </is>
      </c>
      <c r="D1203" s="9" t="n">
        <v>28</v>
      </c>
      <c r="E1203" s="16" t="inlineStr">
        <is>
          <t>R</t>
        </is>
      </c>
      <c r="F1203" s="16" t="inlineStr">
        <is>
          <t>3B</t>
        </is>
      </c>
      <c r="G1203" s="9" t="n">
        <v>122</v>
      </c>
      <c r="H1203" s="9" t="n">
        <v>200</v>
      </c>
      <c r="I1203" s="9" t="inlineStr">
        <is>
          <t>Full Time</t>
        </is>
      </c>
      <c r="J1203" s="16" t="inlineStr">
        <is>
          <t>Opening Day</t>
        </is>
      </c>
      <c r="K1203" s="11">
        <f>IFERROR(INDEX(Roles!$B$17:$B$20,MATCH(J1203,Roles!$A$17:$A$20,0)),1)</f>
        <v/>
      </c>
      <c r="L1203" s="17" t="n">
        <v>1</v>
      </c>
      <c r="M1203" s="11" t="n">
        <v>1</v>
      </c>
      <c r="N1203" s="17" t="n">
        <v>0.62</v>
      </c>
      <c r="O1203" s="17" t="n"/>
      <c r="P1203" s="17" t="n">
        <v>0.38</v>
      </c>
      <c r="Q1203" s="17" t="n"/>
      <c r="R1203" s="17" t="n"/>
      <c r="S1203" s="17" t="n"/>
      <c r="T1203" s="17" t="n"/>
      <c r="U1203" s="17" t="n"/>
      <c r="V1203" s="17" t="n"/>
      <c r="W1203" s="17" t="n"/>
      <c r="X1203" s="17" t="n"/>
      <c r="Y1203" s="17" t="n"/>
      <c r="Z1203" s="13">
        <f>SUMPRODUCT(N1203:Y1203,$N$2:$Y$2)*$K1203*$L1203*$M1203</f>
        <v/>
      </c>
      <c r="AA1203" s="14">
        <f>SUM(N1203:Y1203)</f>
        <v/>
      </c>
      <c r="AB1203" s="14">
        <f>IFERROR(IF(UPPER($E1203)="L",SUMPRODUCT(N1203:Y1203,$N$3:$Y$3,$N$2:$Y$2),SUMPRODUCT(N1203:Y1203,$N$4:$Y$4,$N$2:$Y$2))/(Z1203/($K1203*$L1203*$M1203)),"")</f>
        <v/>
      </c>
      <c r="AC1203" s="18" t="n"/>
    </row>
    <row r="1204">
      <c r="A1204" s="9" t="n">
        <v>815204</v>
      </c>
      <c r="B1204" s="9" t="inlineStr">
        <is>
          <t>Justin Barry</t>
        </is>
      </c>
      <c r="C1204" s="9" t="inlineStr">
        <is>
          <t>BOS</t>
        </is>
      </c>
      <c r="D1204" s="9" t="n">
        <v>25</v>
      </c>
      <c r="E1204" s="16" t="inlineStr">
        <is>
          <t>R</t>
        </is>
      </c>
      <c r="F1204" s="16" t="n"/>
      <c r="G1204" s="9" t="n">
        <v>9.723076923076922</v>
      </c>
      <c r="H1204" s="9" t="n">
        <v>9.723076923076922</v>
      </c>
      <c r="I1204" s="9" t="inlineStr">
        <is>
          <t>Depth (no MLB PA)</t>
        </is>
      </c>
      <c r="J1204" s="16" t="inlineStr">
        <is>
          <t>Opening Day</t>
        </is>
      </c>
      <c r="K1204" s="11">
        <f>IFERROR(INDEX(Roles!$B$17:$B$20,MATCH(J1204,Roles!$A$17:$A$20,0)),1)</f>
        <v/>
      </c>
      <c r="L1204" s="17" t="n">
        <v>1</v>
      </c>
      <c r="M1204" s="11" t="n">
        <v>1</v>
      </c>
      <c r="N1204" s="17" t="n"/>
      <c r="O1204" s="17" t="n"/>
      <c r="P1204" s="17" t="n"/>
      <c r="Q1204" s="17" t="n"/>
      <c r="R1204" s="17" t="n"/>
      <c r="S1204" s="17" t="n"/>
      <c r="T1204" s="17" t="n"/>
      <c r="U1204" s="17" t="n"/>
      <c r="V1204" s="17" t="n"/>
      <c r="W1204" s="17" t="n"/>
      <c r="X1204" s="17" t="n"/>
      <c r="Y1204" s="17" t="n">
        <v>1</v>
      </c>
      <c r="Z1204" s="13">
        <f>SUMPRODUCT(N1204:Y1204,$N$2:$Y$2)*$K1204*$L1204*$M1204</f>
        <v/>
      </c>
      <c r="AA1204" s="14">
        <f>SUM(N1204:Y1204)</f>
        <v/>
      </c>
      <c r="AB1204" s="14">
        <f>IFERROR(IF(UPPER($E1204)="L",SUMPRODUCT(N1204:Y1204,$N$3:$Y$3,$N$2:$Y$2),SUMPRODUCT(N1204:Y1204,$N$4:$Y$4,$N$2:$Y$2))/(Z1204/($K1204*$L1204*$M1204)),"")</f>
        <v/>
      </c>
      <c r="AC1204" s="18" t="n"/>
    </row>
    <row r="1205">
      <c r="A1205" s="9" t="n">
        <v>828202</v>
      </c>
      <c r="B1205" s="9" t="inlineStr">
        <is>
          <t>Bruin Agbayani</t>
        </is>
      </c>
      <c r="C1205" s="9" t="inlineStr">
        <is>
          <t>NYM</t>
        </is>
      </c>
      <c r="D1205" s="9" t="n">
        <v>25</v>
      </c>
      <c r="E1205" s="16" t="inlineStr">
        <is>
          <t>L</t>
        </is>
      </c>
      <c r="F1205" s="16" t="n"/>
      <c r="G1205" s="9" t="n">
        <v>7.753846153846153</v>
      </c>
      <c r="H1205" s="9" t="n">
        <v>7.753846153846153</v>
      </c>
      <c r="I1205" s="9" t="inlineStr">
        <is>
          <t>Depth (no MLB PA)</t>
        </is>
      </c>
      <c r="J1205" s="16" t="inlineStr">
        <is>
          <t>Opening Day</t>
        </is>
      </c>
      <c r="K1205" s="11">
        <f>IFERROR(INDEX(Roles!$B$17:$B$20,MATCH(J1205,Roles!$A$17:$A$20,0)),1)</f>
        <v/>
      </c>
      <c r="L1205" s="17" t="n">
        <v>1</v>
      </c>
      <c r="M1205" s="11" t="n">
        <v>1</v>
      </c>
      <c r="N1205" s="17" t="n"/>
      <c r="O1205" s="17" t="n"/>
      <c r="P1205" s="17" t="n"/>
      <c r="Q1205" s="17" t="n"/>
      <c r="R1205" s="17" t="n"/>
      <c r="S1205" s="17" t="n"/>
      <c r="T1205" s="17" t="n"/>
      <c r="U1205" s="17" t="n"/>
      <c r="V1205" s="17" t="n"/>
      <c r="W1205" s="17" t="n"/>
      <c r="X1205" s="17" t="n"/>
      <c r="Y1205" s="17" t="n">
        <v>1</v>
      </c>
      <c r="Z1205" s="13">
        <f>SUMPRODUCT(N1205:Y1205,$N$2:$Y$2)*$K1205*$L1205*$M1205</f>
        <v/>
      </c>
      <c r="AA1205" s="14">
        <f>SUM(N1205:Y1205)</f>
        <v/>
      </c>
      <c r="AB1205" s="14">
        <f>IFERROR(IF(UPPER($E1205)="L",SUMPRODUCT(N1205:Y1205,$N$3:$Y$3,$N$2:$Y$2),SUMPRODUCT(N1205:Y1205,$N$4:$Y$4,$N$2:$Y$2))/(Z1205/($K1205*$L1205*$M1205)),"")</f>
        <v/>
      </c>
      <c r="AC1205" s="18" t="n"/>
    </row>
    <row r="1206">
      <c r="A1206" s="9" t="n">
        <v>828900</v>
      </c>
      <c r="B1206" s="9" t="inlineStr">
        <is>
          <t>Elliot Lascelles</t>
        </is>
      </c>
      <c r="C1206" s="9" t="inlineStr">
        <is>
          <t>SD</t>
        </is>
      </c>
      <c r="D1206" s="9" t="n">
        <v>19</v>
      </c>
      <c r="E1206" s="16" t="inlineStr">
        <is>
          <t>L</t>
        </is>
      </c>
      <c r="F1206" s="16" t="n"/>
      <c r="G1206" s="9" t="n">
        <v>7.753846153846153</v>
      </c>
      <c r="H1206" s="9" t="n">
        <v>7.753846153846153</v>
      </c>
      <c r="I1206" s="9" t="inlineStr">
        <is>
          <t>Depth (no MLB PA)</t>
        </is>
      </c>
      <c r="J1206" s="16" t="inlineStr">
        <is>
          <t>Opening Day</t>
        </is>
      </c>
      <c r="K1206" s="11">
        <f>IFERROR(INDEX(Roles!$B$17:$B$20,MATCH(J1206,Roles!$A$17:$A$20,0)),1)</f>
        <v/>
      </c>
      <c r="L1206" s="17" t="n">
        <v>1</v>
      </c>
      <c r="M1206" s="11" t="n">
        <v>1</v>
      </c>
      <c r="N1206" s="17" t="n"/>
      <c r="O1206" s="17" t="n"/>
      <c r="P1206" s="17" t="n"/>
      <c r="Q1206" s="17" t="n"/>
      <c r="R1206" s="17" t="n"/>
      <c r="S1206" s="17" t="n"/>
      <c r="T1206" s="17" t="n"/>
      <c r="U1206" s="17" t="n"/>
      <c r="V1206" s="17" t="n"/>
      <c r="W1206" s="17" t="n"/>
      <c r="X1206" s="17" t="n"/>
      <c r="Y1206" s="17" t="n">
        <v>1</v>
      </c>
      <c r="Z1206" s="13">
        <f>SUMPRODUCT(N1206:Y1206,$N$2:$Y$2)*$K1206*$L1206*$M1206</f>
        <v/>
      </c>
      <c r="AA1206" s="14">
        <f>SUM(N1206:Y1206)</f>
        <v/>
      </c>
      <c r="AB1206" s="14">
        <f>IFERROR(IF(UPPER($E1206)="L",SUMPRODUCT(N1206:Y1206,$N$3:$Y$3,$N$2:$Y$2),SUMPRODUCT(N1206:Y1206,$N$4:$Y$4,$N$2:$Y$2))/(Z1206/($K1206*$L1206*$M1206)),"")</f>
        <v/>
      </c>
      <c r="AC1206" s="18" t="n"/>
    </row>
    <row r="1207">
      <c r="A1207" s="9" t="n">
        <v>814761</v>
      </c>
      <c r="B1207" s="9" t="inlineStr">
        <is>
          <t>Gabe Camacho</t>
        </is>
      </c>
      <c r="C1207" s="9" t="inlineStr">
        <is>
          <t>STL</t>
        </is>
      </c>
      <c r="D1207" s="9" t="n">
        <v>25</v>
      </c>
      <c r="E1207" s="16" t="inlineStr">
        <is>
          <t>L</t>
        </is>
      </c>
      <c r="F1207" s="16" t="n"/>
      <c r="G1207" s="9" t="n">
        <v>9.969230769230769</v>
      </c>
      <c r="H1207" s="9" t="n">
        <v>9.969230769230769</v>
      </c>
      <c r="I1207" s="9" t="inlineStr">
        <is>
          <t>Depth (no MLB PA)</t>
        </is>
      </c>
      <c r="J1207" s="16" t="inlineStr">
        <is>
          <t>Opening Day</t>
        </is>
      </c>
      <c r="K1207" s="11">
        <f>IFERROR(INDEX(Roles!$B$17:$B$20,MATCH(J1207,Roles!$A$17:$A$20,0)),1)</f>
        <v/>
      </c>
      <c r="L1207" s="17" t="n">
        <v>1</v>
      </c>
      <c r="M1207" s="11" t="n">
        <v>1</v>
      </c>
      <c r="N1207" s="17" t="n"/>
      <c r="O1207" s="17" t="n"/>
      <c r="P1207" s="17" t="n"/>
      <c r="Q1207" s="17" t="n"/>
      <c r="R1207" s="17" t="n"/>
      <c r="S1207" s="17" t="n"/>
      <c r="T1207" s="17" t="n"/>
      <c r="U1207" s="17" t="n"/>
      <c r="V1207" s="17" t="n"/>
      <c r="W1207" s="17" t="n"/>
      <c r="X1207" s="17" t="n"/>
      <c r="Y1207" s="17" t="n">
        <v>1</v>
      </c>
      <c r="Z1207" s="13">
        <f>SUMPRODUCT(N1207:Y1207,$N$2:$Y$2)*$K1207*$L1207*$M1207</f>
        <v/>
      </c>
      <c r="AA1207" s="14">
        <f>SUM(N1207:Y1207)</f>
        <v/>
      </c>
      <c r="AB1207" s="14">
        <f>IFERROR(IF(UPPER($E1207)="L",SUMPRODUCT(N1207:Y1207,$N$3:$Y$3,$N$2:$Y$2),SUMPRODUCT(N1207:Y1207,$N$4:$Y$4,$N$2:$Y$2))/(Z1207/($K1207*$L1207*$M1207)),"")</f>
        <v/>
      </c>
      <c r="AC1207" s="18" t="n"/>
    </row>
    <row r="1208">
      <c r="A1208" s="9" t="n">
        <v>807275</v>
      </c>
      <c r="B1208" s="9" t="inlineStr">
        <is>
          <t>Dalton Wentz</t>
        </is>
      </c>
      <c r="C1208" s="9" t="inlineStr">
        <is>
          <t>SF</t>
        </is>
      </c>
      <c r="D1208" s="9" t="n">
        <v>25</v>
      </c>
      <c r="E1208" s="16" t="inlineStr">
        <is>
          <t>S</t>
        </is>
      </c>
      <c r="F1208" s="16" t="n"/>
      <c r="G1208" s="9" t="n">
        <v>11.69230769230769</v>
      </c>
      <c r="H1208" s="9" t="n">
        <v>11.69230769230769</v>
      </c>
      <c r="I1208" s="9" t="inlineStr">
        <is>
          <t>Depth (no MLB PA)</t>
        </is>
      </c>
      <c r="J1208" s="16" t="inlineStr">
        <is>
          <t>Opening Day</t>
        </is>
      </c>
      <c r="K1208" s="11">
        <f>IFERROR(INDEX(Roles!$B$17:$B$20,MATCH(J1208,Roles!$A$17:$A$20,0)),1)</f>
        <v/>
      </c>
      <c r="L1208" s="17" t="n">
        <v>1</v>
      </c>
      <c r="M1208" s="11" t="n">
        <v>1</v>
      </c>
      <c r="N1208" s="17" t="n"/>
      <c r="O1208" s="17" t="n"/>
      <c r="P1208" s="17" t="n"/>
      <c r="Q1208" s="17" t="n"/>
      <c r="R1208" s="17" t="n"/>
      <c r="S1208" s="17" t="n"/>
      <c r="T1208" s="17" t="n"/>
      <c r="U1208" s="17" t="n"/>
      <c r="V1208" s="17" t="n"/>
      <c r="W1208" s="17" t="n"/>
      <c r="X1208" s="17" t="n"/>
      <c r="Y1208" s="17" t="n">
        <v>1</v>
      </c>
      <c r="Z1208" s="13">
        <f>SUMPRODUCT(N1208:Y1208,$N$2:$Y$2)*$K1208*$L1208*$M1208</f>
        <v/>
      </c>
      <c r="AA1208" s="14">
        <f>SUM(N1208:Y1208)</f>
        <v/>
      </c>
      <c r="AB1208" s="14">
        <f>IFERROR(IF(UPPER($E1208)="L",SUMPRODUCT(N1208:Y1208,$N$3:$Y$3,$N$2:$Y$2),SUMPRODUCT(N1208:Y1208,$N$4:$Y$4,$N$2:$Y$2))/(Z1208/($K1208*$L1208*$M1208)),"")</f>
        <v/>
      </c>
      <c r="AC1208" s="18" t="n"/>
    </row>
    <row r="1209">
      <c r="A1209" s="9" t="n">
        <v>688509</v>
      </c>
      <c r="B1209" s="9" t="inlineStr">
        <is>
          <t>Lyle Miller-Green</t>
        </is>
      </c>
      <c r="C1209" s="9" t="inlineStr">
        <is>
          <t>PHI</t>
        </is>
      </c>
      <c r="D1209" s="9" t="n">
        <v>25</v>
      </c>
      <c r="E1209" s="16" t="inlineStr">
        <is>
          <t>R</t>
        </is>
      </c>
      <c r="F1209" s="16" t="n"/>
      <c r="G1209" s="9" t="n">
        <v>7.753846153846153</v>
      </c>
      <c r="H1209" s="9" t="n">
        <v>7.753846153846153</v>
      </c>
      <c r="I1209" s="9" t="inlineStr">
        <is>
          <t>Depth (no MLB PA)</t>
        </is>
      </c>
      <c r="J1209" s="16" t="inlineStr">
        <is>
          <t>Opening Day</t>
        </is>
      </c>
      <c r="K1209" s="11">
        <f>IFERROR(INDEX(Roles!$B$17:$B$20,MATCH(J1209,Roles!$A$17:$A$20,0)),1)</f>
        <v/>
      </c>
      <c r="L1209" s="17" t="n">
        <v>1</v>
      </c>
      <c r="M1209" s="11" t="n">
        <v>1</v>
      </c>
      <c r="N1209" s="17" t="n"/>
      <c r="O1209" s="17" t="n"/>
      <c r="P1209" s="17" t="n"/>
      <c r="Q1209" s="17" t="n"/>
      <c r="R1209" s="17" t="n"/>
      <c r="S1209" s="17" t="n"/>
      <c r="T1209" s="17" t="n"/>
      <c r="U1209" s="17" t="n"/>
      <c r="V1209" s="17" t="n"/>
      <c r="W1209" s="17" t="n"/>
      <c r="X1209" s="17" t="n"/>
      <c r="Y1209" s="17" t="n">
        <v>1</v>
      </c>
      <c r="Z1209" s="13">
        <f>SUMPRODUCT(N1209:Y1209,$N$2:$Y$2)*$K1209*$L1209*$M1209</f>
        <v/>
      </c>
      <c r="AA1209" s="14">
        <f>SUM(N1209:Y1209)</f>
        <v/>
      </c>
      <c r="AB1209" s="14">
        <f>IFERROR(IF(UPPER($E1209)="L",SUMPRODUCT(N1209:Y1209,$N$3:$Y$3,$N$2:$Y$2),SUMPRODUCT(N1209:Y1209,$N$4:$Y$4,$N$2:$Y$2))/(Z1209/($K1209*$L1209*$M1209)),"")</f>
        <v/>
      </c>
      <c r="AC1209" s="18" t="n"/>
    </row>
    <row r="1210">
      <c r="A1210" s="9" t="n">
        <v>693809</v>
      </c>
      <c r="B1210" s="9" t="inlineStr">
        <is>
          <t>Dilan Granadillo</t>
        </is>
      </c>
      <c r="C1210" s="9" t="inlineStr">
        <is>
          <t>CHC</t>
        </is>
      </c>
      <c r="D1210" s="9" t="n">
        <v>25</v>
      </c>
      <c r="E1210" s="16" t="inlineStr">
        <is>
          <t>L</t>
        </is>
      </c>
      <c r="F1210" s="16" t="n"/>
      <c r="G1210" s="9" t="n">
        <v>7.58974358974359</v>
      </c>
      <c r="H1210" s="9" t="n">
        <v>7.58974358974359</v>
      </c>
      <c r="I1210" s="9" t="inlineStr">
        <is>
          <t>Depth (no MLB PA)</t>
        </is>
      </c>
      <c r="J1210" s="16" t="inlineStr">
        <is>
          <t>Opening Day</t>
        </is>
      </c>
      <c r="K1210" s="11">
        <f>IFERROR(INDEX(Roles!$B$17:$B$20,MATCH(J1210,Roles!$A$17:$A$20,0)),1)</f>
        <v/>
      </c>
      <c r="L1210" s="17" t="n">
        <v>1</v>
      </c>
      <c r="M1210" s="11" t="n">
        <v>1</v>
      </c>
      <c r="N1210" s="17" t="n"/>
      <c r="O1210" s="17" t="n"/>
      <c r="P1210" s="17" t="n"/>
      <c r="Q1210" s="17" t="n"/>
      <c r="R1210" s="17" t="n"/>
      <c r="S1210" s="17" t="n"/>
      <c r="T1210" s="17" t="n"/>
      <c r="U1210" s="17" t="n"/>
      <c r="V1210" s="17" t="n"/>
      <c r="W1210" s="17" t="n"/>
      <c r="X1210" s="17" t="n"/>
      <c r="Y1210" s="17" t="n">
        <v>1</v>
      </c>
      <c r="Z1210" s="13">
        <f>SUMPRODUCT(N1210:Y1210,$N$2:$Y$2)*$K1210*$L1210*$M1210</f>
        <v/>
      </c>
      <c r="AA1210" s="14">
        <f>SUM(N1210:Y1210)</f>
        <v/>
      </c>
      <c r="AB1210" s="14">
        <f>IFERROR(IF(UPPER($E1210)="L",SUMPRODUCT(N1210:Y1210,$N$3:$Y$3,$N$2:$Y$2),SUMPRODUCT(N1210:Y1210,$N$4:$Y$4,$N$2:$Y$2))/(Z1210/($K1210*$L1210*$M1210)),"")</f>
        <v/>
      </c>
      <c r="AC1210" s="18" t="n"/>
    </row>
    <row r="1211">
      <c r="A1211" s="9" t="n">
        <v>842047</v>
      </c>
      <c r="B1211" s="9" t="inlineStr">
        <is>
          <t>Brayden Martin</t>
        </is>
      </c>
      <c r="C1211" s="9" t="inlineStr">
        <is>
          <t>TOR</t>
        </is>
      </c>
      <c r="D1211" s="9" t="n">
        <v>25</v>
      </c>
      <c r="E1211" s="16" t="inlineStr">
        <is>
          <t>L</t>
        </is>
      </c>
      <c r="F1211" s="16" t="n"/>
      <c r="G1211" s="9" t="n">
        <v>7.753846153846153</v>
      </c>
      <c r="H1211" s="9" t="n">
        <v>7.753846153846153</v>
      </c>
      <c r="I1211" s="9" t="inlineStr">
        <is>
          <t>Depth (no MLB PA)</t>
        </is>
      </c>
      <c r="J1211" s="16" t="inlineStr">
        <is>
          <t>Opening Day</t>
        </is>
      </c>
      <c r="K1211" s="11">
        <f>IFERROR(INDEX(Roles!$B$17:$B$20,MATCH(J1211,Roles!$A$17:$A$20,0)),1)</f>
        <v/>
      </c>
      <c r="L1211" s="17" t="n">
        <v>1</v>
      </c>
      <c r="M1211" s="11" t="n">
        <v>1</v>
      </c>
      <c r="N1211" s="17" t="n"/>
      <c r="O1211" s="17" t="n"/>
      <c r="P1211" s="17" t="n"/>
      <c r="Q1211" s="17" t="n"/>
      <c r="R1211" s="17" t="n"/>
      <c r="S1211" s="17" t="n"/>
      <c r="T1211" s="17" t="n"/>
      <c r="U1211" s="17" t="n"/>
      <c r="V1211" s="17" t="n"/>
      <c r="W1211" s="17" t="n"/>
      <c r="X1211" s="17" t="n"/>
      <c r="Y1211" s="17" t="n">
        <v>1</v>
      </c>
      <c r="Z1211" s="13">
        <f>SUMPRODUCT(N1211:Y1211,$N$2:$Y$2)*$K1211*$L1211*$M1211</f>
        <v/>
      </c>
      <c r="AA1211" s="14">
        <f>SUM(N1211:Y1211)</f>
        <v/>
      </c>
      <c r="AB1211" s="14">
        <f>IFERROR(IF(UPPER($E1211)="L",SUMPRODUCT(N1211:Y1211,$N$3:$Y$3,$N$2:$Y$2),SUMPRODUCT(N1211:Y1211,$N$4:$Y$4,$N$2:$Y$2))/(Z1211/($K1211*$L1211*$M1211)),"")</f>
        <v/>
      </c>
      <c r="AC1211" s="18" t="n"/>
    </row>
    <row r="1212">
      <c r="A1212" s="9" t="n">
        <v>811633</v>
      </c>
      <c r="B1212" s="9" t="inlineStr">
        <is>
          <t>Yosweld Vasquez</t>
        </is>
      </c>
      <c r="C1212" s="9" t="inlineStr">
        <is>
          <t>HOU</t>
        </is>
      </c>
      <c r="D1212" s="9" t="n">
        <v>25</v>
      </c>
      <c r="E1212" s="16" t="inlineStr">
        <is>
          <t>R</t>
        </is>
      </c>
      <c r="F1212" s="16" t="n"/>
      <c r="G1212" s="9" t="n">
        <v>7.794871794871796</v>
      </c>
      <c r="H1212" s="9" t="n">
        <v>7.794871794871796</v>
      </c>
      <c r="I1212" s="9" t="inlineStr">
        <is>
          <t>Depth (no MLB PA)</t>
        </is>
      </c>
      <c r="J1212" s="16" t="inlineStr">
        <is>
          <t>Opening Day</t>
        </is>
      </c>
      <c r="K1212" s="11">
        <f>IFERROR(INDEX(Roles!$B$17:$B$20,MATCH(J1212,Roles!$A$17:$A$20,0)),1)</f>
        <v/>
      </c>
      <c r="L1212" s="17" t="n">
        <v>1</v>
      </c>
      <c r="M1212" s="11" t="n">
        <v>1</v>
      </c>
      <c r="N1212" s="17" t="n"/>
      <c r="O1212" s="17" t="n"/>
      <c r="P1212" s="17" t="n"/>
      <c r="Q1212" s="17" t="n"/>
      <c r="R1212" s="17" t="n"/>
      <c r="S1212" s="17" t="n"/>
      <c r="T1212" s="17" t="n"/>
      <c r="U1212" s="17" t="n"/>
      <c r="V1212" s="17" t="n"/>
      <c r="W1212" s="17" t="n"/>
      <c r="X1212" s="17" t="n"/>
      <c r="Y1212" s="17" t="n">
        <v>1</v>
      </c>
      <c r="Z1212" s="13">
        <f>SUMPRODUCT(N1212:Y1212,$N$2:$Y$2)*$K1212*$L1212*$M1212</f>
        <v/>
      </c>
      <c r="AA1212" s="14">
        <f>SUM(N1212:Y1212)</f>
        <v/>
      </c>
      <c r="AB1212" s="14">
        <f>IFERROR(IF(UPPER($E1212)="L",SUMPRODUCT(N1212:Y1212,$N$3:$Y$3,$N$2:$Y$2),SUMPRODUCT(N1212:Y1212,$N$4:$Y$4,$N$2:$Y$2))/(Z1212/($K1212*$L1212*$M1212)),"")</f>
        <v/>
      </c>
      <c r="AC1212" s="18" t="n"/>
    </row>
    <row r="1213">
      <c r="A1213" s="9" t="n">
        <v>831488</v>
      </c>
      <c r="B1213" s="9" t="inlineStr">
        <is>
          <t>Wyatt Vincent</t>
        </is>
      </c>
      <c r="C1213" s="9" t="inlineStr">
        <is>
          <t>NYM</t>
        </is>
      </c>
      <c r="D1213" s="9" t="n">
        <v>25</v>
      </c>
      <c r="E1213" s="16" t="inlineStr">
        <is>
          <t>R</t>
        </is>
      </c>
      <c r="F1213" s="16" t="n"/>
      <c r="G1213" s="9" t="n">
        <v>7.753846153846153</v>
      </c>
      <c r="H1213" s="9" t="n">
        <v>7.753846153846153</v>
      </c>
      <c r="I1213" s="9" t="inlineStr">
        <is>
          <t>Depth (no MLB PA)</t>
        </is>
      </c>
      <c r="J1213" s="16" t="inlineStr">
        <is>
          <t>Opening Day</t>
        </is>
      </c>
      <c r="K1213" s="11">
        <f>IFERROR(INDEX(Roles!$B$17:$B$20,MATCH(J1213,Roles!$A$17:$A$20,0)),1)</f>
        <v/>
      </c>
      <c r="L1213" s="17" t="n">
        <v>1</v>
      </c>
      <c r="M1213" s="11" t="n">
        <v>1</v>
      </c>
      <c r="N1213" s="17" t="n"/>
      <c r="O1213" s="17" t="n"/>
      <c r="P1213" s="17" t="n"/>
      <c r="Q1213" s="17" t="n"/>
      <c r="R1213" s="17" t="n"/>
      <c r="S1213" s="17" t="n"/>
      <c r="T1213" s="17" t="n"/>
      <c r="U1213" s="17" t="n"/>
      <c r="V1213" s="17" t="n"/>
      <c r="W1213" s="17" t="n"/>
      <c r="X1213" s="17" t="n"/>
      <c r="Y1213" s="17" t="n">
        <v>1</v>
      </c>
      <c r="Z1213" s="13">
        <f>SUMPRODUCT(N1213:Y1213,$N$2:$Y$2)*$K1213*$L1213*$M1213</f>
        <v/>
      </c>
      <c r="AA1213" s="14">
        <f>SUM(N1213:Y1213)</f>
        <v/>
      </c>
      <c r="AB1213" s="14">
        <f>IFERROR(IF(UPPER($E1213)="L",SUMPRODUCT(N1213:Y1213,$N$3:$Y$3,$N$2:$Y$2),SUMPRODUCT(N1213:Y1213,$N$4:$Y$4,$N$2:$Y$2))/(Z1213/($K1213*$L1213*$M1213)),"")</f>
        <v/>
      </c>
      <c r="AC1213" s="18" t="n"/>
    </row>
    <row r="1214">
      <c r="A1214" s="9" t="n">
        <v>621438</v>
      </c>
      <c r="B1214" s="9" t="inlineStr">
        <is>
          <t>Tyrone Taylor</t>
        </is>
      </c>
      <c r="C1214" s="9" t="inlineStr">
        <is>
          <t>CHC</t>
        </is>
      </c>
      <c r="D1214" s="9" t="n">
        <v>33</v>
      </c>
      <c r="E1214" s="16" t="inlineStr">
        <is>
          <t>R</t>
        </is>
      </c>
      <c r="F1214" s="16" t="inlineStr">
        <is>
          <t>LF</t>
        </is>
      </c>
      <c r="G1214" s="9" t="n">
        <v>241</v>
      </c>
      <c r="H1214" s="9" t="n">
        <v>1575</v>
      </c>
      <c r="I1214" s="9" t="inlineStr">
        <is>
          <t>Utility OF / 4th OF</t>
        </is>
      </c>
      <c r="J1214" s="16" t="inlineStr">
        <is>
          <t>Opening Day</t>
        </is>
      </c>
      <c r="K1214" s="11">
        <f>IFERROR(INDEX(Roles!$B$17:$B$20,MATCH(J1214,Roles!$A$17:$A$20,0)),1)</f>
        <v/>
      </c>
      <c r="L1214" s="17" t="n">
        <v>1</v>
      </c>
      <c r="M1214" s="11" t="n">
        <v>1.033101656393805</v>
      </c>
      <c r="N1214" s="17" t="n"/>
      <c r="O1214" s="17" t="n"/>
      <c r="P1214" s="17" t="n"/>
      <c r="Q1214" s="17" t="n"/>
      <c r="R1214" s="17" t="n"/>
      <c r="S1214" s="17" t="n"/>
      <c r="T1214" s="17" t="n"/>
      <c r="U1214" s="17" t="n"/>
      <c r="V1214" s="17" t="n">
        <v>0.7</v>
      </c>
      <c r="W1214" s="17" t="n">
        <v>0.3</v>
      </c>
      <c r="X1214" s="17" t="n"/>
      <c r="Y1214" s="17" t="n"/>
      <c r="Z1214" s="13">
        <f>SUMPRODUCT(N1214:Y1214,$N$2:$Y$2)*$K1214*$L1214*$M1214</f>
        <v/>
      </c>
      <c r="AA1214" s="14">
        <f>SUM(N1214:Y1214)</f>
        <v/>
      </c>
      <c r="AB1214" s="14">
        <f>IFERROR(IF(UPPER($E1214)="L",SUMPRODUCT(N1214:Y1214,$N$3:$Y$3,$N$2:$Y$2),SUMPRODUCT(N1214:Y1214,$N$4:$Y$4,$N$2:$Y$2))/(Z1214/($K1214*$L1214*$M1214)),"")</f>
        <v/>
      </c>
      <c r="AC1214" s="18" t="n"/>
    </row>
    <row r="1215">
      <c r="A1215" s="9" t="n">
        <v>831004</v>
      </c>
      <c r="B1215" s="9" t="inlineStr">
        <is>
          <t>AJ Soldra</t>
        </is>
      </c>
      <c r="C1215" s="9" t="inlineStr">
        <is>
          <t>LAD</t>
        </is>
      </c>
      <c r="D1215" s="9" t="n">
        <v>25</v>
      </c>
      <c r="E1215" s="16" t="inlineStr">
        <is>
          <t>L</t>
        </is>
      </c>
      <c r="F1215" s="16" t="n"/>
      <c r="G1215" s="9" t="n">
        <v>22.64615384615385</v>
      </c>
      <c r="H1215" s="9" t="n">
        <v>22.64615384615385</v>
      </c>
      <c r="I1215" s="9" t="inlineStr">
        <is>
          <t>Depth (no MLB PA)</t>
        </is>
      </c>
      <c r="J1215" s="16" t="inlineStr">
        <is>
          <t>Opening Day</t>
        </is>
      </c>
      <c r="K1215" s="11">
        <f>IFERROR(INDEX(Roles!$B$17:$B$20,MATCH(J1215,Roles!$A$17:$A$20,0)),1)</f>
        <v/>
      </c>
      <c r="L1215" s="17" t="n">
        <v>1</v>
      </c>
      <c r="M1215" s="11" t="n">
        <v>1</v>
      </c>
      <c r="N1215" s="17" t="n"/>
      <c r="O1215" s="17" t="n"/>
      <c r="P1215" s="17" t="n"/>
      <c r="Q1215" s="17" t="n"/>
      <c r="R1215" s="17" t="n"/>
      <c r="S1215" s="17" t="n"/>
      <c r="T1215" s="17" t="n"/>
      <c r="U1215" s="17" t="n"/>
      <c r="V1215" s="17" t="n"/>
      <c r="W1215" s="17" t="n"/>
      <c r="X1215" s="17" t="n"/>
      <c r="Y1215" s="17" t="n">
        <v>1</v>
      </c>
      <c r="Z1215" s="13">
        <f>SUMPRODUCT(N1215:Y1215,$N$2:$Y$2)*$K1215*$L1215*$M1215</f>
        <v/>
      </c>
      <c r="AA1215" s="14">
        <f>SUM(N1215:Y1215)</f>
        <v/>
      </c>
      <c r="AB1215" s="14">
        <f>IFERROR(IF(UPPER($E1215)="L",SUMPRODUCT(N1215:Y1215,$N$3:$Y$3,$N$2:$Y$2),SUMPRODUCT(N1215:Y1215,$N$4:$Y$4,$N$2:$Y$2))/(Z1215/($K1215*$L1215*$M1215)),"")</f>
        <v/>
      </c>
      <c r="AC1215" s="18" t="n"/>
    </row>
    <row r="1216">
      <c r="A1216" s="9" t="n">
        <v>622250</v>
      </c>
      <c r="B1216" s="9" t="inlineStr">
        <is>
          <t>Josh Sborz</t>
        </is>
      </c>
      <c r="C1216" s="9" t="inlineStr">
        <is>
          <t>TEX</t>
        </is>
      </c>
      <c r="D1216" s="9" t="n">
        <v>33</v>
      </c>
      <c r="E1216" s="16" t="inlineStr">
        <is>
          <t>R</t>
        </is>
      </c>
      <c r="F1216" s="16" t="inlineStr">
        <is>
          <t>P</t>
        </is>
      </c>
      <c r="G1216" s="9" t="n">
        <v>1</v>
      </c>
      <c r="H1216" s="9" t="n">
        <v>1</v>
      </c>
      <c r="I1216" s="9" t="inlineStr">
        <is>
          <t>Depth (no MLB PA)</t>
        </is>
      </c>
      <c r="J1216" s="16" t="inlineStr">
        <is>
          <t>Opening Day</t>
        </is>
      </c>
      <c r="K1216" s="11">
        <f>IFERROR(INDEX(Roles!$B$17:$B$20,MATCH(J1216,Roles!$A$17:$A$20,0)),1)</f>
        <v/>
      </c>
      <c r="L1216" s="17" t="n">
        <v>1</v>
      </c>
      <c r="M1216" s="11" t="n">
        <v>1</v>
      </c>
      <c r="N1216" s="17" t="n"/>
      <c r="O1216" s="17" t="n"/>
      <c r="P1216" s="17" t="n"/>
      <c r="Q1216" s="17" t="n"/>
      <c r="R1216" s="17" t="n"/>
      <c r="S1216" s="17" t="n"/>
      <c r="T1216" s="17" t="n"/>
      <c r="U1216" s="17" t="n"/>
      <c r="V1216" s="17" t="n"/>
      <c r="W1216" s="17" t="n"/>
      <c r="X1216" s="17" t="n"/>
      <c r="Y1216" s="17" t="n">
        <v>1</v>
      </c>
      <c r="Z1216" s="13">
        <f>SUMPRODUCT(N1216:Y1216,$N$2:$Y$2)*$K1216*$L1216*$M1216</f>
        <v/>
      </c>
      <c r="AA1216" s="14">
        <f>SUM(N1216:Y1216)</f>
        <v/>
      </c>
      <c r="AB1216" s="14">
        <f>IFERROR(IF(UPPER($E1216)="L",SUMPRODUCT(N1216:Y1216,$N$3:$Y$3,$N$2:$Y$2),SUMPRODUCT(N1216:Y1216,$N$4:$Y$4,$N$2:$Y$2))/(Z1216/($K1216*$L1216*$M1216)),"")</f>
        <v/>
      </c>
      <c r="AC1216" s="18" t="n"/>
    </row>
    <row r="1217">
      <c r="A1217" s="9" t="n">
        <v>806120</v>
      </c>
      <c r="B1217" s="9" t="inlineStr">
        <is>
          <t>Kyle Henley</t>
        </is>
      </c>
      <c r="C1217" s="9" t="inlineStr">
        <is>
          <t>CIN</t>
        </is>
      </c>
      <c r="D1217" s="9" t="n">
        <v>25</v>
      </c>
      <c r="E1217" s="16" t="inlineStr">
        <is>
          <t>R</t>
        </is>
      </c>
      <c r="F1217" s="16" t="n"/>
      <c r="G1217" s="9" t="n">
        <v>11.8974358974359</v>
      </c>
      <c r="H1217" s="9" t="n">
        <v>11.8974358974359</v>
      </c>
      <c r="I1217" s="9" t="inlineStr">
        <is>
          <t>Depth (no MLB PA)</t>
        </is>
      </c>
      <c r="J1217" s="16" t="inlineStr">
        <is>
          <t>Opening Day</t>
        </is>
      </c>
      <c r="K1217" s="11">
        <f>IFERROR(INDEX(Roles!$B$17:$B$20,MATCH(J1217,Roles!$A$17:$A$20,0)),1)</f>
        <v/>
      </c>
      <c r="L1217" s="17" t="n">
        <v>1</v>
      </c>
      <c r="M1217" s="11" t="n">
        <v>1</v>
      </c>
      <c r="N1217" s="17" t="n"/>
      <c r="O1217" s="17" t="n"/>
      <c r="P1217" s="17" t="n"/>
      <c r="Q1217" s="17" t="n"/>
      <c r="R1217" s="17" t="n"/>
      <c r="S1217" s="17" t="n"/>
      <c r="T1217" s="17" t="n"/>
      <c r="U1217" s="17" t="n"/>
      <c r="V1217" s="17" t="n"/>
      <c r="W1217" s="17" t="n"/>
      <c r="X1217" s="17" t="n"/>
      <c r="Y1217" s="17" t="n">
        <v>1</v>
      </c>
      <c r="Z1217" s="13">
        <f>SUMPRODUCT(N1217:Y1217,$N$2:$Y$2)*$K1217*$L1217*$M1217</f>
        <v/>
      </c>
      <c r="AA1217" s="14">
        <f>SUM(N1217:Y1217)</f>
        <v/>
      </c>
      <c r="AB1217" s="14">
        <f>IFERROR(IF(UPPER($E1217)="L",SUMPRODUCT(N1217:Y1217,$N$3:$Y$3,$N$2:$Y$2),SUMPRODUCT(N1217:Y1217,$N$4:$Y$4,$N$2:$Y$2))/(Z1217/($K1217*$L1217*$M1217)),"")</f>
        <v/>
      </c>
      <c r="AC1217" s="18" t="n"/>
    </row>
    <row r="1218">
      <c r="A1218" s="9" t="n">
        <v>605242</v>
      </c>
      <c r="B1218" s="9" t="inlineStr">
        <is>
          <t>Michael Fulmer</t>
        </is>
      </c>
      <c r="C1218" s="9" t="inlineStr">
        <is>
          <t>CHC</t>
        </is>
      </c>
      <c r="D1218" s="9" t="n">
        <v>34</v>
      </c>
      <c r="E1218" s="16" t="inlineStr">
        <is>
          <t>R</t>
        </is>
      </c>
      <c r="F1218" s="16" t="inlineStr">
        <is>
          <t>P</t>
        </is>
      </c>
      <c r="G1218" s="9" t="n">
        <v>1</v>
      </c>
      <c r="H1218" s="9" t="n">
        <v>1</v>
      </c>
      <c r="I1218" s="9" t="inlineStr">
        <is>
          <t>Depth (no MLB PA)</t>
        </is>
      </c>
      <c r="J1218" s="16" t="inlineStr">
        <is>
          <t>Opening Day</t>
        </is>
      </c>
      <c r="K1218" s="11">
        <f>IFERROR(INDEX(Roles!$B$17:$B$20,MATCH(J1218,Roles!$A$17:$A$20,0)),1)</f>
        <v/>
      </c>
      <c r="L1218" s="17" t="n">
        <v>1</v>
      </c>
      <c r="M1218" s="11" t="n">
        <v>1</v>
      </c>
      <c r="N1218" s="17" t="n"/>
      <c r="O1218" s="17" t="n"/>
      <c r="P1218" s="17" t="n"/>
      <c r="Q1218" s="17" t="n"/>
      <c r="R1218" s="17" t="n"/>
      <c r="S1218" s="17" t="n"/>
      <c r="T1218" s="17" t="n"/>
      <c r="U1218" s="17" t="n"/>
      <c r="V1218" s="17" t="n"/>
      <c r="W1218" s="17" t="n"/>
      <c r="X1218" s="17" t="n"/>
      <c r="Y1218" s="17" t="n">
        <v>1</v>
      </c>
      <c r="Z1218" s="13">
        <f>SUMPRODUCT(N1218:Y1218,$N$2:$Y$2)*$K1218*$L1218*$M1218</f>
        <v/>
      </c>
      <c r="AA1218" s="14">
        <f>SUM(N1218:Y1218)</f>
        <v/>
      </c>
      <c r="AB1218" s="14">
        <f>IFERROR(IF(UPPER($E1218)="L",SUMPRODUCT(N1218:Y1218,$N$3:$Y$3,$N$2:$Y$2),SUMPRODUCT(N1218:Y1218,$N$4:$Y$4,$N$2:$Y$2))/(Z1218/($K1218*$L1218*$M1218)),"")</f>
        <v/>
      </c>
      <c r="AC1218" s="18" t="n"/>
    </row>
    <row r="1219">
      <c r="A1219" s="9" t="n">
        <v>827671</v>
      </c>
      <c r="B1219" s="9" t="inlineStr">
        <is>
          <t>Reed Stallman</t>
        </is>
      </c>
      <c r="C1219" s="9" t="inlineStr">
        <is>
          <t>NYM</t>
        </is>
      </c>
      <c r="D1219" s="9" t="n">
        <v>25</v>
      </c>
      <c r="E1219" s="16" t="inlineStr">
        <is>
          <t>L</t>
        </is>
      </c>
      <c r="F1219" s="16" t="n"/>
      <c r="G1219" s="9" t="n">
        <v>7.753846153846153</v>
      </c>
      <c r="H1219" s="9" t="n">
        <v>7.753846153846153</v>
      </c>
      <c r="I1219" s="9" t="inlineStr">
        <is>
          <t>Depth (no MLB PA)</t>
        </is>
      </c>
      <c r="J1219" s="16" t="inlineStr">
        <is>
          <t>Opening Day</t>
        </is>
      </c>
      <c r="K1219" s="11">
        <f>IFERROR(INDEX(Roles!$B$17:$B$20,MATCH(J1219,Roles!$A$17:$A$20,0)),1)</f>
        <v/>
      </c>
      <c r="L1219" s="17" t="n">
        <v>1</v>
      </c>
      <c r="M1219" s="11" t="n">
        <v>1</v>
      </c>
      <c r="N1219" s="17" t="n"/>
      <c r="O1219" s="17" t="n"/>
      <c r="P1219" s="17" t="n"/>
      <c r="Q1219" s="17" t="n"/>
      <c r="R1219" s="17" t="n"/>
      <c r="S1219" s="17" t="n"/>
      <c r="T1219" s="17" t="n"/>
      <c r="U1219" s="17" t="n"/>
      <c r="V1219" s="17" t="n"/>
      <c r="W1219" s="17" t="n"/>
      <c r="X1219" s="17" t="n"/>
      <c r="Y1219" s="17" t="n">
        <v>1</v>
      </c>
      <c r="Z1219" s="13">
        <f>SUMPRODUCT(N1219:Y1219,$N$2:$Y$2)*$K1219*$L1219*$M1219</f>
        <v/>
      </c>
      <c r="AA1219" s="14">
        <f>SUM(N1219:Y1219)</f>
        <v/>
      </c>
      <c r="AB1219" s="14">
        <f>IFERROR(IF(UPPER($E1219)="L",SUMPRODUCT(N1219:Y1219,$N$3:$Y$3,$N$2:$Y$2),SUMPRODUCT(N1219:Y1219,$N$4:$Y$4,$N$2:$Y$2))/(Z1219/($K1219*$L1219*$M1219)),"")</f>
        <v/>
      </c>
      <c r="AC1219" s="18" t="n"/>
    </row>
    <row r="1220">
      <c r="A1220" s="9" t="n">
        <v>687208</v>
      </c>
      <c r="B1220" s="9" t="inlineStr">
        <is>
          <t>Nathan Hickey</t>
        </is>
      </c>
      <c r="C1220" s="9" t="inlineStr">
        <is>
          <t>BOS</t>
        </is>
      </c>
      <c r="D1220" s="9" t="n">
        <v>25</v>
      </c>
      <c r="E1220" s="16" t="inlineStr">
        <is>
          <t>L</t>
        </is>
      </c>
      <c r="F1220" s="16" t="n"/>
      <c r="G1220" s="9" t="n">
        <v>129.7435897435898</v>
      </c>
      <c r="H1220" s="9" t="n">
        <v>129.7435897435898</v>
      </c>
      <c r="I1220" s="9" t="inlineStr">
        <is>
          <t>Depth (no MLB PA)</t>
        </is>
      </c>
      <c r="J1220" s="16" t="inlineStr">
        <is>
          <t>Opening Day</t>
        </is>
      </c>
      <c r="K1220" s="11">
        <f>IFERROR(INDEX(Roles!$B$17:$B$20,MATCH(J1220,Roles!$A$17:$A$20,0)),1)</f>
        <v/>
      </c>
      <c r="L1220" s="17" t="n">
        <v>1</v>
      </c>
      <c r="M1220" s="11" t="n">
        <v>1</v>
      </c>
      <c r="N1220" s="17" t="n"/>
      <c r="O1220" s="17" t="n"/>
      <c r="P1220" s="17" t="n"/>
      <c r="Q1220" s="17" t="n"/>
      <c r="R1220" s="17" t="n"/>
      <c r="S1220" s="17" t="n"/>
      <c r="T1220" s="17" t="n"/>
      <c r="U1220" s="17" t="n"/>
      <c r="V1220" s="17" t="n"/>
      <c r="W1220" s="17" t="n"/>
      <c r="X1220" s="17" t="n"/>
      <c r="Y1220" s="17" t="n">
        <v>1</v>
      </c>
      <c r="Z1220" s="13">
        <f>SUMPRODUCT(N1220:Y1220,$N$2:$Y$2)*$K1220*$L1220*$M1220</f>
        <v/>
      </c>
      <c r="AA1220" s="14">
        <f>SUM(N1220:Y1220)</f>
        <v/>
      </c>
      <c r="AB1220" s="14">
        <f>IFERROR(IF(UPPER($E1220)="L",SUMPRODUCT(N1220:Y1220,$N$3:$Y$3,$N$2:$Y$2),SUMPRODUCT(N1220:Y1220,$N$4:$Y$4,$N$2:$Y$2))/(Z1220/($K1220*$L1220*$M1220)),"")</f>
        <v/>
      </c>
      <c r="AC1220" s="18" t="n"/>
    </row>
    <row r="1221">
      <c r="A1221" s="9" t="n">
        <v>828084</v>
      </c>
      <c r="B1221" s="9" t="inlineStr">
        <is>
          <t>Daniel Pierce</t>
        </is>
      </c>
      <c r="C1221" s="9" t="inlineStr">
        <is>
          <t>TB</t>
        </is>
      </c>
      <c r="D1221" s="9" t="n">
        <v>25</v>
      </c>
      <c r="E1221" s="16" t="inlineStr">
        <is>
          <t>R</t>
        </is>
      </c>
      <c r="F1221" s="16" t="n"/>
      <c r="G1221" s="9" t="n">
        <v>16.49230769230769</v>
      </c>
      <c r="H1221" s="9" t="n">
        <v>16.49230769230769</v>
      </c>
      <c r="I1221" s="9" t="inlineStr">
        <is>
          <t>Depth (no MLB PA)</t>
        </is>
      </c>
      <c r="J1221" s="16" t="inlineStr">
        <is>
          <t>Opening Day</t>
        </is>
      </c>
      <c r="K1221" s="11">
        <f>IFERROR(INDEX(Roles!$B$17:$B$20,MATCH(J1221,Roles!$A$17:$A$20,0)),1)</f>
        <v/>
      </c>
      <c r="L1221" s="17" t="n">
        <v>1</v>
      </c>
      <c r="M1221" s="11" t="n">
        <v>1</v>
      </c>
      <c r="N1221" s="17" t="n"/>
      <c r="O1221" s="17" t="n"/>
      <c r="P1221" s="17" t="n"/>
      <c r="Q1221" s="17" t="n"/>
      <c r="R1221" s="17" t="n"/>
      <c r="S1221" s="17" t="n"/>
      <c r="T1221" s="17" t="n"/>
      <c r="U1221" s="17" t="n"/>
      <c r="V1221" s="17" t="n"/>
      <c r="W1221" s="17" t="n"/>
      <c r="X1221" s="17" t="n"/>
      <c r="Y1221" s="17" t="n">
        <v>1</v>
      </c>
      <c r="Z1221" s="13">
        <f>SUMPRODUCT(N1221:Y1221,$N$2:$Y$2)*$K1221*$L1221*$M1221</f>
        <v/>
      </c>
      <c r="AA1221" s="14">
        <f>SUM(N1221:Y1221)</f>
        <v/>
      </c>
      <c r="AB1221" s="14">
        <f>IFERROR(IF(UPPER($E1221)="L",SUMPRODUCT(N1221:Y1221,$N$3:$Y$3,$N$2:$Y$2),SUMPRODUCT(N1221:Y1221,$N$4:$Y$4,$N$2:$Y$2))/(Z1221/($K1221*$L1221*$M1221)),"")</f>
        <v/>
      </c>
      <c r="AC1221" s="18" t="n"/>
    </row>
    <row r="1222">
      <c r="A1222" s="9" t="n">
        <v>822384</v>
      </c>
      <c r="B1222" s="9" t="inlineStr">
        <is>
          <t>Jack Spanier</t>
        </is>
      </c>
      <c r="C1222" s="9" t="inlineStr">
        <is>
          <t>ARI</t>
        </is>
      </c>
      <c r="D1222" s="9" t="n">
        <v>25</v>
      </c>
      <c r="E1222" s="16" t="inlineStr">
        <is>
          <t>R</t>
        </is>
      </c>
      <c r="F1222" s="16" t="n"/>
      <c r="G1222" s="9" t="n">
        <v>8</v>
      </c>
      <c r="H1222" s="9" t="n">
        <v>8</v>
      </c>
      <c r="I1222" s="9" t="inlineStr">
        <is>
          <t>Depth (no MLB PA)</t>
        </is>
      </c>
      <c r="J1222" s="16" t="inlineStr">
        <is>
          <t>Opening Day</t>
        </is>
      </c>
      <c r="K1222" s="11">
        <f>IFERROR(INDEX(Roles!$B$17:$B$20,MATCH(J1222,Roles!$A$17:$A$20,0)),1)</f>
        <v/>
      </c>
      <c r="L1222" s="17" t="n">
        <v>1</v>
      </c>
      <c r="M1222" s="11" t="n">
        <v>1</v>
      </c>
      <c r="N1222" s="17" t="n"/>
      <c r="O1222" s="17" t="n"/>
      <c r="P1222" s="17" t="n"/>
      <c r="Q1222" s="17" t="n"/>
      <c r="R1222" s="17" t="n"/>
      <c r="S1222" s="17" t="n"/>
      <c r="T1222" s="17" t="n"/>
      <c r="U1222" s="17" t="n"/>
      <c r="V1222" s="17" t="n"/>
      <c r="W1222" s="17" t="n"/>
      <c r="X1222" s="17" t="n"/>
      <c r="Y1222" s="17" t="n">
        <v>1</v>
      </c>
      <c r="Z1222" s="13">
        <f>SUMPRODUCT(N1222:Y1222,$N$2:$Y$2)*$K1222*$L1222*$M1222</f>
        <v/>
      </c>
      <c r="AA1222" s="14">
        <f>SUM(N1222:Y1222)</f>
        <v/>
      </c>
      <c r="AB1222" s="14">
        <f>IFERROR(IF(UPPER($E1222)="L",SUMPRODUCT(N1222:Y1222,$N$3:$Y$3,$N$2:$Y$2),SUMPRODUCT(N1222:Y1222,$N$4:$Y$4,$N$2:$Y$2))/(Z1222/($K1222*$L1222*$M1222)),"")</f>
        <v/>
      </c>
      <c r="AC1222" s="18" t="n"/>
    </row>
    <row r="1223">
      <c r="A1223" s="9" t="n">
        <v>814469</v>
      </c>
      <c r="B1223" s="9" t="inlineStr">
        <is>
          <t>Crew McChesney</t>
        </is>
      </c>
      <c r="C1223" s="9" t="inlineStr">
        <is>
          <t>CWS</t>
        </is>
      </c>
      <c r="D1223" s="9" t="n">
        <v>25</v>
      </c>
      <c r="E1223" s="16" t="inlineStr">
        <is>
          <t>L</t>
        </is>
      </c>
      <c r="F1223" s="16" t="n"/>
      <c r="G1223" s="9" t="n">
        <v>7.876923076923077</v>
      </c>
      <c r="H1223" s="9" t="n">
        <v>7.876923076923077</v>
      </c>
      <c r="I1223" s="9" t="inlineStr">
        <is>
          <t>Depth (no MLB PA)</t>
        </is>
      </c>
      <c r="J1223" s="16" t="inlineStr">
        <is>
          <t>Opening Day</t>
        </is>
      </c>
      <c r="K1223" s="11">
        <f>IFERROR(INDEX(Roles!$B$17:$B$20,MATCH(J1223,Roles!$A$17:$A$20,0)),1)</f>
        <v/>
      </c>
      <c r="L1223" s="17" t="n">
        <v>1</v>
      </c>
      <c r="M1223" s="11" t="n">
        <v>1</v>
      </c>
      <c r="N1223" s="17" t="n"/>
      <c r="O1223" s="17" t="n"/>
      <c r="P1223" s="17" t="n"/>
      <c r="Q1223" s="17" t="n"/>
      <c r="R1223" s="17" t="n"/>
      <c r="S1223" s="17" t="n"/>
      <c r="T1223" s="17" t="n"/>
      <c r="U1223" s="17" t="n"/>
      <c r="V1223" s="17" t="n"/>
      <c r="W1223" s="17" t="n"/>
      <c r="X1223" s="17" t="n"/>
      <c r="Y1223" s="17" t="n">
        <v>1</v>
      </c>
      <c r="Z1223" s="13">
        <f>SUMPRODUCT(N1223:Y1223,$N$2:$Y$2)*$K1223*$L1223*$M1223</f>
        <v/>
      </c>
      <c r="AA1223" s="14">
        <f>SUM(N1223:Y1223)</f>
        <v/>
      </c>
      <c r="AB1223" s="14">
        <f>IFERROR(IF(UPPER($E1223)="L",SUMPRODUCT(N1223:Y1223,$N$3:$Y$3,$N$2:$Y$2),SUMPRODUCT(N1223:Y1223,$N$4:$Y$4,$N$2:$Y$2))/(Z1223/($K1223*$L1223*$M1223)),"")</f>
        <v/>
      </c>
      <c r="AC1223" s="18" t="n"/>
    </row>
    <row r="1224">
      <c r="A1224" s="9" t="n">
        <v>815121</v>
      </c>
      <c r="B1224" s="9" t="inlineStr">
        <is>
          <t>Alexey Lumpuy</t>
        </is>
      </c>
      <c r="C1224" s="9" t="inlineStr">
        <is>
          <t>CHC</t>
        </is>
      </c>
      <c r="D1224" s="9" t="n">
        <v>25</v>
      </c>
      <c r="E1224" s="16" t="inlineStr">
        <is>
          <t>L</t>
        </is>
      </c>
      <c r="F1224" s="16" t="n"/>
      <c r="G1224" s="9" t="n">
        <v>20.30769230769231</v>
      </c>
      <c r="H1224" s="9" t="n">
        <v>20.30769230769231</v>
      </c>
      <c r="I1224" s="9" t="inlineStr">
        <is>
          <t>Depth (no MLB PA)</t>
        </is>
      </c>
      <c r="J1224" s="16" t="inlineStr">
        <is>
          <t>Opening Day</t>
        </is>
      </c>
      <c r="K1224" s="11">
        <f>IFERROR(INDEX(Roles!$B$17:$B$20,MATCH(J1224,Roles!$A$17:$A$20,0)),1)</f>
        <v/>
      </c>
      <c r="L1224" s="17" t="n">
        <v>1</v>
      </c>
      <c r="M1224" s="11" t="n">
        <v>1</v>
      </c>
      <c r="N1224" s="17" t="n"/>
      <c r="O1224" s="17" t="n"/>
      <c r="P1224" s="17" t="n"/>
      <c r="Q1224" s="17" t="n"/>
      <c r="R1224" s="17" t="n"/>
      <c r="S1224" s="17" t="n"/>
      <c r="T1224" s="17" t="n"/>
      <c r="U1224" s="17" t="n"/>
      <c r="V1224" s="17" t="n"/>
      <c r="W1224" s="17" t="n"/>
      <c r="X1224" s="17" t="n"/>
      <c r="Y1224" s="17" t="n">
        <v>1</v>
      </c>
      <c r="Z1224" s="13">
        <f>SUMPRODUCT(N1224:Y1224,$N$2:$Y$2)*$K1224*$L1224*$M1224</f>
        <v/>
      </c>
      <c r="AA1224" s="14">
        <f>SUM(N1224:Y1224)</f>
        <v/>
      </c>
      <c r="AB1224" s="14">
        <f>IFERROR(IF(UPPER($E1224)="L",SUMPRODUCT(N1224:Y1224,$N$3:$Y$3,$N$2:$Y$2),SUMPRODUCT(N1224:Y1224,$N$4:$Y$4,$N$2:$Y$2))/(Z1224/($K1224*$L1224*$M1224)),"")</f>
        <v/>
      </c>
      <c r="AC1224" s="18" t="n"/>
    </row>
    <row r="1225">
      <c r="A1225" s="9" t="n">
        <v>800106</v>
      </c>
      <c r="B1225" s="9" t="inlineStr">
        <is>
          <t>Marcos Torres</t>
        </is>
      </c>
      <c r="C1225" s="9" t="inlineStr">
        <is>
          <t>TEX</t>
        </is>
      </c>
      <c r="D1225" s="9" t="n">
        <v>25</v>
      </c>
      <c r="E1225" s="16" t="inlineStr">
        <is>
          <t>L</t>
        </is>
      </c>
      <c r="F1225" s="16" t="n"/>
      <c r="G1225" s="9" t="n">
        <v>16.41025641025641</v>
      </c>
      <c r="H1225" s="9" t="n">
        <v>16.41025641025641</v>
      </c>
      <c r="I1225" s="9" t="inlineStr">
        <is>
          <t>Depth (no MLB PA)</t>
        </is>
      </c>
      <c r="J1225" s="16" t="inlineStr">
        <is>
          <t>Opening Day</t>
        </is>
      </c>
      <c r="K1225" s="11">
        <f>IFERROR(INDEX(Roles!$B$17:$B$20,MATCH(J1225,Roles!$A$17:$A$20,0)),1)</f>
        <v/>
      </c>
      <c r="L1225" s="17" t="n">
        <v>1</v>
      </c>
      <c r="M1225" s="11" t="n">
        <v>1</v>
      </c>
      <c r="N1225" s="17" t="n"/>
      <c r="O1225" s="17" t="n"/>
      <c r="P1225" s="17" t="n"/>
      <c r="Q1225" s="17" t="n"/>
      <c r="R1225" s="17" t="n"/>
      <c r="S1225" s="17" t="n"/>
      <c r="T1225" s="17" t="n"/>
      <c r="U1225" s="17" t="n"/>
      <c r="V1225" s="17" t="n"/>
      <c r="W1225" s="17" t="n"/>
      <c r="X1225" s="17" t="n"/>
      <c r="Y1225" s="17" t="n">
        <v>1</v>
      </c>
      <c r="Z1225" s="13">
        <f>SUMPRODUCT(N1225:Y1225,$N$2:$Y$2)*$K1225*$L1225*$M1225</f>
        <v/>
      </c>
      <c r="AA1225" s="14">
        <f>SUM(N1225:Y1225)</f>
        <v/>
      </c>
      <c r="AB1225" s="14">
        <f>IFERROR(IF(UPPER($E1225)="L",SUMPRODUCT(N1225:Y1225,$N$3:$Y$3,$N$2:$Y$2),SUMPRODUCT(N1225:Y1225,$N$4:$Y$4,$N$2:$Y$2))/(Z1225/($K1225*$L1225*$M1225)),"")</f>
        <v/>
      </c>
      <c r="AC1225" s="18" t="n"/>
    </row>
    <row r="1226">
      <c r="A1226" s="9" t="n">
        <v>806261</v>
      </c>
      <c r="B1226" s="9" t="inlineStr">
        <is>
          <t>Jaxon Willits</t>
        </is>
      </c>
      <c r="C1226" s="9" t="inlineStr">
        <is>
          <t>LAA</t>
        </is>
      </c>
      <c r="D1226" s="9" t="n">
        <v>25</v>
      </c>
      <c r="E1226" s="16" t="inlineStr">
        <is>
          <t>S</t>
        </is>
      </c>
      <c r="F1226" s="16" t="n"/>
      <c r="G1226" s="9" t="n">
        <v>14.4</v>
      </c>
      <c r="H1226" s="9" t="n">
        <v>14.4</v>
      </c>
      <c r="I1226" s="9" t="inlineStr">
        <is>
          <t>Depth (no MLB PA)</t>
        </is>
      </c>
      <c r="J1226" s="16" t="inlineStr">
        <is>
          <t>Opening Day</t>
        </is>
      </c>
      <c r="K1226" s="11">
        <f>IFERROR(INDEX(Roles!$B$17:$B$20,MATCH(J1226,Roles!$A$17:$A$20,0)),1)</f>
        <v/>
      </c>
      <c r="L1226" s="17" t="n">
        <v>1</v>
      </c>
      <c r="M1226" s="11" t="n">
        <v>1</v>
      </c>
      <c r="N1226" s="17" t="n"/>
      <c r="O1226" s="17" t="n"/>
      <c r="P1226" s="17" t="n"/>
      <c r="Q1226" s="17" t="n"/>
      <c r="R1226" s="17" t="n"/>
      <c r="S1226" s="17" t="n"/>
      <c r="T1226" s="17" t="n"/>
      <c r="U1226" s="17" t="n"/>
      <c r="V1226" s="17" t="n"/>
      <c r="W1226" s="17" t="n"/>
      <c r="X1226" s="17" t="n"/>
      <c r="Y1226" s="17" t="n">
        <v>1</v>
      </c>
      <c r="Z1226" s="13">
        <f>SUMPRODUCT(N1226:Y1226,$N$2:$Y$2)*$K1226*$L1226*$M1226</f>
        <v/>
      </c>
      <c r="AA1226" s="14">
        <f>SUM(N1226:Y1226)</f>
        <v/>
      </c>
      <c r="AB1226" s="14">
        <f>IFERROR(IF(UPPER($E1226)="L",SUMPRODUCT(N1226:Y1226,$N$3:$Y$3,$N$2:$Y$2),SUMPRODUCT(N1226:Y1226,$N$4:$Y$4,$N$2:$Y$2))/(Z1226/($K1226*$L1226*$M1226)),"")</f>
        <v/>
      </c>
      <c r="AC1226" s="18" t="n"/>
    </row>
    <row r="1227">
      <c r="A1227" s="9" t="n">
        <v>687066</v>
      </c>
      <c r="B1227" s="9" t="inlineStr">
        <is>
          <t>Eric Yang</t>
        </is>
      </c>
      <c r="C1227" s="9" t="inlineStr">
        <is>
          <t>CIN</t>
        </is>
      </c>
      <c r="D1227" s="9" t="n">
        <v>29</v>
      </c>
      <c r="E1227" s="16" t="inlineStr">
        <is>
          <t>R</t>
        </is>
      </c>
      <c r="F1227" s="16" t="n"/>
      <c r="G1227" s="9" t="n">
        <v>1</v>
      </c>
      <c r="H1227" s="9" t="n">
        <v>1</v>
      </c>
      <c r="I1227" s="9" t="inlineStr">
        <is>
          <t>Depth (no MLB PA)</t>
        </is>
      </c>
      <c r="J1227" s="16" t="inlineStr">
        <is>
          <t>Opening Day</t>
        </is>
      </c>
      <c r="K1227" s="11">
        <f>IFERROR(INDEX(Roles!$B$17:$B$20,MATCH(J1227,Roles!$A$17:$A$20,0)),1)</f>
        <v/>
      </c>
      <c r="L1227" s="17" t="n">
        <v>1</v>
      </c>
      <c r="M1227" s="11" t="n">
        <v>1</v>
      </c>
      <c r="N1227" s="17" t="n"/>
      <c r="O1227" s="17" t="n"/>
      <c r="P1227" s="17" t="n"/>
      <c r="Q1227" s="17" t="n"/>
      <c r="R1227" s="17" t="n"/>
      <c r="S1227" s="17" t="n"/>
      <c r="T1227" s="17" t="n"/>
      <c r="U1227" s="17" t="n"/>
      <c r="V1227" s="17" t="n"/>
      <c r="W1227" s="17" t="n"/>
      <c r="X1227" s="17" t="n"/>
      <c r="Y1227" s="17" t="n">
        <v>1</v>
      </c>
      <c r="Z1227" s="13">
        <f>SUMPRODUCT(N1227:Y1227,$N$2:$Y$2)*$K1227*$L1227*$M1227</f>
        <v/>
      </c>
      <c r="AA1227" s="14">
        <f>SUM(N1227:Y1227)</f>
        <v/>
      </c>
      <c r="AB1227" s="14">
        <f>IFERROR(IF(UPPER($E1227)="L",SUMPRODUCT(N1227:Y1227,$N$3:$Y$3,$N$2:$Y$2),SUMPRODUCT(N1227:Y1227,$N$4:$Y$4,$N$2:$Y$2))/(Z1227/($K1227*$L1227*$M1227)),"")</f>
        <v/>
      </c>
      <c r="AC1227" s="18" t="n"/>
    </row>
    <row r="1228">
      <c r="A1228" s="9" t="n">
        <v>821139</v>
      </c>
      <c r="B1228" s="9" t="inlineStr">
        <is>
          <t>Luis De La Cruz</t>
        </is>
      </c>
      <c r="C1228" s="9" t="inlineStr">
        <is>
          <t>CLE</t>
        </is>
      </c>
      <c r="D1228" s="9" t="n">
        <v>25</v>
      </c>
      <c r="E1228" s="16" t="inlineStr">
        <is>
          <t>S</t>
        </is>
      </c>
      <c r="F1228" s="16" t="n"/>
      <c r="G1228" s="9" t="n">
        <v>12.30769230769231</v>
      </c>
      <c r="H1228" s="9" t="n">
        <v>12.30769230769231</v>
      </c>
      <c r="I1228" s="9" t="inlineStr">
        <is>
          <t>Depth (no MLB PA)</t>
        </is>
      </c>
      <c r="J1228" s="16" t="inlineStr">
        <is>
          <t>Opening Day</t>
        </is>
      </c>
      <c r="K1228" s="11">
        <f>IFERROR(INDEX(Roles!$B$17:$B$20,MATCH(J1228,Roles!$A$17:$A$20,0)),1)</f>
        <v/>
      </c>
      <c r="L1228" s="17" t="n">
        <v>1</v>
      </c>
      <c r="M1228" s="11" t="n">
        <v>1</v>
      </c>
      <c r="N1228" s="17" t="n"/>
      <c r="O1228" s="17" t="n"/>
      <c r="P1228" s="17" t="n"/>
      <c r="Q1228" s="17" t="n"/>
      <c r="R1228" s="17" t="n"/>
      <c r="S1228" s="17" t="n"/>
      <c r="T1228" s="17" t="n"/>
      <c r="U1228" s="17" t="n"/>
      <c r="V1228" s="17" t="n"/>
      <c r="W1228" s="17" t="n"/>
      <c r="X1228" s="17" t="n"/>
      <c r="Y1228" s="17" t="n">
        <v>1</v>
      </c>
      <c r="Z1228" s="13">
        <f>SUMPRODUCT(N1228:Y1228,$N$2:$Y$2)*$K1228*$L1228*$M1228</f>
        <v/>
      </c>
      <c r="AA1228" s="14">
        <f>SUM(N1228:Y1228)</f>
        <v/>
      </c>
      <c r="AB1228" s="14">
        <f>IFERROR(IF(UPPER($E1228)="L",SUMPRODUCT(N1228:Y1228,$N$3:$Y$3,$N$2:$Y$2),SUMPRODUCT(N1228:Y1228,$N$4:$Y$4,$N$2:$Y$2))/(Z1228/($K1228*$L1228*$M1228)),"")</f>
        <v/>
      </c>
      <c r="AC1228" s="18" t="n"/>
    </row>
    <row r="1229">
      <c r="A1229" s="9" t="n">
        <v>815394</v>
      </c>
      <c r="B1229" s="9" t="inlineStr">
        <is>
          <t>Theo Gillen</t>
        </is>
      </c>
      <c r="C1229" s="9" t="inlineStr">
        <is>
          <t>TB</t>
        </is>
      </c>
      <c r="D1229" s="9" t="n">
        <v>22</v>
      </c>
      <c r="E1229" s="16" t="inlineStr">
        <is>
          <t>L</t>
        </is>
      </c>
      <c r="F1229" s="16" t="n"/>
      <c r="G1229" s="9" t="n">
        <v>94.05128205128204</v>
      </c>
      <c r="H1229" s="9" t="n">
        <v>94.05128205128204</v>
      </c>
      <c r="I1229" s="9" t="inlineStr">
        <is>
          <t>Bench Bat</t>
        </is>
      </c>
      <c r="J1229" s="16" t="inlineStr">
        <is>
          <t>Mid Season (~July)</t>
        </is>
      </c>
      <c r="K1229" s="11">
        <f>IFERROR(INDEX(Roles!$B$17:$B$20,MATCH(J1229,Roles!$A$17:$A$20,0)),1)</f>
        <v/>
      </c>
      <c r="L1229" s="17" t="n">
        <v>1</v>
      </c>
      <c r="M1229" s="11" t="n">
        <v>1</v>
      </c>
      <c r="N1229" s="17" t="n">
        <v>0.34</v>
      </c>
      <c r="O1229" s="17" t="n"/>
      <c r="P1229" s="17" t="n">
        <v>0.3</v>
      </c>
      <c r="Q1229" s="17" t="n"/>
      <c r="R1229" s="17" t="n"/>
      <c r="S1229" s="17" t="n"/>
      <c r="T1229" s="17" t="n"/>
      <c r="U1229" s="17" t="n"/>
      <c r="V1229" s="17" t="n"/>
      <c r="W1229" s="17" t="n">
        <v>0.36</v>
      </c>
      <c r="X1229" s="17" t="n"/>
      <c r="Y1229" s="17" t="n"/>
      <c r="Z1229" s="13">
        <f>SUMPRODUCT(N1229:Y1229,$N$2:$Y$2)*$K1229*$L1229*$M1229</f>
        <v/>
      </c>
      <c r="AA1229" s="14">
        <f>SUM(N1229:Y1229)</f>
        <v/>
      </c>
      <c r="AB1229" s="14">
        <f>IFERROR(IF(UPPER($E1229)="L",SUMPRODUCT(N1229:Y1229,$N$3:$Y$3,$N$2:$Y$2),SUMPRODUCT(N1229:Y1229,$N$4:$Y$4,$N$2:$Y$2))/(Z1229/($K1229*$L1229*$M1229)),"")</f>
        <v/>
      </c>
      <c r="AC1229" s="18" t="n"/>
    </row>
    <row r="1230">
      <c r="A1230" s="9" t="n">
        <v>622491</v>
      </c>
      <c r="B1230" s="9" t="inlineStr">
        <is>
          <t>Luis Castillo</t>
        </is>
      </c>
      <c r="C1230" s="9" t="inlineStr">
        <is>
          <t>SEA</t>
        </is>
      </c>
      <c r="D1230" s="9" t="n">
        <v>34</v>
      </c>
      <c r="E1230" s="16" t="inlineStr">
        <is>
          <t>R</t>
        </is>
      </c>
      <c r="F1230" s="16" t="inlineStr">
        <is>
          <t>P</t>
        </is>
      </c>
      <c r="G1230" s="9" t="n">
        <v>1</v>
      </c>
      <c r="H1230" s="9" t="n">
        <v>1</v>
      </c>
      <c r="I1230" s="9" t="inlineStr">
        <is>
          <t>Depth (no MLB PA)</t>
        </is>
      </c>
      <c r="J1230" s="16" t="inlineStr">
        <is>
          <t>Opening Day</t>
        </is>
      </c>
      <c r="K1230" s="11">
        <f>IFERROR(INDEX(Roles!$B$17:$B$20,MATCH(J1230,Roles!$A$17:$A$20,0)),1)</f>
        <v/>
      </c>
      <c r="L1230" s="17" t="n">
        <v>1</v>
      </c>
      <c r="M1230" s="11" t="n">
        <v>1</v>
      </c>
      <c r="N1230" s="17" t="n"/>
      <c r="O1230" s="17" t="n"/>
      <c r="P1230" s="17" t="n"/>
      <c r="Q1230" s="17" t="n"/>
      <c r="R1230" s="17" t="n"/>
      <c r="S1230" s="17" t="n"/>
      <c r="T1230" s="17" t="n"/>
      <c r="U1230" s="17" t="n"/>
      <c r="V1230" s="17" t="n"/>
      <c r="W1230" s="17" t="n"/>
      <c r="X1230" s="17" t="n"/>
      <c r="Y1230" s="17" t="n">
        <v>1</v>
      </c>
      <c r="Z1230" s="13">
        <f>SUMPRODUCT(N1230:Y1230,$N$2:$Y$2)*$K1230*$L1230*$M1230</f>
        <v/>
      </c>
      <c r="AA1230" s="14">
        <f>SUM(N1230:Y1230)</f>
        <v/>
      </c>
      <c r="AB1230" s="14">
        <f>IFERROR(IF(UPPER($E1230)="L",SUMPRODUCT(N1230:Y1230,$N$3:$Y$3,$N$2:$Y$2),SUMPRODUCT(N1230:Y1230,$N$4:$Y$4,$N$2:$Y$2))/(Z1230/($K1230*$L1230*$M1230)),"")</f>
        <v/>
      </c>
      <c r="AC1230" s="18" t="n"/>
    </row>
    <row r="1231">
      <c r="A1231" s="9" t="n">
        <v>829791</v>
      </c>
      <c r="B1231" s="9" t="inlineStr">
        <is>
          <t>Miguel Hernández</t>
        </is>
      </c>
      <c r="C1231" s="9" t="inlineStr">
        <is>
          <t>STL</t>
        </is>
      </c>
      <c r="D1231" s="9" t="n">
        <v>19</v>
      </c>
      <c r="E1231" s="16" t="inlineStr">
        <is>
          <t>R</t>
        </is>
      </c>
      <c r="F1231" s="16" t="n"/>
      <c r="G1231" s="9" t="n">
        <v>12.18461538461539</v>
      </c>
      <c r="H1231" s="9" t="n">
        <v>12.18461538461539</v>
      </c>
      <c r="I1231" s="9" t="inlineStr">
        <is>
          <t>Depth (no MLB PA)</t>
        </is>
      </c>
      <c r="J1231" s="16" t="inlineStr">
        <is>
          <t>Opening Day</t>
        </is>
      </c>
      <c r="K1231" s="11">
        <f>IFERROR(INDEX(Roles!$B$17:$B$20,MATCH(J1231,Roles!$A$17:$A$20,0)),1)</f>
        <v/>
      </c>
      <c r="L1231" s="17" t="n">
        <v>1</v>
      </c>
      <c r="M1231" s="11" t="n">
        <v>1</v>
      </c>
      <c r="N1231" s="17" t="n"/>
      <c r="O1231" s="17" t="n"/>
      <c r="P1231" s="17" t="n"/>
      <c r="Q1231" s="17" t="n"/>
      <c r="R1231" s="17" t="n"/>
      <c r="S1231" s="17" t="n"/>
      <c r="T1231" s="17" t="n"/>
      <c r="U1231" s="17" t="n"/>
      <c r="V1231" s="17" t="n"/>
      <c r="W1231" s="17" t="n"/>
      <c r="X1231" s="17" t="n"/>
      <c r="Y1231" s="17" t="n">
        <v>1</v>
      </c>
      <c r="Z1231" s="13">
        <f>SUMPRODUCT(N1231:Y1231,$N$2:$Y$2)*$K1231*$L1231*$M1231</f>
        <v/>
      </c>
      <c r="AA1231" s="14">
        <f>SUM(N1231:Y1231)</f>
        <v/>
      </c>
      <c r="AB1231" s="14">
        <f>IFERROR(IF(UPPER($E1231)="L",SUMPRODUCT(N1231:Y1231,$N$3:$Y$3,$N$2:$Y$2),SUMPRODUCT(N1231:Y1231,$N$4:$Y$4,$N$2:$Y$2))/(Z1231/($K1231*$L1231*$M1231)),"")</f>
        <v/>
      </c>
      <c r="AC1231" s="18" t="n"/>
    </row>
    <row r="1232">
      <c r="A1232" s="9" t="n">
        <v>676896</v>
      </c>
      <c r="B1232" s="9" t="inlineStr">
        <is>
          <t>Chris Roller</t>
        </is>
      </c>
      <c r="C1232" s="9" t="inlineStr">
        <is>
          <t>MIL</t>
        </is>
      </c>
      <c r="D1232" s="9" t="n">
        <v>30</v>
      </c>
      <c r="E1232" s="16" t="inlineStr">
        <is>
          <t>R</t>
        </is>
      </c>
      <c r="F1232" s="16" t="inlineStr">
        <is>
          <t>CF</t>
        </is>
      </c>
      <c r="G1232" s="9" t="n">
        <v>1</v>
      </c>
      <c r="H1232" s="9" t="n">
        <v>1</v>
      </c>
      <c r="I1232" s="9" t="inlineStr">
        <is>
          <t>Depth (no MLB PA)</t>
        </is>
      </c>
      <c r="J1232" s="16" t="inlineStr">
        <is>
          <t>Opening Day</t>
        </is>
      </c>
      <c r="K1232" s="11">
        <f>IFERROR(INDEX(Roles!$B$17:$B$20,MATCH(J1232,Roles!$A$17:$A$20,0)),1)</f>
        <v/>
      </c>
      <c r="L1232" s="17" t="n">
        <v>1</v>
      </c>
      <c r="M1232" s="11" t="n">
        <v>1</v>
      </c>
      <c r="N1232" s="17" t="n"/>
      <c r="O1232" s="17" t="n"/>
      <c r="P1232" s="17" t="n"/>
      <c r="Q1232" s="17" t="n"/>
      <c r="R1232" s="17" t="n"/>
      <c r="S1232" s="17" t="n"/>
      <c r="T1232" s="17" t="n"/>
      <c r="U1232" s="17" t="n"/>
      <c r="V1232" s="17" t="n"/>
      <c r="W1232" s="17" t="n"/>
      <c r="X1232" s="17" t="n"/>
      <c r="Y1232" s="17" t="n">
        <v>1</v>
      </c>
      <c r="Z1232" s="13">
        <f>SUMPRODUCT(N1232:Y1232,$N$2:$Y$2)*$K1232*$L1232*$M1232</f>
        <v/>
      </c>
      <c r="AA1232" s="14">
        <f>SUM(N1232:Y1232)</f>
        <v/>
      </c>
      <c r="AB1232" s="14">
        <f>IFERROR(IF(UPPER($E1232)="L",SUMPRODUCT(N1232:Y1232,$N$3:$Y$3,$N$2:$Y$2),SUMPRODUCT(N1232:Y1232,$N$4:$Y$4,$N$2:$Y$2))/(Z1232/($K1232*$L1232*$M1232)),"")</f>
        <v/>
      </c>
      <c r="AC1232" s="18" t="n"/>
    </row>
    <row r="1233">
      <c r="A1233" s="9" t="n">
        <v>543518</v>
      </c>
      <c r="B1233" s="9" t="inlineStr">
        <is>
          <t>Scott McGough</t>
        </is>
      </c>
      <c r="C1233" s="9" t="inlineStr">
        <is>
          <t>ARI</t>
        </is>
      </c>
      <c r="D1233" s="9" t="n">
        <v>37</v>
      </c>
      <c r="E1233" s="16" t="inlineStr">
        <is>
          <t>R</t>
        </is>
      </c>
      <c r="F1233" s="16" t="inlineStr">
        <is>
          <t>P</t>
        </is>
      </c>
      <c r="G1233" s="9" t="n">
        <v>1</v>
      </c>
      <c r="H1233" s="9" t="n">
        <v>1</v>
      </c>
      <c r="I1233" s="9" t="inlineStr">
        <is>
          <t>Depth (no MLB PA)</t>
        </is>
      </c>
      <c r="J1233" s="16" t="inlineStr">
        <is>
          <t>Opening Day</t>
        </is>
      </c>
      <c r="K1233" s="11">
        <f>IFERROR(INDEX(Roles!$B$17:$B$20,MATCH(J1233,Roles!$A$17:$A$20,0)),1)</f>
        <v/>
      </c>
      <c r="L1233" s="17" t="n">
        <v>1</v>
      </c>
      <c r="M1233" s="11" t="n">
        <v>1</v>
      </c>
      <c r="N1233" s="17" t="n"/>
      <c r="O1233" s="17" t="n"/>
      <c r="P1233" s="17" t="n"/>
      <c r="Q1233" s="17" t="n"/>
      <c r="R1233" s="17" t="n"/>
      <c r="S1233" s="17" t="n"/>
      <c r="T1233" s="17" t="n"/>
      <c r="U1233" s="17" t="n"/>
      <c r="V1233" s="17" t="n"/>
      <c r="W1233" s="17" t="n"/>
      <c r="X1233" s="17" t="n"/>
      <c r="Y1233" s="17" t="n">
        <v>1</v>
      </c>
      <c r="Z1233" s="13">
        <f>SUMPRODUCT(N1233:Y1233,$N$2:$Y$2)*$K1233*$L1233*$M1233</f>
        <v/>
      </c>
      <c r="AA1233" s="14">
        <f>SUM(N1233:Y1233)</f>
        <v/>
      </c>
      <c r="AB1233" s="14">
        <f>IFERROR(IF(UPPER($E1233)="L",SUMPRODUCT(N1233:Y1233,$N$3:$Y$3,$N$2:$Y$2),SUMPRODUCT(N1233:Y1233,$N$4:$Y$4,$N$2:$Y$2))/(Z1233/($K1233*$L1233*$M1233)),"")</f>
        <v/>
      </c>
      <c r="AC1233" s="18" t="n"/>
    </row>
    <row r="1234">
      <c r="A1234" s="9" t="n">
        <v>671155</v>
      </c>
      <c r="B1234" s="9" t="inlineStr">
        <is>
          <t>Ivan Johnson</t>
        </is>
      </c>
      <c r="C1234" s="9" t="inlineStr">
        <is>
          <t>CIN</t>
        </is>
      </c>
      <c r="D1234" s="9" t="n">
        <v>28</v>
      </c>
      <c r="E1234" s="16" t="inlineStr">
        <is>
          <t>S</t>
        </is>
      </c>
      <c r="F1234" s="16" t="inlineStr">
        <is>
          <t>LF</t>
        </is>
      </c>
      <c r="G1234" s="9" t="n">
        <v>19</v>
      </c>
      <c r="H1234" s="9" t="n">
        <v>19</v>
      </c>
      <c r="I1234" s="9" t="inlineStr">
        <is>
          <t>Depth (no MLB PA)</t>
        </is>
      </c>
      <c r="J1234" s="16" t="inlineStr">
        <is>
          <t>Opening Day</t>
        </is>
      </c>
      <c r="K1234" s="11">
        <f>IFERROR(INDEX(Roles!$B$17:$B$20,MATCH(J1234,Roles!$A$17:$A$20,0)),1)</f>
        <v/>
      </c>
      <c r="L1234" s="17" t="n">
        <v>1</v>
      </c>
      <c r="M1234" s="11" t="n">
        <v>1</v>
      </c>
      <c r="N1234" s="17" t="n"/>
      <c r="O1234" s="17" t="n"/>
      <c r="P1234" s="17" t="n"/>
      <c r="Q1234" s="17" t="n"/>
      <c r="R1234" s="17" t="n"/>
      <c r="S1234" s="17" t="n"/>
      <c r="T1234" s="17" t="n"/>
      <c r="U1234" s="17" t="n"/>
      <c r="V1234" s="17" t="n"/>
      <c r="W1234" s="17" t="n"/>
      <c r="X1234" s="17" t="n"/>
      <c r="Y1234" s="17" t="n">
        <v>1</v>
      </c>
      <c r="Z1234" s="13">
        <f>SUMPRODUCT(N1234:Y1234,$N$2:$Y$2)*$K1234*$L1234*$M1234</f>
        <v/>
      </c>
      <c r="AA1234" s="14">
        <f>SUM(N1234:Y1234)</f>
        <v/>
      </c>
      <c r="AB1234" s="14">
        <f>IFERROR(IF(UPPER($E1234)="L",SUMPRODUCT(N1234:Y1234,$N$3:$Y$3,$N$2:$Y$2),SUMPRODUCT(N1234:Y1234,$N$4:$Y$4,$N$2:$Y$2))/(Z1234/($K1234*$L1234*$M1234)),"")</f>
        <v/>
      </c>
      <c r="AC1234" s="18" t="n"/>
    </row>
    <row r="1235">
      <c r="A1235" s="9" t="n">
        <v>800621</v>
      </c>
      <c r="B1235" s="9" t="inlineStr">
        <is>
          <t>Logun Clark</t>
        </is>
      </c>
      <c r="C1235" s="9" t="inlineStr">
        <is>
          <t>CLE</t>
        </is>
      </c>
      <c r="D1235" s="9" t="n">
        <v>25</v>
      </c>
      <c r="E1235" s="16" t="inlineStr">
        <is>
          <t>R</t>
        </is>
      </c>
      <c r="F1235" s="16" t="n"/>
      <c r="G1235" s="9" t="n">
        <v>7.897435897435898</v>
      </c>
      <c r="H1235" s="9" t="n">
        <v>7.897435897435898</v>
      </c>
      <c r="I1235" s="9" t="inlineStr">
        <is>
          <t>Depth (no MLB PA)</t>
        </is>
      </c>
      <c r="J1235" s="16" t="inlineStr">
        <is>
          <t>Opening Day</t>
        </is>
      </c>
      <c r="K1235" s="11">
        <f>IFERROR(INDEX(Roles!$B$17:$B$20,MATCH(J1235,Roles!$A$17:$A$20,0)),1)</f>
        <v/>
      </c>
      <c r="L1235" s="17" t="n">
        <v>1</v>
      </c>
      <c r="M1235" s="11" t="n">
        <v>1</v>
      </c>
      <c r="N1235" s="17" t="n"/>
      <c r="O1235" s="17" t="n"/>
      <c r="P1235" s="17" t="n"/>
      <c r="Q1235" s="17" t="n"/>
      <c r="R1235" s="17" t="n"/>
      <c r="S1235" s="17" t="n"/>
      <c r="T1235" s="17" t="n"/>
      <c r="U1235" s="17" t="n"/>
      <c r="V1235" s="17" t="n"/>
      <c r="W1235" s="17" t="n"/>
      <c r="X1235" s="17" t="n"/>
      <c r="Y1235" s="17" t="n">
        <v>1</v>
      </c>
      <c r="Z1235" s="13">
        <f>SUMPRODUCT(N1235:Y1235,$N$2:$Y$2)*$K1235*$L1235*$M1235</f>
        <v/>
      </c>
      <c r="AA1235" s="14">
        <f>SUM(N1235:Y1235)</f>
        <v/>
      </c>
      <c r="AB1235" s="14">
        <f>IFERROR(IF(UPPER($E1235)="L",SUMPRODUCT(N1235:Y1235,$N$3:$Y$3,$N$2:$Y$2),SUMPRODUCT(N1235:Y1235,$N$4:$Y$4,$N$2:$Y$2))/(Z1235/($K1235*$L1235*$M1235)),"")</f>
        <v/>
      </c>
      <c r="AC1235" s="18" t="n"/>
    </row>
    <row r="1236">
      <c r="A1236" s="9" t="n">
        <v>809772</v>
      </c>
      <c r="B1236" s="9" t="inlineStr">
        <is>
          <t>Luis Puello</t>
        </is>
      </c>
      <c r="C1236" s="9" t="inlineStr">
        <is>
          <t>NYY</t>
        </is>
      </c>
      <c r="D1236" s="9" t="n">
        <v>25</v>
      </c>
      <c r="E1236" s="16" t="inlineStr">
        <is>
          <t>R</t>
        </is>
      </c>
      <c r="F1236" s="16" t="n"/>
      <c r="G1236" s="9" t="n">
        <v>38.15384615384615</v>
      </c>
      <c r="H1236" s="9" t="n">
        <v>38.15384615384615</v>
      </c>
      <c r="I1236" s="9" t="inlineStr">
        <is>
          <t>Depth (no MLB PA)</t>
        </is>
      </c>
      <c r="J1236" s="16" t="inlineStr">
        <is>
          <t>Opening Day</t>
        </is>
      </c>
      <c r="K1236" s="11">
        <f>IFERROR(INDEX(Roles!$B$17:$B$20,MATCH(J1236,Roles!$A$17:$A$20,0)),1)</f>
        <v/>
      </c>
      <c r="L1236" s="17" t="n">
        <v>1</v>
      </c>
      <c r="M1236" s="11" t="n">
        <v>1</v>
      </c>
      <c r="N1236" s="17" t="n"/>
      <c r="O1236" s="17" t="n"/>
      <c r="P1236" s="17" t="n"/>
      <c r="Q1236" s="17" t="n"/>
      <c r="R1236" s="17" t="n"/>
      <c r="S1236" s="17" t="n"/>
      <c r="T1236" s="17" t="n"/>
      <c r="U1236" s="17" t="n"/>
      <c r="V1236" s="17" t="n"/>
      <c r="W1236" s="17" t="n"/>
      <c r="X1236" s="17" t="n"/>
      <c r="Y1236" s="17" t="n">
        <v>1</v>
      </c>
      <c r="Z1236" s="13">
        <f>SUMPRODUCT(N1236:Y1236,$N$2:$Y$2)*$K1236*$L1236*$M1236</f>
        <v/>
      </c>
      <c r="AA1236" s="14">
        <f>SUM(N1236:Y1236)</f>
        <v/>
      </c>
      <c r="AB1236" s="14">
        <f>IFERROR(IF(UPPER($E1236)="L",SUMPRODUCT(N1236:Y1236,$N$3:$Y$3,$N$2:$Y$2),SUMPRODUCT(N1236:Y1236,$N$4:$Y$4,$N$2:$Y$2))/(Z1236/($K1236*$L1236*$M1236)),"")</f>
        <v/>
      </c>
      <c r="AC1236" s="18" t="n"/>
    </row>
    <row r="1237">
      <c r="A1237" s="9" t="n">
        <v>829166</v>
      </c>
      <c r="B1237" s="9" t="inlineStr">
        <is>
          <t>Yamvier Carrero</t>
        </is>
      </c>
      <c r="C1237" s="9" t="inlineStr">
        <is>
          <t>ATL</t>
        </is>
      </c>
      <c r="D1237" s="9" t="n">
        <v>25</v>
      </c>
      <c r="E1237" s="16" t="inlineStr">
        <is>
          <t>R</t>
        </is>
      </c>
      <c r="F1237" s="16" t="n"/>
      <c r="G1237" s="9" t="n">
        <v>14.52307692307692</v>
      </c>
      <c r="H1237" s="9" t="n">
        <v>14.52307692307692</v>
      </c>
      <c r="I1237" s="9" t="inlineStr">
        <is>
          <t>Depth (no MLB PA)</t>
        </is>
      </c>
      <c r="J1237" s="16" t="inlineStr">
        <is>
          <t>Opening Day</t>
        </is>
      </c>
      <c r="K1237" s="11">
        <f>IFERROR(INDEX(Roles!$B$17:$B$20,MATCH(J1237,Roles!$A$17:$A$20,0)),1)</f>
        <v/>
      </c>
      <c r="L1237" s="17" t="n">
        <v>1</v>
      </c>
      <c r="M1237" s="11" t="n">
        <v>1</v>
      </c>
      <c r="N1237" s="17" t="n"/>
      <c r="O1237" s="17" t="n"/>
      <c r="P1237" s="17" t="n"/>
      <c r="Q1237" s="17" t="n"/>
      <c r="R1237" s="17" t="n"/>
      <c r="S1237" s="17" t="n"/>
      <c r="T1237" s="17" t="n"/>
      <c r="U1237" s="17" t="n"/>
      <c r="V1237" s="17" t="n"/>
      <c r="W1237" s="17" t="n"/>
      <c r="X1237" s="17" t="n"/>
      <c r="Y1237" s="17" t="n">
        <v>1</v>
      </c>
      <c r="Z1237" s="13">
        <f>SUMPRODUCT(N1237:Y1237,$N$2:$Y$2)*$K1237*$L1237*$M1237</f>
        <v/>
      </c>
      <c r="AA1237" s="14">
        <f>SUM(N1237:Y1237)</f>
        <v/>
      </c>
      <c r="AB1237" s="14">
        <f>IFERROR(IF(UPPER($E1237)="L",SUMPRODUCT(N1237:Y1237,$N$3:$Y$3,$N$2:$Y$2),SUMPRODUCT(N1237:Y1237,$N$4:$Y$4,$N$2:$Y$2))/(Z1237/($K1237*$L1237*$M1237)),"")</f>
        <v/>
      </c>
      <c r="AC1237" s="18" t="n"/>
    </row>
    <row r="1238">
      <c r="A1238" s="9" t="n">
        <v>694420</v>
      </c>
      <c r="B1238" s="9" t="inlineStr">
        <is>
          <t>Tatem Levins</t>
        </is>
      </c>
      <c r="C1238" s="9" t="inlineStr">
        <is>
          <t>TB</t>
        </is>
      </c>
      <c r="D1238" s="9" t="n">
        <v>25</v>
      </c>
      <c r="E1238" s="16" t="inlineStr">
        <is>
          <t>L</t>
        </is>
      </c>
      <c r="F1238" s="16" t="n"/>
      <c r="G1238" s="9" t="n">
        <v>208.1538461538462</v>
      </c>
      <c r="H1238" s="9" t="n">
        <v>208.1538461538462</v>
      </c>
      <c r="I1238" s="9" t="inlineStr">
        <is>
          <t>Depth (no MLB PA)</t>
        </is>
      </c>
      <c r="J1238" s="16" t="inlineStr">
        <is>
          <t>Opening Day</t>
        </is>
      </c>
      <c r="K1238" s="11">
        <f>IFERROR(INDEX(Roles!$B$17:$B$20,MATCH(J1238,Roles!$A$17:$A$20,0)),1)</f>
        <v/>
      </c>
      <c r="L1238" s="17" t="n">
        <v>1</v>
      </c>
      <c r="M1238" s="11" t="n">
        <v>1</v>
      </c>
      <c r="N1238" s="17" t="n"/>
      <c r="O1238" s="17" t="n"/>
      <c r="P1238" s="17" t="n"/>
      <c r="Q1238" s="17" t="n"/>
      <c r="R1238" s="17" t="n"/>
      <c r="S1238" s="17" t="n"/>
      <c r="T1238" s="17" t="n"/>
      <c r="U1238" s="17" t="n"/>
      <c r="V1238" s="17" t="n"/>
      <c r="W1238" s="17" t="n"/>
      <c r="X1238" s="17" t="n"/>
      <c r="Y1238" s="17" t="n">
        <v>1</v>
      </c>
      <c r="Z1238" s="13">
        <f>SUMPRODUCT(N1238:Y1238,$N$2:$Y$2)*$K1238*$L1238*$M1238</f>
        <v/>
      </c>
      <c r="AA1238" s="14">
        <f>SUM(N1238:Y1238)</f>
        <v/>
      </c>
      <c r="AB1238" s="14">
        <f>IFERROR(IF(UPPER($E1238)="L",SUMPRODUCT(N1238:Y1238,$N$3:$Y$3,$N$2:$Y$2),SUMPRODUCT(N1238:Y1238,$N$4:$Y$4,$N$2:$Y$2))/(Z1238/($K1238*$L1238*$M1238)),"")</f>
        <v/>
      </c>
      <c r="AC1238" s="18" t="n"/>
    </row>
    <row r="1239">
      <c r="A1239" s="9" t="n">
        <v>607461</v>
      </c>
      <c r="B1239" s="9" t="inlineStr">
        <is>
          <t>Matt Beaty</t>
        </is>
      </c>
      <c r="C1239" s="9" t="inlineStr">
        <is>
          <t>KC</t>
        </is>
      </c>
      <c r="D1239" s="9" t="n">
        <v>34</v>
      </c>
      <c r="E1239" s="16" t="inlineStr">
        <is>
          <t>L</t>
        </is>
      </c>
      <c r="F1239" s="16" t="inlineStr">
        <is>
          <t>1B</t>
        </is>
      </c>
      <c r="G1239" s="9" t="n">
        <v>72</v>
      </c>
      <c r="H1239" s="9" t="n">
        <v>119</v>
      </c>
      <c r="I1239" s="9" t="inlineStr">
        <is>
          <t>Depth (no MLB PA)</t>
        </is>
      </c>
      <c r="J1239" s="16" t="inlineStr">
        <is>
          <t>Opening Day</t>
        </is>
      </c>
      <c r="K1239" s="11">
        <f>IFERROR(INDEX(Roles!$B$17:$B$20,MATCH(J1239,Roles!$A$17:$A$20,0)),1)</f>
        <v/>
      </c>
      <c r="L1239" s="17" t="n">
        <v>1</v>
      </c>
      <c r="M1239" s="11" t="n">
        <v>1</v>
      </c>
      <c r="N1239" s="17" t="n"/>
      <c r="O1239" s="17" t="n"/>
      <c r="P1239" s="17" t="n"/>
      <c r="Q1239" s="17" t="n"/>
      <c r="R1239" s="17" t="n"/>
      <c r="S1239" s="17" t="n"/>
      <c r="T1239" s="17" t="n"/>
      <c r="U1239" s="17" t="n"/>
      <c r="V1239" s="17" t="n"/>
      <c r="W1239" s="17" t="n"/>
      <c r="X1239" s="17" t="n"/>
      <c r="Y1239" s="17" t="n">
        <v>1</v>
      </c>
      <c r="Z1239" s="13">
        <f>SUMPRODUCT(N1239:Y1239,$N$2:$Y$2)*$K1239*$L1239*$M1239</f>
        <v/>
      </c>
      <c r="AA1239" s="14">
        <f>SUM(N1239:Y1239)</f>
        <v/>
      </c>
      <c r="AB1239" s="14">
        <f>IFERROR(IF(UPPER($E1239)="L",SUMPRODUCT(N1239:Y1239,$N$3:$Y$3,$N$2:$Y$2),SUMPRODUCT(N1239:Y1239,$N$4:$Y$4,$N$2:$Y$2))/(Z1239/($K1239*$L1239*$M1239)),"")</f>
        <v/>
      </c>
      <c r="AC1239" s="18" t="n"/>
    </row>
    <row r="1240">
      <c r="A1240" s="9" t="n">
        <v>829773</v>
      </c>
      <c r="B1240" s="9" t="inlineStr">
        <is>
          <t>Yovanny Duran</t>
        </is>
      </c>
      <c r="C1240" s="9" t="inlineStr">
        <is>
          <t>MIN</t>
        </is>
      </c>
      <c r="D1240" s="9" t="n">
        <v>20</v>
      </c>
      <c r="E1240" s="16" t="inlineStr">
        <is>
          <t>S</t>
        </is>
      </c>
      <c r="F1240" s="16" t="n"/>
      <c r="G1240" s="9" t="n">
        <v>10.09230769230769</v>
      </c>
      <c r="H1240" s="9" t="n">
        <v>10.09230769230769</v>
      </c>
      <c r="I1240" s="9" t="inlineStr">
        <is>
          <t>Depth (no MLB PA)</t>
        </is>
      </c>
      <c r="J1240" s="16" t="inlineStr">
        <is>
          <t>Opening Day</t>
        </is>
      </c>
      <c r="K1240" s="11">
        <f>IFERROR(INDEX(Roles!$B$17:$B$20,MATCH(J1240,Roles!$A$17:$A$20,0)),1)</f>
        <v/>
      </c>
      <c r="L1240" s="17" t="n">
        <v>1</v>
      </c>
      <c r="M1240" s="11" t="n">
        <v>1</v>
      </c>
      <c r="N1240" s="17" t="n"/>
      <c r="O1240" s="17" t="n"/>
      <c r="P1240" s="17" t="n"/>
      <c r="Q1240" s="17" t="n"/>
      <c r="R1240" s="17" t="n"/>
      <c r="S1240" s="17" t="n"/>
      <c r="T1240" s="17" t="n"/>
      <c r="U1240" s="17" t="n"/>
      <c r="V1240" s="17" t="n"/>
      <c r="W1240" s="17" t="n"/>
      <c r="X1240" s="17" t="n"/>
      <c r="Y1240" s="17" t="n">
        <v>1</v>
      </c>
      <c r="Z1240" s="13">
        <f>SUMPRODUCT(N1240:Y1240,$N$2:$Y$2)*$K1240*$L1240*$M1240</f>
        <v/>
      </c>
      <c r="AA1240" s="14">
        <f>SUM(N1240:Y1240)</f>
        <v/>
      </c>
      <c r="AB1240" s="14">
        <f>IFERROR(IF(UPPER($E1240)="L",SUMPRODUCT(N1240:Y1240,$N$3:$Y$3,$N$2:$Y$2),SUMPRODUCT(N1240:Y1240,$N$4:$Y$4,$N$2:$Y$2))/(Z1240/($K1240*$L1240*$M1240)),"")</f>
        <v/>
      </c>
      <c r="AC1240" s="18" t="n"/>
    </row>
    <row r="1241">
      <c r="A1241" s="9" t="n">
        <v>807277</v>
      </c>
      <c r="B1241" s="9" t="inlineStr">
        <is>
          <t>Nick Montgomery</t>
        </is>
      </c>
      <c r="C1241" s="9" t="inlineStr">
        <is>
          <t>ATL</t>
        </is>
      </c>
      <c r="D1241" s="9" t="n">
        <v>25</v>
      </c>
      <c r="E1241" s="16" t="inlineStr">
        <is>
          <t>R</t>
        </is>
      </c>
      <c r="F1241" s="16" t="n"/>
      <c r="G1241" s="9" t="n">
        <v>24.86153846153847</v>
      </c>
      <c r="H1241" s="9" t="n">
        <v>24.86153846153847</v>
      </c>
      <c r="I1241" s="9" t="inlineStr">
        <is>
          <t>Depth (no MLB PA)</t>
        </is>
      </c>
      <c r="J1241" s="16" t="inlineStr">
        <is>
          <t>Opening Day</t>
        </is>
      </c>
      <c r="K1241" s="11">
        <f>IFERROR(INDEX(Roles!$B$17:$B$20,MATCH(J1241,Roles!$A$17:$A$20,0)),1)</f>
        <v/>
      </c>
      <c r="L1241" s="17" t="n">
        <v>1</v>
      </c>
      <c r="M1241" s="11" t="n">
        <v>1</v>
      </c>
      <c r="N1241" s="17" t="n"/>
      <c r="O1241" s="17" t="n"/>
      <c r="P1241" s="17" t="n"/>
      <c r="Q1241" s="17" t="n"/>
      <c r="R1241" s="17" t="n"/>
      <c r="S1241" s="17" t="n"/>
      <c r="T1241" s="17" t="n"/>
      <c r="U1241" s="17" t="n"/>
      <c r="V1241" s="17" t="n"/>
      <c r="W1241" s="17" t="n"/>
      <c r="X1241" s="17" t="n"/>
      <c r="Y1241" s="17" t="n">
        <v>1</v>
      </c>
      <c r="Z1241" s="13">
        <f>SUMPRODUCT(N1241:Y1241,$N$2:$Y$2)*$K1241*$L1241*$M1241</f>
        <v/>
      </c>
      <c r="AA1241" s="14">
        <f>SUM(N1241:Y1241)</f>
        <v/>
      </c>
      <c r="AB1241" s="14">
        <f>IFERROR(IF(UPPER($E1241)="L",SUMPRODUCT(N1241:Y1241,$N$3:$Y$3,$N$2:$Y$2),SUMPRODUCT(N1241:Y1241,$N$4:$Y$4,$N$2:$Y$2))/(Z1241/($K1241*$L1241*$M1241)),"")</f>
        <v/>
      </c>
      <c r="AC1241" s="18" t="n"/>
    </row>
    <row r="1242">
      <c r="A1242" s="9" t="n">
        <v>691558</v>
      </c>
      <c r="B1242" s="9" t="inlineStr">
        <is>
          <t>Yeiner Fernandez</t>
        </is>
      </c>
      <c r="C1242" s="9" t="inlineStr">
        <is>
          <t>LAD</t>
        </is>
      </c>
      <c r="D1242" s="9" t="n">
        <v>25</v>
      </c>
      <c r="E1242" s="16" t="inlineStr">
        <is>
          <t>R</t>
        </is>
      </c>
      <c r="F1242" s="16" t="n"/>
      <c r="G1242" s="9" t="n">
        <v>8.256410256410257</v>
      </c>
      <c r="H1242" s="9" t="n">
        <v>8.256410256410257</v>
      </c>
      <c r="I1242" s="9" t="inlineStr">
        <is>
          <t>Depth (no MLB PA)</t>
        </is>
      </c>
      <c r="J1242" s="16" t="inlineStr">
        <is>
          <t>Opening Day</t>
        </is>
      </c>
      <c r="K1242" s="11">
        <f>IFERROR(INDEX(Roles!$B$17:$B$20,MATCH(J1242,Roles!$A$17:$A$20,0)),1)</f>
        <v/>
      </c>
      <c r="L1242" s="17" t="n">
        <v>1</v>
      </c>
      <c r="M1242" s="11" t="n">
        <v>1</v>
      </c>
      <c r="N1242" s="17" t="n"/>
      <c r="O1242" s="17" t="n"/>
      <c r="P1242" s="17" t="n"/>
      <c r="Q1242" s="17" t="n"/>
      <c r="R1242" s="17" t="n"/>
      <c r="S1242" s="17" t="n"/>
      <c r="T1242" s="17" t="n"/>
      <c r="U1242" s="17" t="n"/>
      <c r="V1242" s="17" t="n"/>
      <c r="W1242" s="17" t="n"/>
      <c r="X1242" s="17" t="n"/>
      <c r="Y1242" s="17" t="n">
        <v>1</v>
      </c>
      <c r="Z1242" s="13">
        <f>SUMPRODUCT(N1242:Y1242,$N$2:$Y$2)*$K1242*$L1242*$M1242</f>
        <v/>
      </c>
      <c r="AA1242" s="14">
        <f>SUM(N1242:Y1242)</f>
        <v/>
      </c>
      <c r="AB1242" s="14">
        <f>IFERROR(IF(UPPER($E1242)="L",SUMPRODUCT(N1242:Y1242,$N$3:$Y$3,$N$2:$Y$2),SUMPRODUCT(N1242:Y1242,$N$4:$Y$4,$N$2:$Y$2))/(Z1242/($K1242*$L1242*$M1242)),"")</f>
        <v/>
      </c>
      <c r="AC1242" s="18" t="n"/>
    </row>
    <row r="1243">
      <c r="A1243" s="9" t="n">
        <v>683427</v>
      </c>
      <c r="B1243" s="9" t="inlineStr">
        <is>
          <t>Omar Hernandez</t>
        </is>
      </c>
      <c r="C1243" s="9" t="inlineStr">
        <is>
          <t>KC</t>
        </is>
      </c>
      <c r="D1243" s="9" t="n">
        <v>25</v>
      </c>
      <c r="E1243" s="16" t="inlineStr">
        <is>
          <t>R</t>
        </is>
      </c>
      <c r="F1243" s="16" t="n"/>
      <c r="G1243" s="9" t="n">
        <v>24.25641025641026</v>
      </c>
      <c r="H1243" s="9" t="n">
        <v>24.25641025641026</v>
      </c>
      <c r="I1243" s="9" t="inlineStr">
        <is>
          <t>Depth (no MLB PA)</t>
        </is>
      </c>
      <c r="J1243" s="16" t="inlineStr">
        <is>
          <t>Opening Day</t>
        </is>
      </c>
      <c r="K1243" s="11">
        <f>IFERROR(INDEX(Roles!$B$17:$B$20,MATCH(J1243,Roles!$A$17:$A$20,0)),1)</f>
        <v/>
      </c>
      <c r="L1243" s="17" t="n">
        <v>1</v>
      </c>
      <c r="M1243" s="11" t="n">
        <v>1</v>
      </c>
      <c r="N1243" s="17" t="n"/>
      <c r="O1243" s="17" t="n"/>
      <c r="P1243" s="17" t="n"/>
      <c r="Q1243" s="17" t="n"/>
      <c r="R1243" s="17" t="n"/>
      <c r="S1243" s="17" t="n"/>
      <c r="T1243" s="17" t="n"/>
      <c r="U1243" s="17" t="n"/>
      <c r="V1243" s="17" t="n"/>
      <c r="W1243" s="17" t="n"/>
      <c r="X1243" s="17" t="n"/>
      <c r="Y1243" s="17" t="n">
        <v>1</v>
      </c>
      <c r="Z1243" s="13">
        <f>SUMPRODUCT(N1243:Y1243,$N$2:$Y$2)*$K1243*$L1243*$M1243</f>
        <v/>
      </c>
      <c r="AA1243" s="14">
        <f>SUM(N1243:Y1243)</f>
        <v/>
      </c>
      <c r="AB1243" s="14">
        <f>IFERROR(IF(UPPER($E1243)="L",SUMPRODUCT(N1243:Y1243,$N$3:$Y$3,$N$2:$Y$2),SUMPRODUCT(N1243:Y1243,$N$4:$Y$4,$N$2:$Y$2))/(Z1243/($K1243*$L1243*$M1243)),"")</f>
        <v/>
      </c>
      <c r="AC1243" s="18" t="n"/>
    </row>
    <row r="1244">
      <c r="A1244" s="9" t="n">
        <v>698927</v>
      </c>
      <c r="B1244" s="9" t="inlineStr">
        <is>
          <t>Edward Duran</t>
        </is>
      </c>
      <c r="C1244" s="9" t="inlineStr">
        <is>
          <t>TOR</t>
        </is>
      </c>
      <c r="D1244" s="9" t="n">
        <v>25</v>
      </c>
      <c r="E1244" s="16" t="inlineStr">
        <is>
          <t>R</t>
        </is>
      </c>
      <c r="F1244" s="16" t="n"/>
      <c r="G1244" s="9" t="n">
        <v>16.87179487179487</v>
      </c>
      <c r="H1244" s="9" t="n">
        <v>16.87179487179487</v>
      </c>
      <c r="I1244" s="9" t="inlineStr">
        <is>
          <t>Depth (no MLB PA)</t>
        </is>
      </c>
      <c r="J1244" s="16" t="inlineStr">
        <is>
          <t>Opening Day</t>
        </is>
      </c>
      <c r="K1244" s="11">
        <f>IFERROR(INDEX(Roles!$B$17:$B$20,MATCH(J1244,Roles!$A$17:$A$20,0)),1)</f>
        <v/>
      </c>
      <c r="L1244" s="17" t="n">
        <v>1</v>
      </c>
      <c r="M1244" s="11" t="n">
        <v>1</v>
      </c>
      <c r="N1244" s="17" t="n"/>
      <c r="O1244" s="17" t="n"/>
      <c r="P1244" s="17" t="n"/>
      <c r="Q1244" s="17" t="n"/>
      <c r="R1244" s="17" t="n"/>
      <c r="S1244" s="17" t="n"/>
      <c r="T1244" s="17" t="n"/>
      <c r="U1244" s="17" t="n"/>
      <c r="V1244" s="17" t="n"/>
      <c r="W1244" s="17" t="n"/>
      <c r="X1244" s="17" t="n"/>
      <c r="Y1244" s="17" t="n">
        <v>1</v>
      </c>
      <c r="Z1244" s="13">
        <f>SUMPRODUCT(N1244:Y1244,$N$2:$Y$2)*$K1244*$L1244*$M1244</f>
        <v/>
      </c>
      <c r="AA1244" s="14">
        <f>SUM(N1244:Y1244)</f>
        <v/>
      </c>
      <c r="AB1244" s="14">
        <f>IFERROR(IF(UPPER($E1244)="L",SUMPRODUCT(N1244:Y1244,$N$3:$Y$3,$N$2:$Y$2),SUMPRODUCT(N1244:Y1244,$N$4:$Y$4,$N$2:$Y$2))/(Z1244/($K1244*$L1244*$M1244)),"")</f>
        <v/>
      </c>
      <c r="AC1244" s="18" t="n"/>
    </row>
    <row r="1245">
      <c r="A1245" s="9" t="n">
        <v>814964</v>
      </c>
      <c r="B1245" s="9" t="inlineStr">
        <is>
          <t>Reece Moroney</t>
        </is>
      </c>
      <c r="C1245" s="9" t="inlineStr">
        <is>
          <t>PHI</t>
        </is>
      </c>
      <c r="D1245" s="9" t="n">
        <v>25</v>
      </c>
      <c r="E1245" s="16" t="inlineStr">
        <is>
          <t>R</t>
        </is>
      </c>
      <c r="F1245" s="16" t="n"/>
      <c r="G1245" s="9" t="n">
        <v>8.123076923076923</v>
      </c>
      <c r="H1245" s="9" t="n">
        <v>8.123076923076923</v>
      </c>
      <c r="I1245" s="9" t="inlineStr">
        <is>
          <t>Depth (no MLB PA)</t>
        </is>
      </c>
      <c r="J1245" s="16" t="inlineStr">
        <is>
          <t>Opening Day</t>
        </is>
      </c>
      <c r="K1245" s="11">
        <f>IFERROR(INDEX(Roles!$B$17:$B$20,MATCH(J1245,Roles!$A$17:$A$20,0)),1)</f>
        <v/>
      </c>
      <c r="L1245" s="17" t="n">
        <v>1</v>
      </c>
      <c r="M1245" s="11" t="n">
        <v>1</v>
      </c>
      <c r="N1245" s="17" t="n"/>
      <c r="O1245" s="17" t="n"/>
      <c r="P1245" s="17" t="n"/>
      <c r="Q1245" s="17" t="n"/>
      <c r="R1245" s="17" t="n"/>
      <c r="S1245" s="17" t="n"/>
      <c r="T1245" s="17" t="n"/>
      <c r="U1245" s="17" t="n"/>
      <c r="V1245" s="17" t="n"/>
      <c r="W1245" s="17" t="n"/>
      <c r="X1245" s="17" t="n"/>
      <c r="Y1245" s="17" t="n">
        <v>1</v>
      </c>
      <c r="Z1245" s="13">
        <f>SUMPRODUCT(N1245:Y1245,$N$2:$Y$2)*$K1245*$L1245*$M1245</f>
        <v/>
      </c>
      <c r="AA1245" s="14">
        <f>SUM(N1245:Y1245)</f>
        <v/>
      </c>
      <c r="AB1245" s="14">
        <f>IFERROR(IF(UPPER($E1245)="L",SUMPRODUCT(N1245:Y1245,$N$3:$Y$3,$N$2:$Y$2),SUMPRODUCT(N1245:Y1245,$N$4:$Y$4,$N$2:$Y$2))/(Z1245/($K1245*$L1245*$M1245)),"")</f>
        <v/>
      </c>
      <c r="AC1245" s="18" t="n"/>
    </row>
    <row r="1246">
      <c r="A1246" s="9" t="n">
        <v>836533</v>
      </c>
      <c r="B1246" s="9" t="inlineStr">
        <is>
          <t>Nick Monile</t>
        </is>
      </c>
      <c r="C1246" s="9" t="inlineStr">
        <is>
          <t>MIL</t>
        </is>
      </c>
      <c r="D1246" s="9" t="n">
        <v>25</v>
      </c>
      <c r="E1246" s="16" t="inlineStr">
        <is>
          <t>L</t>
        </is>
      </c>
      <c r="F1246" s="16" t="n"/>
      <c r="G1246" s="9" t="n">
        <v>10.09230769230769</v>
      </c>
      <c r="H1246" s="9" t="n">
        <v>10.09230769230769</v>
      </c>
      <c r="I1246" s="9" t="inlineStr">
        <is>
          <t>Depth (no MLB PA)</t>
        </is>
      </c>
      <c r="J1246" s="16" t="inlineStr">
        <is>
          <t>Opening Day</t>
        </is>
      </c>
      <c r="K1246" s="11">
        <f>IFERROR(INDEX(Roles!$B$17:$B$20,MATCH(J1246,Roles!$A$17:$A$20,0)),1)</f>
        <v/>
      </c>
      <c r="L1246" s="17" t="n">
        <v>1</v>
      </c>
      <c r="M1246" s="11" t="n">
        <v>1</v>
      </c>
      <c r="N1246" s="17" t="n"/>
      <c r="O1246" s="17" t="n"/>
      <c r="P1246" s="17" t="n"/>
      <c r="Q1246" s="17" t="n"/>
      <c r="R1246" s="17" t="n"/>
      <c r="S1246" s="17" t="n"/>
      <c r="T1246" s="17" t="n"/>
      <c r="U1246" s="17" t="n"/>
      <c r="V1246" s="17" t="n"/>
      <c r="W1246" s="17" t="n"/>
      <c r="X1246" s="17" t="n"/>
      <c r="Y1246" s="17" t="n">
        <v>1</v>
      </c>
      <c r="Z1246" s="13">
        <f>SUMPRODUCT(N1246:Y1246,$N$2:$Y$2)*$K1246*$L1246*$M1246</f>
        <v/>
      </c>
      <c r="AA1246" s="14">
        <f>SUM(N1246:Y1246)</f>
        <v/>
      </c>
      <c r="AB1246" s="14">
        <f>IFERROR(IF(UPPER($E1246)="L",SUMPRODUCT(N1246:Y1246,$N$3:$Y$3,$N$2:$Y$2),SUMPRODUCT(N1246:Y1246,$N$4:$Y$4,$N$2:$Y$2))/(Z1246/($K1246*$L1246*$M1246)),"")</f>
        <v/>
      </c>
      <c r="AC1246" s="18" t="n"/>
    </row>
    <row r="1247">
      <c r="A1247" s="9" t="n">
        <v>681355</v>
      </c>
      <c r="B1247" s="9" t="inlineStr">
        <is>
          <t>Andrew Cossetti</t>
        </is>
      </c>
      <c r="C1247" s="9" t="inlineStr">
        <is>
          <t>MIN</t>
        </is>
      </c>
      <c r="D1247" s="9" t="n">
        <v>25</v>
      </c>
      <c r="E1247" s="16" t="inlineStr">
        <is>
          <t>R</t>
        </is>
      </c>
      <c r="F1247" s="16" t="n"/>
      <c r="G1247" s="9" t="n">
        <v>159.7435897435897</v>
      </c>
      <c r="H1247" s="9" t="n">
        <v>159.7435897435897</v>
      </c>
      <c r="I1247" s="9" t="inlineStr">
        <is>
          <t>Depth (no MLB PA)</t>
        </is>
      </c>
      <c r="J1247" s="16" t="inlineStr">
        <is>
          <t>Opening Day</t>
        </is>
      </c>
      <c r="K1247" s="11">
        <f>IFERROR(INDEX(Roles!$B$17:$B$20,MATCH(J1247,Roles!$A$17:$A$20,0)),1)</f>
        <v/>
      </c>
      <c r="L1247" s="17" t="n">
        <v>1</v>
      </c>
      <c r="M1247" s="11" t="n">
        <v>1</v>
      </c>
      <c r="N1247" s="17" t="n"/>
      <c r="O1247" s="17" t="n"/>
      <c r="P1247" s="17" t="n"/>
      <c r="Q1247" s="17" t="n"/>
      <c r="R1247" s="17" t="n"/>
      <c r="S1247" s="17" t="n"/>
      <c r="T1247" s="17" t="n"/>
      <c r="U1247" s="17" t="n"/>
      <c r="V1247" s="17" t="n"/>
      <c r="W1247" s="17" t="n"/>
      <c r="X1247" s="17" t="n"/>
      <c r="Y1247" s="17" t="n">
        <v>1</v>
      </c>
      <c r="Z1247" s="13">
        <f>SUMPRODUCT(N1247:Y1247,$N$2:$Y$2)*$K1247*$L1247*$M1247</f>
        <v/>
      </c>
      <c r="AA1247" s="14">
        <f>SUM(N1247:Y1247)</f>
        <v/>
      </c>
      <c r="AB1247" s="14">
        <f>IFERROR(IF(UPPER($E1247)="L",SUMPRODUCT(N1247:Y1247,$N$3:$Y$3,$N$2:$Y$2),SUMPRODUCT(N1247:Y1247,$N$4:$Y$4,$N$2:$Y$2))/(Z1247/($K1247*$L1247*$M1247)),"")</f>
        <v/>
      </c>
      <c r="AC1247" s="18" t="n"/>
    </row>
    <row r="1248">
      <c r="A1248" s="9" t="n">
        <v>607067</v>
      </c>
      <c r="B1248" s="9" t="inlineStr">
        <is>
          <t>Colin Rea</t>
        </is>
      </c>
      <c r="C1248" s="9" t="inlineStr">
        <is>
          <t>CHC</t>
        </is>
      </c>
      <c r="D1248" s="9" t="n">
        <v>36</v>
      </c>
      <c r="E1248" s="16" t="inlineStr">
        <is>
          <t>R</t>
        </is>
      </c>
      <c r="F1248" s="16" t="inlineStr">
        <is>
          <t>P</t>
        </is>
      </c>
      <c r="G1248" s="9" t="n">
        <v>1</v>
      </c>
      <c r="H1248" s="9" t="n">
        <v>1</v>
      </c>
      <c r="I1248" s="9" t="inlineStr">
        <is>
          <t>Depth (no MLB PA)</t>
        </is>
      </c>
      <c r="J1248" s="16" t="inlineStr">
        <is>
          <t>Opening Day</t>
        </is>
      </c>
      <c r="K1248" s="11">
        <f>IFERROR(INDEX(Roles!$B$17:$B$20,MATCH(J1248,Roles!$A$17:$A$20,0)),1)</f>
        <v/>
      </c>
      <c r="L1248" s="17" t="n">
        <v>1</v>
      </c>
      <c r="M1248" s="11" t="n">
        <v>1</v>
      </c>
      <c r="N1248" s="17" t="n"/>
      <c r="O1248" s="17" t="n"/>
      <c r="P1248" s="17" t="n"/>
      <c r="Q1248" s="17" t="n"/>
      <c r="R1248" s="17" t="n"/>
      <c r="S1248" s="17" t="n"/>
      <c r="T1248" s="17" t="n"/>
      <c r="U1248" s="17" t="n"/>
      <c r="V1248" s="17" t="n"/>
      <c r="W1248" s="17" t="n"/>
      <c r="X1248" s="17" t="n"/>
      <c r="Y1248" s="17" t="n">
        <v>1</v>
      </c>
      <c r="Z1248" s="13">
        <f>SUMPRODUCT(N1248:Y1248,$N$2:$Y$2)*$K1248*$L1248*$M1248</f>
        <v/>
      </c>
      <c r="AA1248" s="14">
        <f>SUM(N1248:Y1248)</f>
        <v/>
      </c>
      <c r="AB1248" s="14">
        <f>IFERROR(IF(UPPER($E1248)="L",SUMPRODUCT(N1248:Y1248,$N$3:$Y$3,$N$2:$Y$2),SUMPRODUCT(N1248:Y1248,$N$4:$Y$4,$N$2:$Y$2))/(Z1248/($K1248*$L1248*$M1248)),"")</f>
        <v/>
      </c>
      <c r="AC1248" s="18" t="n"/>
    </row>
    <row r="1249">
      <c r="A1249" s="9" t="n">
        <v>829272</v>
      </c>
      <c r="B1249" s="9" t="inlineStr">
        <is>
          <t>Shinnosuke Ogasawara</t>
        </is>
      </c>
      <c r="C1249" s="9" t="inlineStr">
        <is>
          <t>WSH</t>
        </is>
      </c>
      <c r="D1249" s="9" t="n">
        <v>29</v>
      </c>
      <c r="E1249" s="16" t="inlineStr">
        <is>
          <t>L</t>
        </is>
      </c>
      <c r="F1249" s="16" t="inlineStr">
        <is>
          <t>P</t>
        </is>
      </c>
      <c r="G1249" s="9" t="n">
        <v>1</v>
      </c>
      <c r="H1249" s="9" t="n">
        <v>1</v>
      </c>
      <c r="I1249" s="9" t="inlineStr">
        <is>
          <t>Depth (no MLB PA)</t>
        </is>
      </c>
      <c r="J1249" s="16" t="inlineStr">
        <is>
          <t>Opening Day</t>
        </is>
      </c>
      <c r="K1249" s="11">
        <f>IFERROR(INDEX(Roles!$B$17:$B$20,MATCH(J1249,Roles!$A$17:$A$20,0)),1)</f>
        <v/>
      </c>
      <c r="L1249" s="17" t="n">
        <v>1</v>
      </c>
      <c r="M1249" s="11" t="n">
        <v>1</v>
      </c>
      <c r="N1249" s="17" t="n"/>
      <c r="O1249" s="17" t="n"/>
      <c r="P1249" s="17" t="n"/>
      <c r="Q1249" s="17" t="n"/>
      <c r="R1249" s="17" t="n"/>
      <c r="S1249" s="17" t="n"/>
      <c r="T1249" s="17" t="n"/>
      <c r="U1249" s="17" t="n"/>
      <c r="V1249" s="17" t="n"/>
      <c r="W1249" s="17" t="n"/>
      <c r="X1249" s="17" t="n"/>
      <c r="Y1249" s="17" t="n">
        <v>1</v>
      </c>
      <c r="Z1249" s="13">
        <f>SUMPRODUCT(N1249:Y1249,$N$2:$Y$2)*$K1249*$L1249*$M1249</f>
        <v/>
      </c>
      <c r="AA1249" s="14">
        <f>SUM(N1249:Y1249)</f>
        <v/>
      </c>
      <c r="AB1249" s="14">
        <f>IFERROR(IF(UPPER($E1249)="L",SUMPRODUCT(N1249:Y1249,$N$3:$Y$3,$N$2:$Y$2),SUMPRODUCT(N1249:Y1249,$N$4:$Y$4,$N$2:$Y$2))/(Z1249/($K1249*$L1249*$M1249)),"")</f>
        <v/>
      </c>
      <c r="AC1249" s="18" t="n"/>
    </row>
    <row r="1250">
      <c r="A1250" s="9" t="n">
        <v>683004</v>
      </c>
      <c r="B1250" s="9" t="inlineStr">
        <is>
          <t>Jack Leiter</t>
        </is>
      </c>
      <c r="C1250" s="9" t="inlineStr">
        <is>
          <t>TEX</t>
        </is>
      </c>
      <c r="D1250" s="9" t="n">
        <v>27</v>
      </c>
      <c r="E1250" s="16" t="inlineStr">
        <is>
          <t>R</t>
        </is>
      </c>
      <c r="F1250" s="16" t="inlineStr">
        <is>
          <t>P</t>
        </is>
      </c>
      <c r="G1250" s="9" t="n">
        <v>1</v>
      </c>
      <c r="H1250" s="9" t="n">
        <v>1</v>
      </c>
      <c r="I1250" s="9" t="inlineStr">
        <is>
          <t>Depth (no MLB PA)</t>
        </is>
      </c>
      <c r="J1250" s="16" t="inlineStr">
        <is>
          <t>Opening Day</t>
        </is>
      </c>
      <c r="K1250" s="11">
        <f>IFERROR(INDEX(Roles!$B$17:$B$20,MATCH(J1250,Roles!$A$17:$A$20,0)),1)</f>
        <v/>
      </c>
      <c r="L1250" s="17" t="n">
        <v>1</v>
      </c>
      <c r="M1250" s="11" t="n">
        <v>1</v>
      </c>
      <c r="N1250" s="17" t="n"/>
      <c r="O1250" s="17" t="n"/>
      <c r="P1250" s="17" t="n"/>
      <c r="Q1250" s="17" t="n"/>
      <c r="R1250" s="17" t="n"/>
      <c r="S1250" s="17" t="n"/>
      <c r="T1250" s="17" t="n"/>
      <c r="U1250" s="17" t="n"/>
      <c r="V1250" s="17" t="n"/>
      <c r="W1250" s="17" t="n"/>
      <c r="X1250" s="17" t="n"/>
      <c r="Y1250" s="17" t="n">
        <v>1</v>
      </c>
      <c r="Z1250" s="13">
        <f>SUMPRODUCT(N1250:Y1250,$N$2:$Y$2)*$K1250*$L1250*$M1250</f>
        <v/>
      </c>
      <c r="AA1250" s="14">
        <f>SUM(N1250:Y1250)</f>
        <v/>
      </c>
      <c r="AB1250" s="14">
        <f>IFERROR(IF(UPPER($E1250)="L",SUMPRODUCT(N1250:Y1250,$N$3:$Y$3,$N$2:$Y$2),SUMPRODUCT(N1250:Y1250,$N$4:$Y$4,$N$2:$Y$2))/(Z1250/($K1250*$L1250*$M1250)),"")</f>
        <v/>
      </c>
      <c r="AC1250" s="18" t="n"/>
    </row>
    <row r="1251">
      <c r="A1251" s="9" t="n">
        <v>694732</v>
      </c>
      <c r="B1251" s="9" t="inlineStr">
        <is>
          <t>Clayton Gray</t>
        </is>
      </c>
      <c r="C1251" s="9" t="inlineStr">
        <is>
          <t>COL</t>
        </is>
      </c>
      <c r="D1251" s="9" t="n">
        <v>25</v>
      </c>
      <c r="E1251" s="16" t="inlineStr">
        <is>
          <t>L</t>
        </is>
      </c>
      <c r="F1251" s="16" t="n"/>
      <c r="G1251" s="9" t="n">
        <v>16.61538461538462</v>
      </c>
      <c r="H1251" s="9" t="n">
        <v>16.61538461538462</v>
      </c>
      <c r="I1251" s="9" t="inlineStr">
        <is>
          <t>Depth (no MLB PA)</t>
        </is>
      </c>
      <c r="J1251" s="16" t="inlineStr">
        <is>
          <t>Opening Day</t>
        </is>
      </c>
      <c r="K1251" s="11">
        <f>IFERROR(INDEX(Roles!$B$17:$B$20,MATCH(J1251,Roles!$A$17:$A$20,0)),1)</f>
        <v/>
      </c>
      <c r="L1251" s="17" t="n">
        <v>1</v>
      </c>
      <c r="M1251" s="11" t="n">
        <v>1</v>
      </c>
      <c r="N1251" s="17" t="n"/>
      <c r="O1251" s="17" t="n"/>
      <c r="P1251" s="17" t="n"/>
      <c r="Q1251" s="17" t="n"/>
      <c r="R1251" s="17" t="n"/>
      <c r="S1251" s="17" t="n"/>
      <c r="T1251" s="17" t="n"/>
      <c r="U1251" s="17" t="n"/>
      <c r="V1251" s="17" t="n"/>
      <c r="W1251" s="17" t="n"/>
      <c r="X1251" s="17" t="n"/>
      <c r="Y1251" s="17" t="n">
        <v>1</v>
      </c>
      <c r="Z1251" s="13">
        <f>SUMPRODUCT(N1251:Y1251,$N$2:$Y$2)*$K1251*$L1251*$M1251</f>
        <v/>
      </c>
      <c r="AA1251" s="14">
        <f>SUM(N1251:Y1251)</f>
        <v/>
      </c>
      <c r="AB1251" s="14">
        <f>IFERROR(IF(UPPER($E1251)="L",SUMPRODUCT(N1251:Y1251,$N$3:$Y$3,$N$2:$Y$2),SUMPRODUCT(N1251:Y1251,$N$4:$Y$4,$N$2:$Y$2))/(Z1251/($K1251*$L1251*$M1251)),"")</f>
        <v/>
      </c>
      <c r="AC1251" s="18" t="n"/>
    </row>
    <row r="1252">
      <c r="A1252" s="9" t="n">
        <v>692039</v>
      </c>
      <c r="B1252" s="9" t="inlineStr">
        <is>
          <t>Carlos Jimenez</t>
        </is>
      </c>
      <c r="C1252" s="9" t="inlineStr">
        <is>
          <t>SEA</t>
        </is>
      </c>
      <c r="D1252" s="9" t="n">
        <v>25</v>
      </c>
      <c r="E1252" s="16" t="inlineStr">
        <is>
          <t>L</t>
        </is>
      </c>
      <c r="F1252" s="16" t="n"/>
      <c r="G1252" s="9" t="n">
        <v>92.1025641025641</v>
      </c>
      <c r="H1252" s="9" t="n">
        <v>92.1025641025641</v>
      </c>
      <c r="I1252" s="9" t="inlineStr">
        <is>
          <t>Depth (no MLB PA)</t>
        </is>
      </c>
      <c r="J1252" s="16" t="inlineStr">
        <is>
          <t>Opening Day</t>
        </is>
      </c>
      <c r="K1252" s="11">
        <f>IFERROR(INDEX(Roles!$B$17:$B$20,MATCH(J1252,Roles!$A$17:$A$20,0)),1)</f>
        <v/>
      </c>
      <c r="L1252" s="17" t="n">
        <v>1</v>
      </c>
      <c r="M1252" s="11" t="n">
        <v>1</v>
      </c>
      <c r="N1252" s="17" t="n"/>
      <c r="O1252" s="17" t="n"/>
      <c r="P1252" s="17" t="n"/>
      <c r="Q1252" s="17" t="n"/>
      <c r="R1252" s="17" t="n"/>
      <c r="S1252" s="17" t="n"/>
      <c r="T1252" s="17" t="n"/>
      <c r="U1252" s="17" t="n"/>
      <c r="V1252" s="17" t="n"/>
      <c r="W1252" s="17" t="n"/>
      <c r="X1252" s="17" t="n"/>
      <c r="Y1252" s="17" t="n">
        <v>1</v>
      </c>
      <c r="Z1252" s="13">
        <f>SUMPRODUCT(N1252:Y1252,$N$2:$Y$2)*$K1252*$L1252*$M1252</f>
        <v/>
      </c>
      <c r="AA1252" s="14">
        <f>SUM(N1252:Y1252)</f>
        <v/>
      </c>
      <c r="AB1252" s="14">
        <f>IFERROR(IF(UPPER($E1252)="L",SUMPRODUCT(N1252:Y1252,$N$3:$Y$3,$N$2:$Y$2),SUMPRODUCT(N1252:Y1252,$N$4:$Y$4,$N$2:$Y$2))/(Z1252/($K1252*$L1252*$M1252)),"")</f>
        <v/>
      </c>
      <c r="AC1252" s="18" t="n"/>
    </row>
    <row r="1253">
      <c r="A1253" s="9" t="n">
        <v>660634</v>
      </c>
      <c r="B1253" s="9" t="inlineStr">
        <is>
          <t>Yonny Hernández</t>
        </is>
      </c>
      <c r="C1253" s="9" t="inlineStr">
        <is>
          <t>LAD</t>
        </is>
      </c>
      <c r="D1253" s="9" t="n">
        <v>29</v>
      </c>
      <c r="E1253" s="16" t="inlineStr">
        <is>
          <t>S</t>
        </is>
      </c>
      <c r="F1253" s="16" t="inlineStr">
        <is>
          <t>2B</t>
        </is>
      </c>
      <c r="G1253" s="9" t="n">
        <v>27</v>
      </c>
      <c r="H1253" s="9" t="n">
        <v>55</v>
      </c>
      <c r="I1253" s="9" t="inlineStr">
        <is>
          <t>Depth (no MLB PA)</t>
        </is>
      </c>
      <c r="J1253" s="16" t="inlineStr">
        <is>
          <t>Opening Day</t>
        </is>
      </c>
      <c r="K1253" s="11">
        <f>IFERROR(INDEX(Roles!$B$17:$B$20,MATCH(J1253,Roles!$A$17:$A$20,0)),1)</f>
        <v/>
      </c>
      <c r="L1253" s="17" t="n">
        <v>1</v>
      </c>
      <c r="M1253" s="11" t="n">
        <v>1</v>
      </c>
      <c r="N1253" s="17" t="n"/>
      <c r="O1253" s="17" t="n"/>
      <c r="P1253" s="17" t="n"/>
      <c r="Q1253" s="17" t="n"/>
      <c r="R1253" s="17" t="n"/>
      <c r="S1253" s="17" t="n"/>
      <c r="T1253" s="17" t="n"/>
      <c r="U1253" s="17" t="n"/>
      <c r="V1253" s="17" t="n"/>
      <c r="W1253" s="17" t="n"/>
      <c r="X1253" s="17" t="n"/>
      <c r="Y1253" s="17" t="n">
        <v>1</v>
      </c>
      <c r="Z1253" s="13">
        <f>SUMPRODUCT(N1253:Y1253,$N$2:$Y$2)*$K1253*$L1253*$M1253</f>
        <v/>
      </c>
      <c r="AA1253" s="14">
        <f>SUM(N1253:Y1253)</f>
        <v/>
      </c>
      <c r="AB1253" s="14">
        <f>IFERROR(IF(UPPER($E1253)="L",SUMPRODUCT(N1253:Y1253,$N$3:$Y$3,$N$2:$Y$2),SUMPRODUCT(N1253:Y1253,$N$4:$Y$4,$N$2:$Y$2))/(Z1253/($K1253*$L1253*$M1253)),"")</f>
        <v/>
      </c>
      <c r="AC1253" s="18" t="n"/>
    </row>
    <row r="1254">
      <c r="A1254" s="9" t="n">
        <v>805810</v>
      </c>
      <c r="B1254" s="9" t="inlineStr">
        <is>
          <t>Blake Mitchell</t>
        </is>
      </c>
      <c r="C1254" s="9" t="inlineStr">
        <is>
          <t>KC</t>
        </is>
      </c>
      <c r="D1254" s="9" t="n">
        <v>25</v>
      </c>
      <c r="E1254" s="16" t="inlineStr">
        <is>
          <t>L</t>
        </is>
      </c>
      <c r="F1254" s="16" t="n"/>
      <c r="G1254" s="9" t="n">
        <v>101.3333333333333</v>
      </c>
      <c r="H1254" s="9" t="n">
        <v>101.3333333333333</v>
      </c>
      <c r="I1254" s="9" t="inlineStr">
        <is>
          <t>Depth (no MLB PA)</t>
        </is>
      </c>
      <c r="J1254" s="16" t="inlineStr">
        <is>
          <t>Opening Day</t>
        </is>
      </c>
      <c r="K1254" s="11">
        <f>IFERROR(INDEX(Roles!$B$17:$B$20,MATCH(J1254,Roles!$A$17:$A$20,0)),1)</f>
        <v/>
      </c>
      <c r="L1254" s="17" t="n">
        <v>1</v>
      </c>
      <c r="M1254" s="11" t="n">
        <v>1</v>
      </c>
      <c r="N1254" s="17" t="n"/>
      <c r="O1254" s="17" t="n"/>
      <c r="P1254" s="17" t="n"/>
      <c r="Q1254" s="17" t="n"/>
      <c r="R1254" s="17" t="n"/>
      <c r="S1254" s="17" t="n"/>
      <c r="T1254" s="17" t="n"/>
      <c r="U1254" s="17" t="n"/>
      <c r="V1254" s="17" t="n"/>
      <c r="W1254" s="17" t="n"/>
      <c r="X1254" s="17" t="n"/>
      <c r="Y1254" s="17" t="n">
        <v>1</v>
      </c>
      <c r="Z1254" s="13">
        <f>SUMPRODUCT(N1254:Y1254,$N$2:$Y$2)*$K1254*$L1254*$M1254</f>
        <v/>
      </c>
      <c r="AA1254" s="14">
        <f>SUM(N1254:Y1254)</f>
        <v/>
      </c>
      <c r="AB1254" s="14">
        <f>IFERROR(IF(UPPER($E1254)="L",SUMPRODUCT(N1254:Y1254,$N$3:$Y$3,$N$2:$Y$2),SUMPRODUCT(N1254:Y1254,$N$4:$Y$4,$N$2:$Y$2))/(Z1254/($K1254*$L1254*$M1254)),"")</f>
        <v/>
      </c>
      <c r="AC1254" s="18" t="n"/>
    </row>
    <row r="1255">
      <c r="A1255" s="9" t="n">
        <v>806986</v>
      </c>
      <c r="B1255" s="9" t="inlineStr">
        <is>
          <t>Raymond Mola</t>
        </is>
      </c>
      <c r="C1255" s="9" t="inlineStr">
        <is>
          <t>PIT</t>
        </is>
      </c>
      <c r="D1255" s="9" t="n">
        <v>25</v>
      </c>
      <c r="E1255" s="16" t="inlineStr">
        <is>
          <t>R</t>
        </is>
      </c>
      <c r="F1255" s="16" t="n"/>
      <c r="G1255" s="9" t="n">
        <v>8.246153846153845</v>
      </c>
      <c r="H1255" s="9" t="n">
        <v>8.246153846153845</v>
      </c>
      <c r="I1255" s="9" t="inlineStr">
        <is>
          <t>Depth (no MLB PA)</t>
        </is>
      </c>
      <c r="J1255" s="16" t="inlineStr">
        <is>
          <t>Opening Day</t>
        </is>
      </c>
      <c r="K1255" s="11">
        <f>IFERROR(INDEX(Roles!$B$17:$B$20,MATCH(J1255,Roles!$A$17:$A$20,0)),1)</f>
        <v/>
      </c>
      <c r="L1255" s="17" t="n">
        <v>1</v>
      </c>
      <c r="M1255" s="11" t="n">
        <v>1</v>
      </c>
      <c r="N1255" s="17" t="n"/>
      <c r="O1255" s="17" t="n"/>
      <c r="P1255" s="17" t="n"/>
      <c r="Q1255" s="17" t="n"/>
      <c r="R1255" s="17" t="n"/>
      <c r="S1255" s="17" t="n"/>
      <c r="T1255" s="17" t="n"/>
      <c r="U1255" s="17" t="n"/>
      <c r="V1255" s="17" t="n"/>
      <c r="W1255" s="17" t="n"/>
      <c r="X1255" s="17" t="n"/>
      <c r="Y1255" s="17" t="n">
        <v>1</v>
      </c>
      <c r="Z1255" s="13">
        <f>SUMPRODUCT(N1255:Y1255,$N$2:$Y$2)*$K1255*$L1255*$M1255</f>
        <v/>
      </c>
      <c r="AA1255" s="14">
        <f>SUM(N1255:Y1255)</f>
        <v/>
      </c>
      <c r="AB1255" s="14">
        <f>IFERROR(IF(UPPER($E1255)="L",SUMPRODUCT(N1255:Y1255,$N$3:$Y$3,$N$2:$Y$2),SUMPRODUCT(N1255:Y1255,$N$4:$Y$4,$N$2:$Y$2))/(Z1255/($K1255*$L1255*$M1255)),"")</f>
        <v/>
      </c>
      <c r="AC1255" s="18" t="n"/>
    </row>
    <row r="1256">
      <c r="A1256" s="9" t="n">
        <v>800204</v>
      </c>
      <c r="B1256" s="9" t="inlineStr">
        <is>
          <t>Derek Bernard</t>
        </is>
      </c>
      <c r="C1256" s="9" t="inlineStr">
        <is>
          <t>COL</t>
        </is>
      </c>
      <c r="D1256" s="9" t="n">
        <v>25</v>
      </c>
      <c r="E1256" s="16" t="inlineStr">
        <is>
          <t>L</t>
        </is>
      </c>
      <c r="F1256" s="16" t="n"/>
      <c r="G1256" s="9" t="n">
        <v>12.51282051282051</v>
      </c>
      <c r="H1256" s="9" t="n">
        <v>12.51282051282051</v>
      </c>
      <c r="I1256" s="9" t="inlineStr">
        <is>
          <t>Depth (no MLB PA)</t>
        </is>
      </c>
      <c r="J1256" s="16" t="inlineStr">
        <is>
          <t>Opening Day</t>
        </is>
      </c>
      <c r="K1256" s="11">
        <f>IFERROR(INDEX(Roles!$B$17:$B$20,MATCH(J1256,Roles!$A$17:$A$20,0)),1)</f>
        <v/>
      </c>
      <c r="L1256" s="17" t="n">
        <v>1</v>
      </c>
      <c r="M1256" s="11" t="n">
        <v>1</v>
      </c>
      <c r="N1256" s="17" t="n"/>
      <c r="O1256" s="17" t="n"/>
      <c r="P1256" s="17" t="n"/>
      <c r="Q1256" s="17" t="n"/>
      <c r="R1256" s="17" t="n"/>
      <c r="S1256" s="17" t="n"/>
      <c r="T1256" s="17" t="n"/>
      <c r="U1256" s="17" t="n"/>
      <c r="V1256" s="17" t="n"/>
      <c r="W1256" s="17" t="n"/>
      <c r="X1256" s="17" t="n"/>
      <c r="Y1256" s="17" t="n">
        <v>1</v>
      </c>
      <c r="Z1256" s="13">
        <f>SUMPRODUCT(N1256:Y1256,$N$2:$Y$2)*$K1256*$L1256*$M1256</f>
        <v/>
      </c>
      <c r="AA1256" s="14">
        <f>SUM(N1256:Y1256)</f>
        <v/>
      </c>
      <c r="AB1256" s="14">
        <f>IFERROR(IF(UPPER($E1256)="L",SUMPRODUCT(N1256:Y1256,$N$3:$Y$3,$N$2:$Y$2),SUMPRODUCT(N1256:Y1256,$N$4:$Y$4,$N$2:$Y$2))/(Z1256/($K1256*$L1256*$M1256)),"")</f>
        <v/>
      </c>
      <c r="AC1256" s="18" t="n"/>
    </row>
    <row r="1257">
      <c r="A1257" s="9" t="n">
        <v>678232</v>
      </c>
      <c r="B1257" s="9" t="inlineStr">
        <is>
          <t>Jesus Valdez</t>
        </is>
      </c>
      <c r="C1257" s="9" t="inlineStr">
        <is>
          <t>ARI</t>
        </is>
      </c>
      <c r="D1257" s="9" t="n">
        <v>25</v>
      </c>
      <c r="E1257" s="16" t="inlineStr">
        <is>
          <t>R</t>
        </is>
      </c>
      <c r="F1257" s="16" t="n"/>
      <c r="G1257" s="9" t="n">
        <v>8.461538461538462</v>
      </c>
      <c r="H1257" s="9" t="n">
        <v>8.461538461538462</v>
      </c>
      <c r="I1257" s="9" t="inlineStr">
        <is>
          <t>Depth (no MLB PA)</t>
        </is>
      </c>
      <c r="J1257" s="16" t="inlineStr">
        <is>
          <t>Opening Day</t>
        </is>
      </c>
      <c r="K1257" s="11">
        <f>IFERROR(INDEX(Roles!$B$17:$B$20,MATCH(J1257,Roles!$A$17:$A$20,0)),1)</f>
        <v/>
      </c>
      <c r="L1257" s="17" t="n">
        <v>1</v>
      </c>
      <c r="M1257" s="11" t="n">
        <v>1</v>
      </c>
      <c r="N1257" s="17" t="n"/>
      <c r="O1257" s="17" t="n"/>
      <c r="P1257" s="17" t="n"/>
      <c r="Q1257" s="17" t="n"/>
      <c r="R1257" s="17" t="n"/>
      <c r="S1257" s="17" t="n"/>
      <c r="T1257" s="17" t="n"/>
      <c r="U1257" s="17" t="n"/>
      <c r="V1257" s="17" t="n"/>
      <c r="W1257" s="17" t="n"/>
      <c r="X1257" s="17" t="n"/>
      <c r="Y1257" s="17" t="n">
        <v>1</v>
      </c>
      <c r="Z1257" s="13">
        <f>SUMPRODUCT(N1257:Y1257,$N$2:$Y$2)*$K1257*$L1257*$M1257</f>
        <v/>
      </c>
      <c r="AA1257" s="14">
        <f>SUM(N1257:Y1257)</f>
        <v/>
      </c>
      <c r="AB1257" s="14">
        <f>IFERROR(IF(UPPER($E1257)="L",SUMPRODUCT(N1257:Y1257,$N$3:$Y$3,$N$2:$Y$2),SUMPRODUCT(N1257:Y1257,$N$4:$Y$4,$N$2:$Y$2))/(Z1257/($K1257*$L1257*$M1257)),"")</f>
        <v/>
      </c>
      <c r="AC1257" s="18" t="n"/>
    </row>
    <row r="1258">
      <c r="A1258" s="9" t="n">
        <v>829741</v>
      </c>
      <c r="B1258" s="9" t="inlineStr">
        <is>
          <t>Sebastian Dos Santos</t>
        </is>
      </c>
      <c r="C1258" s="9" t="inlineStr">
        <is>
          <t>STL</t>
        </is>
      </c>
      <c r="D1258" s="9" t="n">
        <v>19</v>
      </c>
      <c r="E1258" s="16" t="inlineStr">
        <is>
          <t>S</t>
        </is>
      </c>
      <c r="F1258" s="16" t="n"/>
      <c r="G1258" s="9" t="n">
        <v>29.9076923076923</v>
      </c>
      <c r="H1258" s="9" t="n">
        <v>29.9076923076923</v>
      </c>
      <c r="I1258" s="9" t="inlineStr">
        <is>
          <t>Depth (no MLB PA)</t>
        </is>
      </c>
      <c r="J1258" s="16" t="inlineStr">
        <is>
          <t>Opening Day</t>
        </is>
      </c>
      <c r="K1258" s="11">
        <f>IFERROR(INDEX(Roles!$B$17:$B$20,MATCH(J1258,Roles!$A$17:$A$20,0)),1)</f>
        <v/>
      </c>
      <c r="L1258" s="17" t="n">
        <v>1</v>
      </c>
      <c r="M1258" s="11" t="n">
        <v>1</v>
      </c>
      <c r="N1258" s="17" t="n"/>
      <c r="O1258" s="17" t="n"/>
      <c r="P1258" s="17" t="n"/>
      <c r="Q1258" s="17" t="n"/>
      <c r="R1258" s="17" t="n"/>
      <c r="S1258" s="17" t="n"/>
      <c r="T1258" s="17" t="n"/>
      <c r="U1258" s="17" t="n"/>
      <c r="V1258" s="17" t="n"/>
      <c r="W1258" s="17" t="n"/>
      <c r="X1258" s="17" t="n"/>
      <c r="Y1258" s="17" t="n">
        <v>1</v>
      </c>
      <c r="Z1258" s="13">
        <f>SUMPRODUCT(N1258:Y1258,$N$2:$Y$2)*$K1258*$L1258*$M1258</f>
        <v/>
      </c>
      <c r="AA1258" s="14">
        <f>SUM(N1258:Y1258)</f>
        <v/>
      </c>
      <c r="AB1258" s="14">
        <f>IFERROR(IF(UPPER($E1258)="L",SUMPRODUCT(N1258:Y1258,$N$3:$Y$3,$N$2:$Y$2),SUMPRODUCT(N1258:Y1258,$N$4:$Y$4,$N$2:$Y$2))/(Z1258/($K1258*$L1258*$M1258)),"")</f>
        <v/>
      </c>
      <c r="AC1258" s="18" t="n"/>
    </row>
    <row r="1259">
      <c r="A1259" s="9" t="n">
        <v>809719</v>
      </c>
      <c r="B1259" s="9" t="inlineStr">
        <is>
          <t>Austin Green</t>
        </is>
      </c>
      <c r="C1259" s="9" t="inlineStr">
        <is>
          <t>NYY</t>
        </is>
      </c>
      <c r="D1259" s="9" t="n">
        <v>25</v>
      </c>
      <c r="E1259" s="16" t="inlineStr">
        <is>
          <t>S</t>
        </is>
      </c>
      <c r="F1259" s="16" t="n"/>
      <c r="G1259" s="9" t="n">
        <v>10.70769230769231</v>
      </c>
      <c r="H1259" s="9" t="n">
        <v>10.70769230769231</v>
      </c>
      <c r="I1259" s="9" t="inlineStr">
        <is>
          <t>Depth (no MLB PA)</t>
        </is>
      </c>
      <c r="J1259" s="16" t="inlineStr">
        <is>
          <t>Opening Day</t>
        </is>
      </c>
      <c r="K1259" s="11">
        <f>IFERROR(INDEX(Roles!$B$17:$B$20,MATCH(J1259,Roles!$A$17:$A$20,0)),1)</f>
        <v/>
      </c>
      <c r="L1259" s="17" t="n">
        <v>1</v>
      </c>
      <c r="M1259" s="11" t="n">
        <v>1</v>
      </c>
      <c r="N1259" s="17" t="n"/>
      <c r="O1259" s="17" t="n"/>
      <c r="P1259" s="17" t="n"/>
      <c r="Q1259" s="17" t="n"/>
      <c r="R1259" s="17" t="n"/>
      <c r="S1259" s="17" t="n"/>
      <c r="T1259" s="17" t="n"/>
      <c r="U1259" s="17" t="n"/>
      <c r="V1259" s="17" t="n"/>
      <c r="W1259" s="17" t="n"/>
      <c r="X1259" s="17" t="n"/>
      <c r="Y1259" s="17" t="n">
        <v>1</v>
      </c>
      <c r="Z1259" s="13">
        <f>SUMPRODUCT(N1259:Y1259,$N$2:$Y$2)*$K1259*$L1259*$M1259</f>
        <v/>
      </c>
      <c r="AA1259" s="14">
        <f>SUM(N1259:Y1259)</f>
        <v/>
      </c>
      <c r="AB1259" s="14">
        <f>IFERROR(IF(UPPER($E1259)="L",SUMPRODUCT(N1259:Y1259,$N$3:$Y$3,$N$2:$Y$2),SUMPRODUCT(N1259:Y1259,$N$4:$Y$4,$N$2:$Y$2))/(Z1259/($K1259*$L1259*$M1259)),"")</f>
        <v/>
      </c>
      <c r="AC1259" s="18" t="n"/>
    </row>
    <row r="1260">
      <c r="A1260" s="9" t="n">
        <v>839366</v>
      </c>
      <c r="B1260" s="9" t="inlineStr">
        <is>
          <t>Charlie Scholvin</t>
        </is>
      </c>
      <c r="C1260" s="9" t="inlineStr">
        <is>
          <t>MIN</t>
        </is>
      </c>
      <c r="D1260" s="9" t="n">
        <v>25</v>
      </c>
      <c r="E1260" s="16" t="inlineStr">
        <is>
          <t>R</t>
        </is>
      </c>
      <c r="F1260" s="16" t="n"/>
      <c r="G1260" s="9" t="n">
        <v>8.615384615384615</v>
      </c>
      <c r="H1260" s="9" t="n">
        <v>8.615384615384615</v>
      </c>
      <c r="I1260" s="9" t="inlineStr">
        <is>
          <t>Depth (no MLB PA)</t>
        </is>
      </c>
      <c r="J1260" s="16" t="inlineStr">
        <is>
          <t>Opening Day</t>
        </is>
      </c>
      <c r="K1260" s="11">
        <f>IFERROR(INDEX(Roles!$B$17:$B$20,MATCH(J1260,Roles!$A$17:$A$20,0)),1)</f>
        <v/>
      </c>
      <c r="L1260" s="17" t="n">
        <v>1</v>
      </c>
      <c r="M1260" s="11" t="n">
        <v>1</v>
      </c>
      <c r="N1260" s="17" t="n"/>
      <c r="O1260" s="17" t="n"/>
      <c r="P1260" s="17" t="n"/>
      <c r="Q1260" s="17" t="n"/>
      <c r="R1260" s="17" t="n"/>
      <c r="S1260" s="17" t="n"/>
      <c r="T1260" s="17" t="n"/>
      <c r="U1260" s="17" t="n"/>
      <c r="V1260" s="17" t="n"/>
      <c r="W1260" s="17" t="n"/>
      <c r="X1260" s="17" t="n"/>
      <c r="Y1260" s="17" t="n">
        <v>1</v>
      </c>
      <c r="Z1260" s="13">
        <f>SUMPRODUCT(N1260:Y1260,$N$2:$Y$2)*$K1260*$L1260*$M1260</f>
        <v/>
      </c>
      <c r="AA1260" s="14">
        <f>SUM(N1260:Y1260)</f>
        <v/>
      </c>
      <c r="AB1260" s="14">
        <f>IFERROR(IF(UPPER($E1260)="L",SUMPRODUCT(N1260:Y1260,$N$3:$Y$3,$N$2:$Y$2),SUMPRODUCT(N1260:Y1260,$N$4:$Y$4,$N$2:$Y$2))/(Z1260/($K1260*$L1260*$M1260)),"")</f>
        <v/>
      </c>
      <c r="AC1260" s="18" t="n"/>
    </row>
    <row r="1261">
      <c r="A1261" s="9" t="n">
        <v>693822</v>
      </c>
      <c r="B1261" s="9" t="inlineStr">
        <is>
          <t>Murphy Stehly</t>
        </is>
      </c>
      <c r="C1261" s="9" t="inlineStr">
        <is>
          <t>MIN</t>
        </is>
      </c>
      <c r="D1261" s="9" t="n">
        <v>25</v>
      </c>
      <c r="E1261" s="16" t="inlineStr">
        <is>
          <t>R</t>
        </is>
      </c>
      <c r="F1261" s="16" t="n"/>
      <c r="G1261" s="9" t="n">
        <v>16.87179487179487</v>
      </c>
      <c r="H1261" s="9" t="n">
        <v>16.87179487179487</v>
      </c>
      <c r="I1261" s="9" t="inlineStr">
        <is>
          <t>Depth (no MLB PA)</t>
        </is>
      </c>
      <c r="J1261" s="16" t="inlineStr">
        <is>
          <t>Opening Day</t>
        </is>
      </c>
      <c r="K1261" s="11">
        <f>IFERROR(INDEX(Roles!$B$17:$B$20,MATCH(J1261,Roles!$A$17:$A$20,0)),1)</f>
        <v/>
      </c>
      <c r="L1261" s="17" t="n">
        <v>1</v>
      </c>
      <c r="M1261" s="11" t="n">
        <v>1</v>
      </c>
      <c r="N1261" s="17" t="n"/>
      <c r="O1261" s="17" t="n"/>
      <c r="P1261" s="17" t="n"/>
      <c r="Q1261" s="17" t="n"/>
      <c r="R1261" s="17" t="n"/>
      <c r="S1261" s="17" t="n"/>
      <c r="T1261" s="17" t="n"/>
      <c r="U1261" s="17" t="n"/>
      <c r="V1261" s="17" t="n"/>
      <c r="W1261" s="17" t="n"/>
      <c r="X1261" s="17" t="n"/>
      <c r="Y1261" s="17" t="n">
        <v>1</v>
      </c>
      <c r="Z1261" s="13">
        <f>SUMPRODUCT(N1261:Y1261,$N$2:$Y$2)*$K1261*$L1261*$M1261</f>
        <v/>
      </c>
      <c r="AA1261" s="14">
        <f>SUM(N1261:Y1261)</f>
        <v/>
      </c>
      <c r="AB1261" s="14">
        <f>IFERROR(IF(UPPER($E1261)="L",SUMPRODUCT(N1261:Y1261,$N$3:$Y$3,$N$2:$Y$2),SUMPRODUCT(N1261:Y1261,$N$4:$Y$4,$N$2:$Y$2))/(Z1261/($K1261*$L1261*$M1261)),"")</f>
        <v/>
      </c>
      <c r="AC1261" s="18" t="n"/>
    </row>
    <row r="1262">
      <c r="A1262" s="9" t="n">
        <v>695484</v>
      </c>
      <c r="B1262" s="9" t="inlineStr">
        <is>
          <t>Anson Aroz</t>
        </is>
      </c>
      <c r="C1262" s="9" t="inlineStr">
        <is>
          <t>LAD</t>
        </is>
      </c>
      <c r="D1262" s="9" t="n">
        <v>25</v>
      </c>
      <c r="E1262" s="16" t="inlineStr">
        <is>
          <t>S</t>
        </is>
      </c>
      <c r="F1262" s="16" t="n"/>
      <c r="G1262" s="9" t="n">
        <v>12.51282051282051</v>
      </c>
      <c r="H1262" s="9" t="n">
        <v>12.51282051282051</v>
      </c>
      <c r="I1262" s="9" t="inlineStr">
        <is>
          <t>Depth (no MLB PA)</t>
        </is>
      </c>
      <c r="J1262" s="16" t="inlineStr">
        <is>
          <t>Opening Day</t>
        </is>
      </c>
      <c r="K1262" s="11">
        <f>IFERROR(INDEX(Roles!$B$17:$B$20,MATCH(J1262,Roles!$A$17:$A$20,0)),1)</f>
        <v/>
      </c>
      <c r="L1262" s="17" t="n">
        <v>1</v>
      </c>
      <c r="M1262" s="11" t="n">
        <v>1</v>
      </c>
      <c r="N1262" s="17" t="n"/>
      <c r="O1262" s="17" t="n"/>
      <c r="P1262" s="17" t="n"/>
      <c r="Q1262" s="17" t="n"/>
      <c r="R1262" s="17" t="n"/>
      <c r="S1262" s="17" t="n"/>
      <c r="T1262" s="17" t="n"/>
      <c r="U1262" s="17" t="n"/>
      <c r="V1262" s="17" t="n"/>
      <c r="W1262" s="17" t="n"/>
      <c r="X1262" s="17" t="n"/>
      <c r="Y1262" s="17" t="n">
        <v>1</v>
      </c>
      <c r="Z1262" s="13">
        <f>SUMPRODUCT(N1262:Y1262,$N$2:$Y$2)*$K1262*$L1262*$M1262</f>
        <v/>
      </c>
      <c r="AA1262" s="14">
        <f>SUM(N1262:Y1262)</f>
        <v/>
      </c>
      <c r="AB1262" s="14">
        <f>IFERROR(IF(UPPER($E1262)="L",SUMPRODUCT(N1262:Y1262,$N$3:$Y$3,$N$2:$Y$2),SUMPRODUCT(N1262:Y1262,$N$4:$Y$4,$N$2:$Y$2))/(Z1262/($K1262*$L1262*$M1262)),"")</f>
        <v/>
      </c>
      <c r="AC1262" s="18" t="n"/>
    </row>
    <row r="1263">
      <c r="A1263" s="9" t="n">
        <v>623507</v>
      </c>
      <c r="B1263" s="9" t="inlineStr">
        <is>
          <t>Josh Lester</t>
        </is>
      </c>
      <c r="C1263" s="9" t="inlineStr">
        <is>
          <t>BAL</t>
        </is>
      </c>
      <c r="D1263" s="9" t="n">
        <v>32</v>
      </c>
      <c r="E1263" s="16" t="inlineStr">
        <is>
          <t>L</t>
        </is>
      </c>
      <c r="F1263" s="16" t="inlineStr">
        <is>
          <t>1B</t>
        </is>
      </c>
      <c r="G1263" s="9" t="n">
        <v>23</v>
      </c>
      <c r="H1263" s="9" t="n">
        <v>28</v>
      </c>
      <c r="I1263" s="9" t="inlineStr">
        <is>
          <t>Depth (no MLB PA)</t>
        </is>
      </c>
      <c r="J1263" s="16" t="inlineStr">
        <is>
          <t>Opening Day</t>
        </is>
      </c>
      <c r="K1263" s="11">
        <f>IFERROR(INDEX(Roles!$B$17:$B$20,MATCH(J1263,Roles!$A$17:$A$20,0)),1)</f>
        <v/>
      </c>
      <c r="L1263" s="17" t="n">
        <v>1</v>
      </c>
      <c r="M1263" s="11" t="n">
        <v>1</v>
      </c>
      <c r="N1263" s="17" t="n"/>
      <c r="O1263" s="17" t="n"/>
      <c r="P1263" s="17" t="n"/>
      <c r="Q1263" s="17" t="n"/>
      <c r="R1263" s="17" t="n"/>
      <c r="S1263" s="17" t="n"/>
      <c r="T1263" s="17" t="n"/>
      <c r="U1263" s="17" t="n"/>
      <c r="V1263" s="17" t="n"/>
      <c r="W1263" s="17" t="n"/>
      <c r="X1263" s="17" t="n"/>
      <c r="Y1263" s="17" t="n">
        <v>1</v>
      </c>
      <c r="Z1263" s="13">
        <f>SUMPRODUCT(N1263:Y1263,$N$2:$Y$2)*$K1263*$L1263*$M1263</f>
        <v/>
      </c>
      <c r="AA1263" s="14">
        <f>SUM(N1263:Y1263)</f>
        <v/>
      </c>
      <c r="AB1263" s="14">
        <f>IFERROR(IF(UPPER($E1263)="L",SUMPRODUCT(N1263:Y1263,$N$3:$Y$3,$N$2:$Y$2),SUMPRODUCT(N1263:Y1263,$N$4:$Y$4,$N$2:$Y$2))/(Z1263/($K1263*$L1263*$M1263)),"")</f>
        <v/>
      </c>
      <c r="AC1263" s="18" t="n"/>
    </row>
    <row r="1264">
      <c r="A1264" s="9" t="n">
        <v>821782</v>
      </c>
      <c r="B1264" s="9" t="inlineStr">
        <is>
          <t>Andreimi Antunez</t>
        </is>
      </c>
      <c r="C1264" s="9" t="inlineStr">
        <is>
          <t>TB</t>
        </is>
      </c>
      <c r="D1264" s="9" t="n">
        <v>21</v>
      </c>
      <c r="E1264" s="16" t="inlineStr">
        <is>
          <t>R</t>
        </is>
      </c>
      <c r="F1264" s="16" t="n"/>
      <c r="G1264" s="9" t="n">
        <v>15.13846153846154</v>
      </c>
      <c r="H1264" s="9" t="n">
        <v>15.13846153846154</v>
      </c>
      <c r="I1264" s="9" t="inlineStr">
        <is>
          <t>Depth (no MLB PA)</t>
        </is>
      </c>
      <c r="J1264" s="16" t="inlineStr">
        <is>
          <t>Opening Day</t>
        </is>
      </c>
      <c r="K1264" s="11">
        <f>IFERROR(INDEX(Roles!$B$17:$B$20,MATCH(J1264,Roles!$A$17:$A$20,0)),1)</f>
        <v/>
      </c>
      <c r="L1264" s="17" t="n">
        <v>1</v>
      </c>
      <c r="M1264" s="11" t="n">
        <v>1</v>
      </c>
      <c r="N1264" s="17" t="n"/>
      <c r="O1264" s="17" t="n"/>
      <c r="P1264" s="17" t="n"/>
      <c r="Q1264" s="17" t="n"/>
      <c r="R1264" s="17" t="n"/>
      <c r="S1264" s="17" t="n"/>
      <c r="T1264" s="17" t="n"/>
      <c r="U1264" s="17" t="n"/>
      <c r="V1264" s="17" t="n"/>
      <c r="W1264" s="17" t="n"/>
      <c r="X1264" s="17" t="n"/>
      <c r="Y1264" s="17" t="n">
        <v>1</v>
      </c>
      <c r="Z1264" s="13">
        <f>SUMPRODUCT(N1264:Y1264,$N$2:$Y$2)*$K1264*$L1264*$M1264</f>
        <v/>
      </c>
      <c r="AA1264" s="14">
        <f>SUM(N1264:Y1264)</f>
        <v/>
      </c>
      <c r="AB1264" s="14">
        <f>IFERROR(IF(UPPER($E1264)="L",SUMPRODUCT(N1264:Y1264,$N$3:$Y$3,$N$2:$Y$2),SUMPRODUCT(N1264:Y1264,$N$4:$Y$4,$N$2:$Y$2))/(Z1264/($K1264*$L1264*$M1264)),"")</f>
        <v/>
      </c>
      <c r="AC1264" s="18" t="n"/>
    </row>
    <row r="1265">
      <c r="A1265" s="9" t="n">
        <v>834672</v>
      </c>
      <c r="B1265" s="9" t="inlineStr">
        <is>
          <t>Michael Oliveto</t>
        </is>
      </c>
      <c r="C1265" s="9" t="inlineStr">
        <is>
          <t>DET</t>
        </is>
      </c>
      <c r="D1265" s="9" t="n">
        <v>25</v>
      </c>
      <c r="E1265" s="16" t="inlineStr">
        <is>
          <t>L</t>
        </is>
      </c>
      <c r="F1265" s="16" t="n"/>
      <c r="G1265" s="9" t="n">
        <v>10.70769230769231</v>
      </c>
      <c r="H1265" s="9" t="n">
        <v>10.70769230769231</v>
      </c>
      <c r="I1265" s="9" t="inlineStr">
        <is>
          <t>Depth (no MLB PA)</t>
        </is>
      </c>
      <c r="J1265" s="16" t="inlineStr">
        <is>
          <t>Opening Day</t>
        </is>
      </c>
      <c r="K1265" s="11">
        <f>IFERROR(INDEX(Roles!$B$17:$B$20,MATCH(J1265,Roles!$A$17:$A$20,0)),1)</f>
        <v/>
      </c>
      <c r="L1265" s="17" t="n">
        <v>1</v>
      </c>
      <c r="M1265" s="11" t="n">
        <v>1</v>
      </c>
      <c r="N1265" s="17" t="n"/>
      <c r="O1265" s="17" t="n"/>
      <c r="P1265" s="17" t="n"/>
      <c r="Q1265" s="17" t="n"/>
      <c r="R1265" s="17" t="n"/>
      <c r="S1265" s="17" t="n"/>
      <c r="T1265" s="17" t="n"/>
      <c r="U1265" s="17" t="n"/>
      <c r="V1265" s="17" t="n"/>
      <c r="W1265" s="17" t="n"/>
      <c r="X1265" s="17" t="n"/>
      <c r="Y1265" s="17" t="n">
        <v>1</v>
      </c>
      <c r="Z1265" s="13">
        <f>SUMPRODUCT(N1265:Y1265,$N$2:$Y$2)*$K1265*$L1265*$M1265</f>
        <v/>
      </c>
      <c r="AA1265" s="14">
        <f>SUM(N1265:Y1265)</f>
        <v/>
      </c>
      <c r="AB1265" s="14">
        <f>IFERROR(IF(UPPER($E1265)="L",SUMPRODUCT(N1265:Y1265,$N$3:$Y$3,$N$2:$Y$2),SUMPRODUCT(N1265:Y1265,$N$4:$Y$4,$N$2:$Y$2))/(Z1265/($K1265*$L1265*$M1265)),"")</f>
        <v/>
      </c>
      <c r="AC1265" s="18" t="n"/>
    </row>
    <row r="1266">
      <c r="A1266" s="9" t="n">
        <v>800953</v>
      </c>
      <c r="B1266" s="9" t="inlineStr">
        <is>
          <t>Brady Day</t>
        </is>
      </c>
      <c r="C1266" s="9" t="inlineStr">
        <is>
          <t>PHI</t>
        </is>
      </c>
      <c r="D1266" s="9" t="n">
        <v>25</v>
      </c>
      <c r="E1266" s="16" t="inlineStr">
        <is>
          <t>L</t>
        </is>
      </c>
      <c r="F1266" s="16" t="n"/>
      <c r="G1266" s="9" t="n">
        <v>29.94871794871795</v>
      </c>
      <c r="H1266" s="9" t="n">
        <v>29.94871794871795</v>
      </c>
      <c r="I1266" s="9" t="inlineStr">
        <is>
          <t>Depth (no MLB PA)</t>
        </is>
      </c>
      <c r="J1266" s="16" t="inlineStr">
        <is>
          <t>Opening Day</t>
        </is>
      </c>
      <c r="K1266" s="11">
        <f>IFERROR(INDEX(Roles!$B$17:$B$20,MATCH(J1266,Roles!$A$17:$A$20,0)),1)</f>
        <v/>
      </c>
      <c r="L1266" s="17" t="n">
        <v>1</v>
      </c>
      <c r="M1266" s="11" t="n">
        <v>1</v>
      </c>
      <c r="N1266" s="17" t="n"/>
      <c r="O1266" s="17" t="n"/>
      <c r="P1266" s="17" t="n"/>
      <c r="Q1266" s="17" t="n"/>
      <c r="R1266" s="17" t="n"/>
      <c r="S1266" s="17" t="n"/>
      <c r="T1266" s="17" t="n"/>
      <c r="U1266" s="17" t="n"/>
      <c r="V1266" s="17" t="n"/>
      <c r="W1266" s="17" t="n"/>
      <c r="X1266" s="17" t="n"/>
      <c r="Y1266" s="17" t="n">
        <v>1</v>
      </c>
      <c r="Z1266" s="13">
        <f>SUMPRODUCT(N1266:Y1266,$N$2:$Y$2)*$K1266*$L1266*$M1266</f>
        <v/>
      </c>
      <c r="AA1266" s="14">
        <f>SUM(N1266:Y1266)</f>
        <v/>
      </c>
      <c r="AB1266" s="14">
        <f>IFERROR(IF(UPPER($E1266)="L",SUMPRODUCT(N1266:Y1266,$N$3:$Y$3,$N$2:$Y$2),SUMPRODUCT(N1266:Y1266,$N$4:$Y$4,$N$2:$Y$2))/(Z1266/($K1266*$L1266*$M1266)),"")</f>
        <v/>
      </c>
      <c r="AC1266" s="18" t="n"/>
    </row>
    <row r="1267">
      <c r="A1267" s="9" t="n">
        <v>821673</v>
      </c>
      <c r="B1267" s="9" t="inlineStr">
        <is>
          <t>Jurdrick Profar</t>
        </is>
      </c>
      <c r="C1267" s="9" t="inlineStr">
        <is>
          <t>CWS</t>
        </is>
      </c>
      <c r="D1267" s="9" t="n">
        <v>25</v>
      </c>
      <c r="E1267" s="16" t="inlineStr">
        <is>
          <t>R</t>
        </is>
      </c>
      <c r="F1267" s="16" t="n"/>
      <c r="G1267" s="9" t="n">
        <v>10.58461538461538</v>
      </c>
      <c r="H1267" s="9" t="n">
        <v>10.58461538461538</v>
      </c>
      <c r="I1267" s="9" t="inlineStr">
        <is>
          <t>Depth (no MLB PA)</t>
        </is>
      </c>
      <c r="J1267" s="16" t="inlineStr">
        <is>
          <t>Opening Day</t>
        </is>
      </c>
      <c r="K1267" s="11">
        <f>IFERROR(INDEX(Roles!$B$17:$B$20,MATCH(J1267,Roles!$A$17:$A$20,0)),1)</f>
        <v/>
      </c>
      <c r="L1267" s="17" t="n">
        <v>1</v>
      </c>
      <c r="M1267" s="11" t="n">
        <v>1</v>
      </c>
      <c r="N1267" s="17" t="n"/>
      <c r="O1267" s="17" t="n"/>
      <c r="P1267" s="17" t="n"/>
      <c r="Q1267" s="17" t="n"/>
      <c r="R1267" s="17" t="n"/>
      <c r="S1267" s="17" t="n"/>
      <c r="T1267" s="17" t="n"/>
      <c r="U1267" s="17" t="n"/>
      <c r="V1267" s="17" t="n"/>
      <c r="W1267" s="17" t="n"/>
      <c r="X1267" s="17" t="n"/>
      <c r="Y1267" s="17" t="n">
        <v>1</v>
      </c>
      <c r="Z1267" s="13">
        <f>SUMPRODUCT(N1267:Y1267,$N$2:$Y$2)*$K1267*$L1267*$M1267</f>
        <v/>
      </c>
      <c r="AA1267" s="14">
        <f>SUM(N1267:Y1267)</f>
        <v/>
      </c>
      <c r="AB1267" s="14">
        <f>IFERROR(IF(UPPER($E1267)="L",SUMPRODUCT(N1267:Y1267,$N$3:$Y$3,$N$2:$Y$2),SUMPRODUCT(N1267:Y1267,$N$4:$Y$4,$N$2:$Y$2))/(Z1267/($K1267*$L1267*$M1267)),"")</f>
        <v/>
      </c>
      <c r="AC1267" s="18" t="n"/>
    </row>
    <row r="1268">
      <c r="A1268" s="9" t="n">
        <v>806701</v>
      </c>
      <c r="B1268" s="9" t="inlineStr">
        <is>
          <t>Jake Brown</t>
        </is>
      </c>
      <c r="C1268" s="9" t="inlineStr">
        <is>
          <t>SEA</t>
        </is>
      </c>
      <c r="D1268" s="9" t="n">
        <v>25</v>
      </c>
      <c r="E1268" s="16" t="inlineStr">
        <is>
          <t>L</t>
        </is>
      </c>
      <c r="F1268" s="16" t="n"/>
      <c r="G1268" s="9" t="n">
        <v>13.16923076923077</v>
      </c>
      <c r="H1268" s="9" t="n">
        <v>13.16923076923077</v>
      </c>
      <c r="I1268" s="9" t="inlineStr">
        <is>
          <t>Depth (no MLB PA)</t>
        </is>
      </c>
      <c r="J1268" s="16" t="inlineStr">
        <is>
          <t>Opening Day</t>
        </is>
      </c>
      <c r="K1268" s="11">
        <f>IFERROR(INDEX(Roles!$B$17:$B$20,MATCH(J1268,Roles!$A$17:$A$20,0)),1)</f>
        <v/>
      </c>
      <c r="L1268" s="17" t="n">
        <v>1</v>
      </c>
      <c r="M1268" s="11" t="n">
        <v>1</v>
      </c>
      <c r="N1268" s="17" t="n"/>
      <c r="O1268" s="17" t="n"/>
      <c r="P1268" s="17" t="n"/>
      <c r="Q1268" s="17" t="n"/>
      <c r="R1268" s="17" t="n"/>
      <c r="S1268" s="17" t="n"/>
      <c r="T1268" s="17" t="n"/>
      <c r="U1268" s="17" t="n"/>
      <c r="V1268" s="17" t="n"/>
      <c r="W1268" s="17" t="n"/>
      <c r="X1268" s="17" t="n"/>
      <c r="Y1268" s="17" t="n">
        <v>1</v>
      </c>
      <c r="Z1268" s="13">
        <f>SUMPRODUCT(N1268:Y1268,$N$2:$Y$2)*$K1268*$L1268*$M1268</f>
        <v/>
      </c>
      <c r="AA1268" s="14">
        <f>SUM(N1268:Y1268)</f>
        <v/>
      </c>
      <c r="AB1268" s="14">
        <f>IFERROR(IF(UPPER($E1268)="L",SUMPRODUCT(N1268:Y1268,$N$3:$Y$3,$N$2:$Y$2),SUMPRODUCT(N1268:Y1268,$N$4:$Y$4,$N$2:$Y$2))/(Z1268/($K1268*$L1268*$M1268)),"")</f>
        <v/>
      </c>
      <c r="AC1268" s="18" t="n"/>
    </row>
    <row r="1269">
      <c r="A1269" s="9" t="n">
        <v>703611</v>
      </c>
      <c r="B1269" s="9" t="inlineStr">
        <is>
          <t>Maximus Martin</t>
        </is>
      </c>
      <c r="C1269" s="9" t="inlineStr">
        <is>
          <t>BOS</t>
        </is>
      </c>
      <c r="D1269" s="9" t="n">
        <v>25</v>
      </c>
      <c r="E1269" s="16" t="inlineStr">
        <is>
          <t>R</t>
        </is>
      </c>
      <c r="F1269" s="16" t="n"/>
      <c r="G1269" s="9" t="n">
        <v>24.61538461538462</v>
      </c>
      <c r="H1269" s="9" t="n">
        <v>24.61538461538462</v>
      </c>
      <c r="I1269" s="9" t="inlineStr">
        <is>
          <t>Depth (no MLB PA)</t>
        </is>
      </c>
      <c r="J1269" s="16" t="inlineStr">
        <is>
          <t>Opening Day</t>
        </is>
      </c>
      <c r="K1269" s="11">
        <f>IFERROR(INDEX(Roles!$B$17:$B$20,MATCH(J1269,Roles!$A$17:$A$20,0)),1)</f>
        <v/>
      </c>
      <c r="L1269" s="17" t="n">
        <v>1</v>
      </c>
      <c r="M1269" s="11" t="n">
        <v>1</v>
      </c>
      <c r="N1269" s="17" t="n"/>
      <c r="O1269" s="17" t="n"/>
      <c r="P1269" s="17" t="n"/>
      <c r="Q1269" s="17" t="n"/>
      <c r="R1269" s="17" t="n"/>
      <c r="S1269" s="17" t="n"/>
      <c r="T1269" s="17" t="n"/>
      <c r="U1269" s="17" t="n"/>
      <c r="V1269" s="17" t="n"/>
      <c r="W1269" s="17" t="n"/>
      <c r="X1269" s="17" t="n"/>
      <c r="Y1269" s="17" t="n">
        <v>1</v>
      </c>
      <c r="Z1269" s="13">
        <f>SUMPRODUCT(N1269:Y1269,$N$2:$Y$2)*$K1269*$L1269*$M1269</f>
        <v/>
      </c>
      <c r="AA1269" s="14">
        <f>SUM(N1269:Y1269)</f>
        <v/>
      </c>
      <c r="AB1269" s="14">
        <f>IFERROR(IF(UPPER($E1269)="L",SUMPRODUCT(N1269:Y1269,$N$3:$Y$3,$N$2:$Y$2),SUMPRODUCT(N1269:Y1269,$N$4:$Y$4,$N$2:$Y$2))/(Z1269/($K1269*$L1269*$M1269)),"")</f>
        <v/>
      </c>
      <c r="AC1269" s="18" t="n"/>
    </row>
    <row r="1270">
      <c r="A1270" s="9" t="n">
        <v>800200</v>
      </c>
      <c r="B1270" s="9" t="inlineStr">
        <is>
          <t>Jonathan Linares</t>
        </is>
      </c>
      <c r="C1270" s="9" t="inlineStr">
        <is>
          <t>LAA</t>
        </is>
      </c>
      <c r="D1270" s="9" t="n">
        <v>25</v>
      </c>
      <c r="E1270" s="16" t="inlineStr">
        <is>
          <t>S</t>
        </is>
      </c>
      <c r="F1270" s="16" t="n"/>
      <c r="G1270" s="9" t="n">
        <v>19.32307692307692</v>
      </c>
      <c r="H1270" s="9" t="n">
        <v>19.32307692307692</v>
      </c>
      <c r="I1270" s="9" t="inlineStr">
        <is>
          <t>Depth (no MLB PA)</t>
        </is>
      </c>
      <c r="J1270" s="16" t="inlineStr">
        <is>
          <t>Opening Day</t>
        </is>
      </c>
      <c r="K1270" s="11">
        <f>IFERROR(INDEX(Roles!$B$17:$B$20,MATCH(J1270,Roles!$A$17:$A$20,0)),1)</f>
        <v/>
      </c>
      <c r="L1270" s="17" t="n">
        <v>1</v>
      </c>
      <c r="M1270" s="11" t="n">
        <v>1</v>
      </c>
      <c r="N1270" s="17" t="n"/>
      <c r="O1270" s="17" t="n"/>
      <c r="P1270" s="17" t="n"/>
      <c r="Q1270" s="17" t="n"/>
      <c r="R1270" s="17" t="n"/>
      <c r="S1270" s="17" t="n"/>
      <c r="T1270" s="17" t="n"/>
      <c r="U1270" s="17" t="n"/>
      <c r="V1270" s="17" t="n"/>
      <c r="W1270" s="17" t="n"/>
      <c r="X1270" s="17" t="n"/>
      <c r="Y1270" s="17" t="n">
        <v>1</v>
      </c>
      <c r="Z1270" s="13">
        <f>SUMPRODUCT(N1270:Y1270,$N$2:$Y$2)*$K1270*$L1270*$M1270</f>
        <v/>
      </c>
      <c r="AA1270" s="14">
        <f>SUM(N1270:Y1270)</f>
        <v/>
      </c>
      <c r="AB1270" s="14">
        <f>IFERROR(IF(UPPER($E1270)="L",SUMPRODUCT(N1270:Y1270,$N$3:$Y$3,$N$2:$Y$2),SUMPRODUCT(N1270:Y1270,$N$4:$Y$4,$N$2:$Y$2))/(Z1270/($K1270*$L1270*$M1270)),"")</f>
        <v/>
      </c>
      <c r="AC1270" s="18" t="n"/>
    </row>
    <row r="1271">
      <c r="A1271" s="9" t="n">
        <v>660620</v>
      </c>
      <c r="B1271" s="9" t="inlineStr">
        <is>
          <t>Jonathan Araúz</t>
        </is>
      </c>
      <c r="C1271" s="9" t="inlineStr">
        <is>
          <t>NYM</t>
        </is>
      </c>
      <c r="D1271" s="9" t="n">
        <v>28</v>
      </c>
      <c r="E1271" s="16" t="inlineStr">
        <is>
          <t>S</t>
        </is>
      </c>
      <c r="F1271" s="16" t="inlineStr">
        <is>
          <t>3B</t>
        </is>
      </c>
      <c r="G1271" s="9" t="n">
        <v>66</v>
      </c>
      <c r="H1271" s="9" t="n">
        <v>107</v>
      </c>
      <c r="I1271" s="9" t="inlineStr">
        <is>
          <t>Depth (no MLB PA)</t>
        </is>
      </c>
      <c r="J1271" s="16" t="inlineStr">
        <is>
          <t>Opening Day</t>
        </is>
      </c>
      <c r="K1271" s="11">
        <f>IFERROR(INDEX(Roles!$B$17:$B$20,MATCH(J1271,Roles!$A$17:$A$20,0)),1)</f>
        <v/>
      </c>
      <c r="L1271" s="17" t="n">
        <v>1</v>
      </c>
      <c r="M1271" s="11" t="n">
        <v>1</v>
      </c>
      <c r="N1271" s="17" t="n"/>
      <c r="O1271" s="17" t="n"/>
      <c r="P1271" s="17" t="n"/>
      <c r="Q1271" s="17" t="n"/>
      <c r="R1271" s="17" t="n"/>
      <c r="S1271" s="17" t="n"/>
      <c r="T1271" s="17" t="n"/>
      <c r="U1271" s="17" t="n"/>
      <c r="V1271" s="17" t="n"/>
      <c r="W1271" s="17" t="n"/>
      <c r="X1271" s="17" t="n"/>
      <c r="Y1271" s="17" t="n">
        <v>1</v>
      </c>
      <c r="Z1271" s="13">
        <f>SUMPRODUCT(N1271:Y1271,$N$2:$Y$2)*$K1271*$L1271*$M1271</f>
        <v/>
      </c>
      <c r="AA1271" s="14">
        <f>SUM(N1271:Y1271)</f>
        <v/>
      </c>
      <c r="AB1271" s="14">
        <f>IFERROR(IF(UPPER($E1271)="L",SUMPRODUCT(N1271:Y1271,$N$3:$Y$3,$N$2:$Y$2),SUMPRODUCT(N1271:Y1271,$N$4:$Y$4,$N$2:$Y$2))/(Z1271/($K1271*$L1271*$M1271)),"")</f>
        <v/>
      </c>
      <c r="AC1271" s="18" t="n"/>
    </row>
    <row r="1272">
      <c r="A1272" s="9" t="n">
        <v>642215</v>
      </c>
      <c r="B1272" s="9" t="inlineStr">
        <is>
          <t>Weston Wilson</t>
        </is>
      </c>
      <c r="C1272" s="9" t="inlineStr">
        <is>
          <t>SEA</t>
        </is>
      </c>
      <c r="D1272" s="9" t="n">
        <v>32</v>
      </c>
      <c r="E1272" s="16" t="inlineStr">
        <is>
          <t>R</t>
        </is>
      </c>
      <c r="F1272" s="16" t="inlineStr">
        <is>
          <t>3B</t>
        </is>
      </c>
      <c r="G1272" s="9" t="n">
        <v>183</v>
      </c>
      <c r="H1272" s="9" t="n">
        <v>428</v>
      </c>
      <c r="I1272" s="9" t="inlineStr">
        <is>
          <t>Full Time</t>
        </is>
      </c>
      <c r="J1272" s="16" t="inlineStr">
        <is>
          <t>Opening Day</t>
        </is>
      </c>
      <c r="K1272" s="11">
        <f>IFERROR(INDEX(Roles!$B$17:$B$20,MATCH(J1272,Roles!$A$17:$A$20,0)),1)</f>
        <v/>
      </c>
      <c r="L1272" s="17" t="n">
        <v>1</v>
      </c>
      <c r="M1272" s="11" t="n">
        <v>1</v>
      </c>
      <c r="N1272" s="17" t="n">
        <v>0.6</v>
      </c>
      <c r="O1272" s="17" t="n"/>
      <c r="P1272" s="17" t="n"/>
      <c r="Q1272" s="17" t="n"/>
      <c r="R1272" s="17" t="n"/>
      <c r="S1272" s="17" t="n"/>
      <c r="T1272" s="17" t="n"/>
      <c r="U1272" s="17" t="n">
        <v>0.4</v>
      </c>
      <c r="V1272" s="17" t="n"/>
      <c r="W1272" s="17" t="n"/>
      <c r="X1272" s="17" t="n"/>
      <c r="Y1272" s="17" t="n"/>
      <c r="Z1272" s="13">
        <f>SUMPRODUCT(N1272:Y1272,$N$2:$Y$2)*$K1272*$L1272*$M1272</f>
        <v/>
      </c>
      <c r="AA1272" s="14">
        <f>SUM(N1272:Y1272)</f>
        <v/>
      </c>
      <c r="AB1272" s="14">
        <f>IFERROR(IF(UPPER($E1272)="L",SUMPRODUCT(N1272:Y1272,$N$3:$Y$3,$N$2:$Y$2),SUMPRODUCT(N1272:Y1272,$N$4:$Y$4,$N$2:$Y$2))/(Z1272/($K1272*$L1272*$M1272)),"")</f>
        <v/>
      </c>
      <c r="AC1272" s="18" t="n"/>
    </row>
    <row r="1273">
      <c r="A1273" s="9" t="n">
        <v>815563</v>
      </c>
      <c r="B1273" s="9" t="inlineStr">
        <is>
          <t>Bo Walker</t>
        </is>
      </c>
      <c r="C1273" s="9" t="inlineStr">
        <is>
          <t>ARI</t>
        </is>
      </c>
      <c r="D1273" s="9" t="n">
        <v>25</v>
      </c>
      <c r="E1273" s="16" t="inlineStr">
        <is>
          <t>R</t>
        </is>
      </c>
      <c r="F1273" s="16" t="n"/>
      <c r="G1273" s="9" t="n">
        <v>12.8</v>
      </c>
      <c r="H1273" s="9" t="n">
        <v>12.8</v>
      </c>
      <c r="I1273" s="9" t="inlineStr">
        <is>
          <t>Depth (no MLB PA)</t>
        </is>
      </c>
      <c r="J1273" s="16" t="inlineStr">
        <is>
          <t>Opening Day</t>
        </is>
      </c>
      <c r="K1273" s="11">
        <f>IFERROR(INDEX(Roles!$B$17:$B$20,MATCH(J1273,Roles!$A$17:$A$20,0)),1)</f>
        <v/>
      </c>
      <c r="L1273" s="17" t="n">
        <v>1</v>
      </c>
      <c r="M1273" s="11" t="n">
        <v>1</v>
      </c>
      <c r="N1273" s="17" t="n"/>
      <c r="O1273" s="17" t="n"/>
      <c r="P1273" s="17" t="n"/>
      <c r="Q1273" s="17" t="n"/>
      <c r="R1273" s="17" t="n"/>
      <c r="S1273" s="17" t="n"/>
      <c r="T1273" s="17" t="n"/>
      <c r="U1273" s="17" t="n"/>
      <c r="V1273" s="17" t="n"/>
      <c r="W1273" s="17" t="n"/>
      <c r="X1273" s="17" t="n"/>
      <c r="Y1273" s="17" t="n">
        <v>1</v>
      </c>
      <c r="Z1273" s="13">
        <f>SUMPRODUCT(N1273:Y1273,$N$2:$Y$2)*$K1273*$L1273*$M1273</f>
        <v/>
      </c>
      <c r="AA1273" s="14">
        <f>SUM(N1273:Y1273)</f>
        <v/>
      </c>
      <c r="AB1273" s="14">
        <f>IFERROR(IF(UPPER($E1273)="L",SUMPRODUCT(N1273:Y1273,$N$3:$Y$3,$N$2:$Y$2),SUMPRODUCT(N1273:Y1273,$N$4:$Y$4,$N$2:$Y$2))/(Z1273/($K1273*$L1273*$M1273)),"")</f>
        <v/>
      </c>
      <c r="AC1273" s="18" t="n"/>
    </row>
    <row r="1274">
      <c r="A1274" s="9" t="n">
        <v>800139</v>
      </c>
      <c r="B1274" s="9" t="inlineStr">
        <is>
          <t>Reylin Perez</t>
        </is>
      </c>
      <c r="C1274" s="9" t="inlineStr">
        <is>
          <t>HOU</t>
        </is>
      </c>
      <c r="D1274" s="9" t="n">
        <v>25</v>
      </c>
      <c r="E1274" s="16" t="inlineStr">
        <is>
          <t>S</t>
        </is>
      </c>
      <c r="F1274" s="16" t="n"/>
      <c r="G1274" s="9" t="n">
        <v>8.461538461538462</v>
      </c>
      <c r="H1274" s="9" t="n">
        <v>8.461538461538462</v>
      </c>
      <c r="I1274" s="9" t="inlineStr">
        <is>
          <t>Depth (no MLB PA)</t>
        </is>
      </c>
      <c r="J1274" s="16" t="inlineStr">
        <is>
          <t>Opening Day</t>
        </is>
      </c>
      <c r="K1274" s="11">
        <f>IFERROR(INDEX(Roles!$B$17:$B$20,MATCH(J1274,Roles!$A$17:$A$20,0)),1)</f>
        <v/>
      </c>
      <c r="L1274" s="17" t="n">
        <v>1</v>
      </c>
      <c r="M1274" s="11" t="n">
        <v>1</v>
      </c>
      <c r="N1274" s="17" t="n"/>
      <c r="O1274" s="17" t="n"/>
      <c r="P1274" s="17" t="n"/>
      <c r="Q1274" s="17" t="n"/>
      <c r="R1274" s="17" t="n"/>
      <c r="S1274" s="17" t="n"/>
      <c r="T1274" s="17" t="n"/>
      <c r="U1274" s="17" t="n"/>
      <c r="V1274" s="17" t="n"/>
      <c r="W1274" s="17" t="n"/>
      <c r="X1274" s="17" t="n"/>
      <c r="Y1274" s="17" t="n">
        <v>1</v>
      </c>
      <c r="Z1274" s="13">
        <f>SUMPRODUCT(N1274:Y1274,$N$2:$Y$2)*$K1274*$L1274*$M1274</f>
        <v/>
      </c>
      <c r="AA1274" s="14">
        <f>SUM(N1274:Y1274)</f>
        <v/>
      </c>
      <c r="AB1274" s="14">
        <f>IFERROR(IF(UPPER($E1274)="L",SUMPRODUCT(N1274:Y1274,$N$3:$Y$3,$N$2:$Y$2),SUMPRODUCT(N1274:Y1274,$N$4:$Y$4,$N$2:$Y$2))/(Z1274/($K1274*$L1274*$M1274)),"")</f>
        <v/>
      </c>
      <c r="AC1274" s="18" t="n"/>
    </row>
    <row r="1275">
      <c r="A1275" s="9" t="n">
        <v>822815</v>
      </c>
      <c r="B1275" s="9" t="inlineStr">
        <is>
          <t>Ryan Gerety</t>
        </is>
      </c>
      <c r="C1275" s="9" t="inlineStr">
        <is>
          <t>SD</t>
        </is>
      </c>
      <c r="D1275" s="9" t="n">
        <v>25</v>
      </c>
      <c r="E1275" s="16" t="inlineStr">
        <is>
          <t>L</t>
        </is>
      </c>
      <c r="F1275" s="16" t="n"/>
      <c r="G1275" s="9" t="n">
        <v>8.615384615384617</v>
      </c>
      <c r="H1275" s="9" t="n">
        <v>8.615384615384617</v>
      </c>
      <c r="I1275" s="9" t="inlineStr">
        <is>
          <t>Depth (no MLB PA)</t>
        </is>
      </c>
      <c r="J1275" s="16" t="inlineStr">
        <is>
          <t>Opening Day</t>
        </is>
      </c>
      <c r="K1275" s="11">
        <f>IFERROR(INDEX(Roles!$B$17:$B$20,MATCH(J1275,Roles!$A$17:$A$20,0)),1)</f>
        <v/>
      </c>
      <c r="L1275" s="17" t="n">
        <v>1</v>
      </c>
      <c r="M1275" s="11" t="n">
        <v>1</v>
      </c>
      <c r="N1275" s="17" t="n"/>
      <c r="O1275" s="17" t="n"/>
      <c r="P1275" s="17" t="n"/>
      <c r="Q1275" s="17" t="n"/>
      <c r="R1275" s="17" t="n"/>
      <c r="S1275" s="17" t="n"/>
      <c r="T1275" s="17" t="n"/>
      <c r="U1275" s="17" t="n"/>
      <c r="V1275" s="17" t="n"/>
      <c r="W1275" s="17" t="n"/>
      <c r="X1275" s="17" t="n"/>
      <c r="Y1275" s="17" t="n">
        <v>1</v>
      </c>
      <c r="Z1275" s="13">
        <f>SUMPRODUCT(N1275:Y1275,$N$2:$Y$2)*$K1275*$L1275*$M1275</f>
        <v/>
      </c>
      <c r="AA1275" s="14">
        <f>SUM(N1275:Y1275)</f>
        <v/>
      </c>
      <c r="AB1275" s="14">
        <f>IFERROR(IF(UPPER($E1275)="L",SUMPRODUCT(N1275:Y1275,$N$3:$Y$3,$N$2:$Y$2),SUMPRODUCT(N1275:Y1275,$N$4:$Y$4,$N$2:$Y$2))/(Z1275/($K1275*$L1275*$M1275)),"")</f>
        <v/>
      </c>
      <c r="AC1275" s="18" t="n"/>
    </row>
    <row r="1276">
      <c r="A1276" s="9" t="n">
        <v>700720</v>
      </c>
      <c r="B1276" s="9" t="inlineStr">
        <is>
          <t>Luis Pino</t>
        </is>
      </c>
      <c r="C1276" s="9" t="inlineStr">
        <is>
          <t>STL</t>
        </is>
      </c>
      <c r="D1276" s="9" t="n">
        <v>25</v>
      </c>
      <c r="E1276" s="16" t="inlineStr">
        <is>
          <t>R</t>
        </is>
      </c>
      <c r="F1276" s="16" t="n"/>
      <c r="G1276" s="9" t="n">
        <v>8.615384615384615</v>
      </c>
      <c r="H1276" s="9" t="n">
        <v>8.615384615384615</v>
      </c>
      <c r="I1276" s="9" t="inlineStr">
        <is>
          <t>Depth (no MLB PA)</t>
        </is>
      </c>
      <c r="J1276" s="16" t="inlineStr">
        <is>
          <t>Opening Day</t>
        </is>
      </c>
      <c r="K1276" s="11">
        <f>IFERROR(INDEX(Roles!$B$17:$B$20,MATCH(J1276,Roles!$A$17:$A$20,0)),1)</f>
        <v/>
      </c>
      <c r="L1276" s="17" t="n">
        <v>1</v>
      </c>
      <c r="M1276" s="11" t="n">
        <v>1</v>
      </c>
      <c r="N1276" s="17" t="n"/>
      <c r="O1276" s="17" t="n"/>
      <c r="P1276" s="17" t="n"/>
      <c r="Q1276" s="17" t="n"/>
      <c r="R1276" s="17" t="n"/>
      <c r="S1276" s="17" t="n"/>
      <c r="T1276" s="17" t="n"/>
      <c r="U1276" s="17" t="n"/>
      <c r="V1276" s="17" t="n"/>
      <c r="W1276" s="17" t="n"/>
      <c r="X1276" s="17" t="n"/>
      <c r="Y1276" s="17" t="n">
        <v>1</v>
      </c>
      <c r="Z1276" s="13">
        <f>SUMPRODUCT(N1276:Y1276,$N$2:$Y$2)*$K1276*$L1276*$M1276</f>
        <v/>
      </c>
      <c r="AA1276" s="14">
        <f>SUM(N1276:Y1276)</f>
        <v/>
      </c>
      <c r="AB1276" s="14">
        <f>IFERROR(IF(UPPER($E1276)="L",SUMPRODUCT(N1276:Y1276,$N$3:$Y$3,$N$2:$Y$2),SUMPRODUCT(N1276:Y1276,$N$4:$Y$4,$N$2:$Y$2))/(Z1276/($K1276*$L1276*$M1276)),"")</f>
        <v/>
      </c>
      <c r="AC1276" s="18" t="n"/>
    </row>
    <row r="1277">
      <c r="A1277" s="9" t="n">
        <v>690988</v>
      </c>
      <c r="B1277" s="9" t="inlineStr">
        <is>
          <t>Austin Hendrick</t>
        </is>
      </c>
      <c r="C1277" s="9" t="inlineStr">
        <is>
          <t>CIN</t>
        </is>
      </c>
      <c r="D1277" s="9" t="n">
        <v>25</v>
      </c>
      <c r="E1277" s="16" t="inlineStr">
        <is>
          <t>L</t>
        </is>
      </c>
      <c r="F1277" s="16" t="n"/>
      <c r="G1277" s="9" t="n">
        <v>116.2051282051282</v>
      </c>
      <c r="H1277" s="9" t="n">
        <v>116.2051282051282</v>
      </c>
      <c r="I1277" s="9" t="inlineStr">
        <is>
          <t>Depth (no MLB PA)</t>
        </is>
      </c>
      <c r="J1277" s="16" t="inlineStr">
        <is>
          <t>Opening Day</t>
        </is>
      </c>
      <c r="K1277" s="11">
        <f>IFERROR(INDEX(Roles!$B$17:$B$20,MATCH(J1277,Roles!$A$17:$A$20,0)),1)</f>
        <v/>
      </c>
      <c r="L1277" s="17" t="n">
        <v>1</v>
      </c>
      <c r="M1277" s="11" t="n">
        <v>1</v>
      </c>
      <c r="N1277" s="17" t="n"/>
      <c r="O1277" s="17" t="n"/>
      <c r="P1277" s="17" t="n"/>
      <c r="Q1277" s="17" t="n"/>
      <c r="R1277" s="17" t="n"/>
      <c r="S1277" s="17" t="n"/>
      <c r="T1277" s="17" t="n"/>
      <c r="U1277" s="17" t="n"/>
      <c r="V1277" s="17" t="n"/>
      <c r="W1277" s="17" t="n"/>
      <c r="X1277" s="17" t="n"/>
      <c r="Y1277" s="17" t="n">
        <v>1</v>
      </c>
      <c r="Z1277" s="13">
        <f>SUMPRODUCT(N1277:Y1277,$N$2:$Y$2)*$K1277*$L1277*$M1277</f>
        <v/>
      </c>
      <c r="AA1277" s="14">
        <f>SUM(N1277:Y1277)</f>
        <v/>
      </c>
      <c r="AB1277" s="14">
        <f>IFERROR(IF(UPPER($E1277)="L",SUMPRODUCT(N1277:Y1277,$N$3:$Y$3,$N$2:$Y$2),SUMPRODUCT(N1277:Y1277,$N$4:$Y$4,$N$2:$Y$2))/(Z1277/($K1277*$L1277*$M1277)),"")</f>
        <v/>
      </c>
      <c r="AC1277" s="18" t="n"/>
    </row>
    <row r="1278">
      <c r="A1278" s="9" t="n">
        <v>666149</v>
      </c>
      <c r="B1278" s="9" t="inlineStr">
        <is>
          <t>Tyler Fitzgerald</t>
        </is>
      </c>
      <c r="C1278" s="9" t="inlineStr">
        <is>
          <t>SF</t>
        </is>
      </c>
      <c r="D1278" s="9" t="n">
        <v>29</v>
      </c>
      <c r="E1278" s="16" t="inlineStr">
        <is>
          <t>R</t>
        </is>
      </c>
      <c r="F1278" s="16" t="inlineStr">
        <is>
          <t>2B</t>
        </is>
      </c>
      <c r="G1278" s="9" t="n">
        <v>243</v>
      </c>
      <c r="H1278" s="9" t="n">
        <v>618</v>
      </c>
      <c r="I1278" s="9" t="inlineStr">
        <is>
          <t>Utility IF</t>
        </is>
      </c>
      <c r="J1278" s="16" t="inlineStr">
        <is>
          <t>Opening Day</t>
        </is>
      </c>
      <c r="K1278" s="11">
        <f>IFERROR(INDEX(Roles!$B$17:$B$20,MATCH(J1278,Roles!$A$17:$A$20,0)),1)</f>
        <v/>
      </c>
      <c r="L1278" s="17" t="n">
        <v>1</v>
      </c>
      <c r="M1278" s="11" t="n">
        <v>1</v>
      </c>
      <c r="N1278" s="17" t="n"/>
      <c r="O1278" s="17" t="n"/>
      <c r="P1278" s="17" t="n"/>
      <c r="Q1278" s="17" t="n"/>
      <c r="R1278" s="17" t="n"/>
      <c r="S1278" s="17" t="n"/>
      <c r="T1278" s="17" t="n"/>
      <c r="U1278" s="17" t="n">
        <v>1</v>
      </c>
      <c r="V1278" s="17" t="n"/>
      <c r="W1278" s="17" t="n"/>
      <c r="X1278" s="17" t="n"/>
      <c r="Y1278" s="17" t="n"/>
      <c r="Z1278" s="13">
        <f>SUMPRODUCT(N1278:Y1278,$N$2:$Y$2)*$K1278*$L1278*$M1278</f>
        <v/>
      </c>
      <c r="AA1278" s="14">
        <f>SUM(N1278:Y1278)</f>
        <v/>
      </c>
      <c r="AB1278" s="14">
        <f>IFERROR(IF(UPPER($E1278)="L",SUMPRODUCT(N1278:Y1278,$N$3:$Y$3,$N$2:$Y$2),SUMPRODUCT(N1278:Y1278,$N$4:$Y$4,$N$2:$Y$2))/(Z1278/($K1278*$L1278*$M1278)),"")</f>
        <v/>
      </c>
      <c r="AC1278" s="18" t="n"/>
    </row>
    <row r="1279">
      <c r="A1279" s="9" t="n">
        <v>804911</v>
      </c>
      <c r="B1279" s="9" t="inlineStr">
        <is>
          <t>Brendan Summerhill</t>
        </is>
      </c>
      <c r="C1279" s="9" t="inlineStr">
        <is>
          <t>TB</t>
        </is>
      </c>
      <c r="D1279" s="9" t="n">
        <v>25</v>
      </c>
      <c r="E1279" s="16" t="inlineStr">
        <is>
          <t>L</t>
        </is>
      </c>
      <c r="F1279" s="16" t="n"/>
      <c r="G1279" s="9" t="n">
        <v>13.12820512820513</v>
      </c>
      <c r="H1279" s="9" t="n">
        <v>13.12820512820513</v>
      </c>
      <c r="I1279" s="9" t="inlineStr">
        <is>
          <t>Depth (no MLB PA)</t>
        </is>
      </c>
      <c r="J1279" s="16" t="inlineStr">
        <is>
          <t>Opening Day</t>
        </is>
      </c>
      <c r="K1279" s="11">
        <f>IFERROR(INDEX(Roles!$B$17:$B$20,MATCH(J1279,Roles!$A$17:$A$20,0)),1)</f>
        <v/>
      </c>
      <c r="L1279" s="17" t="n">
        <v>1</v>
      </c>
      <c r="M1279" s="11" t="n">
        <v>1</v>
      </c>
      <c r="N1279" s="17" t="n"/>
      <c r="O1279" s="17" t="n"/>
      <c r="P1279" s="17" t="n"/>
      <c r="Q1279" s="17" t="n"/>
      <c r="R1279" s="17" t="n"/>
      <c r="S1279" s="17" t="n"/>
      <c r="T1279" s="17" t="n"/>
      <c r="U1279" s="17" t="n"/>
      <c r="V1279" s="17" t="n"/>
      <c r="W1279" s="17" t="n"/>
      <c r="X1279" s="17" t="n"/>
      <c r="Y1279" s="17" t="n">
        <v>1</v>
      </c>
      <c r="Z1279" s="13">
        <f>SUMPRODUCT(N1279:Y1279,$N$2:$Y$2)*$K1279*$L1279*$M1279</f>
        <v/>
      </c>
      <c r="AA1279" s="14">
        <f>SUM(N1279:Y1279)</f>
        <v/>
      </c>
      <c r="AB1279" s="14">
        <f>IFERROR(IF(UPPER($E1279)="L",SUMPRODUCT(N1279:Y1279,$N$3:$Y$3,$N$2:$Y$2),SUMPRODUCT(N1279:Y1279,$N$4:$Y$4,$N$2:$Y$2))/(Z1279/($K1279*$L1279*$M1279)),"")</f>
        <v/>
      </c>
      <c r="AC1279" s="18" t="n"/>
    </row>
    <row r="1280">
      <c r="A1280" s="9" t="n">
        <v>640458</v>
      </c>
      <c r="B1280" s="9" t="inlineStr">
        <is>
          <t>Óscar Mercado</t>
        </is>
      </c>
      <c r="C1280" s="9" t="inlineStr">
        <is>
          <t>STL</t>
        </is>
      </c>
      <c r="D1280" s="9" t="n">
        <v>32</v>
      </c>
      <c r="E1280" s="16" t="inlineStr">
        <is>
          <t>R</t>
        </is>
      </c>
      <c r="F1280" s="16" t="inlineStr">
        <is>
          <t>RF</t>
        </is>
      </c>
      <c r="G1280" s="9" t="n">
        <v>32</v>
      </c>
      <c r="H1280" s="9" t="n">
        <v>160</v>
      </c>
      <c r="I1280" s="9" t="inlineStr">
        <is>
          <t>Depth (no MLB PA)</t>
        </is>
      </c>
      <c r="J1280" s="16" t="inlineStr">
        <is>
          <t>Opening Day</t>
        </is>
      </c>
      <c r="K1280" s="11">
        <f>IFERROR(INDEX(Roles!$B$17:$B$20,MATCH(J1280,Roles!$A$17:$A$20,0)),1)</f>
        <v/>
      </c>
      <c r="L1280" s="17" t="n">
        <v>1</v>
      </c>
      <c r="M1280" s="11" t="n">
        <v>1</v>
      </c>
      <c r="N1280" s="17" t="n"/>
      <c r="O1280" s="17" t="n"/>
      <c r="P1280" s="17" t="n"/>
      <c r="Q1280" s="17" t="n"/>
      <c r="R1280" s="17" t="n"/>
      <c r="S1280" s="17" t="n"/>
      <c r="T1280" s="17" t="n"/>
      <c r="U1280" s="17" t="n"/>
      <c r="V1280" s="17" t="n"/>
      <c r="W1280" s="17" t="n"/>
      <c r="X1280" s="17" t="n"/>
      <c r="Y1280" s="17" t="n">
        <v>1</v>
      </c>
      <c r="Z1280" s="13">
        <f>SUMPRODUCT(N1280:Y1280,$N$2:$Y$2)*$K1280*$L1280*$M1280</f>
        <v/>
      </c>
      <c r="AA1280" s="14">
        <f>SUM(N1280:Y1280)</f>
        <v/>
      </c>
      <c r="AB1280" s="14">
        <f>IFERROR(IF(UPPER($E1280)="L",SUMPRODUCT(N1280:Y1280,$N$3:$Y$3,$N$2:$Y$2),SUMPRODUCT(N1280:Y1280,$N$4:$Y$4,$N$2:$Y$2))/(Z1280/($K1280*$L1280*$M1280)),"")</f>
        <v/>
      </c>
      <c r="AC1280" s="18" t="n"/>
    </row>
    <row r="1281">
      <c r="A1281" s="9" t="n">
        <v>815816</v>
      </c>
      <c r="B1281" s="9" t="inlineStr">
        <is>
          <t>Brady Ebel</t>
        </is>
      </c>
      <c r="C1281" s="9" t="inlineStr">
        <is>
          <t>MIL</t>
        </is>
      </c>
      <c r="D1281" s="9" t="n">
        <v>20</v>
      </c>
      <c r="E1281" s="16" t="inlineStr">
        <is>
          <t>L</t>
        </is>
      </c>
      <c r="F1281" s="16" t="n"/>
      <c r="G1281" s="9" t="n">
        <v>8.615384615384617</v>
      </c>
      <c r="H1281" s="9" t="n">
        <v>8.615384615384617</v>
      </c>
      <c r="I1281" s="9" t="inlineStr">
        <is>
          <t>Depth (no MLB PA)</t>
        </is>
      </c>
      <c r="J1281" s="16" t="inlineStr">
        <is>
          <t>Opening Day</t>
        </is>
      </c>
      <c r="K1281" s="11">
        <f>IFERROR(INDEX(Roles!$B$17:$B$20,MATCH(J1281,Roles!$A$17:$A$20,0)),1)</f>
        <v/>
      </c>
      <c r="L1281" s="17" t="n">
        <v>1</v>
      </c>
      <c r="M1281" s="11" t="n">
        <v>1</v>
      </c>
      <c r="N1281" s="17" t="n"/>
      <c r="O1281" s="17" t="n"/>
      <c r="P1281" s="17" t="n"/>
      <c r="Q1281" s="17" t="n"/>
      <c r="R1281" s="17" t="n"/>
      <c r="S1281" s="17" t="n"/>
      <c r="T1281" s="17" t="n"/>
      <c r="U1281" s="17" t="n"/>
      <c r="V1281" s="17" t="n"/>
      <c r="W1281" s="17" t="n"/>
      <c r="X1281" s="17" t="n"/>
      <c r="Y1281" s="17" t="n">
        <v>1</v>
      </c>
      <c r="Z1281" s="13">
        <f>SUMPRODUCT(N1281:Y1281,$N$2:$Y$2)*$K1281*$L1281*$M1281</f>
        <v/>
      </c>
      <c r="AA1281" s="14">
        <f>SUM(N1281:Y1281)</f>
        <v/>
      </c>
      <c r="AB1281" s="14">
        <f>IFERROR(IF(UPPER($E1281)="L",SUMPRODUCT(N1281:Y1281,$N$3:$Y$3,$N$2:$Y$2),SUMPRODUCT(N1281:Y1281,$N$4:$Y$4,$N$2:$Y$2))/(Z1281/($K1281*$L1281*$M1281)),"")</f>
        <v/>
      </c>
      <c r="AC1281" s="18" t="n"/>
    </row>
    <row r="1282">
      <c r="A1282" s="9" t="n">
        <v>821279</v>
      </c>
      <c r="B1282" s="9" t="inlineStr">
        <is>
          <t>Edgardo De Leon</t>
        </is>
      </c>
      <c r="C1282" s="9" t="inlineStr">
        <is>
          <t>MIA</t>
        </is>
      </c>
      <c r="D1282" s="9" t="n">
        <v>25</v>
      </c>
      <c r="E1282" s="16" t="inlineStr">
        <is>
          <t>R</t>
        </is>
      </c>
      <c r="F1282" s="16" t="n"/>
      <c r="G1282" s="9" t="n">
        <v>17.23076923076923</v>
      </c>
      <c r="H1282" s="9" t="n">
        <v>17.23076923076923</v>
      </c>
      <c r="I1282" s="9" t="inlineStr">
        <is>
          <t>Depth (no MLB PA)</t>
        </is>
      </c>
      <c r="J1282" s="16" t="inlineStr">
        <is>
          <t>Opening Day</t>
        </is>
      </c>
      <c r="K1282" s="11">
        <f>IFERROR(INDEX(Roles!$B$17:$B$20,MATCH(J1282,Roles!$A$17:$A$20,0)),1)</f>
        <v/>
      </c>
      <c r="L1282" s="17" t="n">
        <v>1</v>
      </c>
      <c r="M1282" s="11" t="n">
        <v>1</v>
      </c>
      <c r="N1282" s="17" t="n"/>
      <c r="O1282" s="17" t="n"/>
      <c r="P1282" s="17" t="n"/>
      <c r="Q1282" s="17" t="n"/>
      <c r="R1282" s="17" t="n"/>
      <c r="S1282" s="17" t="n"/>
      <c r="T1282" s="17" t="n"/>
      <c r="U1282" s="17" t="n"/>
      <c r="V1282" s="17" t="n"/>
      <c r="W1282" s="17" t="n"/>
      <c r="X1282" s="17" t="n"/>
      <c r="Y1282" s="17" t="n">
        <v>1</v>
      </c>
      <c r="Z1282" s="13">
        <f>SUMPRODUCT(N1282:Y1282,$N$2:$Y$2)*$K1282*$L1282*$M1282</f>
        <v/>
      </c>
      <c r="AA1282" s="14">
        <f>SUM(N1282:Y1282)</f>
        <v/>
      </c>
      <c r="AB1282" s="14">
        <f>IFERROR(IF(UPPER($E1282)="L",SUMPRODUCT(N1282:Y1282,$N$3:$Y$3,$N$2:$Y$2),SUMPRODUCT(N1282:Y1282,$N$4:$Y$4,$N$2:$Y$2))/(Z1282/($K1282*$L1282*$M1282)),"")</f>
        <v/>
      </c>
      <c r="AC1282" s="18" t="n"/>
    </row>
    <row r="1283">
      <c r="A1283" s="9" t="n">
        <v>813832</v>
      </c>
      <c r="B1283" s="9" t="inlineStr">
        <is>
          <t>Colton Coates</t>
        </is>
      </c>
      <c r="C1283" s="9" t="inlineStr">
        <is>
          <t>BOS</t>
        </is>
      </c>
      <c r="D1283" s="9" t="n">
        <v>25</v>
      </c>
      <c r="E1283" s="16" t="inlineStr">
        <is>
          <t>S</t>
        </is>
      </c>
      <c r="F1283" s="16" t="n"/>
      <c r="G1283" s="9" t="n">
        <v>8.984615384615385</v>
      </c>
      <c r="H1283" s="9" t="n">
        <v>8.984615384615385</v>
      </c>
      <c r="I1283" s="9" t="inlineStr">
        <is>
          <t>Depth (no MLB PA)</t>
        </is>
      </c>
      <c r="J1283" s="16" t="inlineStr">
        <is>
          <t>Opening Day</t>
        </is>
      </c>
      <c r="K1283" s="11">
        <f>IFERROR(INDEX(Roles!$B$17:$B$20,MATCH(J1283,Roles!$A$17:$A$20,0)),1)</f>
        <v/>
      </c>
      <c r="L1283" s="17" t="n">
        <v>1</v>
      </c>
      <c r="M1283" s="11" t="n">
        <v>1</v>
      </c>
      <c r="N1283" s="17" t="n"/>
      <c r="O1283" s="17" t="n"/>
      <c r="P1283" s="17" t="n"/>
      <c r="Q1283" s="17" t="n"/>
      <c r="R1283" s="17" t="n"/>
      <c r="S1283" s="17" t="n"/>
      <c r="T1283" s="17" t="n"/>
      <c r="U1283" s="17" t="n"/>
      <c r="V1283" s="17" t="n"/>
      <c r="W1283" s="17" t="n"/>
      <c r="X1283" s="17" t="n"/>
      <c r="Y1283" s="17" t="n">
        <v>1</v>
      </c>
      <c r="Z1283" s="13">
        <f>SUMPRODUCT(N1283:Y1283,$N$2:$Y$2)*$K1283*$L1283*$M1283</f>
        <v/>
      </c>
      <c r="AA1283" s="14">
        <f>SUM(N1283:Y1283)</f>
        <v/>
      </c>
      <c r="AB1283" s="14">
        <f>IFERROR(IF(UPPER($E1283)="L",SUMPRODUCT(N1283:Y1283,$N$3:$Y$3,$N$2:$Y$2),SUMPRODUCT(N1283:Y1283,$N$4:$Y$4,$N$2:$Y$2))/(Z1283/($K1283*$L1283*$M1283)),"")</f>
        <v/>
      </c>
      <c r="AC1283" s="18" t="n"/>
    </row>
    <row r="1284">
      <c r="A1284" s="9" t="n">
        <v>692564</v>
      </c>
      <c r="B1284" s="9" t="inlineStr">
        <is>
          <t>Johnfrank Salazar</t>
        </is>
      </c>
      <c r="C1284" s="9" t="inlineStr">
        <is>
          <t>STL</t>
        </is>
      </c>
      <c r="D1284" s="9" t="n">
        <v>25</v>
      </c>
      <c r="E1284" s="16" t="inlineStr">
        <is>
          <t>R</t>
        </is>
      </c>
      <c r="F1284" s="16" t="n"/>
      <c r="G1284" s="9" t="n">
        <v>11.07692307692308</v>
      </c>
      <c r="H1284" s="9" t="n">
        <v>11.07692307692308</v>
      </c>
      <c r="I1284" s="9" t="inlineStr">
        <is>
          <t>Depth (no MLB PA)</t>
        </is>
      </c>
      <c r="J1284" s="16" t="inlineStr">
        <is>
          <t>Opening Day</t>
        </is>
      </c>
      <c r="K1284" s="11">
        <f>IFERROR(INDEX(Roles!$B$17:$B$20,MATCH(J1284,Roles!$A$17:$A$20,0)),1)</f>
        <v/>
      </c>
      <c r="L1284" s="17" t="n">
        <v>1</v>
      </c>
      <c r="M1284" s="11" t="n">
        <v>1</v>
      </c>
      <c r="N1284" s="17" t="n"/>
      <c r="O1284" s="17" t="n"/>
      <c r="P1284" s="17" t="n"/>
      <c r="Q1284" s="17" t="n"/>
      <c r="R1284" s="17" t="n"/>
      <c r="S1284" s="17" t="n"/>
      <c r="T1284" s="17" t="n"/>
      <c r="U1284" s="17" t="n"/>
      <c r="V1284" s="17" t="n"/>
      <c r="W1284" s="17" t="n"/>
      <c r="X1284" s="17" t="n"/>
      <c r="Y1284" s="17" t="n">
        <v>1</v>
      </c>
      <c r="Z1284" s="13">
        <f>SUMPRODUCT(N1284:Y1284,$N$2:$Y$2)*$K1284*$L1284*$M1284</f>
        <v/>
      </c>
      <c r="AA1284" s="14">
        <f>SUM(N1284:Y1284)</f>
        <v/>
      </c>
      <c r="AB1284" s="14">
        <f>IFERROR(IF(UPPER($E1284)="L",SUMPRODUCT(N1284:Y1284,$N$3:$Y$3,$N$2:$Y$2),SUMPRODUCT(N1284:Y1284,$N$4:$Y$4,$N$2:$Y$2))/(Z1284/($K1284*$L1284*$M1284)),"")</f>
        <v/>
      </c>
      <c r="AC1284" s="18" t="n"/>
    </row>
    <row r="1285">
      <c r="A1285" s="9" t="n">
        <v>829252</v>
      </c>
      <c r="B1285" s="9" t="inlineStr">
        <is>
          <t>Noah Franklin</t>
        </is>
      </c>
      <c r="C1285" s="9" t="inlineStr">
        <is>
          <t>TEX</t>
        </is>
      </c>
      <c r="D1285" s="9" t="n">
        <v>25</v>
      </c>
      <c r="E1285" s="16" t="inlineStr">
        <is>
          <t>R</t>
        </is>
      </c>
      <c r="F1285" s="16" t="n"/>
      <c r="G1285" s="9" t="n">
        <v>10.95384615384615</v>
      </c>
      <c r="H1285" s="9" t="n">
        <v>10.95384615384615</v>
      </c>
      <c r="I1285" s="9" t="inlineStr">
        <is>
          <t>Depth (no MLB PA)</t>
        </is>
      </c>
      <c r="J1285" s="16" t="inlineStr">
        <is>
          <t>Opening Day</t>
        </is>
      </c>
      <c r="K1285" s="11">
        <f>IFERROR(INDEX(Roles!$B$17:$B$20,MATCH(J1285,Roles!$A$17:$A$20,0)),1)</f>
        <v/>
      </c>
      <c r="L1285" s="17" t="n">
        <v>1</v>
      </c>
      <c r="M1285" s="11" t="n">
        <v>1</v>
      </c>
      <c r="N1285" s="17" t="n"/>
      <c r="O1285" s="17" t="n"/>
      <c r="P1285" s="17" t="n"/>
      <c r="Q1285" s="17" t="n"/>
      <c r="R1285" s="17" t="n"/>
      <c r="S1285" s="17" t="n"/>
      <c r="T1285" s="17" t="n"/>
      <c r="U1285" s="17" t="n"/>
      <c r="V1285" s="17" t="n"/>
      <c r="W1285" s="17" t="n"/>
      <c r="X1285" s="17" t="n"/>
      <c r="Y1285" s="17" t="n">
        <v>1</v>
      </c>
      <c r="Z1285" s="13">
        <f>SUMPRODUCT(N1285:Y1285,$N$2:$Y$2)*$K1285*$L1285*$M1285</f>
        <v/>
      </c>
      <c r="AA1285" s="14">
        <f>SUM(N1285:Y1285)</f>
        <v/>
      </c>
      <c r="AB1285" s="14">
        <f>IFERROR(IF(UPPER($E1285)="L",SUMPRODUCT(N1285:Y1285,$N$3:$Y$3,$N$2:$Y$2),SUMPRODUCT(N1285:Y1285,$N$4:$Y$4,$N$2:$Y$2))/(Z1285/($K1285*$L1285*$M1285)),"")</f>
        <v/>
      </c>
      <c r="AC1285" s="18" t="n"/>
    </row>
    <row r="1286">
      <c r="A1286" s="9" t="n">
        <v>700358</v>
      </c>
      <c r="B1286" s="9" t="inlineStr">
        <is>
          <t>Narbe Cruz</t>
        </is>
      </c>
      <c r="C1286" s="9" t="inlineStr">
        <is>
          <t>HOU</t>
        </is>
      </c>
      <c r="D1286" s="9" t="n">
        <v>25</v>
      </c>
      <c r="E1286" s="16" t="inlineStr">
        <is>
          <t>R</t>
        </is>
      </c>
      <c r="F1286" s="16" t="n"/>
      <c r="G1286" s="9" t="n">
        <v>13.12820512820513</v>
      </c>
      <c r="H1286" s="9" t="n">
        <v>13.12820512820513</v>
      </c>
      <c r="I1286" s="9" t="inlineStr">
        <is>
          <t>Depth (no MLB PA)</t>
        </is>
      </c>
      <c r="J1286" s="16" t="inlineStr">
        <is>
          <t>Opening Day</t>
        </is>
      </c>
      <c r="K1286" s="11">
        <f>IFERROR(INDEX(Roles!$B$17:$B$20,MATCH(J1286,Roles!$A$17:$A$20,0)),1)</f>
        <v/>
      </c>
      <c r="L1286" s="17" t="n">
        <v>1</v>
      </c>
      <c r="M1286" s="11" t="n">
        <v>1</v>
      </c>
      <c r="N1286" s="17" t="n"/>
      <c r="O1286" s="17" t="n"/>
      <c r="P1286" s="17" t="n"/>
      <c r="Q1286" s="17" t="n"/>
      <c r="R1286" s="17" t="n"/>
      <c r="S1286" s="17" t="n"/>
      <c r="T1286" s="17" t="n"/>
      <c r="U1286" s="17" t="n"/>
      <c r="V1286" s="17" t="n"/>
      <c r="W1286" s="17" t="n"/>
      <c r="X1286" s="17" t="n"/>
      <c r="Y1286" s="17" t="n">
        <v>1</v>
      </c>
      <c r="Z1286" s="13">
        <f>SUMPRODUCT(N1286:Y1286,$N$2:$Y$2)*$K1286*$L1286*$M1286</f>
        <v/>
      </c>
      <c r="AA1286" s="14">
        <f>SUM(N1286:Y1286)</f>
        <v/>
      </c>
      <c r="AB1286" s="14">
        <f>IFERROR(IF(UPPER($E1286)="L",SUMPRODUCT(N1286:Y1286,$N$3:$Y$3,$N$2:$Y$2),SUMPRODUCT(N1286:Y1286,$N$4:$Y$4,$N$2:$Y$2))/(Z1286/($K1286*$L1286*$M1286)),"")</f>
        <v/>
      </c>
      <c r="AC1286" s="18" t="n"/>
    </row>
    <row r="1287">
      <c r="A1287" s="9" t="n">
        <v>811443</v>
      </c>
      <c r="B1287" s="9" t="inlineStr">
        <is>
          <t>Jake Berkland</t>
        </is>
      </c>
      <c r="C1287" s="9" t="inlineStr">
        <is>
          <t>CWS</t>
        </is>
      </c>
      <c r="D1287" s="9" t="n">
        <v>25</v>
      </c>
      <c r="E1287" s="16" t="inlineStr">
        <is>
          <t>R</t>
        </is>
      </c>
      <c r="F1287" s="16" t="n"/>
      <c r="G1287" s="9" t="n">
        <v>8.861538461538462</v>
      </c>
      <c r="H1287" s="9" t="n">
        <v>8.861538461538462</v>
      </c>
      <c r="I1287" s="9" t="inlineStr">
        <is>
          <t>Depth (no MLB PA)</t>
        </is>
      </c>
      <c r="J1287" s="16" t="inlineStr">
        <is>
          <t>Opening Day</t>
        </is>
      </c>
      <c r="K1287" s="11">
        <f>IFERROR(INDEX(Roles!$B$17:$B$20,MATCH(J1287,Roles!$A$17:$A$20,0)),1)</f>
        <v/>
      </c>
      <c r="L1287" s="17" t="n">
        <v>1</v>
      </c>
      <c r="M1287" s="11" t="n">
        <v>1</v>
      </c>
      <c r="N1287" s="17" t="n"/>
      <c r="O1287" s="17" t="n"/>
      <c r="P1287" s="17" t="n"/>
      <c r="Q1287" s="17" t="n"/>
      <c r="R1287" s="17" t="n"/>
      <c r="S1287" s="17" t="n"/>
      <c r="T1287" s="17" t="n"/>
      <c r="U1287" s="17" t="n"/>
      <c r="V1287" s="17" t="n"/>
      <c r="W1287" s="17" t="n"/>
      <c r="X1287" s="17" t="n"/>
      <c r="Y1287" s="17" t="n">
        <v>1</v>
      </c>
      <c r="Z1287" s="13">
        <f>SUMPRODUCT(N1287:Y1287,$N$2:$Y$2)*$K1287*$L1287*$M1287</f>
        <v/>
      </c>
      <c r="AA1287" s="14">
        <f>SUM(N1287:Y1287)</f>
        <v/>
      </c>
      <c r="AB1287" s="14">
        <f>IFERROR(IF(UPPER($E1287)="L",SUMPRODUCT(N1287:Y1287,$N$3:$Y$3,$N$2:$Y$2),SUMPRODUCT(N1287:Y1287,$N$4:$Y$4,$N$2:$Y$2))/(Z1287/($K1287*$L1287*$M1287)),"")</f>
        <v/>
      </c>
      <c r="AC1287" s="18" t="n"/>
    </row>
    <row r="1288">
      <c r="A1288" s="9" t="n">
        <v>543068</v>
      </c>
      <c r="B1288" s="9" t="inlineStr">
        <is>
          <t>C.J. Cron</t>
        </is>
      </c>
      <c r="C1288" s="9" t="inlineStr">
        <is>
          <t>LAA</t>
        </is>
      </c>
      <c r="D1288" s="9" t="n">
        <v>37</v>
      </c>
      <c r="E1288" s="16" t="inlineStr">
        <is>
          <t>R</t>
        </is>
      </c>
      <c r="F1288" s="16" t="inlineStr">
        <is>
          <t>1B</t>
        </is>
      </c>
      <c r="G1288" s="9" t="n">
        <v>278</v>
      </c>
      <c r="H1288" s="9" t="n">
        <v>910</v>
      </c>
      <c r="I1288" s="9" t="inlineStr">
        <is>
          <t>Depth (no MLB PA)</t>
        </is>
      </c>
      <c r="J1288" s="16" t="inlineStr">
        <is>
          <t>Opening Day</t>
        </is>
      </c>
      <c r="K1288" s="11">
        <f>IFERROR(INDEX(Roles!$B$17:$B$20,MATCH(J1288,Roles!$A$17:$A$20,0)),1)</f>
        <v/>
      </c>
      <c r="L1288" s="17" t="n">
        <v>1</v>
      </c>
      <c r="M1288" s="11" t="n">
        <v>1</v>
      </c>
      <c r="N1288" s="17" t="n"/>
      <c r="O1288" s="17" t="n"/>
      <c r="P1288" s="17" t="n"/>
      <c r="Q1288" s="17" t="n"/>
      <c r="R1288" s="17" t="n"/>
      <c r="S1288" s="17" t="n"/>
      <c r="T1288" s="17" t="n"/>
      <c r="U1288" s="17" t="n"/>
      <c r="V1288" s="17" t="n"/>
      <c r="W1288" s="17" t="n"/>
      <c r="X1288" s="17" t="n"/>
      <c r="Y1288" s="17" t="n">
        <v>1</v>
      </c>
      <c r="Z1288" s="13">
        <f>SUMPRODUCT(N1288:Y1288,$N$2:$Y$2)*$K1288*$L1288*$M1288</f>
        <v/>
      </c>
      <c r="AA1288" s="14">
        <f>SUM(N1288:Y1288)</f>
        <v/>
      </c>
      <c r="AB1288" s="14">
        <f>IFERROR(IF(UPPER($E1288)="L",SUMPRODUCT(N1288:Y1288,$N$3:$Y$3,$N$2:$Y$2),SUMPRODUCT(N1288:Y1288,$N$4:$Y$4,$N$2:$Y$2))/(Z1288/($K1288*$L1288*$M1288)),"")</f>
        <v/>
      </c>
      <c r="AC1288" s="18" t="n"/>
    </row>
    <row r="1289">
      <c r="A1289" s="9" t="n">
        <v>691422</v>
      </c>
      <c r="B1289" s="9" t="inlineStr">
        <is>
          <t>Kevin Rivas</t>
        </is>
      </c>
      <c r="C1289" s="9" t="inlineStr">
        <is>
          <t>CLE</t>
        </is>
      </c>
      <c r="D1289" s="9" t="n">
        <v>25</v>
      </c>
      <c r="E1289" s="16" t="inlineStr">
        <is>
          <t>S</t>
        </is>
      </c>
      <c r="F1289" s="16" t="n"/>
      <c r="G1289" s="9" t="n">
        <v>9.025641025641027</v>
      </c>
      <c r="H1289" s="9" t="n">
        <v>9.025641025641027</v>
      </c>
      <c r="I1289" s="9" t="inlineStr">
        <is>
          <t>Depth (no MLB PA)</t>
        </is>
      </c>
      <c r="J1289" s="16" t="inlineStr">
        <is>
          <t>Opening Day</t>
        </is>
      </c>
      <c r="K1289" s="11">
        <f>IFERROR(INDEX(Roles!$B$17:$B$20,MATCH(J1289,Roles!$A$17:$A$20,0)),1)</f>
        <v/>
      </c>
      <c r="L1289" s="17" t="n">
        <v>1</v>
      </c>
      <c r="M1289" s="11" t="n">
        <v>1</v>
      </c>
      <c r="N1289" s="17" t="n"/>
      <c r="O1289" s="17" t="n"/>
      <c r="P1289" s="17" t="n"/>
      <c r="Q1289" s="17" t="n"/>
      <c r="R1289" s="17" t="n"/>
      <c r="S1289" s="17" t="n"/>
      <c r="T1289" s="17" t="n"/>
      <c r="U1289" s="17" t="n"/>
      <c r="V1289" s="17" t="n"/>
      <c r="W1289" s="17" t="n"/>
      <c r="X1289" s="17" t="n"/>
      <c r="Y1289" s="17" t="n">
        <v>1</v>
      </c>
      <c r="Z1289" s="13">
        <f>SUMPRODUCT(N1289:Y1289,$N$2:$Y$2)*$K1289*$L1289*$M1289</f>
        <v/>
      </c>
      <c r="AA1289" s="14">
        <f>SUM(N1289:Y1289)</f>
        <v/>
      </c>
      <c r="AB1289" s="14">
        <f>IFERROR(IF(UPPER($E1289)="L",SUMPRODUCT(N1289:Y1289,$N$3:$Y$3,$N$2:$Y$2),SUMPRODUCT(N1289:Y1289,$N$4:$Y$4,$N$2:$Y$2))/(Z1289/($K1289*$L1289*$M1289)),"")</f>
        <v/>
      </c>
      <c r="AC1289" s="18" t="n"/>
    </row>
    <row r="1290">
      <c r="A1290" s="9" t="n">
        <v>829059</v>
      </c>
      <c r="B1290" s="9" t="inlineStr">
        <is>
          <t>Johan De Los Santos</t>
        </is>
      </c>
      <c r="C1290" s="9" t="inlineStr">
        <is>
          <t>PIT</t>
        </is>
      </c>
      <c r="D1290" s="9" t="n">
        <v>19</v>
      </c>
      <c r="E1290" s="16" t="inlineStr">
        <is>
          <t>L</t>
        </is>
      </c>
      <c r="F1290" s="16" t="n"/>
      <c r="G1290" s="9" t="n">
        <v>11.32307692307692</v>
      </c>
      <c r="H1290" s="9" t="n">
        <v>11.32307692307692</v>
      </c>
      <c r="I1290" s="9" t="inlineStr">
        <is>
          <t>Depth (no MLB PA)</t>
        </is>
      </c>
      <c r="J1290" s="16" t="inlineStr">
        <is>
          <t>Opening Day</t>
        </is>
      </c>
      <c r="K1290" s="11">
        <f>IFERROR(INDEX(Roles!$B$17:$B$20,MATCH(J1290,Roles!$A$17:$A$20,0)),1)</f>
        <v/>
      </c>
      <c r="L1290" s="17" t="n">
        <v>1</v>
      </c>
      <c r="M1290" s="11" t="n">
        <v>1</v>
      </c>
      <c r="N1290" s="17" t="n"/>
      <c r="O1290" s="17" t="n"/>
      <c r="P1290" s="17" t="n"/>
      <c r="Q1290" s="17" t="n"/>
      <c r="R1290" s="17" t="n"/>
      <c r="S1290" s="17" t="n"/>
      <c r="T1290" s="17" t="n"/>
      <c r="U1290" s="17" t="n"/>
      <c r="V1290" s="17" t="n"/>
      <c r="W1290" s="17" t="n"/>
      <c r="X1290" s="17" t="n"/>
      <c r="Y1290" s="17" t="n">
        <v>1</v>
      </c>
      <c r="Z1290" s="13">
        <f>SUMPRODUCT(N1290:Y1290,$N$2:$Y$2)*$K1290*$L1290*$M1290</f>
        <v/>
      </c>
      <c r="AA1290" s="14">
        <f>SUM(N1290:Y1290)</f>
        <v/>
      </c>
      <c r="AB1290" s="14">
        <f>IFERROR(IF(UPPER($E1290)="L",SUMPRODUCT(N1290:Y1290,$N$3:$Y$3,$N$2:$Y$2),SUMPRODUCT(N1290:Y1290,$N$4:$Y$4,$N$2:$Y$2))/(Z1290/($K1290*$L1290*$M1290)),"")</f>
        <v/>
      </c>
      <c r="AC1290" s="18" t="n"/>
    </row>
    <row r="1291">
      <c r="A1291" s="9" t="n">
        <v>815832</v>
      </c>
      <c r="B1291" s="9" t="inlineStr">
        <is>
          <t>Xavier Neyens</t>
        </is>
      </c>
      <c r="C1291" s="9" t="inlineStr">
        <is>
          <t>HOU</t>
        </is>
      </c>
      <c r="D1291" s="9" t="n">
        <v>21</v>
      </c>
      <c r="E1291" s="16" t="inlineStr">
        <is>
          <t>L</t>
        </is>
      </c>
      <c r="F1291" s="16" t="n"/>
      <c r="G1291" s="9" t="n">
        <v>32.82051282051282</v>
      </c>
      <c r="H1291" s="9" t="n">
        <v>32.82051282051282</v>
      </c>
      <c r="I1291" s="9" t="inlineStr">
        <is>
          <t>Depth (no MLB PA)</t>
        </is>
      </c>
      <c r="J1291" s="16" t="inlineStr">
        <is>
          <t>Opening Day</t>
        </is>
      </c>
      <c r="K1291" s="11">
        <f>IFERROR(INDEX(Roles!$B$17:$B$20,MATCH(J1291,Roles!$A$17:$A$20,0)),1)</f>
        <v/>
      </c>
      <c r="L1291" s="17" t="n">
        <v>1</v>
      </c>
      <c r="M1291" s="11" t="n">
        <v>1</v>
      </c>
      <c r="N1291" s="17" t="n"/>
      <c r="O1291" s="17" t="n"/>
      <c r="P1291" s="17" t="n"/>
      <c r="Q1291" s="17" t="n"/>
      <c r="R1291" s="17" t="n"/>
      <c r="S1291" s="17" t="n"/>
      <c r="T1291" s="17" t="n"/>
      <c r="U1291" s="17" t="n"/>
      <c r="V1291" s="17" t="n"/>
      <c r="W1291" s="17" t="n"/>
      <c r="X1291" s="17" t="n"/>
      <c r="Y1291" s="17" t="n">
        <v>1</v>
      </c>
      <c r="Z1291" s="13">
        <f>SUMPRODUCT(N1291:Y1291,$N$2:$Y$2)*$K1291*$L1291*$M1291</f>
        <v/>
      </c>
      <c r="AA1291" s="14">
        <f>SUM(N1291:Y1291)</f>
        <v/>
      </c>
      <c r="AB1291" s="14">
        <f>IFERROR(IF(UPPER($E1291)="L",SUMPRODUCT(N1291:Y1291,$N$3:$Y$3,$N$2:$Y$2),SUMPRODUCT(N1291:Y1291,$N$4:$Y$4,$N$2:$Y$2))/(Z1291/($K1291*$L1291*$M1291)),"")</f>
        <v/>
      </c>
      <c r="AC1291" s="18" t="n"/>
    </row>
    <row r="1292">
      <c r="A1292" s="9" t="n">
        <v>806131</v>
      </c>
      <c r="B1292" s="9" t="inlineStr">
        <is>
          <t>Dee Kennedy</t>
        </is>
      </c>
      <c r="C1292" s="9" t="inlineStr">
        <is>
          <t>STL</t>
        </is>
      </c>
      <c r="D1292" s="9" t="n">
        <v>25</v>
      </c>
      <c r="E1292" s="16" t="inlineStr">
        <is>
          <t>R</t>
        </is>
      </c>
      <c r="F1292" s="16" t="n"/>
      <c r="G1292" s="9" t="n">
        <v>11.07692307692308</v>
      </c>
      <c r="H1292" s="9" t="n">
        <v>11.07692307692308</v>
      </c>
      <c r="I1292" s="9" t="inlineStr">
        <is>
          <t>Depth (no MLB PA)</t>
        </is>
      </c>
      <c r="J1292" s="16" t="inlineStr">
        <is>
          <t>Opening Day</t>
        </is>
      </c>
      <c r="K1292" s="11">
        <f>IFERROR(INDEX(Roles!$B$17:$B$20,MATCH(J1292,Roles!$A$17:$A$20,0)),1)</f>
        <v/>
      </c>
      <c r="L1292" s="17" t="n">
        <v>1</v>
      </c>
      <c r="M1292" s="11" t="n">
        <v>1</v>
      </c>
      <c r="N1292" s="17" t="n"/>
      <c r="O1292" s="17" t="n"/>
      <c r="P1292" s="17" t="n"/>
      <c r="Q1292" s="17" t="n"/>
      <c r="R1292" s="17" t="n"/>
      <c r="S1292" s="17" t="n"/>
      <c r="T1292" s="17" t="n"/>
      <c r="U1292" s="17" t="n"/>
      <c r="V1292" s="17" t="n"/>
      <c r="W1292" s="17" t="n"/>
      <c r="X1292" s="17" t="n"/>
      <c r="Y1292" s="17" t="n">
        <v>1</v>
      </c>
      <c r="Z1292" s="13">
        <f>SUMPRODUCT(N1292:Y1292,$N$2:$Y$2)*$K1292*$L1292*$M1292</f>
        <v/>
      </c>
      <c r="AA1292" s="14">
        <f>SUM(N1292:Y1292)</f>
        <v/>
      </c>
      <c r="AB1292" s="14">
        <f>IFERROR(IF(UPPER($E1292)="L",SUMPRODUCT(N1292:Y1292,$N$3:$Y$3,$N$2:$Y$2),SUMPRODUCT(N1292:Y1292,$N$4:$Y$4,$N$2:$Y$2))/(Z1292/($K1292*$L1292*$M1292)),"")</f>
        <v/>
      </c>
      <c r="AC1292" s="18" t="n"/>
    </row>
    <row r="1293">
      <c r="A1293" s="9" t="n">
        <v>691408</v>
      </c>
      <c r="B1293" s="9" t="inlineStr">
        <is>
          <t>Maick Collado</t>
        </is>
      </c>
      <c r="C1293" s="9" t="inlineStr">
        <is>
          <t>CLE</t>
        </is>
      </c>
      <c r="D1293" s="9" t="n">
        <v>25</v>
      </c>
      <c r="E1293" s="16" t="inlineStr">
        <is>
          <t>S</t>
        </is>
      </c>
      <c r="F1293" s="16" t="n"/>
      <c r="G1293" s="9" t="n">
        <v>25.38461538461539</v>
      </c>
      <c r="H1293" s="9" t="n">
        <v>25.38461538461539</v>
      </c>
      <c r="I1293" s="9" t="inlineStr">
        <is>
          <t>Depth (no MLB PA)</t>
        </is>
      </c>
      <c r="J1293" s="16" t="inlineStr">
        <is>
          <t>Opening Day</t>
        </is>
      </c>
      <c r="K1293" s="11">
        <f>IFERROR(INDEX(Roles!$B$17:$B$20,MATCH(J1293,Roles!$A$17:$A$20,0)),1)</f>
        <v/>
      </c>
      <c r="L1293" s="17" t="n">
        <v>1</v>
      </c>
      <c r="M1293" s="11" t="n">
        <v>1</v>
      </c>
      <c r="N1293" s="17" t="n"/>
      <c r="O1293" s="17" t="n"/>
      <c r="P1293" s="17" t="n"/>
      <c r="Q1293" s="17" t="n"/>
      <c r="R1293" s="17" t="n"/>
      <c r="S1293" s="17" t="n"/>
      <c r="T1293" s="17" t="n"/>
      <c r="U1293" s="17" t="n"/>
      <c r="V1293" s="17" t="n"/>
      <c r="W1293" s="17" t="n"/>
      <c r="X1293" s="17" t="n"/>
      <c r="Y1293" s="17" t="n">
        <v>1</v>
      </c>
      <c r="Z1293" s="13">
        <f>SUMPRODUCT(N1293:Y1293,$N$2:$Y$2)*$K1293*$L1293*$M1293</f>
        <v/>
      </c>
      <c r="AA1293" s="14">
        <f>SUM(N1293:Y1293)</f>
        <v/>
      </c>
      <c r="AB1293" s="14">
        <f>IFERROR(IF(UPPER($E1293)="L",SUMPRODUCT(N1293:Y1293,$N$3:$Y$3,$N$2:$Y$2),SUMPRODUCT(N1293:Y1293,$N$4:$Y$4,$N$2:$Y$2))/(Z1293/($K1293*$L1293*$M1293)),"")</f>
        <v/>
      </c>
      <c r="AC1293" s="18" t="n"/>
    </row>
    <row r="1294">
      <c r="A1294" s="9" t="n">
        <v>815792</v>
      </c>
      <c r="B1294" s="9" t="inlineStr">
        <is>
          <t>Chase Harlan</t>
        </is>
      </c>
      <c r="C1294" s="9" t="inlineStr">
        <is>
          <t>LAD</t>
        </is>
      </c>
      <c r="D1294" s="9" t="n">
        <v>21</v>
      </c>
      <c r="E1294" s="16" t="inlineStr">
        <is>
          <t>R</t>
        </is>
      </c>
      <c r="F1294" s="16" t="n"/>
      <c r="G1294" s="9" t="n">
        <v>25.84615384615385</v>
      </c>
      <c r="H1294" s="9" t="n">
        <v>25.84615384615385</v>
      </c>
      <c r="I1294" s="9" t="inlineStr">
        <is>
          <t>Depth (no MLB PA)</t>
        </is>
      </c>
      <c r="J1294" s="16" t="inlineStr">
        <is>
          <t>Opening Day</t>
        </is>
      </c>
      <c r="K1294" s="11">
        <f>IFERROR(INDEX(Roles!$B$17:$B$20,MATCH(J1294,Roles!$A$17:$A$20,0)),1)</f>
        <v/>
      </c>
      <c r="L1294" s="17" t="n">
        <v>1</v>
      </c>
      <c r="M1294" s="11" t="n">
        <v>1</v>
      </c>
      <c r="N1294" s="17" t="n"/>
      <c r="O1294" s="17" t="n"/>
      <c r="P1294" s="17" t="n"/>
      <c r="Q1294" s="17" t="n"/>
      <c r="R1294" s="17" t="n"/>
      <c r="S1294" s="17" t="n"/>
      <c r="T1294" s="17" t="n"/>
      <c r="U1294" s="17" t="n"/>
      <c r="V1294" s="17" t="n"/>
      <c r="W1294" s="17" t="n"/>
      <c r="X1294" s="17" t="n"/>
      <c r="Y1294" s="17" t="n">
        <v>1</v>
      </c>
      <c r="Z1294" s="13">
        <f>SUMPRODUCT(N1294:Y1294,$N$2:$Y$2)*$K1294*$L1294*$M1294</f>
        <v/>
      </c>
      <c r="AA1294" s="14">
        <f>SUM(N1294:Y1294)</f>
        <v/>
      </c>
      <c r="AB1294" s="14">
        <f>IFERROR(IF(UPPER($E1294)="L",SUMPRODUCT(N1294:Y1294,$N$3:$Y$3,$N$2:$Y$2),SUMPRODUCT(N1294:Y1294,$N$4:$Y$4,$N$2:$Y$2))/(Z1294/($K1294*$L1294*$M1294)),"")</f>
        <v/>
      </c>
      <c r="AC1294" s="18" t="n"/>
    </row>
    <row r="1295">
      <c r="A1295" s="9" t="n">
        <v>829670</v>
      </c>
      <c r="B1295" s="9" t="inlineStr">
        <is>
          <t>Brayden Smith</t>
        </is>
      </c>
      <c r="C1295" s="9" t="inlineStr">
        <is>
          <t>STL</t>
        </is>
      </c>
      <c r="D1295" s="9" t="n">
        <v>25</v>
      </c>
      <c r="E1295" s="16" t="inlineStr">
        <is>
          <t>L</t>
        </is>
      </c>
      <c r="F1295" s="16" t="n"/>
      <c r="G1295" s="9" t="n">
        <v>21.33333333333334</v>
      </c>
      <c r="H1295" s="9" t="n">
        <v>21.33333333333334</v>
      </c>
      <c r="I1295" s="9" t="inlineStr">
        <is>
          <t>Depth (no MLB PA)</t>
        </is>
      </c>
      <c r="J1295" s="16" t="inlineStr">
        <is>
          <t>Opening Day</t>
        </is>
      </c>
      <c r="K1295" s="11">
        <f>IFERROR(INDEX(Roles!$B$17:$B$20,MATCH(J1295,Roles!$A$17:$A$20,0)),1)</f>
        <v/>
      </c>
      <c r="L1295" s="17" t="n">
        <v>1</v>
      </c>
      <c r="M1295" s="11" t="n">
        <v>1</v>
      </c>
      <c r="N1295" s="17" t="n"/>
      <c r="O1295" s="17" t="n"/>
      <c r="P1295" s="17" t="n"/>
      <c r="Q1295" s="17" t="n"/>
      <c r="R1295" s="17" t="n"/>
      <c r="S1295" s="17" t="n"/>
      <c r="T1295" s="17" t="n"/>
      <c r="U1295" s="17" t="n"/>
      <c r="V1295" s="17" t="n"/>
      <c r="W1295" s="17" t="n"/>
      <c r="X1295" s="17" t="n"/>
      <c r="Y1295" s="17" t="n">
        <v>1</v>
      </c>
      <c r="Z1295" s="13">
        <f>SUMPRODUCT(N1295:Y1295,$N$2:$Y$2)*$K1295*$L1295*$M1295</f>
        <v/>
      </c>
      <c r="AA1295" s="14">
        <f>SUM(N1295:Y1295)</f>
        <v/>
      </c>
      <c r="AB1295" s="14">
        <f>IFERROR(IF(UPPER($E1295)="L",SUMPRODUCT(N1295:Y1295,$N$3:$Y$3,$N$2:$Y$2),SUMPRODUCT(N1295:Y1295,$N$4:$Y$4,$N$2:$Y$2))/(Z1295/($K1295*$L1295*$M1295)),"")</f>
        <v/>
      </c>
      <c r="AC1295" s="18" t="n"/>
    </row>
    <row r="1296">
      <c r="A1296" s="9" t="n">
        <v>806962</v>
      </c>
      <c r="B1296" s="9" t="inlineStr">
        <is>
          <t>Enmanuel Bonilla</t>
        </is>
      </c>
      <c r="C1296" s="9" t="inlineStr">
        <is>
          <t>TOR</t>
        </is>
      </c>
      <c r="D1296" s="9" t="n">
        <v>25</v>
      </c>
      <c r="E1296" s="16" t="inlineStr">
        <is>
          <t>R</t>
        </is>
      </c>
      <c r="F1296" s="16" t="n"/>
      <c r="G1296" s="9" t="n">
        <v>15.26153846153846</v>
      </c>
      <c r="H1296" s="9" t="n">
        <v>15.26153846153846</v>
      </c>
      <c r="I1296" s="9" t="inlineStr">
        <is>
          <t>Depth (no MLB PA)</t>
        </is>
      </c>
      <c r="J1296" s="16" t="inlineStr">
        <is>
          <t>Opening Day</t>
        </is>
      </c>
      <c r="K1296" s="11">
        <f>IFERROR(INDEX(Roles!$B$17:$B$20,MATCH(J1296,Roles!$A$17:$A$20,0)),1)</f>
        <v/>
      </c>
      <c r="L1296" s="17" t="n">
        <v>1</v>
      </c>
      <c r="M1296" s="11" t="n">
        <v>1</v>
      </c>
      <c r="N1296" s="17" t="n"/>
      <c r="O1296" s="17" t="n"/>
      <c r="P1296" s="17" t="n"/>
      <c r="Q1296" s="17" t="n"/>
      <c r="R1296" s="17" t="n"/>
      <c r="S1296" s="17" t="n"/>
      <c r="T1296" s="17" t="n"/>
      <c r="U1296" s="17" t="n"/>
      <c r="V1296" s="17" t="n"/>
      <c r="W1296" s="17" t="n"/>
      <c r="X1296" s="17" t="n"/>
      <c r="Y1296" s="17" t="n">
        <v>1</v>
      </c>
      <c r="Z1296" s="13">
        <f>SUMPRODUCT(N1296:Y1296,$N$2:$Y$2)*$K1296*$L1296*$M1296</f>
        <v/>
      </c>
      <c r="AA1296" s="14">
        <f>SUM(N1296:Y1296)</f>
        <v/>
      </c>
      <c r="AB1296" s="14">
        <f>IFERROR(IF(UPPER($E1296)="L",SUMPRODUCT(N1296:Y1296,$N$3:$Y$3,$N$2:$Y$2),SUMPRODUCT(N1296:Y1296,$N$4:$Y$4,$N$2:$Y$2))/(Z1296/($K1296*$L1296*$M1296)),"")</f>
        <v/>
      </c>
      <c r="AC1296" s="18" t="n"/>
    </row>
    <row r="1297">
      <c r="A1297" s="9" t="n">
        <v>694977</v>
      </c>
      <c r="B1297" s="9" t="inlineStr">
        <is>
          <t>Nate Nankil</t>
        </is>
      </c>
      <c r="C1297" s="9" t="inlineStr">
        <is>
          <t>OAK</t>
        </is>
      </c>
      <c r="D1297" s="9" t="n">
        <v>25</v>
      </c>
      <c r="E1297" s="16" t="inlineStr">
        <is>
          <t>R</t>
        </is>
      </c>
      <c r="F1297" s="16" t="n"/>
      <c r="G1297" s="9" t="n">
        <v>35.53846153846154</v>
      </c>
      <c r="H1297" s="9" t="n">
        <v>35.53846153846154</v>
      </c>
      <c r="I1297" s="9" t="inlineStr">
        <is>
          <t>Depth (no MLB PA)</t>
        </is>
      </c>
      <c r="J1297" s="16" t="inlineStr">
        <is>
          <t>Opening Day</t>
        </is>
      </c>
      <c r="K1297" s="11">
        <f>IFERROR(INDEX(Roles!$B$17:$B$20,MATCH(J1297,Roles!$A$17:$A$20,0)),1)</f>
        <v/>
      </c>
      <c r="L1297" s="17" t="n">
        <v>1</v>
      </c>
      <c r="M1297" s="11" t="n">
        <v>1</v>
      </c>
      <c r="N1297" s="17" t="n"/>
      <c r="O1297" s="17" t="n"/>
      <c r="P1297" s="17" t="n"/>
      <c r="Q1297" s="17" t="n"/>
      <c r="R1297" s="17" t="n"/>
      <c r="S1297" s="17" t="n"/>
      <c r="T1297" s="17" t="n"/>
      <c r="U1297" s="17" t="n"/>
      <c r="V1297" s="17" t="n"/>
      <c r="W1297" s="17" t="n"/>
      <c r="X1297" s="17" t="n"/>
      <c r="Y1297" s="17" t="n">
        <v>1</v>
      </c>
      <c r="Z1297" s="13">
        <f>SUMPRODUCT(N1297:Y1297,$N$2:$Y$2)*$K1297*$L1297*$M1297</f>
        <v/>
      </c>
      <c r="AA1297" s="14">
        <f>SUM(N1297:Y1297)</f>
        <v/>
      </c>
      <c r="AB1297" s="14">
        <f>IFERROR(IF(UPPER($E1297)="L",SUMPRODUCT(N1297:Y1297,$N$3:$Y$3,$N$2:$Y$2),SUMPRODUCT(N1297:Y1297,$N$4:$Y$4,$N$2:$Y$2))/(Z1297/($K1297*$L1297*$M1297)),"")</f>
        <v/>
      </c>
      <c r="AC1297" s="18" t="n"/>
    </row>
    <row r="1298">
      <c r="A1298" s="9" t="n">
        <v>703194</v>
      </c>
      <c r="B1298" s="9" t="inlineStr">
        <is>
          <t>Randy De Jesus</t>
        </is>
      </c>
      <c r="C1298" s="9" t="inlineStr">
        <is>
          <t>LAA</t>
        </is>
      </c>
      <c r="D1298" s="9" t="n">
        <v>25</v>
      </c>
      <c r="E1298" s="16" t="inlineStr">
        <is>
          <t>R</t>
        </is>
      </c>
      <c r="F1298" s="16" t="n"/>
      <c r="G1298" s="9" t="n">
        <v>17.23076923076923</v>
      </c>
      <c r="H1298" s="9" t="n">
        <v>17.23076923076923</v>
      </c>
      <c r="I1298" s="9" t="inlineStr">
        <is>
          <t>Depth (no MLB PA)</t>
        </is>
      </c>
      <c r="J1298" s="16" t="inlineStr">
        <is>
          <t>Opening Day</t>
        </is>
      </c>
      <c r="K1298" s="11">
        <f>IFERROR(INDEX(Roles!$B$17:$B$20,MATCH(J1298,Roles!$A$17:$A$20,0)),1)</f>
        <v/>
      </c>
      <c r="L1298" s="17" t="n">
        <v>1</v>
      </c>
      <c r="M1298" s="11" t="n">
        <v>1</v>
      </c>
      <c r="N1298" s="17" t="n"/>
      <c r="O1298" s="17" t="n"/>
      <c r="P1298" s="17" t="n"/>
      <c r="Q1298" s="17" t="n"/>
      <c r="R1298" s="17" t="n"/>
      <c r="S1298" s="17" t="n"/>
      <c r="T1298" s="17" t="n"/>
      <c r="U1298" s="17" t="n"/>
      <c r="V1298" s="17" t="n"/>
      <c r="W1298" s="17" t="n"/>
      <c r="X1298" s="17" t="n"/>
      <c r="Y1298" s="17" t="n">
        <v>1</v>
      </c>
      <c r="Z1298" s="13">
        <f>SUMPRODUCT(N1298:Y1298,$N$2:$Y$2)*$K1298*$L1298*$M1298</f>
        <v/>
      </c>
      <c r="AA1298" s="14">
        <f>SUM(N1298:Y1298)</f>
        <v/>
      </c>
      <c r="AB1298" s="14">
        <f>IFERROR(IF(UPPER($E1298)="L",SUMPRODUCT(N1298:Y1298,$N$3:$Y$3,$N$2:$Y$2),SUMPRODUCT(N1298:Y1298,$N$4:$Y$4,$N$2:$Y$2))/(Z1298/($K1298*$L1298*$M1298)),"")</f>
        <v/>
      </c>
      <c r="AC1298" s="18" t="n"/>
    </row>
    <row r="1299">
      <c r="A1299" s="9" t="n">
        <v>702705</v>
      </c>
      <c r="B1299" s="9" t="inlineStr">
        <is>
          <t>Kolby Branch</t>
        </is>
      </c>
      <c r="C1299" s="9" t="inlineStr">
        <is>
          <t>TEX</t>
        </is>
      </c>
      <c r="D1299" s="9" t="n">
        <v>25</v>
      </c>
      <c r="E1299" s="16" t="inlineStr">
        <is>
          <t>R</t>
        </is>
      </c>
      <c r="F1299" s="16" t="n"/>
      <c r="G1299" s="9" t="n">
        <v>11.2</v>
      </c>
      <c r="H1299" s="9" t="n">
        <v>11.2</v>
      </c>
      <c r="I1299" s="9" t="inlineStr">
        <is>
          <t>Depth (no MLB PA)</t>
        </is>
      </c>
      <c r="J1299" s="16" t="inlineStr">
        <is>
          <t>Opening Day</t>
        </is>
      </c>
      <c r="K1299" s="11">
        <f>IFERROR(INDEX(Roles!$B$17:$B$20,MATCH(J1299,Roles!$A$17:$A$20,0)),1)</f>
        <v/>
      </c>
      <c r="L1299" s="17" t="n">
        <v>1</v>
      </c>
      <c r="M1299" s="11" t="n">
        <v>1</v>
      </c>
      <c r="N1299" s="17" t="n"/>
      <c r="O1299" s="17" t="n"/>
      <c r="P1299" s="17" t="n"/>
      <c r="Q1299" s="17" t="n"/>
      <c r="R1299" s="17" t="n"/>
      <c r="S1299" s="17" t="n"/>
      <c r="T1299" s="17" t="n"/>
      <c r="U1299" s="17" t="n"/>
      <c r="V1299" s="17" t="n"/>
      <c r="W1299" s="17" t="n"/>
      <c r="X1299" s="17" t="n"/>
      <c r="Y1299" s="17" t="n">
        <v>1</v>
      </c>
      <c r="Z1299" s="13">
        <f>SUMPRODUCT(N1299:Y1299,$N$2:$Y$2)*$K1299*$L1299*$M1299</f>
        <v/>
      </c>
      <c r="AA1299" s="14">
        <f>SUM(N1299:Y1299)</f>
        <v/>
      </c>
      <c r="AB1299" s="14">
        <f>IFERROR(IF(UPPER($E1299)="L",SUMPRODUCT(N1299:Y1299,$N$3:$Y$3,$N$2:$Y$2),SUMPRODUCT(N1299:Y1299,$N$4:$Y$4,$N$2:$Y$2))/(Z1299/($K1299*$L1299*$M1299)),"")</f>
        <v/>
      </c>
      <c r="AC1299" s="18" t="n"/>
    </row>
    <row r="1300">
      <c r="A1300" s="9" t="n">
        <v>829949</v>
      </c>
      <c r="B1300" s="9" t="inlineStr">
        <is>
          <t>Sebastian Blanco</t>
        </is>
      </c>
      <c r="C1300" s="9" t="inlineStr">
        <is>
          <t>COL</t>
        </is>
      </c>
      <c r="D1300" s="9" t="n">
        <v>25</v>
      </c>
      <c r="E1300" s="16" t="inlineStr">
        <is>
          <t>R</t>
        </is>
      </c>
      <c r="F1300" s="16" t="n"/>
      <c r="G1300" s="9" t="n">
        <v>11.07692307692308</v>
      </c>
      <c r="H1300" s="9" t="n">
        <v>11.07692307692308</v>
      </c>
      <c r="I1300" s="9" t="inlineStr">
        <is>
          <t>Depth (no MLB PA)</t>
        </is>
      </c>
      <c r="J1300" s="16" t="inlineStr">
        <is>
          <t>Opening Day</t>
        </is>
      </c>
      <c r="K1300" s="11">
        <f>IFERROR(INDEX(Roles!$B$17:$B$20,MATCH(J1300,Roles!$A$17:$A$20,0)),1)</f>
        <v/>
      </c>
      <c r="L1300" s="17" t="n">
        <v>1</v>
      </c>
      <c r="M1300" s="11" t="n">
        <v>1</v>
      </c>
      <c r="N1300" s="17" t="n"/>
      <c r="O1300" s="17" t="n"/>
      <c r="P1300" s="17" t="n"/>
      <c r="Q1300" s="17" t="n"/>
      <c r="R1300" s="17" t="n"/>
      <c r="S1300" s="17" t="n"/>
      <c r="T1300" s="17" t="n"/>
      <c r="U1300" s="17" t="n"/>
      <c r="V1300" s="17" t="n"/>
      <c r="W1300" s="17" t="n"/>
      <c r="X1300" s="17" t="n"/>
      <c r="Y1300" s="17" t="n">
        <v>1</v>
      </c>
      <c r="Z1300" s="13">
        <f>SUMPRODUCT(N1300:Y1300,$N$2:$Y$2)*$K1300*$L1300*$M1300</f>
        <v/>
      </c>
      <c r="AA1300" s="14">
        <f>SUM(N1300:Y1300)</f>
        <v/>
      </c>
      <c r="AB1300" s="14">
        <f>IFERROR(IF(UPPER($E1300)="L",SUMPRODUCT(N1300:Y1300,$N$3:$Y$3,$N$2:$Y$2),SUMPRODUCT(N1300:Y1300,$N$4:$Y$4,$N$2:$Y$2))/(Z1300/($K1300*$L1300*$M1300)),"")</f>
        <v/>
      </c>
      <c r="AC1300" s="18" t="n"/>
    </row>
    <row r="1301">
      <c r="A1301" s="9" t="n">
        <v>699293</v>
      </c>
      <c r="B1301" s="9" t="inlineStr">
        <is>
          <t>Yohairo Cuevas</t>
        </is>
      </c>
      <c r="C1301" s="9" t="inlineStr">
        <is>
          <t>NYM</t>
        </is>
      </c>
      <c r="D1301" s="9" t="n">
        <v>25</v>
      </c>
      <c r="E1301" s="16" t="inlineStr">
        <is>
          <t>L</t>
        </is>
      </c>
      <c r="F1301" s="16" t="n"/>
      <c r="G1301" s="9" t="n">
        <v>9.333333333333334</v>
      </c>
      <c r="H1301" s="9" t="n">
        <v>9.333333333333334</v>
      </c>
      <c r="I1301" s="9" t="inlineStr">
        <is>
          <t>Depth (no MLB PA)</t>
        </is>
      </c>
      <c r="J1301" s="16" t="inlineStr">
        <is>
          <t>Opening Day</t>
        </is>
      </c>
      <c r="K1301" s="11">
        <f>IFERROR(INDEX(Roles!$B$17:$B$20,MATCH(J1301,Roles!$A$17:$A$20,0)),1)</f>
        <v/>
      </c>
      <c r="L1301" s="17" t="n">
        <v>1</v>
      </c>
      <c r="M1301" s="11" t="n">
        <v>1</v>
      </c>
      <c r="N1301" s="17" t="n"/>
      <c r="O1301" s="17" t="n"/>
      <c r="P1301" s="17" t="n"/>
      <c r="Q1301" s="17" t="n"/>
      <c r="R1301" s="17" t="n"/>
      <c r="S1301" s="17" t="n"/>
      <c r="T1301" s="17" t="n"/>
      <c r="U1301" s="17" t="n"/>
      <c r="V1301" s="17" t="n"/>
      <c r="W1301" s="17" t="n"/>
      <c r="X1301" s="17" t="n"/>
      <c r="Y1301" s="17" t="n">
        <v>1</v>
      </c>
      <c r="Z1301" s="13">
        <f>SUMPRODUCT(N1301:Y1301,$N$2:$Y$2)*$K1301*$L1301*$M1301</f>
        <v/>
      </c>
      <c r="AA1301" s="14">
        <f>SUM(N1301:Y1301)</f>
        <v/>
      </c>
      <c r="AB1301" s="14">
        <f>IFERROR(IF(UPPER($E1301)="L",SUMPRODUCT(N1301:Y1301,$N$3:$Y$3,$N$2:$Y$2),SUMPRODUCT(N1301:Y1301,$N$4:$Y$4,$N$2:$Y$2))/(Z1301/($K1301*$L1301*$M1301)),"")</f>
        <v/>
      </c>
      <c r="AC1301" s="18" t="n"/>
    </row>
    <row r="1302">
      <c r="A1302" s="9" t="n">
        <v>688875</v>
      </c>
      <c r="B1302" s="9" t="inlineStr">
        <is>
          <t>Trace Willhoite</t>
        </is>
      </c>
      <c r="C1302" s="9" t="inlineStr">
        <is>
          <t>NYM</t>
        </is>
      </c>
      <c r="D1302" s="9" t="n">
        <v>25</v>
      </c>
      <c r="E1302" s="16" t="inlineStr">
        <is>
          <t>R</t>
        </is>
      </c>
      <c r="F1302" s="16" t="n"/>
      <c r="G1302" s="9" t="n">
        <v>9.025641025641027</v>
      </c>
      <c r="H1302" s="9" t="n">
        <v>9.025641025641027</v>
      </c>
      <c r="I1302" s="9" t="inlineStr">
        <is>
          <t>Depth (no MLB PA)</t>
        </is>
      </c>
      <c r="J1302" s="16" t="inlineStr">
        <is>
          <t>Opening Day</t>
        </is>
      </c>
      <c r="K1302" s="11">
        <f>IFERROR(INDEX(Roles!$B$17:$B$20,MATCH(J1302,Roles!$A$17:$A$20,0)),1)</f>
        <v/>
      </c>
      <c r="L1302" s="17" t="n">
        <v>1</v>
      </c>
      <c r="M1302" s="11" t="n">
        <v>1</v>
      </c>
      <c r="N1302" s="17" t="n"/>
      <c r="O1302" s="17" t="n"/>
      <c r="P1302" s="17" t="n"/>
      <c r="Q1302" s="17" t="n"/>
      <c r="R1302" s="17" t="n"/>
      <c r="S1302" s="17" t="n"/>
      <c r="T1302" s="17" t="n"/>
      <c r="U1302" s="17" t="n"/>
      <c r="V1302" s="17" t="n"/>
      <c r="W1302" s="17" t="n"/>
      <c r="X1302" s="17" t="n"/>
      <c r="Y1302" s="17" t="n">
        <v>1</v>
      </c>
      <c r="Z1302" s="13">
        <f>SUMPRODUCT(N1302:Y1302,$N$2:$Y$2)*$K1302*$L1302*$M1302</f>
        <v/>
      </c>
      <c r="AA1302" s="14">
        <f>SUM(N1302:Y1302)</f>
        <v/>
      </c>
      <c r="AB1302" s="14">
        <f>IFERROR(IF(UPPER($E1302)="L",SUMPRODUCT(N1302:Y1302,$N$3:$Y$3,$N$2:$Y$2),SUMPRODUCT(N1302:Y1302,$N$4:$Y$4,$N$2:$Y$2))/(Z1302/($K1302*$L1302*$M1302)),"")</f>
        <v/>
      </c>
      <c r="AC1302" s="18" t="n"/>
    </row>
    <row r="1303">
      <c r="A1303" s="9" t="n">
        <v>800724</v>
      </c>
      <c r="B1303" s="9" t="inlineStr">
        <is>
          <t>Eric Bitonti</t>
        </is>
      </c>
      <c r="C1303" s="9" t="inlineStr">
        <is>
          <t>MIL</t>
        </is>
      </c>
      <c r="D1303" s="9" t="n">
        <v>22</v>
      </c>
      <c r="E1303" s="16" t="inlineStr">
        <is>
          <t>L</t>
        </is>
      </c>
      <c r="F1303" s="16" t="n"/>
      <c r="G1303" s="9" t="n">
        <v>8.974358974358974</v>
      </c>
      <c r="H1303" s="9" t="n">
        <v>8.974358974358974</v>
      </c>
      <c r="I1303" s="9" t="inlineStr">
        <is>
          <t>Depth (no MLB PA)</t>
        </is>
      </c>
      <c r="J1303" s="16" t="inlineStr">
        <is>
          <t>Opening Day</t>
        </is>
      </c>
      <c r="K1303" s="11">
        <f>IFERROR(INDEX(Roles!$B$17:$B$20,MATCH(J1303,Roles!$A$17:$A$20,0)),1)</f>
        <v/>
      </c>
      <c r="L1303" s="17" t="n">
        <v>1</v>
      </c>
      <c r="M1303" s="11" t="n">
        <v>1</v>
      </c>
      <c r="N1303" s="17" t="n"/>
      <c r="O1303" s="17" t="n"/>
      <c r="P1303" s="17" t="n"/>
      <c r="Q1303" s="17" t="n"/>
      <c r="R1303" s="17" t="n"/>
      <c r="S1303" s="17" t="n"/>
      <c r="T1303" s="17" t="n"/>
      <c r="U1303" s="17" t="n"/>
      <c r="V1303" s="17" t="n"/>
      <c r="W1303" s="17" t="n"/>
      <c r="X1303" s="17" t="n"/>
      <c r="Y1303" s="17" t="n">
        <v>1</v>
      </c>
      <c r="Z1303" s="13">
        <f>SUMPRODUCT(N1303:Y1303,$N$2:$Y$2)*$K1303*$L1303*$M1303</f>
        <v/>
      </c>
      <c r="AA1303" s="14">
        <f>SUM(N1303:Y1303)</f>
        <v/>
      </c>
      <c r="AB1303" s="14">
        <f>IFERROR(IF(UPPER($E1303)="L",SUMPRODUCT(N1303:Y1303,$N$3:$Y$3,$N$2:$Y$2),SUMPRODUCT(N1303:Y1303,$N$4:$Y$4,$N$2:$Y$2))/(Z1303/($K1303*$L1303*$M1303)),"")</f>
        <v/>
      </c>
      <c r="AC1303" s="18" t="n"/>
    </row>
    <row r="1304">
      <c r="A1304" s="9" t="n">
        <v>832212</v>
      </c>
      <c r="B1304" s="9" t="inlineStr">
        <is>
          <t>Ian Francis</t>
        </is>
      </c>
      <c r="C1304" s="9" t="inlineStr">
        <is>
          <t>CIN</t>
        </is>
      </c>
      <c r="D1304" s="9" t="n">
        <v>25</v>
      </c>
      <c r="E1304" s="16" t="inlineStr">
        <is>
          <t>R</t>
        </is>
      </c>
      <c r="F1304" s="16" t="n"/>
      <c r="G1304" s="9" t="n">
        <v>13.41538461538462</v>
      </c>
      <c r="H1304" s="9" t="n">
        <v>13.41538461538462</v>
      </c>
      <c r="I1304" s="9" t="inlineStr">
        <is>
          <t>Depth (no MLB PA)</t>
        </is>
      </c>
      <c r="J1304" s="16" t="inlineStr">
        <is>
          <t>Opening Day</t>
        </is>
      </c>
      <c r="K1304" s="11">
        <f>IFERROR(INDEX(Roles!$B$17:$B$20,MATCH(J1304,Roles!$A$17:$A$20,0)),1)</f>
        <v/>
      </c>
      <c r="L1304" s="17" t="n">
        <v>1</v>
      </c>
      <c r="M1304" s="11" t="n">
        <v>1</v>
      </c>
      <c r="N1304" s="17" t="n"/>
      <c r="O1304" s="17" t="n"/>
      <c r="P1304" s="17" t="n"/>
      <c r="Q1304" s="17" t="n"/>
      <c r="R1304" s="17" t="n"/>
      <c r="S1304" s="17" t="n"/>
      <c r="T1304" s="17" t="n"/>
      <c r="U1304" s="17" t="n"/>
      <c r="V1304" s="17" t="n"/>
      <c r="W1304" s="17" t="n"/>
      <c r="X1304" s="17" t="n"/>
      <c r="Y1304" s="17" t="n">
        <v>1</v>
      </c>
      <c r="Z1304" s="13">
        <f>SUMPRODUCT(N1304:Y1304,$N$2:$Y$2)*$K1304*$L1304*$M1304</f>
        <v/>
      </c>
      <c r="AA1304" s="14">
        <f>SUM(N1304:Y1304)</f>
        <v/>
      </c>
      <c r="AB1304" s="14">
        <f>IFERROR(IF(UPPER($E1304)="L",SUMPRODUCT(N1304:Y1304,$N$3:$Y$3,$N$2:$Y$2),SUMPRODUCT(N1304:Y1304,$N$4:$Y$4,$N$2:$Y$2))/(Z1304/($K1304*$L1304*$M1304)),"")</f>
        <v/>
      </c>
      <c r="AC1304" s="18" t="n"/>
    </row>
    <row r="1305">
      <c r="A1305" s="9" t="n">
        <v>664238</v>
      </c>
      <c r="B1305" s="9" t="inlineStr">
        <is>
          <t>Dylan Moore</t>
        </is>
      </c>
      <c r="C1305" s="9" t="inlineStr">
        <is>
          <t>TEX</t>
        </is>
      </c>
      <c r="D1305" s="9" t="n">
        <v>34</v>
      </c>
      <c r="E1305" s="16" t="inlineStr">
        <is>
          <t>R</t>
        </is>
      </c>
      <c r="F1305" s="16" t="inlineStr">
        <is>
          <t>CF</t>
        </is>
      </c>
      <c r="G1305" s="9" t="n">
        <v>15</v>
      </c>
      <c r="H1305" s="9" t="n">
        <v>1119</v>
      </c>
      <c r="I1305" s="9" t="inlineStr">
        <is>
          <t>Weak Side Platoon</t>
        </is>
      </c>
      <c r="J1305" s="16" t="inlineStr">
        <is>
          <t>Opening Day</t>
        </is>
      </c>
      <c r="K1305" s="11">
        <f>IFERROR(INDEX(Roles!$B$17:$B$20,MATCH(J1305,Roles!$A$17:$A$20,0)),1)</f>
        <v/>
      </c>
      <c r="L1305" s="17" t="n">
        <v>1</v>
      </c>
      <c r="M1305" s="11" t="n">
        <v>0.876944733567268</v>
      </c>
      <c r="N1305" s="17" t="n"/>
      <c r="O1305" s="17" t="n"/>
      <c r="P1305" s="17" t="n"/>
      <c r="Q1305" s="17" t="n">
        <v>1</v>
      </c>
      <c r="R1305" s="17" t="n"/>
      <c r="S1305" s="17" t="n"/>
      <c r="T1305" s="17" t="n"/>
      <c r="U1305" s="17" t="n"/>
      <c r="V1305" s="17" t="n"/>
      <c r="W1305" s="17" t="n"/>
      <c r="X1305" s="17" t="n"/>
      <c r="Y1305" s="17" t="n"/>
      <c r="Z1305" s="13">
        <f>SUMPRODUCT(N1305:Y1305,$N$2:$Y$2)*$K1305*$L1305*$M1305</f>
        <v/>
      </c>
      <c r="AA1305" s="14">
        <f>SUM(N1305:Y1305)</f>
        <v/>
      </c>
      <c r="AB1305" s="14">
        <f>IFERROR(IF(UPPER($E1305)="L",SUMPRODUCT(N1305:Y1305,$N$3:$Y$3,$N$2:$Y$2),SUMPRODUCT(N1305:Y1305,$N$4:$Y$4,$N$2:$Y$2))/(Z1305/($K1305*$L1305*$M1305)),"")</f>
        <v/>
      </c>
      <c r="AC1305" s="18" t="n"/>
    </row>
    <row r="1306">
      <c r="A1306" s="9" t="n">
        <v>703455</v>
      </c>
      <c r="B1306" s="9" t="inlineStr">
        <is>
          <t>Skylar King</t>
        </is>
      </c>
      <c r="C1306" s="9" t="inlineStr">
        <is>
          <t>BOS</t>
        </is>
      </c>
      <c r="D1306" s="9" t="n">
        <v>25</v>
      </c>
      <c r="E1306" s="16" t="inlineStr">
        <is>
          <t>L</t>
        </is>
      </c>
      <c r="F1306" s="16" t="n"/>
      <c r="G1306" s="9" t="n">
        <v>9.230769230769232</v>
      </c>
      <c r="H1306" s="9" t="n">
        <v>9.230769230769232</v>
      </c>
      <c r="I1306" s="9" t="inlineStr">
        <is>
          <t>Depth (no MLB PA)</t>
        </is>
      </c>
      <c r="J1306" s="16" t="inlineStr">
        <is>
          <t>Opening Day</t>
        </is>
      </c>
      <c r="K1306" s="11">
        <f>IFERROR(INDEX(Roles!$B$17:$B$20,MATCH(J1306,Roles!$A$17:$A$20,0)),1)</f>
        <v/>
      </c>
      <c r="L1306" s="17" t="n">
        <v>1</v>
      </c>
      <c r="M1306" s="11" t="n">
        <v>1</v>
      </c>
      <c r="N1306" s="17" t="n"/>
      <c r="O1306" s="17" t="n"/>
      <c r="P1306" s="17" t="n"/>
      <c r="Q1306" s="17" t="n"/>
      <c r="R1306" s="17" t="n"/>
      <c r="S1306" s="17" t="n"/>
      <c r="T1306" s="17" t="n"/>
      <c r="U1306" s="17" t="n"/>
      <c r="V1306" s="17" t="n"/>
      <c r="W1306" s="17" t="n"/>
      <c r="X1306" s="17" t="n"/>
      <c r="Y1306" s="17" t="n">
        <v>1</v>
      </c>
      <c r="Z1306" s="13">
        <f>SUMPRODUCT(N1306:Y1306,$N$2:$Y$2)*$K1306*$L1306*$M1306</f>
        <v/>
      </c>
      <c r="AA1306" s="14">
        <f>SUM(N1306:Y1306)</f>
        <v/>
      </c>
      <c r="AB1306" s="14">
        <f>IFERROR(IF(UPPER($E1306)="L",SUMPRODUCT(N1306:Y1306,$N$3:$Y$3,$N$2:$Y$2),SUMPRODUCT(N1306:Y1306,$N$4:$Y$4,$N$2:$Y$2))/(Z1306/($K1306*$L1306*$M1306)),"")</f>
        <v/>
      </c>
      <c r="AC1306" s="18" t="n"/>
    </row>
    <row r="1307">
      <c r="A1307" s="9" t="n">
        <v>800203</v>
      </c>
      <c r="B1307" s="9" t="inlineStr">
        <is>
          <t>Kevyn Castillo</t>
        </is>
      </c>
      <c r="C1307" s="9" t="inlineStr">
        <is>
          <t>LAA</t>
        </is>
      </c>
      <c r="D1307" s="9" t="n">
        <v>25</v>
      </c>
      <c r="E1307" s="16" t="inlineStr">
        <is>
          <t>L</t>
        </is>
      </c>
      <c r="F1307" s="16" t="n"/>
      <c r="G1307" s="9" t="n">
        <v>21.94871794871795</v>
      </c>
      <c r="H1307" s="9" t="n">
        <v>21.94871794871795</v>
      </c>
      <c r="I1307" s="9" t="inlineStr">
        <is>
          <t>Depth (no MLB PA)</t>
        </is>
      </c>
      <c r="J1307" s="16" t="inlineStr">
        <is>
          <t>Opening Day</t>
        </is>
      </c>
      <c r="K1307" s="11">
        <f>IFERROR(INDEX(Roles!$B$17:$B$20,MATCH(J1307,Roles!$A$17:$A$20,0)),1)</f>
        <v/>
      </c>
      <c r="L1307" s="17" t="n">
        <v>1</v>
      </c>
      <c r="M1307" s="11" t="n">
        <v>1</v>
      </c>
      <c r="N1307" s="17" t="n"/>
      <c r="O1307" s="17" t="n"/>
      <c r="P1307" s="17" t="n"/>
      <c r="Q1307" s="17" t="n"/>
      <c r="R1307" s="17" t="n"/>
      <c r="S1307" s="17" t="n"/>
      <c r="T1307" s="17" t="n"/>
      <c r="U1307" s="17" t="n"/>
      <c r="V1307" s="17" t="n"/>
      <c r="W1307" s="17" t="n"/>
      <c r="X1307" s="17" t="n"/>
      <c r="Y1307" s="17" t="n">
        <v>1</v>
      </c>
      <c r="Z1307" s="13">
        <f>SUMPRODUCT(N1307:Y1307,$N$2:$Y$2)*$K1307*$L1307*$M1307</f>
        <v/>
      </c>
      <c r="AA1307" s="14">
        <f>SUM(N1307:Y1307)</f>
        <v/>
      </c>
      <c r="AB1307" s="14">
        <f>IFERROR(IF(UPPER($E1307)="L",SUMPRODUCT(N1307:Y1307,$N$3:$Y$3,$N$2:$Y$2),SUMPRODUCT(N1307:Y1307,$N$4:$Y$4,$N$2:$Y$2))/(Z1307/($K1307*$L1307*$M1307)),"")</f>
        <v/>
      </c>
      <c r="AC1307" s="18" t="n"/>
    </row>
    <row r="1308">
      <c r="A1308" s="9" t="n">
        <v>835651</v>
      </c>
      <c r="B1308" s="9" t="inlineStr">
        <is>
          <t>Tanner Marsh</t>
        </is>
      </c>
      <c r="C1308" s="9" t="inlineStr">
        <is>
          <t>OAK</t>
        </is>
      </c>
      <c r="D1308" s="9" t="n">
        <v>25</v>
      </c>
      <c r="E1308" s="16" t="inlineStr">
        <is>
          <t>R</t>
        </is>
      </c>
      <c r="F1308" s="16" t="n"/>
      <c r="G1308" s="9" t="n">
        <v>9.025641025641027</v>
      </c>
      <c r="H1308" s="9" t="n">
        <v>9.025641025641027</v>
      </c>
      <c r="I1308" s="9" t="inlineStr">
        <is>
          <t>Depth (no MLB PA)</t>
        </is>
      </c>
      <c r="J1308" s="16" t="inlineStr">
        <is>
          <t>Opening Day</t>
        </is>
      </c>
      <c r="K1308" s="11">
        <f>IFERROR(INDEX(Roles!$B$17:$B$20,MATCH(J1308,Roles!$A$17:$A$20,0)),1)</f>
        <v/>
      </c>
      <c r="L1308" s="17" t="n">
        <v>1</v>
      </c>
      <c r="M1308" s="11" t="n">
        <v>1</v>
      </c>
      <c r="N1308" s="17" t="n"/>
      <c r="O1308" s="17" t="n"/>
      <c r="P1308" s="17" t="n"/>
      <c r="Q1308" s="17" t="n"/>
      <c r="R1308" s="17" t="n"/>
      <c r="S1308" s="17" t="n"/>
      <c r="T1308" s="17" t="n"/>
      <c r="U1308" s="17" t="n"/>
      <c r="V1308" s="17" t="n"/>
      <c r="W1308" s="17" t="n"/>
      <c r="X1308" s="17" t="n"/>
      <c r="Y1308" s="17" t="n">
        <v>1</v>
      </c>
      <c r="Z1308" s="13">
        <f>SUMPRODUCT(N1308:Y1308,$N$2:$Y$2)*$K1308*$L1308*$M1308</f>
        <v/>
      </c>
      <c r="AA1308" s="14">
        <f>SUM(N1308:Y1308)</f>
        <v/>
      </c>
      <c r="AB1308" s="14">
        <f>IFERROR(IF(UPPER($E1308)="L",SUMPRODUCT(N1308:Y1308,$N$3:$Y$3,$N$2:$Y$2),SUMPRODUCT(N1308:Y1308,$N$4:$Y$4,$N$2:$Y$2))/(Z1308/($K1308*$L1308*$M1308)),"")</f>
        <v/>
      </c>
      <c r="AC1308" s="18" t="n"/>
    </row>
    <row r="1309">
      <c r="A1309" s="9" t="n">
        <v>822162</v>
      </c>
      <c r="B1309" s="9" t="inlineStr">
        <is>
          <t>Brandon Forrester</t>
        </is>
      </c>
      <c r="C1309" s="9" t="inlineStr">
        <is>
          <t>HOU</t>
        </is>
      </c>
      <c r="D1309" s="9" t="n">
        <v>25</v>
      </c>
      <c r="E1309" s="16" t="inlineStr">
        <is>
          <t>S</t>
        </is>
      </c>
      <c r="F1309" s="16" t="n"/>
      <c r="G1309" s="9" t="n">
        <v>8.974358974358974</v>
      </c>
      <c r="H1309" s="9" t="n">
        <v>8.974358974358974</v>
      </c>
      <c r="I1309" s="9" t="inlineStr">
        <is>
          <t>Depth (no MLB PA)</t>
        </is>
      </c>
      <c r="J1309" s="16" t="inlineStr">
        <is>
          <t>Opening Day</t>
        </is>
      </c>
      <c r="K1309" s="11">
        <f>IFERROR(INDEX(Roles!$B$17:$B$20,MATCH(J1309,Roles!$A$17:$A$20,0)),1)</f>
        <v/>
      </c>
      <c r="L1309" s="17" t="n">
        <v>1</v>
      </c>
      <c r="M1309" s="11" t="n">
        <v>1</v>
      </c>
      <c r="N1309" s="17" t="n"/>
      <c r="O1309" s="17" t="n"/>
      <c r="P1309" s="17" t="n"/>
      <c r="Q1309" s="17" t="n"/>
      <c r="R1309" s="17" t="n"/>
      <c r="S1309" s="17" t="n"/>
      <c r="T1309" s="17" t="n"/>
      <c r="U1309" s="17" t="n"/>
      <c r="V1309" s="17" t="n"/>
      <c r="W1309" s="17" t="n"/>
      <c r="X1309" s="17" t="n"/>
      <c r="Y1309" s="17" t="n">
        <v>1</v>
      </c>
      <c r="Z1309" s="13">
        <f>SUMPRODUCT(N1309:Y1309,$N$2:$Y$2)*$K1309*$L1309*$M1309</f>
        <v/>
      </c>
      <c r="AA1309" s="14">
        <f>SUM(N1309:Y1309)</f>
        <v/>
      </c>
      <c r="AB1309" s="14">
        <f>IFERROR(IF(UPPER($E1309)="L",SUMPRODUCT(N1309:Y1309,$N$3:$Y$3,$N$2:$Y$2),SUMPRODUCT(N1309:Y1309,$N$4:$Y$4,$N$2:$Y$2))/(Z1309/($K1309*$L1309*$M1309)),"")</f>
        <v/>
      </c>
      <c r="AC1309" s="18" t="n"/>
    </row>
    <row r="1310">
      <c r="A1310" s="9" t="n">
        <v>703606</v>
      </c>
      <c r="B1310" s="9" t="inlineStr">
        <is>
          <t>Jared Thomas</t>
        </is>
      </c>
      <c r="C1310" s="9" t="inlineStr">
        <is>
          <t>COL</t>
        </is>
      </c>
      <c r="D1310" s="9" t="n">
        <v>25</v>
      </c>
      <c r="E1310" s="16" t="inlineStr">
        <is>
          <t>L</t>
        </is>
      </c>
      <c r="F1310" s="16" t="n"/>
      <c r="G1310" s="9" t="n">
        <v>42.71794871794872</v>
      </c>
      <c r="H1310" s="9" t="n">
        <v>42.71794871794872</v>
      </c>
      <c r="I1310" s="9" t="inlineStr">
        <is>
          <t>Depth (no MLB PA)</t>
        </is>
      </c>
      <c r="J1310" s="16" t="inlineStr">
        <is>
          <t>Opening Day</t>
        </is>
      </c>
      <c r="K1310" s="11">
        <f>IFERROR(INDEX(Roles!$B$17:$B$20,MATCH(J1310,Roles!$A$17:$A$20,0)),1)</f>
        <v/>
      </c>
      <c r="L1310" s="17" t="n">
        <v>1</v>
      </c>
      <c r="M1310" s="11" t="n">
        <v>1</v>
      </c>
      <c r="N1310" s="17" t="n"/>
      <c r="O1310" s="17" t="n"/>
      <c r="P1310" s="17" t="n"/>
      <c r="Q1310" s="17" t="n"/>
      <c r="R1310" s="17" t="n"/>
      <c r="S1310" s="17" t="n"/>
      <c r="T1310" s="17" t="n"/>
      <c r="U1310" s="17" t="n"/>
      <c r="V1310" s="17" t="n"/>
      <c r="W1310" s="17" t="n"/>
      <c r="X1310" s="17" t="n"/>
      <c r="Y1310" s="17" t="n">
        <v>1</v>
      </c>
      <c r="Z1310" s="13">
        <f>SUMPRODUCT(N1310:Y1310,$N$2:$Y$2)*$K1310*$L1310*$M1310</f>
        <v/>
      </c>
      <c r="AA1310" s="14">
        <f>SUM(N1310:Y1310)</f>
        <v/>
      </c>
      <c r="AB1310" s="14">
        <f>IFERROR(IF(UPPER($E1310)="L",SUMPRODUCT(N1310:Y1310,$N$3:$Y$3,$N$2:$Y$2),SUMPRODUCT(N1310:Y1310,$N$4:$Y$4,$N$2:$Y$2))/(Z1310/($K1310*$L1310*$M1310)),"")</f>
        <v/>
      </c>
      <c r="AC1310" s="18" t="n"/>
    </row>
    <row r="1311">
      <c r="A1311" s="9" t="n">
        <v>821671</v>
      </c>
      <c r="B1311" s="9" t="inlineStr">
        <is>
          <t>Ricardo Paez</t>
        </is>
      </c>
      <c r="C1311" s="9" t="inlineStr">
        <is>
          <t>MIN</t>
        </is>
      </c>
      <c r="D1311" s="9" t="n">
        <v>25</v>
      </c>
      <c r="E1311" s="16" t="inlineStr">
        <is>
          <t>L</t>
        </is>
      </c>
      <c r="F1311" s="16" t="n"/>
      <c r="G1311" s="9" t="n">
        <v>11.32307692307692</v>
      </c>
      <c r="H1311" s="9" t="n">
        <v>11.32307692307692</v>
      </c>
      <c r="I1311" s="9" t="inlineStr">
        <is>
          <t>Depth (no MLB PA)</t>
        </is>
      </c>
      <c r="J1311" s="16" t="inlineStr">
        <is>
          <t>Opening Day</t>
        </is>
      </c>
      <c r="K1311" s="11">
        <f>IFERROR(INDEX(Roles!$B$17:$B$20,MATCH(J1311,Roles!$A$17:$A$20,0)),1)</f>
        <v/>
      </c>
      <c r="L1311" s="17" t="n">
        <v>1</v>
      </c>
      <c r="M1311" s="11" t="n">
        <v>1</v>
      </c>
      <c r="N1311" s="17" t="n"/>
      <c r="O1311" s="17" t="n"/>
      <c r="P1311" s="17" t="n"/>
      <c r="Q1311" s="17" t="n"/>
      <c r="R1311" s="17" t="n"/>
      <c r="S1311" s="17" t="n"/>
      <c r="T1311" s="17" t="n"/>
      <c r="U1311" s="17" t="n"/>
      <c r="V1311" s="17" t="n"/>
      <c r="W1311" s="17" t="n"/>
      <c r="X1311" s="17" t="n"/>
      <c r="Y1311" s="17" t="n">
        <v>1</v>
      </c>
      <c r="Z1311" s="13">
        <f>SUMPRODUCT(N1311:Y1311,$N$2:$Y$2)*$K1311*$L1311*$M1311</f>
        <v/>
      </c>
      <c r="AA1311" s="14">
        <f>SUM(N1311:Y1311)</f>
        <v/>
      </c>
      <c r="AB1311" s="14">
        <f>IFERROR(IF(UPPER($E1311)="L",SUMPRODUCT(N1311:Y1311,$N$3:$Y$3,$N$2:$Y$2),SUMPRODUCT(N1311:Y1311,$N$4:$Y$4,$N$2:$Y$2))/(Z1311/($K1311*$L1311*$M1311)),"")</f>
        <v/>
      </c>
      <c r="AC1311" s="18" t="n"/>
    </row>
    <row r="1312">
      <c r="A1312" s="9" t="n">
        <v>694380</v>
      </c>
      <c r="B1312" s="9" t="inlineStr">
        <is>
          <t>Jack Moss</t>
        </is>
      </c>
      <c r="C1312" s="9" t="inlineStr">
        <is>
          <t>HOU</t>
        </is>
      </c>
      <c r="D1312" s="9" t="n">
        <v>25</v>
      </c>
      <c r="E1312" s="16" t="inlineStr">
        <is>
          <t>L</t>
        </is>
      </c>
      <c r="F1312" s="16" t="n"/>
      <c r="G1312" s="9" t="n">
        <v>9.333333333333334</v>
      </c>
      <c r="H1312" s="9" t="n">
        <v>9.333333333333334</v>
      </c>
      <c r="I1312" s="9" t="inlineStr">
        <is>
          <t>Depth (no MLB PA)</t>
        </is>
      </c>
      <c r="J1312" s="16" t="inlineStr">
        <is>
          <t>Opening Day</t>
        </is>
      </c>
      <c r="K1312" s="11">
        <f>IFERROR(INDEX(Roles!$B$17:$B$20,MATCH(J1312,Roles!$A$17:$A$20,0)),1)</f>
        <v/>
      </c>
      <c r="L1312" s="17" t="n">
        <v>1</v>
      </c>
      <c r="M1312" s="11" t="n">
        <v>1</v>
      </c>
      <c r="N1312" s="17" t="n"/>
      <c r="O1312" s="17" t="n"/>
      <c r="P1312" s="17" t="n"/>
      <c r="Q1312" s="17" t="n"/>
      <c r="R1312" s="17" t="n"/>
      <c r="S1312" s="17" t="n"/>
      <c r="T1312" s="17" t="n"/>
      <c r="U1312" s="17" t="n"/>
      <c r="V1312" s="17" t="n"/>
      <c r="W1312" s="17" t="n"/>
      <c r="X1312" s="17" t="n"/>
      <c r="Y1312" s="17" t="n">
        <v>1</v>
      </c>
      <c r="Z1312" s="13">
        <f>SUMPRODUCT(N1312:Y1312,$N$2:$Y$2)*$K1312*$L1312*$M1312</f>
        <v/>
      </c>
      <c r="AA1312" s="14">
        <f>SUM(N1312:Y1312)</f>
        <v/>
      </c>
      <c r="AB1312" s="14">
        <f>IFERROR(IF(UPPER($E1312)="L",SUMPRODUCT(N1312:Y1312,$N$3:$Y$3,$N$2:$Y$2),SUMPRODUCT(N1312:Y1312,$N$4:$Y$4,$N$2:$Y$2))/(Z1312/($K1312*$L1312*$M1312)),"")</f>
        <v/>
      </c>
      <c r="AC1312" s="18" t="n"/>
    </row>
    <row r="1313">
      <c r="A1313" s="9" t="n">
        <v>813359</v>
      </c>
      <c r="B1313" s="9" t="inlineStr">
        <is>
          <t>Aidan Teel</t>
        </is>
      </c>
      <c r="C1313" s="9" t="inlineStr">
        <is>
          <t>MIN</t>
        </is>
      </c>
      <c r="D1313" s="9" t="n">
        <v>25</v>
      </c>
      <c r="E1313" s="16" t="inlineStr">
        <is>
          <t>L</t>
        </is>
      </c>
      <c r="F1313" s="16" t="n"/>
      <c r="G1313" s="9" t="n">
        <v>9.23076923076923</v>
      </c>
      <c r="H1313" s="9" t="n">
        <v>9.23076923076923</v>
      </c>
      <c r="I1313" s="9" t="inlineStr">
        <is>
          <t>Depth (no MLB PA)</t>
        </is>
      </c>
      <c r="J1313" s="16" t="inlineStr">
        <is>
          <t>Opening Day</t>
        </is>
      </c>
      <c r="K1313" s="11">
        <f>IFERROR(INDEX(Roles!$B$17:$B$20,MATCH(J1313,Roles!$A$17:$A$20,0)),1)</f>
        <v/>
      </c>
      <c r="L1313" s="17" t="n">
        <v>1</v>
      </c>
      <c r="M1313" s="11" t="n">
        <v>1</v>
      </c>
      <c r="N1313" s="17" t="n"/>
      <c r="O1313" s="17" t="n"/>
      <c r="P1313" s="17" t="n"/>
      <c r="Q1313" s="17" t="n"/>
      <c r="R1313" s="17" t="n"/>
      <c r="S1313" s="17" t="n"/>
      <c r="T1313" s="17" t="n"/>
      <c r="U1313" s="17" t="n"/>
      <c r="V1313" s="17" t="n"/>
      <c r="W1313" s="17" t="n"/>
      <c r="X1313" s="17" t="n"/>
      <c r="Y1313" s="17" t="n">
        <v>1</v>
      </c>
      <c r="Z1313" s="13">
        <f>SUMPRODUCT(N1313:Y1313,$N$2:$Y$2)*$K1313*$L1313*$M1313</f>
        <v/>
      </c>
      <c r="AA1313" s="14">
        <f>SUM(N1313:Y1313)</f>
        <v/>
      </c>
      <c r="AB1313" s="14">
        <f>IFERROR(IF(UPPER($E1313)="L",SUMPRODUCT(N1313:Y1313,$N$3:$Y$3,$N$2:$Y$2),SUMPRODUCT(N1313:Y1313,$N$4:$Y$4,$N$2:$Y$2))/(Z1313/($K1313*$L1313*$M1313)),"")</f>
        <v/>
      </c>
      <c r="AC1313" s="18" t="n"/>
    </row>
    <row r="1314">
      <c r="A1314" s="9" t="n">
        <v>800272</v>
      </c>
      <c r="B1314" s="9" t="inlineStr">
        <is>
          <t>Manolfi Jimenez</t>
        </is>
      </c>
      <c r="C1314" s="9" t="inlineStr">
        <is>
          <t>PHI</t>
        </is>
      </c>
      <c r="D1314" s="9" t="n">
        <v>25</v>
      </c>
      <c r="E1314" s="16" t="inlineStr">
        <is>
          <t>L</t>
        </is>
      </c>
      <c r="F1314" s="16" t="n"/>
      <c r="G1314" s="9" t="n">
        <v>9.230769230769232</v>
      </c>
      <c r="H1314" s="9" t="n">
        <v>9.230769230769232</v>
      </c>
      <c r="I1314" s="9" t="inlineStr">
        <is>
          <t>Depth (no MLB PA)</t>
        </is>
      </c>
      <c r="J1314" s="16" t="inlineStr">
        <is>
          <t>Opening Day</t>
        </is>
      </c>
      <c r="K1314" s="11">
        <f>IFERROR(INDEX(Roles!$B$17:$B$20,MATCH(J1314,Roles!$A$17:$A$20,0)),1)</f>
        <v/>
      </c>
      <c r="L1314" s="17" t="n">
        <v>1</v>
      </c>
      <c r="M1314" s="11" t="n">
        <v>1</v>
      </c>
      <c r="N1314" s="17" t="n"/>
      <c r="O1314" s="17" t="n"/>
      <c r="P1314" s="17" t="n"/>
      <c r="Q1314" s="17" t="n"/>
      <c r="R1314" s="17" t="n"/>
      <c r="S1314" s="17" t="n"/>
      <c r="T1314" s="17" t="n"/>
      <c r="U1314" s="17" t="n"/>
      <c r="V1314" s="17" t="n"/>
      <c r="W1314" s="17" t="n"/>
      <c r="X1314" s="17" t="n"/>
      <c r="Y1314" s="17" t="n">
        <v>1</v>
      </c>
      <c r="Z1314" s="13">
        <f>SUMPRODUCT(N1314:Y1314,$N$2:$Y$2)*$K1314*$L1314*$M1314</f>
        <v/>
      </c>
      <c r="AA1314" s="14">
        <f>SUM(N1314:Y1314)</f>
        <v/>
      </c>
      <c r="AB1314" s="14">
        <f>IFERROR(IF(UPPER($E1314)="L",SUMPRODUCT(N1314:Y1314,$N$3:$Y$3,$N$2:$Y$2),SUMPRODUCT(N1314:Y1314,$N$4:$Y$4,$N$2:$Y$2))/(Z1314/($K1314*$L1314*$M1314)),"")</f>
        <v/>
      </c>
      <c r="AC1314" s="18" t="n"/>
    </row>
    <row r="1315">
      <c r="A1315" s="9" t="n">
        <v>694939</v>
      </c>
      <c r="B1315" s="9" t="inlineStr">
        <is>
          <t>Marcus Brown</t>
        </is>
      </c>
      <c r="C1315" s="9" t="inlineStr">
        <is>
          <t>HOU</t>
        </is>
      </c>
      <c r="D1315" s="9" t="n">
        <v>25</v>
      </c>
      <c r="E1315" s="16" t="inlineStr">
        <is>
          <t>L</t>
        </is>
      </c>
      <c r="F1315" s="16" t="n"/>
      <c r="G1315" s="9" t="n">
        <v>9.589743589743591</v>
      </c>
      <c r="H1315" s="9" t="n">
        <v>9.589743589743591</v>
      </c>
      <c r="I1315" s="9" t="inlineStr">
        <is>
          <t>Depth (no MLB PA)</t>
        </is>
      </c>
      <c r="J1315" s="16" t="inlineStr">
        <is>
          <t>Opening Day</t>
        </is>
      </c>
      <c r="K1315" s="11">
        <f>IFERROR(INDEX(Roles!$B$17:$B$20,MATCH(J1315,Roles!$A$17:$A$20,0)),1)</f>
        <v/>
      </c>
      <c r="L1315" s="17" t="n">
        <v>1</v>
      </c>
      <c r="M1315" s="11" t="n">
        <v>1</v>
      </c>
      <c r="N1315" s="17" t="n"/>
      <c r="O1315" s="17" t="n"/>
      <c r="P1315" s="17" t="n"/>
      <c r="Q1315" s="17" t="n"/>
      <c r="R1315" s="17" t="n"/>
      <c r="S1315" s="17" t="n"/>
      <c r="T1315" s="17" t="n"/>
      <c r="U1315" s="17" t="n"/>
      <c r="V1315" s="17" t="n"/>
      <c r="W1315" s="17" t="n"/>
      <c r="X1315" s="17" t="n"/>
      <c r="Y1315" s="17" t="n">
        <v>1</v>
      </c>
      <c r="Z1315" s="13">
        <f>SUMPRODUCT(N1315:Y1315,$N$2:$Y$2)*$K1315*$L1315*$M1315</f>
        <v/>
      </c>
      <c r="AA1315" s="14">
        <f>SUM(N1315:Y1315)</f>
        <v/>
      </c>
      <c r="AB1315" s="14">
        <f>IFERROR(IF(UPPER($E1315)="L",SUMPRODUCT(N1315:Y1315,$N$3:$Y$3,$N$2:$Y$2),SUMPRODUCT(N1315:Y1315,$N$4:$Y$4,$N$2:$Y$2))/(Z1315/($K1315*$L1315*$M1315)),"")</f>
        <v/>
      </c>
      <c r="AC1315" s="18" t="n"/>
    </row>
    <row r="1316">
      <c r="A1316" s="9" t="n">
        <v>694215</v>
      </c>
      <c r="B1316" s="9" t="inlineStr">
        <is>
          <t>Hans Montero</t>
        </is>
      </c>
      <c r="C1316" s="9" t="inlineStr">
        <is>
          <t>NYY</t>
        </is>
      </c>
      <c r="D1316" s="9" t="n">
        <v>25</v>
      </c>
      <c r="E1316" s="16" t="inlineStr">
        <is>
          <t>R</t>
        </is>
      </c>
      <c r="F1316" s="16" t="n"/>
      <c r="G1316" s="9" t="n">
        <v>13.33333333333334</v>
      </c>
      <c r="H1316" s="9" t="n">
        <v>13.33333333333334</v>
      </c>
      <c r="I1316" s="9" t="inlineStr">
        <is>
          <t>Depth (no MLB PA)</t>
        </is>
      </c>
      <c r="J1316" s="16" t="inlineStr">
        <is>
          <t>Opening Day</t>
        </is>
      </c>
      <c r="K1316" s="11">
        <f>IFERROR(INDEX(Roles!$B$17:$B$20,MATCH(J1316,Roles!$A$17:$A$20,0)),1)</f>
        <v/>
      </c>
      <c r="L1316" s="17" t="n">
        <v>1</v>
      </c>
      <c r="M1316" s="11" t="n">
        <v>1</v>
      </c>
      <c r="N1316" s="17" t="n"/>
      <c r="O1316" s="17" t="n"/>
      <c r="P1316" s="17" t="n"/>
      <c r="Q1316" s="17" t="n"/>
      <c r="R1316" s="17" t="n"/>
      <c r="S1316" s="17" t="n"/>
      <c r="T1316" s="17" t="n"/>
      <c r="U1316" s="17" t="n"/>
      <c r="V1316" s="17" t="n"/>
      <c r="W1316" s="17" t="n"/>
      <c r="X1316" s="17" t="n"/>
      <c r="Y1316" s="17" t="n">
        <v>1</v>
      </c>
      <c r="Z1316" s="13">
        <f>SUMPRODUCT(N1316:Y1316,$N$2:$Y$2)*$K1316*$L1316*$M1316</f>
        <v/>
      </c>
      <c r="AA1316" s="14">
        <f>SUM(N1316:Y1316)</f>
        <v/>
      </c>
      <c r="AB1316" s="14">
        <f>IFERROR(IF(UPPER($E1316)="L",SUMPRODUCT(N1316:Y1316,$N$3:$Y$3,$N$2:$Y$2),SUMPRODUCT(N1316:Y1316,$N$4:$Y$4,$N$2:$Y$2))/(Z1316/($K1316*$L1316*$M1316)),"")</f>
        <v/>
      </c>
      <c r="AC1316" s="18" t="n"/>
    </row>
    <row r="1317">
      <c r="A1317" s="9" t="n">
        <v>702309</v>
      </c>
      <c r="B1317" s="9" t="inlineStr">
        <is>
          <t>Hunter Hines</t>
        </is>
      </c>
      <c r="C1317" s="9" t="inlineStr">
        <is>
          <t>WSH</t>
        </is>
      </c>
      <c r="D1317" s="9" t="n">
        <v>25</v>
      </c>
      <c r="E1317" s="16" t="inlineStr">
        <is>
          <t>L</t>
        </is>
      </c>
      <c r="F1317" s="16" t="n"/>
      <c r="G1317" s="9" t="n">
        <v>25.84615384615385</v>
      </c>
      <c r="H1317" s="9" t="n">
        <v>25.84615384615385</v>
      </c>
      <c r="I1317" s="9" t="inlineStr">
        <is>
          <t>Depth (no MLB PA)</t>
        </is>
      </c>
      <c r="J1317" s="16" t="inlineStr">
        <is>
          <t>Opening Day</t>
        </is>
      </c>
      <c r="K1317" s="11">
        <f>IFERROR(INDEX(Roles!$B$17:$B$20,MATCH(J1317,Roles!$A$17:$A$20,0)),1)</f>
        <v/>
      </c>
      <c r="L1317" s="17" t="n">
        <v>1</v>
      </c>
      <c r="M1317" s="11" t="n">
        <v>1</v>
      </c>
      <c r="N1317" s="17" t="n"/>
      <c r="O1317" s="17" t="n"/>
      <c r="P1317" s="17" t="n"/>
      <c r="Q1317" s="17" t="n"/>
      <c r="R1317" s="17" t="n"/>
      <c r="S1317" s="17" t="n"/>
      <c r="T1317" s="17" t="n"/>
      <c r="U1317" s="17" t="n"/>
      <c r="V1317" s="17" t="n"/>
      <c r="W1317" s="17" t="n"/>
      <c r="X1317" s="17" t="n"/>
      <c r="Y1317" s="17" t="n">
        <v>1</v>
      </c>
      <c r="Z1317" s="13">
        <f>SUMPRODUCT(N1317:Y1317,$N$2:$Y$2)*$K1317*$L1317*$M1317</f>
        <v/>
      </c>
      <c r="AA1317" s="14">
        <f>SUM(N1317:Y1317)</f>
        <v/>
      </c>
      <c r="AB1317" s="14">
        <f>IFERROR(IF(UPPER($E1317)="L",SUMPRODUCT(N1317:Y1317,$N$3:$Y$3,$N$2:$Y$2),SUMPRODUCT(N1317:Y1317,$N$4:$Y$4,$N$2:$Y$2))/(Z1317/($K1317*$L1317*$M1317)),"")</f>
        <v/>
      </c>
      <c r="AC1317" s="18" t="n"/>
    </row>
    <row r="1318">
      <c r="A1318" s="9" t="n">
        <v>822676</v>
      </c>
      <c r="B1318" s="9" t="inlineStr">
        <is>
          <t>Alex Lodise</t>
        </is>
      </c>
      <c r="C1318" s="9" t="inlineStr">
        <is>
          <t>ATL</t>
        </is>
      </c>
      <c r="D1318" s="9" t="n">
        <v>23</v>
      </c>
      <c r="E1318" s="16" t="inlineStr">
        <is>
          <t>R</t>
        </is>
      </c>
      <c r="F1318" s="16" t="n"/>
      <c r="G1318" s="9" t="n">
        <v>35.53846153846154</v>
      </c>
      <c r="H1318" s="9" t="n">
        <v>35.53846153846154</v>
      </c>
      <c r="I1318" s="9" t="inlineStr">
        <is>
          <t>Depth (no MLB PA)</t>
        </is>
      </c>
      <c r="J1318" s="16" t="inlineStr">
        <is>
          <t>Opening Day</t>
        </is>
      </c>
      <c r="K1318" s="11">
        <f>IFERROR(INDEX(Roles!$B$17:$B$20,MATCH(J1318,Roles!$A$17:$A$20,0)),1)</f>
        <v/>
      </c>
      <c r="L1318" s="17" t="n">
        <v>1</v>
      </c>
      <c r="M1318" s="11" t="n">
        <v>1</v>
      </c>
      <c r="N1318" s="17" t="n"/>
      <c r="O1318" s="17" t="n"/>
      <c r="P1318" s="17" t="n"/>
      <c r="Q1318" s="17" t="n"/>
      <c r="R1318" s="17" t="n"/>
      <c r="S1318" s="17" t="n"/>
      <c r="T1318" s="17" t="n"/>
      <c r="U1318" s="17" t="n"/>
      <c r="V1318" s="17" t="n"/>
      <c r="W1318" s="17" t="n"/>
      <c r="X1318" s="17" t="n"/>
      <c r="Y1318" s="17" t="n">
        <v>1</v>
      </c>
      <c r="Z1318" s="13">
        <f>SUMPRODUCT(N1318:Y1318,$N$2:$Y$2)*$K1318*$L1318*$M1318</f>
        <v/>
      </c>
      <c r="AA1318" s="14">
        <f>SUM(N1318:Y1318)</f>
        <v/>
      </c>
      <c r="AB1318" s="14">
        <f>IFERROR(IF(UPPER($E1318)="L",SUMPRODUCT(N1318:Y1318,$N$3:$Y$3,$N$2:$Y$2),SUMPRODUCT(N1318:Y1318,$N$4:$Y$4,$N$2:$Y$2))/(Z1318/($K1318*$L1318*$M1318)),"")</f>
        <v/>
      </c>
      <c r="AC1318" s="18" t="n"/>
    </row>
    <row r="1319">
      <c r="A1319" s="9" t="n">
        <v>812668</v>
      </c>
      <c r="B1319" s="9" t="inlineStr">
        <is>
          <t>Carson Kerce</t>
        </is>
      </c>
      <c r="C1319" s="9" t="inlineStr">
        <is>
          <t>ARI</t>
        </is>
      </c>
      <c r="D1319" s="9" t="n">
        <v>23</v>
      </c>
      <c r="E1319" s="16" t="inlineStr">
        <is>
          <t>R</t>
        </is>
      </c>
      <c r="F1319" s="16" t="n"/>
      <c r="G1319" s="9" t="n">
        <v>13.78461538461538</v>
      </c>
      <c r="H1319" s="9" t="n">
        <v>13.78461538461538</v>
      </c>
      <c r="I1319" s="9" t="inlineStr">
        <is>
          <t>Depth (no MLB PA)</t>
        </is>
      </c>
      <c r="J1319" s="16" t="inlineStr">
        <is>
          <t>Opening Day</t>
        </is>
      </c>
      <c r="K1319" s="11">
        <f>IFERROR(INDEX(Roles!$B$17:$B$20,MATCH(J1319,Roles!$A$17:$A$20,0)),1)</f>
        <v/>
      </c>
      <c r="L1319" s="17" t="n">
        <v>1</v>
      </c>
      <c r="M1319" s="11" t="n">
        <v>1</v>
      </c>
      <c r="N1319" s="17" t="n"/>
      <c r="O1319" s="17" t="n"/>
      <c r="P1319" s="17" t="n"/>
      <c r="Q1319" s="17" t="n"/>
      <c r="R1319" s="17" t="n"/>
      <c r="S1319" s="17" t="n"/>
      <c r="T1319" s="17" t="n"/>
      <c r="U1319" s="17" t="n"/>
      <c r="V1319" s="17" t="n"/>
      <c r="W1319" s="17" t="n"/>
      <c r="X1319" s="17" t="n"/>
      <c r="Y1319" s="17" t="n">
        <v>1</v>
      </c>
      <c r="Z1319" s="13">
        <f>SUMPRODUCT(N1319:Y1319,$N$2:$Y$2)*$K1319*$L1319*$M1319</f>
        <v/>
      </c>
      <c r="AA1319" s="14">
        <f>SUM(N1319:Y1319)</f>
        <v/>
      </c>
      <c r="AB1319" s="14">
        <f>IFERROR(IF(UPPER($E1319)="L",SUMPRODUCT(N1319:Y1319,$N$3:$Y$3,$N$2:$Y$2),SUMPRODUCT(N1319:Y1319,$N$4:$Y$4,$N$2:$Y$2))/(Z1319/($K1319*$L1319*$M1319)),"")</f>
        <v/>
      </c>
      <c r="AC1319" s="18" t="n"/>
    </row>
    <row r="1320">
      <c r="A1320" s="9" t="n">
        <v>830239</v>
      </c>
      <c r="B1320" s="9" t="inlineStr">
        <is>
          <t>Aaron Walton</t>
        </is>
      </c>
      <c r="C1320" s="9" t="inlineStr">
        <is>
          <t>CLE</t>
        </is>
      </c>
      <c r="D1320" s="9" t="n">
        <v>23</v>
      </c>
      <c r="E1320" s="16" t="inlineStr">
        <is>
          <t>R</t>
        </is>
      </c>
      <c r="F1320" s="16" t="n"/>
      <c r="G1320" s="9" t="n">
        <v>68.92307692307692</v>
      </c>
      <c r="H1320" s="9" t="n">
        <v>68.92307692307692</v>
      </c>
      <c r="I1320" s="9" t="inlineStr">
        <is>
          <t>Depth (no MLB PA)</t>
        </is>
      </c>
      <c r="J1320" s="16" t="inlineStr">
        <is>
          <t>Opening Day</t>
        </is>
      </c>
      <c r="K1320" s="11">
        <f>IFERROR(INDEX(Roles!$B$17:$B$20,MATCH(J1320,Roles!$A$17:$A$20,0)),1)</f>
        <v/>
      </c>
      <c r="L1320" s="17" t="n">
        <v>1</v>
      </c>
      <c r="M1320" s="11" t="n">
        <v>1</v>
      </c>
      <c r="N1320" s="17" t="n"/>
      <c r="O1320" s="17" t="n"/>
      <c r="P1320" s="17" t="n"/>
      <c r="Q1320" s="17" t="n"/>
      <c r="R1320" s="17" t="n"/>
      <c r="S1320" s="17" t="n"/>
      <c r="T1320" s="17" t="n"/>
      <c r="U1320" s="17" t="n"/>
      <c r="V1320" s="17" t="n"/>
      <c r="W1320" s="17" t="n"/>
      <c r="X1320" s="17" t="n"/>
      <c r="Y1320" s="17" t="n">
        <v>1</v>
      </c>
      <c r="Z1320" s="13">
        <f>SUMPRODUCT(N1320:Y1320,$N$2:$Y$2)*$K1320*$L1320*$M1320</f>
        <v/>
      </c>
      <c r="AA1320" s="14">
        <f>SUM(N1320:Y1320)</f>
        <v/>
      </c>
      <c r="AB1320" s="14">
        <f>IFERROR(IF(UPPER($E1320)="L",SUMPRODUCT(N1320:Y1320,$N$3:$Y$3,$N$2:$Y$2),SUMPRODUCT(N1320:Y1320,$N$4:$Y$4,$N$2:$Y$2))/(Z1320/($K1320*$L1320*$M1320)),"")</f>
        <v/>
      </c>
      <c r="AC1320" s="18" t="n"/>
    </row>
    <row r="1321">
      <c r="A1321" s="9" t="n">
        <v>701296</v>
      </c>
      <c r="B1321" s="9" t="inlineStr">
        <is>
          <t>Carter Mathison</t>
        </is>
      </c>
      <c r="C1321" s="9" t="inlineStr">
        <is>
          <t>PHI</t>
        </is>
      </c>
      <c r="D1321" s="9" t="n">
        <v>25</v>
      </c>
      <c r="E1321" s="16" t="inlineStr">
        <is>
          <t>L</t>
        </is>
      </c>
      <c r="F1321" s="16" t="n"/>
      <c r="G1321" s="9" t="n">
        <v>57.84615384615385</v>
      </c>
      <c r="H1321" s="9" t="n">
        <v>57.84615384615385</v>
      </c>
      <c r="I1321" s="9" t="inlineStr">
        <is>
          <t>Depth (no MLB PA)</t>
        </is>
      </c>
      <c r="J1321" s="16" t="inlineStr">
        <is>
          <t>Opening Day</t>
        </is>
      </c>
      <c r="K1321" s="11">
        <f>IFERROR(INDEX(Roles!$B$17:$B$20,MATCH(J1321,Roles!$A$17:$A$20,0)),1)</f>
        <v/>
      </c>
      <c r="L1321" s="17" t="n">
        <v>1</v>
      </c>
      <c r="M1321" s="11" t="n">
        <v>1</v>
      </c>
      <c r="N1321" s="17" t="n"/>
      <c r="O1321" s="17" t="n"/>
      <c r="P1321" s="17" t="n"/>
      <c r="Q1321" s="17" t="n"/>
      <c r="R1321" s="17" t="n"/>
      <c r="S1321" s="17" t="n"/>
      <c r="T1321" s="17" t="n"/>
      <c r="U1321" s="17" t="n"/>
      <c r="V1321" s="17" t="n"/>
      <c r="W1321" s="17" t="n"/>
      <c r="X1321" s="17" t="n"/>
      <c r="Y1321" s="17" t="n">
        <v>1</v>
      </c>
      <c r="Z1321" s="13">
        <f>SUMPRODUCT(N1321:Y1321,$N$2:$Y$2)*$K1321*$L1321*$M1321</f>
        <v/>
      </c>
      <c r="AA1321" s="14">
        <f>SUM(N1321:Y1321)</f>
        <v/>
      </c>
      <c r="AB1321" s="14">
        <f>IFERROR(IF(UPPER($E1321)="L",SUMPRODUCT(N1321:Y1321,$N$3:$Y$3,$N$2:$Y$2),SUMPRODUCT(N1321:Y1321,$N$4:$Y$4,$N$2:$Y$2))/(Z1321/($K1321*$L1321*$M1321)),"")</f>
        <v/>
      </c>
      <c r="AC1321" s="18" t="n"/>
    </row>
    <row r="1322">
      <c r="A1322" s="9" t="n">
        <v>823114</v>
      </c>
      <c r="B1322" s="9" t="inlineStr">
        <is>
          <t>Nolan McCarthy</t>
        </is>
      </c>
      <c r="C1322" s="9" t="inlineStr">
        <is>
          <t>DET</t>
        </is>
      </c>
      <c r="D1322" s="9" t="n">
        <v>25</v>
      </c>
      <c r="E1322" s="16" t="inlineStr">
        <is>
          <t>R</t>
        </is>
      </c>
      <c r="F1322" s="16" t="n"/>
      <c r="G1322" s="9" t="n">
        <v>17.84615384615385</v>
      </c>
      <c r="H1322" s="9" t="n">
        <v>17.84615384615385</v>
      </c>
      <c r="I1322" s="9" t="inlineStr">
        <is>
          <t>Depth (no MLB PA)</t>
        </is>
      </c>
      <c r="J1322" s="16" t="inlineStr">
        <is>
          <t>Opening Day</t>
        </is>
      </c>
      <c r="K1322" s="11">
        <f>IFERROR(INDEX(Roles!$B$17:$B$20,MATCH(J1322,Roles!$A$17:$A$20,0)),1)</f>
        <v/>
      </c>
      <c r="L1322" s="17" t="n">
        <v>1</v>
      </c>
      <c r="M1322" s="11" t="n">
        <v>1</v>
      </c>
      <c r="N1322" s="17" t="n"/>
      <c r="O1322" s="17" t="n"/>
      <c r="P1322" s="17" t="n"/>
      <c r="Q1322" s="17" t="n"/>
      <c r="R1322" s="17" t="n"/>
      <c r="S1322" s="17" t="n"/>
      <c r="T1322" s="17" t="n"/>
      <c r="U1322" s="17" t="n"/>
      <c r="V1322" s="17" t="n"/>
      <c r="W1322" s="17" t="n"/>
      <c r="X1322" s="17" t="n"/>
      <c r="Y1322" s="17" t="n">
        <v>1</v>
      </c>
      <c r="Z1322" s="13">
        <f>SUMPRODUCT(N1322:Y1322,$N$2:$Y$2)*$K1322*$L1322*$M1322</f>
        <v/>
      </c>
      <c r="AA1322" s="14">
        <f>SUM(N1322:Y1322)</f>
        <v/>
      </c>
      <c r="AB1322" s="14">
        <f>IFERROR(IF(UPPER($E1322)="L",SUMPRODUCT(N1322:Y1322,$N$3:$Y$3,$N$2:$Y$2),SUMPRODUCT(N1322:Y1322,$N$4:$Y$4,$N$2:$Y$2))/(Z1322/($K1322*$L1322*$M1322)),"")</f>
        <v/>
      </c>
      <c r="AC1322" s="18" t="n"/>
    </row>
    <row r="1323">
      <c r="A1323" s="9" t="n">
        <v>806550</v>
      </c>
      <c r="B1323" s="9" t="inlineStr">
        <is>
          <t>Sir Jamison Jones</t>
        </is>
      </c>
      <c r="C1323" s="9" t="inlineStr">
        <is>
          <t>WSH</t>
        </is>
      </c>
      <c r="D1323" s="9" t="n">
        <v>25</v>
      </c>
      <c r="E1323" s="16" t="inlineStr">
        <is>
          <t>R</t>
        </is>
      </c>
      <c r="F1323" s="16" t="n"/>
      <c r="G1323" s="9" t="n">
        <v>31.01538461538461</v>
      </c>
      <c r="H1323" s="9" t="n">
        <v>31.01538461538461</v>
      </c>
      <c r="I1323" s="9" t="inlineStr">
        <is>
          <t>Depth (no MLB PA)</t>
        </is>
      </c>
      <c r="J1323" s="16" t="inlineStr">
        <is>
          <t>Opening Day</t>
        </is>
      </c>
      <c r="K1323" s="11">
        <f>IFERROR(INDEX(Roles!$B$17:$B$20,MATCH(J1323,Roles!$A$17:$A$20,0)),1)</f>
        <v/>
      </c>
      <c r="L1323" s="17" t="n">
        <v>1</v>
      </c>
      <c r="M1323" s="11" t="n">
        <v>1</v>
      </c>
      <c r="N1323" s="17" t="n"/>
      <c r="O1323" s="17" t="n"/>
      <c r="P1323" s="17" t="n"/>
      <c r="Q1323" s="17" t="n"/>
      <c r="R1323" s="17" t="n"/>
      <c r="S1323" s="17" t="n"/>
      <c r="T1323" s="17" t="n"/>
      <c r="U1323" s="17" t="n"/>
      <c r="V1323" s="17" t="n"/>
      <c r="W1323" s="17" t="n"/>
      <c r="X1323" s="17" t="n"/>
      <c r="Y1323" s="17" t="n">
        <v>1</v>
      </c>
      <c r="Z1323" s="13">
        <f>SUMPRODUCT(N1323:Y1323,$N$2:$Y$2)*$K1323*$L1323*$M1323</f>
        <v/>
      </c>
      <c r="AA1323" s="14">
        <f>SUM(N1323:Y1323)</f>
        <v/>
      </c>
      <c r="AB1323" s="14">
        <f>IFERROR(IF(UPPER($E1323)="L",SUMPRODUCT(N1323:Y1323,$N$3:$Y$3,$N$2:$Y$2),SUMPRODUCT(N1323:Y1323,$N$4:$Y$4,$N$2:$Y$2))/(Z1323/($K1323*$L1323*$M1323)),"")</f>
        <v/>
      </c>
      <c r="AC1323" s="18" t="n"/>
    </row>
    <row r="1324">
      <c r="A1324" s="9" t="n">
        <v>622110</v>
      </c>
      <c r="B1324" s="9" t="inlineStr">
        <is>
          <t>Matt Duffy</t>
        </is>
      </c>
      <c r="C1324" s="9" t="inlineStr">
        <is>
          <t>KC</t>
        </is>
      </c>
      <c r="D1324" s="9" t="n">
        <v>36</v>
      </c>
      <c r="E1324" s="16" t="inlineStr">
        <is>
          <t>R</t>
        </is>
      </c>
      <c r="F1324" s="16" t="inlineStr">
        <is>
          <t>3B</t>
        </is>
      </c>
      <c r="G1324" s="9" t="n">
        <v>10</v>
      </c>
      <c r="H1324" s="9" t="n">
        <v>466</v>
      </c>
      <c r="I1324" s="9" t="inlineStr">
        <is>
          <t>Depth (no MLB PA)</t>
        </is>
      </c>
      <c r="J1324" s="16" t="inlineStr">
        <is>
          <t>Opening Day</t>
        </is>
      </c>
      <c r="K1324" s="11">
        <f>IFERROR(INDEX(Roles!$B$17:$B$20,MATCH(J1324,Roles!$A$17:$A$20,0)),1)</f>
        <v/>
      </c>
      <c r="L1324" s="17" t="n">
        <v>1</v>
      </c>
      <c r="M1324" s="11" t="n">
        <v>1</v>
      </c>
      <c r="N1324" s="17" t="n"/>
      <c r="O1324" s="17" t="n"/>
      <c r="P1324" s="17" t="n"/>
      <c r="Q1324" s="17" t="n"/>
      <c r="R1324" s="17" t="n"/>
      <c r="S1324" s="17" t="n"/>
      <c r="T1324" s="17" t="n"/>
      <c r="U1324" s="17" t="n"/>
      <c r="V1324" s="17" t="n"/>
      <c r="W1324" s="17" t="n"/>
      <c r="X1324" s="17" t="n"/>
      <c r="Y1324" s="17" t="n">
        <v>1</v>
      </c>
      <c r="Z1324" s="13">
        <f>SUMPRODUCT(N1324:Y1324,$N$2:$Y$2)*$K1324*$L1324*$M1324</f>
        <v/>
      </c>
      <c r="AA1324" s="14">
        <f>SUM(N1324:Y1324)</f>
        <v/>
      </c>
      <c r="AB1324" s="14">
        <f>IFERROR(IF(UPPER($E1324)="L",SUMPRODUCT(N1324:Y1324,$N$3:$Y$3,$N$2:$Y$2),SUMPRODUCT(N1324:Y1324,$N$4:$Y$4,$N$2:$Y$2))/(Z1324/($K1324*$L1324*$M1324)),"")</f>
        <v/>
      </c>
      <c r="AC1324" s="18" t="n"/>
    </row>
    <row r="1325">
      <c r="A1325" s="9" t="n">
        <v>829976</v>
      </c>
      <c r="B1325" s="9" t="inlineStr">
        <is>
          <t>Manuel Campos</t>
        </is>
      </c>
      <c r="C1325" s="9" t="inlineStr">
        <is>
          <t>ATL</t>
        </is>
      </c>
      <c r="D1325" s="9" t="n">
        <v>25</v>
      </c>
      <c r="E1325" s="16" t="inlineStr">
        <is>
          <t>S</t>
        </is>
      </c>
      <c r="F1325" s="16" t="n"/>
      <c r="G1325" s="9" t="n">
        <v>13.78461538461538</v>
      </c>
      <c r="H1325" s="9" t="n">
        <v>13.78461538461538</v>
      </c>
      <c r="I1325" s="9" t="inlineStr">
        <is>
          <t>Depth (no MLB PA)</t>
        </is>
      </c>
      <c r="J1325" s="16" t="inlineStr">
        <is>
          <t>Opening Day</t>
        </is>
      </c>
      <c r="K1325" s="11">
        <f>IFERROR(INDEX(Roles!$B$17:$B$20,MATCH(J1325,Roles!$A$17:$A$20,0)),1)</f>
        <v/>
      </c>
      <c r="L1325" s="17" t="n">
        <v>1</v>
      </c>
      <c r="M1325" s="11" t="n">
        <v>1</v>
      </c>
      <c r="N1325" s="17" t="n"/>
      <c r="O1325" s="17" t="n"/>
      <c r="P1325" s="17" t="n"/>
      <c r="Q1325" s="17" t="n"/>
      <c r="R1325" s="17" t="n"/>
      <c r="S1325" s="17" t="n"/>
      <c r="T1325" s="17" t="n"/>
      <c r="U1325" s="17" t="n"/>
      <c r="V1325" s="17" t="n"/>
      <c r="W1325" s="17" t="n"/>
      <c r="X1325" s="17" t="n"/>
      <c r="Y1325" s="17" t="n">
        <v>1</v>
      </c>
      <c r="Z1325" s="13">
        <f>SUMPRODUCT(N1325:Y1325,$N$2:$Y$2)*$K1325*$L1325*$M1325</f>
        <v/>
      </c>
      <c r="AA1325" s="14">
        <f>SUM(N1325:Y1325)</f>
        <v/>
      </c>
      <c r="AB1325" s="14">
        <f>IFERROR(IF(UPPER($E1325)="L",SUMPRODUCT(N1325:Y1325,$N$3:$Y$3,$N$2:$Y$2),SUMPRODUCT(N1325:Y1325,$N$4:$Y$4,$N$2:$Y$2))/(Z1325/($K1325*$L1325*$M1325)),"")</f>
        <v/>
      </c>
      <c r="AC1325" s="18" t="n"/>
    </row>
    <row r="1326">
      <c r="A1326" s="9" t="n">
        <v>808401</v>
      </c>
      <c r="B1326" s="9" t="inlineStr">
        <is>
          <t>Angel Guzman</t>
        </is>
      </c>
      <c r="C1326" s="9" t="inlineStr">
        <is>
          <t>SF</t>
        </is>
      </c>
      <c r="D1326" s="9" t="n">
        <v>25</v>
      </c>
      <c r="E1326" s="16" t="inlineStr">
        <is>
          <t>L</t>
        </is>
      </c>
      <c r="F1326" s="16" t="n"/>
      <c r="G1326" s="9" t="n">
        <v>18.09230769230769</v>
      </c>
      <c r="H1326" s="9" t="n">
        <v>18.09230769230769</v>
      </c>
      <c r="I1326" s="9" t="inlineStr">
        <is>
          <t>Depth (no MLB PA)</t>
        </is>
      </c>
      <c r="J1326" s="16" t="inlineStr">
        <is>
          <t>Opening Day</t>
        </is>
      </c>
      <c r="K1326" s="11">
        <f>IFERROR(INDEX(Roles!$B$17:$B$20,MATCH(J1326,Roles!$A$17:$A$20,0)),1)</f>
        <v/>
      </c>
      <c r="L1326" s="17" t="n">
        <v>1</v>
      </c>
      <c r="M1326" s="11" t="n">
        <v>1</v>
      </c>
      <c r="N1326" s="17" t="n"/>
      <c r="O1326" s="17" t="n"/>
      <c r="P1326" s="17" t="n"/>
      <c r="Q1326" s="17" t="n"/>
      <c r="R1326" s="17" t="n"/>
      <c r="S1326" s="17" t="n"/>
      <c r="T1326" s="17" t="n"/>
      <c r="U1326" s="17" t="n"/>
      <c r="V1326" s="17" t="n"/>
      <c r="W1326" s="17" t="n"/>
      <c r="X1326" s="17" t="n"/>
      <c r="Y1326" s="17" t="n">
        <v>1</v>
      </c>
      <c r="Z1326" s="13">
        <f>SUMPRODUCT(N1326:Y1326,$N$2:$Y$2)*$K1326*$L1326*$M1326</f>
        <v/>
      </c>
      <c r="AA1326" s="14">
        <f>SUM(N1326:Y1326)</f>
        <v/>
      </c>
      <c r="AB1326" s="14">
        <f>IFERROR(IF(UPPER($E1326)="L",SUMPRODUCT(N1326:Y1326,$N$3:$Y$3,$N$2:$Y$2),SUMPRODUCT(N1326:Y1326,$N$4:$Y$4,$N$2:$Y$2))/(Z1326/($K1326*$L1326*$M1326)),"")</f>
        <v/>
      </c>
      <c r="AC1326" s="18" t="n"/>
    </row>
    <row r="1327">
      <c r="A1327" s="9" t="n">
        <v>690958</v>
      </c>
      <c r="B1327" s="9" t="inlineStr">
        <is>
          <t>Drew Bowser</t>
        </is>
      </c>
      <c r="C1327" s="9" t="inlineStr">
        <is>
          <t>CHC</t>
        </is>
      </c>
      <c r="D1327" s="9" t="n">
        <v>25</v>
      </c>
      <c r="E1327" s="16" t="inlineStr">
        <is>
          <t>R</t>
        </is>
      </c>
      <c r="F1327" s="16" t="n"/>
      <c r="G1327" s="9" t="n">
        <v>34.82051282051282</v>
      </c>
      <c r="H1327" s="9" t="n">
        <v>34.82051282051282</v>
      </c>
      <c r="I1327" s="9" t="inlineStr">
        <is>
          <t>Depth (no MLB PA)</t>
        </is>
      </c>
      <c r="J1327" s="16" t="inlineStr">
        <is>
          <t>Opening Day</t>
        </is>
      </c>
      <c r="K1327" s="11">
        <f>IFERROR(INDEX(Roles!$B$17:$B$20,MATCH(J1327,Roles!$A$17:$A$20,0)),1)</f>
        <v/>
      </c>
      <c r="L1327" s="17" t="n">
        <v>1</v>
      </c>
      <c r="M1327" s="11" t="n">
        <v>1</v>
      </c>
      <c r="N1327" s="17" t="n"/>
      <c r="O1327" s="17" t="n"/>
      <c r="P1327" s="17" t="n"/>
      <c r="Q1327" s="17" t="n"/>
      <c r="R1327" s="17" t="n"/>
      <c r="S1327" s="17" t="n"/>
      <c r="T1327" s="17" t="n"/>
      <c r="U1327" s="17" t="n"/>
      <c r="V1327" s="17" t="n"/>
      <c r="W1327" s="17" t="n"/>
      <c r="X1327" s="17" t="n"/>
      <c r="Y1327" s="17" t="n">
        <v>1</v>
      </c>
      <c r="Z1327" s="13">
        <f>SUMPRODUCT(N1327:Y1327,$N$2:$Y$2)*$K1327*$L1327*$M1327</f>
        <v/>
      </c>
      <c r="AA1327" s="14">
        <f>SUM(N1327:Y1327)</f>
        <v/>
      </c>
      <c r="AB1327" s="14">
        <f>IFERROR(IF(UPPER($E1327)="L",SUMPRODUCT(N1327:Y1327,$N$3:$Y$3,$N$2:$Y$2),SUMPRODUCT(N1327:Y1327,$N$4:$Y$4,$N$2:$Y$2))/(Z1327/($K1327*$L1327*$M1327)),"")</f>
        <v/>
      </c>
      <c r="AC1327" s="18" t="n"/>
    </row>
    <row r="1328">
      <c r="A1328" s="9" t="n">
        <v>702500</v>
      </c>
      <c r="B1328" s="9" t="inlineStr">
        <is>
          <t>Anthony Silva</t>
        </is>
      </c>
      <c r="C1328" s="9" t="inlineStr">
        <is>
          <t>CLE</t>
        </is>
      </c>
      <c r="D1328" s="9" t="n">
        <v>25</v>
      </c>
      <c r="E1328" s="16" t="inlineStr">
        <is>
          <t>R</t>
        </is>
      </c>
      <c r="F1328" s="16" t="n"/>
      <c r="G1328" s="9" t="n">
        <v>9.435897435897436</v>
      </c>
      <c r="H1328" s="9" t="n">
        <v>9.435897435897436</v>
      </c>
      <c r="I1328" s="9" t="inlineStr">
        <is>
          <t>Depth (no MLB PA)</t>
        </is>
      </c>
      <c r="J1328" s="16" t="inlineStr">
        <is>
          <t>Opening Day</t>
        </is>
      </c>
      <c r="K1328" s="11">
        <f>IFERROR(INDEX(Roles!$B$17:$B$20,MATCH(J1328,Roles!$A$17:$A$20,0)),1)</f>
        <v/>
      </c>
      <c r="L1328" s="17" t="n">
        <v>1</v>
      </c>
      <c r="M1328" s="11" t="n">
        <v>1</v>
      </c>
      <c r="N1328" s="17" t="n"/>
      <c r="O1328" s="17" t="n"/>
      <c r="P1328" s="17" t="n"/>
      <c r="Q1328" s="17" t="n"/>
      <c r="R1328" s="17" t="n"/>
      <c r="S1328" s="17" t="n"/>
      <c r="T1328" s="17" t="n"/>
      <c r="U1328" s="17" t="n"/>
      <c r="V1328" s="17" t="n"/>
      <c r="W1328" s="17" t="n"/>
      <c r="X1328" s="17" t="n"/>
      <c r="Y1328" s="17" t="n">
        <v>1</v>
      </c>
      <c r="Z1328" s="13">
        <f>SUMPRODUCT(N1328:Y1328,$N$2:$Y$2)*$K1328*$L1328*$M1328</f>
        <v/>
      </c>
      <c r="AA1328" s="14">
        <f>SUM(N1328:Y1328)</f>
        <v/>
      </c>
      <c r="AB1328" s="14">
        <f>IFERROR(IF(UPPER($E1328)="L",SUMPRODUCT(N1328:Y1328,$N$3:$Y$3,$N$2:$Y$2),SUMPRODUCT(N1328:Y1328,$N$4:$Y$4,$N$2:$Y$2))/(Z1328/($K1328*$L1328*$M1328)),"")</f>
        <v/>
      </c>
      <c r="AC1328" s="18" t="n"/>
    </row>
    <row r="1329">
      <c r="A1329" s="9" t="n">
        <v>830736</v>
      </c>
      <c r="B1329" s="9" t="inlineStr">
        <is>
          <t>Bryce Fowler</t>
        </is>
      </c>
      <c r="C1329" s="9" t="inlineStr">
        <is>
          <t>MIN</t>
        </is>
      </c>
      <c r="D1329" s="9" t="n">
        <v>25</v>
      </c>
      <c r="E1329" s="16" t="inlineStr">
        <is>
          <t>L</t>
        </is>
      </c>
      <c r="F1329" s="16" t="n"/>
      <c r="G1329" s="9" t="n">
        <v>9.353846153846154</v>
      </c>
      <c r="H1329" s="9" t="n">
        <v>9.353846153846154</v>
      </c>
      <c r="I1329" s="9" t="inlineStr">
        <is>
          <t>Depth (no MLB PA)</t>
        </is>
      </c>
      <c r="J1329" s="16" t="inlineStr">
        <is>
          <t>Opening Day</t>
        </is>
      </c>
      <c r="K1329" s="11">
        <f>IFERROR(INDEX(Roles!$B$17:$B$20,MATCH(J1329,Roles!$A$17:$A$20,0)),1)</f>
        <v/>
      </c>
      <c r="L1329" s="17" t="n">
        <v>1</v>
      </c>
      <c r="M1329" s="11" t="n">
        <v>1</v>
      </c>
      <c r="N1329" s="17" t="n"/>
      <c r="O1329" s="17" t="n"/>
      <c r="P1329" s="17" t="n"/>
      <c r="Q1329" s="17" t="n"/>
      <c r="R1329" s="17" t="n"/>
      <c r="S1329" s="17" t="n"/>
      <c r="T1329" s="17" t="n"/>
      <c r="U1329" s="17" t="n"/>
      <c r="V1329" s="17" t="n"/>
      <c r="W1329" s="17" t="n"/>
      <c r="X1329" s="17" t="n"/>
      <c r="Y1329" s="17" t="n">
        <v>1</v>
      </c>
      <c r="Z1329" s="13">
        <f>SUMPRODUCT(N1329:Y1329,$N$2:$Y$2)*$K1329*$L1329*$M1329</f>
        <v/>
      </c>
      <c r="AA1329" s="14">
        <f>SUM(N1329:Y1329)</f>
        <v/>
      </c>
      <c r="AB1329" s="14">
        <f>IFERROR(IF(UPPER($E1329)="L",SUMPRODUCT(N1329:Y1329,$N$3:$Y$3,$N$2:$Y$2),SUMPRODUCT(N1329:Y1329,$N$4:$Y$4,$N$2:$Y$2))/(Z1329/($K1329*$L1329*$M1329)),"")</f>
        <v/>
      </c>
      <c r="AC1329" s="18" t="n"/>
    </row>
    <row r="1330">
      <c r="A1330" s="9" t="n">
        <v>805910</v>
      </c>
      <c r="B1330" s="9" t="inlineStr">
        <is>
          <t>Jhoander Irigoyen</t>
        </is>
      </c>
      <c r="C1330" s="9" t="inlineStr">
        <is>
          <t>CHC</t>
        </is>
      </c>
      <c r="D1330" s="9" t="n">
        <v>25</v>
      </c>
      <c r="E1330" s="16" t="inlineStr">
        <is>
          <t>R</t>
        </is>
      </c>
      <c r="F1330" s="16" t="n"/>
      <c r="G1330" s="9" t="n">
        <v>9.723076923076922</v>
      </c>
      <c r="H1330" s="9" t="n">
        <v>9.723076923076922</v>
      </c>
      <c r="I1330" s="9" t="inlineStr">
        <is>
          <t>Depth (no MLB PA)</t>
        </is>
      </c>
      <c r="J1330" s="16" t="inlineStr">
        <is>
          <t>Opening Day</t>
        </is>
      </c>
      <c r="K1330" s="11">
        <f>IFERROR(INDEX(Roles!$B$17:$B$20,MATCH(J1330,Roles!$A$17:$A$20,0)),1)</f>
        <v/>
      </c>
      <c r="L1330" s="17" t="n">
        <v>1</v>
      </c>
      <c r="M1330" s="11" t="n">
        <v>1</v>
      </c>
      <c r="N1330" s="17" t="n"/>
      <c r="O1330" s="17" t="n"/>
      <c r="P1330" s="17" t="n"/>
      <c r="Q1330" s="17" t="n"/>
      <c r="R1330" s="17" t="n"/>
      <c r="S1330" s="17" t="n"/>
      <c r="T1330" s="17" t="n"/>
      <c r="U1330" s="17" t="n"/>
      <c r="V1330" s="17" t="n"/>
      <c r="W1330" s="17" t="n"/>
      <c r="X1330" s="17" t="n"/>
      <c r="Y1330" s="17" t="n">
        <v>1</v>
      </c>
      <c r="Z1330" s="13">
        <f>SUMPRODUCT(N1330:Y1330,$N$2:$Y$2)*$K1330*$L1330*$M1330</f>
        <v/>
      </c>
      <c r="AA1330" s="14">
        <f>SUM(N1330:Y1330)</f>
        <v/>
      </c>
      <c r="AB1330" s="14">
        <f>IFERROR(IF(UPPER($E1330)="L",SUMPRODUCT(N1330:Y1330,$N$3:$Y$3,$N$2:$Y$2),SUMPRODUCT(N1330:Y1330,$N$4:$Y$4,$N$2:$Y$2))/(Z1330/($K1330*$L1330*$M1330)),"")</f>
        <v/>
      </c>
      <c r="AC1330" s="18" t="n"/>
    </row>
    <row r="1331">
      <c r="A1331" s="9" t="n">
        <v>596059</v>
      </c>
      <c r="B1331" s="9" t="inlineStr">
        <is>
          <t>Rougned Odor</t>
        </is>
      </c>
      <c r="C1331" s="9" t="inlineStr">
        <is>
          <t>SD</t>
        </is>
      </c>
      <c r="D1331" s="9" t="n">
        <v>33</v>
      </c>
      <c r="E1331" s="16" t="inlineStr">
        <is>
          <t>L</t>
        </is>
      </c>
      <c r="F1331" s="16" t="inlineStr">
        <is>
          <t>2B</t>
        </is>
      </c>
      <c r="G1331" s="9" t="n">
        <v>157</v>
      </c>
      <c r="H1331" s="9" t="n">
        <v>629</v>
      </c>
      <c r="I1331" s="9" t="inlineStr">
        <is>
          <t>Depth (no MLB PA)</t>
        </is>
      </c>
      <c r="J1331" s="16" t="inlineStr">
        <is>
          <t>Opening Day</t>
        </is>
      </c>
      <c r="K1331" s="11">
        <f>IFERROR(INDEX(Roles!$B$17:$B$20,MATCH(J1331,Roles!$A$17:$A$20,0)),1)</f>
        <v/>
      </c>
      <c r="L1331" s="17" t="n">
        <v>1</v>
      </c>
      <c r="M1331" s="11" t="n">
        <v>1</v>
      </c>
      <c r="N1331" s="17" t="n"/>
      <c r="O1331" s="17" t="n"/>
      <c r="P1331" s="17" t="n"/>
      <c r="Q1331" s="17" t="n"/>
      <c r="R1331" s="17" t="n"/>
      <c r="S1331" s="17" t="n"/>
      <c r="T1331" s="17" t="n"/>
      <c r="U1331" s="17" t="n"/>
      <c r="V1331" s="17" t="n"/>
      <c r="W1331" s="17" t="n"/>
      <c r="X1331" s="17" t="n"/>
      <c r="Y1331" s="17" t="n">
        <v>1</v>
      </c>
      <c r="Z1331" s="13">
        <f>SUMPRODUCT(N1331:Y1331,$N$2:$Y$2)*$K1331*$L1331*$M1331</f>
        <v/>
      </c>
      <c r="AA1331" s="14">
        <f>SUM(N1331:Y1331)</f>
        <v/>
      </c>
      <c r="AB1331" s="14">
        <f>IFERROR(IF(UPPER($E1331)="L",SUMPRODUCT(N1331:Y1331,$N$3:$Y$3,$N$2:$Y$2),SUMPRODUCT(N1331:Y1331,$N$4:$Y$4,$N$2:$Y$2))/(Z1331/($K1331*$L1331*$M1331)),"")</f>
        <v/>
      </c>
      <c r="AC1331" s="18" t="n"/>
    </row>
    <row r="1332">
      <c r="A1332" s="9" t="n">
        <v>703154</v>
      </c>
      <c r="B1332" s="9" t="inlineStr">
        <is>
          <t>Yordany De Los Santos</t>
        </is>
      </c>
      <c r="C1332" s="9" t="inlineStr">
        <is>
          <t>PIT</t>
        </is>
      </c>
      <c r="D1332" s="9" t="n">
        <v>25</v>
      </c>
      <c r="E1332" s="16" t="inlineStr">
        <is>
          <t>R</t>
        </is>
      </c>
      <c r="F1332" s="16" t="n"/>
      <c r="G1332" s="9" t="n">
        <v>80.20512820512822</v>
      </c>
      <c r="H1332" s="9" t="n">
        <v>80.20512820512822</v>
      </c>
      <c r="I1332" s="9" t="inlineStr">
        <is>
          <t>Depth (no MLB PA)</t>
        </is>
      </c>
      <c r="J1332" s="16" t="inlineStr">
        <is>
          <t>Opening Day</t>
        </is>
      </c>
      <c r="K1332" s="11">
        <f>IFERROR(INDEX(Roles!$B$17:$B$20,MATCH(J1332,Roles!$A$17:$A$20,0)),1)</f>
        <v/>
      </c>
      <c r="L1332" s="17" t="n">
        <v>1</v>
      </c>
      <c r="M1332" s="11" t="n">
        <v>1</v>
      </c>
      <c r="N1332" s="17" t="n"/>
      <c r="O1332" s="17" t="n"/>
      <c r="P1332" s="17" t="n"/>
      <c r="Q1332" s="17" t="n"/>
      <c r="R1332" s="17" t="n"/>
      <c r="S1332" s="17" t="n"/>
      <c r="T1332" s="17" t="n"/>
      <c r="U1332" s="17" t="n"/>
      <c r="V1332" s="17" t="n"/>
      <c r="W1332" s="17" t="n"/>
      <c r="X1332" s="17" t="n"/>
      <c r="Y1332" s="17" t="n">
        <v>1</v>
      </c>
      <c r="Z1332" s="13">
        <f>SUMPRODUCT(N1332:Y1332,$N$2:$Y$2)*$K1332*$L1332*$M1332</f>
        <v/>
      </c>
      <c r="AA1332" s="14">
        <f>SUM(N1332:Y1332)</f>
        <v/>
      </c>
      <c r="AB1332" s="14">
        <f>IFERROR(IF(UPPER($E1332)="L",SUMPRODUCT(N1332:Y1332,$N$3:$Y$3,$N$2:$Y$2),SUMPRODUCT(N1332:Y1332,$N$4:$Y$4,$N$2:$Y$2))/(Z1332/($K1332*$L1332*$M1332)),"")</f>
        <v/>
      </c>
      <c r="AC1332" s="18" t="n"/>
    </row>
    <row r="1333">
      <c r="A1333" s="9" t="n">
        <v>823651</v>
      </c>
      <c r="B1333" s="9" t="inlineStr">
        <is>
          <t>J.P. Cabrera</t>
        </is>
      </c>
      <c r="C1333" s="9" t="inlineStr">
        <is>
          <t>STL</t>
        </is>
      </c>
      <c r="D1333" s="9" t="n">
        <v>25</v>
      </c>
      <c r="E1333" s="16" t="inlineStr">
        <is>
          <t>R</t>
        </is>
      </c>
      <c r="F1333" s="16" t="n"/>
      <c r="G1333" s="9" t="n">
        <v>11.81538461538462</v>
      </c>
      <c r="H1333" s="9" t="n">
        <v>11.81538461538462</v>
      </c>
      <c r="I1333" s="9" t="inlineStr">
        <is>
          <t>Depth (no MLB PA)</t>
        </is>
      </c>
      <c r="J1333" s="16" t="inlineStr">
        <is>
          <t>Opening Day</t>
        </is>
      </c>
      <c r="K1333" s="11">
        <f>IFERROR(INDEX(Roles!$B$17:$B$20,MATCH(J1333,Roles!$A$17:$A$20,0)),1)</f>
        <v/>
      </c>
      <c r="L1333" s="17" t="n">
        <v>1</v>
      </c>
      <c r="M1333" s="11" t="n">
        <v>1</v>
      </c>
      <c r="N1333" s="17" t="n"/>
      <c r="O1333" s="17" t="n"/>
      <c r="P1333" s="17" t="n"/>
      <c r="Q1333" s="17" t="n"/>
      <c r="R1333" s="17" t="n"/>
      <c r="S1333" s="17" t="n"/>
      <c r="T1333" s="17" t="n"/>
      <c r="U1333" s="17" t="n"/>
      <c r="V1333" s="17" t="n"/>
      <c r="W1333" s="17" t="n"/>
      <c r="X1333" s="17" t="n"/>
      <c r="Y1333" s="17" t="n">
        <v>1</v>
      </c>
      <c r="Z1333" s="13">
        <f>SUMPRODUCT(N1333:Y1333,$N$2:$Y$2)*$K1333*$L1333*$M1333</f>
        <v/>
      </c>
      <c r="AA1333" s="14">
        <f>SUM(N1333:Y1333)</f>
        <v/>
      </c>
      <c r="AB1333" s="14">
        <f>IFERROR(IF(UPPER($E1333)="L",SUMPRODUCT(N1333:Y1333,$N$3:$Y$3,$N$2:$Y$2),SUMPRODUCT(N1333:Y1333,$N$4:$Y$4,$N$2:$Y$2))/(Z1333/($K1333*$L1333*$M1333)),"")</f>
        <v/>
      </c>
      <c r="AC1333" s="18" t="n"/>
    </row>
    <row r="1334">
      <c r="A1334" s="9" t="n">
        <v>687930</v>
      </c>
      <c r="B1334" s="9" t="inlineStr">
        <is>
          <t>Tyresse Turner</t>
        </is>
      </c>
      <c r="C1334" s="9" t="inlineStr">
        <is>
          <t>CLE</t>
        </is>
      </c>
      <c r="D1334" s="9" t="n">
        <v>25</v>
      </c>
      <c r="E1334" s="16" t="inlineStr">
        <is>
          <t>S</t>
        </is>
      </c>
      <c r="F1334" s="16" t="n"/>
      <c r="G1334" s="9" t="n">
        <v>9.589743589743591</v>
      </c>
      <c r="H1334" s="9" t="n">
        <v>9.589743589743591</v>
      </c>
      <c r="I1334" s="9" t="inlineStr">
        <is>
          <t>Depth (no MLB PA)</t>
        </is>
      </c>
      <c r="J1334" s="16" t="inlineStr">
        <is>
          <t>Opening Day</t>
        </is>
      </c>
      <c r="K1334" s="11">
        <f>IFERROR(INDEX(Roles!$B$17:$B$20,MATCH(J1334,Roles!$A$17:$A$20,0)),1)</f>
        <v/>
      </c>
      <c r="L1334" s="17" t="n">
        <v>1</v>
      </c>
      <c r="M1334" s="11" t="n">
        <v>1</v>
      </c>
      <c r="N1334" s="17" t="n"/>
      <c r="O1334" s="17" t="n"/>
      <c r="P1334" s="17" t="n"/>
      <c r="Q1334" s="17" t="n"/>
      <c r="R1334" s="17" t="n"/>
      <c r="S1334" s="17" t="n"/>
      <c r="T1334" s="17" t="n"/>
      <c r="U1334" s="17" t="n"/>
      <c r="V1334" s="17" t="n"/>
      <c r="W1334" s="17" t="n"/>
      <c r="X1334" s="17" t="n"/>
      <c r="Y1334" s="17" t="n">
        <v>1</v>
      </c>
      <c r="Z1334" s="13">
        <f>SUMPRODUCT(N1334:Y1334,$N$2:$Y$2)*$K1334*$L1334*$M1334</f>
        <v/>
      </c>
      <c r="AA1334" s="14">
        <f>SUM(N1334:Y1334)</f>
        <v/>
      </c>
      <c r="AB1334" s="14">
        <f>IFERROR(IF(UPPER($E1334)="L",SUMPRODUCT(N1334:Y1334,$N$3:$Y$3,$N$2:$Y$2),SUMPRODUCT(N1334:Y1334,$N$4:$Y$4,$N$2:$Y$2))/(Z1334/($K1334*$L1334*$M1334)),"")</f>
        <v/>
      </c>
      <c r="AC1334" s="18" t="n"/>
    </row>
    <row r="1335">
      <c r="A1335" s="9" t="n">
        <v>680418</v>
      </c>
      <c r="B1335" s="9" t="inlineStr">
        <is>
          <t>Tyler Cropley</t>
        </is>
      </c>
      <c r="C1335" s="9" t="inlineStr">
        <is>
          <t>KC</t>
        </is>
      </c>
      <c r="D1335" s="9" t="n">
        <v>31</v>
      </c>
      <c r="E1335" s="16" t="inlineStr">
        <is>
          <t>R</t>
        </is>
      </c>
      <c r="F1335" s="16" t="inlineStr">
        <is>
          <t>C</t>
        </is>
      </c>
      <c r="G1335" s="9" t="n">
        <v>7</v>
      </c>
      <c r="H1335" s="9" t="n">
        <v>7</v>
      </c>
      <c r="I1335" s="9" t="inlineStr">
        <is>
          <t>Depth (no MLB PA)</t>
        </is>
      </c>
      <c r="J1335" s="16" t="inlineStr">
        <is>
          <t>Opening Day</t>
        </is>
      </c>
      <c r="K1335" s="11">
        <f>IFERROR(INDEX(Roles!$B$17:$B$20,MATCH(J1335,Roles!$A$17:$A$20,0)),1)</f>
        <v/>
      </c>
      <c r="L1335" s="17" t="n">
        <v>1</v>
      </c>
      <c r="M1335" s="11" t="n">
        <v>1</v>
      </c>
      <c r="N1335" s="17" t="n"/>
      <c r="O1335" s="17" t="n"/>
      <c r="P1335" s="17" t="n"/>
      <c r="Q1335" s="17" t="n"/>
      <c r="R1335" s="17" t="n"/>
      <c r="S1335" s="17" t="n"/>
      <c r="T1335" s="17" t="n"/>
      <c r="U1335" s="17" t="n"/>
      <c r="V1335" s="17" t="n"/>
      <c r="W1335" s="17" t="n"/>
      <c r="X1335" s="17" t="n"/>
      <c r="Y1335" s="17" t="n">
        <v>1</v>
      </c>
      <c r="Z1335" s="13">
        <f>SUMPRODUCT(N1335:Y1335,$N$2:$Y$2)*$K1335*$L1335*$M1335</f>
        <v/>
      </c>
      <c r="AA1335" s="14">
        <f>SUM(N1335:Y1335)</f>
        <v/>
      </c>
      <c r="AB1335" s="14">
        <f>IFERROR(IF(UPPER($E1335)="L",SUMPRODUCT(N1335:Y1335,$N$3:$Y$3,$N$2:$Y$2),SUMPRODUCT(N1335:Y1335,$N$4:$Y$4,$N$2:$Y$2))/(Z1335/($K1335*$L1335*$M1335)),"")</f>
        <v/>
      </c>
      <c r="AC1335" s="18" t="n"/>
    </row>
    <row r="1336">
      <c r="A1336" s="9" t="n">
        <v>672356</v>
      </c>
      <c r="B1336" s="9" t="inlineStr">
        <is>
          <t>Gabriel Arias</t>
        </is>
      </c>
      <c r="C1336" s="9" t="inlineStr">
        <is>
          <t>CHC</t>
        </is>
      </c>
      <c r="D1336" s="9" t="n">
        <v>27</v>
      </c>
      <c r="E1336" s="16" t="inlineStr">
        <is>
          <t>R</t>
        </is>
      </c>
      <c r="F1336" s="16" t="inlineStr">
        <is>
          <t>3B</t>
        </is>
      </c>
      <c r="G1336" s="9" t="n">
        <v>149</v>
      </c>
      <c r="H1336" s="9" t="n">
        <v>1183</v>
      </c>
      <c r="I1336" s="9" t="inlineStr">
        <is>
          <t>Utility IF</t>
        </is>
      </c>
      <c r="J1336" s="16" t="inlineStr">
        <is>
          <t>Opening Day</t>
        </is>
      </c>
      <c r="K1336" s="11">
        <f>IFERROR(INDEX(Roles!$B$17:$B$20,MATCH(J1336,Roles!$A$17:$A$20,0)),1)</f>
        <v/>
      </c>
      <c r="L1336" s="17" t="n">
        <v>1</v>
      </c>
      <c r="M1336" s="11" t="n">
        <v>0.9126834594258874</v>
      </c>
      <c r="N1336" s="17" t="n"/>
      <c r="O1336" s="17" t="n"/>
      <c r="P1336" s="17" t="n"/>
      <c r="Q1336" s="17" t="n"/>
      <c r="R1336" s="17" t="n"/>
      <c r="S1336" s="17" t="n"/>
      <c r="T1336" s="17" t="n"/>
      <c r="U1336" s="17" t="n">
        <v>0.7</v>
      </c>
      <c r="V1336" s="17" t="n"/>
      <c r="W1336" s="17" t="n">
        <v>0.3</v>
      </c>
      <c r="X1336" s="17" t="n"/>
      <c r="Y1336" s="17" t="n"/>
      <c r="Z1336" s="13">
        <f>SUMPRODUCT(N1336:Y1336,$N$2:$Y$2)*$K1336*$L1336*$M1336</f>
        <v/>
      </c>
      <c r="AA1336" s="14">
        <f>SUM(N1336:Y1336)</f>
        <v/>
      </c>
      <c r="AB1336" s="14">
        <f>IFERROR(IF(UPPER($E1336)="L",SUMPRODUCT(N1336:Y1336,$N$3:$Y$3,$N$2:$Y$2),SUMPRODUCT(N1336:Y1336,$N$4:$Y$4,$N$2:$Y$2))/(Z1336/($K1336*$L1336*$M1336)),"")</f>
        <v/>
      </c>
      <c r="AC1336" s="18" t="n"/>
    </row>
    <row r="1337">
      <c r="A1337" s="9" t="n">
        <v>669432</v>
      </c>
      <c r="B1337" s="9" t="inlineStr">
        <is>
          <t>Trevor Rogers</t>
        </is>
      </c>
      <c r="C1337" s="9" t="inlineStr">
        <is>
          <t>BAL</t>
        </is>
      </c>
      <c r="D1337" s="9" t="n">
        <v>29</v>
      </c>
      <c r="E1337" s="16" t="inlineStr">
        <is>
          <t>L</t>
        </is>
      </c>
      <c r="F1337" s="16" t="inlineStr">
        <is>
          <t>P</t>
        </is>
      </c>
      <c r="G1337" s="9" t="n">
        <v>2</v>
      </c>
      <c r="H1337" s="9" t="n">
        <v>2</v>
      </c>
      <c r="I1337" s="9" t="inlineStr">
        <is>
          <t>Depth (no MLB PA)</t>
        </is>
      </c>
      <c r="J1337" s="16" t="inlineStr">
        <is>
          <t>Opening Day</t>
        </is>
      </c>
      <c r="K1337" s="11">
        <f>IFERROR(INDEX(Roles!$B$17:$B$20,MATCH(J1337,Roles!$A$17:$A$20,0)),1)</f>
        <v/>
      </c>
      <c r="L1337" s="17" t="n">
        <v>1</v>
      </c>
      <c r="M1337" s="11" t="n">
        <v>1</v>
      </c>
      <c r="N1337" s="17" t="n"/>
      <c r="O1337" s="17" t="n"/>
      <c r="P1337" s="17" t="n"/>
      <c r="Q1337" s="17" t="n"/>
      <c r="R1337" s="17" t="n"/>
      <c r="S1337" s="17" t="n"/>
      <c r="T1337" s="17" t="n"/>
      <c r="U1337" s="17" t="n"/>
      <c r="V1337" s="17" t="n"/>
      <c r="W1337" s="17" t="n"/>
      <c r="X1337" s="17" t="n"/>
      <c r="Y1337" s="17" t="n">
        <v>1</v>
      </c>
      <c r="Z1337" s="13">
        <f>SUMPRODUCT(N1337:Y1337,$N$2:$Y$2)*$K1337*$L1337*$M1337</f>
        <v/>
      </c>
      <c r="AA1337" s="14">
        <f>SUM(N1337:Y1337)</f>
        <v/>
      </c>
      <c r="AB1337" s="14">
        <f>IFERROR(IF(UPPER($E1337)="L",SUMPRODUCT(N1337:Y1337,$N$3:$Y$3,$N$2:$Y$2),SUMPRODUCT(N1337:Y1337,$N$4:$Y$4,$N$2:$Y$2))/(Z1337/($K1337*$L1337*$M1337)),"")</f>
        <v/>
      </c>
      <c r="AC1337" s="18" t="n"/>
    </row>
    <row r="1338">
      <c r="A1338" s="9" t="n">
        <v>694185</v>
      </c>
      <c r="B1338" s="9" t="inlineStr">
        <is>
          <t>Danny De Andrade</t>
        </is>
      </c>
      <c r="C1338" s="9" t="inlineStr">
        <is>
          <t>MIN</t>
        </is>
      </c>
      <c r="D1338" s="9" t="n">
        <v>25</v>
      </c>
      <c r="E1338" s="16" t="inlineStr">
        <is>
          <t>R</t>
        </is>
      </c>
      <c r="F1338" s="16" t="n"/>
      <c r="G1338" s="9" t="n">
        <v>9.692307692307692</v>
      </c>
      <c r="H1338" s="9" t="n">
        <v>9.692307692307692</v>
      </c>
      <c r="I1338" s="9" t="inlineStr">
        <is>
          <t>Depth (no MLB PA)</t>
        </is>
      </c>
      <c r="J1338" s="16" t="inlineStr">
        <is>
          <t>Opening Day</t>
        </is>
      </c>
      <c r="K1338" s="11">
        <f>IFERROR(INDEX(Roles!$B$17:$B$20,MATCH(J1338,Roles!$A$17:$A$20,0)),1)</f>
        <v/>
      </c>
      <c r="L1338" s="17" t="n">
        <v>1</v>
      </c>
      <c r="M1338" s="11" t="n">
        <v>1</v>
      </c>
      <c r="N1338" s="17" t="n"/>
      <c r="O1338" s="17" t="n"/>
      <c r="P1338" s="17" t="n"/>
      <c r="Q1338" s="17" t="n"/>
      <c r="R1338" s="17" t="n"/>
      <c r="S1338" s="17" t="n"/>
      <c r="T1338" s="17" t="n"/>
      <c r="U1338" s="17" t="n"/>
      <c r="V1338" s="17" t="n"/>
      <c r="W1338" s="17" t="n"/>
      <c r="X1338" s="17" t="n"/>
      <c r="Y1338" s="17" t="n">
        <v>1</v>
      </c>
      <c r="Z1338" s="13">
        <f>SUMPRODUCT(N1338:Y1338,$N$2:$Y$2)*$K1338*$L1338*$M1338</f>
        <v/>
      </c>
      <c r="AA1338" s="14">
        <f>SUM(N1338:Y1338)</f>
        <v/>
      </c>
      <c r="AB1338" s="14">
        <f>IFERROR(IF(UPPER($E1338)="L",SUMPRODUCT(N1338:Y1338,$N$3:$Y$3,$N$2:$Y$2),SUMPRODUCT(N1338:Y1338,$N$4:$Y$4,$N$2:$Y$2))/(Z1338/($K1338*$L1338*$M1338)),"")</f>
        <v/>
      </c>
      <c r="AC1338" s="18" t="n"/>
    </row>
    <row r="1339">
      <c r="A1339" s="9" t="n">
        <v>806191</v>
      </c>
      <c r="B1339" s="9" t="inlineStr">
        <is>
          <t>Tai Peete</t>
        </is>
      </c>
      <c r="C1339" s="9" t="inlineStr">
        <is>
          <t>STL</t>
        </is>
      </c>
      <c r="D1339" s="9" t="n">
        <v>22</v>
      </c>
      <c r="E1339" s="16" t="inlineStr">
        <is>
          <t>L</t>
        </is>
      </c>
      <c r="F1339" s="16" t="n"/>
      <c r="G1339" s="9" t="n">
        <v>35.8974358974359</v>
      </c>
      <c r="H1339" s="9" t="n">
        <v>35.8974358974359</v>
      </c>
      <c r="I1339" s="9" t="inlineStr">
        <is>
          <t>Depth (no MLB PA)</t>
        </is>
      </c>
      <c r="J1339" s="16" t="inlineStr">
        <is>
          <t>Opening Day</t>
        </is>
      </c>
      <c r="K1339" s="11">
        <f>IFERROR(INDEX(Roles!$B$17:$B$20,MATCH(J1339,Roles!$A$17:$A$20,0)),1)</f>
        <v/>
      </c>
      <c r="L1339" s="17" t="n">
        <v>1</v>
      </c>
      <c r="M1339" s="11" t="n">
        <v>1</v>
      </c>
      <c r="N1339" s="17" t="n"/>
      <c r="O1339" s="17" t="n"/>
      <c r="P1339" s="17" t="n"/>
      <c r="Q1339" s="17" t="n"/>
      <c r="R1339" s="17" t="n"/>
      <c r="S1339" s="17" t="n"/>
      <c r="T1339" s="17" t="n"/>
      <c r="U1339" s="17" t="n"/>
      <c r="V1339" s="17" t="n"/>
      <c r="W1339" s="17" t="n"/>
      <c r="X1339" s="17" t="n"/>
      <c r="Y1339" s="17" t="n">
        <v>1</v>
      </c>
      <c r="Z1339" s="13">
        <f>SUMPRODUCT(N1339:Y1339,$N$2:$Y$2)*$K1339*$L1339*$M1339</f>
        <v/>
      </c>
      <c r="AA1339" s="14">
        <f>SUM(N1339:Y1339)</f>
        <v/>
      </c>
      <c r="AB1339" s="14">
        <f>IFERROR(IF(UPPER($E1339)="L",SUMPRODUCT(N1339:Y1339,$N$3:$Y$3,$N$2:$Y$2),SUMPRODUCT(N1339:Y1339,$N$4:$Y$4,$N$2:$Y$2))/(Z1339/($K1339*$L1339*$M1339)),"")</f>
        <v/>
      </c>
      <c r="AC1339" s="18" t="n"/>
    </row>
    <row r="1340">
      <c r="A1340" s="9" t="n">
        <v>829045</v>
      </c>
      <c r="B1340" s="9" t="inlineStr">
        <is>
          <t>Yorger Bautista</t>
        </is>
      </c>
      <c r="C1340" s="9" t="inlineStr">
        <is>
          <t>SEA</t>
        </is>
      </c>
      <c r="D1340" s="9" t="n">
        <v>25</v>
      </c>
      <c r="E1340" s="16" t="inlineStr">
        <is>
          <t>L</t>
        </is>
      </c>
      <c r="F1340" s="16" t="n"/>
      <c r="G1340" s="9" t="n">
        <v>11.81538461538462</v>
      </c>
      <c r="H1340" s="9" t="n">
        <v>11.81538461538462</v>
      </c>
      <c r="I1340" s="9" t="inlineStr">
        <is>
          <t>Depth (no MLB PA)</t>
        </is>
      </c>
      <c r="J1340" s="16" t="inlineStr">
        <is>
          <t>Opening Day</t>
        </is>
      </c>
      <c r="K1340" s="11">
        <f>IFERROR(INDEX(Roles!$B$17:$B$20,MATCH(J1340,Roles!$A$17:$A$20,0)),1)</f>
        <v/>
      </c>
      <c r="L1340" s="17" t="n">
        <v>1</v>
      </c>
      <c r="M1340" s="11" t="n">
        <v>1</v>
      </c>
      <c r="N1340" s="17" t="n"/>
      <c r="O1340" s="17" t="n"/>
      <c r="P1340" s="17" t="n"/>
      <c r="Q1340" s="17" t="n"/>
      <c r="R1340" s="17" t="n"/>
      <c r="S1340" s="17" t="n"/>
      <c r="T1340" s="17" t="n"/>
      <c r="U1340" s="17" t="n"/>
      <c r="V1340" s="17" t="n"/>
      <c r="W1340" s="17" t="n"/>
      <c r="X1340" s="17" t="n"/>
      <c r="Y1340" s="17" t="n">
        <v>1</v>
      </c>
      <c r="Z1340" s="13">
        <f>SUMPRODUCT(N1340:Y1340,$N$2:$Y$2)*$K1340*$L1340*$M1340</f>
        <v/>
      </c>
      <c r="AA1340" s="14">
        <f>SUM(N1340:Y1340)</f>
        <v/>
      </c>
      <c r="AB1340" s="14">
        <f>IFERROR(IF(UPPER($E1340)="L",SUMPRODUCT(N1340:Y1340,$N$3:$Y$3,$N$2:$Y$2),SUMPRODUCT(N1340:Y1340,$N$4:$Y$4,$N$2:$Y$2))/(Z1340/($K1340*$L1340*$M1340)),"")</f>
        <v/>
      </c>
      <c r="AC1340" s="18" t="n"/>
    </row>
    <row r="1341">
      <c r="A1341" s="9" t="n">
        <v>656371</v>
      </c>
      <c r="B1341" s="9" t="inlineStr">
        <is>
          <t>Isan Díaz</t>
        </is>
      </c>
      <c r="C1341" s="9" t="inlineStr">
        <is>
          <t>DET</t>
        </is>
      </c>
      <c r="D1341" s="9" t="n">
        <v>31</v>
      </c>
      <c r="E1341" s="16" t="inlineStr">
        <is>
          <t>L</t>
        </is>
      </c>
      <c r="F1341" s="16" t="inlineStr">
        <is>
          <t>2B</t>
        </is>
      </c>
      <c r="G1341" s="9" t="n">
        <v>26</v>
      </c>
      <c r="H1341" s="9" t="n">
        <v>26</v>
      </c>
      <c r="I1341" s="9" t="inlineStr">
        <is>
          <t>Depth (no MLB PA)</t>
        </is>
      </c>
      <c r="J1341" s="16" t="inlineStr">
        <is>
          <t>Opening Day</t>
        </is>
      </c>
      <c r="K1341" s="11">
        <f>IFERROR(INDEX(Roles!$B$17:$B$20,MATCH(J1341,Roles!$A$17:$A$20,0)),1)</f>
        <v/>
      </c>
      <c r="L1341" s="17" t="n">
        <v>1</v>
      </c>
      <c r="M1341" s="11" t="n">
        <v>1</v>
      </c>
      <c r="N1341" s="17" t="n"/>
      <c r="O1341" s="17" t="n"/>
      <c r="P1341" s="17" t="n"/>
      <c r="Q1341" s="17" t="n"/>
      <c r="R1341" s="17" t="n"/>
      <c r="S1341" s="17" t="n"/>
      <c r="T1341" s="17" t="n"/>
      <c r="U1341" s="17" t="n"/>
      <c r="V1341" s="17" t="n"/>
      <c r="W1341" s="17" t="n"/>
      <c r="X1341" s="17" t="n"/>
      <c r="Y1341" s="17" t="n">
        <v>1</v>
      </c>
      <c r="Z1341" s="13">
        <f>SUMPRODUCT(N1341:Y1341,$N$2:$Y$2)*$K1341*$L1341*$M1341</f>
        <v/>
      </c>
      <c r="AA1341" s="14">
        <f>SUM(N1341:Y1341)</f>
        <v/>
      </c>
      <c r="AB1341" s="14">
        <f>IFERROR(IF(UPPER($E1341)="L",SUMPRODUCT(N1341:Y1341,$N$3:$Y$3,$N$2:$Y$2),SUMPRODUCT(N1341:Y1341,$N$4:$Y$4,$N$2:$Y$2))/(Z1341/($K1341*$L1341*$M1341)),"")</f>
        <v/>
      </c>
      <c r="AC1341" s="18" t="n"/>
    </row>
    <row r="1342">
      <c r="A1342" s="9" t="n">
        <v>595956</v>
      </c>
      <c r="B1342" s="9" t="inlineStr">
        <is>
          <t>Cam Gallagher</t>
        </is>
      </c>
      <c r="C1342" s="9" t="inlineStr">
        <is>
          <t>CLE</t>
        </is>
      </c>
      <c r="D1342" s="9" t="n">
        <v>34</v>
      </c>
      <c r="E1342" s="16" t="inlineStr">
        <is>
          <t>R</t>
        </is>
      </c>
      <c r="F1342" s="16" t="inlineStr">
        <is>
          <t>C</t>
        </is>
      </c>
      <c r="G1342" s="9" t="n">
        <v>149</v>
      </c>
      <c r="H1342" s="9" t="n">
        <v>196</v>
      </c>
      <c r="I1342" s="9" t="inlineStr">
        <is>
          <t>Depth (no MLB PA)</t>
        </is>
      </c>
      <c r="J1342" s="16" t="inlineStr">
        <is>
          <t>Opening Day</t>
        </is>
      </c>
      <c r="K1342" s="11">
        <f>IFERROR(INDEX(Roles!$B$17:$B$20,MATCH(J1342,Roles!$A$17:$A$20,0)),1)</f>
        <v/>
      </c>
      <c r="L1342" s="17" t="n">
        <v>1</v>
      </c>
      <c r="M1342" s="11" t="n">
        <v>1</v>
      </c>
      <c r="N1342" s="17" t="n"/>
      <c r="O1342" s="17" t="n"/>
      <c r="P1342" s="17" t="n"/>
      <c r="Q1342" s="17" t="n"/>
      <c r="R1342" s="17" t="n"/>
      <c r="S1342" s="17" t="n"/>
      <c r="T1342" s="17" t="n"/>
      <c r="U1342" s="17" t="n"/>
      <c r="V1342" s="17" t="n"/>
      <c r="W1342" s="17" t="n"/>
      <c r="X1342" s="17" t="n"/>
      <c r="Y1342" s="17" t="n">
        <v>1</v>
      </c>
      <c r="Z1342" s="13">
        <f>SUMPRODUCT(N1342:Y1342,$N$2:$Y$2)*$K1342*$L1342*$M1342</f>
        <v/>
      </c>
      <c r="AA1342" s="14">
        <f>SUM(N1342:Y1342)</f>
        <v/>
      </c>
      <c r="AB1342" s="14">
        <f>IFERROR(IF(UPPER($E1342)="L",SUMPRODUCT(N1342:Y1342,$N$3:$Y$3,$N$2:$Y$2),SUMPRODUCT(N1342:Y1342,$N$4:$Y$4,$N$2:$Y$2))/(Z1342/($K1342*$L1342*$M1342)),"")</f>
        <v/>
      </c>
      <c r="AC1342" s="18" t="n"/>
    </row>
    <row r="1343">
      <c r="A1343" s="9" t="n">
        <v>835727</v>
      </c>
      <c r="B1343" s="9" t="inlineStr">
        <is>
          <t>Eric Booth Jr.</t>
        </is>
      </c>
      <c r="C1343" s="9" t="inlineStr">
        <is>
          <t>BAL</t>
        </is>
      </c>
      <c r="D1343" s="9" t="n">
        <v>19</v>
      </c>
      <c r="E1343" s="16" t="inlineStr">
        <is>
          <t>L</t>
        </is>
      </c>
      <c r="F1343" s="16" t="n"/>
      <c r="G1343" s="9" t="n">
        <v>9.723076923076922</v>
      </c>
      <c r="H1343" s="9" t="n">
        <v>9.723076923076922</v>
      </c>
      <c r="I1343" s="9" t="inlineStr">
        <is>
          <t>Depth (no MLB PA)</t>
        </is>
      </c>
      <c r="J1343" s="16" t="inlineStr">
        <is>
          <t>Opening Day</t>
        </is>
      </c>
      <c r="K1343" s="11">
        <f>IFERROR(INDEX(Roles!$B$17:$B$20,MATCH(J1343,Roles!$A$17:$A$20,0)),1)</f>
        <v/>
      </c>
      <c r="L1343" s="17" t="n">
        <v>1</v>
      </c>
      <c r="M1343" s="11" t="n">
        <v>1</v>
      </c>
      <c r="N1343" s="17" t="n"/>
      <c r="O1343" s="17" t="n"/>
      <c r="P1343" s="17" t="n"/>
      <c r="Q1343" s="17" t="n"/>
      <c r="R1343" s="17" t="n"/>
      <c r="S1343" s="17" t="n"/>
      <c r="T1343" s="17" t="n"/>
      <c r="U1343" s="17" t="n"/>
      <c r="V1343" s="17" t="n"/>
      <c r="W1343" s="17" t="n"/>
      <c r="X1343" s="17" t="n"/>
      <c r="Y1343" s="17" t="n">
        <v>1</v>
      </c>
      <c r="Z1343" s="13">
        <f>SUMPRODUCT(N1343:Y1343,$N$2:$Y$2)*$K1343*$L1343*$M1343</f>
        <v/>
      </c>
      <c r="AA1343" s="14">
        <f>SUM(N1343:Y1343)</f>
        <v/>
      </c>
      <c r="AB1343" s="14">
        <f>IFERROR(IF(UPPER($E1343)="L",SUMPRODUCT(N1343:Y1343,$N$3:$Y$3,$N$2:$Y$2),SUMPRODUCT(N1343:Y1343,$N$4:$Y$4,$N$2:$Y$2))/(Z1343/($K1343*$L1343*$M1343)),"")</f>
        <v/>
      </c>
      <c r="AC1343" s="18" t="n"/>
    </row>
    <row r="1344">
      <c r="A1344" s="9" t="n">
        <v>820942</v>
      </c>
      <c r="B1344" s="9" t="inlineStr">
        <is>
          <t>Jesmaylin Arias</t>
        </is>
      </c>
      <c r="C1344" s="9" t="inlineStr">
        <is>
          <t>SD</t>
        </is>
      </c>
      <c r="D1344" s="9" t="n">
        <v>25</v>
      </c>
      <c r="E1344" s="16" t="inlineStr">
        <is>
          <t>L</t>
        </is>
      </c>
      <c r="F1344" s="16" t="n"/>
      <c r="G1344" s="9" t="n">
        <v>9.723076923076922</v>
      </c>
      <c r="H1344" s="9" t="n">
        <v>9.723076923076922</v>
      </c>
      <c r="I1344" s="9" t="inlineStr">
        <is>
          <t>Depth (no MLB PA)</t>
        </is>
      </c>
      <c r="J1344" s="16" t="inlineStr">
        <is>
          <t>Opening Day</t>
        </is>
      </c>
      <c r="K1344" s="11">
        <f>IFERROR(INDEX(Roles!$B$17:$B$20,MATCH(J1344,Roles!$A$17:$A$20,0)),1)</f>
        <v/>
      </c>
      <c r="L1344" s="17" t="n">
        <v>1</v>
      </c>
      <c r="M1344" s="11" t="n">
        <v>1</v>
      </c>
      <c r="N1344" s="17" t="n"/>
      <c r="O1344" s="17" t="n"/>
      <c r="P1344" s="17" t="n"/>
      <c r="Q1344" s="17" t="n"/>
      <c r="R1344" s="17" t="n"/>
      <c r="S1344" s="17" t="n"/>
      <c r="T1344" s="17" t="n"/>
      <c r="U1344" s="17" t="n"/>
      <c r="V1344" s="17" t="n"/>
      <c r="W1344" s="17" t="n"/>
      <c r="X1344" s="17" t="n"/>
      <c r="Y1344" s="17" t="n">
        <v>1</v>
      </c>
      <c r="Z1344" s="13">
        <f>SUMPRODUCT(N1344:Y1344,$N$2:$Y$2)*$K1344*$L1344*$M1344</f>
        <v/>
      </c>
      <c r="AA1344" s="14">
        <f>SUM(N1344:Y1344)</f>
        <v/>
      </c>
      <c r="AB1344" s="14">
        <f>IFERROR(IF(UPPER($E1344)="L",SUMPRODUCT(N1344:Y1344,$N$3:$Y$3,$N$2:$Y$2),SUMPRODUCT(N1344:Y1344,$N$4:$Y$4,$N$2:$Y$2))/(Z1344/($K1344*$L1344*$M1344)),"")</f>
        <v/>
      </c>
      <c r="AC1344" s="18" t="n"/>
    </row>
    <row r="1345">
      <c r="A1345" s="9" t="n">
        <v>814791</v>
      </c>
      <c r="B1345" s="9" t="inlineStr">
        <is>
          <t>Jared Sundstrom</t>
        </is>
      </c>
      <c r="C1345" s="9" t="inlineStr">
        <is>
          <t>SEA</t>
        </is>
      </c>
      <c r="D1345" s="9" t="n">
        <v>25</v>
      </c>
      <c r="E1345" s="16" t="inlineStr">
        <is>
          <t>R</t>
        </is>
      </c>
      <c r="F1345" s="16" t="n"/>
      <c r="G1345" s="9" t="n">
        <v>120.6153846153846</v>
      </c>
      <c r="H1345" s="9" t="n">
        <v>120.6153846153846</v>
      </c>
      <c r="I1345" s="9" t="inlineStr">
        <is>
          <t>Depth (no MLB PA)</t>
        </is>
      </c>
      <c r="J1345" s="16" t="inlineStr">
        <is>
          <t>Opening Day</t>
        </is>
      </c>
      <c r="K1345" s="11">
        <f>IFERROR(INDEX(Roles!$B$17:$B$20,MATCH(J1345,Roles!$A$17:$A$20,0)),1)</f>
        <v/>
      </c>
      <c r="L1345" s="17" t="n">
        <v>1</v>
      </c>
      <c r="M1345" s="11" t="n">
        <v>1</v>
      </c>
      <c r="N1345" s="17" t="n"/>
      <c r="O1345" s="17" t="n"/>
      <c r="P1345" s="17" t="n"/>
      <c r="Q1345" s="17" t="n"/>
      <c r="R1345" s="17" t="n"/>
      <c r="S1345" s="17" t="n"/>
      <c r="T1345" s="17" t="n"/>
      <c r="U1345" s="17" t="n"/>
      <c r="V1345" s="17" t="n"/>
      <c r="W1345" s="17" t="n"/>
      <c r="X1345" s="17" t="n"/>
      <c r="Y1345" s="17" t="n">
        <v>1</v>
      </c>
      <c r="Z1345" s="13">
        <f>SUMPRODUCT(N1345:Y1345,$N$2:$Y$2)*$K1345*$L1345*$M1345</f>
        <v/>
      </c>
      <c r="AA1345" s="14">
        <f>SUM(N1345:Y1345)</f>
        <v/>
      </c>
      <c r="AB1345" s="14">
        <f>IFERROR(IF(UPPER($E1345)="L",SUMPRODUCT(N1345:Y1345,$N$3:$Y$3,$N$2:$Y$2),SUMPRODUCT(N1345:Y1345,$N$4:$Y$4,$N$2:$Y$2))/(Z1345/($K1345*$L1345*$M1345)),"")</f>
        <v/>
      </c>
      <c r="AC1345" s="18" t="n"/>
    </row>
    <row r="1346">
      <c r="A1346" s="9" t="n">
        <v>835211</v>
      </c>
      <c r="B1346" s="9" t="inlineStr">
        <is>
          <t>Alejandro Garza</t>
        </is>
      </c>
      <c r="C1346" s="9" t="inlineStr">
        <is>
          <t>CLE</t>
        </is>
      </c>
      <c r="D1346" s="9" t="n">
        <v>25</v>
      </c>
      <c r="E1346" s="16" t="inlineStr">
        <is>
          <t>R</t>
        </is>
      </c>
      <c r="F1346" s="16" t="n"/>
      <c r="G1346" s="9" t="n">
        <v>9.969230769230769</v>
      </c>
      <c r="H1346" s="9" t="n">
        <v>9.969230769230769</v>
      </c>
      <c r="I1346" s="9" t="inlineStr">
        <is>
          <t>Depth (no MLB PA)</t>
        </is>
      </c>
      <c r="J1346" s="16" t="inlineStr">
        <is>
          <t>Opening Day</t>
        </is>
      </c>
      <c r="K1346" s="11">
        <f>IFERROR(INDEX(Roles!$B$17:$B$20,MATCH(J1346,Roles!$A$17:$A$20,0)),1)</f>
        <v/>
      </c>
      <c r="L1346" s="17" t="n">
        <v>1</v>
      </c>
      <c r="M1346" s="11" t="n">
        <v>1</v>
      </c>
      <c r="N1346" s="17" t="n"/>
      <c r="O1346" s="17" t="n"/>
      <c r="P1346" s="17" t="n"/>
      <c r="Q1346" s="17" t="n"/>
      <c r="R1346" s="17" t="n"/>
      <c r="S1346" s="17" t="n"/>
      <c r="T1346" s="17" t="n"/>
      <c r="U1346" s="17" t="n"/>
      <c r="V1346" s="17" t="n"/>
      <c r="W1346" s="17" t="n"/>
      <c r="X1346" s="17" t="n"/>
      <c r="Y1346" s="17" t="n">
        <v>1</v>
      </c>
      <c r="Z1346" s="13">
        <f>SUMPRODUCT(N1346:Y1346,$N$2:$Y$2)*$K1346*$L1346*$M1346</f>
        <v/>
      </c>
      <c r="AA1346" s="14">
        <f>SUM(N1346:Y1346)</f>
        <v/>
      </c>
      <c r="AB1346" s="14">
        <f>IFERROR(IF(UPPER($E1346)="L",SUMPRODUCT(N1346:Y1346,$N$3:$Y$3,$N$2:$Y$2),SUMPRODUCT(N1346:Y1346,$N$4:$Y$4,$N$2:$Y$2))/(Z1346/($K1346*$L1346*$M1346)),"")</f>
        <v/>
      </c>
      <c r="AC1346" s="18" t="n"/>
    </row>
    <row r="1347">
      <c r="A1347" s="9" t="n">
        <v>800371</v>
      </c>
      <c r="B1347" s="9" t="inlineStr">
        <is>
          <t>Larry Martinez</t>
        </is>
      </c>
      <c r="C1347" s="9" t="inlineStr">
        <is>
          <t>TB</t>
        </is>
      </c>
      <c r="D1347" s="9" t="n">
        <v>25</v>
      </c>
      <c r="E1347" s="16" t="inlineStr">
        <is>
          <t>R</t>
        </is>
      </c>
      <c r="F1347" s="16" t="n"/>
      <c r="G1347" s="9" t="n">
        <v>14.15384615384616</v>
      </c>
      <c r="H1347" s="9" t="n">
        <v>14.15384615384616</v>
      </c>
      <c r="I1347" s="9" t="inlineStr">
        <is>
          <t>Depth (no MLB PA)</t>
        </is>
      </c>
      <c r="J1347" s="16" t="inlineStr">
        <is>
          <t>Opening Day</t>
        </is>
      </c>
      <c r="K1347" s="11">
        <f>IFERROR(INDEX(Roles!$B$17:$B$20,MATCH(J1347,Roles!$A$17:$A$20,0)),1)</f>
        <v/>
      </c>
      <c r="L1347" s="17" t="n">
        <v>1</v>
      </c>
      <c r="M1347" s="11" t="n">
        <v>1</v>
      </c>
      <c r="N1347" s="17" t="n"/>
      <c r="O1347" s="17" t="n"/>
      <c r="P1347" s="17" t="n"/>
      <c r="Q1347" s="17" t="n"/>
      <c r="R1347" s="17" t="n"/>
      <c r="S1347" s="17" t="n"/>
      <c r="T1347" s="17" t="n"/>
      <c r="U1347" s="17" t="n"/>
      <c r="V1347" s="17" t="n"/>
      <c r="W1347" s="17" t="n"/>
      <c r="X1347" s="17" t="n"/>
      <c r="Y1347" s="17" t="n">
        <v>1</v>
      </c>
      <c r="Z1347" s="13">
        <f>SUMPRODUCT(N1347:Y1347,$N$2:$Y$2)*$K1347*$L1347*$M1347</f>
        <v/>
      </c>
      <c r="AA1347" s="14">
        <f>SUM(N1347:Y1347)</f>
        <v/>
      </c>
      <c r="AB1347" s="14">
        <f>IFERROR(IF(UPPER($E1347)="L",SUMPRODUCT(N1347:Y1347,$N$3:$Y$3,$N$2:$Y$2),SUMPRODUCT(N1347:Y1347,$N$4:$Y$4,$N$2:$Y$2))/(Z1347/($K1347*$L1347*$M1347)),"")</f>
        <v/>
      </c>
      <c r="AC1347" s="18" t="n"/>
    </row>
    <row r="1348">
      <c r="A1348" s="9" t="n">
        <v>814545</v>
      </c>
      <c r="B1348" s="9" t="inlineStr">
        <is>
          <t>Jose Perez</t>
        </is>
      </c>
      <c r="C1348" s="9" t="inlineStr">
        <is>
          <t>BAL</t>
        </is>
      </c>
      <c r="D1348" s="9" t="n">
        <v>25</v>
      </c>
      <c r="E1348" s="16" t="inlineStr">
        <is>
          <t>L</t>
        </is>
      </c>
      <c r="F1348" s="16" t="n"/>
      <c r="G1348" s="9" t="n">
        <v>24.61538461538462</v>
      </c>
      <c r="H1348" s="9" t="n">
        <v>24.61538461538462</v>
      </c>
      <c r="I1348" s="9" t="inlineStr">
        <is>
          <t>Depth (no MLB PA)</t>
        </is>
      </c>
      <c r="J1348" s="16" t="inlineStr">
        <is>
          <t>Opening Day</t>
        </is>
      </c>
      <c r="K1348" s="11">
        <f>IFERROR(INDEX(Roles!$B$17:$B$20,MATCH(J1348,Roles!$A$17:$A$20,0)),1)</f>
        <v/>
      </c>
      <c r="L1348" s="17" t="n">
        <v>1</v>
      </c>
      <c r="M1348" s="11" t="n">
        <v>1</v>
      </c>
      <c r="N1348" s="17" t="n"/>
      <c r="O1348" s="17" t="n"/>
      <c r="P1348" s="17" t="n"/>
      <c r="Q1348" s="17" t="n"/>
      <c r="R1348" s="17" t="n"/>
      <c r="S1348" s="17" t="n"/>
      <c r="T1348" s="17" t="n"/>
      <c r="U1348" s="17" t="n"/>
      <c r="V1348" s="17" t="n"/>
      <c r="W1348" s="17" t="n"/>
      <c r="X1348" s="17" t="n"/>
      <c r="Y1348" s="17" t="n">
        <v>1</v>
      </c>
      <c r="Z1348" s="13">
        <f>SUMPRODUCT(N1348:Y1348,$N$2:$Y$2)*$K1348*$L1348*$M1348</f>
        <v/>
      </c>
      <c r="AA1348" s="14">
        <f>SUM(N1348:Y1348)</f>
        <v/>
      </c>
      <c r="AB1348" s="14">
        <f>IFERROR(IF(UPPER($E1348)="L",SUMPRODUCT(N1348:Y1348,$N$3:$Y$3,$N$2:$Y$2),SUMPRODUCT(N1348:Y1348,$N$4:$Y$4,$N$2:$Y$2))/(Z1348/($K1348*$L1348*$M1348)),"")</f>
        <v/>
      </c>
      <c r="AC1348" s="18" t="n"/>
    </row>
    <row r="1349">
      <c r="A1349" s="9" t="n">
        <v>804871</v>
      </c>
      <c r="B1349" s="9" t="inlineStr">
        <is>
          <t>Brooks Bryan</t>
        </is>
      </c>
      <c r="C1349" s="9" t="inlineStr">
        <is>
          <t>KC</t>
        </is>
      </c>
      <c r="D1349" s="9" t="n">
        <v>25</v>
      </c>
      <c r="E1349" s="16" t="inlineStr">
        <is>
          <t>L</t>
        </is>
      </c>
      <c r="F1349" s="16" t="n"/>
      <c r="G1349" s="9" t="n">
        <v>16.61538461538461</v>
      </c>
      <c r="H1349" s="9" t="n">
        <v>16.61538461538461</v>
      </c>
      <c r="I1349" s="9" t="inlineStr">
        <is>
          <t>Depth (no MLB PA)</t>
        </is>
      </c>
      <c r="J1349" s="16" t="inlineStr">
        <is>
          <t>Opening Day</t>
        </is>
      </c>
      <c r="K1349" s="11">
        <f>IFERROR(INDEX(Roles!$B$17:$B$20,MATCH(J1349,Roles!$A$17:$A$20,0)),1)</f>
        <v/>
      </c>
      <c r="L1349" s="17" t="n">
        <v>1</v>
      </c>
      <c r="M1349" s="11" t="n">
        <v>1</v>
      </c>
      <c r="N1349" s="17" t="n"/>
      <c r="O1349" s="17" t="n"/>
      <c r="P1349" s="17" t="n"/>
      <c r="Q1349" s="17" t="n"/>
      <c r="R1349" s="17" t="n"/>
      <c r="S1349" s="17" t="n"/>
      <c r="T1349" s="17" t="n"/>
      <c r="U1349" s="17" t="n"/>
      <c r="V1349" s="17" t="n"/>
      <c r="W1349" s="17" t="n"/>
      <c r="X1349" s="17" t="n"/>
      <c r="Y1349" s="17" t="n">
        <v>1</v>
      </c>
      <c r="Z1349" s="13">
        <f>SUMPRODUCT(N1349:Y1349,$N$2:$Y$2)*$K1349*$L1349*$M1349</f>
        <v/>
      </c>
      <c r="AA1349" s="14">
        <f>SUM(N1349:Y1349)</f>
        <v/>
      </c>
      <c r="AB1349" s="14">
        <f>IFERROR(IF(UPPER($E1349)="L",SUMPRODUCT(N1349:Y1349,$N$3:$Y$3,$N$2:$Y$2),SUMPRODUCT(N1349:Y1349,$N$4:$Y$4,$N$2:$Y$2))/(Z1349/($K1349*$L1349*$M1349)),"")</f>
        <v/>
      </c>
      <c r="AC1349" s="18" t="n"/>
    </row>
    <row r="1350">
      <c r="A1350" s="9" t="n">
        <v>703924</v>
      </c>
      <c r="B1350" s="9" t="inlineStr">
        <is>
          <t>David Beckles</t>
        </is>
      </c>
      <c r="C1350" s="9" t="inlineStr">
        <is>
          <t>TOR</t>
        </is>
      </c>
      <c r="D1350" s="9" t="n">
        <v>25</v>
      </c>
      <c r="E1350" s="16" t="inlineStr">
        <is>
          <t>R</t>
        </is>
      </c>
      <c r="F1350" s="16" t="n"/>
      <c r="G1350" s="9" t="n">
        <v>11.93846153846154</v>
      </c>
      <c r="H1350" s="9" t="n">
        <v>11.93846153846154</v>
      </c>
      <c r="I1350" s="9" t="inlineStr">
        <is>
          <t>Depth (no MLB PA)</t>
        </is>
      </c>
      <c r="J1350" s="16" t="inlineStr">
        <is>
          <t>Opening Day</t>
        </is>
      </c>
      <c r="K1350" s="11">
        <f>IFERROR(INDEX(Roles!$B$17:$B$20,MATCH(J1350,Roles!$A$17:$A$20,0)),1)</f>
        <v/>
      </c>
      <c r="L1350" s="17" t="n">
        <v>1</v>
      </c>
      <c r="M1350" s="11" t="n">
        <v>1</v>
      </c>
      <c r="N1350" s="17" t="n"/>
      <c r="O1350" s="17" t="n"/>
      <c r="P1350" s="17" t="n"/>
      <c r="Q1350" s="17" t="n"/>
      <c r="R1350" s="17" t="n"/>
      <c r="S1350" s="17" t="n"/>
      <c r="T1350" s="17" t="n"/>
      <c r="U1350" s="17" t="n"/>
      <c r="V1350" s="17" t="n"/>
      <c r="W1350" s="17" t="n"/>
      <c r="X1350" s="17" t="n"/>
      <c r="Y1350" s="17" t="n">
        <v>1</v>
      </c>
      <c r="Z1350" s="13">
        <f>SUMPRODUCT(N1350:Y1350,$N$2:$Y$2)*$K1350*$L1350*$M1350</f>
        <v/>
      </c>
      <c r="AA1350" s="14">
        <f>SUM(N1350:Y1350)</f>
        <v/>
      </c>
      <c r="AB1350" s="14">
        <f>IFERROR(IF(UPPER($E1350)="L",SUMPRODUCT(N1350:Y1350,$N$3:$Y$3,$N$2:$Y$2),SUMPRODUCT(N1350:Y1350,$N$4:$Y$4,$N$2:$Y$2))/(Z1350/($K1350*$L1350*$M1350)),"")</f>
        <v/>
      </c>
      <c r="AC1350" s="18" t="n"/>
    </row>
    <row r="1351">
      <c r="A1351" s="9" t="n">
        <v>815535</v>
      </c>
      <c r="B1351" s="9" t="inlineStr">
        <is>
          <t>Eddie Rynders</t>
        </is>
      </c>
      <c r="C1351" s="9" t="inlineStr">
        <is>
          <t>PIT</t>
        </is>
      </c>
      <c r="D1351" s="9" t="n">
        <v>25</v>
      </c>
      <c r="E1351" s="16" t="inlineStr">
        <is>
          <t>L</t>
        </is>
      </c>
      <c r="F1351" s="16" t="n"/>
      <c r="G1351" s="9" t="n">
        <v>26.58461538461538</v>
      </c>
      <c r="H1351" s="9" t="n">
        <v>26.58461538461538</v>
      </c>
      <c r="I1351" s="9" t="inlineStr">
        <is>
          <t>Depth (no MLB PA)</t>
        </is>
      </c>
      <c r="J1351" s="16" t="inlineStr">
        <is>
          <t>Opening Day</t>
        </is>
      </c>
      <c r="K1351" s="11">
        <f>IFERROR(INDEX(Roles!$B$17:$B$20,MATCH(J1351,Roles!$A$17:$A$20,0)),1)</f>
        <v/>
      </c>
      <c r="L1351" s="17" t="n">
        <v>1</v>
      </c>
      <c r="M1351" s="11" t="n">
        <v>1</v>
      </c>
      <c r="N1351" s="17" t="n"/>
      <c r="O1351" s="17" t="n"/>
      <c r="P1351" s="17" t="n"/>
      <c r="Q1351" s="17" t="n"/>
      <c r="R1351" s="17" t="n"/>
      <c r="S1351" s="17" t="n"/>
      <c r="T1351" s="17" t="n"/>
      <c r="U1351" s="17" t="n"/>
      <c r="V1351" s="17" t="n"/>
      <c r="W1351" s="17" t="n"/>
      <c r="X1351" s="17" t="n"/>
      <c r="Y1351" s="17" t="n">
        <v>1</v>
      </c>
      <c r="Z1351" s="13">
        <f>SUMPRODUCT(N1351:Y1351,$N$2:$Y$2)*$K1351*$L1351*$M1351</f>
        <v/>
      </c>
      <c r="AA1351" s="14">
        <f>SUM(N1351:Y1351)</f>
        <v/>
      </c>
      <c r="AB1351" s="14">
        <f>IFERROR(IF(UPPER($E1351)="L",SUMPRODUCT(N1351:Y1351,$N$3:$Y$3,$N$2:$Y$2),SUMPRODUCT(N1351:Y1351,$N$4:$Y$4,$N$2:$Y$2))/(Z1351/($K1351*$L1351*$M1351)),"")</f>
        <v/>
      </c>
      <c r="AC1351" s="18" t="n"/>
    </row>
    <row r="1352">
      <c r="A1352" s="9" t="n">
        <v>691416</v>
      </c>
      <c r="B1352" s="9" t="inlineStr">
        <is>
          <t>Esteban González</t>
        </is>
      </c>
      <c r="C1352" s="9" t="inlineStr">
        <is>
          <t>CLE</t>
        </is>
      </c>
      <c r="D1352" s="9" t="n">
        <v>25</v>
      </c>
      <c r="E1352" s="16" t="inlineStr">
        <is>
          <t>L</t>
        </is>
      </c>
      <c r="F1352" s="16" t="n"/>
      <c r="G1352" s="9" t="n">
        <v>63.7948717948718</v>
      </c>
      <c r="H1352" s="9" t="n">
        <v>63.7948717948718</v>
      </c>
      <c r="I1352" s="9" t="inlineStr">
        <is>
          <t>Depth (no MLB PA)</t>
        </is>
      </c>
      <c r="J1352" s="16" t="inlineStr">
        <is>
          <t>Opening Day</t>
        </is>
      </c>
      <c r="K1352" s="11">
        <f>IFERROR(INDEX(Roles!$B$17:$B$20,MATCH(J1352,Roles!$A$17:$A$20,0)),1)</f>
        <v/>
      </c>
      <c r="L1352" s="17" t="n">
        <v>1</v>
      </c>
      <c r="M1352" s="11" t="n">
        <v>1</v>
      </c>
      <c r="N1352" s="17" t="n"/>
      <c r="O1352" s="17" t="n"/>
      <c r="P1352" s="17" t="n"/>
      <c r="Q1352" s="17" t="n"/>
      <c r="R1352" s="17" t="n"/>
      <c r="S1352" s="17" t="n"/>
      <c r="T1352" s="17" t="n"/>
      <c r="U1352" s="17" t="n"/>
      <c r="V1352" s="17" t="n"/>
      <c r="W1352" s="17" t="n"/>
      <c r="X1352" s="17" t="n"/>
      <c r="Y1352" s="17" t="n">
        <v>1</v>
      </c>
      <c r="Z1352" s="13">
        <f>SUMPRODUCT(N1352:Y1352,$N$2:$Y$2)*$K1352*$L1352*$M1352</f>
        <v/>
      </c>
      <c r="AA1352" s="14">
        <f>SUM(N1352:Y1352)</f>
        <v/>
      </c>
      <c r="AB1352" s="14">
        <f>IFERROR(IF(UPPER($E1352)="L",SUMPRODUCT(N1352:Y1352,$N$3:$Y$3,$N$2:$Y$2),SUMPRODUCT(N1352:Y1352,$N$4:$Y$4,$N$2:$Y$2))/(Z1352/($K1352*$L1352*$M1352)),"")</f>
        <v/>
      </c>
      <c r="AC1352" s="18" t="n"/>
    </row>
    <row r="1353">
      <c r="A1353" s="9" t="n">
        <v>807300</v>
      </c>
      <c r="B1353" s="9" t="inlineStr">
        <is>
          <t>Chris Rembert</t>
        </is>
      </c>
      <c r="C1353" s="9" t="inlineStr">
        <is>
          <t>PIT</t>
        </is>
      </c>
      <c r="D1353" s="9" t="n">
        <v>25</v>
      </c>
      <c r="E1353" s="16" t="inlineStr">
        <is>
          <t>R</t>
        </is>
      </c>
      <c r="F1353" s="16" t="n"/>
      <c r="G1353" s="9" t="n">
        <v>9.969230769230769</v>
      </c>
      <c r="H1353" s="9" t="n">
        <v>9.969230769230769</v>
      </c>
      <c r="I1353" s="9" t="inlineStr">
        <is>
          <t>Depth (no MLB PA)</t>
        </is>
      </c>
      <c r="J1353" s="16" t="inlineStr">
        <is>
          <t>Opening Day</t>
        </is>
      </c>
      <c r="K1353" s="11">
        <f>IFERROR(INDEX(Roles!$B$17:$B$20,MATCH(J1353,Roles!$A$17:$A$20,0)),1)</f>
        <v/>
      </c>
      <c r="L1353" s="17" t="n">
        <v>1</v>
      </c>
      <c r="M1353" s="11" t="n">
        <v>1</v>
      </c>
      <c r="N1353" s="17" t="n"/>
      <c r="O1353" s="17" t="n"/>
      <c r="P1353" s="17" t="n"/>
      <c r="Q1353" s="17" t="n"/>
      <c r="R1353" s="17" t="n"/>
      <c r="S1353" s="17" t="n"/>
      <c r="T1353" s="17" t="n"/>
      <c r="U1353" s="17" t="n"/>
      <c r="V1353" s="17" t="n"/>
      <c r="W1353" s="17" t="n"/>
      <c r="X1353" s="17" t="n"/>
      <c r="Y1353" s="17" t="n">
        <v>1</v>
      </c>
      <c r="Z1353" s="13">
        <f>SUMPRODUCT(N1353:Y1353,$N$2:$Y$2)*$K1353*$L1353*$M1353</f>
        <v/>
      </c>
      <c r="AA1353" s="14">
        <f>SUM(N1353:Y1353)</f>
        <v/>
      </c>
      <c r="AB1353" s="14">
        <f>IFERROR(IF(UPPER($E1353)="L",SUMPRODUCT(N1353:Y1353,$N$3:$Y$3,$N$2:$Y$2),SUMPRODUCT(N1353:Y1353,$N$4:$Y$4,$N$2:$Y$2))/(Z1353/($K1353*$L1353*$M1353)),"")</f>
        <v/>
      </c>
      <c r="AC1353" s="18" t="n"/>
    </row>
    <row r="1354">
      <c r="A1354" s="9" t="n">
        <v>808382</v>
      </c>
      <c r="B1354" s="9" t="inlineStr">
        <is>
          <t>D'Angelo Tejada</t>
        </is>
      </c>
      <c r="C1354" s="9" t="inlineStr">
        <is>
          <t>CWS</t>
        </is>
      </c>
      <c r="D1354" s="9" t="n">
        <v>25</v>
      </c>
      <c r="E1354" s="16" t="inlineStr">
        <is>
          <t>R</t>
        </is>
      </c>
      <c r="F1354" s="16" t="n"/>
      <c r="G1354" s="9" t="n">
        <v>11.93846153846154</v>
      </c>
      <c r="H1354" s="9" t="n">
        <v>11.93846153846154</v>
      </c>
      <c r="I1354" s="9" t="inlineStr">
        <is>
          <t>Depth (no MLB PA)</t>
        </is>
      </c>
      <c r="J1354" s="16" t="inlineStr">
        <is>
          <t>Opening Day</t>
        </is>
      </c>
      <c r="K1354" s="11">
        <f>IFERROR(INDEX(Roles!$B$17:$B$20,MATCH(J1354,Roles!$A$17:$A$20,0)),1)</f>
        <v/>
      </c>
      <c r="L1354" s="17" t="n">
        <v>1</v>
      </c>
      <c r="M1354" s="11" t="n">
        <v>1</v>
      </c>
      <c r="N1354" s="17" t="n"/>
      <c r="O1354" s="17" t="n"/>
      <c r="P1354" s="17" t="n"/>
      <c r="Q1354" s="17" t="n"/>
      <c r="R1354" s="17" t="n"/>
      <c r="S1354" s="17" t="n"/>
      <c r="T1354" s="17" t="n"/>
      <c r="U1354" s="17" t="n"/>
      <c r="V1354" s="17" t="n"/>
      <c r="W1354" s="17" t="n"/>
      <c r="X1354" s="17" t="n"/>
      <c r="Y1354" s="17" t="n">
        <v>1</v>
      </c>
      <c r="Z1354" s="13">
        <f>SUMPRODUCT(N1354:Y1354,$N$2:$Y$2)*$K1354*$L1354*$M1354</f>
        <v/>
      </c>
      <c r="AA1354" s="14">
        <f>SUM(N1354:Y1354)</f>
        <v/>
      </c>
      <c r="AB1354" s="14">
        <f>IFERROR(IF(UPPER($E1354)="L",SUMPRODUCT(N1354:Y1354,$N$3:$Y$3,$N$2:$Y$2),SUMPRODUCT(N1354:Y1354,$N$4:$Y$4,$N$2:$Y$2))/(Z1354/($K1354*$L1354*$M1354)),"")</f>
        <v/>
      </c>
      <c r="AC1354" s="18" t="n"/>
    </row>
    <row r="1355">
      <c r="A1355" s="9" t="n">
        <v>815096</v>
      </c>
      <c r="B1355" s="9" t="inlineStr">
        <is>
          <t>Jackson Appel</t>
        </is>
      </c>
      <c r="C1355" s="9" t="inlineStr">
        <is>
          <t>CWS</t>
        </is>
      </c>
      <c r="D1355" s="9" t="n">
        <v>25</v>
      </c>
      <c r="E1355" s="16" t="inlineStr">
        <is>
          <t>S</t>
        </is>
      </c>
      <c r="F1355" s="16" t="n"/>
      <c r="G1355" s="9" t="n">
        <v>14.35897435897436</v>
      </c>
      <c r="H1355" s="9" t="n">
        <v>14.35897435897436</v>
      </c>
      <c r="I1355" s="9" t="inlineStr">
        <is>
          <t>Depth (no MLB PA)</t>
        </is>
      </c>
      <c r="J1355" s="16" t="inlineStr">
        <is>
          <t>Opening Day</t>
        </is>
      </c>
      <c r="K1355" s="11">
        <f>IFERROR(INDEX(Roles!$B$17:$B$20,MATCH(J1355,Roles!$A$17:$A$20,0)),1)</f>
        <v/>
      </c>
      <c r="L1355" s="17" t="n">
        <v>1</v>
      </c>
      <c r="M1355" s="11" t="n">
        <v>1</v>
      </c>
      <c r="N1355" s="17" t="n"/>
      <c r="O1355" s="17" t="n"/>
      <c r="P1355" s="17" t="n"/>
      <c r="Q1355" s="17" t="n"/>
      <c r="R1355" s="17" t="n"/>
      <c r="S1355" s="17" t="n"/>
      <c r="T1355" s="17" t="n"/>
      <c r="U1355" s="17" t="n"/>
      <c r="V1355" s="17" t="n"/>
      <c r="W1355" s="17" t="n"/>
      <c r="X1355" s="17" t="n"/>
      <c r="Y1355" s="17" t="n">
        <v>1</v>
      </c>
      <c r="Z1355" s="13">
        <f>SUMPRODUCT(N1355:Y1355,$N$2:$Y$2)*$K1355*$L1355*$M1355</f>
        <v/>
      </c>
      <c r="AA1355" s="14">
        <f>SUM(N1355:Y1355)</f>
        <v/>
      </c>
      <c r="AB1355" s="14">
        <f>IFERROR(IF(UPPER($E1355)="L",SUMPRODUCT(N1355:Y1355,$N$3:$Y$3,$N$2:$Y$2),SUMPRODUCT(N1355:Y1355,$N$4:$Y$4,$N$2:$Y$2))/(Z1355/($K1355*$L1355*$M1355)),"")</f>
        <v/>
      </c>
      <c r="AC1355" s="18" t="n"/>
    </row>
    <row r="1356">
      <c r="A1356" s="9" t="n">
        <v>682641</v>
      </c>
      <c r="B1356" s="9" t="inlineStr">
        <is>
          <t>Luis Matos</t>
        </is>
      </c>
      <c r="C1356" s="9" t="inlineStr">
        <is>
          <t>SF</t>
        </is>
      </c>
      <c r="D1356" s="9" t="n">
        <v>25</v>
      </c>
      <c r="E1356" s="16" t="inlineStr">
        <is>
          <t>R</t>
        </is>
      </c>
      <c r="F1356" s="16" t="inlineStr">
        <is>
          <t>RF</t>
        </is>
      </c>
      <c r="G1356" s="9" t="n">
        <v>21</v>
      </c>
      <c r="H1356" s="9" t="n">
        <v>614</v>
      </c>
      <c r="I1356" s="9" t="inlineStr">
        <is>
          <t>Bench Bat</t>
        </is>
      </c>
      <c r="J1356" s="16" t="inlineStr">
        <is>
          <t>Opening Day</t>
        </is>
      </c>
      <c r="K1356" s="11">
        <f>IFERROR(INDEX(Roles!$B$17:$B$20,MATCH(J1356,Roles!$A$17:$A$20,0)),1)</f>
        <v/>
      </c>
      <c r="L1356" s="17" t="n">
        <v>1</v>
      </c>
      <c r="M1356" s="11" t="n">
        <v>1</v>
      </c>
      <c r="N1356" s="17" t="n"/>
      <c r="O1356" s="17" t="n"/>
      <c r="P1356" s="17" t="n"/>
      <c r="Q1356" s="17" t="n"/>
      <c r="R1356" s="17" t="n"/>
      <c r="S1356" s="17" t="n"/>
      <c r="T1356" s="17" t="n"/>
      <c r="U1356" s="17" t="n"/>
      <c r="V1356" s="17" t="n"/>
      <c r="W1356" s="17" t="n">
        <v>1</v>
      </c>
      <c r="X1356" s="17" t="n"/>
      <c r="Y1356" s="17" t="n"/>
      <c r="Z1356" s="13">
        <f>SUMPRODUCT(N1356:Y1356,$N$2:$Y$2)*$K1356*$L1356*$M1356</f>
        <v/>
      </c>
      <c r="AA1356" s="14">
        <f>SUM(N1356:Y1356)</f>
        <v/>
      </c>
      <c r="AB1356" s="14">
        <f>IFERROR(IF(UPPER($E1356)="L",SUMPRODUCT(N1356:Y1356,$N$3:$Y$3,$N$2:$Y$2),SUMPRODUCT(N1356:Y1356,$N$4:$Y$4,$N$2:$Y$2))/(Z1356/($K1356*$L1356*$M1356)),"")</f>
        <v/>
      </c>
      <c r="AC1356" s="18" t="n"/>
    </row>
    <row r="1357">
      <c r="A1357" s="9" t="n">
        <v>814435</v>
      </c>
      <c r="B1357" s="9" t="inlineStr">
        <is>
          <t>Jacob Sharp</t>
        </is>
      </c>
      <c r="C1357" s="9" t="inlineStr">
        <is>
          <t>TOR</t>
        </is>
      </c>
      <c r="D1357" s="9" t="n">
        <v>25</v>
      </c>
      <c r="E1357" s="16" t="inlineStr">
        <is>
          <t>R</t>
        </is>
      </c>
      <c r="F1357" s="16" t="n"/>
      <c r="G1357" s="9" t="n">
        <v>10.05128205128205</v>
      </c>
      <c r="H1357" s="9" t="n">
        <v>10.05128205128205</v>
      </c>
      <c r="I1357" s="9" t="inlineStr">
        <is>
          <t>Depth (no MLB PA)</t>
        </is>
      </c>
      <c r="J1357" s="16" t="inlineStr">
        <is>
          <t>Opening Day</t>
        </is>
      </c>
      <c r="K1357" s="11">
        <f>IFERROR(INDEX(Roles!$B$17:$B$20,MATCH(J1357,Roles!$A$17:$A$20,0)),1)</f>
        <v/>
      </c>
      <c r="L1357" s="17" t="n">
        <v>1</v>
      </c>
      <c r="M1357" s="11" t="n">
        <v>1</v>
      </c>
      <c r="N1357" s="17" t="n"/>
      <c r="O1357" s="17" t="n"/>
      <c r="P1357" s="17" t="n"/>
      <c r="Q1357" s="17" t="n"/>
      <c r="R1357" s="17" t="n"/>
      <c r="S1357" s="17" t="n"/>
      <c r="T1357" s="17" t="n"/>
      <c r="U1357" s="17" t="n"/>
      <c r="V1357" s="17" t="n"/>
      <c r="W1357" s="17" t="n"/>
      <c r="X1357" s="17" t="n"/>
      <c r="Y1357" s="17" t="n">
        <v>1</v>
      </c>
      <c r="Z1357" s="13">
        <f>SUMPRODUCT(N1357:Y1357,$N$2:$Y$2)*$K1357*$L1357*$M1357</f>
        <v/>
      </c>
      <c r="AA1357" s="14">
        <f>SUM(N1357:Y1357)</f>
        <v/>
      </c>
      <c r="AB1357" s="14">
        <f>IFERROR(IF(UPPER($E1357)="L",SUMPRODUCT(N1357:Y1357,$N$3:$Y$3,$N$2:$Y$2),SUMPRODUCT(N1357:Y1357,$N$4:$Y$4,$N$2:$Y$2))/(Z1357/($K1357*$L1357*$M1357)),"")</f>
        <v/>
      </c>
      <c r="AC1357" s="18" t="n"/>
    </row>
    <row r="1358">
      <c r="A1358" s="9" t="n">
        <v>683149</v>
      </c>
      <c r="B1358" s="9" t="inlineStr">
        <is>
          <t>Julian Brock</t>
        </is>
      </c>
      <c r="C1358" s="9" t="inlineStr">
        <is>
          <t>TEX</t>
        </is>
      </c>
      <c r="D1358" s="9" t="n">
        <v>25</v>
      </c>
      <c r="E1358" s="16" t="inlineStr">
        <is>
          <t>R</t>
        </is>
      </c>
      <c r="F1358" s="16" t="n"/>
      <c r="G1358" s="9" t="n">
        <v>40.61538461538462</v>
      </c>
      <c r="H1358" s="9" t="n">
        <v>40.61538461538462</v>
      </c>
      <c r="I1358" s="9" t="inlineStr">
        <is>
          <t>Depth (no MLB PA)</t>
        </is>
      </c>
      <c r="J1358" s="16" t="inlineStr">
        <is>
          <t>Opening Day</t>
        </is>
      </c>
      <c r="K1358" s="11">
        <f>IFERROR(INDEX(Roles!$B$17:$B$20,MATCH(J1358,Roles!$A$17:$A$20,0)),1)</f>
        <v/>
      </c>
      <c r="L1358" s="17" t="n">
        <v>1</v>
      </c>
      <c r="M1358" s="11" t="n">
        <v>1</v>
      </c>
      <c r="N1358" s="17" t="n"/>
      <c r="O1358" s="17" t="n"/>
      <c r="P1358" s="17" t="n"/>
      <c r="Q1358" s="17" t="n"/>
      <c r="R1358" s="17" t="n"/>
      <c r="S1358" s="17" t="n"/>
      <c r="T1358" s="17" t="n"/>
      <c r="U1358" s="17" t="n"/>
      <c r="V1358" s="17" t="n"/>
      <c r="W1358" s="17" t="n"/>
      <c r="X1358" s="17" t="n"/>
      <c r="Y1358" s="17" t="n">
        <v>1</v>
      </c>
      <c r="Z1358" s="13">
        <f>SUMPRODUCT(N1358:Y1358,$N$2:$Y$2)*$K1358*$L1358*$M1358</f>
        <v/>
      </c>
      <c r="AA1358" s="14">
        <f>SUM(N1358:Y1358)</f>
        <v/>
      </c>
      <c r="AB1358" s="14">
        <f>IFERROR(IF(UPPER($E1358)="L",SUMPRODUCT(N1358:Y1358,$N$3:$Y$3,$N$2:$Y$2),SUMPRODUCT(N1358:Y1358,$N$4:$Y$4,$N$2:$Y$2))/(Z1358/($K1358*$L1358*$M1358)),"")</f>
        <v/>
      </c>
      <c r="AC1358" s="18" t="n"/>
    </row>
    <row r="1359">
      <c r="A1359" s="9" t="n">
        <v>703861</v>
      </c>
      <c r="B1359" s="9" t="inlineStr">
        <is>
          <t>Victor Ortega</t>
        </is>
      </c>
      <c r="C1359" s="9" t="inlineStr">
        <is>
          <t>MIA</t>
        </is>
      </c>
      <c r="D1359" s="9" t="n">
        <v>25</v>
      </c>
      <c r="E1359" s="16" t="inlineStr">
        <is>
          <t>L</t>
        </is>
      </c>
      <c r="F1359" s="16" t="n"/>
      <c r="G1359" s="9" t="n">
        <v>9.846153846153848</v>
      </c>
      <c r="H1359" s="9" t="n">
        <v>9.846153846153848</v>
      </c>
      <c r="I1359" s="9" t="inlineStr">
        <is>
          <t>Depth (no MLB PA)</t>
        </is>
      </c>
      <c r="J1359" s="16" t="inlineStr">
        <is>
          <t>Opening Day</t>
        </is>
      </c>
      <c r="K1359" s="11">
        <f>IFERROR(INDEX(Roles!$B$17:$B$20,MATCH(J1359,Roles!$A$17:$A$20,0)),1)</f>
        <v/>
      </c>
      <c r="L1359" s="17" t="n">
        <v>1</v>
      </c>
      <c r="M1359" s="11" t="n">
        <v>1</v>
      </c>
      <c r="N1359" s="17" t="n"/>
      <c r="O1359" s="17" t="n"/>
      <c r="P1359" s="17" t="n"/>
      <c r="Q1359" s="17" t="n"/>
      <c r="R1359" s="17" t="n"/>
      <c r="S1359" s="17" t="n"/>
      <c r="T1359" s="17" t="n"/>
      <c r="U1359" s="17" t="n"/>
      <c r="V1359" s="17" t="n"/>
      <c r="W1359" s="17" t="n"/>
      <c r="X1359" s="17" t="n"/>
      <c r="Y1359" s="17" t="n">
        <v>1</v>
      </c>
      <c r="Z1359" s="13">
        <f>SUMPRODUCT(N1359:Y1359,$N$2:$Y$2)*$K1359*$L1359*$M1359</f>
        <v/>
      </c>
      <c r="AA1359" s="14">
        <f>SUM(N1359:Y1359)</f>
        <v/>
      </c>
      <c r="AB1359" s="14">
        <f>IFERROR(IF(UPPER($E1359)="L",SUMPRODUCT(N1359:Y1359,$N$3:$Y$3,$N$2:$Y$2),SUMPRODUCT(N1359:Y1359,$N$4:$Y$4,$N$2:$Y$2))/(Z1359/($K1359*$L1359*$M1359)),"")</f>
        <v/>
      </c>
      <c r="AC1359" s="18" t="n"/>
    </row>
    <row r="1360">
      <c r="A1360" s="9" t="n">
        <v>694191</v>
      </c>
      <c r="B1360" s="9" t="inlineStr">
        <is>
          <t>Pedro Pineda</t>
        </is>
      </c>
      <c r="C1360" s="9" t="inlineStr">
        <is>
          <t>OAK</t>
        </is>
      </c>
      <c r="D1360" s="9" t="n">
        <v>25</v>
      </c>
      <c r="E1360" s="16" t="inlineStr">
        <is>
          <t>R</t>
        </is>
      </c>
      <c r="F1360" s="16" t="n"/>
      <c r="G1360" s="9" t="n">
        <v>10.05128205128205</v>
      </c>
      <c r="H1360" s="9" t="n">
        <v>10.05128205128205</v>
      </c>
      <c r="I1360" s="9" t="inlineStr">
        <is>
          <t>Depth (no MLB PA)</t>
        </is>
      </c>
      <c r="J1360" s="16" t="inlineStr">
        <is>
          <t>Opening Day</t>
        </is>
      </c>
      <c r="K1360" s="11">
        <f>IFERROR(INDEX(Roles!$B$17:$B$20,MATCH(J1360,Roles!$A$17:$A$20,0)),1)</f>
        <v/>
      </c>
      <c r="L1360" s="17" t="n">
        <v>1</v>
      </c>
      <c r="M1360" s="11" t="n">
        <v>1</v>
      </c>
      <c r="N1360" s="17" t="n"/>
      <c r="O1360" s="17" t="n"/>
      <c r="P1360" s="17" t="n"/>
      <c r="Q1360" s="17" t="n"/>
      <c r="R1360" s="17" t="n"/>
      <c r="S1360" s="17" t="n"/>
      <c r="T1360" s="17" t="n"/>
      <c r="U1360" s="17" t="n"/>
      <c r="V1360" s="17" t="n"/>
      <c r="W1360" s="17" t="n"/>
      <c r="X1360" s="17" t="n"/>
      <c r="Y1360" s="17" t="n">
        <v>1</v>
      </c>
      <c r="Z1360" s="13">
        <f>SUMPRODUCT(N1360:Y1360,$N$2:$Y$2)*$K1360*$L1360*$M1360</f>
        <v/>
      </c>
      <c r="AA1360" s="14">
        <f>SUM(N1360:Y1360)</f>
        <v/>
      </c>
      <c r="AB1360" s="14">
        <f>IFERROR(IF(UPPER($E1360)="L",SUMPRODUCT(N1360:Y1360,$N$3:$Y$3,$N$2:$Y$2),SUMPRODUCT(N1360:Y1360,$N$4:$Y$4,$N$2:$Y$2))/(Z1360/($K1360*$L1360*$M1360)),"")</f>
        <v/>
      </c>
      <c r="AC1360" s="18" t="n"/>
    </row>
    <row r="1361">
      <c r="A1361" s="9" t="n">
        <v>702522</v>
      </c>
      <c r="B1361" s="9" t="inlineStr">
        <is>
          <t>Aiden Taurek</t>
        </is>
      </c>
      <c r="C1361" s="9" t="inlineStr">
        <is>
          <t>SEA</t>
        </is>
      </c>
      <c r="D1361" s="9" t="n">
        <v>25</v>
      </c>
      <c r="E1361" s="16" t="inlineStr">
        <is>
          <t>R</t>
        </is>
      </c>
      <c r="F1361" s="16" t="n"/>
      <c r="G1361" s="9" t="n">
        <v>26.87179487179488</v>
      </c>
      <c r="H1361" s="9" t="n">
        <v>26.87179487179488</v>
      </c>
      <c r="I1361" s="9" t="inlineStr">
        <is>
          <t>Depth (no MLB PA)</t>
        </is>
      </c>
      <c r="J1361" s="16" t="inlineStr">
        <is>
          <t>Opening Day</t>
        </is>
      </c>
      <c r="K1361" s="11">
        <f>IFERROR(INDEX(Roles!$B$17:$B$20,MATCH(J1361,Roles!$A$17:$A$20,0)),1)</f>
        <v/>
      </c>
      <c r="L1361" s="17" t="n">
        <v>1</v>
      </c>
      <c r="M1361" s="11" t="n">
        <v>1</v>
      </c>
      <c r="N1361" s="17" t="n"/>
      <c r="O1361" s="17" t="n"/>
      <c r="P1361" s="17" t="n"/>
      <c r="Q1361" s="17" t="n"/>
      <c r="R1361" s="17" t="n"/>
      <c r="S1361" s="17" t="n"/>
      <c r="T1361" s="17" t="n"/>
      <c r="U1361" s="17" t="n"/>
      <c r="V1361" s="17" t="n"/>
      <c r="W1361" s="17" t="n"/>
      <c r="X1361" s="17" t="n"/>
      <c r="Y1361" s="17" t="n">
        <v>1</v>
      </c>
      <c r="Z1361" s="13">
        <f>SUMPRODUCT(N1361:Y1361,$N$2:$Y$2)*$K1361*$L1361*$M1361</f>
        <v/>
      </c>
      <c r="AA1361" s="14">
        <f>SUM(N1361:Y1361)</f>
        <v/>
      </c>
      <c r="AB1361" s="14">
        <f>IFERROR(IF(UPPER($E1361)="L",SUMPRODUCT(N1361:Y1361,$N$3:$Y$3,$N$2:$Y$2),SUMPRODUCT(N1361:Y1361,$N$4:$Y$4,$N$2:$Y$2))/(Z1361/($K1361*$L1361*$M1361)),"")</f>
        <v/>
      </c>
      <c r="AC1361" s="18" t="n"/>
    </row>
    <row r="1362">
      <c r="A1362" s="9" t="n">
        <v>807083</v>
      </c>
      <c r="B1362" s="9" t="inlineStr">
        <is>
          <t>Nathan Flewelling</t>
        </is>
      </c>
      <c r="C1362" s="9" t="inlineStr">
        <is>
          <t>TB</t>
        </is>
      </c>
      <c r="D1362" s="9" t="n">
        <v>21</v>
      </c>
      <c r="E1362" s="16" t="inlineStr">
        <is>
          <t>L</t>
        </is>
      </c>
      <c r="F1362" s="16" t="n"/>
      <c r="G1362" s="9" t="n">
        <v>97.23076923076924</v>
      </c>
      <c r="H1362" s="9" t="n">
        <v>97.23076923076924</v>
      </c>
      <c r="I1362" s="9" t="inlineStr">
        <is>
          <t>Depth (no MLB PA)</t>
        </is>
      </c>
      <c r="J1362" s="16" t="inlineStr">
        <is>
          <t>Opening Day</t>
        </is>
      </c>
      <c r="K1362" s="11">
        <f>IFERROR(INDEX(Roles!$B$17:$B$20,MATCH(J1362,Roles!$A$17:$A$20,0)),1)</f>
        <v/>
      </c>
      <c r="L1362" s="17" t="n">
        <v>1</v>
      </c>
      <c r="M1362" s="11" t="n">
        <v>1</v>
      </c>
      <c r="N1362" s="17" t="n"/>
      <c r="O1362" s="17" t="n"/>
      <c r="P1362" s="17" t="n"/>
      <c r="Q1362" s="17" t="n"/>
      <c r="R1362" s="17" t="n"/>
      <c r="S1362" s="17" t="n"/>
      <c r="T1362" s="17" t="n"/>
      <c r="U1362" s="17" t="n"/>
      <c r="V1362" s="17" t="n"/>
      <c r="W1362" s="17" t="n"/>
      <c r="X1362" s="17" t="n"/>
      <c r="Y1362" s="17" t="n">
        <v>1</v>
      </c>
      <c r="Z1362" s="13">
        <f>SUMPRODUCT(N1362:Y1362,$N$2:$Y$2)*$K1362*$L1362*$M1362</f>
        <v/>
      </c>
      <c r="AA1362" s="14">
        <f>SUM(N1362:Y1362)</f>
        <v/>
      </c>
      <c r="AB1362" s="14">
        <f>IFERROR(IF(UPPER($E1362)="L",SUMPRODUCT(N1362:Y1362,$N$3:$Y$3,$N$2:$Y$2),SUMPRODUCT(N1362:Y1362,$N$4:$Y$4,$N$2:$Y$2))/(Z1362/($K1362*$L1362*$M1362)),"")</f>
        <v/>
      </c>
      <c r="AC1362" s="18" t="n"/>
    </row>
    <row r="1363">
      <c r="A1363" s="9" t="n">
        <v>808027</v>
      </c>
      <c r="B1363" s="9" t="inlineStr">
        <is>
          <t>Juan Sierra</t>
        </is>
      </c>
      <c r="C1363" s="9" t="inlineStr">
        <is>
          <t>HOU</t>
        </is>
      </c>
      <c r="D1363" s="9" t="n">
        <v>25</v>
      </c>
      <c r="E1363" s="16" t="inlineStr">
        <is>
          <t>R</t>
        </is>
      </c>
      <c r="F1363" s="16" t="n"/>
      <c r="G1363" s="9" t="n">
        <v>31.87692307692308</v>
      </c>
      <c r="H1363" s="9" t="n">
        <v>31.87692307692308</v>
      </c>
      <c r="I1363" s="9" t="inlineStr">
        <is>
          <t>Depth (no MLB PA)</t>
        </is>
      </c>
      <c r="J1363" s="16" t="inlineStr">
        <is>
          <t>Opening Day</t>
        </is>
      </c>
      <c r="K1363" s="11">
        <f>IFERROR(INDEX(Roles!$B$17:$B$20,MATCH(J1363,Roles!$A$17:$A$20,0)),1)</f>
        <v/>
      </c>
      <c r="L1363" s="17" t="n">
        <v>1</v>
      </c>
      <c r="M1363" s="11" t="n">
        <v>1</v>
      </c>
      <c r="N1363" s="17" t="n"/>
      <c r="O1363" s="17" t="n"/>
      <c r="P1363" s="17" t="n"/>
      <c r="Q1363" s="17" t="n"/>
      <c r="R1363" s="17" t="n"/>
      <c r="S1363" s="17" t="n"/>
      <c r="T1363" s="17" t="n"/>
      <c r="U1363" s="17" t="n"/>
      <c r="V1363" s="17" t="n"/>
      <c r="W1363" s="17" t="n"/>
      <c r="X1363" s="17" t="n"/>
      <c r="Y1363" s="17" t="n">
        <v>1</v>
      </c>
      <c r="Z1363" s="13">
        <f>SUMPRODUCT(N1363:Y1363,$N$2:$Y$2)*$K1363*$L1363*$M1363</f>
        <v/>
      </c>
      <c r="AA1363" s="14">
        <f>SUM(N1363:Y1363)</f>
        <v/>
      </c>
      <c r="AB1363" s="14">
        <f>IFERROR(IF(UPPER($E1363)="L",SUMPRODUCT(N1363:Y1363,$N$3:$Y$3,$N$2:$Y$2),SUMPRODUCT(N1363:Y1363,$N$4:$Y$4,$N$2:$Y$2))/(Z1363/($K1363*$L1363*$M1363)),"")</f>
        <v/>
      </c>
      <c r="AC1363" s="18" t="n"/>
    </row>
    <row r="1364">
      <c r="A1364" s="9" t="n">
        <v>806953</v>
      </c>
      <c r="B1364" s="9" t="inlineStr">
        <is>
          <t>Eduardo Tait</t>
        </is>
      </c>
      <c r="C1364" s="9" t="inlineStr">
        <is>
          <t>MIN</t>
        </is>
      </c>
      <c r="D1364" s="9" t="n">
        <v>25</v>
      </c>
      <c r="E1364" s="16" t="inlineStr">
        <is>
          <t>L</t>
        </is>
      </c>
      <c r="F1364" s="16" t="n"/>
      <c r="G1364" s="9" t="n">
        <v>103.7948717948718</v>
      </c>
      <c r="H1364" s="9" t="n">
        <v>103.7948717948718</v>
      </c>
      <c r="I1364" s="9" t="inlineStr">
        <is>
          <t>Depth (no MLB PA)</t>
        </is>
      </c>
      <c r="J1364" s="16" t="inlineStr">
        <is>
          <t>Opening Day</t>
        </is>
      </c>
      <c r="K1364" s="11">
        <f>IFERROR(INDEX(Roles!$B$17:$B$20,MATCH(J1364,Roles!$A$17:$A$20,0)),1)</f>
        <v/>
      </c>
      <c r="L1364" s="17" t="n">
        <v>1</v>
      </c>
      <c r="M1364" s="11" t="n">
        <v>1</v>
      </c>
      <c r="N1364" s="17" t="n"/>
      <c r="O1364" s="17" t="n"/>
      <c r="P1364" s="17" t="n"/>
      <c r="Q1364" s="17" t="n"/>
      <c r="R1364" s="17" t="n"/>
      <c r="S1364" s="17" t="n"/>
      <c r="T1364" s="17" t="n"/>
      <c r="U1364" s="17" t="n"/>
      <c r="V1364" s="17" t="n"/>
      <c r="W1364" s="17" t="n"/>
      <c r="X1364" s="17" t="n"/>
      <c r="Y1364" s="17" t="n">
        <v>1</v>
      </c>
      <c r="Z1364" s="13">
        <f>SUMPRODUCT(N1364:Y1364,$N$2:$Y$2)*$K1364*$L1364*$M1364</f>
        <v/>
      </c>
      <c r="AA1364" s="14">
        <f>SUM(N1364:Y1364)</f>
        <v/>
      </c>
      <c r="AB1364" s="14">
        <f>IFERROR(IF(UPPER($E1364)="L",SUMPRODUCT(N1364:Y1364,$N$3:$Y$3,$N$2:$Y$2),SUMPRODUCT(N1364:Y1364,$N$4:$Y$4,$N$2:$Y$2))/(Z1364/($K1364*$L1364*$M1364)),"")</f>
        <v/>
      </c>
      <c r="AC1364" s="18" t="n"/>
    </row>
    <row r="1365">
      <c r="A1365" s="9" t="n">
        <v>800164</v>
      </c>
      <c r="B1365" s="9" t="inlineStr">
        <is>
          <t>Ronny Ugarte</t>
        </is>
      </c>
      <c r="C1365" s="9" t="inlineStr">
        <is>
          <t>COL</t>
        </is>
      </c>
      <c r="D1365" s="9" t="n">
        <v>25</v>
      </c>
      <c r="E1365" s="16" t="inlineStr">
        <is>
          <t>L</t>
        </is>
      </c>
      <c r="F1365" s="16" t="n"/>
      <c r="G1365" s="9" t="n">
        <v>14.64615384615385</v>
      </c>
      <c r="H1365" s="9" t="n">
        <v>14.64615384615385</v>
      </c>
      <c r="I1365" s="9" t="inlineStr">
        <is>
          <t>Depth (no MLB PA)</t>
        </is>
      </c>
      <c r="J1365" s="16" t="inlineStr">
        <is>
          <t>Opening Day</t>
        </is>
      </c>
      <c r="K1365" s="11">
        <f>IFERROR(INDEX(Roles!$B$17:$B$20,MATCH(J1365,Roles!$A$17:$A$20,0)),1)</f>
        <v/>
      </c>
      <c r="L1365" s="17" t="n">
        <v>1</v>
      </c>
      <c r="M1365" s="11" t="n">
        <v>1</v>
      </c>
      <c r="N1365" s="17" t="n"/>
      <c r="O1365" s="17" t="n"/>
      <c r="P1365" s="17" t="n"/>
      <c r="Q1365" s="17" t="n"/>
      <c r="R1365" s="17" t="n"/>
      <c r="S1365" s="17" t="n"/>
      <c r="T1365" s="17" t="n"/>
      <c r="U1365" s="17" t="n"/>
      <c r="V1365" s="17" t="n"/>
      <c r="W1365" s="17" t="n"/>
      <c r="X1365" s="17" t="n"/>
      <c r="Y1365" s="17" t="n">
        <v>1</v>
      </c>
      <c r="Z1365" s="13">
        <f>SUMPRODUCT(N1365:Y1365,$N$2:$Y$2)*$K1365*$L1365*$M1365</f>
        <v/>
      </c>
      <c r="AA1365" s="14">
        <f>SUM(N1365:Y1365)</f>
        <v/>
      </c>
      <c r="AB1365" s="14">
        <f>IFERROR(IF(UPPER($E1365)="L",SUMPRODUCT(N1365:Y1365,$N$3:$Y$3,$N$2:$Y$2),SUMPRODUCT(N1365:Y1365,$N$4:$Y$4,$N$2:$Y$2))/(Z1365/($K1365*$L1365*$M1365)),"")</f>
        <v/>
      </c>
      <c r="AC1365" s="18" t="n"/>
    </row>
    <row r="1366">
      <c r="A1366" s="9" t="n">
        <v>701330</v>
      </c>
      <c r="B1366" s="9" t="inlineStr">
        <is>
          <t>Brody Donay</t>
        </is>
      </c>
      <c r="C1366" s="9" t="inlineStr">
        <is>
          <t>TB</t>
        </is>
      </c>
      <c r="D1366" s="9" t="n">
        <v>25</v>
      </c>
      <c r="E1366" s="16" t="inlineStr">
        <is>
          <t>R</t>
        </is>
      </c>
      <c r="F1366" s="16" t="n"/>
      <c r="G1366" s="9" t="n">
        <v>18.33846153846154</v>
      </c>
      <c r="H1366" s="9" t="n">
        <v>18.33846153846154</v>
      </c>
      <c r="I1366" s="9" t="inlineStr">
        <is>
          <t>Depth (no MLB PA)</t>
        </is>
      </c>
      <c r="J1366" s="16" t="inlineStr">
        <is>
          <t>Opening Day</t>
        </is>
      </c>
      <c r="K1366" s="11">
        <f>IFERROR(INDEX(Roles!$B$17:$B$20,MATCH(J1366,Roles!$A$17:$A$20,0)),1)</f>
        <v/>
      </c>
      <c r="L1366" s="17" t="n">
        <v>1</v>
      </c>
      <c r="M1366" s="11" t="n">
        <v>1</v>
      </c>
      <c r="N1366" s="17" t="n"/>
      <c r="O1366" s="17" t="n"/>
      <c r="P1366" s="17" t="n"/>
      <c r="Q1366" s="17" t="n"/>
      <c r="R1366" s="17" t="n"/>
      <c r="S1366" s="17" t="n"/>
      <c r="T1366" s="17" t="n"/>
      <c r="U1366" s="17" t="n"/>
      <c r="V1366" s="17" t="n"/>
      <c r="W1366" s="17" t="n"/>
      <c r="X1366" s="17" t="n"/>
      <c r="Y1366" s="17" t="n">
        <v>1</v>
      </c>
      <c r="Z1366" s="13">
        <f>SUMPRODUCT(N1366:Y1366,$N$2:$Y$2)*$K1366*$L1366*$M1366</f>
        <v/>
      </c>
      <c r="AA1366" s="14">
        <f>SUM(N1366:Y1366)</f>
        <v/>
      </c>
      <c r="AB1366" s="14">
        <f>IFERROR(IF(UPPER($E1366)="L",SUMPRODUCT(N1366:Y1366,$N$3:$Y$3,$N$2:$Y$2),SUMPRODUCT(N1366:Y1366,$N$4:$Y$4,$N$2:$Y$2))/(Z1366/($K1366*$L1366*$M1366)),"")</f>
        <v/>
      </c>
      <c r="AC1366" s="18" t="n"/>
    </row>
    <row r="1367">
      <c r="A1367" s="9" t="n">
        <v>695606</v>
      </c>
      <c r="B1367" s="9" t="inlineStr">
        <is>
          <t>Ty Hodge</t>
        </is>
      </c>
      <c r="C1367" s="9" t="inlineStr">
        <is>
          <t>BOS</t>
        </is>
      </c>
      <c r="D1367" s="9" t="n">
        <v>25</v>
      </c>
      <c r="E1367" s="16" t="inlineStr">
        <is>
          <t>R</t>
        </is>
      </c>
      <c r="F1367" s="16" t="n"/>
      <c r="G1367" s="9" t="n">
        <v>14.52307692307692</v>
      </c>
      <c r="H1367" s="9" t="n">
        <v>14.52307692307692</v>
      </c>
      <c r="I1367" s="9" t="inlineStr">
        <is>
          <t>Depth (no MLB PA)</t>
        </is>
      </c>
      <c r="J1367" s="16" t="inlineStr">
        <is>
          <t>Opening Day</t>
        </is>
      </c>
      <c r="K1367" s="11">
        <f>IFERROR(INDEX(Roles!$B$17:$B$20,MATCH(J1367,Roles!$A$17:$A$20,0)),1)</f>
        <v/>
      </c>
      <c r="L1367" s="17" t="n">
        <v>1</v>
      </c>
      <c r="M1367" s="11" t="n">
        <v>1</v>
      </c>
      <c r="N1367" s="17" t="n"/>
      <c r="O1367" s="17" t="n"/>
      <c r="P1367" s="17" t="n"/>
      <c r="Q1367" s="17" t="n"/>
      <c r="R1367" s="17" t="n"/>
      <c r="S1367" s="17" t="n"/>
      <c r="T1367" s="17" t="n"/>
      <c r="U1367" s="17" t="n"/>
      <c r="V1367" s="17" t="n"/>
      <c r="W1367" s="17" t="n"/>
      <c r="X1367" s="17" t="n"/>
      <c r="Y1367" s="17" t="n">
        <v>1</v>
      </c>
      <c r="Z1367" s="13">
        <f>SUMPRODUCT(N1367:Y1367,$N$2:$Y$2)*$K1367*$L1367*$M1367</f>
        <v/>
      </c>
      <c r="AA1367" s="14">
        <f>SUM(N1367:Y1367)</f>
        <v/>
      </c>
      <c r="AB1367" s="14">
        <f>IFERROR(IF(UPPER($E1367)="L",SUMPRODUCT(N1367:Y1367,$N$3:$Y$3,$N$2:$Y$2),SUMPRODUCT(N1367:Y1367,$N$4:$Y$4,$N$2:$Y$2))/(Z1367/($K1367*$L1367*$M1367)),"")</f>
        <v/>
      </c>
      <c r="AC1367" s="18" t="n"/>
    </row>
    <row r="1368">
      <c r="A1368" s="9" t="n">
        <v>641531</v>
      </c>
      <c r="B1368" s="9" t="inlineStr">
        <is>
          <t>Hunter Dozier</t>
        </is>
      </c>
      <c r="C1368" s="9" t="inlineStr">
        <is>
          <t>KC</t>
        </is>
      </c>
      <c r="D1368" s="9" t="n">
        <v>35</v>
      </c>
      <c r="E1368" s="16" t="inlineStr">
        <is>
          <t>R</t>
        </is>
      </c>
      <c r="F1368" s="16" t="inlineStr">
        <is>
          <t>3B</t>
        </is>
      </c>
      <c r="G1368" s="9" t="n">
        <v>91</v>
      </c>
      <c r="H1368" s="9" t="n">
        <v>591</v>
      </c>
      <c r="I1368" s="9" t="inlineStr">
        <is>
          <t>Depth (no MLB PA)</t>
        </is>
      </c>
      <c r="J1368" s="16" t="inlineStr">
        <is>
          <t>Opening Day</t>
        </is>
      </c>
      <c r="K1368" s="11">
        <f>IFERROR(INDEX(Roles!$B$17:$B$20,MATCH(J1368,Roles!$A$17:$A$20,0)),1)</f>
        <v/>
      </c>
      <c r="L1368" s="17" t="n">
        <v>1</v>
      </c>
      <c r="M1368" s="11" t="n">
        <v>1</v>
      </c>
      <c r="N1368" s="17" t="n"/>
      <c r="O1368" s="17" t="n"/>
      <c r="P1368" s="17" t="n"/>
      <c r="Q1368" s="17" t="n"/>
      <c r="R1368" s="17" t="n"/>
      <c r="S1368" s="17" t="n"/>
      <c r="T1368" s="17" t="n"/>
      <c r="U1368" s="17" t="n"/>
      <c r="V1368" s="17" t="n"/>
      <c r="W1368" s="17" t="n"/>
      <c r="X1368" s="17" t="n"/>
      <c r="Y1368" s="17" t="n">
        <v>1</v>
      </c>
      <c r="Z1368" s="13">
        <f>SUMPRODUCT(N1368:Y1368,$N$2:$Y$2)*$K1368*$L1368*$M1368</f>
        <v/>
      </c>
      <c r="AA1368" s="14">
        <f>SUM(N1368:Y1368)</f>
        <v/>
      </c>
      <c r="AB1368" s="14">
        <f>IFERROR(IF(UPPER($E1368)="L",SUMPRODUCT(N1368:Y1368,$N$3:$Y$3,$N$2:$Y$2),SUMPRODUCT(N1368:Y1368,$N$4:$Y$4,$N$2:$Y$2))/(Z1368/($K1368*$L1368*$M1368)),"")</f>
        <v/>
      </c>
      <c r="AC1368" s="18" t="n"/>
    </row>
    <row r="1369">
      <c r="A1369" s="9" t="n">
        <v>695524</v>
      </c>
      <c r="B1369" s="9" t="inlineStr">
        <is>
          <t>Jacob Cozart</t>
        </is>
      </c>
      <c r="C1369" s="9" t="inlineStr">
        <is>
          <t>LAA</t>
        </is>
      </c>
      <c r="D1369" s="9" t="n">
        <v>25</v>
      </c>
      <c r="E1369" s="16" t="inlineStr">
        <is>
          <t>L</t>
        </is>
      </c>
      <c r="F1369" s="16" t="n"/>
      <c r="G1369" s="9" t="n">
        <v>156.5128205128205</v>
      </c>
      <c r="H1369" s="9" t="n">
        <v>156.5128205128205</v>
      </c>
      <c r="I1369" s="9" t="inlineStr">
        <is>
          <t>Depth (no MLB PA)</t>
        </is>
      </c>
      <c r="J1369" s="16" t="inlineStr">
        <is>
          <t>Opening Day</t>
        </is>
      </c>
      <c r="K1369" s="11">
        <f>IFERROR(INDEX(Roles!$B$17:$B$20,MATCH(J1369,Roles!$A$17:$A$20,0)),1)</f>
        <v/>
      </c>
      <c r="L1369" s="17" t="n">
        <v>1</v>
      </c>
      <c r="M1369" s="11" t="n">
        <v>1</v>
      </c>
      <c r="N1369" s="17" t="n"/>
      <c r="O1369" s="17" t="n"/>
      <c r="P1369" s="17" t="n"/>
      <c r="Q1369" s="17" t="n"/>
      <c r="R1369" s="17" t="n"/>
      <c r="S1369" s="17" t="n"/>
      <c r="T1369" s="17" t="n"/>
      <c r="U1369" s="17" t="n"/>
      <c r="V1369" s="17" t="n"/>
      <c r="W1369" s="17" t="n"/>
      <c r="X1369" s="17" t="n"/>
      <c r="Y1369" s="17" t="n">
        <v>1</v>
      </c>
      <c r="Z1369" s="13">
        <f>SUMPRODUCT(N1369:Y1369,$N$2:$Y$2)*$K1369*$L1369*$M1369</f>
        <v/>
      </c>
      <c r="AA1369" s="14">
        <f>SUM(N1369:Y1369)</f>
        <v/>
      </c>
      <c r="AB1369" s="14">
        <f>IFERROR(IF(UPPER($E1369)="L",SUMPRODUCT(N1369:Y1369,$N$3:$Y$3,$N$2:$Y$2),SUMPRODUCT(N1369:Y1369,$N$4:$Y$4,$N$2:$Y$2))/(Z1369/($K1369*$L1369*$M1369)),"")</f>
        <v/>
      </c>
      <c r="AC1369" s="18" t="n"/>
    </row>
    <row r="1370">
      <c r="A1370" s="9" t="n">
        <v>687799</v>
      </c>
      <c r="B1370" s="9" t="inlineStr">
        <is>
          <t>Cade Marlowe</t>
        </is>
      </c>
      <c r="C1370" s="9" t="inlineStr">
        <is>
          <t>SEA</t>
        </is>
      </c>
      <c r="D1370" s="9" t="n">
        <v>30</v>
      </c>
      <c r="E1370" s="16" t="inlineStr">
        <is>
          <t>L</t>
        </is>
      </c>
      <c r="F1370" s="16" t="inlineStr">
        <is>
          <t>RF</t>
        </is>
      </c>
      <c r="G1370" s="9" t="n">
        <v>9</v>
      </c>
      <c r="H1370" s="9" t="n">
        <v>109</v>
      </c>
      <c r="I1370" s="9" t="inlineStr">
        <is>
          <t>Depth (no MLB PA)</t>
        </is>
      </c>
      <c r="J1370" s="16" t="inlineStr">
        <is>
          <t>Opening Day</t>
        </is>
      </c>
      <c r="K1370" s="11">
        <f>IFERROR(INDEX(Roles!$B$17:$B$20,MATCH(J1370,Roles!$A$17:$A$20,0)),1)</f>
        <v/>
      </c>
      <c r="L1370" s="17" t="n">
        <v>1</v>
      </c>
      <c r="M1370" s="11" t="n">
        <v>1</v>
      </c>
      <c r="N1370" s="17" t="n"/>
      <c r="O1370" s="17" t="n"/>
      <c r="P1370" s="17" t="n"/>
      <c r="Q1370" s="17" t="n"/>
      <c r="R1370" s="17" t="n"/>
      <c r="S1370" s="17" t="n"/>
      <c r="T1370" s="17" t="n"/>
      <c r="U1370" s="17" t="n"/>
      <c r="V1370" s="17" t="n"/>
      <c r="W1370" s="17" t="n"/>
      <c r="X1370" s="17" t="n"/>
      <c r="Y1370" s="17" t="n">
        <v>1</v>
      </c>
      <c r="Z1370" s="13">
        <f>SUMPRODUCT(N1370:Y1370,$N$2:$Y$2)*$K1370*$L1370*$M1370</f>
        <v/>
      </c>
      <c r="AA1370" s="14">
        <f>SUM(N1370:Y1370)</f>
        <v/>
      </c>
      <c r="AB1370" s="14">
        <f>IFERROR(IF(UPPER($E1370)="L",SUMPRODUCT(N1370:Y1370,$N$3:$Y$3,$N$2:$Y$2),SUMPRODUCT(N1370:Y1370,$N$4:$Y$4,$N$2:$Y$2))/(Z1370/($K1370*$L1370*$M1370)),"")</f>
        <v/>
      </c>
      <c r="AC1370" s="18" t="n"/>
    </row>
    <row r="1371">
      <c r="A1371" s="9" t="n">
        <v>805491</v>
      </c>
      <c r="B1371" s="9" t="inlineStr">
        <is>
          <t>Aaron Piasecki</t>
        </is>
      </c>
      <c r="C1371" s="9" t="inlineStr">
        <is>
          <t>HOU</t>
        </is>
      </c>
      <c r="D1371" s="9" t="n">
        <v>25</v>
      </c>
      <c r="E1371" s="16" t="inlineStr">
        <is>
          <t>L</t>
        </is>
      </c>
      <c r="F1371" s="16" t="n"/>
      <c r="G1371" s="9" t="n">
        <v>10.33846153846154</v>
      </c>
      <c r="H1371" s="9" t="n">
        <v>10.33846153846154</v>
      </c>
      <c r="I1371" s="9" t="inlineStr">
        <is>
          <t>Depth (no MLB PA)</t>
        </is>
      </c>
      <c r="J1371" s="16" t="inlineStr">
        <is>
          <t>Opening Day</t>
        </is>
      </c>
      <c r="K1371" s="11">
        <f>IFERROR(INDEX(Roles!$B$17:$B$20,MATCH(J1371,Roles!$A$17:$A$20,0)),1)</f>
        <v/>
      </c>
      <c r="L1371" s="17" t="n">
        <v>1</v>
      </c>
      <c r="M1371" s="11" t="n">
        <v>1</v>
      </c>
      <c r="N1371" s="17" t="n"/>
      <c r="O1371" s="17" t="n"/>
      <c r="P1371" s="17" t="n"/>
      <c r="Q1371" s="17" t="n"/>
      <c r="R1371" s="17" t="n"/>
      <c r="S1371" s="17" t="n"/>
      <c r="T1371" s="17" t="n"/>
      <c r="U1371" s="17" t="n"/>
      <c r="V1371" s="17" t="n"/>
      <c r="W1371" s="17" t="n"/>
      <c r="X1371" s="17" t="n"/>
      <c r="Y1371" s="17" t="n">
        <v>1</v>
      </c>
      <c r="Z1371" s="13">
        <f>SUMPRODUCT(N1371:Y1371,$N$2:$Y$2)*$K1371*$L1371*$M1371</f>
        <v/>
      </c>
      <c r="AA1371" s="14">
        <f>SUM(N1371:Y1371)</f>
        <v/>
      </c>
      <c r="AB1371" s="14">
        <f>IFERROR(IF(UPPER($E1371)="L",SUMPRODUCT(N1371:Y1371,$N$3:$Y$3,$N$2:$Y$2),SUMPRODUCT(N1371:Y1371,$N$4:$Y$4,$N$2:$Y$2))/(Z1371/($K1371*$L1371*$M1371)),"")</f>
        <v/>
      </c>
      <c r="AC1371" s="18" t="n"/>
    </row>
    <row r="1372">
      <c r="A1372" s="9" t="n">
        <v>694966</v>
      </c>
      <c r="B1372" s="9" t="inlineStr">
        <is>
          <t>Brayden Taylor</t>
        </is>
      </c>
      <c r="C1372" s="9" t="inlineStr">
        <is>
          <t>MIA</t>
        </is>
      </c>
      <c r="D1372" s="9" t="n">
        <v>25</v>
      </c>
      <c r="E1372" s="16" t="inlineStr">
        <is>
          <t>L</t>
        </is>
      </c>
      <c r="F1372" s="16" t="n"/>
      <c r="G1372" s="9" t="n">
        <v>71.07692307692308</v>
      </c>
      <c r="H1372" s="9" t="n">
        <v>71.07692307692308</v>
      </c>
      <c r="I1372" s="9" t="inlineStr">
        <is>
          <t>Depth (no MLB PA)</t>
        </is>
      </c>
      <c r="J1372" s="16" t="inlineStr">
        <is>
          <t>Opening Day</t>
        </is>
      </c>
      <c r="K1372" s="11">
        <f>IFERROR(INDEX(Roles!$B$17:$B$20,MATCH(J1372,Roles!$A$17:$A$20,0)),1)</f>
        <v/>
      </c>
      <c r="L1372" s="17" t="n">
        <v>1</v>
      </c>
      <c r="M1372" s="11" t="n">
        <v>1</v>
      </c>
      <c r="N1372" s="17" t="n"/>
      <c r="O1372" s="17" t="n"/>
      <c r="P1372" s="17" t="n"/>
      <c r="Q1372" s="17" t="n"/>
      <c r="R1372" s="17" t="n"/>
      <c r="S1372" s="17" t="n"/>
      <c r="T1372" s="17" t="n"/>
      <c r="U1372" s="17" t="n"/>
      <c r="V1372" s="17" t="n"/>
      <c r="W1372" s="17" t="n"/>
      <c r="X1372" s="17" t="n"/>
      <c r="Y1372" s="17" t="n">
        <v>1</v>
      </c>
      <c r="Z1372" s="13">
        <f>SUMPRODUCT(N1372:Y1372,$N$2:$Y$2)*$K1372*$L1372*$M1372</f>
        <v/>
      </c>
      <c r="AA1372" s="14">
        <f>SUM(N1372:Y1372)</f>
        <v/>
      </c>
      <c r="AB1372" s="14">
        <f>IFERROR(IF(UPPER($E1372)="L",SUMPRODUCT(N1372:Y1372,$N$3:$Y$3,$N$2:$Y$2),SUMPRODUCT(N1372:Y1372,$N$4:$Y$4,$N$2:$Y$2))/(Z1372/($K1372*$L1372*$M1372)),"")</f>
        <v/>
      </c>
      <c r="AC1372" s="18" t="n"/>
    </row>
    <row r="1373">
      <c r="A1373" s="9" t="n">
        <v>809921</v>
      </c>
      <c r="B1373" s="9" t="inlineStr">
        <is>
          <t>Jake Steels</t>
        </is>
      </c>
      <c r="C1373" s="9" t="inlineStr">
        <is>
          <t>ATL</t>
        </is>
      </c>
      <c r="D1373" s="9" t="n">
        <v>25</v>
      </c>
      <c r="E1373" s="16" t="inlineStr">
        <is>
          <t>R</t>
        </is>
      </c>
      <c r="F1373" s="16" t="n"/>
      <c r="G1373" s="9" t="n">
        <v>10.46153846153846</v>
      </c>
      <c r="H1373" s="9" t="n">
        <v>10.46153846153846</v>
      </c>
      <c r="I1373" s="9" t="inlineStr">
        <is>
          <t>Depth (no MLB PA)</t>
        </is>
      </c>
      <c r="J1373" s="16" t="inlineStr">
        <is>
          <t>Opening Day</t>
        </is>
      </c>
      <c r="K1373" s="11">
        <f>IFERROR(INDEX(Roles!$B$17:$B$20,MATCH(J1373,Roles!$A$17:$A$20,0)),1)</f>
        <v/>
      </c>
      <c r="L1373" s="17" t="n">
        <v>1</v>
      </c>
      <c r="M1373" s="11" t="n">
        <v>1</v>
      </c>
      <c r="N1373" s="17" t="n"/>
      <c r="O1373" s="17" t="n"/>
      <c r="P1373" s="17" t="n"/>
      <c r="Q1373" s="17" t="n"/>
      <c r="R1373" s="17" t="n"/>
      <c r="S1373" s="17" t="n"/>
      <c r="T1373" s="17" t="n"/>
      <c r="U1373" s="17" t="n"/>
      <c r="V1373" s="17" t="n"/>
      <c r="W1373" s="17" t="n"/>
      <c r="X1373" s="17" t="n"/>
      <c r="Y1373" s="17" t="n">
        <v>1</v>
      </c>
      <c r="Z1373" s="13">
        <f>SUMPRODUCT(N1373:Y1373,$N$2:$Y$2)*$K1373*$L1373*$M1373</f>
        <v/>
      </c>
      <c r="AA1373" s="14">
        <f>SUM(N1373:Y1373)</f>
        <v/>
      </c>
      <c r="AB1373" s="14">
        <f>IFERROR(IF(UPPER($E1373)="L",SUMPRODUCT(N1373:Y1373,$N$3:$Y$3,$N$2:$Y$2),SUMPRODUCT(N1373:Y1373,$N$4:$Y$4,$N$2:$Y$2))/(Z1373/($K1373*$L1373*$M1373)),"")</f>
        <v/>
      </c>
      <c r="AC1373" s="18" t="n"/>
    </row>
    <row r="1374">
      <c r="A1374" s="9" t="n">
        <v>813939</v>
      </c>
      <c r="B1374" s="9" t="inlineStr">
        <is>
          <t>Jan Luis Reyes</t>
        </is>
      </c>
      <c r="C1374" s="9" t="inlineStr">
        <is>
          <t>CHC</t>
        </is>
      </c>
      <c r="D1374" s="9" t="n">
        <v>25</v>
      </c>
      <c r="E1374" s="16" t="inlineStr">
        <is>
          <t>L</t>
        </is>
      </c>
      <c r="F1374" s="16" t="n"/>
      <c r="G1374" s="9" t="n">
        <v>10.21538461538462</v>
      </c>
      <c r="H1374" s="9" t="n">
        <v>10.21538461538462</v>
      </c>
      <c r="I1374" s="9" t="inlineStr">
        <is>
          <t>Depth (no MLB PA)</t>
        </is>
      </c>
      <c r="J1374" s="16" t="inlineStr">
        <is>
          <t>Opening Day</t>
        </is>
      </c>
      <c r="K1374" s="11">
        <f>IFERROR(INDEX(Roles!$B$17:$B$20,MATCH(J1374,Roles!$A$17:$A$20,0)),1)</f>
        <v/>
      </c>
      <c r="L1374" s="17" t="n">
        <v>1</v>
      </c>
      <c r="M1374" s="11" t="n">
        <v>1</v>
      </c>
      <c r="N1374" s="17" t="n"/>
      <c r="O1374" s="17" t="n"/>
      <c r="P1374" s="17" t="n"/>
      <c r="Q1374" s="17" t="n"/>
      <c r="R1374" s="17" t="n"/>
      <c r="S1374" s="17" t="n"/>
      <c r="T1374" s="17" t="n"/>
      <c r="U1374" s="17" t="n"/>
      <c r="V1374" s="17" t="n"/>
      <c r="W1374" s="17" t="n"/>
      <c r="X1374" s="17" t="n"/>
      <c r="Y1374" s="17" t="n">
        <v>1</v>
      </c>
      <c r="Z1374" s="13">
        <f>SUMPRODUCT(N1374:Y1374,$N$2:$Y$2)*$K1374*$L1374*$M1374</f>
        <v/>
      </c>
      <c r="AA1374" s="14">
        <f>SUM(N1374:Y1374)</f>
        <v/>
      </c>
      <c r="AB1374" s="14">
        <f>IFERROR(IF(UPPER($E1374)="L",SUMPRODUCT(N1374:Y1374,$N$3:$Y$3,$N$2:$Y$2),SUMPRODUCT(N1374:Y1374,$N$4:$Y$4,$N$2:$Y$2))/(Z1374/($K1374*$L1374*$M1374)),"")</f>
        <v/>
      </c>
      <c r="AC1374" s="18" t="n"/>
    </row>
    <row r="1375">
      <c r="A1375" s="9" t="n">
        <v>828076</v>
      </c>
      <c r="B1375" s="9" t="inlineStr">
        <is>
          <t>Dax Kilby</t>
        </is>
      </c>
      <c r="C1375" s="9" t="inlineStr">
        <is>
          <t>NYY</t>
        </is>
      </c>
      <c r="D1375" s="9" t="n">
        <v>21</v>
      </c>
      <c r="E1375" s="16" t="inlineStr">
        <is>
          <t>L</t>
        </is>
      </c>
      <c r="F1375" s="16" t="n"/>
      <c r="G1375" s="9" t="n">
        <v>18.95384615384616</v>
      </c>
      <c r="H1375" s="9" t="n">
        <v>18.95384615384616</v>
      </c>
      <c r="I1375" s="9" t="inlineStr">
        <is>
          <t>Depth (no MLB PA)</t>
        </is>
      </c>
      <c r="J1375" s="16" t="inlineStr">
        <is>
          <t>Opening Day</t>
        </is>
      </c>
      <c r="K1375" s="11">
        <f>IFERROR(INDEX(Roles!$B$17:$B$20,MATCH(J1375,Roles!$A$17:$A$20,0)),1)</f>
        <v/>
      </c>
      <c r="L1375" s="17" t="n">
        <v>1</v>
      </c>
      <c r="M1375" s="11" t="n">
        <v>1</v>
      </c>
      <c r="N1375" s="17" t="n"/>
      <c r="O1375" s="17" t="n"/>
      <c r="P1375" s="17" t="n"/>
      <c r="Q1375" s="17" t="n"/>
      <c r="R1375" s="17" t="n"/>
      <c r="S1375" s="17" t="n"/>
      <c r="T1375" s="17" t="n"/>
      <c r="U1375" s="17" t="n"/>
      <c r="V1375" s="17" t="n"/>
      <c r="W1375" s="17" t="n"/>
      <c r="X1375" s="17" t="n"/>
      <c r="Y1375" s="17" t="n">
        <v>1</v>
      </c>
      <c r="Z1375" s="13">
        <f>SUMPRODUCT(N1375:Y1375,$N$2:$Y$2)*$K1375*$L1375*$M1375</f>
        <v/>
      </c>
      <c r="AA1375" s="14">
        <f>SUM(N1375:Y1375)</f>
        <v/>
      </c>
      <c r="AB1375" s="14">
        <f>IFERROR(IF(UPPER($E1375)="L",SUMPRODUCT(N1375:Y1375,$N$3:$Y$3,$N$2:$Y$2),SUMPRODUCT(N1375:Y1375,$N$4:$Y$4,$N$2:$Y$2))/(Z1375/($K1375*$L1375*$M1375)),"")</f>
        <v/>
      </c>
      <c r="AC1375" s="18" t="n"/>
    </row>
    <row r="1376">
      <c r="A1376" s="9" t="n">
        <v>680776</v>
      </c>
      <c r="B1376" s="9" t="inlineStr">
        <is>
          <t>Jarren Duran</t>
        </is>
      </c>
      <c r="C1376" s="9" t="inlineStr">
        <is>
          <t>BOS</t>
        </is>
      </c>
      <c r="D1376" s="9" t="n">
        <v>30</v>
      </c>
      <c r="E1376" s="16" t="inlineStr">
        <is>
          <t>L</t>
        </is>
      </c>
      <c r="F1376" s="16" t="inlineStr">
        <is>
          <t>LF</t>
        </is>
      </c>
      <c r="G1376" s="9" t="n">
        <v>608</v>
      </c>
      <c r="H1376" s="9" t="n">
        <v>2624</v>
      </c>
      <c r="I1376" s="9" t="inlineStr">
        <is>
          <t>Strong Side Platoon</t>
        </is>
      </c>
      <c r="J1376" s="16" t="inlineStr">
        <is>
          <t>Opening Day</t>
        </is>
      </c>
      <c r="K1376" s="11">
        <f>IFERROR(INDEX(Roles!$B$17:$B$20,MATCH(J1376,Roles!$A$17:$A$20,0)),1)</f>
        <v/>
      </c>
      <c r="L1376" s="17" t="n">
        <v>1</v>
      </c>
      <c r="M1376" s="11" t="n">
        <v>1.15</v>
      </c>
      <c r="N1376" s="17" t="n">
        <v>0.4</v>
      </c>
      <c r="O1376" s="17" t="n"/>
      <c r="P1376" s="17" t="n">
        <v>0.6</v>
      </c>
      <c r="Q1376" s="17" t="n"/>
      <c r="R1376" s="17" t="n"/>
      <c r="S1376" s="17" t="n"/>
      <c r="T1376" s="17" t="n"/>
      <c r="U1376" s="17" t="n"/>
      <c r="V1376" s="17" t="n"/>
      <c r="W1376" s="17" t="n"/>
      <c r="X1376" s="17" t="n"/>
      <c r="Y1376" s="17" t="n"/>
      <c r="Z1376" s="13">
        <f>SUMPRODUCT(N1376:Y1376,$N$2:$Y$2)*$K1376*$L1376*$M1376</f>
        <v/>
      </c>
      <c r="AA1376" s="14">
        <f>SUM(N1376:Y1376)</f>
        <v/>
      </c>
      <c r="AB1376" s="14">
        <f>IFERROR(IF(UPPER($E1376)="L",SUMPRODUCT(N1376:Y1376,$N$3:$Y$3,$N$2:$Y$2),SUMPRODUCT(N1376:Y1376,$N$4:$Y$4,$N$2:$Y$2))/(Z1376/($K1376*$L1376*$M1376)),"")</f>
        <v/>
      </c>
      <c r="AC1376" s="18" t="n"/>
    </row>
    <row r="1377">
      <c r="A1377" s="9" t="n">
        <v>669742</v>
      </c>
      <c r="B1377" s="9" t="inlineStr">
        <is>
          <t>Darick Hall</t>
        </is>
      </c>
      <c r="C1377" s="9" t="inlineStr">
        <is>
          <t>PHI</t>
        </is>
      </c>
      <c r="D1377" s="9" t="n">
        <v>31</v>
      </c>
      <c r="E1377" s="16" t="inlineStr">
        <is>
          <t>L</t>
        </is>
      </c>
      <c r="F1377" s="16" t="inlineStr">
        <is>
          <t>1B</t>
        </is>
      </c>
      <c r="G1377" s="9" t="n">
        <v>56</v>
      </c>
      <c r="H1377" s="9" t="n">
        <v>198</v>
      </c>
      <c r="I1377" s="9" t="inlineStr">
        <is>
          <t>Depth (no MLB PA)</t>
        </is>
      </c>
      <c r="J1377" s="16" t="inlineStr">
        <is>
          <t>Opening Day</t>
        </is>
      </c>
      <c r="K1377" s="11">
        <f>IFERROR(INDEX(Roles!$B$17:$B$20,MATCH(J1377,Roles!$A$17:$A$20,0)),1)</f>
        <v/>
      </c>
      <c r="L1377" s="17" t="n">
        <v>1</v>
      </c>
      <c r="M1377" s="11" t="n">
        <v>1</v>
      </c>
      <c r="N1377" s="17" t="n"/>
      <c r="O1377" s="17" t="n"/>
      <c r="P1377" s="17" t="n"/>
      <c r="Q1377" s="17" t="n"/>
      <c r="R1377" s="17" t="n"/>
      <c r="S1377" s="17" t="n"/>
      <c r="T1377" s="17" t="n"/>
      <c r="U1377" s="17" t="n"/>
      <c r="V1377" s="17" t="n"/>
      <c r="W1377" s="17" t="n"/>
      <c r="X1377" s="17" t="n"/>
      <c r="Y1377" s="17" t="n">
        <v>1</v>
      </c>
      <c r="Z1377" s="13">
        <f>SUMPRODUCT(N1377:Y1377,$N$2:$Y$2)*$K1377*$L1377*$M1377</f>
        <v/>
      </c>
      <c r="AA1377" s="14">
        <f>SUM(N1377:Y1377)</f>
        <v/>
      </c>
      <c r="AB1377" s="14">
        <f>IFERROR(IF(UPPER($E1377)="L",SUMPRODUCT(N1377:Y1377,$N$3:$Y$3,$N$2:$Y$2),SUMPRODUCT(N1377:Y1377,$N$4:$Y$4,$N$2:$Y$2))/(Z1377/($K1377*$L1377*$M1377)),"")</f>
        <v/>
      </c>
      <c r="AC1377" s="18" t="n"/>
    </row>
    <row r="1378">
      <c r="A1378" s="9" t="n">
        <v>694834</v>
      </c>
      <c r="B1378" s="9" t="inlineStr">
        <is>
          <t>Tyler Wilson</t>
        </is>
      </c>
      <c r="C1378" s="9" t="inlineStr">
        <is>
          <t>NYY</t>
        </is>
      </c>
      <c r="D1378" s="9" t="n">
        <v>25</v>
      </c>
      <c r="E1378" s="16" t="inlineStr">
        <is>
          <t>S</t>
        </is>
      </c>
      <c r="F1378" s="16" t="n"/>
      <c r="G1378" s="9" t="n">
        <v>10.46153846153846</v>
      </c>
      <c r="H1378" s="9" t="n">
        <v>10.46153846153846</v>
      </c>
      <c r="I1378" s="9" t="inlineStr">
        <is>
          <t>Depth (no MLB PA)</t>
        </is>
      </c>
      <c r="J1378" s="16" t="inlineStr">
        <is>
          <t>Opening Day</t>
        </is>
      </c>
      <c r="K1378" s="11">
        <f>IFERROR(INDEX(Roles!$B$17:$B$20,MATCH(J1378,Roles!$A$17:$A$20,0)),1)</f>
        <v/>
      </c>
      <c r="L1378" s="17" t="n">
        <v>1</v>
      </c>
      <c r="M1378" s="11" t="n">
        <v>1</v>
      </c>
      <c r="N1378" s="17" t="n"/>
      <c r="O1378" s="17" t="n"/>
      <c r="P1378" s="17" t="n"/>
      <c r="Q1378" s="17" t="n"/>
      <c r="R1378" s="17" t="n"/>
      <c r="S1378" s="17" t="n"/>
      <c r="T1378" s="17" t="n"/>
      <c r="U1378" s="17" t="n"/>
      <c r="V1378" s="17" t="n"/>
      <c r="W1378" s="17" t="n"/>
      <c r="X1378" s="17" t="n"/>
      <c r="Y1378" s="17" t="n">
        <v>1</v>
      </c>
      <c r="Z1378" s="13">
        <f>SUMPRODUCT(N1378:Y1378,$N$2:$Y$2)*$K1378*$L1378*$M1378</f>
        <v/>
      </c>
      <c r="AA1378" s="14">
        <f>SUM(N1378:Y1378)</f>
        <v/>
      </c>
      <c r="AB1378" s="14">
        <f>IFERROR(IF(UPPER($E1378)="L",SUMPRODUCT(N1378:Y1378,$N$3:$Y$3,$N$2:$Y$2),SUMPRODUCT(N1378:Y1378,$N$4:$Y$4,$N$2:$Y$2))/(Z1378/($K1378*$L1378*$M1378)),"")</f>
        <v/>
      </c>
      <c r="AC1378" s="18" t="n"/>
    </row>
    <row r="1379">
      <c r="A1379" s="9" t="n">
        <v>833382</v>
      </c>
      <c r="B1379" s="9" t="inlineStr">
        <is>
          <t>Owen Hull</t>
        </is>
      </c>
      <c r="C1379" s="9" t="inlineStr">
        <is>
          <t>BOS</t>
        </is>
      </c>
      <c r="D1379" s="9" t="n">
        <v>23</v>
      </c>
      <c r="E1379" s="16" t="inlineStr">
        <is>
          <t>L</t>
        </is>
      </c>
      <c r="F1379" s="16" t="n"/>
      <c r="G1379" s="9" t="n">
        <v>23.38461538461539</v>
      </c>
      <c r="H1379" s="9" t="n">
        <v>23.38461538461539</v>
      </c>
      <c r="I1379" s="9" t="inlineStr">
        <is>
          <t>Depth (no MLB PA)</t>
        </is>
      </c>
      <c r="J1379" s="16" t="inlineStr">
        <is>
          <t>Opening Day</t>
        </is>
      </c>
      <c r="K1379" s="11">
        <f>IFERROR(INDEX(Roles!$B$17:$B$20,MATCH(J1379,Roles!$A$17:$A$20,0)),1)</f>
        <v/>
      </c>
      <c r="L1379" s="17" t="n">
        <v>1</v>
      </c>
      <c r="M1379" s="11" t="n">
        <v>1</v>
      </c>
      <c r="N1379" s="17" t="n"/>
      <c r="O1379" s="17" t="n"/>
      <c r="P1379" s="17" t="n"/>
      <c r="Q1379" s="17" t="n"/>
      <c r="R1379" s="17" t="n"/>
      <c r="S1379" s="17" t="n"/>
      <c r="T1379" s="17" t="n"/>
      <c r="U1379" s="17" t="n"/>
      <c r="V1379" s="17" t="n"/>
      <c r="W1379" s="17" t="n"/>
      <c r="X1379" s="17" t="n"/>
      <c r="Y1379" s="17" t="n">
        <v>1</v>
      </c>
      <c r="Z1379" s="13">
        <f>SUMPRODUCT(N1379:Y1379,$N$2:$Y$2)*$K1379*$L1379*$M1379</f>
        <v/>
      </c>
      <c r="AA1379" s="14">
        <f>SUM(N1379:Y1379)</f>
        <v/>
      </c>
      <c r="AB1379" s="14">
        <f>IFERROR(IF(UPPER($E1379)="L",SUMPRODUCT(N1379:Y1379,$N$3:$Y$3,$N$2:$Y$2),SUMPRODUCT(N1379:Y1379,$N$4:$Y$4,$N$2:$Y$2))/(Z1379/($K1379*$L1379*$M1379)),"")</f>
        <v/>
      </c>
      <c r="AC1379" s="18" t="n"/>
    </row>
    <row r="1380">
      <c r="A1380" s="9" t="n">
        <v>803290</v>
      </c>
      <c r="B1380" s="9" t="inlineStr">
        <is>
          <t>Estevan Moreno</t>
        </is>
      </c>
      <c r="C1380" s="9" t="inlineStr">
        <is>
          <t>SEA</t>
        </is>
      </c>
      <c r="D1380" s="9" t="n">
        <v>25</v>
      </c>
      <c r="E1380" s="16" t="inlineStr">
        <is>
          <t>R</t>
        </is>
      </c>
      <c r="F1380" s="16" t="n"/>
      <c r="G1380" s="9" t="n">
        <v>48.61538461538461</v>
      </c>
      <c r="H1380" s="9" t="n">
        <v>48.61538461538461</v>
      </c>
      <c r="I1380" s="9" t="inlineStr">
        <is>
          <t>Depth (no MLB PA)</t>
        </is>
      </c>
      <c r="J1380" s="16" t="inlineStr">
        <is>
          <t>Opening Day</t>
        </is>
      </c>
      <c r="K1380" s="11">
        <f>IFERROR(INDEX(Roles!$B$17:$B$20,MATCH(J1380,Roles!$A$17:$A$20,0)),1)</f>
        <v/>
      </c>
      <c r="L1380" s="17" t="n">
        <v>1</v>
      </c>
      <c r="M1380" s="11" t="n">
        <v>1</v>
      </c>
      <c r="N1380" s="17" t="n"/>
      <c r="O1380" s="17" t="n"/>
      <c r="P1380" s="17" t="n"/>
      <c r="Q1380" s="17" t="n"/>
      <c r="R1380" s="17" t="n"/>
      <c r="S1380" s="17" t="n"/>
      <c r="T1380" s="17" t="n"/>
      <c r="U1380" s="17" t="n"/>
      <c r="V1380" s="17" t="n"/>
      <c r="W1380" s="17" t="n"/>
      <c r="X1380" s="17" t="n"/>
      <c r="Y1380" s="17" t="n">
        <v>1</v>
      </c>
      <c r="Z1380" s="13">
        <f>SUMPRODUCT(N1380:Y1380,$N$2:$Y$2)*$K1380*$L1380*$M1380</f>
        <v/>
      </c>
      <c r="AA1380" s="14">
        <f>SUM(N1380:Y1380)</f>
        <v/>
      </c>
      <c r="AB1380" s="14">
        <f>IFERROR(IF(UPPER($E1380)="L",SUMPRODUCT(N1380:Y1380,$N$3:$Y$3,$N$2:$Y$2),SUMPRODUCT(N1380:Y1380,$N$4:$Y$4,$N$2:$Y$2))/(Z1380/($K1380*$L1380*$M1380)),"")</f>
        <v/>
      </c>
      <c r="AC1380" s="18" t="n"/>
    </row>
    <row r="1381">
      <c r="A1381" s="9" t="n">
        <v>694371</v>
      </c>
      <c r="B1381" s="9" t="inlineStr">
        <is>
          <t>Tommy Troy</t>
        </is>
      </c>
      <c r="C1381" s="9" t="inlineStr">
        <is>
          <t>ARI</t>
        </is>
      </c>
      <c r="D1381" s="9" t="n">
        <v>25</v>
      </c>
      <c r="E1381" s="16" t="inlineStr">
        <is>
          <t>R</t>
        </is>
      </c>
      <c r="F1381" s="16" t="inlineStr">
        <is>
          <t>LF</t>
        </is>
      </c>
      <c r="G1381" s="9" t="n">
        <v>143</v>
      </c>
      <c r="H1381" s="9" t="n">
        <v>143</v>
      </c>
      <c r="I1381" s="9" t="inlineStr">
        <is>
          <t>Bench Bat</t>
        </is>
      </c>
      <c r="J1381" s="16" t="inlineStr">
        <is>
          <t>Opening Day</t>
        </is>
      </c>
      <c r="K1381" s="11">
        <f>IFERROR(INDEX(Roles!$B$17:$B$20,MATCH(J1381,Roles!$A$17:$A$20,0)),1)</f>
        <v/>
      </c>
      <c r="L1381" s="17" t="n">
        <v>1</v>
      </c>
      <c r="M1381" s="11" t="n">
        <v>1</v>
      </c>
      <c r="N1381" s="17" t="n"/>
      <c r="O1381" s="17" t="n"/>
      <c r="P1381" s="17" t="n"/>
      <c r="Q1381" s="17" t="n"/>
      <c r="R1381" s="17" t="n"/>
      <c r="S1381" s="17" t="n"/>
      <c r="T1381" s="17" t="n"/>
      <c r="U1381" s="17" t="n"/>
      <c r="V1381" s="17" t="n"/>
      <c r="W1381" s="17" t="n">
        <v>1</v>
      </c>
      <c r="X1381" s="17" t="n"/>
      <c r="Y1381" s="17" t="n"/>
      <c r="Z1381" s="13">
        <f>SUMPRODUCT(N1381:Y1381,$N$2:$Y$2)*$K1381*$L1381*$M1381</f>
        <v/>
      </c>
      <c r="AA1381" s="14">
        <f>SUM(N1381:Y1381)</f>
        <v/>
      </c>
      <c r="AB1381" s="14">
        <f>IFERROR(IF(UPPER($E1381)="L",SUMPRODUCT(N1381:Y1381,$N$3:$Y$3,$N$2:$Y$2),SUMPRODUCT(N1381:Y1381,$N$4:$Y$4,$N$2:$Y$2))/(Z1381/($K1381*$L1381*$M1381)),"")</f>
        <v/>
      </c>
      <c r="AC1381" s="18" t="n"/>
    </row>
    <row r="1382">
      <c r="A1382" s="9" t="n">
        <v>821246</v>
      </c>
      <c r="B1382" s="9" t="inlineStr">
        <is>
          <t>Alejandro Blasco</t>
        </is>
      </c>
      <c r="C1382" s="9" t="inlineStr">
        <is>
          <t>CLE</t>
        </is>
      </c>
      <c r="D1382" s="9" t="n">
        <v>20</v>
      </c>
      <c r="E1382" s="16" t="inlineStr">
        <is>
          <t>S</t>
        </is>
      </c>
      <c r="F1382" s="16" t="n"/>
      <c r="G1382" s="9" t="n">
        <v>12.55384615384615</v>
      </c>
      <c r="H1382" s="9" t="n">
        <v>12.55384615384615</v>
      </c>
      <c r="I1382" s="9" t="inlineStr">
        <is>
          <t>Depth (no MLB PA)</t>
        </is>
      </c>
      <c r="J1382" s="16" t="inlineStr">
        <is>
          <t>Opening Day</t>
        </is>
      </c>
      <c r="K1382" s="11">
        <f>IFERROR(INDEX(Roles!$B$17:$B$20,MATCH(J1382,Roles!$A$17:$A$20,0)),1)</f>
        <v/>
      </c>
      <c r="L1382" s="17" t="n">
        <v>1</v>
      </c>
      <c r="M1382" s="11" t="n">
        <v>1</v>
      </c>
      <c r="N1382" s="17" t="n"/>
      <c r="O1382" s="17" t="n"/>
      <c r="P1382" s="17" t="n"/>
      <c r="Q1382" s="17" t="n"/>
      <c r="R1382" s="17" t="n"/>
      <c r="S1382" s="17" t="n"/>
      <c r="T1382" s="17" t="n"/>
      <c r="U1382" s="17" t="n"/>
      <c r="V1382" s="17" t="n"/>
      <c r="W1382" s="17" t="n"/>
      <c r="X1382" s="17" t="n"/>
      <c r="Y1382" s="17" t="n">
        <v>1</v>
      </c>
      <c r="Z1382" s="13">
        <f>SUMPRODUCT(N1382:Y1382,$N$2:$Y$2)*$K1382*$L1382*$M1382</f>
        <v/>
      </c>
      <c r="AA1382" s="14">
        <f>SUM(N1382:Y1382)</f>
        <v/>
      </c>
      <c r="AB1382" s="14">
        <f>IFERROR(IF(UPPER($E1382)="L",SUMPRODUCT(N1382:Y1382,$N$3:$Y$3,$N$2:$Y$2),SUMPRODUCT(N1382:Y1382,$N$4:$Y$4,$N$2:$Y$2))/(Z1382/($K1382*$L1382*$M1382)),"")</f>
        <v/>
      </c>
      <c r="AC1382" s="18" t="n"/>
    </row>
    <row r="1383">
      <c r="A1383" s="9" t="n">
        <v>809091</v>
      </c>
      <c r="B1383" s="9" t="inlineStr">
        <is>
          <t>Ben Newton</t>
        </is>
      </c>
      <c r="C1383" s="9" t="inlineStr">
        <is>
          <t>OAK</t>
        </is>
      </c>
      <c r="D1383" s="9" t="n">
        <v>25</v>
      </c>
      <c r="E1383" s="16" t="inlineStr">
        <is>
          <t>S</t>
        </is>
      </c>
      <c r="F1383" s="16" t="n"/>
      <c r="G1383" s="9" t="n">
        <v>10.05128205128205</v>
      </c>
      <c r="H1383" s="9" t="n">
        <v>10.05128205128205</v>
      </c>
      <c r="I1383" s="9" t="inlineStr">
        <is>
          <t>Depth (no MLB PA)</t>
        </is>
      </c>
      <c r="J1383" s="16" t="inlineStr">
        <is>
          <t>Opening Day</t>
        </is>
      </c>
      <c r="K1383" s="11">
        <f>IFERROR(INDEX(Roles!$B$17:$B$20,MATCH(J1383,Roles!$A$17:$A$20,0)),1)</f>
        <v/>
      </c>
      <c r="L1383" s="17" t="n">
        <v>1</v>
      </c>
      <c r="M1383" s="11" t="n">
        <v>1</v>
      </c>
      <c r="N1383" s="17" t="n"/>
      <c r="O1383" s="17" t="n"/>
      <c r="P1383" s="17" t="n"/>
      <c r="Q1383" s="17" t="n"/>
      <c r="R1383" s="17" t="n"/>
      <c r="S1383" s="17" t="n"/>
      <c r="T1383" s="17" t="n"/>
      <c r="U1383" s="17" t="n"/>
      <c r="V1383" s="17" t="n"/>
      <c r="W1383" s="17" t="n"/>
      <c r="X1383" s="17" t="n"/>
      <c r="Y1383" s="17" t="n">
        <v>1</v>
      </c>
      <c r="Z1383" s="13">
        <f>SUMPRODUCT(N1383:Y1383,$N$2:$Y$2)*$K1383*$L1383*$M1383</f>
        <v/>
      </c>
      <c r="AA1383" s="14">
        <f>SUM(N1383:Y1383)</f>
        <v/>
      </c>
      <c r="AB1383" s="14">
        <f>IFERROR(IF(UPPER($E1383)="L",SUMPRODUCT(N1383:Y1383,$N$3:$Y$3,$N$2:$Y$2),SUMPRODUCT(N1383:Y1383,$N$4:$Y$4,$N$2:$Y$2))/(Z1383/($K1383*$L1383*$M1383)),"")</f>
        <v/>
      </c>
      <c r="AC1383" s="18" t="n"/>
    </row>
    <row r="1384">
      <c r="A1384" s="9" t="n">
        <v>812807</v>
      </c>
      <c r="B1384" s="9" t="inlineStr">
        <is>
          <t>Kyle Jones</t>
        </is>
      </c>
      <c r="C1384" s="9" t="inlineStr">
        <is>
          <t>MIL</t>
        </is>
      </c>
      <c r="D1384" s="9" t="n">
        <v>25</v>
      </c>
      <c r="E1384" s="16" t="inlineStr">
        <is>
          <t>R</t>
        </is>
      </c>
      <c r="F1384" s="16" t="n"/>
      <c r="G1384" s="9" t="n">
        <v>12.67692307692308</v>
      </c>
      <c r="H1384" s="9" t="n">
        <v>12.67692307692308</v>
      </c>
      <c r="I1384" s="9" t="inlineStr">
        <is>
          <t>Depth (no MLB PA)</t>
        </is>
      </c>
      <c r="J1384" s="16" t="inlineStr">
        <is>
          <t>Opening Day</t>
        </is>
      </c>
      <c r="K1384" s="11">
        <f>IFERROR(INDEX(Roles!$B$17:$B$20,MATCH(J1384,Roles!$A$17:$A$20,0)),1)</f>
        <v/>
      </c>
      <c r="L1384" s="17" t="n">
        <v>1</v>
      </c>
      <c r="M1384" s="11" t="n">
        <v>1</v>
      </c>
      <c r="N1384" s="17" t="n"/>
      <c r="O1384" s="17" t="n"/>
      <c r="P1384" s="17" t="n"/>
      <c r="Q1384" s="17" t="n"/>
      <c r="R1384" s="17" t="n"/>
      <c r="S1384" s="17" t="n"/>
      <c r="T1384" s="17" t="n"/>
      <c r="U1384" s="17" t="n"/>
      <c r="V1384" s="17" t="n"/>
      <c r="W1384" s="17" t="n"/>
      <c r="X1384" s="17" t="n"/>
      <c r="Y1384" s="17" t="n">
        <v>1</v>
      </c>
      <c r="Z1384" s="13">
        <f>SUMPRODUCT(N1384:Y1384,$N$2:$Y$2)*$K1384*$L1384*$M1384</f>
        <v/>
      </c>
      <c r="AA1384" s="14">
        <f>SUM(N1384:Y1384)</f>
        <v/>
      </c>
      <c r="AB1384" s="14">
        <f>IFERROR(IF(UPPER($E1384)="L",SUMPRODUCT(N1384:Y1384,$N$3:$Y$3,$N$2:$Y$2),SUMPRODUCT(N1384:Y1384,$N$4:$Y$4,$N$2:$Y$2))/(Z1384/($K1384*$L1384*$M1384)),"")</f>
        <v/>
      </c>
      <c r="AC1384" s="18" t="n"/>
    </row>
    <row r="1385">
      <c r="A1385" s="9" t="n">
        <v>543228</v>
      </c>
      <c r="B1385" s="9" t="inlineStr">
        <is>
          <t>Yan Gomes</t>
        </is>
      </c>
      <c r="C1385" s="9" t="inlineStr">
        <is>
          <t>CHC</t>
        </is>
      </c>
      <c r="D1385" s="9" t="n">
        <v>39</v>
      </c>
      <c r="E1385" s="16" t="inlineStr">
        <is>
          <t>R</t>
        </is>
      </c>
      <c r="F1385" s="16" t="inlineStr">
        <is>
          <t>C</t>
        </is>
      </c>
      <c r="G1385" s="9" t="n">
        <v>96</v>
      </c>
      <c r="H1385" s="9" t="n">
        <v>808</v>
      </c>
      <c r="I1385" s="9" t="inlineStr">
        <is>
          <t>Depth (no MLB PA)</t>
        </is>
      </c>
      <c r="J1385" s="16" t="inlineStr">
        <is>
          <t>Opening Day</t>
        </is>
      </c>
      <c r="K1385" s="11">
        <f>IFERROR(INDEX(Roles!$B$17:$B$20,MATCH(J1385,Roles!$A$17:$A$20,0)),1)</f>
        <v/>
      </c>
      <c r="L1385" s="17" t="n">
        <v>1</v>
      </c>
      <c r="M1385" s="11" t="n">
        <v>1</v>
      </c>
      <c r="N1385" s="17" t="n"/>
      <c r="O1385" s="17" t="n"/>
      <c r="P1385" s="17" t="n"/>
      <c r="Q1385" s="17" t="n"/>
      <c r="R1385" s="17" t="n"/>
      <c r="S1385" s="17" t="n"/>
      <c r="T1385" s="17" t="n"/>
      <c r="U1385" s="17" t="n"/>
      <c r="V1385" s="17" t="n"/>
      <c r="W1385" s="17" t="n"/>
      <c r="X1385" s="17" t="n"/>
      <c r="Y1385" s="17" t="n">
        <v>1</v>
      </c>
      <c r="Z1385" s="13">
        <f>SUMPRODUCT(N1385:Y1385,$N$2:$Y$2)*$K1385*$L1385*$M1385</f>
        <v/>
      </c>
      <c r="AA1385" s="14">
        <f>SUM(N1385:Y1385)</f>
        <v/>
      </c>
      <c r="AB1385" s="14">
        <f>IFERROR(IF(UPPER($E1385)="L",SUMPRODUCT(N1385:Y1385,$N$3:$Y$3,$N$2:$Y$2),SUMPRODUCT(N1385:Y1385,$N$4:$Y$4,$N$2:$Y$2))/(Z1385/($K1385*$L1385*$M1385)),"")</f>
        <v/>
      </c>
      <c r="AC1385" s="18" t="n"/>
    </row>
    <row r="1386">
      <c r="A1386" s="9" t="n">
        <v>830619</v>
      </c>
      <c r="B1386" s="9" t="inlineStr">
        <is>
          <t>Dawson Willis</t>
        </is>
      </c>
      <c r="C1386" s="9" t="inlineStr">
        <is>
          <t>SD</t>
        </is>
      </c>
      <c r="D1386" s="9" t="n">
        <v>25</v>
      </c>
      <c r="E1386" s="16" t="inlineStr">
        <is>
          <t>R</t>
        </is>
      </c>
      <c r="F1386" s="16" t="n"/>
      <c r="G1386" s="9" t="n">
        <v>22.89230769230769</v>
      </c>
      <c r="H1386" s="9" t="n">
        <v>22.89230769230769</v>
      </c>
      <c r="I1386" s="9" t="inlineStr">
        <is>
          <t>Depth (no MLB PA)</t>
        </is>
      </c>
      <c r="J1386" s="16" t="inlineStr">
        <is>
          <t>Opening Day</t>
        </is>
      </c>
      <c r="K1386" s="11">
        <f>IFERROR(INDEX(Roles!$B$17:$B$20,MATCH(J1386,Roles!$A$17:$A$20,0)),1)</f>
        <v/>
      </c>
      <c r="L1386" s="17" t="n">
        <v>1</v>
      </c>
      <c r="M1386" s="11" t="n">
        <v>1</v>
      </c>
      <c r="N1386" s="17" t="n"/>
      <c r="O1386" s="17" t="n"/>
      <c r="P1386" s="17" t="n"/>
      <c r="Q1386" s="17" t="n"/>
      <c r="R1386" s="17" t="n"/>
      <c r="S1386" s="17" t="n"/>
      <c r="T1386" s="17" t="n"/>
      <c r="U1386" s="17" t="n"/>
      <c r="V1386" s="17" t="n"/>
      <c r="W1386" s="17" t="n"/>
      <c r="X1386" s="17" t="n"/>
      <c r="Y1386" s="17" t="n">
        <v>1</v>
      </c>
      <c r="Z1386" s="13">
        <f>SUMPRODUCT(N1386:Y1386,$N$2:$Y$2)*$K1386*$L1386*$M1386</f>
        <v/>
      </c>
      <c r="AA1386" s="14">
        <f>SUM(N1386:Y1386)</f>
        <v/>
      </c>
      <c r="AB1386" s="14">
        <f>IFERROR(IF(UPPER($E1386)="L",SUMPRODUCT(N1386:Y1386,$N$3:$Y$3,$N$2:$Y$2),SUMPRODUCT(N1386:Y1386,$N$4:$Y$4,$N$2:$Y$2))/(Z1386/($K1386*$L1386*$M1386)),"")</f>
        <v/>
      </c>
      <c r="AC1386" s="18" t="n"/>
    </row>
    <row r="1387">
      <c r="A1387" s="9" t="n">
        <v>694991</v>
      </c>
      <c r="B1387" s="9" t="inlineStr">
        <is>
          <t>Mitch Jebb</t>
        </is>
      </c>
      <c r="C1387" s="9" t="inlineStr">
        <is>
          <t>PIT</t>
        </is>
      </c>
      <c r="D1387" s="9" t="n">
        <v>25</v>
      </c>
      <c r="E1387" s="16" t="inlineStr">
        <is>
          <t>L</t>
        </is>
      </c>
      <c r="F1387" s="16" t="n"/>
      <c r="G1387" s="9" t="n">
        <v>138.2051282051282</v>
      </c>
      <c r="H1387" s="9" t="n">
        <v>138.2051282051282</v>
      </c>
      <c r="I1387" s="9" t="inlineStr">
        <is>
          <t>Depth (no MLB PA)</t>
        </is>
      </c>
      <c r="J1387" s="16" t="inlineStr">
        <is>
          <t>Opening Day</t>
        </is>
      </c>
      <c r="K1387" s="11">
        <f>IFERROR(INDEX(Roles!$B$17:$B$20,MATCH(J1387,Roles!$A$17:$A$20,0)),1)</f>
        <v/>
      </c>
      <c r="L1387" s="17" t="n">
        <v>1</v>
      </c>
      <c r="M1387" s="11" t="n">
        <v>1</v>
      </c>
      <c r="N1387" s="17" t="n"/>
      <c r="O1387" s="17" t="n"/>
      <c r="P1387" s="17" t="n"/>
      <c r="Q1387" s="17" t="n"/>
      <c r="R1387" s="17" t="n"/>
      <c r="S1387" s="17" t="n"/>
      <c r="T1387" s="17" t="n"/>
      <c r="U1387" s="17" t="n"/>
      <c r="V1387" s="17" t="n"/>
      <c r="W1387" s="17" t="n"/>
      <c r="X1387" s="17" t="n"/>
      <c r="Y1387" s="17" t="n">
        <v>1</v>
      </c>
      <c r="Z1387" s="13">
        <f>SUMPRODUCT(N1387:Y1387,$N$2:$Y$2)*$K1387*$L1387*$M1387</f>
        <v/>
      </c>
      <c r="AA1387" s="14">
        <f>SUM(N1387:Y1387)</f>
        <v/>
      </c>
      <c r="AB1387" s="14">
        <f>IFERROR(IF(UPPER($E1387)="L",SUMPRODUCT(N1387:Y1387,$N$3:$Y$3,$N$2:$Y$2),SUMPRODUCT(N1387:Y1387,$N$4:$Y$4,$N$2:$Y$2))/(Z1387/($K1387*$L1387*$M1387)),"")</f>
        <v/>
      </c>
      <c r="AC1387" s="18" t="n"/>
    </row>
    <row r="1388">
      <c r="A1388" s="9" t="n">
        <v>687072</v>
      </c>
      <c r="B1388" s="9" t="inlineStr">
        <is>
          <t>Jamari Baylor</t>
        </is>
      </c>
      <c r="C1388" s="9" t="inlineStr">
        <is>
          <t>NYM</t>
        </is>
      </c>
      <c r="D1388" s="9" t="n">
        <v>25</v>
      </c>
      <c r="E1388" s="16" t="inlineStr">
        <is>
          <t>R</t>
        </is>
      </c>
      <c r="F1388" s="16" t="n"/>
      <c r="G1388" s="9" t="n">
        <v>19.02564102564103</v>
      </c>
      <c r="H1388" s="9" t="n">
        <v>19.02564102564103</v>
      </c>
      <c r="I1388" s="9" t="inlineStr">
        <is>
          <t>Depth (no MLB PA)</t>
        </is>
      </c>
      <c r="J1388" s="16" t="inlineStr">
        <is>
          <t>Opening Day</t>
        </is>
      </c>
      <c r="K1388" s="11">
        <f>IFERROR(INDEX(Roles!$B$17:$B$20,MATCH(J1388,Roles!$A$17:$A$20,0)),1)</f>
        <v/>
      </c>
      <c r="L1388" s="17" t="n">
        <v>1</v>
      </c>
      <c r="M1388" s="11" t="n">
        <v>1</v>
      </c>
      <c r="N1388" s="17" t="n"/>
      <c r="O1388" s="17" t="n"/>
      <c r="P1388" s="17" t="n"/>
      <c r="Q1388" s="17" t="n"/>
      <c r="R1388" s="17" t="n"/>
      <c r="S1388" s="17" t="n"/>
      <c r="T1388" s="17" t="n"/>
      <c r="U1388" s="17" t="n"/>
      <c r="V1388" s="17" t="n"/>
      <c r="W1388" s="17" t="n"/>
      <c r="X1388" s="17" t="n"/>
      <c r="Y1388" s="17" t="n">
        <v>1</v>
      </c>
      <c r="Z1388" s="13">
        <f>SUMPRODUCT(N1388:Y1388,$N$2:$Y$2)*$K1388*$L1388*$M1388</f>
        <v/>
      </c>
      <c r="AA1388" s="14">
        <f>SUM(N1388:Y1388)</f>
        <v/>
      </c>
      <c r="AB1388" s="14">
        <f>IFERROR(IF(UPPER($E1388)="L",SUMPRODUCT(N1388:Y1388,$N$3:$Y$3,$N$2:$Y$2),SUMPRODUCT(N1388:Y1388,$N$4:$Y$4,$N$2:$Y$2))/(Z1388/($K1388*$L1388*$M1388)),"")</f>
        <v/>
      </c>
      <c r="AC1388" s="18" t="n"/>
    </row>
    <row r="1389">
      <c r="A1389" s="9" t="n">
        <v>701206</v>
      </c>
      <c r="B1389" s="9" t="inlineStr">
        <is>
          <t>Willy Montero</t>
        </is>
      </c>
      <c r="C1389" s="9" t="inlineStr">
        <is>
          <t>NYY</t>
        </is>
      </c>
      <c r="D1389" s="9" t="n">
        <v>25</v>
      </c>
      <c r="E1389" s="16" t="inlineStr">
        <is>
          <t>R</t>
        </is>
      </c>
      <c r="F1389" s="16" t="n"/>
      <c r="G1389" s="9" t="n">
        <v>14.76923076923077</v>
      </c>
      <c r="H1389" s="9" t="n">
        <v>14.76923076923077</v>
      </c>
      <c r="I1389" s="9" t="inlineStr">
        <is>
          <t>Depth (no MLB PA)</t>
        </is>
      </c>
      <c r="J1389" s="16" t="inlineStr">
        <is>
          <t>Opening Day</t>
        </is>
      </c>
      <c r="K1389" s="11">
        <f>IFERROR(INDEX(Roles!$B$17:$B$20,MATCH(J1389,Roles!$A$17:$A$20,0)),1)</f>
        <v/>
      </c>
      <c r="L1389" s="17" t="n">
        <v>1</v>
      </c>
      <c r="M1389" s="11" t="n">
        <v>1</v>
      </c>
      <c r="N1389" s="17" t="n"/>
      <c r="O1389" s="17" t="n"/>
      <c r="P1389" s="17" t="n"/>
      <c r="Q1389" s="17" t="n"/>
      <c r="R1389" s="17" t="n"/>
      <c r="S1389" s="17" t="n"/>
      <c r="T1389" s="17" t="n"/>
      <c r="U1389" s="17" t="n"/>
      <c r="V1389" s="17" t="n"/>
      <c r="W1389" s="17" t="n"/>
      <c r="X1389" s="17" t="n"/>
      <c r="Y1389" s="17" t="n">
        <v>1</v>
      </c>
      <c r="Z1389" s="13">
        <f>SUMPRODUCT(N1389:Y1389,$N$2:$Y$2)*$K1389*$L1389*$M1389</f>
        <v/>
      </c>
      <c r="AA1389" s="14">
        <f>SUM(N1389:Y1389)</f>
        <v/>
      </c>
      <c r="AB1389" s="14">
        <f>IFERROR(IF(UPPER($E1389)="L",SUMPRODUCT(N1389:Y1389,$N$3:$Y$3,$N$2:$Y$2),SUMPRODUCT(N1389:Y1389,$N$4:$Y$4,$N$2:$Y$2))/(Z1389/($K1389*$L1389*$M1389)),"")</f>
        <v/>
      </c>
      <c r="AC1389" s="18" t="n"/>
    </row>
    <row r="1390">
      <c r="A1390" s="9" t="n">
        <v>699111</v>
      </c>
      <c r="B1390" s="9" t="inlineStr">
        <is>
          <t>Diego Omana</t>
        </is>
      </c>
      <c r="C1390" s="9" t="inlineStr">
        <is>
          <t>CIN</t>
        </is>
      </c>
      <c r="D1390" s="9" t="n">
        <v>25</v>
      </c>
      <c r="E1390" s="16" t="inlineStr">
        <is>
          <t>R</t>
        </is>
      </c>
      <c r="F1390" s="16" t="n"/>
      <c r="G1390" s="9" t="n">
        <v>10.41025641025641</v>
      </c>
      <c r="H1390" s="9" t="n">
        <v>10.41025641025641</v>
      </c>
      <c r="I1390" s="9" t="inlineStr">
        <is>
          <t>Depth (no MLB PA)</t>
        </is>
      </c>
      <c r="J1390" s="16" t="inlineStr">
        <is>
          <t>Opening Day</t>
        </is>
      </c>
      <c r="K1390" s="11">
        <f>IFERROR(INDEX(Roles!$B$17:$B$20,MATCH(J1390,Roles!$A$17:$A$20,0)),1)</f>
        <v/>
      </c>
      <c r="L1390" s="17" t="n">
        <v>1</v>
      </c>
      <c r="M1390" s="11" t="n">
        <v>1</v>
      </c>
      <c r="N1390" s="17" t="n"/>
      <c r="O1390" s="17" t="n"/>
      <c r="P1390" s="17" t="n"/>
      <c r="Q1390" s="17" t="n"/>
      <c r="R1390" s="17" t="n"/>
      <c r="S1390" s="17" t="n"/>
      <c r="T1390" s="17" t="n"/>
      <c r="U1390" s="17" t="n"/>
      <c r="V1390" s="17" t="n"/>
      <c r="W1390" s="17" t="n"/>
      <c r="X1390" s="17" t="n"/>
      <c r="Y1390" s="17" t="n">
        <v>1</v>
      </c>
      <c r="Z1390" s="13">
        <f>SUMPRODUCT(N1390:Y1390,$N$2:$Y$2)*$K1390*$L1390*$M1390</f>
        <v/>
      </c>
      <c r="AA1390" s="14">
        <f>SUM(N1390:Y1390)</f>
        <v/>
      </c>
      <c r="AB1390" s="14">
        <f>IFERROR(IF(UPPER($E1390)="L",SUMPRODUCT(N1390:Y1390,$N$3:$Y$3,$N$2:$Y$2),SUMPRODUCT(N1390:Y1390,$N$4:$Y$4,$N$2:$Y$2))/(Z1390/($K1390*$L1390*$M1390)),"")</f>
        <v/>
      </c>
      <c r="AC1390" s="18" t="n"/>
    </row>
    <row r="1391">
      <c r="A1391" s="9" t="n">
        <v>676053</v>
      </c>
      <c r="B1391" s="9" t="inlineStr">
        <is>
          <t>Casey Opitz</t>
        </is>
      </c>
      <c r="C1391" s="9" t="inlineStr">
        <is>
          <t>CHC</t>
        </is>
      </c>
      <c r="D1391" s="9" t="n">
        <v>25</v>
      </c>
      <c r="E1391" s="16" t="inlineStr">
        <is>
          <t>S</t>
        </is>
      </c>
      <c r="F1391" s="16" t="n"/>
      <c r="G1391" s="9" t="n">
        <v>25.94871794871795</v>
      </c>
      <c r="H1391" s="9" t="n">
        <v>25.94871794871795</v>
      </c>
      <c r="I1391" s="9" t="inlineStr">
        <is>
          <t>Depth (no MLB PA)</t>
        </is>
      </c>
      <c r="J1391" s="16" t="inlineStr">
        <is>
          <t>Opening Day</t>
        </is>
      </c>
      <c r="K1391" s="11">
        <f>IFERROR(INDEX(Roles!$B$17:$B$20,MATCH(J1391,Roles!$A$17:$A$20,0)),1)</f>
        <v/>
      </c>
      <c r="L1391" s="17" t="n">
        <v>1</v>
      </c>
      <c r="M1391" s="11" t="n">
        <v>1</v>
      </c>
      <c r="N1391" s="17" t="n"/>
      <c r="O1391" s="17" t="n"/>
      <c r="P1391" s="17" t="n"/>
      <c r="Q1391" s="17" t="n"/>
      <c r="R1391" s="17" t="n"/>
      <c r="S1391" s="17" t="n"/>
      <c r="T1391" s="17" t="n"/>
      <c r="U1391" s="17" t="n"/>
      <c r="V1391" s="17" t="n"/>
      <c r="W1391" s="17" t="n"/>
      <c r="X1391" s="17" t="n"/>
      <c r="Y1391" s="17" t="n">
        <v>1</v>
      </c>
      <c r="Z1391" s="13">
        <f>SUMPRODUCT(N1391:Y1391,$N$2:$Y$2)*$K1391*$L1391*$M1391</f>
        <v/>
      </c>
      <c r="AA1391" s="14">
        <f>SUM(N1391:Y1391)</f>
        <v/>
      </c>
      <c r="AB1391" s="14">
        <f>IFERROR(IF(UPPER($E1391)="L",SUMPRODUCT(N1391:Y1391,$N$3:$Y$3,$N$2:$Y$2),SUMPRODUCT(N1391:Y1391,$N$4:$Y$4,$N$2:$Y$2))/(Z1391/($K1391*$L1391*$M1391)),"")</f>
        <v/>
      </c>
      <c r="AC1391" s="18" t="n"/>
    </row>
    <row r="1392">
      <c r="A1392" s="9" t="n">
        <v>807587</v>
      </c>
      <c r="B1392" s="9" t="inlineStr">
        <is>
          <t>Angel Ramirez</t>
        </is>
      </c>
      <c r="C1392" s="9" t="inlineStr">
        <is>
          <t>KC</t>
        </is>
      </c>
      <c r="D1392" s="9" t="n">
        <v>25</v>
      </c>
      <c r="E1392" s="16" t="inlineStr">
        <is>
          <t>R</t>
        </is>
      </c>
      <c r="F1392" s="16" t="n"/>
      <c r="G1392" s="9" t="n">
        <v>15.01538461538461</v>
      </c>
      <c r="H1392" s="9" t="n">
        <v>15.01538461538461</v>
      </c>
      <c r="I1392" s="9" t="inlineStr">
        <is>
          <t>Depth (no MLB PA)</t>
        </is>
      </c>
      <c r="J1392" s="16" t="inlineStr">
        <is>
          <t>Opening Day</t>
        </is>
      </c>
      <c r="K1392" s="11">
        <f>IFERROR(INDEX(Roles!$B$17:$B$20,MATCH(J1392,Roles!$A$17:$A$20,0)),1)</f>
        <v/>
      </c>
      <c r="L1392" s="17" t="n">
        <v>1</v>
      </c>
      <c r="M1392" s="11" t="n">
        <v>1</v>
      </c>
      <c r="N1392" s="17" t="n"/>
      <c r="O1392" s="17" t="n"/>
      <c r="P1392" s="17" t="n"/>
      <c r="Q1392" s="17" t="n"/>
      <c r="R1392" s="17" t="n"/>
      <c r="S1392" s="17" t="n"/>
      <c r="T1392" s="17" t="n"/>
      <c r="U1392" s="17" t="n"/>
      <c r="V1392" s="17" t="n"/>
      <c r="W1392" s="17" t="n"/>
      <c r="X1392" s="17" t="n"/>
      <c r="Y1392" s="17" t="n">
        <v>1</v>
      </c>
      <c r="Z1392" s="13">
        <f>SUMPRODUCT(N1392:Y1392,$N$2:$Y$2)*$K1392*$L1392*$M1392</f>
        <v/>
      </c>
      <c r="AA1392" s="14">
        <f>SUM(N1392:Y1392)</f>
        <v/>
      </c>
      <c r="AB1392" s="14">
        <f>IFERROR(IF(UPPER($E1392)="L",SUMPRODUCT(N1392:Y1392,$N$3:$Y$3,$N$2:$Y$2),SUMPRODUCT(N1392:Y1392,$N$4:$Y$4,$N$2:$Y$2))/(Z1392/($K1392*$L1392*$M1392)),"")</f>
        <v/>
      </c>
      <c r="AC1392" s="18" t="n"/>
    </row>
    <row r="1393">
      <c r="A1393" s="9" t="n">
        <v>699167</v>
      </c>
      <c r="B1393" s="9" t="inlineStr">
        <is>
          <t>Samuel Escudero</t>
        </is>
      </c>
      <c r="C1393" s="9" t="inlineStr">
        <is>
          <t>PIT</t>
        </is>
      </c>
      <c r="D1393" s="9" t="n">
        <v>25</v>
      </c>
      <c r="E1393" s="16" t="inlineStr">
        <is>
          <t>R</t>
        </is>
      </c>
      <c r="F1393" s="16" t="n"/>
      <c r="G1393" s="9" t="n">
        <v>19.38461538461538</v>
      </c>
      <c r="H1393" s="9" t="n">
        <v>19.38461538461538</v>
      </c>
      <c r="I1393" s="9" t="inlineStr">
        <is>
          <t>Depth (no MLB PA)</t>
        </is>
      </c>
      <c r="J1393" s="16" t="inlineStr">
        <is>
          <t>Opening Day</t>
        </is>
      </c>
      <c r="K1393" s="11">
        <f>IFERROR(INDEX(Roles!$B$17:$B$20,MATCH(J1393,Roles!$A$17:$A$20,0)),1)</f>
        <v/>
      </c>
      <c r="L1393" s="17" t="n">
        <v>1</v>
      </c>
      <c r="M1393" s="11" t="n">
        <v>1</v>
      </c>
      <c r="N1393" s="17" t="n"/>
      <c r="O1393" s="17" t="n"/>
      <c r="P1393" s="17" t="n"/>
      <c r="Q1393" s="17" t="n"/>
      <c r="R1393" s="17" t="n"/>
      <c r="S1393" s="17" t="n"/>
      <c r="T1393" s="17" t="n"/>
      <c r="U1393" s="17" t="n"/>
      <c r="V1393" s="17" t="n"/>
      <c r="W1393" s="17" t="n"/>
      <c r="X1393" s="17" t="n"/>
      <c r="Y1393" s="17" t="n">
        <v>1</v>
      </c>
      <c r="Z1393" s="13">
        <f>SUMPRODUCT(N1393:Y1393,$N$2:$Y$2)*$K1393*$L1393*$M1393</f>
        <v/>
      </c>
      <c r="AA1393" s="14">
        <f>SUM(N1393:Y1393)</f>
        <v/>
      </c>
      <c r="AB1393" s="14">
        <f>IFERROR(IF(UPPER($E1393)="L",SUMPRODUCT(N1393:Y1393,$N$3:$Y$3,$N$2:$Y$2),SUMPRODUCT(N1393:Y1393,$N$4:$Y$4,$N$2:$Y$2))/(Z1393/($K1393*$L1393*$M1393)),"")</f>
        <v/>
      </c>
      <c r="AC1393" s="18" t="n"/>
    </row>
    <row r="1394">
      <c r="A1394" s="9" t="n">
        <v>813400</v>
      </c>
      <c r="B1394" s="9" t="inlineStr">
        <is>
          <t>Jack Winnay</t>
        </is>
      </c>
      <c r="C1394" s="9" t="inlineStr">
        <is>
          <t>BOS</t>
        </is>
      </c>
      <c r="D1394" s="9" t="n">
        <v>25</v>
      </c>
      <c r="E1394" s="16" t="inlineStr">
        <is>
          <t>R</t>
        </is>
      </c>
      <c r="F1394" s="16" t="n"/>
      <c r="G1394" s="9" t="n">
        <v>63.17948717948718</v>
      </c>
      <c r="H1394" s="9" t="n">
        <v>63.17948717948718</v>
      </c>
      <c r="I1394" s="9" t="inlineStr">
        <is>
          <t>Depth (no MLB PA)</t>
        </is>
      </c>
      <c r="J1394" s="16" t="inlineStr">
        <is>
          <t>Opening Day</t>
        </is>
      </c>
      <c r="K1394" s="11">
        <f>IFERROR(INDEX(Roles!$B$17:$B$20,MATCH(J1394,Roles!$A$17:$A$20,0)),1)</f>
        <v/>
      </c>
      <c r="L1394" s="17" t="n">
        <v>1</v>
      </c>
      <c r="M1394" s="11" t="n">
        <v>1</v>
      </c>
      <c r="N1394" s="17" t="n"/>
      <c r="O1394" s="17" t="n"/>
      <c r="P1394" s="17" t="n"/>
      <c r="Q1394" s="17" t="n"/>
      <c r="R1394" s="17" t="n"/>
      <c r="S1394" s="17" t="n"/>
      <c r="T1394" s="17" t="n"/>
      <c r="U1394" s="17" t="n"/>
      <c r="V1394" s="17" t="n"/>
      <c r="W1394" s="17" t="n"/>
      <c r="X1394" s="17" t="n"/>
      <c r="Y1394" s="17" t="n">
        <v>1</v>
      </c>
      <c r="Z1394" s="13">
        <f>SUMPRODUCT(N1394:Y1394,$N$2:$Y$2)*$K1394*$L1394*$M1394</f>
        <v/>
      </c>
      <c r="AA1394" s="14">
        <f>SUM(N1394:Y1394)</f>
        <v/>
      </c>
      <c r="AB1394" s="14">
        <f>IFERROR(IF(UPPER($E1394)="L",SUMPRODUCT(N1394:Y1394,$N$3:$Y$3,$N$2:$Y$2),SUMPRODUCT(N1394:Y1394,$N$4:$Y$4,$N$2:$Y$2))/(Z1394/($K1394*$L1394*$M1394)),"")</f>
        <v/>
      </c>
      <c r="AC1394" s="18" t="n"/>
    </row>
    <row r="1395">
      <c r="A1395" s="9" t="n">
        <v>842660</v>
      </c>
      <c r="B1395" s="9" t="inlineStr">
        <is>
          <t>Owen Nowak</t>
        </is>
      </c>
      <c r="C1395" s="9" t="inlineStr">
        <is>
          <t>HOU</t>
        </is>
      </c>
      <c r="D1395" s="9" t="n">
        <v>25</v>
      </c>
      <c r="E1395" s="16" t="inlineStr">
        <is>
          <t>L</t>
        </is>
      </c>
      <c r="F1395" s="16" t="n"/>
      <c r="G1395" s="9" t="n">
        <v>10.83076923076923</v>
      </c>
      <c r="H1395" s="9" t="n">
        <v>10.83076923076923</v>
      </c>
      <c r="I1395" s="9" t="inlineStr">
        <is>
          <t>Depth (no MLB PA)</t>
        </is>
      </c>
      <c r="J1395" s="16" t="inlineStr">
        <is>
          <t>Opening Day</t>
        </is>
      </c>
      <c r="K1395" s="11">
        <f>IFERROR(INDEX(Roles!$B$17:$B$20,MATCH(J1395,Roles!$A$17:$A$20,0)),1)</f>
        <v/>
      </c>
      <c r="L1395" s="17" t="n">
        <v>1</v>
      </c>
      <c r="M1395" s="11" t="n">
        <v>1</v>
      </c>
      <c r="N1395" s="17" t="n"/>
      <c r="O1395" s="17" t="n"/>
      <c r="P1395" s="17" t="n"/>
      <c r="Q1395" s="17" t="n"/>
      <c r="R1395" s="17" t="n"/>
      <c r="S1395" s="17" t="n"/>
      <c r="T1395" s="17" t="n"/>
      <c r="U1395" s="17" t="n"/>
      <c r="V1395" s="17" t="n"/>
      <c r="W1395" s="17" t="n"/>
      <c r="X1395" s="17" t="n"/>
      <c r="Y1395" s="17" t="n">
        <v>1</v>
      </c>
      <c r="Z1395" s="13">
        <f>SUMPRODUCT(N1395:Y1395,$N$2:$Y$2)*$K1395*$L1395*$M1395</f>
        <v/>
      </c>
      <c r="AA1395" s="14">
        <f>SUM(N1395:Y1395)</f>
        <v/>
      </c>
      <c r="AB1395" s="14">
        <f>IFERROR(IF(UPPER($E1395)="L",SUMPRODUCT(N1395:Y1395,$N$3:$Y$3,$N$2:$Y$2),SUMPRODUCT(N1395:Y1395,$N$4:$Y$4,$N$2:$Y$2))/(Z1395/($K1395*$L1395*$M1395)),"")</f>
        <v/>
      </c>
      <c r="AC1395" s="18" t="n"/>
    </row>
    <row r="1396">
      <c r="A1396" s="9" t="n">
        <v>808708</v>
      </c>
      <c r="B1396" s="9" t="inlineStr">
        <is>
          <t>Marcelo Alcala</t>
        </is>
      </c>
      <c r="C1396" s="9" t="inlineStr">
        <is>
          <t>CWS</t>
        </is>
      </c>
      <c r="D1396" s="9" t="n">
        <v>25</v>
      </c>
      <c r="E1396" s="16" t="inlineStr">
        <is>
          <t>R</t>
        </is>
      </c>
      <c r="F1396" s="16" t="n"/>
      <c r="G1396" s="9" t="n">
        <v>16.73846153846154</v>
      </c>
      <c r="H1396" s="9" t="n">
        <v>16.73846153846154</v>
      </c>
      <c r="I1396" s="9" t="inlineStr">
        <is>
          <t>Depth (no MLB PA)</t>
        </is>
      </c>
      <c r="J1396" s="16" t="inlineStr">
        <is>
          <t>Opening Day</t>
        </is>
      </c>
      <c r="K1396" s="11">
        <f>IFERROR(INDEX(Roles!$B$17:$B$20,MATCH(J1396,Roles!$A$17:$A$20,0)),1)</f>
        <v/>
      </c>
      <c r="L1396" s="17" t="n">
        <v>1</v>
      </c>
      <c r="M1396" s="11" t="n">
        <v>1</v>
      </c>
      <c r="N1396" s="17" t="n"/>
      <c r="O1396" s="17" t="n"/>
      <c r="P1396" s="17" t="n"/>
      <c r="Q1396" s="17" t="n"/>
      <c r="R1396" s="17" t="n"/>
      <c r="S1396" s="17" t="n"/>
      <c r="T1396" s="17" t="n"/>
      <c r="U1396" s="17" t="n"/>
      <c r="V1396" s="17" t="n"/>
      <c r="W1396" s="17" t="n"/>
      <c r="X1396" s="17" t="n"/>
      <c r="Y1396" s="17" t="n">
        <v>1</v>
      </c>
      <c r="Z1396" s="13">
        <f>SUMPRODUCT(N1396:Y1396,$N$2:$Y$2)*$K1396*$L1396*$M1396</f>
        <v/>
      </c>
      <c r="AA1396" s="14">
        <f>SUM(N1396:Y1396)</f>
        <v/>
      </c>
      <c r="AB1396" s="14">
        <f>IFERROR(IF(UPPER($E1396)="L",SUMPRODUCT(N1396:Y1396,$N$3:$Y$3,$N$2:$Y$2),SUMPRODUCT(N1396:Y1396,$N$4:$Y$4,$N$2:$Y$2))/(Z1396/($K1396*$L1396*$M1396)),"")</f>
        <v/>
      </c>
      <c r="AC1396" s="18" t="n"/>
    </row>
    <row r="1397">
      <c r="A1397" s="9" t="n">
        <v>805550</v>
      </c>
      <c r="B1397" s="9" t="inlineStr">
        <is>
          <t>Ryan Weingartner</t>
        </is>
      </c>
      <c r="C1397" s="9" t="inlineStr">
        <is>
          <t>STL</t>
        </is>
      </c>
      <c r="D1397" s="9" t="n">
        <v>25</v>
      </c>
      <c r="E1397" s="16" t="inlineStr">
        <is>
          <t>R</t>
        </is>
      </c>
      <c r="F1397" s="16" t="n"/>
      <c r="G1397" s="9" t="n">
        <v>10.66666666666667</v>
      </c>
      <c r="H1397" s="9" t="n">
        <v>10.66666666666667</v>
      </c>
      <c r="I1397" s="9" t="inlineStr">
        <is>
          <t>Depth (no MLB PA)</t>
        </is>
      </c>
      <c r="J1397" s="16" t="inlineStr">
        <is>
          <t>Opening Day</t>
        </is>
      </c>
      <c r="K1397" s="11">
        <f>IFERROR(INDEX(Roles!$B$17:$B$20,MATCH(J1397,Roles!$A$17:$A$20,0)),1)</f>
        <v/>
      </c>
      <c r="L1397" s="17" t="n">
        <v>1</v>
      </c>
      <c r="M1397" s="11" t="n">
        <v>1</v>
      </c>
      <c r="N1397" s="17" t="n"/>
      <c r="O1397" s="17" t="n"/>
      <c r="P1397" s="17" t="n"/>
      <c r="Q1397" s="17" t="n"/>
      <c r="R1397" s="17" t="n"/>
      <c r="S1397" s="17" t="n"/>
      <c r="T1397" s="17" t="n"/>
      <c r="U1397" s="17" t="n"/>
      <c r="V1397" s="17" t="n"/>
      <c r="W1397" s="17" t="n"/>
      <c r="X1397" s="17" t="n"/>
      <c r="Y1397" s="17" t="n">
        <v>1</v>
      </c>
      <c r="Z1397" s="13">
        <f>SUMPRODUCT(N1397:Y1397,$N$2:$Y$2)*$K1397*$L1397*$M1397</f>
        <v/>
      </c>
      <c r="AA1397" s="14">
        <f>SUM(N1397:Y1397)</f>
        <v/>
      </c>
      <c r="AB1397" s="14">
        <f>IFERROR(IF(UPPER($E1397)="L",SUMPRODUCT(N1397:Y1397,$N$3:$Y$3,$N$2:$Y$2),SUMPRODUCT(N1397:Y1397,$N$4:$Y$4,$N$2:$Y$2))/(Z1397/($K1397*$L1397*$M1397)),"")</f>
        <v/>
      </c>
      <c r="AC1397" s="18" t="n"/>
    </row>
    <row r="1398">
      <c r="A1398" s="9" t="n">
        <v>836084</v>
      </c>
      <c r="B1398" s="9" t="inlineStr">
        <is>
          <t>Jimmy Anderson</t>
        </is>
      </c>
      <c r="C1398" s="9" t="inlineStr">
        <is>
          <t>BAL</t>
        </is>
      </c>
      <c r="D1398" s="9" t="n">
        <v>25</v>
      </c>
      <c r="E1398" s="16" t="inlineStr">
        <is>
          <t>R</t>
        </is>
      </c>
      <c r="F1398" s="16" t="n"/>
      <c r="G1398" s="9" t="n">
        <v>10.70769230769231</v>
      </c>
      <c r="H1398" s="9" t="n">
        <v>10.70769230769231</v>
      </c>
      <c r="I1398" s="9" t="inlineStr">
        <is>
          <t>Depth (no MLB PA)</t>
        </is>
      </c>
      <c r="J1398" s="16" t="inlineStr">
        <is>
          <t>Opening Day</t>
        </is>
      </c>
      <c r="K1398" s="11">
        <f>IFERROR(INDEX(Roles!$B$17:$B$20,MATCH(J1398,Roles!$A$17:$A$20,0)),1)</f>
        <v/>
      </c>
      <c r="L1398" s="17" t="n">
        <v>1</v>
      </c>
      <c r="M1398" s="11" t="n">
        <v>1</v>
      </c>
      <c r="N1398" s="17" t="n"/>
      <c r="O1398" s="17" t="n"/>
      <c r="P1398" s="17" t="n"/>
      <c r="Q1398" s="17" t="n"/>
      <c r="R1398" s="17" t="n"/>
      <c r="S1398" s="17" t="n"/>
      <c r="T1398" s="17" t="n"/>
      <c r="U1398" s="17" t="n"/>
      <c r="V1398" s="17" t="n"/>
      <c r="W1398" s="17" t="n"/>
      <c r="X1398" s="17" t="n"/>
      <c r="Y1398" s="17" t="n">
        <v>1</v>
      </c>
      <c r="Z1398" s="13">
        <f>SUMPRODUCT(N1398:Y1398,$N$2:$Y$2)*$K1398*$L1398*$M1398</f>
        <v/>
      </c>
      <c r="AA1398" s="14">
        <f>SUM(N1398:Y1398)</f>
        <v/>
      </c>
      <c r="AB1398" s="14">
        <f>IFERROR(IF(UPPER($E1398)="L",SUMPRODUCT(N1398:Y1398,$N$3:$Y$3,$N$2:$Y$2),SUMPRODUCT(N1398:Y1398,$N$4:$Y$4,$N$2:$Y$2))/(Z1398/($K1398*$L1398*$M1398)),"")</f>
        <v/>
      </c>
      <c r="AC1398" s="18" t="n"/>
    </row>
    <row r="1399">
      <c r="A1399" s="9" t="n">
        <v>812518</v>
      </c>
      <c r="B1399" s="9" t="inlineStr">
        <is>
          <t>Camden Janik</t>
        </is>
      </c>
      <c r="C1399" s="9" t="inlineStr">
        <is>
          <t>PIT</t>
        </is>
      </c>
      <c r="D1399" s="9" t="n">
        <v>25</v>
      </c>
      <c r="E1399" s="16" t="inlineStr">
        <is>
          <t>R</t>
        </is>
      </c>
      <c r="F1399" s="16" t="n"/>
      <c r="G1399" s="9" t="n">
        <v>10.76923076923077</v>
      </c>
      <c r="H1399" s="9" t="n">
        <v>10.76923076923077</v>
      </c>
      <c r="I1399" s="9" t="inlineStr">
        <is>
          <t>Depth (no MLB PA)</t>
        </is>
      </c>
      <c r="J1399" s="16" t="inlineStr">
        <is>
          <t>Opening Day</t>
        </is>
      </c>
      <c r="K1399" s="11">
        <f>IFERROR(INDEX(Roles!$B$17:$B$20,MATCH(J1399,Roles!$A$17:$A$20,0)),1)</f>
        <v/>
      </c>
      <c r="L1399" s="17" t="n">
        <v>1</v>
      </c>
      <c r="M1399" s="11" t="n">
        <v>1</v>
      </c>
      <c r="N1399" s="17" t="n"/>
      <c r="O1399" s="17" t="n"/>
      <c r="P1399" s="17" t="n"/>
      <c r="Q1399" s="17" t="n"/>
      <c r="R1399" s="17" t="n"/>
      <c r="S1399" s="17" t="n"/>
      <c r="T1399" s="17" t="n"/>
      <c r="U1399" s="17" t="n"/>
      <c r="V1399" s="17" t="n"/>
      <c r="W1399" s="17" t="n"/>
      <c r="X1399" s="17" t="n"/>
      <c r="Y1399" s="17" t="n">
        <v>1</v>
      </c>
      <c r="Z1399" s="13">
        <f>SUMPRODUCT(N1399:Y1399,$N$2:$Y$2)*$K1399*$L1399*$M1399</f>
        <v/>
      </c>
      <c r="AA1399" s="14">
        <f>SUM(N1399:Y1399)</f>
        <v/>
      </c>
      <c r="AB1399" s="14">
        <f>IFERROR(IF(UPPER($E1399)="L",SUMPRODUCT(N1399:Y1399,$N$3:$Y$3,$N$2:$Y$2),SUMPRODUCT(N1399:Y1399,$N$4:$Y$4,$N$2:$Y$2))/(Z1399/($K1399*$L1399*$M1399)),"")</f>
        <v/>
      </c>
      <c r="AC1399" s="18" t="n"/>
    </row>
    <row r="1400">
      <c r="A1400" s="9" t="n">
        <v>813916</v>
      </c>
      <c r="B1400" s="9" t="inlineStr">
        <is>
          <t>Kellon Lindsey</t>
        </is>
      </c>
      <c r="C1400" s="9" t="inlineStr">
        <is>
          <t>LAD</t>
        </is>
      </c>
      <c r="D1400" s="9" t="n">
        <v>22</v>
      </c>
      <c r="E1400" s="16" t="inlineStr">
        <is>
          <t>R</t>
        </is>
      </c>
      <c r="F1400" s="16" t="n"/>
      <c r="G1400" s="9" t="n">
        <v>34.33846153846154</v>
      </c>
      <c r="H1400" s="9" t="n">
        <v>34.33846153846154</v>
      </c>
      <c r="I1400" s="9" t="inlineStr">
        <is>
          <t>Depth (no MLB PA)</t>
        </is>
      </c>
      <c r="J1400" s="16" t="inlineStr">
        <is>
          <t>Opening Day</t>
        </is>
      </c>
      <c r="K1400" s="11">
        <f>IFERROR(INDEX(Roles!$B$17:$B$20,MATCH(J1400,Roles!$A$17:$A$20,0)),1)</f>
        <v/>
      </c>
      <c r="L1400" s="17" t="n">
        <v>1</v>
      </c>
      <c r="M1400" s="11" t="n">
        <v>1</v>
      </c>
      <c r="N1400" s="17" t="n"/>
      <c r="O1400" s="17" t="n"/>
      <c r="P1400" s="17" t="n"/>
      <c r="Q1400" s="17" t="n"/>
      <c r="R1400" s="17" t="n"/>
      <c r="S1400" s="17" t="n"/>
      <c r="T1400" s="17" t="n"/>
      <c r="U1400" s="17" t="n"/>
      <c r="V1400" s="17" t="n"/>
      <c r="W1400" s="17" t="n"/>
      <c r="X1400" s="17" t="n"/>
      <c r="Y1400" s="17" t="n">
        <v>1</v>
      </c>
      <c r="Z1400" s="13">
        <f>SUMPRODUCT(N1400:Y1400,$N$2:$Y$2)*$K1400*$L1400*$M1400</f>
        <v/>
      </c>
      <c r="AA1400" s="14">
        <f>SUM(N1400:Y1400)</f>
        <v/>
      </c>
      <c r="AB1400" s="14">
        <f>IFERROR(IF(UPPER($E1400)="L",SUMPRODUCT(N1400:Y1400,$N$3:$Y$3,$N$2:$Y$2),SUMPRODUCT(N1400:Y1400,$N$4:$Y$4,$N$2:$Y$2))/(Z1400/($K1400*$L1400*$M1400)),"")</f>
        <v/>
      </c>
      <c r="AC1400" s="18" t="n"/>
    </row>
    <row r="1401">
      <c r="A1401" s="9" t="n">
        <v>687521</v>
      </c>
      <c r="B1401" s="9" t="inlineStr">
        <is>
          <t>Eric Brown Jr.</t>
        </is>
      </c>
      <c r="C1401" s="9" t="inlineStr">
        <is>
          <t>MIL</t>
        </is>
      </c>
      <c r="D1401" s="9" t="n">
        <v>25</v>
      </c>
      <c r="E1401" s="16" t="inlineStr">
        <is>
          <t>R</t>
        </is>
      </c>
      <c r="F1401" s="16" t="n"/>
      <c r="G1401" s="9" t="n">
        <v>26.51282051282051</v>
      </c>
      <c r="H1401" s="9" t="n">
        <v>26.51282051282051</v>
      </c>
      <c r="I1401" s="9" t="inlineStr">
        <is>
          <t>Depth (no MLB PA)</t>
        </is>
      </c>
      <c r="J1401" s="16" t="inlineStr">
        <is>
          <t>Opening Day</t>
        </is>
      </c>
      <c r="K1401" s="11">
        <f>IFERROR(INDEX(Roles!$B$17:$B$20,MATCH(J1401,Roles!$A$17:$A$20,0)),1)</f>
        <v/>
      </c>
      <c r="L1401" s="17" t="n">
        <v>1</v>
      </c>
      <c r="M1401" s="11" t="n">
        <v>1</v>
      </c>
      <c r="N1401" s="17" t="n"/>
      <c r="O1401" s="17" t="n"/>
      <c r="P1401" s="17" t="n"/>
      <c r="Q1401" s="17" t="n"/>
      <c r="R1401" s="17" t="n"/>
      <c r="S1401" s="17" t="n"/>
      <c r="T1401" s="17" t="n"/>
      <c r="U1401" s="17" t="n"/>
      <c r="V1401" s="17" t="n"/>
      <c r="W1401" s="17" t="n"/>
      <c r="X1401" s="17" t="n"/>
      <c r="Y1401" s="17" t="n">
        <v>1</v>
      </c>
      <c r="Z1401" s="13">
        <f>SUMPRODUCT(N1401:Y1401,$N$2:$Y$2)*$K1401*$L1401*$M1401</f>
        <v/>
      </c>
      <c r="AA1401" s="14">
        <f>SUM(N1401:Y1401)</f>
        <v/>
      </c>
      <c r="AB1401" s="14">
        <f>IFERROR(IF(UPPER($E1401)="L",SUMPRODUCT(N1401:Y1401,$N$3:$Y$3,$N$2:$Y$2),SUMPRODUCT(N1401:Y1401,$N$4:$Y$4,$N$2:$Y$2))/(Z1401/($K1401*$L1401*$M1401)),"")</f>
        <v/>
      </c>
      <c r="AC1401" s="18" t="n"/>
    </row>
    <row r="1402">
      <c r="A1402" s="9" t="n">
        <v>694194</v>
      </c>
      <c r="B1402" s="9" t="inlineStr">
        <is>
          <t>Miguel Bleis</t>
        </is>
      </c>
      <c r="C1402" s="9" t="inlineStr">
        <is>
          <t>BOS</t>
        </is>
      </c>
      <c r="D1402" s="9" t="n">
        <v>25</v>
      </c>
      <c r="E1402" s="16" t="inlineStr">
        <is>
          <t>R</t>
        </is>
      </c>
      <c r="F1402" s="16" t="n"/>
      <c r="G1402" s="9" t="n">
        <v>124.5641025641026</v>
      </c>
      <c r="H1402" s="9" t="n">
        <v>124.5641025641026</v>
      </c>
      <c r="I1402" s="9" t="inlineStr">
        <is>
          <t>Depth (no MLB PA)</t>
        </is>
      </c>
      <c r="J1402" s="16" t="inlineStr">
        <is>
          <t>Opening Day</t>
        </is>
      </c>
      <c r="K1402" s="11">
        <f>IFERROR(INDEX(Roles!$B$17:$B$20,MATCH(J1402,Roles!$A$17:$A$20,0)),1)</f>
        <v/>
      </c>
      <c r="L1402" s="17" t="n">
        <v>1</v>
      </c>
      <c r="M1402" s="11" t="n">
        <v>1</v>
      </c>
      <c r="N1402" s="17" t="n"/>
      <c r="O1402" s="17" t="n"/>
      <c r="P1402" s="17" t="n"/>
      <c r="Q1402" s="17" t="n"/>
      <c r="R1402" s="17" t="n"/>
      <c r="S1402" s="17" t="n"/>
      <c r="T1402" s="17" t="n"/>
      <c r="U1402" s="17" t="n"/>
      <c r="V1402" s="17" t="n"/>
      <c r="W1402" s="17" t="n"/>
      <c r="X1402" s="17" t="n"/>
      <c r="Y1402" s="17" t="n">
        <v>1</v>
      </c>
      <c r="Z1402" s="13">
        <f>SUMPRODUCT(N1402:Y1402,$N$2:$Y$2)*$K1402*$L1402*$M1402</f>
        <v/>
      </c>
      <c r="AA1402" s="14">
        <f>SUM(N1402:Y1402)</f>
        <v/>
      </c>
      <c r="AB1402" s="14">
        <f>IFERROR(IF(UPPER($E1402)="L",SUMPRODUCT(N1402:Y1402,$N$3:$Y$3,$N$2:$Y$2),SUMPRODUCT(N1402:Y1402,$N$4:$Y$4,$N$2:$Y$2))/(Z1402/($K1402*$L1402*$M1402)),"")</f>
        <v/>
      </c>
      <c r="AC1402" s="18" t="n"/>
    </row>
    <row r="1403">
      <c r="A1403" s="9" t="n">
        <v>824424</v>
      </c>
      <c r="B1403" s="9" t="inlineStr">
        <is>
          <t>Bear Harrison</t>
        </is>
      </c>
      <c r="C1403" s="9" t="inlineStr">
        <is>
          <t>NYY</t>
        </is>
      </c>
      <c r="D1403" s="9" t="n">
        <v>25</v>
      </c>
      <c r="E1403" s="16" t="inlineStr">
        <is>
          <t>R</t>
        </is>
      </c>
      <c r="F1403" s="16" t="n"/>
      <c r="G1403" s="9" t="n">
        <v>10.58461538461538</v>
      </c>
      <c r="H1403" s="9" t="n">
        <v>10.58461538461538</v>
      </c>
      <c r="I1403" s="9" t="inlineStr">
        <is>
          <t>Depth (no MLB PA)</t>
        </is>
      </c>
      <c r="J1403" s="16" t="inlineStr">
        <is>
          <t>Opening Day</t>
        </is>
      </c>
      <c r="K1403" s="11">
        <f>IFERROR(INDEX(Roles!$B$17:$B$20,MATCH(J1403,Roles!$A$17:$A$20,0)),1)</f>
        <v/>
      </c>
      <c r="L1403" s="17" t="n">
        <v>1</v>
      </c>
      <c r="M1403" s="11" t="n">
        <v>1</v>
      </c>
      <c r="N1403" s="17" t="n"/>
      <c r="O1403" s="17" t="n"/>
      <c r="P1403" s="17" t="n"/>
      <c r="Q1403" s="17" t="n"/>
      <c r="R1403" s="17" t="n"/>
      <c r="S1403" s="17" t="n"/>
      <c r="T1403" s="17" t="n"/>
      <c r="U1403" s="17" t="n"/>
      <c r="V1403" s="17" t="n"/>
      <c r="W1403" s="17" t="n"/>
      <c r="X1403" s="17" t="n"/>
      <c r="Y1403" s="17" t="n">
        <v>1</v>
      </c>
      <c r="Z1403" s="13">
        <f>SUMPRODUCT(N1403:Y1403,$N$2:$Y$2)*$K1403*$L1403*$M1403</f>
        <v/>
      </c>
      <c r="AA1403" s="14">
        <f>SUM(N1403:Y1403)</f>
        <v/>
      </c>
      <c r="AB1403" s="14">
        <f>IFERROR(IF(UPPER($E1403)="L",SUMPRODUCT(N1403:Y1403,$N$3:$Y$3,$N$2:$Y$2),SUMPRODUCT(N1403:Y1403,$N$4:$Y$4,$N$2:$Y$2))/(Z1403/($K1403*$L1403*$M1403)),"")</f>
        <v/>
      </c>
      <c r="AC1403" s="18" t="n"/>
    </row>
    <row r="1404">
      <c r="A1404" s="9" t="n">
        <v>673945</v>
      </c>
      <c r="B1404" s="9" t="inlineStr">
        <is>
          <t>Freuddy Batista</t>
        </is>
      </c>
      <c r="C1404" s="9" t="inlineStr">
        <is>
          <t>HOU</t>
        </is>
      </c>
      <c r="D1404" s="9" t="n">
        <v>25</v>
      </c>
      <c r="E1404" s="16" t="inlineStr">
        <is>
          <t>R</t>
        </is>
      </c>
      <c r="F1404" s="16" t="n"/>
      <c r="G1404" s="9" t="n">
        <v>41.02564102564103</v>
      </c>
      <c r="H1404" s="9" t="n">
        <v>41.02564102564103</v>
      </c>
      <c r="I1404" s="9" t="inlineStr">
        <is>
          <t>Depth (no MLB PA)</t>
        </is>
      </c>
      <c r="J1404" s="16" t="inlineStr">
        <is>
          <t>Opening Day</t>
        </is>
      </c>
      <c r="K1404" s="11">
        <f>IFERROR(INDEX(Roles!$B$17:$B$20,MATCH(J1404,Roles!$A$17:$A$20,0)),1)</f>
        <v/>
      </c>
      <c r="L1404" s="17" t="n">
        <v>1</v>
      </c>
      <c r="M1404" s="11" t="n">
        <v>1</v>
      </c>
      <c r="N1404" s="17" t="n"/>
      <c r="O1404" s="17" t="n"/>
      <c r="P1404" s="17" t="n"/>
      <c r="Q1404" s="17" t="n"/>
      <c r="R1404" s="17" t="n"/>
      <c r="S1404" s="17" t="n"/>
      <c r="T1404" s="17" t="n"/>
      <c r="U1404" s="17" t="n"/>
      <c r="V1404" s="17" t="n"/>
      <c r="W1404" s="17" t="n"/>
      <c r="X1404" s="17" t="n"/>
      <c r="Y1404" s="17" t="n">
        <v>1</v>
      </c>
      <c r="Z1404" s="13">
        <f>SUMPRODUCT(N1404:Y1404,$N$2:$Y$2)*$K1404*$L1404*$M1404</f>
        <v/>
      </c>
      <c r="AA1404" s="14">
        <f>SUM(N1404:Y1404)</f>
        <v/>
      </c>
      <c r="AB1404" s="14">
        <f>IFERROR(IF(UPPER($E1404)="L",SUMPRODUCT(N1404:Y1404,$N$3:$Y$3,$N$2:$Y$2),SUMPRODUCT(N1404:Y1404,$N$4:$Y$4,$N$2:$Y$2))/(Z1404/($K1404*$L1404*$M1404)),"")</f>
        <v/>
      </c>
      <c r="AC1404" s="18" t="n"/>
    </row>
    <row r="1405">
      <c r="A1405" s="9" t="n">
        <v>809372</v>
      </c>
      <c r="B1405" s="9" t="inlineStr">
        <is>
          <t>Victor Figueroa</t>
        </is>
      </c>
      <c r="C1405" s="9" t="inlineStr">
        <is>
          <t>BAL</t>
        </is>
      </c>
      <c r="D1405" s="9" t="n">
        <v>25</v>
      </c>
      <c r="E1405" s="16" t="inlineStr">
        <is>
          <t>L</t>
        </is>
      </c>
      <c r="F1405" s="16" t="n"/>
      <c r="G1405" s="9" t="n">
        <v>53.12820512820512</v>
      </c>
      <c r="H1405" s="9" t="n">
        <v>53.12820512820512</v>
      </c>
      <c r="I1405" s="9" t="inlineStr">
        <is>
          <t>Depth (no MLB PA)</t>
        </is>
      </c>
      <c r="J1405" s="16" t="inlineStr">
        <is>
          <t>Opening Day</t>
        </is>
      </c>
      <c r="K1405" s="11">
        <f>IFERROR(INDEX(Roles!$B$17:$B$20,MATCH(J1405,Roles!$A$17:$A$20,0)),1)</f>
        <v/>
      </c>
      <c r="L1405" s="17" t="n">
        <v>1</v>
      </c>
      <c r="M1405" s="11" t="n">
        <v>1</v>
      </c>
      <c r="N1405" s="17" t="n"/>
      <c r="O1405" s="17" t="n"/>
      <c r="P1405" s="17" t="n"/>
      <c r="Q1405" s="17" t="n"/>
      <c r="R1405" s="17" t="n"/>
      <c r="S1405" s="17" t="n"/>
      <c r="T1405" s="17" t="n"/>
      <c r="U1405" s="17" t="n"/>
      <c r="V1405" s="17" t="n"/>
      <c r="W1405" s="17" t="n"/>
      <c r="X1405" s="17" t="n"/>
      <c r="Y1405" s="17" t="n">
        <v>1</v>
      </c>
      <c r="Z1405" s="13">
        <f>SUMPRODUCT(N1405:Y1405,$N$2:$Y$2)*$K1405*$L1405*$M1405</f>
        <v/>
      </c>
      <c r="AA1405" s="14">
        <f>SUM(N1405:Y1405)</f>
        <v/>
      </c>
      <c r="AB1405" s="14">
        <f>IFERROR(IF(UPPER($E1405)="L",SUMPRODUCT(N1405:Y1405,$N$3:$Y$3,$N$2:$Y$2),SUMPRODUCT(N1405:Y1405,$N$4:$Y$4,$N$2:$Y$2))/(Z1405/($K1405*$L1405*$M1405)),"")</f>
        <v/>
      </c>
      <c r="AC1405" s="18" t="n"/>
    </row>
    <row r="1406">
      <c r="A1406" s="9" t="n">
        <v>641553</v>
      </c>
      <c r="B1406" s="9" t="inlineStr">
        <is>
          <t>Adam Engel</t>
        </is>
      </c>
      <c r="C1406" s="9" t="inlineStr">
        <is>
          <t>CWS</t>
        </is>
      </c>
      <c r="D1406" s="9" t="n">
        <v>35</v>
      </c>
      <c r="E1406" s="16" t="inlineStr">
        <is>
          <t>R</t>
        </is>
      </c>
      <c r="F1406" s="16" t="inlineStr">
        <is>
          <t>CF</t>
        </is>
      </c>
      <c r="G1406" s="9" t="n">
        <v>6</v>
      </c>
      <c r="H1406" s="9" t="n">
        <v>266</v>
      </c>
      <c r="I1406" s="9" t="inlineStr">
        <is>
          <t>Depth (no MLB PA)</t>
        </is>
      </c>
      <c r="J1406" s="16" t="inlineStr">
        <is>
          <t>Opening Day</t>
        </is>
      </c>
      <c r="K1406" s="11">
        <f>IFERROR(INDEX(Roles!$B$17:$B$20,MATCH(J1406,Roles!$A$17:$A$20,0)),1)</f>
        <v/>
      </c>
      <c r="L1406" s="17" t="n">
        <v>1</v>
      </c>
      <c r="M1406" s="11" t="n">
        <v>1</v>
      </c>
      <c r="N1406" s="17" t="n"/>
      <c r="O1406" s="17" t="n"/>
      <c r="P1406" s="17" t="n"/>
      <c r="Q1406" s="17" t="n"/>
      <c r="R1406" s="17" t="n"/>
      <c r="S1406" s="17" t="n"/>
      <c r="T1406" s="17" t="n"/>
      <c r="U1406" s="17" t="n"/>
      <c r="V1406" s="17" t="n"/>
      <c r="W1406" s="17" t="n"/>
      <c r="X1406" s="17" t="n"/>
      <c r="Y1406" s="17" t="n">
        <v>1</v>
      </c>
      <c r="Z1406" s="13">
        <f>SUMPRODUCT(N1406:Y1406,$N$2:$Y$2)*$K1406*$L1406*$M1406</f>
        <v/>
      </c>
      <c r="AA1406" s="14">
        <f>SUM(N1406:Y1406)</f>
        <v/>
      </c>
      <c r="AB1406" s="14">
        <f>IFERROR(IF(UPPER($E1406)="L",SUMPRODUCT(N1406:Y1406,$N$3:$Y$3,$N$2:$Y$2),SUMPRODUCT(N1406:Y1406,$N$4:$Y$4,$N$2:$Y$2))/(Z1406/($K1406*$L1406*$M1406)),"")</f>
        <v/>
      </c>
      <c r="AC1406" s="18" t="n"/>
    </row>
    <row r="1407">
      <c r="A1407" s="9" t="n">
        <v>812185</v>
      </c>
      <c r="B1407" s="9" t="inlineStr">
        <is>
          <t>Clay Burdette</t>
        </is>
      </c>
      <c r="C1407" s="9" t="inlineStr">
        <is>
          <t>CWS</t>
        </is>
      </c>
      <c r="D1407" s="9" t="n">
        <v>25</v>
      </c>
      <c r="E1407" s="16" t="inlineStr">
        <is>
          <t>R</t>
        </is>
      </c>
      <c r="F1407" s="16" t="n"/>
      <c r="G1407" s="9" t="n">
        <v>14.76923076923077</v>
      </c>
      <c r="H1407" s="9" t="n">
        <v>14.76923076923077</v>
      </c>
      <c r="I1407" s="9" t="inlineStr">
        <is>
          <t>Depth (no MLB PA)</t>
        </is>
      </c>
      <c r="J1407" s="16" t="inlineStr">
        <is>
          <t>Opening Day</t>
        </is>
      </c>
      <c r="K1407" s="11">
        <f>IFERROR(INDEX(Roles!$B$17:$B$20,MATCH(J1407,Roles!$A$17:$A$20,0)),1)</f>
        <v/>
      </c>
      <c r="L1407" s="17" t="n">
        <v>1</v>
      </c>
      <c r="M1407" s="11" t="n">
        <v>1</v>
      </c>
      <c r="N1407" s="17" t="n"/>
      <c r="O1407" s="17" t="n"/>
      <c r="P1407" s="17" t="n"/>
      <c r="Q1407" s="17" t="n"/>
      <c r="R1407" s="17" t="n"/>
      <c r="S1407" s="17" t="n"/>
      <c r="T1407" s="17" t="n"/>
      <c r="U1407" s="17" t="n"/>
      <c r="V1407" s="17" t="n"/>
      <c r="W1407" s="17" t="n"/>
      <c r="X1407" s="17" t="n"/>
      <c r="Y1407" s="17" t="n">
        <v>1</v>
      </c>
      <c r="Z1407" s="13">
        <f>SUMPRODUCT(N1407:Y1407,$N$2:$Y$2)*$K1407*$L1407*$M1407</f>
        <v/>
      </c>
      <c r="AA1407" s="14">
        <f>SUM(N1407:Y1407)</f>
        <v/>
      </c>
      <c r="AB1407" s="14">
        <f>IFERROR(IF(UPPER($E1407)="L",SUMPRODUCT(N1407:Y1407,$N$3:$Y$3,$N$2:$Y$2),SUMPRODUCT(N1407:Y1407,$N$4:$Y$4,$N$2:$Y$2))/(Z1407/($K1407*$L1407*$M1407)),"")</f>
        <v/>
      </c>
      <c r="AC1407" s="18" t="n"/>
    </row>
    <row r="1408">
      <c r="A1408" s="9" t="n">
        <v>816152</v>
      </c>
      <c r="B1408" s="9" t="inlineStr">
        <is>
          <t>DJ Layton</t>
        </is>
      </c>
      <c r="C1408" s="9" t="inlineStr">
        <is>
          <t>BAL</t>
        </is>
      </c>
      <c r="D1408" s="9" t="n">
        <v>25</v>
      </c>
      <c r="E1408" s="16" t="inlineStr">
        <is>
          <t>S</t>
        </is>
      </c>
      <c r="F1408" s="16" t="n"/>
      <c r="G1408" s="9" t="n">
        <v>18.66666666666667</v>
      </c>
      <c r="H1408" s="9" t="n">
        <v>18.66666666666667</v>
      </c>
      <c r="I1408" s="9" t="inlineStr">
        <is>
          <t>Depth (no MLB PA)</t>
        </is>
      </c>
      <c r="J1408" s="16" t="inlineStr">
        <is>
          <t>Opening Day</t>
        </is>
      </c>
      <c r="K1408" s="11">
        <f>IFERROR(INDEX(Roles!$B$17:$B$20,MATCH(J1408,Roles!$A$17:$A$20,0)),1)</f>
        <v/>
      </c>
      <c r="L1408" s="17" t="n">
        <v>1</v>
      </c>
      <c r="M1408" s="11" t="n">
        <v>1</v>
      </c>
      <c r="N1408" s="17" t="n"/>
      <c r="O1408" s="17" t="n"/>
      <c r="P1408" s="17" t="n"/>
      <c r="Q1408" s="17" t="n"/>
      <c r="R1408" s="17" t="n"/>
      <c r="S1408" s="17" t="n"/>
      <c r="T1408" s="17" t="n"/>
      <c r="U1408" s="17" t="n"/>
      <c r="V1408" s="17" t="n"/>
      <c r="W1408" s="17" t="n"/>
      <c r="X1408" s="17" t="n"/>
      <c r="Y1408" s="17" t="n">
        <v>1</v>
      </c>
      <c r="Z1408" s="13">
        <f>SUMPRODUCT(N1408:Y1408,$N$2:$Y$2)*$K1408*$L1408*$M1408</f>
        <v/>
      </c>
      <c r="AA1408" s="14">
        <f>SUM(N1408:Y1408)</f>
        <v/>
      </c>
      <c r="AB1408" s="14">
        <f>IFERROR(IF(UPPER($E1408)="L",SUMPRODUCT(N1408:Y1408,$N$3:$Y$3,$N$2:$Y$2),SUMPRODUCT(N1408:Y1408,$N$4:$Y$4,$N$2:$Y$2))/(Z1408/($K1408*$L1408*$M1408)),"")</f>
        <v/>
      </c>
      <c r="AC1408" s="18" t="n"/>
    </row>
    <row r="1409">
      <c r="A1409" s="9" t="n">
        <v>687201</v>
      </c>
      <c r="B1409" s="9" t="inlineStr">
        <is>
          <t>Kevin Kilpatrick Jr.</t>
        </is>
      </c>
      <c r="C1409" s="9" t="inlineStr">
        <is>
          <t>ATL</t>
        </is>
      </c>
      <c r="D1409" s="9" t="n">
        <v>25</v>
      </c>
      <c r="E1409" s="16" t="inlineStr">
        <is>
          <t>R</t>
        </is>
      </c>
      <c r="F1409" s="16" t="n"/>
      <c r="G1409" s="9" t="n">
        <v>10.71794871794872</v>
      </c>
      <c r="H1409" s="9" t="n">
        <v>10.71794871794872</v>
      </c>
      <c r="I1409" s="9" t="inlineStr">
        <is>
          <t>Depth (no MLB PA)</t>
        </is>
      </c>
      <c r="J1409" s="16" t="inlineStr">
        <is>
          <t>Opening Day</t>
        </is>
      </c>
      <c r="K1409" s="11">
        <f>IFERROR(INDEX(Roles!$B$17:$B$20,MATCH(J1409,Roles!$A$17:$A$20,0)),1)</f>
        <v/>
      </c>
      <c r="L1409" s="17" t="n">
        <v>1</v>
      </c>
      <c r="M1409" s="11" t="n">
        <v>1</v>
      </c>
      <c r="N1409" s="17" t="n"/>
      <c r="O1409" s="17" t="n"/>
      <c r="P1409" s="17" t="n"/>
      <c r="Q1409" s="17" t="n"/>
      <c r="R1409" s="17" t="n"/>
      <c r="S1409" s="17" t="n"/>
      <c r="T1409" s="17" t="n"/>
      <c r="U1409" s="17" t="n"/>
      <c r="V1409" s="17" t="n"/>
      <c r="W1409" s="17" t="n"/>
      <c r="X1409" s="17" t="n"/>
      <c r="Y1409" s="17" t="n">
        <v>1</v>
      </c>
      <c r="Z1409" s="13">
        <f>SUMPRODUCT(N1409:Y1409,$N$2:$Y$2)*$K1409*$L1409*$M1409</f>
        <v/>
      </c>
      <c r="AA1409" s="14">
        <f>SUM(N1409:Y1409)</f>
        <v/>
      </c>
      <c r="AB1409" s="14">
        <f>IFERROR(IF(UPPER($E1409)="L",SUMPRODUCT(N1409:Y1409,$N$3:$Y$3,$N$2:$Y$2),SUMPRODUCT(N1409:Y1409,$N$4:$Y$4,$N$2:$Y$2))/(Z1409/($K1409*$L1409*$M1409)),"")</f>
        <v/>
      </c>
      <c r="AC1409" s="18" t="n"/>
    </row>
    <row r="1410">
      <c r="A1410" s="9" t="n">
        <v>676625</v>
      </c>
      <c r="B1410" s="9" t="inlineStr">
        <is>
          <t>Rylan Bannon</t>
        </is>
      </c>
      <c r="C1410" s="9" t="inlineStr">
        <is>
          <t>HOU</t>
        </is>
      </c>
      <c r="D1410" s="9" t="n">
        <v>31</v>
      </c>
      <c r="E1410" s="16" t="inlineStr">
        <is>
          <t>R</t>
        </is>
      </c>
      <c r="F1410" s="16" t="inlineStr">
        <is>
          <t>2B</t>
        </is>
      </c>
      <c r="G1410" s="9" t="n">
        <v>6</v>
      </c>
      <c r="H1410" s="9" t="n">
        <v>21</v>
      </c>
      <c r="I1410" s="9" t="inlineStr">
        <is>
          <t>Depth (no MLB PA)</t>
        </is>
      </c>
      <c r="J1410" s="16" t="inlineStr">
        <is>
          <t>Opening Day</t>
        </is>
      </c>
      <c r="K1410" s="11">
        <f>IFERROR(INDEX(Roles!$B$17:$B$20,MATCH(J1410,Roles!$A$17:$A$20,0)),1)</f>
        <v/>
      </c>
      <c r="L1410" s="17" t="n">
        <v>1</v>
      </c>
      <c r="M1410" s="11" t="n">
        <v>1</v>
      </c>
      <c r="N1410" s="17" t="n"/>
      <c r="O1410" s="17" t="n"/>
      <c r="P1410" s="17" t="n"/>
      <c r="Q1410" s="17" t="n"/>
      <c r="R1410" s="17" t="n"/>
      <c r="S1410" s="17" t="n"/>
      <c r="T1410" s="17" t="n"/>
      <c r="U1410" s="17" t="n"/>
      <c r="V1410" s="17" t="n"/>
      <c r="W1410" s="17" t="n"/>
      <c r="X1410" s="17" t="n"/>
      <c r="Y1410" s="17" t="n">
        <v>1</v>
      </c>
      <c r="Z1410" s="13">
        <f>SUMPRODUCT(N1410:Y1410,$N$2:$Y$2)*$K1410*$L1410*$M1410</f>
        <v/>
      </c>
      <c r="AA1410" s="14">
        <f>SUM(N1410:Y1410)</f>
        <v/>
      </c>
      <c r="AB1410" s="14">
        <f>IFERROR(IF(UPPER($E1410)="L",SUMPRODUCT(N1410:Y1410,$N$3:$Y$3,$N$2:$Y$2),SUMPRODUCT(N1410:Y1410,$N$4:$Y$4,$N$2:$Y$2))/(Z1410/($K1410*$L1410*$M1410)),"")</f>
        <v/>
      </c>
      <c r="AC1410" s="18" t="n"/>
    </row>
    <row r="1411">
      <c r="A1411" s="9" t="n">
        <v>808337</v>
      </c>
      <c r="B1411" s="9" t="inlineStr">
        <is>
          <t>Adriander Mejía</t>
        </is>
      </c>
      <c r="C1411" s="9" t="inlineStr">
        <is>
          <t>BAL</t>
        </is>
      </c>
      <c r="D1411" s="9" t="n">
        <v>25</v>
      </c>
      <c r="E1411" s="16" t="inlineStr">
        <is>
          <t>R</t>
        </is>
      </c>
      <c r="F1411" s="16" t="n"/>
      <c r="G1411" s="9" t="n">
        <v>10.83076923076923</v>
      </c>
      <c r="H1411" s="9" t="n">
        <v>10.83076923076923</v>
      </c>
      <c r="I1411" s="9" t="inlineStr">
        <is>
          <t>Depth (no MLB PA)</t>
        </is>
      </c>
      <c r="J1411" s="16" t="inlineStr">
        <is>
          <t>Opening Day</t>
        </is>
      </c>
      <c r="K1411" s="11">
        <f>IFERROR(INDEX(Roles!$B$17:$B$20,MATCH(J1411,Roles!$A$17:$A$20,0)),1)</f>
        <v/>
      </c>
      <c r="L1411" s="17" t="n">
        <v>1</v>
      </c>
      <c r="M1411" s="11" t="n">
        <v>1</v>
      </c>
      <c r="N1411" s="17" t="n"/>
      <c r="O1411" s="17" t="n"/>
      <c r="P1411" s="17" t="n"/>
      <c r="Q1411" s="17" t="n"/>
      <c r="R1411" s="17" t="n"/>
      <c r="S1411" s="17" t="n"/>
      <c r="T1411" s="17" t="n"/>
      <c r="U1411" s="17" t="n"/>
      <c r="V1411" s="17" t="n"/>
      <c r="W1411" s="17" t="n"/>
      <c r="X1411" s="17" t="n"/>
      <c r="Y1411" s="17" t="n">
        <v>1</v>
      </c>
      <c r="Z1411" s="13">
        <f>SUMPRODUCT(N1411:Y1411,$N$2:$Y$2)*$K1411*$L1411*$M1411</f>
        <v/>
      </c>
      <c r="AA1411" s="14">
        <f>SUM(N1411:Y1411)</f>
        <v/>
      </c>
      <c r="AB1411" s="14">
        <f>IFERROR(IF(UPPER($E1411)="L",SUMPRODUCT(N1411:Y1411,$N$3:$Y$3,$N$2:$Y$2),SUMPRODUCT(N1411:Y1411,$N$4:$Y$4,$N$2:$Y$2))/(Z1411/($K1411*$L1411*$M1411)),"")</f>
        <v/>
      </c>
      <c r="AC1411" s="18" t="n"/>
    </row>
    <row r="1412">
      <c r="A1412" s="9" t="n">
        <v>804053</v>
      </c>
      <c r="B1412" s="9" t="inlineStr">
        <is>
          <t>Brayden Dowd</t>
        </is>
      </c>
      <c r="C1412" s="9" t="inlineStr">
        <is>
          <t>ARI</t>
        </is>
      </c>
      <c r="D1412" s="9" t="n">
        <v>25</v>
      </c>
      <c r="E1412" s="16" t="inlineStr">
        <is>
          <t>L</t>
        </is>
      </c>
      <c r="F1412" s="16" t="n"/>
      <c r="G1412" s="9" t="n">
        <v>13.04615384615385</v>
      </c>
      <c r="H1412" s="9" t="n">
        <v>13.04615384615385</v>
      </c>
      <c r="I1412" s="9" t="inlineStr">
        <is>
          <t>Depth (no MLB PA)</t>
        </is>
      </c>
      <c r="J1412" s="16" t="inlineStr">
        <is>
          <t>Opening Day</t>
        </is>
      </c>
      <c r="K1412" s="11">
        <f>IFERROR(INDEX(Roles!$B$17:$B$20,MATCH(J1412,Roles!$A$17:$A$20,0)),1)</f>
        <v/>
      </c>
      <c r="L1412" s="17" t="n">
        <v>1</v>
      </c>
      <c r="M1412" s="11" t="n">
        <v>1</v>
      </c>
      <c r="N1412" s="17" t="n"/>
      <c r="O1412" s="17" t="n"/>
      <c r="P1412" s="17" t="n"/>
      <c r="Q1412" s="17" t="n"/>
      <c r="R1412" s="17" t="n"/>
      <c r="S1412" s="17" t="n"/>
      <c r="T1412" s="17" t="n"/>
      <c r="U1412" s="17" t="n"/>
      <c r="V1412" s="17" t="n"/>
      <c r="W1412" s="17" t="n"/>
      <c r="X1412" s="17" t="n"/>
      <c r="Y1412" s="17" t="n">
        <v>1</v>
      </c>
      <c r="Z1412" s="13">
        <f>SUMPRODUCT(N1412:Y1412,$N$2:$Y$2)*$K1412*$L1412*$M1412</f>
        <v/>
      </c>
      <c r="AA1412" s="14">
        <f>SUM(N1412:Y1412)</f>
        <v/>
      </c>
      <c r="AB1412" s="14">
        <f>IFERROR(IF(UPPER($E1412)="L",SUMPRODUCT(N1412:Y1412,$N$3:$Y$3,$N$2:$Y$2),SUMPRODUCT(N1412:Y1412,$N$4:$Y$4,$N$2:$Y$2))/(Z1412/($K1412*$L1412*$M1412)),"")</f>
        <v/>
      </c>
      <c r="AC1412" s="18" t="n"/>
    </row>
    <row r="1413">
      <c r="A1413" s="9" t="n">
        <v>676063</v>
      </c>
      <c r="B1413" s="9" t="inlineStr">
        <is>
          <t>Shane McGuire</t>
        </is>
      </c>
      <c r="C1413" s="9" t="inlineStr">
        <is>
          <t>OAK</t>
        </is>
      </c>
      <c r="D1413" s="9" t="n">
        <v>25</v>
      </c>
      <c r="E1413" s="16" t="inlineStr">
        <is>
          <t>L</t>
        </is>
      </c>
      <c r="F1413" s="16" t="n"/>
      <c r="G1413" s="9" t="n">
        <v>36.97435897435898</v>
      </c>
      <c r="H1413" s="9" t="n">
        <v>36.97435897435898</v>
      </c>
      <c r="I1413" s="9" t="inlineStr">
        <is>
          <t>Depth (no MLB PA)</t>
        </is>
      </c>
      <c r="J1413" s="16" t="inlineStr">
        <is>
          <t>Opening Day</t>
        </is>
      </c>
      <c r="K1413" s="11">
        <f>IFERROR(INDEX(Roles!$B$17:$B$20,MATCH(J1413,Roles!$A$17:$A$20,0)),1)</f>
        <v/>
      </c>
      <c r="L1413" s="17" t="n">
        <v>1</v>
      </c>
      <c r="M1413" s="11" t="n">
        <v>1</v>
      </c>
      <c r="N1413" s="17" t="n"/>
      <c r="O1413" s="17" t="n"/>
      <c r="P1413" s="17" t="n"/>
      <c r="Q1413" s="17" t="n"/>
      <c r="R1413" s="17" t="n"/>
      <c r="S1413" s="17" t="n"/>
      <c r="T1413" s="17" t="n"/>
      <c r="U1413" s="17" t="n"/>
      <c r="V1413" s="17" t="n"/>
      <c r="W1413" s="17" t="n"/>
      <c r="X1413" s="17" t="n"/>
      <c r="Y1413" s="17" t="n">
        <v>1</v>
      </c>
      <c r="Z1413" s="13">
        <f>SUMPRODUCT(N1413:Y1413,$N$2:$Y$2)*$K1413*$L1413*$M1413</f>
        <v/>
      </c>
      <c r="AA1413" s="14">
        <f>SUM(N1413:Y1413)</f>
        <v/>
      </c>
      <c r="AB1413" s="14">
        <f>IFERROR(IF(UPPER($E1413)="L",SUMPRODUCT(N1413:Y1413,$N$3:$Y$3,$N$2:$Y$2),SUMPRODUCT(N1413:Y1413,$N$4:$Y$4,$N$2:$Y$2))/(Z1413/($K1413*$L1413*$M1413)),"")</f>
        <v/>
      </c>
      <c r="AC1413" s="18" t="n"/>
    </row>
    <row r="1414">
      <c r="A1414" s="9" t="n">
        <v>695046</v>
      </c>
      <c r="B1414" s="9" t="inlineStr">
        <is>
          <t>Drew Brutcher</t>
        </is>
      </c>
      <c r="C1414" s="9" t="inlineStr">
        <is>
          <t>HOU</t>
        </is>
      </c>
      <c r="D1414" s="9" t="n">
        <v>25</v>
      </c>
      <c r="E1414" s="16" t="inlineStr">
        <is>
          <t>L</t>
        </is>
      </c>
      <c r="F1414" s="16" t="n"/>
      <c r="G1414" s="9" t="n">
        <v>45.23076923076923</v>
      </c>
      <c r="H1414" s="9" t="n">
        <v>45.23076923076923</v>
      </c>
      <c r="I1414" s="9" t="inlineStr">
        <is>
          <t>Depth (no MLB PA)</t>
        </is>
      </c>
      <c r="J1414" s="16" t="inlineStr">
        <is>
          <t>Opening Day</t>
        </is>
      </c>
      <c r="K1414" s="11">
        <f>IFERROR(INDEX(Roles!$B$17:$B$20,MATCH(J1414,Roles!$A$17:$A$20,0)),1)</f>
        <v/>
      </c>
      <c r="L1414" s="17" t="n">
        <v>1</v>
      </c>
      <c r="M1414" s="11" t="n">
        <v>1</v>
      </c>
      <c r="N1414" s="17" t="n"/>
      <c r="O1414" s="17" t="n"/>
      <c r="P1414" s="17" t="n"/>
      <c r="Q1414" s="17" t="n"/>
      <c r="R1414" s="17" t="n"/>
      <c r="S1414" s="17" t="n"/>
      <c r="T1414" s="17" t="n"/>
      <c r="U1414" s="17" t="n"/>
      <c r="V1414" s="17" t="n"/>
      <c r="W1414" s="17" t="n"/>
      <c r="X1414" s="17" t="n"/>
      <c r="Y1414" s="17" t="n">
        <v>1</v>
      </c>
      <c r="Z1414" s="13">
        <f>SUMPRODUCT(N1414:Y1414,$N$2:$Y$2)*$K1414*$L1414*$M1414</f>
        <v/>
      </c>
      <c r="AA1414" s="14">
        <f>SUM(N1414:Y1414)</f>
        <v/>
      </c>
      <c r="AB1414" s="14">
        <f>IFERROR(IF(UPPER($E1414)="L",SUMPRODUCT(N1414:Y1414,$N$3:$Y$3,$N$2:$Y$2),SUMPRODUCT(N1414:Y1414,$N$4:$Y$4,$N$2:$Y$2))/(Z1414/($K1414*$L1414*$M1414)),"")</f>
        <v/>
      </c>
      <c r="AC1414" s="18" t="n"/>
    </row>
    <row r="1415">
      <c r="A1415" s="9" t="n">
        <v>806053</v>
      </c>
      <c r="B1415" s="9" t="inlineStr">
        <is>
          <t>Dean Curley</t>
        </is>
      </c>
      <c r="C1415" s="9" t="inlineStr">
        <is>
          <t>CLE</t>
        </is>
      </c>
      <c r="D1415" s="9" t="n">
        <v>23</v>
      </c>
      <c r="E1415" s="16" t="inlineStr">
        <is>
          <t>R</t>
        </is>
      </c>
      <c r="F1415" s="16" t="n"/>
      <c r="G1415" s="9" t="n">
        <v>70</v>
      </c>
      <c r="H1415" s="9" t="n">
        <v>70</v>
      </c>
      <c r="I1415" s="9" t="inlineStr">
        <is>
          <t>Depth (no MLB PA)</t>
        </is>
      </c>
      <c r="J1415" s="16" t="inlineStr">
        <is>
          <t>Opening Day</t>
        </is>
      </c>
      <c r="K1415" s="11">
        <f>IFERROR(INDEX(Roles!$B$17:$B$20,MATCH(J1415,Roles!$A$17:$A$20,0)),1)</f>
        <v/>
      </c>
      <c r="L1415" s="17" t="n">
        <v>1</v>
      </c>
      <c r="M1415" s="11" t="n">
        <v>1</v>
      </c>
      <c r="N1415" s="17" t="n"/>
      <c r="O1415" s="17" t="n"/>
      <c r="P1415" s="17" t="n"/>
      <c r="Q1415" s="17" t="n"/>
      <c r="R1415" s="17" t="n"/>
      <c r="S1415" s="17" t="n"/>
      <c r="T1415" s="17" t="n"/>
      <c r="U1415" s="17" t="n"/>
      <c r="V1415" s="17" t="n"/>
      <c r="W1415" s="17" t="n"/>
      <c r="X1415" s="17" t="n"/>
      <c r="Y1415" s="17" t="n">
        <v>1</v>
      </c>
      <c r="Z1415" s="13">
        <f>SUMPRODUCT(N1415:Y1415,$N$2:$Y$2)*$K1415*$L1415*$M1415</f>
        <v/>
      </c>
      <c r="AA1415" s="14">
        <f>SUM(N1415:Y1415)</f>
        <v/>
      </c>
      <c r="AB1415" s="14">
        <f>IFERROR(IF(UPPER($E1415)="L",SUMPRODUCT(N1415:Y1415,$N$3:$Y$3,$N$2:$Y$2),SUMPRODUCT(N1415:Y1415,$N$4:$Y$4,$N$2:$Y$2))/(Z1415/($K1415*$L1415*$M1415)),"")</f>
        <v/>
      </c>
      <c r="AC1415" s="18" t="n"/>
    </row>
    <row r="1416">
      <c r="A1416" s="9" t="n">
        <v>809860</v>
      </c>
      <c r="B1416" s="9" t="inlineStr">
        <is>
          <t>Mason Lytle</t>
        </is>
      </c>
      <c r="C1416" s="9" t="inlineStr">
        <is>
          <t>HOU</t>
        </is>
      </c>
      <c r="D1416" s="9" t="n">
        <v>25</v>
      </c>
      <c r="E1416" s="16" t="inlineStr">
        <is>
          <t>R</t>
        </is>
      </c>
      <c r="F1416" s="16" t="n"/>
      <c r="G1416" s="9" t="n">
        <v>11.12820512820513</v>
      </c>
      <c r="H1416" s="9" t="n">
        <v>11.12820512820513</v>
      </c>
      <c r="I1416" s="9" t="inlineStr">
        <is>
          <t>Depth (no MLB PA)</t>
        </is>
      </c>
      <c r="J1416" s="16" t="inlineStr">
        <is>
          <t>Opening Day</t>
        </is>
      </c>
      <c r="K1416" s="11">
        <f>IFERROR(INDEX(Roles!$B$17:$B$20,MATCH(J1416,Roles!$A$17:$A$20,0)),1)</f>
        <v/>
      </c>
      <c r="L1416" s="17" t="n">
        <v>1</v>
      </c>
      <c r="M1416" s="11" t="n">
        <v>1</v>
      </c>
      <c r="N1416" s="17" t="n"/>
      <c r="O1416" s="17" t="n"/>
      <c r="P1416" s="17" t="n"/>
      <c r="Q1416" s="17" t="n"/>
      <c r="R1416" s="17" t="n"/>
      <c r="S1416" s="17" t="n"/>
      <c r="T1416" s="17" t="n"/>
      <c r="U1416" s="17" t="n"/>
      <c r="V1416" s="17" t="n"/>
      <c r="W1416" s="17" t="n"/>
      <c r="X1416" s="17" t="n"/>
      <c r="Y1416" s="17" t="n">
        <v>1</v>
      </c>
      <c r="Z1416" s="13">
        <f>SUMPRODUCT(N1416:Y1416,$N$2:$Y$2)*$K1416*$L1416*$M1416</f>
        <v/>
      </c>
      <c r="AA1416" s="14">
        <f>SUM(N1416:Y1416)</f>
        <v/>
      </c>
      <c r="AB1416" s="14">
        <f>IFERROR(IF(UPPER($E1416)="L",SUMPRODUCT(N1416:Y1416,$N$3:$Y$3,$N$2:$Y$2),SUMPRODUCT(N1416:Y1416,$N$4:$Y$4,$N$2:$Y$2))/(Z1416/($K1416*$L1416*$M1416)),"")</f>
        <v/>
      </c>
      <c r="AC1416" s="18" t="n"/>
    </row>
    <row r="1417">
      <c r="A1417" s="9" t="n">
        <v>815089</v>
      </c>
      <c r="B1417" s="9" t="inlineStr">
        <is>
          <t>Coby Morales</t>
        </is>
      </c>
      <c r="C1417" s="9" t="inlineStr">
        <is>
          <t>NYY</t>
        </is>
      </c>
      <c r="D1417" s="9" t="n">
        <v>25</v>
      </c>
      <c r="E1417" s="16" t="inlineStr">
        <is>
          <t>L</t>
        </is>
      </c>
      <c r="F1417" s="16" t="n"/>
      <c r="G1417" s="9" t="n">
        <v>192.7692307692308</v>
      </c>
      <c r="H1417" s="9" t="n">
        <v>192.7692307692308</v>
      </c>
      <c r="I1417" s="9" t="inlineStr">
        <is>
          <t>Depth (no MLB PA)</t>
        </is>
      </c>
      <c r="J1417" s="16" t="inlineStr">
        <is>
          <t>Opening Day</t>
        </is>
      </c>
      <c r="K1417" s="11">
        <f>IFERROR(INDEX(Roles!$B$17:$B$20,MATCH(J1417,Roles!$A$17:$A$20,0)),1)</f>
        <v/>
      </c>
      <c r="L1417" s="17" t="n">
        <v>1</v>
      </c>
      <c r="M1417" s="11" t="n">
        <v>1</v>
      </c>
      <c r="N1417" s="17" t="n"/>
      <c r="O1417" s="17" t="n"/>
      <c r="P1417" s="17" t="n"/>
      <c r="Q1417" s="17" t="n"/>
      <c r="R1417" s="17" t="n"/>
      <c r="S1417" s="17" t="n"/>
      <c r="T1417" s="17" t="n"/>
      <c r="U1417" s="17" t="n"/>
      <c r="V1417" s="17" t="n"/>
      <c r="W1417" s="17" t="n"/>
      <c r="X1417" s="17" t="n"/>
      <c r="Y1417" s="17" t="n">
        <v>1</v>
      </c>
      <c r="Z1417" s="13">
        <f>SUMPRODUCT(N1417:Y1417,$N$2:$Y$2)*$K1417*$L1417*$M1417</f>
        <v/>
      </c>
      <c r="AA1417" s="14">
        <f>SUM(N1417:Y1417)</f>
        <v/>
      </c>
      <c r="AB1417" s="14">
        <f>IFERROR(IF(UPPER($E1417)="L",SUMPRODUCT(N1417:Y1417,$N$3:$Y$3,$N$2:$Y$2),SUMPRODUCT(N1417:Y1417,$N$4:$Y$4,$N$2:$Y$2))/(Z1417/($K1417*$L1417*$M1417)),"")</f>
        <v/>
      </c>
      <c r="AC1417" s="18" t="n"/>
    </row>
    <row r="1418">
      <c r="A1418" s="9" t="n">
        <v>807983</v>
      </c>
      <c r="B1418" s="9" t="inlineStr">
        <is>
          <t>Ramon Landaeta</t>
        </is>
      </c>
      <c r="C1418" s="9" t="inlineStr">
        <is>
          <t>OAK</t>
        </is>
      </c>
      <c r="D1418" s="9" t="n">
        <v>25</v>
      </c>
      <c r="E1418" s="16" t="inlineStr">
        <is>
          <t>R</t>
        </is>
      </c>
      <c r="F1418" s="16" t="n"/>
      <c r="G1418" s="9" t="n">
        <v>15.13846153846154</v>
      </c>
      <c r="H1418" s="9" t="n">
        <v>15.13846153846154</v>
      </c>
      <c r="I1418" s="9" t="inlineStr">
        <is>
          <t>Depth (no MLB PA)</t>
        </is>
      </c>
      <c r="J1418" s="16" t="inlineStr">
        <is>
          <t>Opening Day</t>
        </is>
      </c>
      <c r="K1418" s="11">
        <f>IFERROR(INDEX(Roles!$B$17:$B$20,MATCH(J1418,Roles!$A$17:$A$20,0)),1)</f>
        <v/>
      </c>
      <c r="L1418" s="17" t="n">
        <v>1</v>
      </c>
      <c r="M1418" s="11" t="n">
        <v>1</v>
      </c>
      <c r="N1418" s="17" t="n"/>
      <c r="O1418" s="17" t="n"/>
      <c r="P1418" s="17" t="n"/>
      <c r="Q1418" s="17" t="n"/>
      <c r="R1418" s="17" t="n"/>
      <c r="S1418" s="17" t="n"/>
      <c r="T1418" s="17" t="n"/>
      <c r="U1418" s="17" t="n"/>
      <c r="V1418" s="17" t="n"/>
      <c r="W1418" s="17" t="n"/>
      <c r="X1418" s="17" t="n"/>
      <c r="Y1418" s="17" t="n">
        <v>1</v>
      </c>
      <c r="Z1418" s="13">
        <f>SUMPRODUCT(N1418:Y1418,$N$2:$Y$2)*$K1418*$L1418*$M1418</f>
        <v/>
      </c>
      <c r="AA1418" s="14">
        <f>SUM(N1418:Y1418)</f>
        <v/>
      </c>
      <c r="AB1418" s="14">
        <f>IFERROR(IF(UPPER($E1418)="L",SUMPRODUCT(N1418:Y1418,$N$3:$Y$3,$N$2:$Y$2),SUMPRODUCT(N1418:Y1418,$N$4:$Y$4,$N$2:$Y$2))/(Z1418/($K1418*$L1418*$M1418)),"")</f>
        <v/>
      </c>
      <c r="AC1418" s="18" t="n"/>
    </row>
    <row r="1419">
      <c r="A1419" s="9" t="n">
        <v>808503</v>
      </c>
      <c r="B1419" s="9" t="inlineStr">
        <is>
          <t>Jeremy Almonte</t>
        </is>
      </c>
      <c r="C1419" s="9" t="inlineStr">
        <is>
          <t>MIA</t>
        </is>
      </c>
      <c r="D1419" s="9" t="n">
        <v>25</v>
      </c>
      <c r="E1419" s="16" t="inlineStr">
        <is>
          <t>R</t>
        </is>
      </c>
      <c r="F1419" s="16" t="n"/>
      <c r="G1419" s="9" t="n">
        <v>17.72307692307692</v>
      </c>
      <c r="H1419" s="9" t="n">
        <v>17.72307692307692</v>
      </c>
      <c r="I1419" s="9" t="inlineStr">
        <is>
          <t>Depth (no MLB PA)</t>
        </is>
      </c>
      <c r="J1419" s="16" t="inlineStr">
        <is>
          <t>Opening Day</t>
        </is>
      </c>
      <c r="K1419" s="11">
        <f>IFERROR(INDEX(Roles!$B$17:$B$20,MATCH(J1419,Roles!$A$17:$A$20,0)),1)</f>
        <v/>
      </c>
      <c r="L1419" s="17" t="n">
        <v>1</v>
      </c>
      <c r="M1419" s="11" t="n">
        <v>1</v>
      </c>
      <c r="N1419" s="17" t="n"/>
      <c r="O1419" s="17" t="n"/>
      <c r="P1419" s="17" t="n"/>
      <c r="Q1419" s="17" t="n"/>
      <c r="R1419" s="17" t="n"/>
      <c r="S1419" s="17" t="n"/>
      <c r="T1419" s="17" t="n"/>
      <c r="U1419" s="17" t="n"/>
      <c r="V1419" s="17" t="n"/>
      <c r="W1419" s="17" t="n"/>
      <c r="X1419" s="17" t="n"/>
      <c r="Y1419" s="17" t="n">
        <v>1</v>
      </c>
      <c r="Z1419" s="13">
        <f>SUMPRODUCT(N1419:Y1419,$N$2:$Y$2)*$K1419*$L1419*$M1419</f>
        <v/>
      </c>
      <c r="AA1419" s="14">
        <f>SUM(N1419:Y1419)</f>
        <v/>
      </c>
      <c r="AB1419" s="14">
        <f>IFERROR(IF(UPPER($E1419)="L",SUMPRODUCT(N1419:Y1419,$N$3:$Y$3,$N$2:$Y$2),SUMPRODUCT(N1419:Y1419,$N$4:$Y$4,$N$2:$Y$2))/(Z1419/($K1419*$L1419*$M1419)),"")</f>
        <v/>
      </c>
      <c r="AC1419" s="18" t="n"/>
    </row>
    <row r="1420">
      <c r="A1420" s="9" t="n">
        <v>806981</v>
      </c>
      <c r="B1420" s="9" t="inlineStr">
        <is>
          <t>Luis Almeyda</t>
        </is>
      </c>
      <c r="C1420" s="9" t="inlineStr">
        <is>
          <t>BAL</t>
        </is>
      </c>
      <c r="D1420" s="9" t="n">
        <v>25</v>
      </c>
      <c r="E1420" s="16" t="inlineStr">
        <is>
          <t>R</t>
        </is>
      </c>
      <c r="F1420" s="16" t="n"/>
      <c r="G1420" s="9" t="n">
        <v>11.07692307692308</v>
      </c>
      <c r="H1420" s="9" t="n">
        <v>11.07692307692308</v>
      </c>
      <c r="I1420" s="9" t="inlineStr">
        <is>
          <t>Depth (no MLB PA)</t>
        </is>
      </c>
      <c r="J1420" s="16" t="inlineStr">
        <is>
          <t>Opening Day</t>
        </is>
      </c>
      <c r="K1420" s="11">
        <f>IFERROR(INDEX(Roles!$B$17:$B$20,MATCH(J1420,Roles!$A$17:$A$20,0)),1)</f>
        <v/>
      </c>
      <c r="L1420" s="17" t="n">
        <v>1</v>
      </c>
      <c r="M1420" s="11" t="n">
        <v>1</v>
      </c>
      <c r="N1420" s="17" t="n"/>
      <c r="O1420" s="17" t="n"/>
      <c r="P1420" s="17" t="n"/>
      <c r="Q1420" s="17" t="n"/>
      <c r="R1420" s="17" t="n"/>
      <c r="S1420" s="17" t="n"/>
      <c r="T1420" s="17" t="n"/>
      <c r="U1420" s="17" t="n"/>
      <c r="V1420" s="17" t="n"/>
      <c r="W1420" s="17" t="n"/>
      <c r="X1420" s="17" t="n"/>
      <c r="Y1420" s="17" t="n">
        <v>1</v>
      </c>
      <c r="Z1420" s="13">
        <f>SUMPRODUCT(N1420:Y1420,$N$2:$Y$2)*$K1420*$L1420*$M1420</f>
        <v/>
      </c>
      <c r="AA1420" s="14">
        <f>SUM(N1420:Y1420)</f>
        <v/>
      </c>
      <c r="AB1420" s="14">
        <f>IFERROR(IF(UPPER($E1420)="L",SUMPRODUCT(N1420:Y1420,$N$3:$Y$3,$N$2:$Y$2),SUMPRODUCT(N1420:Y1420,$N$4:$Y$4,$N$2:$Y$2))/(Z1420/($K1420*$L1420*$M1420)),"")</f>
        <v/>
      </c>
      <c r="AC1420" s="18" t="n"/>
    </row>
    <row r="1421">
      <c r="A1421" s="9" t="n">
        <v>700681</v>
      </c>
      <c r="B1421" s="9" t="inlineStr">
        <is>
          <t>Nick Lorusso</t>
        </is>
      </c>
      <c r="C1421" s="9" t="inlineStr">
        <is>
          <t>NYM</t>
        </is>
      </c>
      <c r="D1421" s="9" t="n">
        <v>25</v>
      </c>
      <c r="E1421" s="16" t="inlineStr">
        <is>
          <t>R</t>
        </is>
      </c>
      <c r="F1421" s="16" t="n"/>
      <c r="G1421" s="9" t="n">
        <v>58.10256410256411</v>
      </c>
      <c r="H1421" s="9" t="n">
        <v>58.10256410256411</v>
      </c>
      <c r="I1421" s="9" t="inlineStr">
        <is>
          <t>Depth (no MLB PA)</t>
        </is>
      </c>
      <c r="J1421" s="16" t="inlineStr">
        <is>
          <t>Opening Day</t>
        </is>
      </c>
      <c r="K1421" s="11">
        <f>IFERROR(INDEX(Roles!$B$17:$B$20,MATCH(J1421,Roles!$A$17:$A$20,0)),1)</f>
        <v/>
      </c>
      <c r="L1421" s="17" t="n">
        <v>1</v>
      </c>
      <c r="M1421" s="11" t="n">
        <v>1</v>
      </c>
      <c r="N1421" s="17" t="n"/>
      <c r="O1421" s="17" t="n"/>
      <c r="P1421" s="17" t="n"/>
      <c r="Q1421" s="17" t="n"/>
      <c r="R1421" s="17" t="n"/>
      <c r="S1421" s="17" t="n"/>
      <c r="T1421" s="17" t="n"/>
      <c r="U1421" s="17" t="n"/>
      <c r="V1421" s="17" t="n"/>
      <c r="W1421" s="17" t="n"/>
      <c r="X1421" s="17" t="n"/>
      <c r="Y1421" s="17" t="n">
        <v>1</v>
      </c>
      <c r="Z1421" s="13">
        <f>SUMPRODUCT(N1421:Y1421,$N$2:$Y$2)*$K1421*$L1421*$M1421</f>
        <v/>
      </c>
      <c r="AA1421" s="14">
        <f>SUM(N1421:Y1421)</f>
        <v/>
      </c>
      <c r="AB1421" s="14">
        <f>IFERROR(IF(UPPER($E1421)="L",SUMPRODUCT(N1421:Y1421,$N$3:$Y$3,$N$2:$Y$2),SUMPRODUCT(N1421:Y1421,$N$4:$Y$4,$N$2:$Y$2))/(Z1421/($K1421*$L1421*$M1421)),"")</f>
        <v/>
      </c>
      <c r="AC1421" s="18" t="n"/>
    </row>
    <row r="1422">
      <c r="A1422" s="9" t="n">
        <v>685716</v>
      </c>
      <c r="B1422" s="9" t="inlineStr">
        <is>
          <t>Nelson Quiroz</t>
        </is>
      </c>
      <c r="C1422" s="9" t="inlineStr">
        <is>
          <t>LAD</t>
        </is>
      </c>
      <c r="D1422" s="9" t="n">
        <v>25</v>
      </c>
      <c r="E1422" s="16" t="inlineStr">
        <is>
          <t>L</t>
        </is>
      </c>
      <c r="F1422" s="16" t="n"/>
      <c r="G1422" s="9" t="n">
        <v>20.10256410256411</v>
      </c>
      <c r="H1422" s="9" t="n">
        <v>20.10256410256411</v>
      </c>
      <c r="I1422" s="9" t="inlineStr">
        <is>
          <t>Depth (no MLB PA)</t>
        </is>
      </c>
      <c r="J1422" s="16" t="inlineStr">
        <is>
          <t>Opening Day</t>
        </is>
      </c>
      <c r="K1422" s="11">
        <f>IFERROR(INDEX(Roles!$B$17:$B$20,MATCH(J1422,Roles!$A$17:$A$20,0)),1)</f>
        <v/>
      </c>
      <c r="L1422" s="17" t="n">
        <v>1</v>
      </c>
      <c r="M1422" s="11" t="n">
        <v>1</v>
      </c>
      <c r="N1422" s="17" t="n"/>
      <c r="O1422" s="17" t="n"/>
      <c r="P1422" s="17" t="n"/>
      <c r="Q1422" s="17" t="n"/>
      <c r="R1422" s="17" t="n"/>
      <c r="S1422" s="17" t="n"/>
      <c r="T1422" s="17" t="n"/>
      <c r="U1422" s="17" t="n"/>
      <c r="V1422" s="17" t="n"/>
      <c r="W1422" s="17" t="n"/>
      <c r="X1422" s="17" t="n"/>
      <c r="Y1422" s="17" t="n">
        <v>1</v>
      </c>
      <c r="Z1422" s="13">
        <f>SUMPRODUCT(N1422:Y1422,$N$2:$Y$2)*$K1422*$L1422*$M1422</f>
        <v/>
      </c>
      <c r="AA1422" s="14">
        <f>SUM(N1422:Y1422)</f>
        <v/>
      </c>
      <c r="AB1422" s="14">
        <f>IFERROR(IF(UPPER($E1422)="L",SUMPRODUCT(N1422:Y1422,$N$3:$Y$3,$N$2:$Y$2),SUMPRODUCT(N1422:Y1422,$N$4:$Y$4,$N$2:$Y$2))/(Z1422/($K1422*$L1422*$M1422)),"")</f>
        <v/>
      </c>
      <c r="AC1422" s="18" t="n"/>
    </row>
    <row r="1423">
      <c r="A1423" s="9" t="n">
        <v>834966</v>
      </c>
      <c r="B1423" s="9" t="inlineStr">
        <is>
          <t>Dylan Grego</t>
        </is>
      </c>
      <c r="C1423" s="9" t="inlineStr">
        <is>
          <t>SD</t>
        </is>
      </c>
      <c r="D1423" s="9" t="n">
        <v>25</v>
      </c>
      <c r="E1423" s="16" t="inlineStr">
        <is>
          <t>S</t>
        </is>
      </c>
      <c r="F1423" s="16" t="n"/>
      <c r="G1423" s="9" t="n">
        <v>11.28205128205128</v>
      </c>
      <c r="H1423" s="9" t="n">
        <v>11.28205128205128</v>
      </c>
      <c r="I1423" s="9" t="inlineStr">
        <is>
          <t>Depth (no MLB PA)</t>
        </is>
      </c>
      <c r="J1423" s="16" t="inlineStr">
        <is>
          <t>Opening Day</t>
        </is>
      </c>
      <c r="K1423" s="11">
        <f>IFERROR(INDEX(Roles!$B$17:$B$20,MATCH(J1423,Roles!$A$17:$A$20,0)),1)</f>
        <v/>
      </c>
      <c r="L1423" s="17" t="n">
        <v>1</v>
      </c>
      <c r="M1423" s="11" t="n">
        <v>1</v>
      </c>
      <c r="N1423" s="17" t="n"/>
      <c r="O1423" s="17" t="n"/>
      <c r="P1423" s="17" t="n"/>
      <c r="Q1423" s="17" t="n"/>
      <c r="R1423" s="17" t="n"/>
      <c r="S1423" s="17" t="n"/>
      <c r="T1423" s="17" t="n"/>
      <c r="U1423" s="17" t="n"/>
      <c r="V1423" s="17" t="n"/>
      <c r="W1423" s="17" t="n"/>
      <c r="X1423" s="17" t="n"/>
      <c r="Y1423" s="17" t="n">
        <v>1</v>
      </c>
      <c r="Z1423" s="13">
        <f>SUMPRODUCT(N1423:Y1423,$N$2:$Y$2)*$K1423*$L1423*$M1423</f>
        <v/>
      </c>
      <c r="AA1423" s="14">
        <f>SUM(N1423:Y1423)</f>
        <v/>
      </c>
      <c r="AB1423" s="14">
        <f>IFERROR(IF(UPPER($E1423)="L",SUMPRODUCT(N1423:Y1423,$N$3:$Y$3,$N$2:$Y$2),SUMPRODUCT(N1423:Y1423,$N$4:$Y$4,$N$2:$Y$2))/(Z1423/($K1423*$L1423*$M1423)),"")</f>
        <v/>
      </c>
      <c r="AC1423" s="18" t="n"/>
    </row>
    <row r="1424">
      <c r="A1424" s="9" t="n">
        <v>806176</v>
      </c>
      <c r="B1424" s="9" t="inlineStr">
        <is>
          <t>Jose Ortiz</t>
        </is>
      </c>
      <c r="C1424" s="9" t="inlineStr">
        <is>
          <t>SF</t>
        </is>
      </c>
      <c r="D1424" s="9" t="n">
        <v>25</v>
      </c>
      <c r="E1424" s="16" t="inlineStr">
        <is>
          <t>R</t>
        </is>
      </c>
      <c r="F1424" s="16" t="n"/>
      <c r="G1424" s="9" t="n">
        <v>10.87179487179487</v>
      </c>
      <c r="H1424" s="9" t="n">
        <v>10.87179487179487</v>
      </c>
      <c r="I1424" s="9" t="inlineStr">
        <is>
          <t>Depth (no MLB PA)</t>
        </is>
      </c>
      <c r="J1424" s="16" t="inlineStr">
        <is>
          <t>Opening Day</t>
        </is>
      </c>
      <c r="K1424" s="11">
        <f>IFERROR(INDEX(Roles!$B$17:$B$20,MATCH(J1424,Roles!$A$17:$A$20,0)),1)</f>
        <v/>
      </c>
      <c r="L1424" s="17" t="n">
        <v>1</v>
      </c>
      <c r="M1424" s="11" t="n">
        <v>1</v>
      </c>
      <c r="N1424" s="17" t="n"/>
      <c r="O1424" s="17" t="n"/>
      <c r="P1424" s="17" t="n"/>
      <c r="Q1424" s="17" t="n"/>
      <c r="R1424" s="17" t="n"/>
      <c r="S1424" s="17" t="n"/>
      <c r="T1424" s="17" t="n"/>
      <c r="U1424" s="17" t="n"/>
      <c r="V1424" s="17" t="n"/>
      <c r="W1424" s="17" t="n"/>
      <c r="X1424" s="17" t="n"/>
      <c r="Y1424" s="17" t="n">
        <v>1</v>
      </c>
      <c r="Z1424" s="13">
        <f>SUMPRODUCT(N1424:Y1424,$N$2:$Y$2)*$K1424*$L1424*$M1424</f>
        <v/>
      </c>
      <c r="AA1424" s="14">
        <f>SUM(N1424:Y1424)</f>
        <v/>
      </c>
      <c r="AB1424" s="14">
        <f>IFERROR(IF(UPPER($E1424)="L",SUMPRODUCT(N1424:Y1424,$N$3:$Y$3,$N$2:$Y$2),SUMPRODUCT(N1424:Y1424,$N$4:$Y$4,$N$2:$Y$2))/(Z1424/($K1424*$L1424*$M1424)),"")</f>
        <v/>
      </c>
      <c r="AC1424" s="18" t="n"/>
    </row>
    <row r="1425">
      <c r="A1425" s="9" t="n">
        <v>821613</v>
      </c>
      <c r="B1425" s="9" t="inlineStr">
        <is>
          <t>Luis Fragoza</t>
        </is>
      </c>
      <c r="C1425" s="9" t="inlineStr">
        <is>
          <t>MIN</t>
        </is>
      </c>
      <c r="D1425" s="9" t="n">
        <v>21</v>
      </c>
      <c r="E1425" s="16" t="inlineStr">
        <is>
          <t>R</t>
        </is>
      </c>
      <c r="F1425" s="16" t="n"/>
      <c r="G1425" s="9" t="n">
        <v>10.87179487179487</v>
      </c>
      <c r="H1425" s="9" t="n">
        <v>10.87179487179487</v>
      </c>
      <c r="I1425" s="9" t="inlineStr">
        <is>
          <t>Depth (no MLB PA)</t>
        </is>
      </c>
      <c r="J1425" s="16" t="inlineStr">
        <is>
          <t>Opening Day</t>
        </is>
      </c>
      <c r="K1425" s="11">
        <f>IFERROR(INDEX(Roles!$B$17:$B$20,MATCH(J1425,Roles!$A$17:$A$20,0)),1)</f>
        <v/>
      </c>
      <c r="L1425" s="17" t="n">
        <v>1</v>
      </c>
      <c r="M1425" s="11" t="n">
        <v>1</v>
      </c>
      <c r="N1425" s="17" t="n"/>
      <c r="O1425" s="17" t="n"/>
      <c r="P1425" s="17" t="n"/>
      <c r="Q1425" s="17" t="n"/>
      <c r="R1425" s="17" t="n"/>
      <c r="S1425" s="17" t="n"/>
      <c r="T1425" s="17" t="n"/>
      <c r="U1425" s="17" t="n"/>
      <c r="V1425" s="17" t="n"/>
      <c r="W1425" s="17" t="n"/>
      <c r="X1425" s="17" t="n"/>
      <c r="Y1425" s="17" t="n">
        <v>1</v>
      </c>
      <c r="Z1425" s="13">
        <f>SUMPRODUCT(N1425:Y1425,$N$2:$Y$2)*$K1425*$L1425*$M1425</f>
        <v/>
      </c>
      <c r="AA1425" s="14">
        <f>SUM(N1425:Y1425)</f>
        <v/>
      </c>
      <c r="AB1425" s="14">
        <f>IFERROR(IF(UPPER($E1425)="L",SUMPRODUCT(N1425:Y1425,$N$3:$Y$3,$N$2:$Y$2),SUMPRODUCT(N1425:Y1425,$N$4:$Y$4,$N$2:$Y$2))/(Z1425/($K1425*$L1425*$M1425)),"")</f>
        <v/>
      </c>
      <c r="AC1425" s="18" t="n"/>
    </row>
    <row r="1426">
      <c r="A1426" s="9" t="n">
        <v>677007</v>
      </c>
      <c r="B1426" s="9" t="inlineStr">
        <is>
          <t>Josh Breaux</t>
        </is>
      </c>
      <c r="C1426" s="9" t="inlineStr">
        <is>
          <t>CWS</t>
        </is>
      </c>
      <c r="D1426" s="9" t="n">
        <v>25</v>
      </c>
      <c r="E1426" s="16" t="inlineStr">
        <is>
          <t>R</t>
        </is>
      </c>
      <c r="F1426" s="16" t="n"/>
      <c r="G1426" s="9" t="n">
        <v>26.51282051282051</v>
      </c>
      <c r="H1426" s="9" t="n">
        <v>26.51282051282051</v>
      </c>
      <c r="I1426" s="9" t="inlineStr">
        <is>
          <t>Depth (no MLB PA)</t>
        </is>
      </c>
      <c r="J1426" s="16" t="inlineStr">
        <is>
          <t>Opening Day</t>
        </is>
      </c>
      <c r="K1426" s="11">
        <f>IFERROR(INDEX(Roles!$B$17:$B$20,MATCH(J1426,Roles!$A$17:$A$20,0)),1)</f>
        <v/>
      </c>
      <c r="L1426" s="17" t="n">
        <v>1</v>
      </c>
      <c r="M1426" s="11" t="n">
        <v>1</v>
      </c>
      <c r="N1426" s="17" t="n"/>
      <c r="O1426" s="17" t="n"/>
      <c r="P1426" s="17" t="n"/>
      <c r="Q1426" s="17" t="n"/>
      <c r="R1426" s="17" t="n"/>
      <c r="S1426" s="17" t="n"/>
      <c r="T1426" s="17" t="n"/>
      <c r="U1426" s="17" t="n"/>
      <c r="V1426" s="17" t="n"/>
      <c r="W1426" s="17" t="n"/>
      <c r="X1426" s="17" t="n"/>
      <c r="Y1426" s="17" t="n">
        <v>1</v>
      </c>
      <c r="Z1426" s="13">
        <f>SUMPRODUCT(N1426:Y1426,$N$2:$Y$2)*$K1426*$L1426*$M1426</f>
        <v/>
      </c>
      <c r="AA1426" s="14">
        <f>SUM(N1426:Y1426)</f>
        <v/>
      </c>
      <c r="AB1426" s="14">
        <f>IFERROR(IF(UPPER($E1426)="L",SUMPRODUCT(N1426:Y1426,$N$3:$Y$3,$N$2:$Y$2),SUMPRODUCT(N1426:Y1426,$N$4:$Y$4,$N$2:$Y$2))/(Z1426/($K1426*$L1426*$M1426)),"")</f>
        <v/>
      </c>
      <c r="AC1426" s="18" t="n"/>
    </row>
    <row r="1427">
      <c r="A1427" s="9" t="n">
        <v>703143</v>
      </c>
      <c r="B1427" s="9" t="inlineStr">
        <is>
          <t>Cristhian Vaquero</t>
        </is>
      </c>
      <c r="C1427" s="9" t="inlineStr">
        <is>
          <t>WSH</t>
        </is>
      </c>
      <c r="D1427" s="9" t="n">
        <v>25</v>
      </c>
      <c r="E1427" s="16" t="inlineStr">
        <is>
          <t>S</t>
        </is>
      </c>
      <c r="F1427" s="16" t="n"/>
      <c r="G1427" s="9" t="n">
        <v>11.07692307692308</v>
      </c>
      <c r="H1427" s="9" t="n">
        <v>11.07692307692308</v>
      </c>
      <c r="I1427" s="9" t="inlineStr">
        <is>
          <t>Depth (no MLB PA)</t>
        </is>
      </c>
      <c r="J1427" s="16" t="inlineStr">
        <is>
          <t>Opening Day</t>
        </is>
      </c>
      <c r="K1427" s="11">
        <f>IFERROR(INDEX(Roles!$B$17:$B$20,MATCH(J1427,Roles!$A$17:$A$20,0)),1)</f>
        <v/>
      </c>
      <c r="L1427" s="17" t="n">
        <v>1</v>
      </c>
      <c r="M1427" s="11" t="n">
        <v>1</v>
      </c>
      <c r="N1427" s="17" t="n"/>
      <c r="O1427" s="17" t="n"/>
      <c r="P1427" s="17" t="n"/>
      <c r="Q1427" s="17" t="n"/>
      <c r="R1427" s="17" t="n"/>
      <c r="S1427" s="17" t="n"/>
      <c r="T1427" s="17" t="n"/>
      <c r="U1427" s="17" t="n"/>
      <c r="V1427" s="17" t="n"/>
      <c r="W1427" s="17" t="n"/>
      <c r="X1427" s="17" t="n"/>
      <c r="Y1427" s="17" t="n">
        <v>1</v>
      </c>
      <c r="Z1427" s="13">
        <f>SUMPRODUCT(N1427:Y1427,$N$2:$Y$2)*$K1427*$L1427*$M1427</f>
        <v/>
      </c>
      <c r="AA1427" s="14">
        <f>SUM(N1427:Y1427)</f>
        <v/>
      </c>
      <c r="AB1427" s="14">
        <f>IFERROR(IF(UPPER($E1427)="L",SUMPRODUCT(N1427:Y1427,$N$3:$Y$3,$N$2:$Y$2),SUMPRODUCT(N1427:Y1427,$N$4:$Y$4,$N$2:$Y$2))/(Z1427/($K1427*$L1427*$M1427)),"")</f>
        <v/>
      </c>
      <c r="AC1427" s="18" t="n"/>
    </row>
    <row r="1428">
      <c r="A1428" s="9" t="n">
        <v>701701</v>
      </c>
      <c r="B1428" s="9" t="inlineStr">
        <is>
          <t>Quincy Scott</t>
        </is>
      </c>
      <c r="C1428" s="9" t="inlineStr">
        <is>
          <t>TEX</t>
        </is>
      </c>
      <c r="D1428" s="9" t="n">
        <v>25</v>
      </c>
      <c r="E1428" s="16" t="inlineStr">
        <is>
          <t>R</t>
        </is>
      </c>
      <c r="F1428" s="16" t="n"/>
      <c r="G1428" s="9" t="n">
        <v>70.97435897435898</v>
      </c>
      <c r="H1428" s="9" t="n">
        <v>70.97435897435898</v>
      </c>
      <c r="I1428" s="9" t="inlineStr">
        <is>
          <t>Depth (no MLB PA)</t>
        </is>
      </c>
      <c r="J1428" s="16" t="inlineStr">
        <is>
          <t>Opening Day</t>
        </is>
      </c>
      <c r="K1428" s="11">
        <f>IFERROR(INDEX(Roles!$B$17:$B$20,MATCH(J1428,Roles!$A$17:$A$20,0)),1)</f>
        <v/>
      </c>
      <c r="L1428" s="17" t="n">
        <v>1</v>
      </c>
      <c r="M1428" s="11" t="n">
        <v>1</v>
      </c>
      <c r="N1428" s="17" t="n"/>
      <c r="O1428" s="17" t="n"/>
      <c r="P1428" s="17" t="n"/>
      <c r="Q1428" s="17" t="n"/>
      <c r="R1428" s="17" t="n"/>
      <c r="S1428" s="17" t="n"/>
      <c r="T1428" s="17" t="n"/>
      <c r="U1428" s="17" t="n"/>
      <c r="V1428" s="17" t="n"/>
      <c r="W1428" s="17" t="n"/>
      <c r="X1428" s="17" t="n"/>
      <c r="Y1428" s="17" t="n">
        <v>1</v>
      </c>
      <c r="Z1428" s="13">
        <f>SUMPRODUCT(N1428:Y1428,$N$2:$Y$2)*$K1428*$L1428*$M1428</f>
        <v/>
      </c>
      <c r="AA1428" s="14">
        <f>SUM(N1428:Y1428)</f>
        <v/>
      </c>
      <c r="AB1428" s="14">
        <f>IFERROR(IF(UPPER($E1428)="L",SUMPRODUCT(N1428:Y1428,$N$3:$Y$3,$N$2:$Y$2),SUMPRODUCT(N1428:Y1428,$N$4:$Y$4,$N$2:$Y$2))/(Z1428/($K1428*$L1428*$M1428)),"")</f>
        <v/>
      </c>
      <c r="AC1428" s="18" t="n"/>
    </row>
    <row r="1429">
      <c r="A1429" s="9" t="n">
        <v>826545</v>
      </c>
      <c r="B1429" s="9" t="inlineStr">
        <is>
          <t>Brendan Durfee</t>
        </is>
      </c>
      <c r="C1429" s="9" t="inlineStr">
        <is>
          <t>SD</t>
        </is>
      </c>
      <c r="D1429" s="9" t="n">
        <v>25</v>
      </c>
      <c r="E1429" s="16" t="inlineStr">
        <is>
          <t>L</t>
        </is>
      </c>
      <c r="F1429" s="16" t="n"/>
      <c r="G1429" s="9" t="n">
        <v>45.23076923076923</v>
      </c>
      <c r="H1429" s="9" t="n">
        <v>45.23076923076923</v>
      </c>
      <c r="I1429" s="9" t="inlineStr">
        <is>
          <t>Depth (no MLB PA)</t>
        </is>
      </c>
      <c r="J1429" s="16" t="inlineStr">
        <is>
          <t>Opening Day</t>
        </is>
      </c>
      <c r="K1429" s="11">
        <f>IFERROR(INDEX(Roles!$B$17:$B$20,MATCH(J1429,Roles!$A$17:$A$20,0)),1)</f>
        <v/>
      </c>
      <c r="L1429" s="17" t="n">
        <v>1</v>
      </c>
      <c r="M1429" s="11" t="n">
        <v>1</v>
      </c>
      <c r="N1429" s="17" t="n"/>
      <c r="O1429" s="17" t="n"/>
      <c r="P1429" s="17" t="n"/>
      <c r="Q1429" s="17" t="n"/>
      <c r="R1429" s="17" t="n"/>
      <c r="S1429" s="17" t="n"/>
      <c r="T1429" s="17" t="n"/>
      <c r="U1429" s="17" t="n"/>
      <c r="V1429" s="17" t="n"/>
      <c r="W1429" s="17" t="n"/>
      <c r="X1429" s="17" t="n"/>
      <c r="Y1429" s="17" t="n">
        <v>1</v>
      </c>
      <c r="Z1429" s="13">
        <f>SUMPRODUCT(N1429:Y1429,$N$2:$Y$2)*$K1429*$L1429*$M1429</f>
        <v/>
      </c>
      <c r="AA1429" s="14">
        <f>SUM(N1429:Y1429)</f>
        <v/>
      </c>
      <c r="AB1429" s="14">
        <f>IFERROR(IF(UPPER($E1429)="L",SUMPRODUCT(N1429:Y1429,$N$3:$Y$3,$N$2:$Y$2),SUMPRODUCT(N1429:Y1429,$N$4:$Y$4,$N$2:$Y$2))/(Z1429/($K1429*$L1429*$M1429)),"")</f>
        <v/>
      </c>
      <c r="AC1429" s="18" t="n"/>
    </row>
    <row r="1430">
      <c r="A1430" s="9" t="n">
        <v>691944</v>
      </c>
      <c r="B1430" s="9" t="inlineStr">
        <is>
          <t>Mac Guscette</t>
        </is>
      </c>
      <c r="C1430" s="9" t="inlineStr">
        <is>
          <t>ATL</t>
        </is>
      </c>
      <c r="D1430" s="9" t="n">
        <v>25</v>
      </c>
      <c r="E1430" s="16" t="inlineStr">
        <is>
          <t>R</t>
        </is>
      </c>
      <c r="F1430" s="16" t="n"/>
      <c r="G1430" s="9" t="n">
        <v>33.02564102564103</v>
      </c>
      <c r="H1430" s="9" t="n">
        <v>33.02564102564103</v>
      </c>
      <c r="I1430" s="9" t="inlineStr">
        <is>
          <t>Depth (no MLB PA)</t>
        </is>
      </c>
      <c r="J1430" s="16" t="inlineStr">
        <is>
          <t>Opening Day</t>
        </is>
      </c>
      <c r="K1430" s="11">
        <f>IFERROR(INDEX(Roles!$B$17:$B$20,MATCH(J1430,Roles!$A$17:$A$20,0)),1)</f>
        <v/>
      </c>
      <c r="L1430" s="17" t="n">
        <v>1</v>
      </c>
      <c r="M1430" s="11" t="n">
        <v>1</v>
      </c>
      <c r="N1430" s="17" t="n"/>
      <c r="O1430" s="17" t="n"/>
      <c r="P1430" s="17" t="n"/>
      <c r="Q1430" s="17" t="n"/>
      <c r="R1430" s="17" t="n"/>
      <c r="S1430" s="17" t="n"/>
      <c r="T1430" s="17" t="n"/>
      <c r="U1430" s="17" t="n"/>
      <c r="V1430" s="17" t="n"/>
      <c r="W1430" s="17" t="n"/>
      <c r="X1430" s="17" t="n"/>
      <c r="Y1430" s="17" t="n">
        <v>1</v>
      </c>
      <c r="Z1430" s="13">
        <f>SUMPRODUCT(N1430:Y1430,$N$2:$Y$2)*$K1430*$L1430*$M1430</f>
        <v/>
      </c>
      <c r="AA1430" s="14">
        <f>SUM(N1430:Y1430)</f>
        <v/>
      </c>
      <c r="AB1430" s="14">
        <f>IFERROR(IF(UPPER($E1430)="L",SUMPRODUCT(N1430:Y1430,$N$3:$Y$3,$N$2:$Y$2),SUMPRODUCT(N1430:Y1430,$N$4:$Y$4,$N$2:$Y$2))/(Z1430/($K1430*$L1430*$M1430)),"")</f>
        <v/>
      </c>
      <c r="AC1430" s="18" t="n"/>
    </row>
    <row r="1431">
      <c r="A1431" s="9" t="n">
        <v>691442</v>
      </c>
      <c r="B1431" s="9" t="inlineStr">
        <is>
          <t>Wilfred Veras</t>
        </is>
      </c>
      <c r="C1431" s="9" t="inlineStr">
        <is>
          <t>CWS</t>
        </is>
      </c>
      <c r="D1431" s="9" t="n">
        <v>25</v>
      </c>
      <c r="E1431" s="16" t="inlineStr">
        <is>
          <t>R</t>
        </is>
      </c>
      <c r="F1431" s="16" t="n"/>
      <c r="G1431" s="9" t="n">
        <v>62.46153846153845</v>
      </c>
      <c r="H1431" s="9" t="n">
        <v>62.46153846153845</v>
      </c>
      <c r="I1431" s="9" t="inlineStr">
        <is>
          <t>Depth (no MLB PA)</t>
        </is>
      </c>
      <c r="J1431" s="16" t="inlineStr">
        <is>
          <t>Opening Day</t>
        </is>
      </c>
      <c r="K1431" s="11">
        <f>IFERROR(INDEX(Roles!$B$17:$B$20,MATCH(J1431,Roles!$A$17:$A$20,0)),1)</f>
        <v/>
      </c>
      <c r="L1431" s="17" t="n">
        <v>1</v>
      </c>
      <c r="M1431" s="11" t="n">
        <v>1</v>
      </c>
      <c r="N1431" s="17" t="n"/>
      <c r="O1431" s="17" t="n"/>
      <c r="P1431" s="17" t="n"/>
      <c r="Q1431" s="17" t="n"/>
      <c r="R1431" s="17" t="n"/>
      <c r="S1431" s="17" t="n"/>
      <c r="T1431" s="17" t="n"/>
      <c r="U1431" s="17" t="n"/>
      <c r="V1431" s="17" t="n"/>
      <c r="W1431" s="17" t="n"/>
      <c r="X1431" s="17" t="n"/>
      <c r="Y1431" s="17" t="n">
        <v>1</v>
      </c>
      <c r="Z1431" s="13">
        <f>SUMPRODUCT(N1431:Y1431,$N$2:$Y$2)*$K1431*$L1431*$M1431</f>
        <v/>
      </c>
      <c r="AA1431" s="14">
        <f>SUM(N1431:Y1431)</f>
        <v/>
      </c>
      <c r="AB1431" s="14">
        <f>IFERROR(IF(UPPER($E1431)="L",SUMPRODUCT(N1431:Y1431,$N$3:$Y$3,$N$2:$Y$2),SUMPRODUCT(N1431:Y1431,$N$4:$Y$4,$N$2:$Y$2))/(Z1431/($K1431*$L1431*$M1431)),"")</f>
        <v/>
      </c>
      <c r="AC1431" s="18" t="n"/>
    </row>
    <row r="1432">
      <c r="A1432" s="9" t="n">
        <v>806083</v>
      </c>
      <c r="B1432" s="9" t="inlineStr">
        <is>
          <t>J.D. Gonzalez</t>
        </is>
      </c>
      <c r="C1432" s="9" t="inlineStr">
        <is>
          <t>TB</t>
        </is>
      </c>
      <c r="D1432" s="9" t="n">
        <v>25</v>
      </c>
      <c r="E1432" s="16" t="inlineStr">
        <is>
          <t>L</t>
        </is>
      </c>
      <c r="F1432" s="16" t="n"/>
      <c r="G1432" s="9" t="n">
        <v>19.48717948717949</v>
      </c>
      <c r="H1432" s="9" t="n">
        <v>19.48717948717949</v>
      </c>
      <c r="I1432" s="9" t="inlineStr">
        <is>
          <t>Depth (no MLB PA)</t>
        </is>
      </c>
      <c r="J1432" s="16" t="inlineStr">
        <is>
          <t>Opening Day</t>
        </is>
      </c>
      <c r="K1432" s="11">
        <f>IFERROR(INDEX(Roles!$B$17:$B$20,MATCH(J1432,Roles!$A$17:$A$20,0)),1)</f>
        <v/>
      </c>
      <c r="L1432" s="17" t="n">
        <v>1</v>
      </c>
      <c r="M1432" s="11" t="n">
        <v>1</v>
      </c>
      <c r="N1432" s="17" t="n"/>
      <c r="O1432" s="17" t="n"/>
      <c r="P1432" s="17" t="n"/>
      <c r="Q1432" s="17" t="n"/>
      <c r="R1432" s="17" t="n"/>
      <c r="S1432" s="17" t="n"/>
      <c r="T1432" s="17" t="n"/>
      <c r="U1432" s="17" t="n"/>
      <c r="V1432" s="17" t="n"/>
      <c r="W1432" s="17" t="n"/>
      <c r="X1432" s="17" t="n"/>
      <c r="Y1432" s="17" t="n">
        <v>1</v>
      </c>
      <c r="Z1432" s="13">
        <f>SUMPRODUCT(N1432:Y1432,$N$2:$Y$2)*$K1432*$L1432*$M1432</f>
        <v/>
      </c>
      <c r="AA1432" s="14">
        <f>SUM(N1432:Y1432)</f>
        <v/>
      </c>
      <c r="AB1432" s="14">
        <f>IFERROR(IF(UPPER($E1432)="L",SUMPRODUCT(N1432:Y1432,$N$3:$Y$3,$N$2:$Y$2),SUMPRODUCT(N1432:Y1432,$N$4:$Y$4,$N$2:$Y$2))/(Z1432/($K1432*$L1432*$M1432)),"")</f>
        <v/>
      </c>
      <c r="AC1432" s="18" t="n"/>
    </row>
    <row r="1433">
      <c r="A1433" s="9" t="n">
        <v>682729</v>
      </c>
      <c r="B1433" s="9" t="inlineStr">
        <is>
          <t>Jonatan Clase</t>
        </is>
      </c>
      <c r="C1433" s="9" t="inlineStr">
        <is>
          <t>TOR</t>
        </is>
      </c>
      <c r="D1433" s="9" t="n">
        <v>25</v>
      </c>
      <c r="E1433" s="16" t="inlineStr">
        <is>
          <t>S</t>
        </is>
      </c>
      <c r="F1433" s="16" t="inlineStr">
        <is>
          <t>LF</t>
        </is>
      </c>
      <c r="G1433" s="9" t="n">
        <v>25</v>
      </c>
      <c r="H1433" s="9" t="n">
        <v>203</v>
      </c>
      <c r="I1433" s="9" t="inlineStr">
        <is>
          <t>Injury Replacement / 26th Man</t>
        </is>
      </c>
      <c r="J1433" s="16" t="inlineStr">
        <is>
          <t>Opening Day</t>
        </is>
      </c>
      <c r="K1433" s="11">
        <f>IFERROR(INDEX(Roles!$B$17:$B$20,MATCH(J1433,Roles!$A$17:$A$20,0)),1)</f>
        <v/>
      </c>
      <c r="L1433" s="17" t="n">
        <v>1</v>
      </c>
      <c r="M1433" s="11" t="n">
        <v>1</v>
      </c>
      <c r="N1433" s="17" t="n"/>
      <c r="O1433" s="17" t="n"/>
      <c r="P1433" s="17" t="n"/>
      <c r="Q1433" s="17" t="n"/>
      <c r="R1433" s="17" t="n"/>
      <c r="S1433" s="17" t="n"/>
      <c r="T1433" s="17" t="n"/>
      <c r="U1433" s="17" t="n"/>
      <c r="V1433" s="17" t="n"/>
      <c r="W1433" s="17" t="n">
        <v>0.15</v>
      </c>
      <c r="X1433" s="17" t="n">
        <v>0.85</v>
      </c>
      <c r="Y1433" s="17" t="n"/>
      <c r="Z1433" s="13">
        <f>SUMPRODUCT(N1433:Y1433,$N$2:$Y$2)*$K1433*$L1433*$M1433</f>
        <v/>
      </c>
      <c r="AA1433" s="14">
        <f>SUM(N1433:Y1433)</f>
        <v/>
      </c>
      <c r="AB1433" s="14">
        <f>IFERROR(IF(UPPER($E1433)="L",SUMPRODUCT(N1433:Y1433,$N$3:$Y$3,$N$2:$Y$2),SUMPRODUCT(N1433:Y1433,$N$4:$Y$4,$N$2:$Y$2))/(Z1433/($K1433*$L1433*$M1433)),"")</f>
        <v/>
      </c>
      <c r="AC1433" s="18" t="n"/>
    </row>
    <row r="1434">
      <c r="A1434" s="9" t="n">
        <v>804946</v>
      </c>
      <c r="B1434" s="9" t="inlineStr">
        <is>
          <t>Tyler Howard</t>
        </is>
      </c>
      <c r="C1434" s="9" t="inlineStr">
        <is>
          <t>CLE</t>
        </is>
      </c>
      <c r="D1434" s="9" t="n">
        <v>25</v>
      </c>
      <c r="E1434" s="16" t="inlineStr">
        <is>
          <t>R</t>
        </is>
      </c>
      <c r="F1434" s="16" t="n"/>
      <c r="G1434" s="9" t="n">
        <v>24.41025641025641</v>
      </c>
      <c r="H1434" s="9" t="n">
        <v>24.41025641025641</v>
      </c>
      <c r="I1434" s="9" t="inlineStr">
        <is>
          <t>Depth (no MLB PA)</t>
        </is>
      </c>
      <c r="J1434" s="16" t="inlineStr">
        <is>
          <t>Opening Day</t>
        </is>
      </c>
      <c r="K1434" s="11">
        <f>IFERROR(INDEX(Roles!$B$17:$B$20,MATCH(J1434,Roles!$A$17:$A$20,0)),1)</f>
        <v/>
      </c>
      <c r="L1434" s="17" t="n">
        <v>1</v>
      </c>
      <c r="M1434" s="11" t="n">
        <v>1</v>
      </c>
      <c r="N1434" s="17" t="n"/>
      <c r="O1434" s="17" t="n"/>
      <c r="P1434" s="17" t="n"/>
      <c r="Q1434" s="17" t="n"/>
      <c r="R1434" s="17" t="n"/>
      <c r="S1434" s="17" t="n"/>
      <c r="T1434" s="17" t="n"/>
      <c r="U1434" s="17" t="n"/>
      <c r="V1434" s="17" t="n"/>
      <c r="W1434" s="17" t="n"/>
      <c r="X1434" s="17" t="n"/>
      <c r="Y1434" s="17" t="n">
        <v>1</v>
      </c>
      <c r="Z1434" s="13">
        <f>SUMPRODUCT(N1434:Y1434,$N$2:$Y$2)*$K1434*$L1434*$M1434</f>
        <v/>
      </c>
      <c r="AA1434" s="14">
        <f>SUM(N1434:Y1434)</f>
        <v/>
      </c>
      <c r="AB1434" s="14">
        <f>IFERROR(IF(UPPER($E1434)="L",SUMPRODUCT(N1434:Y1434,$N$3:$Y$3,$N$2:$Y$2),SUMPRODUCT(N1434:Y1434,$N$4:$Y$4,$N$2:$Y$2))/(Z1434/($K1434*$L1434*$M1434)),"")</f>
        <v/>
      </c>
      <c r="AC1434" s="18" t="n"/>
    </row>
    <row r="1435">
      <c r="A1435" s="9" t="n">
        <v>692366</v>
      </c>
      <c r="B1435" s="9" t="inlineStr">
        <is>
          <t>Onil Perez</t>
        </is>
      </c>
      <c r="C1435" s="9" t="inlineStr">
        <is>
          <t>SF</t>
        </is>
      </c>
      <c r="D1435" s="9" t="n">
        <v>25</v>
      </c>
      <c r="E1435" s="16" t="inlineStr">
        <is>
          <t>R</t>
        </is>
      </c>
      <c r="F1435" s="16" t="n"/>
      <c r="G1435" s="9" t="n">
        <v>11.48717948717949</v>
      </c>
      <c r="H1435" s="9" t="n">
        <v>11.48717948717949</v>
      </c>
      <c r="I1435" s="9" t="inlineStr">
        <is>
          <t>Depth (no MLB PA)</t>
        </is>
      </c>
      <c r="J1435" s="16" t="inlineStr">
        <is>
          <t>Opening Day</t>
        </is>
      </c>
      <c r="K1435" s="11">
        <f>IFERROR(INDEX(Roles!$B$17:$B$20,MATCH(J1435,Roles!$A$17:$A$20,0)),1)</f>
        <v/>
      </c>
      <c r="L1435" s="17" t="n">
        <v>1</v>
      </c>
      <c r="M1435" s="11" t="n">
        <v>1</v>
      </c>
      <c r="N1435" s="17" t="n"/>
      <c r="O1435" s="17" t="n"/>
      <c r="P1435" s="17" t="n"/>
      <c r="Q1435" s="17" t="n"/>
      <c r="R1435" s="17" t="n"/>
      <c r="S1435" s="17" t="n"/>
      <c r="T1435" s="17" t="n"/>
      <c r="U1435" s="17" t="n"/>
      <c r="V1435" s="17" t="n"/>
      <c r="W1435" s="17" t="n"/>
      <c r="X1435" s="17" t="n"/>
      <c r="Y1435" s="17" t="n">
        <v>1</v>
      </c>
      <c r="Z1435" s="13">
        <f>SUMPRODUCT(N1435:Y1435,$N$2:$Y$2)*$K1435*$L1435*$M1435</f>
        <v/>
      </c>
      <c r="AA1435" s="14">
        <f>SUM(N1435:Y1435)</f>
        <v/>
      </c>
      <c r="AB1435" s="14">
        <f>IFERROR(IF(UPPER($E1435)="L",SUMPRODUCT(N1435:Y1435,$N$3:$Y$3,$N$2:$Y$2),SUMPRODUCT(N1435:Y1435,$N$4:$Y$4,$N$2:$Y$2))/(Z1435/($K1435*$L1435*$M1435)),"")</f>
        <v/>
      </c>
      <c r="AC1435" s="18" t="n"/>
    </row>
    <row r="1436">
      <c r="A1436" s="9" t="n">
        <v>676761</v>
      </c>
      <c r="B1436" s="9" t="inlineStr">
        <is>
          <t>Irving Lopez</t>
        </is>
      </c>
      <c r="C1436" s="9" t="inlineStr">
        <is>
          <t>STL</t>
        </is>
      </c>
      <c r="D1436" s="9" t="n">
        <v>32</v>
      </c>
      <c r="E1436" s="16" t="inlineStr">
        <is>
          <t>L</t>
        </is>
      </c>
      <c r="F1436" s="16" t="inlineStr">
        <is>
          <t>3B</t>
        </is>
      </c>
      <c r="G1436" s="9" t="n">
        <v>12</v>
      </c>
      <c r="H1436" s="9" t="n">
        <v>12</v>
      </c>
      <c r="I1436" s="9" t="inlineStr">
        <is>
          <t>Depth (no MLB PA)</t>
        </is>
      </c>
      <c r="J1436" s="16" t="inlineStr">
        <is>
          <t>Opening Day</t>
        </is>
      </c>
      <c r="K1436" s="11">
        <f>IFERROR(INDEX(Roles!$B$17:$B$20,MATCH(J1436,Roles!$A$17:$A$20,0)),1)</f>
        <v/>
      </c>
      <c r="L1436" s="17" t="n">
        <v>1</v>
      </c>
      <c r="M1436" s="11" t="n">
        <v>1</v>
      </c>
      <c r="N1436" s="17" t="n"/>
      <c r="O1436" s="17" t="n"/>
      <c r="P1436" s="17" t="n"/>
      <c r="Q1436" s="17" t="n"/>
      <c r="R1436" s="17" t="n"/>
      <c r="S1436" s="17" t="n"/>
      <c r="T1436" s="17" t="n"/>
      <c r="U1436" s="17" t="n"/>
      <c r="V1436" s="17" t="n"/>
      <c r="W1436" s="17" t="n"/>
      <c r="X1436" s="17" t="n"/>
      <c r="Y1436" s="17" t="n">
        <v>1</v>
      </c>
      <c r="Z1436" s="13">
        <f>SUMPRODUCT(N1436:Y1436,$N$2:$Y$2)*$K1436*$L1436*$M1436</f>
        <v/>
      </c>
      <c r="AA1436" s="14">
        <f>SUM(N1436:Y1436)</f>
        <v/>
      </c>
      <c r="AB1436" s="14">
        <f>IFERROR(IF(UPPER($E1436)="L",SUMPRODUCT(N1436:Y1436,$N$3:$Y$3,$N$2:$Y$2),SUMPRODUCT(N1436:Y1436,$N$4:$Y$4,$N$2:$Y$2))/(Z1436/($K1436*$L1436*$M1436)),"")</f>
        <v/>
      </c>
      <c r="AC1436" s="18" t="n"/>
    </row>
    <row r="1437">
      <c r="A1437" s="9" t="n">
        <v>687553</v>
      </c>
      <c r="B1437" s="9" t="inlineStr">
        <is>
          <t>Kamren James</t>
        </is>
      </c>
      <c r="C1437" s="9" t="inlineStr">
        <is>
          <t>TB</t>
        </is>
      </c>
      <c r="D1437" s="9" t="n">
        <v>25</v>
      </c>
      <c r="E1437" s="16" t="inlineStr">
        <is>
          <t>R</t>
        </is>
      </c>
      <c r="F1437" s="16" t="n"/>
      <c r="G1437" s="9" t="n">
        <v>71.7948717948718</v>
      </c>
      <c r="H1437" s="9" t="n">
        <v>71.7948717948718</v>
      </c>
      <c r="I1437" s="9" t="inlineStr">
        <is>
          <t>Depth (no MLB PA)</t>
        </is>
      </c>
      <c r="J1437" s="16" t="inlineStr">
        <is>
          <t>Opening Day</t>
        </is>
      </c>
      <c r="K1437" s="11">
        <f>IFERROR(INDEX(Roles!$B$17:$B$20,MATCH(J1437,Roles!$A$17:$A$20,0)),1)</f>
        <v/>
      </c>
      <c r="L1437" s="17" t="n">
        <v>1</v>
      </c>
      <c r="M1437" s="11" t="n">
        <v>1</v>
      </c>
      <c r="N1437" s="17" t="n"/>
      <c r="O1437" s="17" t="n"/>
      <c r="P1437" s="17" t="n"/>
      <c r="Q1437" s="17" t="n"/>
      <c r="R1437" s="17" t="n"/>
      <c r="S1437" s="17" t="n"/>
      <c r="T1437" s="17" t="n"/>
      <c r="U1437" s="17" t="n"/>
      <c r="V1437" s="17" t="n"/>
      <c r="W1437" s="17" t="n"/>
      <c r="X1437" s="17" t="n"/>
      <c r="Y1437" s="17" t="n">
        <v>1</v>
      </c>
      <c r="Z1437" s="13">
        <f>SUMPRODUCT(N1437:Y1437,$N$2:$Y$2)*$K1437*$L1437*$M1437</f>
        <v/>
      </c>
      <c r="AA1437" s="14">
        <f>SUM(N1437:Y1437)</f>
        <v/>
      </c>
      <c r="AB1437" s="14">
        <f>IFERROR(IF(UPPER($E1437)="L",SUMPRODUCT(N1437:Y1437,$N$3:$Y$3,$N$2:$Y$2),SUMPRODUCT(N1437:Y1437,$N$4:$Y$4,$N$2:$Y$2))/(Z1437/($K1437*$L1437*$M1437)),"")</f>
        <v/>
      </c>
      <c r="AC1437" s="18" t="n"/>
    </row>
    <row r="1438">
      <c r="A1438" s="9" t="n">
        <v>691616</v>
      </c>
      <c r="B1438" s="9" t="inlineStr">
        <is>
          <t>Hedbert Perez</t>
        </is>
      </c>
      <c r="C1438" s="9" t="inlineStr">
        <is>
          <t>TOR</t>
        </is>
      </c>
      <c r="D1438" s="9" t="n">
        <v>25</v>
      </c>
      <c r="E1438" s="16" t="inlineStr">
        <is>
          <t>L</t>
        </is>
      </c>
      <c r="F1438" s="16" t="n"/>
      <c r="G1438" s="9" t="n">
        <v>62.46153846153845</v>
      </c>
      <c r="H1438" s="9" t="n">
        <v>62.46153846153845</v>
      </c>
      <c r="I1438" s="9" t="inlineStr">
        <is>
          <t>Depth (no MLB PA)</t>
        </is>
      </c>
      <c r="J1438" s="16" t="inlineStr">
        <is>
          <t>Opening Day</t>
        </is>
      </c>
      <c r="K1438" s="11">
        <f>IFERROR(INDEX(Roles!$B$17:$B$20,MATCH(J1438,Roles!$A$17:$A$20,0)),1)</f>
        <v/>
      </c>
      <c r="L1438" s="17" t="n">
        <v>1</v>
      </c>
      <c r="M1438" s="11" t="n">
        <v>1</v>
      </c>
      <c r="N1438" s="17" t="n"/>
      <c r="O1438" s="17" t="n"/>
      <c r="P1438" s="17" t="n"/>
      <c r="Q1438" s="17" t="n"/>
      <c r="R1438" s="17" t="n"/>
      <c r="S1438" s="17" t="n"/>
      <c r="T1438" s="17" t="n"/>
      <c r="U1438" s="17" t="n"/>
      <c r="V1438" s="17" t="n"/>
      <c r="W1438" s="17" t="n"/>
      <c r="X1438" s="17" t="n"/>
      <c r="Y1438" s="17" t="n">
        <v>1</v>
      </c>
      <c r="Z1438" s="13">
        <f>SUMPRODUCT(N1438:Y1438,$N$2:$Y$2)*$K1438*$L1438*$M1438</f>
        <v/>
      </c>
      <c r="AA1438" s="14">
        <f>SUM(N1438:Y1438)</f>
        <v/>
      </c>
      <c r="AB1438" s="14">
        <f>IFERROR(IF(UPPER($E1438)="L",SUMPRODUCT(N1438:Y1438,$N$3:$Y$3,$N$2:$Y$2),SUMPRODUCT(N1438:Y1438,$N$4:$Y$4,$N$2:$Y$2))/(Z1438/($K1438*$L1438*$M1438)),"")</f>
        <v/>
      </c>
      <c r="AC1438" s="18" t="n"/>
    </row>
    <row r="1439">
      <c r="A1439" s="9" t="n">
        <v>808288</v>
      </c>
      <c r="B1439" s="9" t="inlineStr">
        <is>
          <t>Luis Lameda</t>
        </is>
      </c>
      <c r="C1439" s="9" t="inlineStr">
        <is>
          <t>MIL</t>
        </is>
      </c>
      <c r="D1439" s="9" t="n">
        <v>25</v>
      </c>
      <c r="E1439" s="16" t="inlineStr">
        <is>
          <t>S</t>
        </is>
      </c>
      <c r="F1439" s="16" t="n"/>
      <c r="G1439" s="9" t="n">
        <v>11.48717948717949</v>
      </c>
      <c r="H1439" s="9" t="n">
        <v>11.48717948717949</v>
      </c>
      <c r="I1439" s="9" t="inlineStr">
        <is>
          <t>Depth (no MLB PA)</t>
        </is>
      </c>
      <c r="J1439" s="16" t="inlineStr">
        <is>
          <t>Opening Day</t>
        </is>
      </c>
      <c r="K1439" s="11">
        <f>IFERROR(INDEX(Roles!$B$17:$B$20,MATCH(J1439,Roles!$A$17:$A$20,0)),1)</f>
        <v/>
      </c>
      <c r="L1439" s="17" t="n">
        <v>1</v>
      </c>
      <c r="M1439" s="11" t="n">
        <v>1</v>
      </c>
      <c r="N1439" s="17" t="n"/>
      <c r="O1439" s="17" t="n"/>
      <c r="P1439" s="17" t="n"/>
      <c r="Q1439" s="17" t="n"/>
      <c r="R1439" s="17" t="n"/>
      <c r="S1439" s="17" t="n"/>
      <c r="T1439" s="17" t="n"/>
      <c r="U1439" s="17" t="n"/>
      <c r="V1439" s="17" t="n"/>
      <c r="W1439" s="17" t="n"/>
      <c r="X1439" s="17" t="n"/>
      <c r="Y1439" s="17" t="n">
        <v>1</v>
      </c>
      <c r="Z1439" s="13">
        <f>SUMPRODUCT(N1439:Y1439,$N$2:$Y$2)*$K1439*$L1439*$M1439</f>
        <v/>
      </c>
      <c r="AA1439" s="14">
        <f>SUM(N1439:Y1439)</f>
        <v/>
      </c>
      <c r="AB1439" s="14">
        <f>IFERROR(IF(UPPER($E1439)="L",SUMPRODUCT(N1439:Y1439,$N$3:$Y$3,$N$2:$Y$2),SUMPRODUCT(N1439:Y1439,$N$4:$Y$4,$N$2:$Y$2))/(Z1439/($K1439*$L1439*$M1439)),"")</f>
        <v/>
      </c>
      <c r="AC1439" s="18" t="n"/>
    </row>
    <row r="1440">
      <c r="A1440" s="9" t="n">
        <v>816207</v>
      </c>
      <c r="B1440" s="9" t="inlineStr">
        <is>
          <t>Jared Davis</t>
        </is>
      </c>
      <c r="C1440" s="9" t="inlineStr">
        <is>
          <t>OAK</t>
        </is>
      </c>
      <c r="D1440" s="9" t="n">
        <v>25</v>
      </c>
      <c r="E1440" s="16" t="inlineStr">
        <is>
          <t>R</t>
        </is>
      </c>
      <c r="F1440" s="16" t="n"/>
      <c r="G1440" s="9" t="n">
        <v>11.69230769230769</v>
      </c>
      <c r="H1440" s="9" t="n">
        <v>11.69230769230769</v>
      </c>
      <c r="I1440" s="9" t="inlineStr">
        <is>
          <t>Depth (no MLB PA)</t>
        </is>
      </c>
      <c r="J1440" s="16" t="inlineStr">
        <is>
          <t>Opening Day</t>
        </is>
      </c>
      <c r="K1440" s="11">
        <f>IFERROR(INDEX(Roles!$B$17:$B$20,MATCH(J1440,Roles!$A$17:$A$20,0)),1)</f>
        <v/>
      </c>
      <c r="L1440" s="17" t="n">
        <v>1</v>
      </c>
      <c r="M1440" s="11" t="n">
        <v>1</v>
      </c>
      <c r="N1440" s="17" t="n"/>
      <c r="O1440" s="17" t="n"/>
      <c r="P1440" s="17" t="n"/>
      <c r="Q1440" s="17" t="n"/>
      <c r="R1440" s="17" t="n"/>
      <c r="S1440" s="17" t="n"/>
      <c r="T1440" s="17" t="n"/>
      <c r="U1440" s="17" t="n"/>
      <c r="V1440" s="17" t="n"/>
      <c r="W1440" s="17" t="n"/>
      <c r="X1440" s="17" t="n"/>
      <c r="Y1440" s="17" t="n">
        <v>1</v>
      </c>
      <c r="Z1440" s="13">
        <f>SUMPRODUCT(N1440:Y1440,$N$2:$Y$2)*$K1440*$L1440*$M1440</f>
        <v/>
      </c>
      <c r="AA1440" s="14">
        <f>SUM(N1440:Y1440)</f>
        <v/>
      </c>
      <c r="AB1440" s="14">
        <f>IFERROR(IF(UPPER($E1440)="L",SUMPRODUCT(N1440:Y1440,$N$3:$Y$3,$N$2:$Y$2),SUMPRODUCT(N1440:Y1440,$N$4:$Y$4,$N$2:$Y$2))/(Z1440/($K1440*$L1440*$M1440)),"")</f>
        <v/>
      </c>
      <c r="AC1440" s="18" t="n"/>
    </row>
    <row r="1441">
      <c r="A1441" s="9" t="n">
        <v>702114</v>
      </c>
      <c r="B1441" s="9" t="inlineStr">
        <is>
          <t>John Michael Faile</t>
        </is>
      </c>
      <c r="C1441" s="9" t="inlineStr">
        <is>
          <t>CIN</t>
        </is>
      </c>
      <c r="D1441" s="9" t="n">
        <v>25</v>
      </c>
      <c r="E1441" s="16" t="inlineStr">
        <is>
          <t>R</t>
        </is>
      </c>
      <c r="F1441" s="16" t="n"/>
      <c r="G1441" s="9" t="n">
        <v>71.58974358974359</v>
      </c>
      <c r="H1441" s="9" t="n">
        <v>71.58974358974359</v>
      </c>
      <c r="I1441" s="9" t="inlineStr">
        <is>
          <t>Depth (no MLB PA)</t>
        </is>
      </c>
      <c r="J1441" s="16" t="inlineStr">
        <is>
          <t>Opening Day</t>
        </is>
      </c>
      <c r="K1441" s="11">
        <f>IFERROR(INDEX(Roles!$B$17:$B$20,MATCH(J1441,Roles!$A$17:$A$20,0)),1)</f>
        <v/>
      </c>
      <c r="L1441" s="17" t="n">
        <v>1</v>
      </c>
      <c r="M1441" s="11" t="n">
        <v>1</v>
      </c>
      <c r="N1441" s="17" t="n"/>
      <c r="O1441" s="17" t="n"/>
      <c r="P1441" s="17" t="n"/>
      <c r="Q1441" s="17" t="n"/>
      <c r="R1441" s="17" t="n"/>
      <c r="S1441" s="17" t="n"/>
      <c r="T1441" s="17" t="n"/>
      <c r="U1441" s="17" t="n"/>
      <c r="V1441" s="17" t="n"/>
      <c r="W1441" s="17" t="n"/>
      <c r="X1441" s="17" t="n"/>
      <c r="Y1441" s="17" t="n">
        <v>1</v>
      </c>
      <c r="Z1441" s="13">
        <f>SUMPRODUCT(N1441:Y1441,$N$2:$Y$2)*$K1441*$L1441*$M1441</f>
        <v/>
      </c>
      <c r="AA1441" s="14">
        <f>SUM(N1441:Y1441)</f>
        <v/>
      </c>
      <c r="AB1441" s="14">
        <f>IFERROR(IF(UPPER($E1441)="L",SUMPRODUCT(N1441:Y1441,$N$3:$Y$3,$N$2:$Y$2),SUMPRODUCT(N1441:Y1441,$N$4:$Y$4,$N$2:$Y$2))/(Z1441/($K1441*$L1441*$M1441)),"")</f>
        <v/>
      </c>
      <c r="AC1441" s="18" t="n"/>
    </row>
    <row r="1442">
      <c r="A1442" s="9" t="n">
        <v>702517</v>
      </c>
      <c r="B1442" s="9" t="inlineStr">
        <is>
          <t>Mason White</t>
        </is>
      </c>
      <c r="C1442" s="9" t="inlineStr">
        <is>
          <t>BOS</t>
        </is>
      </c>
      <c r="D1442" s="9" t="n">
        <v>25</v>
      </c>
      <c r="E1442" s="16" t="inlineStr">
        <is>
          <t>L</t>
        </is>
      </c>
      <c r="F1442" s="16" t="n"/>
      <c r="G1442" s="9" t="n">
        <v>45.23076923076923</v>
      </c>
      <c r="H1442" s="9" t="n">
        <v>45.23076923076923</v>
      </c>
      <c r="I1442" s="9" t="inlineStr">
        <is>
          <t>Depth (no MLB PA)</t>
        </is>
      </c>
      <c r="J1442" s="16" t="inlineStr">
        <is>
          <t>Opening Day</t>
        </is>
      </c>
      <c r="K1442" s="11">
        <f>IFERROR(INDEX(Roles!$B$17:$B$20,MATCH(J1442,Roles!$A$17:$A$20,0)),1)</f>
        <v/>
      </c>
      <c r="L1442" s="17" t="n">
        <v>1</v>
      </c>
      <c r="M1442" s="11" t="n">
        <v>1</v>
      </c>
      <c r="N1442" s="17" t="n"/>
      <c r="O1442" s="17" t="n"/>
      <c r="P1442" s="17" t="n"/>
      <c r="Q1442" s="17" t="n"/>
      <c r="R1442" s="17" t="n"/>
      <c r="S1442" s="17" t="n"/>
      <c r="T1442" s="17" t="n"/>
      <c r="U1442" s="17" t="n"/>
      <c r="V1442" s="17" t="n"/>
      <c r="W1442" s="17" t="n"/>
      <c r="X1442" s="17" t="n"/>
      <c r="Y1442" s="17" t="n">
        <v>1</v>
      </c>
      <c r="Z1442" s="13">
        <f>SUMPRODUCT(N1442:Y1442,$N$2:$Y$2)*$K1442*$L1442*$M1442</f>
        <v/>
      </c>
      <c r="AA1442" s="14">
        <f>SUM(N1442:Y1442)</f>
        <v/>
      </c>
      <c r="AB1442" s="14">
        <f>IFERROR(IF(UPPER($E1442)="L",SUMPRODUCT(N1442:Y1442,$N$3:$Y$3,$N$2:$Y$2),SUMPRODUCT(N1442:Y1442,$N$4:$Y$4,$N$2:$Y$2))/(Z1442/($K1442*$L1442*$M1442)),"")</f>
        <v/>
      </c>
      <c r="AC1442" s="18" t="n"/>
    </row>
    <row r="1443">
      <c r="A1443" s="9" t="n">
        <v>814748</v>
      </c>
      <c r="B1443" s="9" t="inlineStr">
        <is>
          <t>Dariel Ramon</t>
        </is>
      </c>
      <c r="C1443" s="9" t="inlineStr">
        <is>
          <t>TOR</t>
        </is>
      </c>
      <c r="D1443" s="9" t="n">
        <v>25</v>
      </c>
      <c r="E1443" s="16" t="inlineStr">
        <is>
          <t>R</t>
        </is>
      </c>
      <c r="F1443" s="16" t="n"/>
      <c r="G1443" s="9" t="n">
        <v>11.48717948717949</v>
      </c>
      <c r="H1443" s="9" t="n">
        <v>11.48717948717949</v>
      </c>
      <c r="I1443" s="9" t="inlineStr">
        <is>
          <t>Depth (no MLB PA)</t>
        </is>
      </c>
      <c r="J1443" s="16" t="inlineStr">
        <is>
          <t>Opening Day</t>
        </is>
      </c>
      <c r="K1443" s="11">
        <f>IFERROR(INDEX(Roles!$B$17:$B$20,MATCH(J1443,Roles!$A$17:$A$20,0)),1)</f>
        <v/>
      </c>
      <c r="L1443" s="17" t="n">
        <v>1</v>
      </c>
      <c r="M1443" s="11" t="n">
        <v>1</v>
      </c>
      <c r="N1443" s="17" t="n"/>
      <c r="O1443" s="17" t="n"/>
      <c r="P1443" s="17" t="n"/>
      <c r="Q1443" s="17" t="n"/>
      <c r="R1443" s="17" t="n"/>
      <c r="S1443" s="17" t="n"/>
      <c r="T1443" s="17" t="n"/>
      <c r="U1443" s="17" t="n"/>
      <c r="V1443" s="17" t="n"/>
      <c r="W1443" s="17" t="n"/>
      <c r="X1443" s="17" t="n"/>
      <c r="Y1443" s="17" t="n">
        <v>1</v>
      </c>
      <c r="Z1443" s="13">
        <f>SUMPRODUCT(N1443:Y1443,$N$2:$Y$2)*$K1443*$L1443*$M1443</f>
        <v/>
      </c>
      <c r="AA1443" s="14">
        <f>SUM(N1443:Y1443)</f>
        <v/>
      </c>
      <c r="AB1443" s="14">
        <f>IFERROR(IF(UPPER($E1443)="L",SUMPRODUCT(N1443:Y1443,$N$3:$Y$3,$N$2:$Y$2),SUMPRODUCT(N1443:Y1443,$N$4:$Y$4,$N$2:$Y$2))/(Z1443/($K1443*$L1443*$M1443)),"")</f>
        <v/>
      </c>
      <c r="AC1443" s="18" t="n"/>
    </row>
    <row r="1444">
      <c r="A1444" s="9" t="n">
        <v>694204</v>
      </c>
      <c r="B1444" s="9" t="inlineStr">
        <is>
          <t>Maikol Hernández</t>
        </is>
      </c>
      <c r="C1444" s="9" t="inlineStr">
        <is>
          <t>BAL</t>
        </is>
      </c>
      <c r="D1444" s="9" t="n">
        <v>25</v>
      </c>
      <c r="E1444" s="16" t="inlineStr">
        <is>
          <t>R</t>
        </is>
      </c>
      <c r="F1444" s="16" t="n"/>
      <c r="G1444" s="9" t="n">
        <v>11.28205128205128</v>
      </c>
      <c r="H1444" s="9" t="n">
        <v>11.28205128205128</v>
      </c>
      <c r="I1444" s="9" t="inlineStr">
        <is>
          <t>Depth (no MLB PA)</t>
        </is>
      </c>
      <c r="J1444" s="16" t="inlineStr">
        <is>
          <t>Opening Day</t>
        </is>
      </c>
      <c r="K1444" s="11">
        <f>IFERROR(INDEX(Roles!$B$17:$B$20,MATCH(J1444,Roles!$A$17:$A$20,0)),1)</f>
        <v/>
      </c>
      <c r="L1444" s="17" t="n">
        <v>1</v>
      </c>
      <c r="M1444" s="11" t="n">
        <v>1</v>
      </c>
      <c r="N1444" s="17" t="n"/>
      <c r="O1444" s="17" t="n"/>
      <c r="P1444" s="17" t="n"/>
      <c r="Q1444" s="17" t="n"/>
      <c r="R1444" s="17" t="n"/>
      <c r="S1444" s="17" t="n"/>
      <c r="T1444" s="17" t="n"/>
      <c r="U1444" s="17" t="n"/>
      <c r="V1444" s="17" t="n"/>
      <c r="W1444" s="17" t="n"/>
      <c r="X1444" s="17" t="n"/>
      <c r="Y1444" s="17" t="n">
        <v>1</v>
      </c>
      <c r="Z1444" s="13">
        <f>SUMPRODUCT(N1444:Y1444,$N$2:$Y$2)*$K1444*$L1444*$M1444</f>
        <v/>
      </c>
      <c r="AA1444" s="14">
        <f>SUM(N1444:Y1444)</f>
        <v/>
      </c>
      <c r="AB1444" s="14">
        <f>IFERROR(IF(UPPER($E1444)="L",SUMPRODUCT(N1444:Y1444,$N$3:$Y$3,$N$2:$Y$2),SUMPRODUCT(N1444:Y1444,$N$4:$Y$4,$N$2:$Y$2))/(Z1444/($K1444*$L1444*$M1444)),"")</f>
        <v/>
      </c>
      <c r="AC1444" s="18" t="n"/>
    </row>
    <row r="1445">
      <c r="A1445" s="9" t="n">
        <v>828519</v>
      </c>
      <c r="B1445" s="9" t="inlineStr">
        <is>
          <t>Braylon Whitaker</t>
        </is>
      </c>
      <c r="C1445" s="9" t="inlineStr">
        <is>
          <t>BAL</t>
        </is>
      </c>
      <c r="D1445" s="9" t="n">
        <v>25</v>
      </c>
      <c r="E1445" s="16" t="inlineStr">
        <is>
          <t>L</t>
        </is>
      </c>
      <c r="F1445" s="16" t="n"/>
      <c r="G1445" s="9" t="n">
        <v>16</v>
      </c>
      <c r="H1445" s="9" t="n">
        <v>16</v>
      </c>
      <c r="I1445" s="9" t="inlineStr">
        <is>
          <t>Depth (no MLB PA)</t>
        </is>
      </c>
      <c r="J1445" s="16" t="inlineStr">
        <is>
          <t>Opening Day</t>
        </is>
      </c>
      <c r="K1445" s="11">
        <f>IFERROR(INDEX(Roles!$B$17:$B$20,MATCH(J1445,Roles!$A$17:$A$20,0)),1)</f>
        <v/>
      </c>
      <c r="L1445" s="17" t="n">
        <v>1</v>
      </c>
      <c r="M1445" s="11" t="n">
        <v>1</v>
      </c>
      <c r="N1445" s="17" t="n"/>
      <c r="O1445" s="17" t="n"/>
      <c r="P1445" s="17" t="n"/>
      <c r="Q1445" s="17" t="n"/>
      <c r="R1445" s="17" t="n"/>
      <c r="S1445" s="17" t="n"/>
      <c r="T1445" s="17" t="n"/>
      <c r="U1445" s="17" t="n"/>
      <c r="V1445" s="17" t="n"/>
      <c r="W1445" s="17" t="n"/>
      <c r="X1445" s="17" t="n"/>
      <c r="Y1445" s="17" t="n">
        <v>1</v>
      </c>
      <c r="Z1445" s="13">
        <f>SUMPRODUCT(N1445:Y1445,$N$2:$Y$2)*$K1445*$L1445*$M1445</f>
        <v/>
      </c>
      <c r="AA1445" s="14">
        <f>SUM(N1445:Y1445)</f>
        <v/>
      </c>
      <c r="AB1445" s="14">
        <f>IFERROR(IF(UPPER($E1445)="L",SUMPRODUCT(N1445:Y1445,$N$3:$Y$3,$N$2:$Y$2),SUMPRODUCT(N1445:Y1445,$N$4:$Y$4,$N$2:$Y$2))/(Z1445/($K1445*$L1445*$M1445)),"")</f>
        <v/>
      </c>
      <c r="AC1445" s="18" t="n"/>
    </row>
    <row r="1446">
      <c r="A1446" s="9" t="n">
        <v>801260</v>
      </c>
      <c r="B1446" s="9" t="inlineStr">
        <is>
          <t>Jairo Diaz</t>
        </is>
      </c>
      <c r="C1446" s="9" t="inlineStr">
        <is>
          <t>CHC</t>
        </is>
      </c>
      <c r="D1446" s="9" t="n">
        <v>25</v>
      </c>
      <c r="E1446" s="16" t="inlineStr">
        <is>
          <t>L</t>
        </is>
      </c>
      <c r="F1446" s="16" t="n"/>
      <c r="G1446" s="9" t="n">
        <v>15.63076923076923</v>
      </c>
      <c r="H1446" s="9" t="n">
        <v>15.63076923076923</v>
      </c>
      <c r="I1446" s="9" t="inlineStr">
        <is>
          <t>Depth (no MLB PA)</t>
        </is>
      </c>
      <c r="J1446" s="16" t="inlineStr">
        <is>
          <t>Opening Day</t>
        </is>
      </c>
      <c r="K1446" s="11">
        <f>IFERROR(INDEX(Roles!$B$17:$B$20,MATCH(J1446,Roles!$A$17:$A$20,0)),1)</f>
        <v/>
      </c>
      <c r="L1446" s="17" t="n">
        <v>1</v>
      </c>
      <c r="M1446" s="11" t="n">
        <v>1</v>
      </c>
      <c r="N1446" s="17" t="n"/>
      <c r="O1446" s="17" t="n"/>
      <c r="P1446" s="17" t="n"/>
      <c r="Q1446" s="17" t="n"/>
      <c r="R1446" s="17" t="n"/>
      <c r="S1446" s="17" t="n"/>
      <c r="T1446" s="17" t="n"/>
      <c r="U1446" s="17" t="n"/>
      <c r="V1446" s="17" t="n"/>
      <c r="W1446" s="17" t="n"/>
      <c r="X1446" s="17" t="n"/>
      <c r="Y1446" s="17" t="n">
        <v>1</v>
      </c>
      <c r="Z1446" s="13">
        <f>SUMPRODUCT(N1446:Y1446,$N$2:$Y$2)*$K1446*$L1446*$M1446</f>
        <v/>
      </c>
      <c r="AA1446" s="14">
        <f>SUM(N1446:Y1446)</f>
        <v/>
      </c>
      <c r="AB1446" s="14">
        <f>IFERROR(IF(UPPER($E1446)="L",SUMPRODUCT(N1446:Y1446,$N$3:$Y$3,$N$2:$Y$2),SUMPRODUCT(N1446:Y1446,$N$4:$Y$4,$N$2:$Y$2))/(Z1446/($K1446*$L1446*$M1446)),"")</f>
        <v/>
      </c>
      <c r="AC1446" s="18" t="n"/>
    </row>
    <row r="1447">
      <c r="A1447" s="9" t="n">
        <v>815897</v>
      </c>
      <c r="B1447" s="9" t="inlineStr">
        <is>
          <t>Robert Arias</t>
        </is>
      </c>
      <c r="C1447" s="9" t="inlineStr">
        <is>
          <t>CLE</t>
        </is>
      </c>
      <c r="D1447" s="9" t="n">
        <v>21</v>
      </c>
      <c r="E1447" s="16" t="inlineStr">
        <is>
          <t>L</t>
        </is>
      </c>
      <c r="F1447" s="16" t="n"/>
      <c r="G1447" s="9" t="n">
        <v>23.01538461538461</v>
      </c>
      <c r="H1447" s="9" t="n">
        <v>23.01538461538461</v>
      </c>
      <c r="I1447" s="9" t="inlineStr">
        <is>
          <t>Depth (no MLB PA)</t>
        </is>
      </c>
      <c r="J1447" s="16" t="inlineStr">
        <is>
          <t>Opening Day</t>
        </is>
      </c>
      <c r="K1447" s="11">
        <f>IFERROR(INDEX(Roles!$B$17:$B$20,MATCH(J1447,Roles!$A$17:$A$20,0)),1)</f>
        <v/>
      </c>
      <c r="L1447" s="17" t="n">
        <v>1</v>
      </c>
      <c r="M1447" s="11" t="n">
        <v>1</v>
      </c>
      <c r="N1447" s="17" t="n"/>
      <c r="O1447" s="17" t="n"/>
      <c r="P1447" s="17" t="n"/>
      <c r="Q1447" s="17" t="n"/>
      <c r="R1447" s="17" t="n"/>
      <c r="S1447" s="17" t="n"/>
      <c r="T1447" s="17" t="n"/>
      <c r="U1447" s="17" t="n"/>
      <c r="V1447" s="17" t="n"/>
      <c r="W1447" s="17" t="n"/>
      <c r="X1447" s="17" t="n"/>
      <c r="Y1447" s="17" t="n">
        <v>1</v>
      </c>
      <c r="Z1447" s="13">
        <f>SUMPRODUCT(N1447:Y1447,$N$2:$Y$2)*$K1447*$L1447*$M1447</f>
        <v/>
      </c>
      <c r="AA1447" s="14">
        <f>SUM(N1447:Y1447)</f>
        <v/>
      </c>
      <c r="AB1447" s="14">
        <f>IFERROR(IF(UPPER($E1447)="L",SUMPRODUCT(N1447:Y1447,$N$3:$Y$3,$N$2:$Y$2),SUMPRODUCT(N1447:Y1447,$N$4:$Y$4,$N$2:$Y$2))/(Z1447/($K1447*$L1447*$M1447)),"")</f>
        <v/>
      </c>
      <c r="AC1447" s="18" t="n"/>
    </row>
    <row r="1448">
      <c r="A1448" s="9" t="n">
        <v>683169</v>
      </c>
      <c r="B1448" s="9" t="inlineStr">
        <is>
          <t>Sean McLain</t>
        </is>
      </c>
      <c r="C1448" s="9" t="inlineStr">
        <is>
          <t>LAD</t>
        </is>
      </c>
      <c r="D1448" s="9" t="n">
        <v>25</v>
      </c>
      <c r="E1448" s="16" t="inlineStr">
        <is>
          <t>R</t>
        </is>
      </c>
      <c r="F1448" s="16" t="n"/>
      <c r="G1448" s="9" t="n">
        <v>71.43589743589743</v>
      </c>
      <c r="H1448" s="9" t="n">
        <v>71.43589743589743</v>
      </c>
      <c r="I1448" s="9" t="inlineStr">
        <is>
          <t>Depth (no MLB PA)</t>
        </is>
      </c>
      <c r="J1448" s="16" t="inlineStr">
        <is>
          <t>Opening Day</t>
        </is>
      </c>
      <c r="K1448" s="11">
        <f>IFERROR(INDEX(Roles!$B$17:$B$20,MATCH(J1448,Roles!$A$17:$A$20,0)),1)</f>
        <v/>
      </c>
      <c r="L1448" s="17" t="n">
        <v>1</v>
      </c>
      <c r="M1448" s="11" t="n">
        <v>1</v>
      </c>
      <c r="N1448" s="17" t="n"/>
      <c r="O1448" s="17" t="n"/>
      <c r="P1448" s="17" t="n"/>
      <c r="Q1448" s="17" t="n"/>
      <c r="R1448" s="17" t="n"/>
      <c r="S1448" s="17" t="n"/>
      <c r="T1448" s="17" t="n"/>
      <c r="U1448" s="17" t="n"/>
      <c r="V1448" s="17" t="n"/>
      <c r="W1448" s="17" t="n"/>
      <c r="X1448" s="17" t="n"/>
      <c r="Y1448" s="17" t="n">
        <v>1</v>
      </c>
      <c r="Z1448" s="13">
        <f>SUMPRODUCT(N1448:Y1448,$N$2:$Y$2)*$K1448*$L1448*$M1448</f>
        <v/>
      </c>
      <c r="AA1448" s="14">
        <f>SUM(N1448:Y1448)</f>
        <v/>
      </c>
      <c r="AB1448" s="14">
        <f>IFERROR(IF(UPPER($E1448)="L",SUMPRODUCT(N1448:Y1448,$N$3:$Y$3,$N$2:$Y$2),SUMPRODUCT(N1448:Y1448,$N$4:$Y$4,$N$2:$Y$2))/(Z1448/($K1448*$L1448*$M1448)),"")</f>
        <v/>
      </c>
      <c r="AC1448" s="18" t="n"/>
    </row>
    <row r="1449">
      <c r="A1449" s="9" t="n">
        <v>686540</v>
      </c>
      <c r="B1449" s="9" t="inlineStr">
        <is>
          <t>Owen Cobb</t>
        </is>
      </c>
      <c r="C1449" s="9" t="inlineStr">
        <is>
          <t>NYY</t>
        </is>
      </c>
      <c r="D1449" s="9" t="n">
        <v>25</v>
      </c>
      <c r="E1449" s="16" t="inlineStr">
        <is>
          <t>R</t>
        </is>
      </c>
      <c r="F1449" s="16" t="n"/>
      <c r="G1449" s="9" t="n">
        <v>11.84615384615385</v>
      </c>
      <c r="H1449" s="9" t="n">
        <v>11.84615384615385</v>
      </c>
      <c r="I1449" s="9" t="inlineStr">
        <is>
          <t>Depth (no MLB PA)</t>
        </is>
      </c>
      <c r="J1449" s="16" t="inlineStr">
        <is>
          <t>Opening Day</t>
        </is>
      </c>
      <c r="K1449" s="11">
        <f>IFERROR(INDEX(Roles!$B$17:$B$20,MATCH(J1449,Roles!$A$17:$A$20,0)),1)</f>
        <v/>
      </c>
      <c r="L1449" s="17" t="n">
        <v>1</v>
      </c>
      <c r="M1449" s="11" t="n">
        <v>1</v>
      </c>
      <c r="N1449" s="17" t="n"/>
      <c r="O1449" s="17" t="n"/>
      <c r="P1449" s="17" t="n"/>
      <c r="Q1449" s="17" t="n"/>
      <c r="R1449" s="17" t="n"/>
      <c r="S1449" s="17" t="n"/>
      <c r="T1449" s="17" t="n"/>
      <c r="U1449" s="17" t="n"/>
      <c r="V1449" s="17" t="n"/>
      <c r="W1449" s="17" t="n"/>
      <c r="X1449" s="17" t="n"/>
      <c r="Y1449" s="17" t="n">
        <v>1</v>
      </c>
      <c r="Z1449" s="13">
        <f>SUMPRODUCT(N1449:Y1449,$N$2:$Y$2)*$K1449*$L1449*$M1449</f>
        <v/>
      </c>
      <c r="AA1449" s="14">
        <f>SUM(N1449:Y1449)</f>
        <v/>
      </c>
      <c r="AB1449" s="14">
        <f>IFERROR(IF(UPPER($E1449)="L",SUMPRODUCT(N1449:Y1449,$N$3:$Y$3,$N$2:$Y$2),SUMPRODUCT(N1449:Y1449,$N$4:$Y$4,$N$2:$Y$2))/(Z1449/($K1449*$L1449*$M1449)),"")</f>
        <v/>
      </c>
      <c r="AC1449" s="18" t="n"/>
    </row>
    <row r="1450">
      <c r="A1450" s="9" t="n">
        <v>694842</v>
      </c>
      <c r="B1450" s="9" t="inlineStr">
        <is>
          <t>JT Benson</t>
        </is>
      </c>
      <c r="C1450" s="9" t="inlineStr">
        <is>
          <t>NYM</t>
        </is>
      </c>
      <c r="D1450" s="9" t="n">
        <v>25</v>
      </c>
      <c r="E1450" s="16" t="inlineStr">
        <is>
          <t>R</t>
        </is>
      </c>
      <c r="F1450" s="16" t="n"/>
      <c r="G1450" s="9" t="n">
        <v>29.07692307692308</v>
      </c>
      <c r="H1450" s="9" t="n">
        <v>29.07692307692308</v>
      </c>
      <c r="I1450" s="9" t="inlineStr">
        <is>
          <t>Depth (no MLB PA)</t>
        </is>
      </c>
      <c r="J1450" s="16" t="inlineStr">
        <is>
          <t>Opening Day</t>
        </is>
      </c>
      <c r="K1450" s="11">
        <f>IFERROR(INDEX(Roles!$B$17:$B$20,MATCH(J1450,Roles!$A$17:$A$20,0)),1)</f>
        <v/>
      </c>
      <c r="L1450" s="17" t="n">
        <v>1</v>
      </c>
      <c r="M1450" s="11" t="n">
        <v>1</v>
      </c>
      <c r="N1450" s="17" t="n"/>
      <c r="O1450" s="17" t="n"/>
      <c r="P1450" s="17" t="n"/>
      <c r="Q1450" s="17" t="n"/>
      <c r="R1450" s="17" t="n"/>
      <c r="S1450" s="17" t="n"/>
      <c r="T1450" s="17" t="n"/>
      <c r="U1450" s="17" t="n"/>
      <c r="V1450" s="17" t="n"/>
      <c r="W1450" s="17" t="n"/>
      <c r="X1450" s="17" t="n"/>
      <c r="Y1450" s="17" t="n">
        <v>1</v>
      </c>
      <c r="Z1450" s="13">
        <f>SUMPRODUCT(N1450:Y1450,$N$2:$Y$2)*$K1450*$L1450*$M1450</f>
        <v/>
      </c>
      <c r="AA1450" s="14">
        <f>SUM(N1450:Y1450)</f>
        <v/>
      </c>
      <c r="AB1450" s="14">
        <f>IFERROR(IF(UPPER($E1450)="L",SUMPRODUCT(N1450:Y1450,$N$3:$Y$3,$N$2:$Y$2),SUMPRODUCT(N1450:Y1450,$N$4:$Y$4,$N$2:$Y$2))/(Z1450/($K1450*$L1450*$M1450)),"")</f>
        <v/>
      </c>
      <c r="AC1450" s="18" t="n"/>
    </row>
    <row r="1451">
      <c r="A1451" s="9" t="n">
        <v>695612</v>
      </c>
      <c r="B1451" s="9" t="inlineStr">
        <is>
          <t>Alex Mooney</t>
        </is>
      </c>
      <c r="C1451" s="9" t="inlineStr">
        <is>
          <t>CLE</t>
        </is>
      </c>
      <c r="D1451" s="9" t="n">
        <v>25</v>
      </c>
      <c r="E1451" s="16" t="inlineStr">
        <is>
          <t>R</t>
        </is>
      </c>
      <c r="F1451" s="16" t="n"/>
      <c r="G1451" s="9" t="n">
        <v>11.84615384615385</v>
      </c>
      <c r="H1451" s="9" t="n">
        <v>11.84615384615385</v>
      </c>
      <c r="I1451" s="9" t="inlineStr">
        <is>
          <t>Depth (no MLB PA)</t>
        </is>
      </c>
      <c r="J1451" s="16" t="inlineStr">
        <is>
          <t>Opening Day</t>
        </is>
      </c>
      <c r="K1451" s="11">
        <f>IFERROR(INDEX(Roles!$B$17:$B$20,MATCH(J1451,Roles!$A$17:$A$20,0)),1)</f>
        <v/>
      </c>
      <c r="L1451" s="17" t="n">
        <v>1</v>
      </c>
      <c r="M1451" s="11" t="n">
        <v>1</v>
      </c>
      <c r="N1451" s="17" t="n"/>
      <c r="O1451" s="17" t="n"/>
      <c r="P1451" s="17" t="n"/>
      <c r="Q1451" s="17" t="n"/>
      <c r="R1451" s="17" t="n"/>
      <c r="S1451" s="17" t="n"/>
      <c r="T1451" s="17" t="n"/>
      <c r="U1451" s="17" t="n"/>
      <c r="V1451" s="17" t="n"/>
      <c r="W1451" s="17" t="n"/>
      <c r="X1451" s="17" t="n"/>
      <c r="Y1451" s="17" t="n">
        <v>1</v>
      </c>
      <c r="Z1451" s="13">
        <f>SUMPRODUCT(N1451:Y1451,$N$2:$Y$2)*$K1451*$L1451*$M1451</f>
        <v/>
      </c>
      <c r="AA1451" s="14">
        <f>SUM(N1451:Y1451)</f>
        <v/>
      </c>
      <c r="AB1451" s="14">
        <f>IFERROR(IF(UPPER($E1451)="L",SUMPRODUCT(N1451:Y1451,$N$3:$Y$3,$N$2:$Y$2),SUMPRODUCT(N1451:Y1451,$N$4:$Y$4,$N$2:$Y$2))/(Z1451/($K1451*$L1451*$M1451)),"")</f>
        <v/>
      </c>
      <c r="AC1451" s="18" t="n"/>
    </row>
    <row r="1452">
      <c r="A1452" s="9" t="n">
        <v>814411</v>
      </c>
      <c r="B1452" s="9" t="inlineStr">
        <is>
          <t>Matt Scannell</t>
        </is>
      </c>
      <c r="C1452" s="9" t="inlineStr">
        <is>
          <t>ATL</t>
        </is>
      </c>
      <c r="D1452" s="9" t="n">
        <v>25</v>
      </c>
      <c r="E1452" s="16" t="inlineStr">
        <is>
          <t>L</t>
        </is>
      </c>
      <c r="F1452" s="16" t="n"/>
      <c r="G1452" s="9" t="n">
        <v>11.48717948717949</v>
      </c>
      <c r="H1452" s="9" t="n">
        <v>11.48717948717949</v>
      </c>
      <c r="I1452" s="9" t="inlineStr">
        <is>
          <t>Depth (no MLB PA)</t>
        </is>
      </c>
      <c r="J1452" s="16" t="inlineStr">
        <is>
          <t>Opening Day</t>
        </is>
      </c>
      <c r="K1452" s="11">
        <f>IFERROR(INDEX(Roles!$B$17:$B$20,MATCH(J1452,Roles!$A$17:$A$20,0)),1)</f>
        <v/>
      </c>
      <c r="L1452" s="17" t="n">
        <v>1</v>
      </c>
      <c r="M1452" s="11" t="n">
        <v>1</v>
      </c>
      <c r="N1452" s="17" t="n"/>
      <c r="O1452" s="17" t="n"/>
      <c r="P1452" s="17" t="n"/>
      <c r="Q1452" s="17" t="n"/>
      <c r="R1452" s="17" t="n"/>
      <c r="S1452" s="17" t="n"/>
      <c r="T1452" s="17" t="n"/>
      <c r="U1452" s="17" t="n"/>
      <c r="V1452" s="17" t="n"/>
      <c r="W1452" s="17" t="n"/>
      <c r="X1452" s="17" t="n"/>
      <c r="Y1452" s="17" t="n">
        <v>1</v>
      </c>
      <c r="Z1452" s="13">
        <f>SUMPRODUCT(N1452:Y1452,$N$2:$Y$2)*$K1452*$L1452*$M1452</f>
        <v/>
      </c>
      <c r="AA1452" s="14">
        <f>SUM(N1452:Y1452)</f>
        <v/>
      </c>
      <c r="AB1452" s="14">
        <f>IFERROR(IF(UPPER($E1452)="L",SUMPRODUCT(N1452:Y1452,$N$3:$Y$3,$N$2:$Y$2),SUMPRODUCT(N1452:Y1452,$N$4:$Y$4,$N$2:$Y$2))/(Z1452/($K1452*$L1452*$M1452)),"")</f>
        <v/>
      </c>
      <c r="AC1452" s="18" t="n"/>
    </row>
    <row r="1453">
      <c r="A1453" s="9" t="n">
        <v>687730</v>
      </c>
      <c r="B1453" s="9" t="inlineStr">
        <is>
          <t>Caleb Cali</t>
        </is>
      </c>
      <c r="C1453" s="9" t="inlineStr">
        <is>
          <t>SEA</t>
        </is>
      </c>
      <c r="D1453" s="9" t="n">
        <v>25</v>
      </c>
      <c r="E1453" s="16" t="inlineStr">
        <is>
          <t>R</t>
        </is>
      </c>
      <c r="F1453" s="16" t="n"/>
      <c r="G1453" s="9" t="n">
        <v>182.3589743589744</v>
      </c>
      <c r="H1453" s="9" t="n">
        <v>182.3589743589744</v>
      </c>
      <c r="I1453" s="9" t="inlineStr">
        <is>
          <t>Depth (no MLB PA)</t>
        </is>
      </c>
      <c r="J1453" s="16" t="inlineStr">
        <is>
          <t>Opening Day</t>
        </is>
      </c>
      <c r="K1453" s="11">
        <f>IFERROR(INDEX(Roles!$B$17:$B$20,MATCH(J1453,Roles!$A$17:$A$20,0)),1)</f>
        <v/>
      </c>
      <c r="L1453" s="17" t="n">
        <v>1</v>
      </c>
      <c r="M1453" s="11" t="n">
        <v>1</v>
      </c>
      <c r="N1453" s="17" t="n"/>
      <c r="O1453" s="17" t="n"/>
      <c r="P1453" s="17" t="n"/>
      <c r="Q1453" s="17" t="n"/>
      <c r="R1453" s="17" t="n"/>
      <c r="S1453" s="17" t="n"/>
      <c r="T1453" s="17" t="n"/>
      <c r="U1453" s="17" t="n"/>
      <c r="V1453" s="17" t="n"/>
      <c r="W1453" s="17" t="n"/>
      <c r="X1453" s="17" t="n"/>
      <c r="Y1453" s="17" t="n">
        <v>1</v>
      </c>
      <c r="Z1453" s="13">
        <f>SUMPRODUCT(N1453:Y1453,$N$2:$Y$2)*$K1453*$L1453*$M1453</f>
        <v/>
      </c>
      <c r="AA1453" s="14">
        <f>SUM(N1453:Y1453)</f>
        <v/>
      </c>
      <c r="AB1453" s="14">
        <f>IFERROR(IF(UPPER($E1453)="L",SUMPRODUCT(N1453:Y1453,$N$3:$Y$3,$N$2:$Y$2),SUMPRODUCT(N1453:Y1453,$N$4:$Y$4,$N$2:$Y$2))/(Z1453/($K1453*$L1453*$M1453)),"")</f>
        <v/>
      </c>
      <c r="AC1453" s="18" t="n"/>
    </row>
    <row r="1454">
      <c r="A1454" s="9" t="n">
        <v>687766</v>
      </c>
      <c r="B1454" s="9" t="inlineStr">
        <is>
          <t>Miguel Useche</t>
        </is>
      </c>
      <c r="C1454" s="9" t="inlineStr">
        <is>
          <t>CHC</t>
        </is>
      </c>
      <c r="D1454" s="9" t="n">
        <v>25</v>
      </c>
      <c r="E1454" s="16" t="inlineStr">
        <is>
          <t>R</t>
        </is>
      </c>
      <c r="F1454" s="16" t="n"/>
      <c r="G1454" s="9" t="n">
        <v>64.61538461538461</v>
      </c>
      <c r="H1454" s="9" t="n">
        <v>64.61538461538461</v>
      </c>
      <c r="I1454" s="9" t="inlineStr">
        <is>
          <t>Depth (no MLB PA)</t>
        </is>
      </c>
      <c r="J1454" s="16" t="inlineStr">
        <is>
          <t>Opening Day</t>
        </is>
      </c>
      <c r="K1454" s="11">
        <f>IFERROR(INDEX(Roles!$B$17:$B$20,MATCH(J1454,Roles!$A$17:$A$20,0)),1)</f>
        <v/>
      </c>
      <c r="L1454" s="17" t="n">
        <v>1</v>
      </c>
      <c r="M1454" s="11" t="n">
        <v>1</v>
      </c>
      <c r="N1454" s="17" t="n"/>
      <c r="O1454" s="17" t="n"/>
      <c r="P1454" s="17" t="n"/>
      <c r="Q1454" s="17" t="n"/>
      <c r="R1454" s="17" t="n"/>
      <c r="S1454" s="17" t="n"/>
      <c r="T1454" s="17" t="n"/>
      <c r="U1454" s="17" t="n"/>
      <c r="V1454" s="17" t="n"/>
      <c r="W1454" s="17" t="n"/>
      <c r="X1454" s="17" t="n"/>
      <c r="Y1454" s="17" t="n">
        <v>1</v>
      </c>
      <c r="Z1454" s="13">
        <f>SUMPRODUCT(N1454:Y1454,$N$2:$Y$2)*$K1454*$L1454*$M1454</f>
        <v/>
      </c>
      <c r="AA1454" s="14">
        <f>SUM(N1454:Y1454)</f>
        <v/>
      </c>
      <c r="AB1454" s="14">
        <f>IFERROR(IF(UPPER($E1454)="L",SUMPRODUCT(N1454:Y1454,$N$3:$Y$3,$N$2:$Y$2),SUMPRODUCT(N1454:Y1454,$N$4:$Y$4,$N$2:$Y$2))/(Z1454/($K1454*$L1454*$M1454)),"")</f>
        <v/>
      </c>
      <c r="AC1454" s="18" t="n"/>
    </row>
    <row r="1455">
      <c r="A1455" s="9" t="n">
        <v>829398</v>
      </c>
      <c r="B1455" s="9" t="inlineStr">
        <is>
          <t>Franklin Primera</t>
        </is>
      </c>
      <c r="C1455" s="9" t="inlineStr">
        <is>
          <t>BOS</t>
        </is>
      </c>
      <c r="D1455" s="9" t="n">
        <v>20</v>
      </c>
      <c r="E1455" s="16" t="inlineStr">
        <is>
          <t>R</t>
        </is>
      </c>
      <c r="F1455" s="16" t="n"/>
      <c r="G1455" s="9" t="n">
        <v>23.38461538461539</v>
      </c>
      <c r="H1455" s="9" t="n">
        <v>23.38461538461539</v>
      </c>
      <c r="I1455" s="9" t="inlineStr">
        <is>
          <t>Depth (no MLB PA)</t>
        </is>
      </c>
      <c r="J1455" s="16" t="inlineStr">
        <is>
          <t>Opening Day</t>
        </is>
      </c>
      <c r="K1455" s="11">
        <f>IFERROR(INDEX(Roles!$B$17:$B$20,MATCH(J1455,Roles!$A$17:$A$20,0)),1)</f>
        <v/>
      </c>
      <c r="L1455" s="17" t="n">
        <v>1</v>
      </c>
      <c r="M1455" s="11" t="n">
        <v>1</v>
      </c>
      <c r="N1455" s="17" t="n"/>
      <c r="O1455" s="17" t="n"/>
      <c r="P1455" s="17" t="n"/>
      <c r="Q1455" s="17" t="n"/>
      <c r="R1455" s="17" t="n"/>
      <c r="S1455" s="17" t="n"/>
      <c r="T1455" s="17" t="n"/>
      <c r="U1455" s="17" t="n"/>
      <c r="V1455" s="17" t="n"/>
      <c r="W1455" s="17" t="n"/>
      <c r="X1455" s="17" t="n"/>
      <c r="Y1455" s="17" t="n">
        <v>1</v>
      </c>
      <c r="Z1455" s="13">
        <f>SUMPRODUCT(N1455:Y1455,$N$2:$Y$2)*$K1455*$L1455*$M1455</f>
        <v/>
      </c>
      <c r="AA1455" s="14">
        <f>SUM(N1455:Y1455)</f>
        <v/>
      </c>
      <c r="AB1455" s="14">
        <f>IFERROR(IF(UPPER($E1455)="L",SUMPRODUCT(N1455:Y1455,$N$3:$Y$3,$N$2:$Y$2),SUMPRODUCT(N1455:Y1455,$N$4:$Y$4,$N$2:$Y$2))/(Z1455/($K1455*$L1455*$M1455)),"")</f>
        <v/>
      </c>
      <c r="AC1455" s="18" t="n"/>
    </row>
    <row r="1456">
      <c r="A1456" s="9" t="n">
        <v>592656</v>
      </c>
      <c r="B1456" s="9" t="inlineStr">
        <is>
          <t>Henry Ramos</t>
        </is>
      </c>
      <c r="C1456" s="9" t="inlineStr">
        <is>
          <t>CIN</t>
        </is>
      </c>
      <c r="D1456" s="9" t="n">
        <v>35</v>
      </c>
      <c r="E1456" s="16" t="inlineStr">
        <is>
          <t>S</t>
        </is>
      </c>
      <c r="F1456" s="16" t="inlineStr">
        <is>
          <t>RF</t>
        </is>
      </c>
      <c r="G1456" s="9" t="n">
        <v>86</v>
      </c>
      <c r="H1456" s="9" t="n">
        <v>86</v>
      </c>
      <c r="I1456" s="9" t="inlineStr">
        <is>
          <t>Depth (no MLB PA)</t>
        </is>
      </c>
      <c r="J1456" s="16" t="inlineStr">
        <is>
          <t>Opening Day</t>
        </is>
      </c>
      <c r="K1456" s="11">
        <f>IFERROR(INDEX(Roles!$B$17:$B$20,MATCH(J1456,Roles!$A$17:$A$20,0)),1)</f>
        <v/>
      </c>
      <c r="L1456" s="17" t="n">
        <v>1</v>
      </c>
      <c r="M1456" s="11" t="n">
        <v>1</v>
      </c>
      <c r="N1456" s="17" t="n"/>
      <c r="O1456" s="17" t="n"/>
      <c r="P1456" s="17" t="n"/>
      <c r="Q1456" s="17" t="n"/>
      <c r="R1456" s="17" t="n"/>
      <c r="S1456" s="17" t="n"/>
      <c r="T1456" s="17" t="n"/>
      <c r="U1456" s="17" t="n"/>
      <c r="V1456" s="17" t="n"/>
      <c r="W1456" s="17" t="n"/>
      <c r="X1456" s="17" t="n"/>
      <c r="Y1456" s="17" t="n">
        <v>1</v>
      </c>
      <c r="Z1456" s="13">
        <f>SUMPRODUCT(N1456:Y1456,$N$2:$Y$2)*$K1456*$L1456*$M1456</f>
        <v/>
      </c>
      <c r="AA1456" s="14">
        <f>SUM(N1456:Y1456)</f>
        <v/>
      </c>
      <c r="AB1456" s="14">
        <f>IFERROR(IF(UPPER($E1456)="L",SUMPRODUCT(N1456:Y1456,$N$3:$Y$3,$N$2:$Y$2),SUMPRODUCT(N1456:Y1456,$N$4:$Y$4,$N$2:$Y$2))/(Z1456/($K1456*$L1456*$M1456)),"")</f>
        <v/>
      </c>
      <c r="AC1456" s="18" t="n"/>
    </row>
    <row r="1457">
      <c r="A1457" s="9" t="n">
        <v>808694</v>
      </c>
      <c r="B1457" s="9" t="inlineStr">
        <is>
          <t>Nixon Chirinos</t>
        </is>
      </c>
      <c r="C1457" s="9" t="inlineStr">
        <is>
          <t>MIA</t>
        </is>
      </c>
      <c r="D1457" s="9" t="n">
        <v>25</v>
      </c>
      <c r="E1457" s="16" t="inlineStr">
        <is>
          <t>R</t>
        </is>
      </c>
      <c r="F1457" s="16" t="n"/>
      <c r="G1457" s="9" t="n">
        <v>13.90769230769231</v>
      </c>
      <c r="H1457" s="9" t="n">
        <v>13.90769230769231</v>
      </c>
      <c r="I1457" s="9" t="inlineStr">
        <is>
          <t>Depth (no MLB PA)</t>
        </is>
      </c>
      <c r="J1457" s="16" t="inlineStr">
        <is>
          <t>Opening Day</t>
        </is>
      </c>
      <c r="K1457" s="11">
        <f>IFERROR(INDEX(Roles!$B$17:$B$20,MATCH(J1457,Roles!$A$17:$A$20,0)),1)</f>
        <v/>
      </c>
      <c r="L1457" s="17" t="n">
        <v>1</v>
      </c>
      <c r="M1457" s="11" t="n">
        <v>1</v>
      </c>
      <c r="N1457" s="17" t="n"/>
      <c r="O1457" s="17" t="n"/>
      <c r="P1457" s="17" t="n"/>
      <c r="Q1457" s="17" t="n"/>
      <c r="R1457" s="17" t="n"/>
      <c r="S1457" s="17" t="n"/>
      <c r="T1457" s="17" t="n"/>
      <c r="U1457" s="17" t="n"/>
      <c r="V1457" s="17" t="n"/>
      <c r="W1457" s="17" t="n"/>
      <c r="X1457" s="17" t="n"/>
      <c r="Y1457" s="17" t="n">
        <v>1</v>
      </c>
      <c r="Z1457" s="13">
        <f>SUMPRODUCT(N1457:Y1457,$N$2:$Y$2)*$K1457*$L1457*$M1457</f>
        <v/>
      </c>
      <c r="AA1457" s="14">
        <f>SUM(N1457:Y1457)</f>
        <v/>
      </c>
      <c r="AB1457" s="14">
        <f>IFERROR(IF(UPPER($E1457)="L",SUMPRODUCT(N1457:Y1457,$N$3:$Y$3,$N$2:$Y$2),SUMPRODUCT(N1457:Y1457,$N$4:$Y$4,$N$2:$Y$2))/(Z1457/($K1457*$L1457*$M1457)),"")</f>
        <v/>
      </c>
      <c r="AC1457" s="18" t="n"/>
    </row>
    <row r="1458">
      <c r="A1458" s="9" t="n">
        <v>688367</v>
      </c>
      <c r="B1458" s="9" t="inlineStr">
        <is>
          <t>Tucker Mitchell</t>
        </is>
      </c>
      <c r="C1458" s="9" t="inlineStr">
        <is>
          <t>TEX</t>
        </is>
      </c>
      <c r="D1458" s="9" t="n">
        <v>25</v>
      </c>
      <c r="E1458" s="16" t="inlineStr">
        <is>
          <t>R</t>
        </is>
      </c>
      <c r="F1458" s="16" t="n"/>
      <c r="G1458" s="9" t="n">
        <v>12.20512820512821</v>
      </c>
      <c r="H1458" s="9" t="n">
        <v>12.20512820512821</v>
      </c>
      <c r="I1458" s="9" t="inlineStr">
        <is>
          <t>Depth (no MLB PA)</t>
        </is>
      </c>
      <c r="J1458" s="16" t="inlineStr">
        <is>
          <t>Opening Day</t>
        </is>
      </c>
      <c r="K1458" s="11">
        <f>IFERROR(INDEX(Roles!$B$17:$B$20,MATCH(J1458,Roles!$A$17:$A$20,0)),1)</f>
        <v/>
      </c>
      <c r="L1458" s="17" t="n">
        <v>1</v>
      </c>
      <c r="M1458" s="11" t="n">
        <v>1</v>
      </c>
      <c r="N1458" s="17" t="n"/>
      <c r="O1458" s="17" t="n"/>
      <c r="P1458" s="17" t="n"/>
      <c r="Q1458" s="17" t="n"/>
      <c r="R1458" s="17" t="n"/>
      <c r="S1458" s="17" t="n"/>
      <c r="T1458" s="17" t="n"/>
      <c r="U1458" s="17" t="n"/>
      <c r="V1458" s="17" t="n"/>
      <c r="W1458" s="17" t="n"/>
      <c r="X1458" s="17" t="n"/>
      <c r="Y1458" s="17" t="n">
        <v>1</v>
      </c>
      <c r="Z1458" s="13">
        <f>SUMPRODUCT(N1458:Y1458,$N$2:$Y$2)*$K1458*$L1458*$M1458</f>
        <v/>
      </c>
      <c r="AA1458" s="14">
        <f>SUM(N1458:Y1458)</f>
        <v/>
      </c>
      <c r="AB1458" s="14">
        <f>IFERROR(IF(UPPER($E1458)="L",SUMPRODUCT(N1458:Y1458,$N$3:$Y$3,$N$2:$Y$2),SUMPRODUCT(N1458:Y1458,$N$4:$Y$4,$N$2:$Y$2))/(Z1458/($K1458*$L1458*$M1458)),"")</f>
        <v/>
      </c>
      <c r="AC1458" s="18" t="n"/>
    </row>
    <row r="1459">
      <c r="A1459" s="9" t="n">
        <v>645277</v>
      </c>
      <c r="B1459" s="9" t="inlineStr">
        <is>
          <t>Ozzie Albies</t>
        </is>
      </c>
      <c r="C1459" s="9" t="inlineStr">
        <is>
          <t>ATL</t>
        </is>
      </c>
      <c r="D1459" s="9" t="n">
        <v>30</v>
      </c>
      <c r="E1459" s="16" t="inlineStr">
        <is>
          <t>S</t>
        </is>
      </c>
      <c r="F1459" s="16" t="inlineStr">
        <is>
          <t>2B</t>
        </is>
      </c>
      <c r="G1459" s="9" t="n">
        <v>683</v>
      </c>
      <c r="H1459" s="9" t="n">
        <v>2714</v>
      </c>
      <c r="I1459" s="9" t="inlineStr">
        <is>
          <t>Full Time</t>
        </is>
      </c>
      <c r="J1459" s="16" t="inlineStr">
        <is>
          <t>Opening Day</t>
        </is>
      </c>
      <c r="K1459" s="11">
        <f>IFERROR(INDEX(Roles!$B$17:$B$20,MATCH(J1459,Roles!$A$17:$A$20,0)),1)</f>
        <v/>
      </c>
      <c r="L1459" s="17" t="n">
        <v>1</v>
      </c>
      <c r="M1459" s="11" t="n">
        <v>1.139541614513385</v>
      </c>
      <c r="N1459" s="17" t="n">
        <v>1</v>
      </c>
      <c r="O1459" s="17" t="n"/>
      <c r="P1459" s="17" t="n"/>
      <c r="Q1459" s="17" t="n"/>
      <c r="R1459" s="17" t="n"/>
      <c r="S1459" s="17" t="n"/>
      <c r="T1459" s="17" t="n"/>
      <c r="U1459" s="17" t="n"/>
      <c r="V1459" s="17" t="n"/>
      <c r="W1459" s="17" t="n"/>
      <c r="X1459" s="17" t="n"/>
      <c r="Y1459" s="17" t="n"/>
      <c r="Z1459" s="13">
        <f>SUMPRODUCT(N1459:Y1459,$N$2:$Y$2)*$K1459*$L1459*$M1459</f>
        <v/>
      </c>
      <c r="AA1459" s="14">
        <f>SUM(N1459:Y1459)</f>
        <v/>
      </c>
      <c r="AB1459" s="14">
        <f>IFERROR(IF(UPPER($E1459)="L",SUMPRODUCT(N1459:Y1459,$N$3:$Y$3,$N$2:$Y$2),SUMPRODUCT(N1459:Y1459,$N$4:$Y$4,$N$2:$Y$2))/(Z1459/($K1459*$L1459*$M1459)),"")</f>
        <v/>
      </c>
      <c r="AC1459" s="18" t="n"/>
    </row>
    <row r="1460">
      <c r="A1460" s="9" t="n">
        <v>829034</v>
      </c>
      <c r="B1460" s="9" t="inlineStr">
        <is>
          <t>Josuar Gonzalez</t>
        </is>
      </c>
      <c r="C1460" s="9" t="inlineStr">
        <is>
          <t>SF</t>
        </is>
      </c>
      <c r="D1460" s="9" t="n">
        <v>20</v>
      </c>
      <c r="E1460" s="16" t="inlineStr">
        <is>
          <t>S</t>
        </is>
      </c>
      <c r="F1460" s="16" t="n"/>
      <c r="G1460" s="9" t="n">
        <v>18.46153846153846</v>
      </c>
      <c r="H1460" s="9" t="n">
        <v>18.46153846153846</v>
      </c>
      <c r="I1460" s="9" t="inlineStr">
        <is>
          <t>Depth (no MLB PA)</t>
        </is>
      </c>
      <c r="J1460" s="16" t="inlineStr">
        <is>
          <t>Opening Day</t>
        </is>
      </c>
      <c r="K1460" s="11">
        <f>IFERROR(INDEX(Roles!$B$17:$B$20,MATCH(J1460,Roles!$A$17:$A$20,0)),1)</f>
        <v/>
      </c>
      <c r="L1460" s="17" t="n">
        <v>1</v>
      </c>
      <c r="M1460" s="11" t="n">
        <v>1</v>
      </c>
      <c r="N1460" s="17" t="n"/>
      <c r="O1460" s="17" t="n"/>
      <c r="P1460" s="17" t="n"/>
      <c r="Q1460" s="17" t="n"/>
      <c r="R1460" s="17" t="n"/>
      <c r="S1460" s="17" t="n"/>
      <c r="T1460" s="17" t="n"/>
      <c r="U1460" s="17" t="n"/>
      <c r="V1460" s="17" t="n"/>
      <c r="W1460" s="17" t="n"/>
      <c r="X1460" s="17" t="n"/>
      <c r="Y1460" s="17" t="n">
        <v>1</v>
      </c>
      <c r="Z1460" s="13">
        <f>SUMPRODUCT(N1460:Y1460,$N$2:$Y$2)*$K1460*$L1460*$M1460</f>
        <v/>
      </c>
      <c r="AA1460" s="14">
        <f>SUM(N1460:Y1460)</f>
        <v/>
      </c>
      <c r="AB1460" s="14">
        <f>IFERROR(IF(UPPER($E1460)="L",SUMPRODUCT(N1460:Y1460,$N$3:$Y$3,$N$2:$Y$2),SUMPRODUCT(N1460:Y1460,$N$4:$Y$4,$N$2:$Y$2))/(Z1460/($K1460*$L1460*$M1460)),"")</f>
        <v/>
      </c>
      <c r="AC1460" s="18" t="n"/>
    </row>
    <row r="1461">
      <c r="A1461" s="9" t="n">
        <v>808744</v>
      </c>
      <c r="B1461" s="9" t="inlineStr">
        <is>
          <t>Cal Stark</t>
        </is>
      </c>
      <c r="C1461" s="9" t="inlineStr">
        <is>
          <t>TEX</t>
        </is>
      </c>
      <c r="D1461" s="9" t="n">
        <v>25</v>
      </c>
      <c r="E1461" s="16" t="inlineStr">
        <is>
          <t>R</t>
        </is>
      </c>
      <c r="F1461" s="16" t="n"/>
      <c r="G1461" s="9" t="n">
        <v>27.8974358974359</v>
      </c>
      <c r="H1461" s="9" t="n">
        <v>27.8974358974359</v>
      </c>
      <c r="I1461" s="9" t="inlineStr">
        <is>
          <t>Depth (no MLB PA)</t>
        </is>
      </c>
      <c r="J1461" s="16" t="inlineStr">
        <is>
          <t>Opening Day</t>
        </is>
      </c>
      <c r="K1461" s="11">
        <f>IFERROR(INDEX(Roles!$B$17:$B$20,MATCH(J1461,Roles!$A$17:$A$20,0)),1)</f>
        <v/>
      </c>
      <c r="L1461" s="17" t="n">
        <v>1</v>
      </c>
      <c r="M1461" s="11" t="n">
        <v>1</v>
      </c>
      <c r="N1461" s="17" t="n"/>
      <c r="O1461" s="17" t="n"/>
      <c r="P1461" s="17" t="n"/>
      <c r="Q1461" s="17" t="n"/>
      <c r="R1461" s="17" t="n"/>
      <c r="S1461" s="17" t="n"/>
      <c r="T1461" s="17" t="n"/>
      <c r="U1461" s="17" t="n"/>
      <c r="V1461" s="17" t="n"/>
      <c r="W1461" s="17" t="n"/>
      <c r="X1461" s="17" t="n"/>
      <c r="Y1461" s="17" t="n">
        <v>1</v>
      </c>
      <c r="Z1461" s="13">
        <f>SUMPRODUCT(N1461:Y1461,$N$2:$Y$2)*$K1461*$L1461*$M1461</f>
        <v/>
      </c>
      <c r="AA1461" s="14">
        <f>SUM(N1461:Y1461)</f>
        <v/>
      </c>
      <c r="AB1461" s="14">
        <f>IFERROR(IF(UPPER($E1461)="L",SUMPRODUCT(N1461:Y1461,$N$3:$Y$3,$N$2:$Y$2),SUMPRODUCT(N1461:Y1461,$N$4:$Y$4,$N$2:$Y$2))/(Z1461/($K1461*$L1461*$M1461)),"")</f>
        <v/>
      </c>
      <c r="AC1461" s="18" t="n"/>
    </row>
    <row r="1462">
      <c r="A1462" s="9" t="n">
        <v>806983</v>
      </c>
      <c r="B1462" s="9" t="inlineStr">
        <is>
          <t>Yophery Rodriguez</t>
        </is>
      </c>
      <c r="C1462" s="9" t="inlineStr">
        <is>
          <t>BOS</t>
        </is>
      </c>
      <c r="D1462" s="9" t="n">
        <v>25</v>
      </c>
      <c r="E1462" s="16" t="inlineStr">
        <is>
          <t>L</t>
        </is>
      </c>
      <c r="F1462" s="16" t="n"/>
      <c r="G1462" s="9" t="n">
        <v>80.20512820512822</v>
      </c>
      <c r="H1462" s="9" t="n">
        <v>80.20512820512822</v>
      </c>
      <c r="I1462" s="9" t="inlineStr">
        <is>
          <t>Depth (no MLB PA)</t>
        </is>
      </c>
      <c r="J1462" s="16" t="inlineStr">
        <is>
          <t>Opening Day</t>
        </is>
      </c>
      <c r="K1462" s="11">
        <f>IFERROR(INDEX(Roles!$B$17:$B$20,MATCH(J1462,Roles!$A$17:$A$20,0)),1)</f>
        <v/>
      </c>
      <c r="L1462" s="17" t="n">
        <v>1</v>
      </c>
      <c r="M1462" s="11" t="n">
        <v>1</v>
      </c>
      <c r="N1462" s="17" t="n"/>
      <c r="O1462" s="17" t="n"/>
      <c r="P1462" s="17" t="n"/>
      <c r="Q1462" s="17" t="n"/>
      <c r="R1462" s="17" t="n"/>
      <c r="S1462" s="17" t="n"/>
      <c r="T1462" s="17" t="n"/>
      <c r="U1462" s="17" t="n"/>
      <c r="V1462" s="17" t="n"/>
      <c r="W1462" s="17" t="n"/>
      <c r="X1462" s="17" t="n"/>
      <c r="Y1462" s="17" t="n">
        <v>1</v>
      </c>
      <c r="Z1462" s="13">
        <f>SUMPRODUCT(N1462:Y1462,$N$2:$Y$2)*$K1462*$L1462*$M1462</f>
        <v/>
      </c>
      <c r="AA1462" s="14">
        <f>SUM(N1462:Y1462)</f>
        <v/>
      </c>
      <c r="AB1462" s="14">
        <f>IFERROR(IF(UPPER($E1462)="L",SUMPRODUCT(N1462:Y1462,$N$3:$Y$3,$N$2:$Y$2),SUMPRODUCT(N1462:Y1462,$N$4:$Y$4,$N$2:$Y$2))/(Z1462/($K1462*$L1462*$M1462)),"")</f>
        <v/>
      </c>
      <c r="AC1462" s="18" t="n"/>
    </row>
    <row r="1463">
      <c r="A1463" s="9" t="n">
        <v>800444</v>
      </c>
      <c r="B1463" s="9" t="inlineStr">
        <is>
          <t>Nikau Pouaka-Grego</t>
        </is>
      </c>
      <c r="C1463" s="9" t="inlineStr">
        <is>
          <t>PHI</t>
        </is>
      </c>
      <c r="D1463" s="9" t="n">
        <v>25</v>
      </c>
      <c r="E1463" s="16" t="inlineStr">
        <is>
          <t>L</t>
        </is>
      </c>
      <c r="F1463" s="16" t="n"/>
      <c r="G1463" s="9" t="n">
        <v>11.48717948717949</v>
      </c>
      <c r="H1463" s="9" t="n">
        <v>11.48717948717949</v>
      </c>
      <c r="I1463" s="9" t="inlineStr">
        <is>
          <t>Depth (no MLB PA)</t>
        </is>
      </c>
      <c r="J1463" s="16" t="inlineStr">
        <is>
          <t>Opening Day</t>
        </is>
      </c>
      <c r="K1463" s="11">
        <f>IFERROR(INDEX(Roles!$B$17:$B$20,MATCH(J1463,Roles!$A$17:$A$20,0)),1)</f>
        <v/>
      </c>
      <c r="L1463" s="17" t="n">
        <v>1</v>
      </c>
      <c r="M1463" s="11" t="n">
        <v>1</v>
      </c>
      <c r="N1463" s="17" t="n"/>
      <c r="O1463" s="17" t="n"/>
      <c r="P1463" s="17" t="n"/>
      <c r="Q1463" s="17" t="n"/>
      <c r="R1463" s="17" t="n"/>
      <c r="S1463" s="17" t="n"/>
      <c r="T1463" s="17" t="n"/>
      <c r="U1463" s="17" t="n"/>
      <c r="V1463" s="17" t="n"/>
      <c r="W1463" s="17" t="n"/>
      <c r="X1463" s="17" t="n"/>
      <c r="Y1463" s="17" t="n">
        <v>1</v>
      </c>
      <c r="Z1463" s="13">
        <f>SUMPRODUCT(N1463:Y1463,$N$2:$Y$2)*$K1463*$L1463*$M1463</f>
        <v/>
      </c>
      <c r="AA1463" s="14">
        <f>SUM(N1463:Y1463)</f>
        <v/>
      </c>
      <c r="AB1463" s="14">
        <f>IFERROR(IF(UPPER($E1463)="L",SUMPRODUCT(N1463:Y1463,$N$3:$Y$3,$N$2:$Y$2),SUMPRODUCT(N1463:Y1463,$N$4:$Y$4,$N$2:$Y$2))/(Z1463/($K1463*$L1463*$M1463)),"")</f>
        <v/>
      </c>
      <c r="AC1463" s="18" t="n"/>
    </row>
    <row r="1464">
      <c r="A1464" s="9" t="n">
        <v>844071</v>
      </c>
      <c r="B1464" s="9" t="inlineStr">
        <is>
          <t>Evan Morrison</t>
        </is>
      </c>
      <c r="C1464" s="9" t="inlineStr">
        <is>
          <t>TEX</t>
        </is>
      </c>
      <c r="D1464" s="9" t="n">
        <v>25</v>
      </c>
      <c r="E1464" s="16" t="inlineStr">
        <is>
          <t>L</t>
        </is>
      </c>
      <c r="F1464" s="16" t="n"/>
      <c r="G1464" s="9" t="n">
        <v>12.1025641025641</v>
      </c>
      <c r="H1464" s="9" t="n">
        <v>12.1025641025641</v>
      </c>
      <c r="I1464" s="9" t="inlineStr">
        <is>
          <t>Depth (no MLB PA)</t>
        </is>
      </c>
      <c r="J1464" s="16" t="inlineStr">
        <is>
          <t>Opening Day</t>
        </is>
      </c>
      <c r="K1464" s="11">
        <f>IFERROR(INDEX(Roles!$B$17:$B$20,MATCH(J1464,Roles!$A$17:$A$20,0)),1)</f>
        <v/>
      </c>
      <c r="L1464" s="17" t="n">
        <v>1</v>
      </c>
      <c r="M1464" s="11" t="n">
        <v>1</v>
      </c>
      <c r="N1464" s="17" t="n"/>
      <c r="O1464" s="17" t="n"/>
      <c r="P1464" s="17" t="n"/>
      <c r="Q1464" s="17" t="n"/>
      <c r="R1464" s="17" t="n"/>
      <c r="S1464" s="17" t="n"/>
      <c r="T1464" s="17" t="n"/>
      <c r="U1464" s="17" t="n"/>
      <c r="V1464" s="17" t="n"/>
      <c r="W1464" s="17" t="n"/>
      <c r="X1464" s="17" t="n"/>
      <c r="Y1464" s="17" t="n">
        <v>1</v>
      </c>
      <c r="Z1464" s="13">
        <f>SUMPRODUCT(N1464:Y1464,$N$2:$Y$2)*$K1464*$L1464*$M1464</f>
        <v/>
      </c>
      <c r="AA1464" s="14">
        <f>SUM(N1464:Y1464)</f>
        <v/>
      </c>
      <c r="AB1464" s="14">
        <f>IFERROR(IF(UPPER($E1464)="L",SUMPRODUCT(N1464:Y1464,$N$3:$Y$3,$N$2:$Y$2),SUMPRODUCT(N1464:Y1464,$N$4:$Y$4,$N$2:$Y$2))/(Z1464/($K1464*$L1464*$M1464)),"")</f>
        <v/>
      </c>
      <c r="AC1464" s="18" t="n"/>
    </row>
    <row r="1465">
      <c r="A1465" s="9" t="n">
        <v>691183</v>
      </c>
      <c r="B1465" s="9" t="inlineStr">
        <is>
          <t>Kevin Made</t>
        </is>
      </c>
      <c r="C1465" s="9" t="inlineStr">
        <is>
          <t>WSH</t>
        </is>
      </c>
      <c r="D1465" s="9" t="n">
        <v>25</v>
      </c>
      <c r="E1465" s="16" t="inlineStr">
        <is>
          <t>R</t>
        </is>
      </c>
      <c r="F1465" s="16" t="n"/>
      <c r="G1465" s="9" t="n">
        <v>11.84615384615384</v>
      </c>
      <c r="H1465" s="9" t="n">
        <v>11.84615384615384</v>
      </c>
      <c r="I1465" s="9" t="inlineStr">
        <is>
          <t>Depth (no MLB PA)</t>
        </is>
      </c>
      <c r="J1465" s="16" t="inlineStr">
        <is>
          <t>Opening Day</t>
        </is>
      </c>
      <c r="K1465" s="11">
        <f>IFERROR(INDEX(Roles!$B$17:$B$20,MATCH(J1465,Roles!$A$17:$A$20,0)),1)</f>
        <v/>
      </c>
      <c r="L1465" s="17" t="n">
        <v>1</v>
      </c>
      <c r="M1465" s="11" t="n">
        <v>1</v>
      </c>
      <c r="N1465" s="17" t="n"/>
      <c r="O1465" s="17" t="n"/>
      <c r="P1465" s="17" t="n"/>
      <c r="Q1465" s="17" t="n"/>
      <c r="R1465" s="17" t="n"/>
      <c r="S1465" s="17" t="n"/>
      <c r="T1465" s="17" t="n"/>
      <c r="U1465" s="17" t="n"/>
      <c r="V1465" s="17" t="n"/>
      <c r="W1465" s="17" t="n"/>
      <c r="X1465" s="17" t="n"/>
      <c r="Y1465" s="17" t="n">
        <v>1</v>
      </c>
      <c r="Z1465" s="13">
        <f>SUMPRODUCT(N1465:Y1465,$N$2:$Y$2)*$K1465*$L1465*$M1465</f>
        <v/>
      </c>
      <c r="AA1465" s="14">
        <f>SUM(N1465:Y1465)</f>
        <v/>
      </c>
      <c r="AB1465" s="14">
        <f>IFERROR(IF(UPPER($E1465)="L",SUMPRODUCT(N1465:Y1465,$N$3:$Y$3,$N$2:$Y$2),SUMPRODUCT(N1465:Y1465,$N$4:$Y$4,$N$2:$Y$2))/(Z1465/($K1465*$L1465*$M1465)),"")</f>
        <v/>
      </c>
      <c r="AC1465" s="18" t="n"/>
    </row>
    <row r="1466">
      <c r="A1466" s="9" t="n">
        <v>831188</v>
      </c>
      <c r="B1466" s="9" t="inlineStr">
        <is>
          <t>Steven Lancia</t>
        </is>
      </c>
      <c r="C1466" s="9" t="inlineStr">
        <is>
          <t>CWS</t>
        </is>
      </c>
      <c r="D1466" s="9" t="n">
        <v>25</v>
      </c>
      <c r="E1466" s="16" t="inlineStr">
        <is>
          <t>R</t>
        </is>
      </c>
      <c r="F1466" s="16" t="n"/>
      <c r="G1466" s="9" t="n">
        <v>16.36923076923077</v>
      </c>
      <c r="H1466" s="9" t="n">
        <v>16.36923076923077</v>
      </c>
      <c r="I1466" s="9" t="inlineStr">
        <is>
          <t>Depth (no MLB PA)</t>
        </is>
      </c>
      <c r="J1466" s="16" t="inlineStr">
        <is>
          <t>Opening Day</t>
        </is>
      </c>
      <c r="K1466" s="11">
        <f>IFERROR(INDEX(Roles!$B$17:$B$20,MATCH(J1466,Roles!$A$17:$A$20,0)),1)</f>
        <v/>
      </c>
      <c r="L1466" s="17" t="n">
        <v>1</v>
      </c>
      <c r="M1466" s="11" t="n">
        <v>1</v>
      </c>
      <c r="N1466" s="17" t="n"/>
      <c r="O1466" s="17" t="n"/>
      <c r="P1466" s="17" t="n"/>
      <c r="Q1466" s="17" t="n"/>
      <c r="R1466" s="17" t="n"/>
      <c r="S1466" s="17" t="n"/>
      <c r="T1466" s="17" t="n"/>
      <c r="U1466" s="17" t="n"/>
      <c r="V1466" s="17" t="n"/>
      <c r="W1466" s="17" t="n"/>
      <c r="X1466" s="17" t="n"/>
      <c r="Y1466" s="17" t="n">
        <v>1</v>
      </c>
      <c r="Z1466" s="13">
        <f>SUMPRODUCT(N1466:Y1466,$N$2:$Y$2)*$K1466*$L1466*$M1466</f>
        <v/>
      </c>
      <c r="AA1466" s="14">
        <f>SUM(N1466:Y1466)</f>
        <v/>
      </c>
      <c r="AB1466" s="14">
        <f>IFERROR(IF(UPPER($E1466)="L",SUMPRODUCT(N1466:Y1466,$N$3:$Y$3,$N$2:$Y$2),SUMPRODUCT(N1466:Y1466,$N$4:$Y$4,$N$2:$Y$2))/(Z1466/($K1466*$L1466*$M1466)),"")</f>
        <v/>
      </c>
      <c r="AC1466" s="18" t="n"/>
    </row>
    <row r="1467">
      <c r="A1467" s="9" t="n">
        <v>834925</v>
      </c>
      <c r="B1467" s="9" t="inlineStr">
        <is>
          <t>Jose Silva</t>
        </is>
      </c>
      <c r="C1467" s="9" t="inlineStr">
        <is>
          <t>CHC</t>
        </is>
      </c>
      <c r="D1467" s="9" t="n">
        <v>25</v>
      </c>
      <c r="E1467" s="16" t="inlineStr">
        <is>
          <t>R</t>
        </is>
      </c>
      <c r="F1467" s="16" t="n"/>
      <c r="G1467" s="9" t="n">
        <v>16</v>
      </c>
      <c r="H1467" s="9" t="n">
        <v>16</v>
      </c>
      <c r="I1467" s="9" t="inlineStr">
        <is>
          <t>Depth (no MLB PA)</t>
        </is>
      </c>
      <c r="J1467" s="16" t="inlineStr">
        <is>
          <t>Opening Day</t>
        </is>
      </c>
      <c r="K1467" s="11">
        <f>IFERROR(INDEX(Roles!$B$17:$B$20,MATCH(J1467,Roles!$A$17:$A$20,0)),1)</f>
        <v/>
      </c>
      <c r="L1467" s="17" t="n">
        <v>1</v>
      </c>
      <c r="M1467" s="11" t="n">
        <v>1</v>
      </c>
      <c r="N1467" s="17" t="n"/>
      <c r="O1467" s="17" t="n"/>
      <c r="P1467" s="17" t="n"/>
      <c r="Q1467" s="17" t="n"/>
      <c r="R1467" s="17" t="n"/>
      <c r="S1467" s="17" t="n"/>
      <c r="T1467" s="17" t="n"/>
      <c r="U1467" s="17" t="n"/>
      <c r="V1467" s="17" t="n"/>
      <c r="W1467" s="17" t="n"/>
      <c r="X1467" s="17" t="n"/>
      <c r="Y1467" s="17" t="n">
        <v>1</v>
      </c>
      <c r="Z1467" s="13">
        <f>SUMPRODUCT(N1467:Y1467,$N$2:$Y$2)*$K1467*$L1467*$M1467</f>
        <v/>
      </c>
      <c r="AA1467" s="14">
        <f>SUM(N1467:Y1467)</f>
        <v/>
      </c>
      <c r="AB1467" s="14">
        <f>IFERROR(IF(UPPER($E1467)="L",SUMPRODUCT(N1467:Y1467,$N$3:$Y$3,$N$2:$Y$2),SUMPRODUCT(N1467:Y1467,$N$4:$Y$4,$N$2:$Y$2))/(Z1467/($K1467*$L1467*$M1467)),"")</f>
        <v/>
      </c>
      <c r="AC1467" s="18" t="n"/>
    </row>
    <row r="1468">
      <c r="A1468" s="9" t="n">
        <v>596847</v>
      </c>
      <c r="B1468" s="9" t="inlineStr">
        <is>
          <t>Ji Man Choi</t>
        </is>
      </c>
      <c r="C1468" s="9" t="inlineStr">
        <is>
          <t>SD</t>
        </is>
      </c>
      <c r="D1468" s="9" t="n">
        <v>36</v>
      </c>
      <c r="E1468" s="16" t="inlineStr">
        <is>
          <t>L</t>
        </is>
      </c>
      <c r="F1468" s="16" t="inlineStr">
        <is>
          <t>1B</t>
        </is>
      </c>
      <c r="G1468" s="9" t="n">
        <v>117</v>
      </c>
      <c r="H1468" s="9" t="n">
        <v>536</v>
      </c>
      <c r="I1468" s="9" t="inlineStr">
        <is>
          <t>Depth (no MLB PA)</t>
        </is>
      </c>
      <c r="J1468" s="16" t="inlineStr">
        <is>
          <t>Opening Day</t>
        </is>
      </c>
      <c r="K1468" s="11">
        <f>IFERROR(INDEX(Roles!$B$17:$B$20,MATCH(J1468,Roles!$A$17:$A$20,0)),1)</f>
        <v/>
      </c>
      <c r="L1468" s="17" t="n">
        <v>1</v>
      </c>
      <c r="M1468" s="11" t="n">
        <v>1</v>
      </c>
      <c r="N1468" s="17" t="n"/>
      <c r="O1468" s="17" t="n"/>
      <c r="P1468" s="17" t="n"/>
      <c r="Q1468" s="17" t="n"/>
      <c r="R1468" s="17" t="n"/>
      <c r="S1468" s="17" t="n"/>
      <c r="T1468" s="17" t="n"/>
      <c r="U1468" s="17" t="n"/>
      <c r="V1468" s="17" t="n"/>
      <c r="W1468" s="17" t="n"/>
      <c r="X1468" s="17" t="n"/>
      <c r="Y1468" s="17" t="n">
        <v>1</v>
      </c>
      <c r="Z1468" s="13">
        <f>SUMPRODUCT(N1468:Y1468,$N$2:$Y$2)*$K1468*$L1468*$M1468</f>
        <v/>
      </c>
      <c r="AA1468" s="14">
        <f>SUM(N1468:Y1468)</f>
        <v/>
      </c>
      <c r="AB1468" s="14">
        <f>IFERROR(IF(UPPER($E1468)="L",SUMPRODUCT(N1468:Y1468,$N$3:$Y$3,$N$2:$Y$2),SUMPRODUCT(N1468:Y1468,$N$4:$Y$4,$N$2:$Y$2))/(Z1468/($K1468*$L1468*$M1468)),"")</f>
        <v/>
      </c>
      <c r="AC1468" s="18" t="n"/>
    </row>
    <row r="1469">
      <c r="A1469" s="9" t="n">
        <v>694223</v>
      </c>
      <c r="B1469" s="9" t="inlineStr">
        <is>
          <t>Starlin Aguilar</t>
        </is>
      </c>
      <c r="C1469" s="9" t="inlineStr">
        <is>
          <t>SEA</t>
        </is>
      </c>
      <c r="D1469" s="9" t="n">
        <v>25</v>
      </c>
      <c r="E1469" s="16" t="inlineStr">
        <is>
          <t>L</t>
        </is>
      </c>
      <c r="F1469" s="16" t="n"/>
      <c r="G1469" s="9" t="n">
        <v>33.96923076923077</v>
      </c>
      <c r="H1469" s="9" t="n">
        <v>33.96923076923077</v>
      </c>
      <c r="I1469" s="9" t="inlineStr">
        <is>
          <t>Depth (no MLB PA)</t>
        </is>
      </c>
      <c r="J1469" s="16" t="inlineStr">
        <is>
          <t>Opening Day</t>
        </is>
      </c>
      <c r="K1469" s="11">
        <f>IFERROR(INDEX(Roles!$B$17:$B$20,MATCH(J1469,Roles!$A$17:$A$20,0)),1)</f>
        <v/>
      </c>
      <c r="L1469" s="17" t="n">
        <v>1</v>
      </c>
      <c r="M1469" s="11" t="n">
        <v>1</v>
      </c>
      <c r="N1469" s="17" t="n"/>
      <c r="O1469" s="17" t="n"/>
      <c r="P1469" s="17" t="n"/>
      <c r="Q1469" s="17" t="n"/>
      <c r="R1469" s="17" t="n"/>
      <c r="S1469" s="17" t="n"/>
      <c r="T1469" s="17" t="n"/>
      <c r="U1469" s="17" t="n"/>
      <c r="V1469" s="17" t="n"/>
      <c r="W1469" s="17" t="n"/>
      <c r="X1469" s="17" t="n"/>
      <c r="Y1469" s="17" t="n">
        <v>1</v>
      </c>
      <c r="Z1469" s="13">
        <f>SUMPRODUCT(N1469:Y1469,$N$2:$Y$2)*$K1469*$L1469*$M1469</f>
        <v/>
      </c>
      <c r="AA1469" s="14">
        <f>SUM(N1469:Y1469)</f>
        <v/>
      </c>
      <c r="AB1469" s="14">
        <f>IFERROR(IF(UPPER($E1469)="L",SUMPRODUCT(N1469:Y1469,$N$3:$Y$3,$N$2:$Y$2),SUMPRODUCT(N1469:Y1469,$N$4:$Y$4,$N$2:$Y$2))/(Z1469/($K1469*$L1469*$M1469)),"")</f>
        <v/>
      </c>
      <c r="AC1469" s="18" t="n"/>
    </row>
    <row r="1470">
      <c r="A1470" s="9" t="n">
        <v>808852</v>
      </c>
      <c r="B1470" s="9" t="inlineStr">
        <is>
          <t>Gable Mitchell</t>
        </is>
      </c>
      <c r="C1470" s="9" t="inlineStr">
        <is>
          <t>TOR</t>
        </is>
      </c>
      <c r="D1470" s="9" t="n">
        <v>25</v>
      </c>
      <c r="E1470" s="16" t="inlineStr">
        <is>
          <t>S</t>
        </is>
      </c>
      <c r="F1470" s="16" t="n"/>
      <c r="G1470" s="9" t="n">
        <v>20.71794871794872</v>
      </c>
      <c r="H1470" s="9" t="n">
        <v>20.71794871794872</v>
      </c>
      <c r="I1470" s="9" t="inlineStr">
        <is>
          <t>Depth (no MLB PA)</t>
        </is>
      </c>
      <c r="J1470" s="16" t="inlineStr">
        <is>
          <t>Opening Day</t>
        </is>
      </c>
      <c r="K1470" s="11">
        <f>IFERROR(INDEX(Roles!$B$17:$B$20,MATCH(J1470,Roles!$A$17:$A$20,0)),1)</f>
        <v/>
      </c>
      <c r="L1470" s="17" t="n">
        <v>1</v>
      </c>
      <c r="M1470" s="11" t="n">
        <v>1</v>
      </c>
      <c r="N1470" s="17" t="n"/>
      <c r="O1470" s="17" t="n"/>
      <c r="P1470" s="17" t="n"/>
      <c r="Q1470" s="17" t="n"/>
      <c r="R1470" s="17" t="n"/>
      <c r="S1470" s="17" t="n"/>
      <c r="T1470" s="17" t="n"/>
      <c r="U1470" s="17" t="n"/>
      <c r="V1470" s="17" t="n"/>
      <c r="W1470" s="17" t="n"/>
      <c r="X1470" s="17" t="n"/>
      <c r="Y1470" s="17" t="n">
        <v>1</v>
      </c>
      <c r="Z1470" s="13">
        <f>SUMPRODUCT(N1470:Y1470,$N$2:$Y$2)*$K1470*$L1470*$M1470</f>
        <v/>
      </c>
      <c r="AA1470" s="14">
        <f>SUM(N1470:Y1470)</f>
        <v/>
      </c>
      <c r="AB1470" s="14">
        <f>IFERROR(IF(UPPER($E1470)="L",SUMPRODUCT(N1470:Y1470,$N$3:$Y$3,$N$2:$Y$2),SUMPRODUCT(N1470:Y1470,$N$4:$Y$4,$N$2:$Y$2))/(Z1470/($K1470*$L1470*$M1470)),"")</f>
        <v/>
      </c>
      <c r="AC1470" s="18" t="n"/>
    </row>
    <row r="1471">
      <c r="A1471" s="9" t="n">
        <v>811948</v>
      </c>
      <c r="B1471" s="9" t="inlineStr">
        <is>
          <t>Tony Santa Maria</t>
        </is>
      </c>
      <c r="C1471" s="9" t="inlineStr">
        <is>
          <t>TB</t>
        </is>
      </c>
      <c r="D1471" s="9" t="n">
        <v>25</v>
      </c>
      <c r="E1471" s="16" t="inlineStr">
        <is>
          <t>R</t>
        </is>
      </c>
      <c r="F1471" s="16" t="n"/>
      <c r="G1471" s="9" t="n">
        <v>27.64102564102564</v>
      </c>
      <c r="H1471" s="9" t="n">
        <v>27.64102564102564</v>
      </c>
      <c r="I1471" s="9" t="inlineStr">
        <is>
          <t>Depth (no MLB PA)</t>
        </is>
      </c>
      <c r="J1471" s="16" t="inlineStr">
        <is>
          <t>Opening Day</t>
        </is>
      </c>
      <c r="K1471" s="11">
        <f>IFERROR(INDEX(Roles!$B$17:$B$20,MATCH(J1471,Roles!$A$17:$A$20,0)),1)</f>
        <v/>
      </c>
      <c r="L1471" s="17" t="n">
        <v>1</v>
      </c>
      <c r="M1471" s="11" t="n">
        <v>1</v>
      </c>
      <c r="N1471" s="17" t="n"/>
      <c r="O1471" s="17" t="n"/>
      <c r="P1471" s="17" t="n"/>
      <c r="Q1471" s="17" t="n"/>
      <c r="R1471" s="17" t="n"/>
      <c r="S1471" s="17" t="n"/>
      <c r="T1471" s="17" t="n"/>
      <c r="U1471" s="17" t="n"/>
      <c r="V1471" s="17" t="n"/>
      <c r="W1471" s="17" t="n"/>
      <c r="X1471" s="17" t="n"/>
      <c r="Y1471" s="17" t="n">
        <v>1</v>
      </c>
      <c r="Z1471" s="13">
        <f>SUMPRODUCT(N1471:Y1471,$N$2:$Y$2)*$K1471*$L1471*$M1471</f>
        <v/>
      </c>
      <c r="AA1471" s="14">
        <f>SUM(N1471:Y1471)</f>
        <v/>
      </c>
      <c r="AB1471" s="14">
        <f>IFERROR(IF(UPPER($E1471)="L",SUMPRODUCT(N1471:Y1471,$N$3:$Y$3,$N$2:$Y$2),SUMPRODUCT(N1471:Y1471,$N$4:$Y$4,$N$2:$Y$2))/(Z1471/($K1471*$L1471*$M1471)),"")</f>
        <v/>
      </c>
      <c r="AC1471" s="18" t="n"/>
    </row>
    <row r="1472">
      <c r="A1472" s="9" t="n">
        <v>820831</v>
      </c>
      <c r="B1472" s="9" t="inlineStr">
        <is>
          <t>Sawyer Strosnider</t>
        </is>
      </c>
      <c r="C1472" s="9" t="inlineStr">
        <is>
          <t>MIL</t>
        </is>
      </c>
      <c r="D1472" s="9" t="n">
        <v>22</v>
      </c>
      <c r="E1472" s="16" t="inlineStr">
        <is>
          <t>L</t>
        </is>
      </c>
      <c r="F1472" s="16" t="n"/>
      <c r="G1472" s="9" t="n">
        <v>20.30769230769231</v>
      </c>
      <c r="H1472" s="9" t="n">
        <v>20.30769230769231</v>
      </c>
      <c r="I1472" s="9" t="inlineStr">
        <is>
          <t>Depth (no MLB PA)</t>
        </is>
      </c>
      <c r="J1472" s="16" t="inlineStr">
        <is>
          <t>Opening Day</t>
        </is>
      </c>
      <c r="K1472" s="11">
        <f>IFERROR(INDEX(Roles!$B$17:$B$20,MATCH(J1472,Roles!$A$17:$A$20,0)),1)</f>
        <v/>
      </c>
      <c r="L1472" s="17" t="n">
        <v>1</v>
      </c>
      <c r="M1472" s="11" t="n">
        <v>1</v>
      </c>
      <c r="N1472" s="17" t="n"/>
      <c r="O1472" s="17" t="n"/>
      <c r="P1472" s="17" t="n"/>
      <c r="Q1472" s="17" t="n"/>
      <c r="R1472" s="17" t="n"/>
      <c r="S1472" s="17" t="n"/>
      <c r="T1472" s="17" t="n"/>
      <c r="U1472" s="17" t="n"/>
      <c r="V1472" s="17" t="n"/>
      <c r="W1472" s="17" t="n"/>
      <c r="X1472" s="17" t="n"/>
      <c r="Y1472" s="17" t="n">
        <v>1</v>
      </c>
      <c r="Z1472" s="13">
        <f>SUMPRODUCT(N1472:Y1472,$N$2:$Y$2)*$K1472*$L1472*$M1472</f>
        <v/>
      </c>
      <c r="AA1472" s="14">
        <f>SUM(N1472:Y1472)</f>
        <v/>
      </c>
      <c r="AB1472" s="14">
        <f>IFERROR(IF(UPPER($E1472)="L",SUMPRODUCT(N1472:Y1472,$N$3:$Y$3,$N$2:$Y$2),SUMPRODUCT(N1472:Y1472,$N$4:$Y$4,$N$2:$Y$2))/(Z1472/($K1472*$L1472*$M1472)),"")</f>
        <v/>
      </c>
      <c r="AC1472" s="18" t="n"/>
    </row>
    <row r="1473">
      <c r="A1473" s="9" t="n">
        <v>691605</v>
      </c>
      <c r="B1473" s="9" t="inlineStr">
        <is>
          <t>Miguel Briceno</t>
        </is>
      </c>
      <c r="C1473" s="9" t="inlineStr">
        <is>
          <t>MIN</t>
        </is>
      </c>
      <c r="D1473" s="9" t="n">
        <v>25</v>
      </c>
      <c r="E1473" s="16" t="inlineStr">
        <is>
          <t>R</t>
        </is>
      </c>
      <c r="F1473" s="16" t="n"/>
      <c r="G1473" s="9" t="n">
        <v>12.20512820512821</v>
      </c>
      <c r="H1473" s="9" t="n">
        <v>12.20512820512821</v>
      </c>
      <c r="I1473" s="9" t="inlineStr">
        <is>
          <t>Depth (no MLB PA)</t>
        </is>
      </c>
      <c r="J1473" s="16" t="inlineStr">
        <is>
          <t>Opening Day</t>
        </is>
      </c>
      <c r="K1473" s="11">
        <f>IFERROR(INDEX(Roles!$B$17:$B$20,MATCH(J1473,Roles!$A$17:$A$20,0)),1)</f>
        <v/>
      </c>
      <c r="L1473" s="17" t="n">
        <v>1</v>
      </c>
      <c r="M1473" s="11" t="n">
        <v>1</v>
      </c>
      <c r="N1473" s="17" t="n"/>
      <c r="O1473" s="17" t="n"/>
      <c r="P1473" s="17" t="n"/>
      <c r="Q1473" s="17" t="n"/>
      <c r="R1473" s="17" t="n"/>
      <c r="S1473" s="17" t="n"/>
      <c r="T1473" s="17" t="n"/>
      <c r="U1473" s="17" t="n"/>
      <c r="V1473" s="17" t="n"/>
      <c r="W1473" s="17" t="n"/>
      <c r="X1473" s="17" t="n"/>
      <c r="Y1473" s="17" t="n">
        <v>1</v>
      </c>
      <c r="Z1473" s="13">
        <f>SUMPRODUCT(N1473:Y1473,$N$2:$Y$2)*$K1473*$L1473*$M1473</f>
        <v/>
      </c>
      <c r="AA1473" s="14">
        <f>SUM(N1473:Y1473)</f>
        <v/>
      </c>
      <c r="AB1473" s="14">
        <f>IFERROR(IF(UPPER($E1473)="L",SUMPRODUCT(N1473:Y1473,$N$3:$Y$3,$N$2:$Y$2),SUMPRODUCT(N1473:Y1473,$N$4:$Y$4,$N$2:$Y$2))/(Z1473/($K1473*$L1473*$M1473)),"")</f>
        <v/>
      </c>
      <c r="AC1473" s="18" t="n"/>
    </row>
    <row r="1474">
      <c r="A1474" s="9" t="n">
        <v>691281</v>
      </c>
      <c r="B1474" s="9" t="inlineStr">
        <is>
          <t>Diosfran Cabeza</t>
        </is>
      </c>
      <c r="C1474" s="9" t="inlineStr">
        <is>
          <t>ARI</t>
        </is>
      </c>
      <c r="D1474" s="9" t="n">
        <v>25</v>
      </c>
      <c r="E1474" s="16" t="inlineStr">
        <is>
          <t>S</t>
        </is>
      </c>
      <c r="F1474" s="16" t="n"/>
      <c r="G1474" s="9" t="n">
        <v>12.1025641025641</v>
      </c>
      <c r="H1474" s="9" t="n">
        <v>12.1025641025641</v>
      </c>
      <c r="I1474" s="9" t="inlineStr">
        <is>
          <t>Depth (no MLB PA)</t>
        </is>
      </c>
      <c r="J1474" s="16" t="inlineStr">
        <is>
          <t>Opening Day</t>
        </is>
      </c>
      <c r="K1474" s="11">
        <f>IFERROR(INDEX(Roles!$B$17:$B$20,MATCH(J1474,Roles!$A$17:$A$20,0)),1)</f>
        <v/>
      </c>
      <c r="L1474" s="17" t="n">
        <v>1</v>
      </c>
      <c r="M1474" s="11" t="n">
        <v>1</v>
      </c>
      <c r="N1474" s="17" t="n"/>
      <c r="O1474" s="17" t="n"/>
      <c r="P1474" s="17" t="n"/>
      <c r="Q1474" s="17" t="n"/>
      <c r="R1474" s="17" t="n"/>
      <c r="S1474" s="17" t="n"/>
      <c r="T1474" s="17" t="n"/>
      <c r="U1474" s="17" t="n"/>
      <c r="V1474" s="17" t="n"/>
      <c r="W1474" s="17" t="n"/>
      <c r="X1474" s="17" t="n"/>
      <c r="Y1474" s="17" t="n">
        <v>1</v>
      </c>
      <c r="Z1474" s="13">
        <f>SUMPRODUCT(N1474:Y1474,$N$2:$Y$2)*$K1474*$L1474*$M1474</f>
        <v/>
      </c>
      <c r="AA1474" s="14">
        <f>SUM(N1474:Y1474)</f>
        <v/>
      </c>
      <c r="AB1474" s="14">
        <f>IFERROR(IF(UPPER($E1474)="L",SUMPRODUCT(N1474:Y1474,$N$3:$Y$3,$N$2:$Y$2),SUMPRODUCT(N1474:Y1474,$N$4:$Y$4,$N$2:$Y$2))/(Z1474/($K1474*$L1474*$M1474)),"")</f>
        <v/>
      </c>
      <c r="AC1474" s="18" t="n"/>
    </row>
    <row r="1475">
      <c r="A1475" s="9" t="n">
        <v>703175</v>
      </c>
      <c r="B1475" s="9" t="inlineStr">
        <is>
          <t>Freili Encarnacion</t>
        </is>
      </c>
      <c r="C1475" s="9" t="inlineStr">
        <is>
          <t>BOS</t>
        </is>
      </c>
      <c r="D1475" s="9" t="n">
        <v>25</v>
      </c>
      <c r="E1475" s="16" t="inlineStr">
        <is>
          <t>R</t>
        </is>
      </c>
      <c r="F1475" s="16" t="n"/>
      <c r="G1475" s="9" t="n">
        <v>37.33333333333334</v>
      </c>
      <c r="H1475" s="9" t="n">
        <v>37.33333333333334</v>
      </c>
      <c r="I1475" s="9" t="inlineStr">
        <is>
          <t>Depth (no MLB PA)</t>
        </is>
      </c>
      <c r="J1475" s="16" t="inlineStr">
        <is>
          <t>Opening Day</t>
        </is>
      </c>
      <c r="K1475" s="11">
        <f>IFERROR(INDEX(Roles!$B$17:$B$20,MATCH(J1475,Roles!$A$17:$A$20,0)),1)</f>
        <v/>
      </c>
      <c r="L1475" s="17" t="n">
        <v>1</v>
      </c>
      <c r="M1475" s="11" t="n">
        <v>1</v>
      </c>
      <c r="N1475" s="17" t="n"/>
      <c r="O1475" s="17" t="n"/>
      <c r="P1475" s="17" t="n"/>
      <c r="Q1475" s="17" t="n"/>
      <c r="R1475" s="17" t="n"/>
      <c r="S1475" s="17" t="n"/>
      <c r="T1475" s="17" t="n"/>
      <c r="U1475" s="17" t="n"/>
      <c r="V1475" s="17" t="n"/>
      <c r="W1475" s="17" t="n"/>
      <c r="X1475" s="17" t="n"/>
      <c r="Y1475" s="17" t="n">
        <v>1</v>
      </c>
      <c r="Z1475" s="13">
        <f>SUMPRODUCT(N1475:Y1475,$N$2:$Y$2)*$K1475*$L1475*$M1475</f>
        <v/>
      </c>
      <c r="AA1475" s="14">
        <f>SUM(N1475:Y1475)</f>
        <v/>
      </c>
      <c r="AB1475" s="14">
        <f>IFERROR(IF(UPPER($E1475)="L",SUMPRODUCT(N1475:Y1475,$N$3:$Y$3,$N$2:$Y$2),SUMPRODUCT(N1475:Y1475,$N$4:$Y$4,$N$2:$Y$2))/(Z1475/($K1475*$L1475*$M1475)),"")</f>
        <v/>
      </c>
      <c r="AC1475" s="18" t="n"/>
    </row>
    <row r="1476">
      <c r="A1476" s="9" t="n">
        <v>543543</v>
      </c>
      <c r="B1476" s="9" t="inlineStr">
        <is>
          <t>Brad Miller</t>
        </is>
      </c>
      <c r="C1476" s="9" t="inlineStr">
        <is>
          <t>TEX</t>
        </is>
      </c>
      <c r="D1476" s="9" t="n">
        <v>37</v>
      </c>
      <c r="E1476" s="16" t="inlineStr">
        <is>
          <t>L</t>
        </is>
      </c>
      <c r="F1476" s="16" t="inlineStr">
        <is>
          <t>1B</t>
        </is>
      </c>
      <c r="G1476" s="9" t="n">
        <v>67</v>
      </c>
      <c r="H1476" s="9" t="n">
        <v>308</v>
      </c>
      <c r="I1476" s="9" t="inlineStr">
        <is>
          <t>Depth (no MLB PA)</t>
        </is>
      </c>
      <c r="J1476" s="16" t="inlineStr">
        <is>
          <t>Opening Day</t>
        </is>
      </c>
      <c r="K1476" s="11">
        <f>IFERROR(INDEX(Roles!$B$17:$B$20,MATCH(J1476,Roles!$A$17:$A$20,0)),1)</f>
        <v/>
      </c>
      <c r="L1476" s="17" t="n">
        <v>1</v>
      </c>
      <c r="M1476" s="11" t="n">
        <v>1</v>
      </c>
      <c r="N1476" s="17" t="n"/>
      <c r="O1476" s="17" t="n"/>
      <c r="P1476" s="17" t="n"/>
      <c r="Q1476" s="17" t="n"/>
      <c r="R1476" s="17" t="n"/>
      <c r="S1476" s="17" t="n"/>
      <c r="T1476" s="17" t="n"/>
      <c r="U1476" s="17" t="n"/>
      <c r="V1476" s="17" t="n"/>
      <c r="W1476" s="17" t="n"/>
      <c r="X1476" s="17" t="n"/>
      <c r="Y1476" s="17" t="n">
        <v>1</v>
      </c>
      <c r="Z1476" s="13">
        <f>SUMPRODUCT(N1476:Y1476,$N$2:$Y$2)*$K1476*$L1476*$M1476</f>
        <v/>
      </c>
      <c r="AA1476" s="14">
        <f>SUM(N1476:Y1476)</f>
        <v/>
      </c>
      <c r="AB1476" s="14">
        <f>IFERROR(IF(UPPER($E1476)="L",SUMPRODUCT(N1476:Y1476,$N$3:$Y$3,$N$2:$Y$2),SUMPRODUCT(N1476:Y1476,$N$4:$Y$4,$N$2:$Y$2))/(Z1476/($K1476*$L1476*$M1476)),"")</f>
        <v/>
      </c>
      <c r="AC1476" s="18" t="n"/>
    </row>
    <row r="1477">
      <c r="A1477" s="9" t="n">
        <v>443558</v>
      </c>
      <c r="B1477" s="9" t="inlineStr">
        <is>
          <t>Nelson Cruz</t>
        </is>
      </c>
      <c r="C1477" s="9" t="inlineStr">
        <is>
          <t>SD</t>
        </is>
      </c>
      <c r="D1477" s="9" t="n">
        <v>46</v>
      </c>
      <c r="E1477" s="16" t="inlineStr">
        <is>
          <t>R</t>
        </is>
      </c>
      <c r="F1477" s="16" t="inlineStr">
        <is>
          <t>1B</t>
        </is>
      </c>
      <c r="G1477" s="9" t="n">
        <v>152</v>
      </c>
      <c r="H1477" s="9" t="n">
        <v>659</v>
      </c>
      <c r="I1477" s="9" t="inlineStr">
        <is>
          <t>Depth (no MLB PA)</t>
        </is>
      </c>
      <c r="J1477" s="16" t="inlineStr">
        <is>
          <t>Opening Day</t>
        </is>
      </c>
      <c r="K1477" s="11">
        <f>IFERROR(INDEX(Roles!$B$17:$B$20,MATCH(J1477,Roles!$A$17:$A$20,0)),1)</f>
        <v/>
      </c>
      <c r="L1477" s="17" t="n">
        <v>1</v>
      </c>
      <c r="M1477" s="11" t="n">
        <v>1</v>
      </c>
      <c r="N1477" s="17" t="n"/>
      <c r="O1477" s="17" t="n"/>
      <c r="P1477" s="17" t="n"/>
      <c r="Q1477" s="17" t="n"/>
      <c r="R1477" s="17" t="n"/>
      <c r="S1477" s="17" t="n"/>
      <c r="T1477" s="17" t="n"/>
      <c r="U1477" s="17" t="n"/>
      <c r="V1477" s="17" t="n"/>
      <c r="W1477" s="17" t="n"/>
      <c r="X1477" s="17" t="n"/>
      <c r="Y1477" s="17" t="n">
        <v>1</v>
      </c>
      <c r="Z1477" s="13">
        <f>SUMPRODUCT(N1477:Y1477,$N$2:$Y$2)*$K1477*$L1477*$M1477</f>
        <v/>
      </c>
      <c r="AA1477" s="14">
        <f>SUM(N1477:Y1477)</f>
        <v/>
      </c>
      <c r="AB1477" s="14">
        <f>IFERROR(IF(UPPER($E1477)="L",SUMPRODUCT(N1477:Y1477,$N$3:$Y$3,$N$2:$Y$2),SUMPRODUCT(N1477:Y1477,$N$4:$Y$4,$N$2:$Y$2))/(Z1477/($K1477*$L1477*$M1477)),"")</f>
        <v/>
      </c>
      <c r="AC1477" s="18" t="n"/>
    </row>
    <row r="1478">
      <c r="A1478" s="9" t="n">
        <v>680994</v>
      </c>
      <c r="B1478" s="9" t="inlineStr">
        <is>
          <t>Nick Biddison</t>
        </is>
      </c>
      <c r="C1478" s="9" t="inlineStr">
        <is>
          <t>PHI</t>
        </is>
      </c>
      <c r="D1478" s="9" t="n">
        <v>25</v>
      </c>
      <c r="E1478" s="16" t="inlineStr">
        <is>
          <t>R</t>
        </is>
      </c>
      <c r="F1478" s="16" t="n"/>
      <c r="G1478" s="9" t="n">
        <v>12.41025641025641</v>
      </c>
      <c r="H1478" s="9" t="n">
        <v>12.41025641025641</v>
      </c>
      <c r="I1478" s="9" t="inlineStr">
        <is>
          <t>Depth (no MLB PA)</t>
        </is>
      </c>
      <c r="J1478" s="16" t="inlineStr">
        <is>
          <t>Opening Day</t>
        </is>
      </c>
      <c r="K1478" s="11">
        <f>IFERROR(INDEX(Roles!$B$17:$B$20,MATCH(J1478,Roles!$A$17:$A$20,0)),1)</f>
        <v/>
      </c>
      <c r="L1478" s="17" t="n">
        <v>1</v>
      </c>
      <c r="M1478" s="11" t="n">
        <v>1</v>
      </c>
      <c r="N1478" s="17" t="n"/>
      <c r="O1478" s="17" t="n"/>
      <c r="P1478" s="17" t="n"/>
      <c r="Q1478" s="17" t="n"/>
      <c r="R1478" s="17" t="n"/>
      <c r="S1478" s="17" t="n"/>
      <c r="T1478" s="17" t="n"/>
      <c r="U1478" s="17" t="n"/>
      <c r="V1478" s="17" t="n"/>
      <c r="W1478" s="17" t="n"/>
      <c r="X1478" s="17" t="n"/>
      <c r="Y1478" s="17" t="n">
        <v>1</v>
      </c>
      <c r="Z1478" s="13">
        <f>SUMPRODUCT(N1478:Y1478,$N$2:$Y$2)*$K1478*$L1478*$M1478</f>
        <v/>
      </c>
      <c r="AA1478" s="14">
        <f>SUM(N1478:Y1478)</f>
        <v/>
      </c>
      <c r="AB1478" s="14">
        <f>IFERROR(IF(UPPER($E1478)="L",SUMPRODUCT(N1478:Y1478,$N$3:$Y$3,$N$2:$Y$2),SUMPRODUCT(N1478:Y1478,$N$4:$Y$4,$N$2:$Y$2))/(Z1478/($K1478*$L1478*$M1478)),"")</f>
        <v/>
      </c>
      <c r="AC1478" s="18" t="n"/>
    </row>
    <row r="1479">
      <c r="A1479" s="9" t="n">
        <v>702574</v>
      </c>
      <c r="B1479" s="9" t="inlineStr">
        <is>
          <t>David Mershon</t>
        </is>
      </c>
      <c r="C1479" s="9" t="inlineStr">
        <is>
          <t>LAA</t>
        </is>
      </c>
      <c r="D1479" s="9" t="n">
        <v>25</v>
      </c>
      <c r="E1479" s="16" t="inlineStr">
        <is>
          <t>S</t>
        </is>
      </c>
      <c r="F1479" s="16" t="n"/>
      <c r="G1479" s="9" t="n">
        <v>12.20512820512821</v>
      </c>
      <c r="H1479" s="9" t="n">
        <v>12.20512820512821</v>
      </c>
      <c r="I1479" s="9" t="inlineStr">
        <is>
          <t>Depth (no MLB PA)</t>
        </is>
      </c>
      <c r="J1479" s="16" t="inlineStr">
        <is>
          <t>Opening Day</t>
        </is>
      </c>
      <c r="K1479" s="11">
        <f>IFERROR(INDEX(Roles!$B$17:$B$20,MATCH(J1479,Roles!$A$17:$A$20,0)),1)</f>
        <v/>
      </c>
      <c r="L1479" s="17" t="n">
        <v>1</v>
      </c>
      <c r="M1479" s="11" t="n">
        <v>1</v>
      </c>
      <c r="N1479" s="17" t="n"/>
      <c r="O1479" s="17" t="n"/>
      <c r="P1479" s="17" t="n"/>
      <c r="Q1479" s="17" t="n"/>
      <c r="R1479" s="17" t="n"/>
      <c r="S1479" s="17" t="n"/>
      <c r="T1479" s="17" t="n"/>
      <c r="U1479" s="17" t="n"/>
      <c r="V1479" s="17" t="n"/>
      <c r="W1479" s="17" t="n"/>
      <c r="X1479" s="17" t="n"/>
      <c r="Y1479" s="17" t="n">
        <v>1</v>
      </c>
      <c r="Z1479" s="13">
        <f>SUMPRODUCT(N1479:Y1479,$N$2:$Y$2)*$K1479*$L1479*$M1479</f>
        <v/>
      </c>
      <c r="AA1479" s="14">
        <f>SUM(N1479:Y1479)</f>
        <v/>
      </c>
      <c r="AB1479" s="14">
        <f>IFERROR(IF(UPPER($E1479)="L",SUMPRODUCT(N1479:Y1479,$N$3:$Y$3,$N$2:$Y$2),SUMPRODUCT(N1479:Y1479,$N$4:$Y$4,$N$2:$Y$2))/(Z1479/($K1479*$L1479*$M1479)),"")</f>
        <v/>
      </c>
      <c r="AC1479" s="18" t="n"/>
    </row>
    <row r="1480">
      <c r="A1480" s="9" t="n">
        <v>813386</v>
      </c>
      <c r="B1480" s="9" t="inlineStr">
        <is>
          <t>Justin Johnson</t>
        </is>
      </c>
      <c r="C1480" s="9" t="inlineStr">
        <is>
          <t>KC</t>
        </is>
      </c>
      <c r="D1480" s="9" t="n">
        <v>25</v>
      </c>
      <c r="E1480" s="16" t="inlineStr">
        <is>
          <t>R</t>
        </is>
      </c>
      <c r="F1480" s="16" t="n"/>
      <c r="G1480" s="9" t="n">
        <v>125.6410256410256</v>
      </c>
      <c r="H1480" s="9" t="n">
        <v>125.6410256410256</v>
      </c>
      <c r="I1480" s="9" t="inlineStr">
        <is>
          <t>Depth (no MLB PA)</t>
        </is>
      </c>
      <c r="J1480" s="16" t="inlineStr">
        <is>
          <t>Opening Day</t>
        </is>
      </c>
      <c r="K1480" s="11">
        <f>IFERROR(INDEX(Roles!$B$17:$B$20,MATCH(J1480,Roles!$A$17:$A$20,0)),1)</f>
        <v/>
      </c>
      <c r="L1480" s="17" t="n">
        <v>1</v>
      </c>
      <c r="M1480" s="11" t="n">
        <v>1</v>
      </c>
      <c r="N1480" s="17" t="n"/>
      <c r="O1480" s="17" t="n"/>
      <c r="P1480" s="17" t="n"/>
      <c r="Q1480" s="17" t="n"/>
      <c r="R1480" s="17" t="n"/>
      <c r="S1480" s="17" t="n"/>
      <c r="T1480" s="17" t="n"/>
      <c r="U1480" s="17" t="n"/>
      <c r="V1480" s="17" t="n"/>
      <c r="W1480" s="17" t="n"/>
      <c r="X1480" s="17" t="n"/>
      <c r="Y1480" s="17" t="n">
        <v>1</v>
      </c>
      <c r="Z1480" s="13">
        <f>SUMPRODUCT(N1480:Y1480,$N$2:$Y$2)*$K1480*$L1480*$M1480</f>
        <v/>
      </c>
      <c r="AA1480" s="14">
        <f>SUM(N1480:Y1480)</f>
        <v/>
      </c>
      <c r="AB1480" s="14">
        <f>IFERROR(IF(UPPER($E1480)="L",SUMPRODUCT(N1480:Y1480,$N$3:$Y$3,$N$2:$Y$2),SUMPRODUCT(N1480:Y1480,$N$4:$Y$4,$N$2:$Y$2))/(Z1480/($K1480*$L1480*$M1480)),"")</f>
        <v/>
      </c>
      <c r="AC1480" s="18" t="n"/>
    </row>
    <row r="1481">
      <c r="A1481" s="9" t="n">
        <v>701860</v>
      </c>
      <c r="B1481" s="9" t="inlineStr">
        <is>
          <t>Carter Cunningham</t>
        </is>
      </c>
      <c r="C1481" s="9" t="inlineStr">
        <is>
          <t>TOR</t>
        </is>
      </c>
      <c r="D1481" s="9" t="n">
        <v>25</v>
      </c>
      <c r="E1481" s="16" t="inlineStr">
        <is>
          <t>L</t>
        </is>
      </c>
      <c r="F1481" s="16" t="n"/>
      <c r="G1481" s="9" t="n">
        <v>96.92307692307691</v>
      </c>
      <c r="H1481" s="9" t="n">
        <v>96.92307692307691</v>
      </c>
      <c r="I1481" s="9" t="inlineStr">
        <is>
          <t>Depth (no MLB PA)</t>
        </is>
      </c>
      <c r="J1481" s="16" t="inlineStr">
        <is>
          <t>Opening Day</t>
        </is>
      </c>
      <c r="K1481" s="11">
        <f>IFERROR(INDEX(Roles!$B$17:$B$20,MATCH(J1481,Roles!$A$17:$A$20,0)),1)</f>
        <v/>
      </c>
      <c r="L1481" s="17" t="n">
        <v>1</v>
      </c>
      <c r="M1481" s="11" t="n">
        <v>1</v>
      </c>
      <c r="N1481" s="17" t="n"/>
      <c r="O1481" s="17" t="n"/>
      <c r="P1481" s="17" t="n"/>
      <c r="Q1481" s="17" t="n"/>
      <c r="R1481" s="17" t="n"/>
      <c r="S1481" s="17" t="n"/>
      <c r="T1481" s="17" t="n"/>
      <c r="U1481" s="17" t="n"/>
      <c r="V1481" s="17" t="n"/>
      <c r="W1481" s="17" t="n"/>
      <c r="X1481" s="17" t="n"/>
      <c r="Y1481" s="17" t="n">
        <v>1</v>
      </c>
      <c r="Z1481" s="13">
        <f>SUMPRODUCT(N1481:Y1481,$N$2:$Y$2)*$K1481*$L1481*$M1481</f>
        <v/>
      </c>
      <c r="AA1481" s="14">
        <f>SUM(N1481:Y1481)</f>
        <v/>
      </c>
      <c r="AB1481" s="14">
        <f>IFERROR(IF(UPPER($E1481)="L",SUMPRODUCT(N1481:Y1481,$N$3:$Y$3,$N$2:$Y$2),SUMPRODUCT(N1481:Y1481,$N$4:$Y$4,$N$2:$Y$2))/(Z1481/($K1481*$L1481*$M1481)),"")</f>
        <v/>
      </c>
      <c r="AC1481" s="18" t="n"/>
    </row>
    <row r="1482">
      <c r="A1482" s="9" t="n">
        <v>691559</v>
      </c>
      <c r="B1482" s="9" t="inlineStr">
        <is>
          <t>Jose D. Hernandez</t>
        </is>
      </c>
      <c r="C1482" s="9" t="inlineStr">
        <is>
          <t>LAD</t>
        </is>
      </c>
      <c r="D1482" s="9" t="n">
        <v>25</v>
      </c>
      <c r="E1482" s="16" t="inlineStr">
        <is>
          <t>R</t>
        </is>
      </c>
      <c r="F1482" s="16" t="n"/>
      <c r="G1482" s="9" t="n">
        <v>25.43589743589744</v>
      </c>
      <c r="H1482" s="9" t="n">
        <v>25.43589743589744</v>
      </c>
      <c r="I1482" s="9" t="inlineStr">
        <is>
          <t>Depth (no MLB PA)</t>
        </is>
      </c>
      <c r="J1482" s="16" t="inlineStr">
        <is>
          <t>Opening Day</t>
        </is>
      </c>
      <c r="K1482" s="11">
        <f>IFERROR(INDEX(Roles!$B$17:$B$20,MATCH(J1482,Roles!$A$17:$A$20,0)),1)</f>
        <v/>
      </c>
      <c r="L1482" s="17" t="n">
        <v>1</v>
      </c>
      <c r="M1482" s="11" t="n">
        <v>1</v>
      </c>
      <c r="N1482" s="17" t="n"/>
      <c r="O1482" s="17" t="n"/>
      <c r="P1482" s="17" t="n"/>
      <c r="Q1482" s="17" t="n"/>
      <c r="R1482" s="17" t="n"/>
      <c r="S1482" s="17" t="n"/>
      <c r="T1482" s="17" t="n"/>
      <c r="U1482" s="17" t="n"/>
      <c r="V1482" s="17" t="n"/>
      <c r="W1482" s="17" t="n"/>
      <c r="X1482" s="17" t="n"/>
      <c r="Y1482" s="17" t="n">
        <v>1</v>
      </c>
      <c r="Z1482" s="13">
        <f>SUMPRODUCT(N1482:Y1482,$N$2:$Y$2)*$K1482*$L1482*$M1482</f>
        <v/>
      </c>
      <c r="AA1482" s="14">
        <f>SUM(N1482:Y1482)</f>
        <v/>
      </c>
      <c r="AB1482" s="14">
        <f>IFERROR(IF(UPPER($E1482)="L",SUMPRODUCT(N1482:Y1482,$N$3:$Y$3,$N$2:$Y$2),SUMPRODUCT(N1482:Y1482,$N$4:$Y$4,$N$2:$Y$2))/(Z1482/($K1482*$L1482*$M1482)),"")</f>
        <v/>
      </c>
      <c r="AC1482" s="18" t="n"/>
    </row>
    <row r="1483">
      <c r="A1483" s="9" t="n">
        <v>691269</v>
      </c>
      <c r="B1483" s="9" t="inlineStr">
        <is>
          <t>Adrian Placencia</t>
        </is>
      </c>
      <c r="C1483" s="9" t="inlineStr">
        <is>
          <t>LAA</t>
        </is>
      </c>
      <c r="D1483" s="9" t="n">
        <v>25</v>
      </c>
      <c r="E1483" s="16" t="inlineStr">
        <is>
          <t>S</t>
        </is>
      </c>
      <c r="F1483" s="16" t="n"/>
      <c r="G1483" s="9" t="n">
        <v>40.41025641025641</v>
      </c>
      <c r="H1483" s="9" t="n">
        <v>40.41025641025641</v>
      </c>
      <c r="I1483" s="9" t="inlineStr">
        <is>
          <t>Depth (no MLB PA)</t>
        </is>
      </c>
      <c r="J1483" s="16" t="inlineStr">
        <is>
          <t>Opening Day</t>
        </is>
      </c>
      <c r="K1483" s="11">
        <f>IFERROR(INDEX(Roles!$B$17:$B$20,MATCH(J1483,Roles!$A$17:$A$20,0)),1)</f>
        <v/>
      </c>
      <c r="L1483" s="17" t="n">
        <v>1</v>
      </c>
      <c r="M1483" s="11" t="n">
        <v>1</v>
      </c>
      <c r="N1483" s="17" t="n"/>
      <c r="O1483" s="17" t="n"/>
      <c r="P1483" s="17" t="n"/>
      <c r="Q1483" s="17" t="n"/>
      <c r="R1483" s="17" t="n"/>
      <c r="S1483" s="17" t="n"/>
      <c r="T1483" s="17" t="n"/>
      <c r="U1483" s="17" t="n"/>
      <c r="V1483" s="17" t="n"/>
      <c r="W1483" s="17" t="n"/>
      <c r="X1483" s="17" t="n"/>
      <c r="Y1483" s="17" t="n">
        <v>1</v>
      </c>
      <c r="Z1483" s="13">
        <f>SUMPRODUCT(N1483:Y1483,$N$2:$Y$2)*$K1483*$L1483*$M1483</f>
        <v/>
      </c>
      <c r="AA1483" s="14">
        <f>SUM(N1483:Y1483)</f>
        <v/>
      </c>
      <c r="AB1483" s="14">
        <f>IFERROR(IF(UPPER($E1483)="L",SUMPRODUCT(N1483:Y1483,$N$3:$Y$3,$N$2:$Y$2),SUMPRODUCT(N1483:Y1483,$N$4:$Y$4,$N$2:$Y$2))/(Z1483/($K1483*$L1483*$M1483)),"")</f>
        <v/>
      </c>
      <c r="AC1483" s="18" t="n"/>
    </row>
    <row r="1484">
      <c r="A1484" s="9" t="n">
        <v>701392</v>
      </c>
      <c r="B1484" s="9" t="inlineStr">
        <is>
          <t>Marco Dinges</t>
        </is>
      </c>
      <c r="C1484" s="9" t="inlineStr">
        <is>
          <t>MIL</t>
        </is>
      </c>
      <c r="D1484" s="9" t="n">
        <v>25</v>
      </c>
      <c r="E1484" s="16" t="inlineStr">
        <is>
          <t>R</t>
        </is>
      </c>
      <c r="F1484" s="16" t="n"/>
      <c r="G1484" s="9" t="n">
        <v>20.82051282051282</v>
      </c>
      <c r="H1484" s="9" t="n">
        <v>20.82051282051282</v>
      </c>
      <c r="I1484" s="9" t="inlineStr">
        <is>
          <t>Depth (no MLB PA)</t>
        </is>
      </c>
      <c r="J1484" s="16" t="inlineStr">
        <is>
          <t>Opening Day</t>
        </is>
      </c>
      <c r="K1484" s="11">
        <f>IFERROR(INDEX(Roles!$B$17:$B$20,MATCH(J1484,Roles!$A$17:$A$20,0)),1)</f>
        <v/>
      </c>
      <c r="L1484" s="17" t="n">
        <v>1</v>
      </c>
      <c r="M1484" s="11" t="n">
        <v>1</v>
      </c>
      <c r="N1484" s="17" t="n"/>
      <c r="O1484" s="17" t="n"/>
      <c r="P1484" s="17" t="n"/>
      <c r="Q1484" s="17" t="n"/>
      <c r="R1484" s="17" t="n"/>
      <c r="S1484" s="17" t="n"/>
      <c r="T1484" s="17" t="n"/>
      <c r="U1484" s="17" t="n"/>
      <c r="V1484" s="17" t="n"/>
      <c r="W1484" s="17" t="n"/>
      <c r="X1484" s="17" t="n"/>
      <c r="Y1484" s="17" t="n">
        <v>1</v>
      </c>
      <c r="Z1484" s="13">
        <f>SUMPRODUCT(N1484:Y1484,$N$2:$Y$2)*$K1484*$L1484*$M1484</f>
        <v/>
      </c>
      <c r="AA1484" s="14">
        <f>SUM(N1484:Y1484)</f>
        <v/>
      </c>
      <c r="AB1484" s="14">
        <f>IFERROR(IF(UPPER($E1484)="L",SUMPRODUCT(N1484:Y1484,$N$3:$Y$3,$N$2:$Y$2),SUMPRODUCT(N1484:Y1484,$N$4:$Y$4,$N$2:$Y$2))/(Z1484/($K1484*$L1484*$M1484)),"")</f>
        <v/>
      </c>
      <c r="AC1484" s="18" t="n"/>
    </row>
    <row r="1485">
      <c r="A1485" s="9" t="n">
        <v>827084</v>
      </c>
      <c r="B1485" s="9" t="inlineStr">
        <is>
          <t>Jay McQueen</t>
        </is>
      </c>
      <c r="C1485" s="9" t="inlineStr">
        <is>
          <t>TEX</t>
        </is>
      </c>
      <c r="D1485" s="9" t="n">
        <v>25</v>
      </c>
      <c r="E1485" s="16" t="inlineStr">
        <is>
          <t>R</t>
        </is>
      </c>
      <c r="F1485" s="16" t="n"/>
      <c r="G1485" s="9" t="n">
        <v>12.30769230769231</v>
      </c>
      <c r="H1485" s="9" t="n">
        <v>12.30769230769231</v>
      </c>
      <c r="I1485" s="9" t="inlineStr">
        <is>
          <t>Depth (no MLB PA)</t>
        </is>
      </c>
      <c r="J1485" s="16" t="inlineStr">
        <is>
          <t>Opening Day</t>
        </is>
      </c>
      <c r="K1485" s="11">
        <f>IFERROR(INDEX(Roles!$B$17:$B$20,MATCH(J1485,Roles!$A$17:$A$20,0)),1)</f>
        <v/>
      </c>
      <c r="L1485" s="17" t="n">
        <v>1</v>
      </c>
      <c r="M1485" s="11" t="n">
        <v>1</v>
      </c>
      <c r="N1485" s="17" t="n"/>
      <c r="O1485" s="17" t="n"/>
      <c r="P1485" s="17" t="n"/>
      <c r="Q1485" s="17" t="n"/>
      <c r="R1485" s="17" t="n"/>
      <c r="S1485" s="17" t="n"/>
      <c r="T1485" s="17" t="n"/>
      <c r="U1485" s="17" t="n"/>
      <c r="V1485" s="17" t="n"/>
      <c r="W1485" s="17" t="n"/>
      <c r="X1485" s="17" t="n"/>
      <c r="Y1485" s="17" t="n">
        <v>1</v>
      </c>
      <c r="Z1485" s="13">
        <f>SUMPRODUCT(N1485:Y1485,$N$2:$Y$2)*$K1485*$L1485*$M1485</f>
        <v/>
      </c>
      <c r="AA1485" s="14">
        <f>SUM(N1485:Y1485)</f>
        <v/>
      </c>
      <c r="AB1485" s="14">
        <f>IFERROR(IF(UPPER($E1485)="L",SUMPRODUCT(N1485:Y1485,$N$3:$Y$3,$N$2:$Y$2),SUMPRODUCT(N1485:Y1485,$N$4:$Y$4,$N$2:$Y$2))/(Z1485/($K1485*$L1485*$M1485)),"")</f>
        <v/>
      </c>
      <c r="AC1485" s="18" t="n"/>
    </row>
    <row r="1486">
      <c r="A1486" s="9" t="n">
        <v>694444</v>
      </c>
      <c r="B1486" s="9" t="inlineStr">
        <is>
          <t>Tavian Josenberger</t>
        </is>
      </c>
      <c r="C1486" s="9" t="inlineStr">
        <is>
          <t>BAL</t>
        </is>
      </c>
      <c r="D1486" s="9" t="n">
        <v>25</v>
      </c>
      <c r="E1486" s="16" t="inlineStr">
        <is>
          <t>L</t>
        </is>
      </c>
      <c r="F1486" s="16" t="n"/>
      <c r="G1486" s="9" t="n">
        <v>12.41025641025641</v>
      </c>
      <c r="H1486" s="9" t="n">
        <v>12.41025641025641</v>
      </c>
      <c r="I1486" s="9" t="inlineStr">
        <is>
          <t>Depth (no MLB PA)</t>
        </is>
      </c>
      <c r="J1486" s="16" t="inlineStr">
        <is>
          <t>Opening Day</t>
        </is>
      </c>
      <c r="K1486" s="11">
        <f>IFERROR(INDEX(Roles!$B$17:$B$20,MATCH(J1486,Roles!$A$17:$A$20,0)),1)</f>
        <v/>
      </c>
      <c r="L1486" s="17" t="n">
        <v>1</v>
      </c>
      <c r="M1486" s="11" t="n">
        <v>1</v>
      </c>
      <c r="N1486" s="17" t="n"/>
      <c r="O1486" s="17" t="n"/>
      <c r="P1486" s="17" t="n"/>
      <c r="Q1486" s="17" t="n"/>
      <c r="R1486" s="17" t="n"/>
      <c r="S1486" s="17" t="n"/>
      <c r="T1486" s="17" t="n"/>
      <c r="U1486" s="17" t="n"/>
      <c r="V1486" s="17" t="n"/>
      <c r="W1486" s="17" t="n"/>
      <c r="X1486" s="17" t="n"/>
      <c r="Y1486" s="17" t="n">
        <v>1</v>
      </c>
      <c r="Z1486" s="13">
        <f>SUMPRODUCT(N1486:Y1486,$N$2:$Y$2)*$K1486*$L1486*$M1486</f>
        <v/>
      </c>
      <c r="AA1486" s="14">
        <f>SUM(N1486:Y1486)</f>
        <v/>
      </c>
      <c r="AB1486" s="14">
        <f>IFERROR(IF(UPPER($E1486)="L",SUMPRODUCT(N1486:Y1486,$N$3:$Y$3,$N$2:$Y$2),SUMPRODUCT(N1486:Y1486,$N$4:$Y$4,$N$2:$Y$2))/(Z1486/($K1486*$L1486*$M1486)),"")</f>
        <v/>
      </c>
      <c r="AC1486" s="18" t="n"/>
    </row>
    <row r="1487">
      <c r="A1487" s="9" t="n">
        <v>821270</v>
      </c>
      <c r="B1487" s="9" t="inlineStr">
        <is>
          <t>Luis Peña</t>
        </is>
      </c>
      <c r="C1487" s="9" t="inlineStr">
        <is>
          <t>MIL</t>
        </is>
      </c>
      <c r="D1487" s="9" t="n">
        <v>21</v>
      </c>
      <c r="E1487" s="16" t="inlineStr">
        <is>
          <t>R</t>
        </is>
      </c>
      <c r="F1487" s="16" t="n"/>
      <c r="G1487" s="9" t="n">
        <v>21.53846153846154</v>
      </c>
      <c r="H1487" s="9" t="n">
        <v>21.53846153846154</v>
      </c>
      <c r="I1487" s="9" t="inlineStr">
        <is>
          <t>Bench Bat</t>
        </is>
      </c>
      <c r="J1487" s="16" t="inlineStr">
        <is>
          <t>Mid Season (~July)</t>
        </is>
      </c>
      <c r="K1487" s="11">
        <f>IFERROR(INDEX(Roles!$B$17:$B$20,MATCH(J1487,Roles!$A$17:$A$20,0)),1)</f>
        <v/>
      </c>
      <c r="L1487" s="17" t="n">
        <v>1</v>
      </c>
      <c r="M1487" s="11" t="n">
        <v>1</v>
      </c>
      <c r="N1487" s="17" t="n">
        <v>0.34</v>
      </c>
      <c r="O1487" s="17" t="n"/>
      <c r="P1487" s="17" t="n">
        <v>0.3</v>
      </c>
      <c r="Q1487" s="17" t="n"/>
      <c r="R1487" s="17" t="n"/>
      <c r="S1487" s="17" t="n"/>
      <c r="T1487" s="17" t="n"/>
      <c r="U1487" s="17" t="n"/>
      <c r="V1487" s="17" t="n"/>
      <c r="W1487" s="17" t="n">
        <v>0.36</v>
      </c>
      <c r="X1487" s="17" t="n"/>
      <c r="Y1487" s="17" t="n"/>
      <c r="Z1487" s="13">
        <f>SUMPRODUCT(N1487:Y1487,$N$2:$Y$2)*$K1487*$L1487*$M1487</f>
        <v/>
      </c>
      <c r="AA1487" s="14">
        <f>SUM(N1487:Y1487)</f>
        <v/>
      </c>
      <c r="AB1487" s="14">
        <f>IFERROR(IF(UPPER($E1487)="L",SUMPRODUCT(N1487:Y1487,$N$3:$Y$3,$N$2:$Y$2),SUMPRODUCT(N1487:Y1487,$N$4:$Y$4,$N$2:$Y$2))/(Z1487/($K1487*$L1487*$M1487)),"")</f>
        <v/>
      </c>
      <c r="AC1487" s="18" t="n"/>
    </row>
    <row r="1488">
      <c r="A1488" s="9" t="n">
        <v>842179</v>
      </c>
      <c r="B1488" s="9" t="inlineStr">
        <is>
          <t>Tanner Mally</t>
        </is>
      </c>
      <c r="C1488" s="9" t="inlineStr">
        <is>
          <t>SF</t>
        </is>
      </c>
      <c r="D1488" s="9" t="n">
        <v>25</v>
      </c>
      <c r="E1488" s="16" t="inlineStr">
        <is>
          <t>R</t>
        </is>
      </c>
      <c r="F1488" s="16" t="n"/>
      <c r="G1488" s="9" t="n">
        <v>12.43076923076923</v>
      </c>
      <c r="H1488" s="9" t="n">
        <v>12.43076923076923</v>
      </c>
      <c r="I1488" s="9" t="inlineStr">
        <is>
          <t>Depth (no MLB PA)</t>
        </is>
      </c>
      <c r="J1488" s="16" t="inlineStr">
        <is>
          <t>Opening Day</t>
        </is>
      </c>
      <c r="K1488" s="11">
        <f>IFERROR(INDEX(Roles!$B$17:$B$20,MATCH(J1488,Roles!$A$17:$A$20,0)),1)</f>
        <v/>
      </c>
      <c r="L1488" s="17" t="n">
        <v>1</v>
      </c>
      <c r="M1488" s="11" t="n">
        <v>1</v>
      </c>
      <c r="N1488" s="17" t="n"/>
      <c r="O1488" s="17" t="n"/>
      <c r="P1488" s="17" t="n"/>
      <c r="Q1488" s="17" t="n"/>
      <c r="R1488" s="17" t="n"/>
      <c r="S1488" s="17" t="n"/>
      <c r="T1488" s="17" t="n"/>
      <c r="U1488" s="17" t="n"/>
      <c r="V1488" s="17" t="n"/>
      <c r="W1488" s="17" t="n"/>
      <c r="X1488" s="17" t="n"/>
      <c r="Y1488" s="17" t="n">
        <v>1</v>
      </c>
      <c r="Z1488" s="13">
        <f>SUMPRODUCT(N1488:Y1488,$N$2:$Y$2)*$K1488*$L1488*$M1488</f>
        <v/>
      </c>
      <c r="AA1488" s="14">
        <f>SUM(N1488:Y1488)</f>
        <v/>
      </c>
      <c r="AB1488" s="14">
        <f>IFERROR(IF(UPPER($E1488)="L",SUMPRODUCT(N1488:Y1488,$N$3:$Y$3,$N$2:$Y$2),SUMPRODUCT(N1488:Y1488,$N$4:$Y$4,$N$2:$Y$2))/(Z1488/($K1488*$L1488*$M1488)),"")</f>
        <v/>
      </c>
      <c r="AC1488" s="18" t="n"/>
    </row>
    <row r="1489">
      <c r="A1489" s="9" t="n">
        <v>800433</v>
      </c>
      <c r="B1489" s="9" t="inlineStr">
        <is>
          <t>Elis Cuevas</t>
        </is>
      </c>
      <c r="C1489" s="9" t="inlineStr">
        <is>
          <t>BAL</t>
        </is>
      </c>
      <c r="D1489" s="9" t="n">
        <v>25</v>
      </c>
      <c r="E1489" s="16" t="inlineStr">
        <is>
          <t>L</t>
        </is>
      </c>
      <c r="F1489" s="16" t="n"/>
      <c r="G1489" s="9" t="n">
        <v>41.84615384615385</v>
      </c>
      <c r="H1489" s="9" t="n">
        <v>41.84615384615385</v>
      </c>
      <c r="I1489" s="9" t="inlineStr">
        <is>
          <t>Depth (no MLB PA)</t>
        </is>
      </c>
      <c r="J1489" s="16" t="inlineStr">
        <is>
          <t>Opening Day</t>
        </is>
      </c>
      <c r="K1489" s="11">
        <f>IFERROR(INDEX(Roles!$B$17:$B$20,MATCH(J1489,Roles!$A$17:$A$20,0)),1)</f>
        <v/>
      </c>
      <c r="L1489" s="17" t="n">
        <v>1</v>
      </c>
      <c r="M1489" s="11" t="n">
        <v>1</v>
      </c>
      <c r="N1489" s="17" t="n"/>
      <c r="O1489" s="17" t="n"/>
      <c r="P1489" s="17" t="n"/>
      <c r="Q1489" s="17" t="n"/>
      <c r="R1489" s="17" t="n"/>
      <c r="S1489" s="17" t="n"/>
      <c r="T1489" s="17" t="n"/>
      <c r="U1489" s="17" t="n"/>
      <c r="V1489" s="17" t="n"/>
      <c r="W1489" s="17" t="n"/>
      <c r="X1489" s="17" t="n"/>
      <c r="Y1489" s="17" t="n">
        <v>1</v>
      </c>
      <c r="Z1489" s="13">
        <f>SUMPRODUCT(N1489:Y1489,$N$2:$Y$2)*$K1489*$L1489*$M1489</f>
        <v/>
      </c>
      <c r="AA1489" s="14">
        <f>SUM(N1489:Y1489)</f>
        <v/>
      </c>
      <c r="AB1489" s="14">
        <f>IFERROR(IF(UPPER($E1489)="L",SUMPRODUCT(N1489:Y1489,$N$3:$Y$3,$N$2:$Y$2),SUMPRODUCT(N1489:Y1489,$N$4:$Y$4,$N$2:$Y$2))/(Z1489/($K1489*$L1489*$M1489)),"")</f>
        <v/>
      </c>
      <c r="AC1489" s="18" t="n"/>
    </row>
    <row r="1490">
      <c r="A1490" s="9" t="n">
        <v>827636</v>
      </c>
      <c r="B1490" s="9" t="inlineStr">
        <is>
          <t>Trent Youngblood</t>
        </is>
      </c>
      <c r="C1490" s="9" t="inlineStr">
        <is>
          <t>ARI</t>
        </is>
      </c>
      <c r="D1490" s="9" t="n">
        <v>25</v>
      </c>
      <c r="E1490" s="16" t="inlineStr">
        <is>
          <t>L</t>
        </is>
      </c>
      <c r="F1490" s="16" t="n"/>
      <c r="G1490" s="9" t="n">
        <v>12.41025641025641</v>
      </c>
      <c r="H1490" s="9" t="n">
        <v>12.41025641025641</v>
      </c>
      <c r="I1490" s="9" t="inlineStr">
        <is>
          <t>Depth (no MLB PA)</t>
        </is>
      </c>
      <c r="J1490" s="16" t="inlineStr">
        <is>
          <t>Opening Day</t>
        </is>
      </c>
      <c r="K1490" s="11">
        <f>IFERROR(INDEX(Roles!$B$17:$B$20,MATCH(J1490,Roles!$A$17:$A$20,0)),1)</f>
        <v/>
      </c>
      <c r="L1490" s="17" t="n">
        <v>1</v>
      </c>
      <c r="M1490" s="11" t="n">
        <v>1</v>
      </c>
      <c r="N1490" s="17" t="n"/>
      <c r="O1490" s="17" t="n"/>
      <c r="P1490" s="17" t="n"/>
      <c r="Q1490" s="17" t="n"/>
      <c r="R1490" s="17" t="n"/>
      <c r="S1490" s="17" t="n"/>
      <c r="T1490" s="17" t="n"/>
      <c r="U1490" s="17" t="n"/>
      <c r="V1490" s="17" t="n"/>
      <c r="W1490" s="17" t="n"/>
      <c r="X1490" s="17" t="n"/>
      <c r="Y1490" s="17" t="n">
        <v>1</v>
      </c>
      <c r="Z1490" s="13">
        <f>SUMPRODUCT(N1490:Y1490,$N$2:$Y$2)*$K1490*$L1490*$M1490</f>
        <v/>
      </c>
      <c r="AA1490" s="14">
        <f>SUM(N1490:Y1490)</f>
        <v/>
      </c>
      <c r="AB1490" s="14">
        <f>IFERROR(IF(UPPER($E1490)="L",SUMPRODUCT(N1490:Y1490,$N$3:$Y$3,$N$2:$Y$2),SUMPRODUCT(N1490:Y1490,$N$4:$Y$4,$N$2:$Y$2))/(Z1490/($K1490*$L1490*$M1490)),"")</f>
        <v/>
      </c>
      <c r="AC1490" s="18" t="n"/>
    </row>
    <row r="1491">
      <c r="A1491" s="9" t="n">
        <v>823295</v>
      </c>
      <c r="B1491" s="9" t="inlineStr">
        <is>
          <t>Jay Thomason</t>
        </is>
      </c>
      <c r="C1491" s="9" t="inlineStr">
        <is>
          <t>MIN</t>
        </is>
      </c>
      <c r="D1491" s="9" t="n">
        <v>25</v>
      </c>
      <c r="E1491" s="16" t="inlineStr">
        <is>
          <t>L</t>
        </is>
      </c>
      <c r="F1491" s="16" t="n"/>
      <c r="G1491" s="9" t="n">
        <v>47.38461538461538</v>
      </c>
      <c r="H1491" s="9" t="n">
        <v>47.38461538461538</v>
      </c>
      <c r="I1491" s="9" t="inlineStr">
        <is>
          <t>Depth (no MLB PA)</t>
        </is>
      </c>
      <c r="J1491" s="16" t="inlineStr">
        <is>
          <t>Opening Day</t>
        </is>
      </c>
      <c r="K1491" s="11">
        <f>IFERROR(INDEX(Roles!$B$17:$B$20,MATCH(J1491,Roles!$A$17:$A$20,0)),1)</f>
        <v/>
      </c>
      <c r="L1491" s="17" t="n">
        <v>1</v>
      </c>
      <c r="M1491" s="11" t="n">
        <v>1</v>
      </c>
      <c r="N1491" s="17" t="n"/>
      <c r="O1491" s="17" t="n"/>
      <c r="P1491" s="17" t="n"/>
      <c r="Q1491" s="17" t="n"/>
      <c r="R1491" s="17" t="n"/>
      <c r="S1491" s="17" t="n"/>
      <c r="T1491" s="17" t="n"/>
      <c r="U1491" s="17" t="n"/>
      <c r="V1491" s="17" t="n"/>
      <c r="W1491" s="17" t="n"/>
      <c r="X1491" s="17" t="n"/>
      <c r="Y1491" s="17" t="n">
        <v>1</v>
      </c>
      <c r="Z1491" s="13">
        <f>SUMPRODUCT(N1491:Y1491,$N$2:$Y$2)*$K1491*$L1491*$M1491</f>
        <v/>
      </c>
      <c r="AA1491" s="14">
        <f>SUM(N1491:Y1491)</f>
        <v/>
      </c>
      <c r="AB1491" s="14">
        <f>IFERROR(IF(UPPER($E1491)="L",SUMPRODUCT(N1491:Y1491,$N$3:$Y$3,$N$2:$Y$2),SUMPRODUCT(N1491:Y1491,$N$4:$Y$4,$N$2:$Y$2))/(Z1491/($K1491*$L1491*$M1491)),"")</f>
        <v/>
      </c>
      <c r="AC1491" s="18" t="n"/>
    </row>
    <row r="1492">
      <c r="A1492" s="9" t="n">
        <v>807722</v>
      </c>
      <c r="B1492" s="9" t="inlineStr">
        <is>
          <t>Maxton Martin</t>
        </is>
      </c>
      <c r="C1492" s="9" t="inlineStr">
        <is>
          <t>TEX</t>
        </is>
      </c>
      <c r="D1492" s="9" t="n">
        <v>25</v>
      </c>
      <c r="E1492" s="16" t="inlineStr">
        <is>
          <t>L</t>
        </is>
      </c>
      <c r="F1492" s="16" t="n"/>
      <c r="G1492" s="9" t="n">
        <v>102.1538461538462</v>
      </c>
      <c r="H1492" s="9" t="n">
        <v>102.1538461538462</v>
      </c>
      <c r="I1492" s="9" t="inlineStr">
        <is>
          <t>Depth (no MLB PA)</t>
        </is>
      </c>
      <c r="J1492" s="16" t="inlineStr">
        <is>
          <t>Opening Day</t>
        </is>
      </c>
      <c r="K1492" s="11">
        <f>IFERROR(INDEX(Roles!$B$17:$B$20,MATCH(J1492,Roles!$A$17:$A$20,0)),1)</f>
        <v/>
      </c>
      <c r="L1492" s="17" t="n">
        <v>1</v>
      </c>
      <c r="M1492" s="11" t="n">
        <v>1</v>
      </c>
      <c r="N1492" s="17" t="n"/>
      <c r="O1492" s="17" t="n"/>
      <c r="P1492" s="17" t="n"/>
      <c r="Q1492" s="17" t="n"/>
      <c r="R1492" s="17" t="n"/>
      <c r="S1492" s="17" t="n"/>
      <c r="T1492" s="17" t="n"/>
      <c r="U1492" s="17" t="n"/>
      <c r="V1492" s="17" t="n"/>
      <c r="W1492" s="17" t="n"/>
      <c r="X1492" s="17" t="n"/>
      <c r="Y1492" s="17" t="n">
        <v>1</v>
      </c>
      <c r="Z1492" s="13">
        <f>SUMPRODUCT(N1492:Y1492,$N$2:$Y$2)*$K1492*$L1492*$M1492</f>
        <v/>
      </c>
      <c r="AA1492" s="14">
        <f>SUM(N1492:Y1492)</f>
        <v/>
      </c>
      <c r="AB1492" s="14">
        <f>IFERROR(IF(UPPER($E1492)="L",SUMPRODUCT(N1492:Y1492,$N$3:$Y$3,$N$2:$Y$2),SUMPRODUCT(N1492:Y1492,$N$4:$Y$4,$N$2:$Y$2))/(Z1492/($K1492*$L1492*$M1492)),"")</f>
        <v/>
      </c>
      <c r="AC1492" s="18" t="n"/>
    </row>
    <row r="1493">
      <c r="A1493" s="9" t="n">
        <v>801537</v>
      </c>
      <c r="B1493" s="9" t="inlineStr">
        <is>
          <t>Nathan Humphreys</t>
        </is>
      </c>
      <c r="C1493" s="9" t="inlineStr">
        <is>
          <t>PHI</t>
        </is>
      </c>
      <c r="D1493" s="9" t="n">
        <v>25</v>
      </c>
      <c r="E1493" s="16" t="inlineStr">
        <is>
          <t>L</t>
        </is>
      </c>
      <c r="F1493" s="16" t="n"/>
      <c r="G1493" s="9" t="n">
        <v>21.12820512820513</v>
      </c>
      <c r="H1493" s="9" t="n">
        <v>21.12820512820513</v>
      </c>
      <c r="I1493" s="9" t="inlineStr">
        <is>
          <t>Depth (no MLB PA)</t>
        </is>
      </c>
      <c r="J1493" s="16" t="inlineStr">
        <is>
          <t>Opening Day</t>
        </is>
      </c>
      <c r="K1493" s="11">
        <f>IFERROR(INDEX(Roles!$B$17:$B$20,MATCH(J1493,Roles!$A$17:$A$20,0)),1)</f>
        <v/>
      </c>
      <c r="L1493" s="17" t="n">
        <v>1</v>
      </c>
      <c r="M1493" s="11" t="n">
        <v>1</v>
      </c>
      <c r="N1493" s="17" t="n"/>
      <c r="O1493" s="17" t="n"/>
      <c r="P1493" s="17" t="n"/>
      <c r="Q1493" s="17" t="n"/>
      <c r="R1493" s="17" t="n"/>
      <c r="S1493" s="17" t="n"/>
      <c r="T1493" s="17" t="n"/>
      <c r="U1493" s="17" t="n"/>
      <c r="V1493" s="17" t="n"/>
      <c r="W1493" s="17" t="n"/>
      <c r="X1493" s="17" t="n"/>
      <c r="Y1493" s="17" t="n">
        <v>1</v>
      </c>
      <c r="Z1493" s="13">
        <f>SUMPRODUCT(N1493:Y1493,$N$2:$Y$2)*$K1493*$L1493*$M1493</f>
        <v/>
      </c>
      <c r="AA1493" s="14">
        <f>SUM(N1493:Y1493)</f>
        <v/>
      </c>
      <c r="AB1493" s="14">
        <f>IFERROR(IF(UPPER($E1493)="L",SUMPRODUCT(N1493:Y1493,$N$3:$Y$3,$N$2:$Y$2),SUMPRODUCT(N1493:Y1493,$N$4:$Y$4,$N$2:$Y$2))/(Z1493/($K1493*$L1493*$M1493)),"")</f>
        <v/>
      </c>
      <c r="AC1493" s="18" t="n"/>
    </row>
    <row r="1494">
      <c r="A1494" s="9" t="n">
        <v>842969</v>
      </c>
      <c r="B1494" s="9" t="inlineStr">
        <is>
          <t>Corey Nunez</t>
        </is>
      </c>
      <c r="C1494" s="9" t="inlineStr">
        <is>
          <t>CHC</t>
        </is>
      </c>
      <c r="D1494" s="9" t="n">
        <v>25</v>
      </c>
      <c r="E1494" s="16" t="inlineStr">
        <is>
          <t>R</t>
        </is>
      </c>
      <c r="F1494" s="16" t="n"/>
      <c r="G1494" s="9" t="n">
        <v>12.8</v>
      </c>
      <c r="H1494" s="9" t="n">
        <v>12.8</v>
      </c>
      <c r="I1494" s="9" t="inlineStr">
        <is>
          <t>Depth (no MLB PA)</t>
        </is>
      </c>
      <c r="J1494" s="16" t="inlineStr">
        <is>
          <t>Opening Day</t>
        </is>
      </c>
      <c r="K1494" s="11">
        <f>IFERROR(INDEX(Roles!$B$17:$B$20,MATCH(J1494,Roles!$A$17:$A$20,0)),1)</f>
        <v/>
      </c>
      <c r="L1494" s="17" t="n">
        <v>1</v>
      </c>
      <c r="M1494" s="11" t="n">
        <v>1</v>
      </c>
      <c r="N1494" s="17" t="n"/>
      <c r="O1494" s="17" t="n"/>
      <c r="P1494" s="17" t="n"/>
      <c r="Q1494" s="17" t="n"/>
      <c r="R1494" s="17" t="n"/>
      <c r="S1494" s="17" t="n"/>
      <c r="T1494" s="17" t="n"/>
      <c r="U1494" s="17" t="n"/>
      <c r="V1494" s="17" t="n"/>
      <c r="W1494" s="17" t="n"/>
      <c r="X1494" s="17" t="n"/>
      <c r="Y1494" s="17" t="n">
        <v>1</v>
      </c>
      <c r="Z1494" s="13">
        <f>SUMPRODUCT(N1494:Y1494,$N$2:$Y$2)*$K1494*$L1494*$M1494</f>
        <v/>
      </c>
      <c r="AA1494" s="14">
        <f>SUM(N1494:Y1494)</f>
        <v/>
      </c>
      <c r="AB1494" s="14">
        <f>IFERROR(IF(UPPER($E1494)="L",SUMPRODUCT(N1494:Y1494,$N$3:$Y$3,$N$2:$Y$2),SUMPRODUCT(N1494:Y1494,$N$4:$Y$4,$N$2:$Y$2))/(Z1494/($K1494*$L1494*$M1494)),"")</f>
        <v/>
      </c>
      <c r="AC1494" s="18" t="n"/>
    </row>
    <row r="1495">
      <c r="A1495" s="9" t="n">
        <v>806969</v>
      </c>
      <c r="B1495" s="9" t="inlineStr">
        <is>
          <t>Camilo Diaz</t>
        </is>
      </c>
      <c r="C1495" s="9" t="inlineStr">
        <is>
          <t>HOU</t>
        </is>
      </c>
      <c r="D1495" s="9" t="n">
        <v>25</v>
      </c>
      <c r="E1495" s="16" t="inlineStr">
        <is>
          <t>R</t>
        </is>
      </c>
      <c r="F1495" s="16" t="n"/>
      <c r="G1495" s="9" t="n">
        <v>24.98461538461538</v>
      </c>
      <c r="H1495" s="9" t="n">
        <v>24.98461538461538</v>
      </c>
      <c r="I1495" s="9" t="inlineStr">
        <is>
          <t>Depth (no MLB PA)</t>
        </is>
      </c>
      <c r="J1495" s="16" t="inlineStr">
        <is>
          <t>Opening Day</t>
        </is>
      </c>
      <c r="K1495" s="11">
        <f>IFERROR(INDEX(Roles!$B$17:$B$20,MATCH(J1495,Roles!$A$17:$A$20,0)),1)</f>
        <v/>
      </c>
      <c r="L1495" s="17" t="n">
        <v>1</v>
      </c>
      <c r="M1495" s="11" t="n">
        <v>1</v>
      </c>
      <c r="N1495" s="17" t="n"/>
      <c r="O1495" s="17" t="n"/>
      <c r="P1495" s="17" t="n"/>
      <c r="Q1495" s="17" t="n"/>
      <c r="R1495" s="17" t="n"/>
      <c r="S1495" s="17" t="n"/>
      <c r="T1495" s="17" t="n"/>
      <c r="U1495" s="17" t="n"/>
      <c r="V1495" s="17" t="n"/>
      <c r="W1495" s="17" t="n"/>
      <c r="X1495" s="17" t="n"/>
      <c r="Y1495" s="17" t="n">
        <v>1</v>
      </c>
      <c r="Z1495" s="13">
        <f>SUMPRODUCT(N1495:Y1495,$N$2:$Y$2)*$K1495*$L1495*$M1495</f>
        <v/>
      </c>
      <c r="AA1495" s="14">
        <f>SUM(N1495:Y1495)</f>
        <v/>
      </c>
      <c r="AB1495" s="14">
        <f>IFERROR(IF(UPPER($E1495)="L",SUMPRODUCT(N1495:Y1495,$N$3:$Y$3,$N$2:$Y$2),SUMPRODUCT(N1495:Y1495,$N$4:$Y$4,$N$2:$Y$2))/(Z1495/($K1495*$L1495*$M1495)),"")</f>
        <v/>
      </c>
      <c r="AC1495" s="18" t="n"/>
    </row>
    <row r="1496">
      <c r="A1496" s="9" t="n">
        <v>821100</v>
      </c>
      <c r="B1496" s="9" t="inlineStr">
        <is>
          <t>Justin Gonzales</t>
        </is>
      </c>
      <c r="C1496" s="9" t="inlineStr">
        <is>
          <t>BOS</t>
        </is>
      </c>
      <c r="D1496" s="9" t="n">
        <v>21</v>
      </c>
      <c r="E1496" s="16" t="inlineStr">
        <is>
          <t>R</t>
        </is>
      </c>
      <c r="F1496" s="16" t="n"/>
      <c r="G1496" s="9" t="n">
        <v>29.79487179487179</v>
      </c>
      <c r="H1496" s="9" t="n">
        <v>29.79487179487179</v>
      </c>
      <c r="I1496" s="9" t="inlineStr">
        <is>
          <t>Bench Bat</t>
        </is>
      </c>
      <c r="J1496" s="16" t="inlineStr">
        <is>
          <t>Mid Season (~July)</t>
        </is>
      </c>
      <c r="K1496" s="11">
        <f>IFERROR(INDEX(Roles!$B$17:$B$20,MATCH(J1496,Roles!$A$17:$A$20,0)),1)</f>
        <v/>
      </c>
      <c r="L1496" s="17" t="n">
        <v>1</v>
      </c>
      <c r="M1496" s="11" t="n">
        <v>1</v>
      </c>
      <c r="N1496" s="17" t="n">
        <v>0.34</v>
      </c>
      <c r="O1496" s="17" t="n"/>
      <c r="P1496" s="17" t="n">
        <v>0.3</v>
      </c>
      <c r="Q1496" s="17" t="n"/>
      <c r="R1496" s="17" t="n"/>
      <c r="S1496" s="17" t="n"/>
      <c r="T1496" s="17" t="n"/>
      <c r="U1496" s="17" t="n"/>
      <c r="V1496" s="17" t="n"/>
      <c r="W1496" s="17" t="n">
        <v>0.36</v>
      </c>
      <c r="X1496" s="17" t="n"/>
      <c r="Y1496" s="17" t="n"/>
      <c r="Z1496" s="13">
        <f>SUMPRODUCT(N1496:Y1496,$N$2:$Y$2)*$K1496*$L1496*$M1496</f>
        <v/>
      </c>
      <c r="AA1496" s="14">
        <f>SUM(N1496:Y1496)</f>
        <v/>
      </c>
      <c r="AB1496" s="14">
        <f>IFERROR(IF(UPPER($E1496)="L",SUMPRODUCT(N1496:Y1496,$N$3:$Y$3,$N$2:$Y$2),SUMPRODUCT(N1496:Y1496,$N$4:$Y$4,$N$2:$Y$2))/(Z1496/($K1496*$L1496*$M1496)),"")</f>
        <v/>
      </c>
      <c r="AC1496" s="18" t="n"/>
    </row>
    <row r="1497">
      <c r="A1497" s="9" t="n">
        <v>808297</v>
      </c>
      <c r="B1497" s="9" t="inlineStr">
        <is>
          <t>Deward Tovar</t>
        </is>
      </c>
      <c r="C1497" s="9" t="inlineStr">
        <is>
          <t>TEX</t>
        </is>
      </c>
      <c r="D1497" s="9" t="n">
        <v>25</v>
      </c>
      <c r="E1497" s="16" t="inlineStr">
        <is>
          <t>L</t>
        </is>
      </c>
      <c r="F1497" s="16" t="n"/>
      <c r="G1497" s="9" t="n">
        <v>51.32307692307692</v>
      </c>
      <c r="H1497" s="9" t="n">
        <v>51.32307692307692</v>
      </c>
      <c r="I1497" s="9" t="inlineStr">
        <is>
          <t>Depth (no MLB PA)</t>
        </is>
      </c>
      <c r="J1497" s="16" t="inlineStr">
        <is>
          <t>Opening Day</t>
        </is>
      </c>
      <c r="K1497" s="11">
        <f>IFERROR(INDEX(Roles!$B$17:$B$20,MATCH(J1497,Roles!$A$17:$A$20,0)),1)</f>
        <v/>
      </c>
      <c r="L1497" s="17" t="n">
        <v>1</v>
      </c>
      <c r="M1497" s="11" t="n">
        <v>1</v>
      </c>
      <c r="N1497" s="17" t="n"/>
      <c r="O1497" s="17" t="n"/>
      <c r="P1497" s="17" t="n"/>
      <c r="Q1497" s="17" t="n"/>
      <c r="R1497" s="17" t="n"/>
      <c r="S1497" s="17" t="n"/>
      <c r="T1497" s="17" t="n"/>
      <c r="U1497" s="17" t="n"/>
      <c r="V1497" s="17" t="n"/>
      <c r="W1497" s="17" t="n"/>
      <c r="X1497" s="17" t="n"/>
      <c r="Y1497" s="17" t="n">
        <v>1</v>
      </c>
      <c r="Z1497" s="13">
        <f>SUMPRODUCT(N1497:Y1497,$N$2:$Y$2)*$K1497*$L1497*$M1497</f>
        <v/>
      </c>
      <c r="AA1497" s="14">
        <f>SUM(N1497:Y1497)</f>
        <v/>
      </c>
      <c r="AB1497" s="14">
        <f>IFERROR(IF(UPPER($E1497)="L",SUMPRODUCT(N1497:Y1497,$N$3:$Y$3,$N$2:$Y$2),SUMPRODUCT(N1497:Y1497,$N$4:$Y$4,$N$2:$Y$2))/(Z1497/($K1497*$L1497*$M1497)),"")</f>
        <v/>
      </c>
      <c r="AC1497" s="18" t="n"/>
    </row>
    <row r="1498">
      <c r="A1498" s="9" t="n">
        <v>694065</v>
      </c>
      <c r="B1498" s="9" t="inlineStr">
        <is>
          <t>Arxy Hernandez</t>
        </is>
      </c>
      <c r="C1498" s="9" t="inlineStr">
        <is>
          <t>CWS</t>
        </is>
      </c>
      <c r="D1498" s="9" t="n">
        <v>25</v>
      </c>
      <c r="E1498" s="16" t="inlineStr">
        <is>
          <t>R</t>
        </is>
      </c>
      <c r="F1498" s="16" t="n"/>
      <c r="G1498" s="9" t="n">
        <v>42.46153846153847</v>
      </c>
      <c r="H1498" s="9" t="n">
        <v>42.46153846153847</v>
      </c>
      <c r="I1498" s="9" t="inlineStr">
        <is>
          <t>Depth (no MLB PA)</t>
        </is>
      </c>
      <c r="J1498" s="16" t="inlineStr">
        <is>
          <t>Opening Day</t>
        </is>
      </c>
      <c r="K1498" s="11">
        <f>IFERROR(INDEX(Roles!$B$17:$B$20,MATCH(J1498,Roles!$A$17:$A$20,0)),1)</f>
        <v/>
      </c>
      <c r="L1498" s="17" t="n">
        <v>1</v>
      </c>
      <c r="M1498" s="11" t="n">
        <v>1</v>
      </c>
      <c r="N1498" s="17" t="n"/>
      <c r="O1498" s="17" t="n"/>
      <c r="P1498" s="17" t="n"/>
      <c r="Q1498" s="17" t="n"/>
      <c r="R1498" s="17" t="n"/>
      <c r="S1498" s="17" t="n"/>
      <c r="T1498" s="17" t="n"/>
      <c r="U1498" s="17" t="n"/>
      <c r="V1498" s="17" t="n"/>
      <c r="W1498" s="17" t="n"/>
      <c r="X1498" s="17" t="n"/>
      <c r="Y1498" s="17" t="n">
        <v>1</v>
      </c>
      <c r="Z1498" s="13">
        <f>SUMPRODUCT(N1498:Y1498,$N$2:$Y$2)*$K1498*$L1498*$M1498</f>
        <v/>
      </c>
      <c r="AA1498" s="14">
        <f>SUM(N1498:Y1498)</f>
        <v/>
      </c>
      <c r="AB1498" s="14">
        <f>IFERROR(IF(UPPER($E1498)="L",SUMPRODUCT(N1498:Y1498,$N$3:$Y$3,$N$2:$Y$2),SUMPRODUCT(N1498:Y1498,$N$4:$Y$4,$N$2:$Y$2))/(Z1498/($K1498*$L1498*$M1498)),"")</f>
        <v/>
      </c>
      <c r="AC1498" s="18" t="n"/>
    </row>
    <row r="1499">
      <c r="A1499" s="9" t="n">
        <v>806061</v>
      </c>
      <c r="B1499" s="9" t="inlineStr">
        <is>
          <t>Isaiah Drake</t>
        </is>
      </c>
      <c r="C1499" s="9" t="inlineStr">
        <is>
          <t>ATL</t>
        </is>
      </c>
      <c r="D1499" s="9" t="n">
        <v>25</v>
      </c>
      <c r="E1499" s="16" t="inlineStr">
        <is>
          <t>L</t>
        </is>
      </c>
      <c r="F1499" s="16" t="n"/>
      <c r="G1499" s="9" t="n">
        <v>63.58974358974359</v>
      </c>
      <c r="H1499" s="9" t="n">
        <v>63.58974358974359</v>
      </c>
      <c r="I1499" s="9" t="inlineStr">
        <is>
          <t>Depth (no MLB PA)</t>
        </is>
      </c>
      <c r="J1499" s="16" t="inlineStr">
        <is>
          <t>Opening Day</t>
        </is>
      </c>
      <c r="K1499" s="11">
        <f>IFERROR(INDEX(Roles!$B$17:$B$20,MATCH(J1499,Roles!$A$17:$A$20,0)),1)</f>
        <v/>
      </c>
      <c r="L1499" s="17" t="n">
        <v>1</v>
      </c>
      <c r="M1499" s="11" t="n">
        <v>1</v>
      </c>
      <c r="N1499" s="17" t="n"/>
      <c r="O1499" s="17" t="n"/>
      <c r="P1499" s="17" t="n"/>
      <c r="Q1499" s="17" t="n"/>
      <c r="R1499" s="17" t="n"/>
      <c r="S1499" s="17" t="n"/>
      <c r="T1499" s="17" t="n"/>
      <c r="U1499" s="17" t="n"/>
      <c r="V1499" s="17" t="n"/>
      <c r="W1499" s="17" t="n"/>
      <c r="X1499" s="17" t="n"/>
      <c r="Y1499" s="17" t="n">
        <v>1</v>
      </c>
      <c r="Z1499" s="13">
        <f>SUMPRODUCT(N1499:Y1499,$N$2:$Y$2)*$K1499*$L1499*$M1499</f>
        <v/>
      </c>
      <c r="AA1499" s="14">
        <f>SUM(N1499:Y1499)</f>
        <v/>
      </c>
      <c r="AB1499" s="14">
        <f>IFERROR(IF(UPPER($E1499)="L",SUMPRODUCT(N1499:Y1499,$N$3:$Y$3,$N$2:$Y$2),SUMPRODUCT(N1499:Y1499,$N$4:$Y$4,$N$2:$Y$2))/(Z1499/($K1499*$L1499*$M1499)),"")</f>
        <v/>
      </c>
      <c r="AC1499" s="18" t="n"/>
    </row>
    <row r="1500">
      <c r="A1500" s="9" t="n">
        <v>696160</v>
      </c>
      <c r="B1500" s="9" t="inlineStr">
        <is>
          <t>Jake Rucker</t>
        </is>
      </c>
      <c r="C1500" s="9" t="inlineStr">
        <is>
          <t>MIN</t>
        </is>
      </c>
      <c r="D1500" s="9" t="n">
        <v>25</v>
      </c>
      <c r="E1500" s="16" t="inlineStr">
        <is>
          <t>R</t>
        </is>
      </c>
      <c r="F1500" s="16" t="n"/>
      <c r="G1500" s="9" t="n">
        <v>27.64102564102564</v>
      </c>
      <c r="H1500" s="9" t="n">
        <v>27.64102564102564</v>
      </c>
      <c r="I1500" s="9" t="inlineStr">
        <is>
          <t>Depth (no MLB PA)</t>
        </is>
      </c>
      <c r="J1500" s="16" t="inlineStr">
        <is>
          <t>Opening Day</t>
        </is>
      </c>
      <c r="K1500" s="11">
        <f>IFERROR(INDEX(Roles!$B$17:$B$20,MATCH(J1500,Roles!$A$17:$A$20,0)),1)</f>
        <v/>
      </c>
      <c r="L1500" s="17" t="n">
        <v>1</v>
      </c>
      <c r="M1500" s="11" t="n">
        <v>1</v>
      </c>
      <c r="N1500" s="17" t="n"/>
      <c r="O1500" s="17" t="n"/>
      <c r="P1500" s="17" t="n"/>
      <c r="Q1500" s="17" t="n"/>
      <c r="R1500" s="17" t="n"/>
      <c r="S1500" s="17" t="n"/>
      <c r="T1500" s="17" t="n"/>
      <c r="U1500" s="17" t="n"/>
      <c r="V1500" s="17" t="n"/>
      <c r="W1500" s="17" t="n"/>
      <c r="X1500" s="17" t="n"/>
      <c r="Y1500" s="17" t="n">
        <v>1</v>
      </c>
      <c r="Z1500" s="13">
        <f>SUMPRODUCT(N1500:Y1500,$N$2:$Y$2)*$K1500*$L1500*$M1500</f>
        <v/>
      </c>
      <c r="AA1500" s="14">
        <f>SUM(N1500:Y1500)</f>
        <v/>
      </c>
      <c r="AB1500" s="14">
        <f>IFERROR(IF(UPPER($E1500)="L",SUMPRODUCT(N1500:Y1500,$N$3:$Y$3,$N$2:$Y$2),SUMPRODUCT(N1500:Y1500,$N$4:$Y$4,$N$2:$Y$2))/(Z1500/($K1500*$L1500*$M1500)),"")</f>
        <v/>
      </c>
      <c r="AC1500" s="18" t="n"/>
    </row>
    <row r="1501">
      <c r="A1501" s="9" t="n">
        <v>701493</v>
      </c>
      <c r="B1501" s="9" t="inlineStr">
        <is>
          <t>Hunter Dobbins</t>
        </is>
      </c>
      <c r="C1501" s="9" t="inlineStr">
        <is>
          <t>DET</t>
        </is>
      </c>
      <c r="D1501" s="9" t="n">
        <v>25</v>
      </c>
      <c r="E1501" s="16" t="inlineStr">
        <is>
          <t>R</t>
        </is>
      </c>
      <c r="F1501" s="16" t="n"/>
      <c r="G1501" s="9" t="n">
        <v>16.41025641025641</v>
      </c>
      <c r="H1501" s="9" t="n">
        <v>16.41025641025641</v>
      </c>
      <c r="I1501" s="9" t="inlineStr">
        <is>
          <t>Depth (no MLB PA)</t>
        </is>
      </c>
      <c r="J1501" s="16" t="inlineStr">
        <is>
          <t>Opening Day</t>
        </is>
      </c>
      <c r="K1501" s="11">
        <f>IFERROR(INDEX(Roles!$B$17:$B$20,MATCH(J1501,Roles!$A$17:$A$20,0)),1)</f>
        <v/>
      </c>
      <c r="L1501" s="17" t="n">
        <v>1</v>
      </c>
      <c r="M1501" s="11" t="n">
        <v>1</v>
      </c>
      <c r="N1501" s="17" t="n"/>
      <c r="O1501" s="17" t="n"/>
      <c r="P1501" s="17" t="n"/>
      <c r="Q1501" s="17" t="n"/>
      <c r="R1501" s="17" t="n"/>
      <c r="S1501" s="17" t="n"/>
      <c r="T1501" s="17" t="n"/>
      <c r="U1501" s="17" t="n"/>
      <c r="V1501" s="17" t="n"/>
      <c r="W1501" s="17" t="n"/>
      <c r="X1501" s="17" t="n"/>
      <c r="Y1501" s="17" t="n">
        <v>1</v>
      </c>
      <c r="Z1501" s="13">
        <f>SUMPRODUCT(N1501:Y1501,$N$2:$Y$2)*$K1501*$L1501*$M1501</f>
        <v/>
      </c>
      <c r="AA1501" s="14">
        <f>SUM(N1501:Y1501)</f>
        <v/>
      </c>
      <c r="AB1501" s="14">
        <f>IFERROR(IF(UPPER($E1501)="L",SUMPRODUCT(N1501:Y1501,$N$3:$Y$3,$N$2:$Y$2),SUMPRODUCT(N1501:Y1501,$N$4:$Y$4,$N$2:$Y$2))/(Z1501/($K1501*$L1501*$M1501)),"")</f>
        <v/>
      </c>
      <c r="AC1501" s="18" t="n"/>
    </row>
    <row r="1502">
      <c r="A1502" s="9" t="n">
        <v>822531</v>
      </c>
      <c r="B1502" s="9" t="inlineStr">
        <is>
          <t>Kyle Fossum</t>
        </is>
      </c>
      <c r="C1502" s="9" t="inlineStr">
        <is>
          <t>COL</t>
        </is>
      </c>
      <c r="D1502" s="9" t="n">
        <v>25</v>
      </c>
      <c r="E1502" s="16" t="inlineStr">
        <is>
          <t>R</t>
        </is>
      </c>
      <c r="F1502" s="16" t="n"/>
      <c r="G1502" s="9" t="n">
        <v>31.75384615384615</v>
      </c>
      <c r="H1502" s="9" t="n">
        <v>31.75384615384615</v>
      </c>
      <c r="I1502" s="9" t="inlineStr">
        <is>
          <t>Depth (no MLB PA)</t>
        </is>
      </c>
      <c r="J1502" s="16" t="inlineStr">
        <is>
          <t>Opening Day</t>
        </is>
      </c>
      <c r="K1502" s="11">
        <f>IFERROR(INDEX(Roles!$B$17:$B$20,MATCH(J1502,Roles!$A$17:$A$20,0)),1)</f>
        <v/>
      </c>
      <c r="L1502" s="17" t="n">
        <v>1</v>
      </c>
      <c r="M1502" s="11" t="n">
        <v>1</v>
      </c>
      <c r="N1502" s="17" t="n"/>
      <c r="O1502" s="17" t="n"/>
      <c r="P1502" s="17" t="n"/>
      <c r="Q1502" s="17" t="n"/>
      <c r="R1502" s="17" t="n"/>
      <c r="S1502" s="17" t="n"/>
      <c r="T1502" s="17" t="n"/>
      <c r="U1502" s="17" t="n"/>
      <c r="V1502" s="17" t="n"/>
      <c r="W1502" s="17" t="n"/>
      <c r="X1502" s="17" t="n"/>
      <c r="Y1502" s="17" t="n">
        <v>1</v>
      </c>
      <c r="Z1502" s="13">
        <f>SUMPRODUCT(N1502:Y1502,$N$2:$Y$2)*$K1502*$L1502*$M1502</f>
        <v/>
      </c>
      <c r="AA1502" s="14">
        <f>SUM(N1502:Y1502)</f>
        <v/>
      </c>
      <c r="AB1502" s="14">
        <f>IFERROR(IF(UPPER($E1502)="L",SUMPRODUCT(N1502:Y1502,$N$3:$Y$3,$N$2:$Y$2),SUMPRODUCT(N1502:Y1502,$N$4:$Y$4,$N$2:$Y$2))/(Z1502/($K1502*$L1502*$M1502)),"")</f>
        <v/>
      </c>
      <c r="AC1502" s="18" t="n"/>
    </row>
    <row r="1503">
      <c r="A1503" s="9" t="n">
        <v>691449</v>
      </c>
      <c r="B1503" s="9" t="inlineStr">
        <is>
          <t>Roberto Campos</t>
        </is>
      </c>
      <c r="C1503" s="9" t="inlineStr">
        <is>
          <t>DET</t>
        </is>
      </c>
      <c r="D1503" s="9" t="n">
        <v>25</v>
      </c>
      <c r="E1503" s="16" t="inlineStr">
        <is>
          <t>R</t>
        </is>
      </c>
      <c r="F1503" s="16" t="n"/>
      <c r="G1503" s="9" t="n">
        <v>30.15384615384616</v>
      </c>
      <c r="H1503" s="9" t="n">
        <v>30.15384615384616</v>
      </c>
      <c r="I1503" s="9" t="inlineStr">
        <is>
          <t>Depth (no MLB PA)</t>
        </is>
      </c>
      <c r="J1503" s="16" t="inlineStr">
        <is>
          <t>Opening Day</t>
        </is>
      </c>
      <c r="K1503" s="11">
        <f>IFERROR(INDEX(Roles!$B$17:$B$20,MATCH(J1503,Roles!$A$17:$A$20,0)),1)</f>
        <v/>
      </c>
      <c r="L1503" s="17" t="n">
        <v>1</v>
      </c>
      <c r="M1503" s="11" t="n">
        <v>1</v>
      </c>
      <c r="N1503" s="17" t="n"/>
      <c r="O1503" s="17" t="n"/>
      <c r="P1503" s="17" t="n"/>
      <c r="Q1503" s="17" t="n"/>
      <c r="R1503" s="17" t="n"/>
      <c r="S1503" s="17" t="n"/>
      <c r="T1503" s="17" t="n"/>
      <c r="U1503" s="17" t="n"/>
      <c r="V1503" s="17" t="n"/>
      <c r="W1503" s="17" t="n"/>
      <c r="X1503" s="17" t="n"/>
      <c r="Y1503" s="17" t="n">
        <v>1</v>
      </c>
      <c r="Z1503" s="13">
        <f>SUMPRODUCT(N1503:Y1503,$N$2:$Y$2)*$K1503*$L1503*$M1503</f>
        <v/>
      </c>
      <c r="AA1503" s="14">
        <f>SUM(N1503:Y1503)</f>
        <v/>
      </c>
      <c r="AB1503" s="14">
        <f>IFERROR(IF(UPPER($E1503)="L",SUMPRODUCT(N1503:Y1503,$N$3:$Y$3,$N$2:$Y$2),SUMPRODUCT(N1503:Y1503,$N$4:$Y$4,$N$2:$Y$2))/(Z1503/($K1503*$L1503*$M1503)),"")</f>
        <v/>
      </c>
      <c r="AC1503" s="18" t="n"/>
    </row>
    <row r="1504">
      <c r="A1504" s="9" t="n">
        <v>685712</v>
      </c>
      <c r="B1504" s="9" t="inlineStr">
        <is>
          <t>Geovanny Planchart</t>
        </is>
      </c>
      <c r="C1504" s="9" t="inlineStr">
        <is>
          <t>TOR</t>
        </is>
      </c>
      <c r="D1504" s="9" t="n">
        <v>25</v>
      </c>
      <c r="E1504" s="16" t="inlineStr">
        <is>
          <t>R</t>
        </is>
      </c>
      <c r="F1504" s="16" t="n"/>
      <c r="G1504" s="9" t="n">
        <v>12.56410256410256</v>
      </c>
      <c r="H1504" s="9" t="n">
        <v>12.56410256410256</v>
      </c>
      <c r="I1504" s="9" t="inlineStr">
        <is>
          <t>Depth (no MLB PA)</t>
        </is>
      </c>
      <c r="J1504" s="16" t="inlineStr">
        <is>
          <t>Opening Day</t>
        </is>
      </c>
      <c r="K1504" s="11">
        <f>IFERROR(INDEX(Roles!$B$17:$B$20,MATCH(J1504,Roles!$A$17:$A$20,0)),1)</f>
        <v/>
      </c>
      <c r="L1504" s="17" t="n">
        <v>1</v>
      </c>
      <c r="M1504" s="11" t="n">
        <v>1</v>
      </c>
      <c r="N1504" s="17" t="n"/>
      <c r="O1504" s="17" t="n"/>
      <c r="P1504" s="17" t="n"/>
      <c r="Q1504" s="17" t="n"/>
      <c r="R1504" s="17" t="n"/>
      <c r="S1504" s="17" t="n"/>
      <c r="T1504" s="17" t="n"/>
      <c r="U1504" s="17" t="n"/>
      <c r="V1504" s="17" t="n"/>
      <c r="W1504" s="17" t="n"/>
      <c r="X1504" s="17" t="n"/>
      <c r="Y1504" s="17" t="n">
        <v>1</v>
      </c>
      <c r="Z1504" s="13">
        <f>SUMPRODUCT(N1504:Y1504,$N$2:$Y$2)*$K1504*$L1504*$M1504</f>
        <v/>
      </c>
      <c r="AA1504" s="14">
        <f>SUM(N1504:Y1504)</f>
        <v/>
      </c>
      <c r="AB1504" s="14">
        <f>IFERROR(IF(UPPER($E1504)="L",SUMPRODUCT(N1504:Y1504,$N$3:$Y$3,$N$2:$Y$2),SUMPRODUCT(N1504:Y1504,$N$4:$Y$4,$N$2:$Y$2))/(Z1504/($K1504*$L1504*$M1504)),"")</f>
        <v/>
      </c>
      <c r="AC1504" s="18" t="n"/>
    </row>
    <row r="1505">
      <c r="A1505" s="9" t="n">
        <v>829162</v>
      </c>
      <c r="B1505" s="9" t="inlineStr">
        <is>
          <t>Steele Hall</t>
        </is>
      </c>
      <c r="C1505" s="9" t="inlineStr">
        <is>
          <t>CIN</t>
        </is>
      </c>
      <c r="D1505" s="9" t="n">
        <v>20</v>
      </c>
      <c r="E1505" s="16" t="inlineStr">
        <is>
          <t>R</t>
        </is>
      </c>
      <c r="F1505" s="16" t="n"/>
      <c r="G1505" s="9" t="n">
        <v>14.64615384615385</v>
      </c>
      <c r="H1505" s="9" t="n">
        <v>14.64615384615385</v>
      </c>
      <c r="I1505" s="9" t="inlineStr">
        <is>
          <t>Depth (no MLB PA)</t>
        </is>
      </c>
      <c r="J1505" s="16" t="inlineStr">
        <is>
          <t>Opening Day</t>
        </is>
      </c>
      <c r="K1505" s="11">
        <f>IFERROR(INDEX(Roles!$B$17:$B$20,MATCH(J1505,Roles!$A$17:$A$20,0)),1)</f>
        <v/>
      </c>
      <c r="L1505" s="17" t="n">
        <v>1</v>
      </c>
      <c r="M1505" s="11" t="n">
        <v>1</v>
      </c>
      <c r="N1505" s="17" t="n"/>
      <c r="O1505" s="17" t="n"/>
      <c r="P1505" s="17" t="n"/>
      <c r="Q1505" s="17" t="n"/>
      <c r="R1505" s="17" t="n"/>
      <c r="S1505" s="17" t="n"/>
      <c r="T1505" s="17" t="n"/>
      <c r="U1505" s="17" t="n"/>
      <c r="V1505" s="17" t="n"/>
      <c r="W1505" s="17" t="n"/>
      <c r="X1505" s="17" t="n"/>
      <c r="Y1505" s="17" t="n">
        <v>1</v>
      </c>
      <c r="Z1505" s="13">
        <f>SUMPRODUCT(N1505:Y1505,$N$2:$Y$2)*$K1505*$L1505*$M1505</f>
        <v/>
      </c>
      <c r="AA1505" s="14">
        <f>SUM(N1505:Y1505)</f>
        <v/>
      </c>
      <c r="AB1505" s="14">
        <f>IFERROR(IF(UPPER($E1505)="L",SUMPRODUCT(N1505:Y1505,$N$3:$Y$3,$N$2:$Y$2),SUMPRODUCT(N1505:Y1505,$N$4:$Y$4,$N$2:$Y$2))/(Z1505/($K1505*$L1505*$M1505)),"")</f>
        <v/>
      </c>
      <c r="AC1505" s="18" t="n"/>
    </row>
    <row r="1506">
      <c r="A1506" s="9" t="n">
        <v>808691</v>
      </c>
      <c r="B1506" s="9" t="inlineStr">
        <is>
          <t>Adrian Gil</t>
        </is>
      </c>
      <c r="C1506" s="9" t="inlineStr">
        <is>
          <t>CWS</t>
        </is>
      </c>
      <c r="D1506" s="9" t="n">
        <v>25</v>
      </c>
      <c r="E1506" s="16" t="inlineStr">
        <is>
          <t>R</t>
        </is>
      </c>
      <c r="F1506" s="16" t="n"/>
      <c r="G1506" s="9" t="n">
        <v>21.16923076923077</v>
      </c>
      <c r="H1506" s="9" t="n">
        <v>21.16923076923077</v>
      </c>
      <c r="I1506" s="9" t="inlineStr">
        <is>
          <t>Depth (no MLB PA)</t>
        </is>
      </c>
      <c r="J1506" s="16" t="inlineStr">
        <is>
          <t>Opening Day</t>
        </is>
      </c>
      <c r="K1506" s="11">
        <f>IFERROR(INDEX(Roles!$B$17:$B$20,MATCH(J1506,Roles!$A$17:$A$20,0)),1)</f>
        <v/>
      </c>
      <c r="L1506" s="17" t="n">
        <v>1</v>
      </c>
      <c r="M1506" s="11" t="n">
        <v>1</v>
      </c>
      <c r="N1506" s="17" t="n"/>
      <c r="O1506" s="17" t="n"/>
      <c r="P1506" s="17" t="n"/>
      <c r="Q1506" s="17" t="n"/>
      <c r="R1506" s="17" t="n"/>
      <c r="S1506" s="17" t="n"/>
      <c r="T1506" s="17" t="n"/>
      <c r="U1506" s="17" t="n"/>
      <c r="V1506" s="17" t="n"/>
      <c r="W1506" s="17" t="n"/>
      <c r="X1506" s="17" t="n"/>
      <c r="Y1506" s="17" t="n">
        <v>1</v>
      </c>
      <c r="Z1506" s="13">
        <f>SUMPRODUCT(N1506:Y1506,$N$2:$Y$2)*$K1506*$L1506*$M1506</f>
        <v/>
      </c>
      <c r="AA1506" s="14">
        <f>SUM(N1506:Y1506)</f>
        <v/>
      </c>
      <c r="AB1506" s="14">
        <f>IFERROR(IF(UPPER($E1506)="L",SUMPRODUCT(N1506:Y1506,$N$3:$Y$3,$N$2:$Y$2),SUMPRODUCT(N1506:Y1506,$N$4:$Y$4,$N$2:$Y$2))/(Z1506/($K1506*$L1506*$M1506)),"")</f>
        <v/>
      </c>
      <c r="AC1506" s="18" t="n"/>
    </row>
    <row r="1507">
      <c r="A1507" s="9" t="n">
        <v>682011</v>
      </c>
      <c r="B1507" s="9" t="inlineStr">
        <is>
          <t>Tyler Miller</t>
        </is>
      </c>
      <c r="C1507" s="9" t="inlineStr">
        <is>
          <t>PHI</t>
        </is>
      </c>
      <c r="D1507" s="9" t="n">
        <v>25</v>
      </c>
      <c r="E1507" s="16" t="inlineStr">
        <is>
          <t>L</t>
        </is>
      </c>
      <c r="F1507" s="16" t="n"/>
      <c r="G1507" s="9" t="n">
        <v>16.82051282051282</v>
      </c>
      <c r="H1507" s="9" t="n">
        <v>16.82051282051282</v>
      </c>
      <c r="I1507" s="9" t="inlineStr">
        <is>
          <t>Depth (no MLB PA)</t>
        </is>
      </c>
      <c r="J1507" s="16" t="inlineStr">
        <is>
          <t>Opening Day</t>
        </is>
      </c>
      <c r="K1507" s="11">
        <f>IFERROR(INDEX(Roles!$B$17:$B$20,MATCH(J1507,Roles!$A$17:$A$20,0)),1)</f>
        <v/>
      </c>
      <c r="L1507" s="17" t="n">
        <v>1</v>
      </c>
      <c r="M1507" s="11" t="n">
        <v>1</v>
      </c>
      <c r="N1507" s="17" t="n"/>
      <c r="O1507" s="17" t="n"/>
      <c r="P1507" s="17" t="n"/>
      <c r="Q1507" s="17" t="n"/>
      <c r="R1507" s="17" t="n"/>
      <c r="S1507" s="17" t="n"/>
      <c r="T1507" s="17" t="n"/>
      <c r="U1507" s="17" t="n"/>
      <c r="V1507" s="17" t="n"/>
      <c r="W1507" s="17" t="n"/>
      <c r="X1507" s="17" t="n"/>
      <c r="Y1507" s="17" t="n">
        <v>1</v>
      </c>
      <c r="Z1507" s="13">
        <f>SUMPRODUCT(N1507:Y1507,$N$2:$Y$2)*$K1507*$L1507*$M1507</f>
        <v/>
      </c>
      <c r="AA1507" s="14">
        <f>SUM(N1507:Y1507)</f>
        <v/>
      </c>
      <c r="AB1507" s="14">
        <f>IFERROR(IF(UPPER($E1507)="L",SUMPRODUCT(N1507:Y1507,$N$3:$Y$3,$N$2:$Y$2),SUMPRODUCT(N1507:Y1507,$N$4:$Y$4,$N$2:$Y$2))/(Z1507/($K1507*$L1507*$M1507)),"")</f>
        <v/>
      </c>
      <c r="AC1507" s="18" t="n"/>
    </row>
    <row r="1508">
      <c r="A1508" s="9" t="n">
        <v>703603</v>
      </c>
      <c r="B1508" s="9" t="inlineStr">
        <is>
          <t>Grant Jay</t>
        </is>
      </c>
      <c r="C1508" s="9" t="inlineStr">
        <is>
          <t>SEA</t>
        </is>
      </c>
      <c r="D1508" s="9" t="n">
        <v>25</v>
      </c>
      <c r="E1508" s="16" t="inlineStr">
        <is>
          <t>R</t>
        </is>
      </c>
      <c r="F1508" s="16" t="n"/>
      <c r="G1508" s="9" t="n">
        <v>37.90769230769231</v>
      </c>
      <c r="H1508" s="9" t="n">
        <v>37.90769230769231</v>
      </c>
      <c r="I1508" s="9" t="inlineStr">
        <is>
          <t>Depth (no MLB PA)</t>
        </is>
      </c>
      <c r="J1508" s="16" t="inlineStr">
        <is>
          <t>Opening Day</t>
        </is>
      </c>
      <c r="K1508" s="11">
        <f>IFERROR(INDEX(Roles!$B$17:$B$20,MATCH(J1508,Roles!$A$17:$A$20,0)),1)</f>
        <v/>
      </c>
      <c r="L1508" s="17" t="n">
        <v>1</v>
      </c>
      <c r="M1508" s="11" t="n">
        <v>1</v>
      </c>
      <c r="N1508" s="17" t="n"/>
      <c r="O1508" s="17" t="n"/>
      <c r="P1508" s="17" t="n"/>
      <c r="Q1508" s="17" t="n"/>
      <c r="R1508" s="17" t="n"/>
      <c r="S1508" s="17" t="n"/>
      <c r="T1508" s="17" t="n"/>
      <c r="U1508" s="17" t="n"/>
      <c r="V1508" s="17" t="n"/>
      <c r="W1508" s="17" t="n"/>
      <c r="X1508" s="17" t="n"/>
      <c r="Y1508" s="17" t="n">
        <v>1</v>
      </c>
      <c r="Z1508" s="13">
        <f>SUMPRODUCT(N1508:Y1508,$N$2:$Y$2)*$K1508*$L1508*$M1508</f>
        <v/>
      </c>
      <c r="AA1508" s="14">
        <f>SUM(N1508:Y1508)</f>
        <v/>
      </c>
      <c r="AB1508" s="14">
        <f>IFERROR(IF(UPPER($E1508)="L",SUMPRODUCT(N1508:Y1508,$N$3:$Y$3,$N$2:$Y$2),SUMPRODUCT(N1508:Y1508,$N$4:$Y$4,$N$2:$Y$2))/(Z1508/($K1508*$L1508*$M1508)),"")</f>
        <v/>
      </c>
      <c r="AC1508" s="18" t="n"/>
    </row>
    <row r="1509">
      <c r="A1509" s="9" t="n">
        <v>703158</v>
      </c>
      <c r="B1509" s="9" t="inlineStr">
        <is>
          <t>Jonathan Mejía</t>
        </is>
      </c>
      <c r="C1509" s="9" t="inlineStr">
        <is>
          <t>STL</t>
        </is>
      </c>
      <c r="D1509" s="9" t="n">
        <v>25</v>
      </c>
      <c r="E1509" s="16" t="inlineStr">
        <is>
          <t>S</t>
        </is>
      </c>
      <c r="F1509" s="16" t="n"/>
      <c r="G1509" s="9" t="n">
        <v>38.64615384615384</v>
      </c>
      <c r="H1509" s="9" t="n">
        <v>38.64615384615384</v>
      </c>
      <c r="I1509" s="9" t="inlineStr">
        <is>
          <t>Depth (no MLB PA)</t>
        </is>
      </c>
      <c r="J1509" s="16" t="inlineStr">
        <is>
          <t>Opening Day</t>
        </is>
      </c>
      <c r="K1509" s="11">
        <f>IFERROR(INDEX(Roles!$B$17:$B$20,MATCH(J1509,Roles!$A$17:$A$20,0)),1)</f>
        <v/>
      </c>
      <c r="L1509" s="17" t="n">
        <v>1</v>
      </c>
      <c r="M1509" s="11" t="n">
        <v>1</v>
      </c>
      <c r="N1509" s="17" t="n"/>
      <c r="O1509" s="17" t="n"/>
      <c r="P1509" s="17" t="n"/>
      <c r="Q1509" s="17" t="n"/>
      <c r="R1509" s="17" t="n"/>
      <c r="S1509" s="17" t="n"/>
      <c r="T1509" s="17" t="n"/>
      <c r="U1509" s="17" t="n"/>
      <c r="V1509" s="17" t="n"/>
      <c r="W1509" s="17" t="n"/>
      <c r="X1509" s="17" t="n"/>
      <c r="Y1509" s="17" t="n">
        <v>1</v>
      </c>
      <c r="Z1509" s="13">
        <f>SUMPRODUCT(N1509:Y1509,$N$2:$Y$2)*$K1509*$L1509*$M1509</f>
        <v/>
      </c>
      <c r="AA1509" s="14">
        <f>SUM(N1509:Y1509)</f>
        <v/>
      </c>
      <c r="AB1509" s="14">
        <f>IFERROR(IF(UPPER($E1509)="L",SUMPRODUCT(N1509:Y1509,$N$3:$Y$3,$N$2:$Y$2),SUMPRODUCT(N1509:Y1509,$N$4:$Y$4,$N$2:$Y$2))/(Z1509/($K1509*$L1509*$M1509)),"")</f>
        <v/>
      </c>
      <c r="AC1509" s="18" t="n"/>
    </row>
    <row r="1510">
      <c r="A1510" s="9" t="n">
        <v>801853</v>
      </c>
      <c r="B1510" s="9" t="inlineStr">
        <is>
          <t>Brandon Nigh</t>
        </is>
      </c>
      <c r="C1510" s="9" t="inlineStr">
        <is>
          <t>HOU</t>
        </is>
      </c>
      <c r="D1510" s="9" t="n">
        <v>25</v>
      </c>
      <c r="E1510" s="16" t="inlineStr">
        <is>
          <t>R</t>
        </is>
      </c>
      <c r="F1510" s="16" t="n"/>
      <c r="G1510" s="9" t="n">
        <v>12.51282051282051</v>
      </c>
      <c r="H1510" s="9" t="n">
        <v>12.51282051282051</v>
      </c>
      <c r="I1510" s="9" t="inlineStr">
        <is>
          <t>Depth (no MLB PA)</t>
        </is>
      </c>
      <c r="J1510" s="16" t="inlineStr">
        <is>
          <t>Opening Day</t>
        </is>
      </c>
      <c r="K1510" s="11">
        <f>IFERROR(INDEX(Roles!$B$17:$B$20,MATCH(J1510,Roles!$A$17:$A$20,0)),1)</f>
        <v/>
      </c>
      <c r="L1510" s="17" t="n">
        <v>1</v>
      </c>
      <c r="M1510" s="11" t="n">
        <v>1</v>
      </c>
      <c r="N1510" s="17" t="n"/>
      <c r="O1510" s="17" t="n"/>
      <c r="P1510" s="17" t="n"/>
      <c r="Q1510" s="17" t="n"/>
      <c r="R1510" s="17" t="n"/>
      <c r="S1510" s="17" t="n"/>
      <c r="T1510" s="17" t="n"/>
      <c r="U1510" s="17" t="n"/>
      <c r="V1510" s="17" t="n"/>
      <c r="W1510" s="17" t="n"/>
      <c r="X1510" s="17" t="n"/>
      <c r="Y1510" s="17" t="n">
        <v>1</v>
      </c>
      <c r="Z1510" s="13">
        <f>SUMPRODUCT(N1510:Y1510,$N$2:$Y$2)*$K1510*$L1510*$M1510</f>
        <v/>
      </c>
      <c r="AA1510" s="14">
        <f>SUM(N1510:Y1510)</f>
        <v/>
      </c>
      <c r="AB1510" s="14">
        <f>IFERROR(IF(UPPER($E1510)="L",SUMPRODUCT(N1510:Y1510,$N$3:$Y$3,$N$2:$Y$2),SUMPRODUCT(N1510:Y1510,$N$4:$Y$4,$N$2:$Y$2))/(Z1510/($K1510*$L1510*$M1510)),"")</f>
        <v/>
      </c>
      <c r="AC1510" s="18" t="n"/>
    </row>
    <row r="1511">
      <c r="A1511" s="9" t="n">
        <v>808631</v>
      </c>
      <c r="B1511" s="9" t="inlineStr">
        <is>
          <t>Frederik Jimenez</t>
        </is>
      </c>
      <c r="C1511" s="9" t="inlineStr">
        <is>
          <t>BOS</t>
        </is>
      </c>
      <c r="D1511" s="9" t="n">
        <v>25</v>
      </c>
      <c r="E1511" s="16" t="inlineStr">
        <is>
          <t>S</t>
        </is>
      </c>
      <c r="F1511" s="16" t="n"/>
      <c r="G1511" s="9" t="n">
        <v>16.73846153846154</v>
      </c>
      <c r="H1511" s="9" t="n">
        <v>16.73846153846154</v>
      </c>
      <c r="I1511" s="9" t="inlineStr">
        <is>
          <t>Depth (no MLB PA)</t>
        </is>
      </c>
      <c r="J1511" s="16" t="inlineStr">
        <is>
          <t>Opening Day</t>
        </is>
      </c>
      <c r="K1511" s="11">
        <f>IFERROR(INDEX(Roles!$B$17:$B$20,MATCH(J1511,Roles!$A$17:$A$20,0)),1)</f>
        <v/>
      </c>
      <c r="L1511" s="17" t="n">
        <v>1</v>
      </c>
      <c r="M1511" s="11" t="n">
        <v>1</v>
      </c>
      <c r="N1511" s="17" t="n"/>
      <c r="O1511" s="17" t="n"/>
      <c r="P1511" s="17" t="n"/>
      <c r="Q1511" s="17" t="n"/>
      <c r="R1511" s="17" t="n"/>
      <c r="S1511" s="17" t="n"/>
      <c r="T1511" s="17" t="n"/>
      <c r="U1511" s="17" t="n"/>
      <c r="V1511" s="17" t="n"/>
      <c r="W1511" s="17" t="n"/>
      <c r="X1511" s="17" t="n"/>
      <c r="Y1511" s="17" t="n">
        <v>1</v>
      </c>
      <c r="Z1511" s="13">
        <f>SUMPRODUCT(N1511:Y1511,$N$2:$Y$2)*$K1511*$L1511*$M1511</f>
        <v/>
      </c>
      <c r="AA1511" s="14">
        <f>SUM(N1511:Y1511)</f>
        <v/>
      </c>
      <c r="AB1511" s="14">
        <f>IFERROR(IF(UPPER($E1511)="L",SUMPRODUCT(N1511:Y1511,$N$3:$Y$3,$N$2:$Y$2),SUMPRODUCT(N1511:Y1511,$N$4:$Y$4,$N$2:$Y$2))/(Z1511/($K1511*$L1511*$M1511)),"")</f>
        <v/>
      </c>
      <c r="AC1511" s="18" t="n"/>
    </row>
    <row r="1512">
      <c r="A1512" s="9" t="n">
        <v>695517</v>
      </c>
      <c r="B1512" s="9" t="inlineStr">
        <is>
          <t>Casey Cook</t>
        </is>
      </c>
      <c r="C1512" s="9" t="inlineStr">
        <is>
          <t>TEX</t>
        </is>
      </c>
      <c r="D1512" s="9" t="n">
        <v>25</v>
      </c>
      <c r="E1512" s="16" t="inlineStr">
        <is>
          <t>L</t>
        </is>
      </c>
      <c r="F1512" s="16" t="n"/>
      <c r="G1512" s="9" t="n">
        <v>33.84615384615385</v>
      </c>
      <c r="H1512" s="9" t="n">
        <v>33.84615384615385</v>
      </c>
      <c r="I1512" s="9" t="inlineStr">
        <is>
          <t>Depth (no MLB PA)</t>
        </is>
      </c>
      <c r="J1512" s="16" t="inlineStr">
        <is>
          <t>Opening Day</t>
        </is>
      </c>
      <c r="K1512" s="11">
        <f>IFERROR(INDEX(Roles!$B$17:$B$20,MATCH(J1512,Roles!$A$17:$A$20,0)),1)</f>
        <v/>
      </c>
      <c r="L1512" s="17" t="n">
        <v>1</v>
      </c>
      <c r="M1512" s="11" t="n">
        <v>1</v>
      </c>
      <c r="N1512" s="17" t="n"/>
      <c r="O1512" s="17" t="n"/>
      <c r="P1512" s="17" t="n"/>
      <c r="Q1512" s="17" t="n"/>
      <c r="R1512" s="17" t="n"/>
      <c r="S1512" s="17" t="n"/>
      <c r="T1512" s="17" t="n"/>
      <c r="U1512" s="17" t="n"/>
      <c r="V1512" s="17" t="n"/>
      <c r="W1512" s="17" t="n"/>
      <c r="X1512" s="17" t="n"/>
      <c r="Y1512" s="17" t="n">
        <v>1</v>
      </c>
      <c r="Z1512" s="13">
        <f>SUMPRODUCT(N1512:Y1512,$N$2:$Y$2)*$K1512*$L1512*$M1512</f>
        <v/>
      </c>
      <c r="AA1512" s="14">
        <f>SUM(N1512:Y1512)</f>
        <v/>
      </c>
      <c r="AB1512" s="14">
        <f>IFERROR(IF(UPPER($E1512)="L",SUMPRODUCT(N1512:Y1512,$N$3:$Y$3,$N$2:$Y$2),SUMPRODUCT(N1512:Y1512,$N$4:$Y$4,$N$2:$Y$2))/(Z1512/($K1512*$L1512*$M1512)),"")</f>
        <v/>
      </c>
      <c r="AC1512" s="18" t="n"/>
    </row>
    <row r="1513">
      <c r="A1513" s="9" t="n">
        <v>844078</v>
      </c>
      <c r="B1513" s="9" t="inlineStr">
        <is>
          <t>Caleb Klein</t>
        </is>
      </c>
      <c r="C1513" s="9" t="inlineStr">
        <is>
          <t>ATL</t>
        </is>
      </c>
      <c r="D1513" s="9" t="n">
        <v>25</v>
      </c>
      <c r="E1513" s="16" t="inlineStr">
        <is>
          <t>R</t>
        </is>
      </c>
      <c r="F1513" s="16" t="n"/>
      <c r="G1513" s="9" t="n">
        <v>12.92307692307692</v>
      </c>
      <c r="H1513" s="9" t="n">
        <v>12.92307692307692</v>
      </c>
      <c r="I1513" s="9" t="inlineStr">
        <is>
          <t>Depth (no MLB PA)</t>
        </is>
      </c>
      <c r="J1513" s="16" t="inlineStr">
        <is>
          <t>Opening Day</t>
        </is>
      </c>
      <c r="K1513" s="11">
        <f>IFERROR(INDEX(Roles!$B$17:$B$20,MATCH(J1513,Roles!$A$17:$A$20,0)),1)</f>
        <v/>
      </c>
      <c r="L1513" s="17" t="n">
        <v>1</v>
      </c>
      <c r="M1513" s="11" t="n">
        <v>1</v>
      </c>
      <c r="N1513" s="17" t="n"/>
      <c r="O1513" s="17" t="n"/>
      <c r="P1513" s="17" t="n"/>
      <c r="Q1513" s="17" t="n"/>
      <c r="R1513" s="17" t="n"/>
      <c r="S1513" s="17" t="n"/>
      <c r="T1513" s="17" t="n"/>
      <c r="U1513" s="17" t="n"/>
      <c r="V1513" s="17" t="n"/>
      <c r="W1513" s="17" t="n"/>
      <c r="X1513" s="17" t="n"/>
      <c r="Y1513" s="17" t="n">
        <v>1</v>
      </c>
      <c r="Z1513" s="13">
        <f>SUMPRODUCT(N1513:Y1513,$N$2:$Y$2)*$K1513*$L1513*$M1513</f>
        <v/>
      </c>
      <c r="AA1513" s="14">
        <f>SUM(N1513:Y1513)</f>
        <v/>
      </c>
      <c r="AB1513" s="14">
        <f>IFERROR(IF(UPPER($E1513)="L",SUMPRODUCT(N1513:Y1513,$N$3:$Y$3,$N$2:$Y$2),SUMPRODUCT(N1513:Y1513,$N$4:$Y$4,$N$2:$Y$2))/(Z1513/($K1513*$L1513*$M1513)),"")</f>
        <v/>
      </c>
      <c r="AC1513" s="18" t="n"/>
    </row>
    <row r="1514">
      <c r="A1514" s="9" t="n">
        <v>689456</v>
      </c>
      <c r="B1514" s="9" t="inlineStr">
        <is>
          <t>Austin Murr</t>
        </is>
      </c>
      <c r="C1514" s="9" t="inlineStr">
        <is>
          <t>PHI</t>
        </is>
      </c>
      <c r="D1514" s="9" t="n">
        <v>25</v>
      </c>
      <c r="E1514" s="16" t="inlineStr">
        <is>
          <t>L</t>
        </is>
      </c>
      <c r="F1514" s="16" t="n"/>
      <c r="G1514" s="9" t="n">
        <v>76.46153846153845</v>
      </c>
      <c r="H1514" s="9" t="n">
        <v>76.46153846153845</v>
      </c>
      <c r="I1514" s="9" t="inlineStr">
        <is>
          <t>Depth (no MLB PA)</t>
        </is>
      </c>
      <c r="J1514" s="16" t="inlineStr">
        <is>
          <t>Opening Day</t>
        </is>
      </c>
      <c r="K1514" s="11">
        <f>IFERROR(INDEX(Roles!$B$17:$B$20,MATCH(J1514,Roles!$A$17:$A$20,0)),1)</f>
        <v/>
      </c>
      <c r="L1514" s="17" t="n">
        <v>1</v>
      </c>
      <c r="M1514" s="11" t="n">
        <v>1</v>
      </c>
      <c r="N1514" s="17" t="n"/>
      <c r="O1514" s="17" t="n"/>
      <c r="P1514" s="17" t="n"/>
      <c r="Q1514" s="17" t="n"/>
      <c r="R1514" s="17" t="n"/>
      <c r="S1514" s="17" t="n"/>
      <c r="T1514" s="17" t="n"/>
      <c r="U1514" s="17" t="n"/>
      <c r="V1514" s="17" t="n"/>
      <c r="W1514" s="17" t="n"/>
      <c r="X1514" s="17" t="n"/>
      <c r="Y1514" s="17" t="n">
        <v>1</v>
      </c>
      <c r="Z1514" s="13">
        <f>SUMPRODUCT(N1514:Y1514,$N$2:$Y$2)*$K1514*$L1514*$M1514</f>
        <v/>
      </c>
      <c r="AA1514" s="14">
        <f>SUM(N1514:Y1514)</f>
        <v/>
      </c>
      <c r="AB1514" s="14">
        <f>IFERROR(IF(UPPER($E1514)="L",SUMPRODUCT(N1514:Y1514,$N$3:$Y$3,$N$2:$Y$2),SUMPRODUCT(N1514:Y1514,$N$4:$Y$4,$N$2:$Y$2))/(Z1514/($K1514*$L1514*$M1514)),"")</f>
        <v/>
      </c>
      <c r="AC1514" s="18" t="n"/>
    </row>
    <row r="1515">
      <c r="A1515" s="9" t="n">
        <v>805799</v>
      </c>
      <c r="B1515" s="9" t="inlineStr">
        <is>
          <t>Zion Rose</t>
        </is>
      </c>
      <c r="C1515" s="9" t="inlineStr">
        <is>
          <t>KC</t>
        </is>
      </c>
      <c r="D1515" s="9" t="n">
        <v>22</v>
      </c>
      <c r="E1515" s="16" t="inlineStr">
        <is>
          <t>R</t>
        </is>
      </c>
      <c r="F1515" s="16" t="n"/>
      <c r="G1515" s="9" t="n">
        <v>17.43589743589744</v>
      </c>
      <c r="H1515" s="9" t="n">
        <v>17.43589743589744</v>
      </c>
      <c r="I1515" s="9" t="inlineStr">
        <is>
          <t>Depth (no MLB PA)</t>
        </is>
      </c>
      <c r="J1515" s="16" t="inlineStr">
        <is>
          <t>Opening Day</t>
        </is>
      </c>
      <c r="K1515" s="11">
        <f>IFERROR(INDEX(Roles!$B$17:$B$20,MATCH(J1515,Roles!$A$17:$A$20,0)),1)</f>
        <v/>
      </c>
      <c r="L1515" s="17" t="n">
        <v>1</v>
      </c>
      <c r="M1515" s="11" t="n">
        <v>1</v>
      </c>
      <c r="N1515" s="17" t="n"/>
      <c r="O1515" s="17" t="n"/>
      <c r="P1515" s="17" t="n"/>
      <c r="Q1515" s="17" t="n"/>
      <c r="R1515" s="17" t="n"/>
      <c r="S1515" s="17" t="n"/>
      <c r="T1515" s="17" t="n"/>
      <c r="U1515" s="17" t="n"/>
      <c r="V1515" s="17" t="n"/>
      <c r="W1515" s="17" t="n"/>
      <c r="X1515" s="17" t="n"/>
      <c r="Y1515" s="17" t="n">
        <v>1</v>
      </c>
      <c r="Z1515" s="13">
        <f>SUMPRODUCT(N1515:Y1515,$N$2:$Y$2)*$K1515*$L1515*$M1515</f>
        <v/>
      </c>
      <c r="AA1515" s="14">
        <f>SUM(N1515:Y1515)</f>
        <v/>
      </c>
      <c r="AB1515" s="14">
        <f>IFERROR(IF(UPPER($E1515)="L",SUMPRODUCT(N1515:Y1515,$N$3:$Y$3,$N$2:$Y$2),SUMPRODUCT(N1515:Y1515,$N$4:$Y$4,$N$2:$Y$2))/(Z1515/($K1515*$L1515*$M1515)),"")</f>
        <v/>
      </c>
      <c r="AC1515" s="18" t="n"/>
    </row>
    <row r="1516">
      <c r="A1516" s="9" t="n">
        <v>800614</v>
      </c>
      <c r="B1516" s="9" t="inlineStr">
        <is>
          <t>Bryce Rainer</t>
        </is>
      </c>
      <c r="C1516" s="9" t="inlineStr">
        <is>
          <t>DET</t>
        </is>
      </c>
      <c r="D1516" s="9" t="n">
        <v>22</v>
      </c>
      <c r="E1516" s="16" t="inlineStr">
        <is>
          <t>L</t>
        </is>
      </c>
      <c r="F1516" s="16" t="n"/>
      <c r="G1516" s="9" t="n">
        <v>87.17948717948718</v>
      </c>
      <c r="H1516" s="9" t="n">
        <v>87.17948717948718</v>
      </c>
      <c r="I1516" s="9" t="inlineStr">
        <is>
          <t>Depth (no MLB PA)</t>
        </is>
      </c>
      <c r="J1516" s="16" t="inlineStr">
        <is>
          <t>Opening Day</t>
        </is>
      </c>
      <c r="K1516" s="11">
        <f>IFERROR(INDEX(Roles!$B$17:$B$20,MATCH(J1516,Roles!$A$17:$A$20,0)),1)</f>
        <v/>
      </c>
      <c r="L1516" s="17" t="n">
        <v>1</v>
      </c>
      <c r="M1516" s="11" t="n">
        <v>1</v>
      </c>
      <c r="N1516" s="17" t="n"/>
      <c r="O1516" s="17" t="n"/>
      <c r="P1516" s="17" t="n"/>
      <c r="Q1516" s="17" t="n"/>
      <c r="R1516" s="17" t="n"/>
      <c r="S1516" s="17" t="n"/>
      <c r="T1516" s="17" t="n"/>
      <c r="U1516" s="17" t="n"/>
      <c r="V1516" s="17" t="n"/>
      <c r="W1516" s="17" t="n"/>
      <c r="X1516" s="17" t="n"/>
      <c r="Y1516" s="17" t="n">
        <v>1</v>
      </c>
      <c r="Z1516" s="13">
        <f>SUMPRODUCT(N1516:Y1516,$N$2:$Y$2)*$K1516*$L1516*$M1516</f>
        <v/>
      </c>
      <c r="AA1516" s="14">
        <f>SUM(N1516:Y1516)</f>
        <v/>
      </c>
      <c r="AB1516" s="14">
        <f>IFERROR(IF(UPPER($E1516)="L",SUMPRODUCT(N1516:Y1516,$N$3:$Y$3,$N$2:$Y$2),SUMPRODUCT(N1516:Y1516,$N$4:$Y$4,$N$2:$Y$2))/(Z1516/($K1516*$L1516*$M1516)),"")</f>
        <v/>
      </c>
      <c r="AC1516" s="18" t="n"/>
    </row>
    <row r="1517">
      <c r="A1517" s="9" t="n">
        <v>702597</v>
      </c>
      <c r="B1517" s="9" t="inlineStr">
        <is>
          <t>Dom Krupinski</t>
        </is>
      </c>
      <c r="C1517" s="9" t="inlineStr">
        <is>
          <t>CHC</t>
        </is>
      </c>
      <c r="D1517" s="9" t="n">
        <v>25</v>
      </c>
      <c r="E1517" s="16" t="inlineStr">
        <is>
          <t>L</t>
        </is>
      </c>
      <c r="F1517" s="16" t="n"/>
      <c r="G1517" s="9" t="n">
        <v>29.79487179487179</v>
      </c>
      <c r="H1517" s="9" t="n">
        <v>29.79487179487179</v>
      </c>
      <c r="I1517" s="9" t="inlineStr">
        <is>
          <t>Depth (no MLB PA)</t>
        </is>
      </c>
      <c r="J1517" s="16" t="inlineStr">
        <is>
          <t>Opening Day</t>
        </is>
      </c>
      <c r="K1517" s="11">
        <f>IFERROR(INDEX(Roles!$B$17:$B$20,MATCH(J1517,Roles!$A$17:$A$20,0)),1)</f>
        <v/>
      </c>
      <c r="L1517" s="17" t="n">
        <v>1</v>
      </c>
      <c r="M1517" s="11" t="n">
        <v>1</v>
      </c>
      <c r="N1517" s="17" t="n"/>
      <c r="O1517" s="17" t="n"/>
      <c r="P1517" s="17" t="n"/>
      <c r="Q1517" s="17" t="n"/>
      <c r="R1517" s="17" t="n"/>
      <c r="S1517" s="17" t="n"/>
      <c r="T1517" s="17" t="n"/>
      <c r="U1517" s="17" t="n"/>
      <c r="V1517" s="17" t="n"/>
      <c r="W1517" s="17" t="n"/>
      <c r="X1517" s="17" t="n"/>
      <c r="Y1517" s="17" t="n">
        <v>1</v>
      </c>
      <c r="Z1517" s="13">
        <f>SUMPRODUCT(N1517:Y1517,$N$2:$Y$2)*$K1517*$L1517*$M1517</f>
        <v/>
      </c>
      <c r="AA1517" s="14">
        <f>SUM(N1517:Y1517)</f>
        <v/>
      </c>
      <c r="AB1517" s="14">
        <f>IFERROR(IF(UPPER($E1517)="L",SUMPRODUCT(N1517:Y1517,$N$3:$Y$3,$N$2:$Y$2),SUMPRODUCT(N1517:Y1517,$N$4:$Y$4,$N$2:$Y$2))/(Z1517/($K1517*$L1517*$M1517)),"")</f>
        <v/>
      </c>
      <c r="AC1517" s="18" t="n"/>
    </row>
    <row r="1518">
      <c r="A1518" s="9" t="n">
        <v>656403</v>
      </c>
      <c r="B1518" s="9" t="inlineStr">
        <is>
          <t>Drew Ellis</t>
        </is>
      </c>
      <c r="C1518" s="9" t="inlineStr">
        <is>
          <t>PHI</t>
        </is>
      </c>
      <c r="D1518" s="9" t="n">
        <v>31</v>
      </c>
      <c r="E1518" s="16" t="inlineStr">
        <is>
          <t>R</t>
        </is>
      </c>
      <c r="F1518" s="16" t="inlineStr">
        <is>
          <t>3B</t>
        </is>
      </c>
      <c r="G1518" s="9" t="n">
        <v>29</v>
      </c>
      <c r="H1518" s="9" t="n">
        <v>46</v>
      </c>
      <c r="I1518" s="9" t="inlineStr">
        <is>
          <t>Depth (no MLB PA)</t>
        </is>
      </c>
      <c r="J1518" s="16" t="inlineStr">
        <is>
          <t>Opening Day</t>
        </is>
      </c>
      <c r="K1518" s="11">
        <f>IFERROR(INDEX(Roles!$B$17:$B$20,MATCH(J1518,Roles!$A$17:$A$20,0)),1)</f>
        <v/>
      </c>
      <c r="L1518" s="17" t="n">
        <v>1</v>
      </c>
      <c r="M1518" s="11" t="n">
        <v>1</v>
      </c>
      <c r="N1518" s="17" t="n"/>
      <c r="O1518" s="17" t="n"/>
      <c r="P1518" s="17" t="n"/>
      <c r="Q1518" s="17" t="n"/>
      <c r="R1518" s="17" t="n"/>
      <c r="S1518" s="17" t="n"/>
      <c r="T1518" s="17" t="n"/>
      <c r="U1518" s="17" t="n"/>
      <c r="V1518" s="17" t="n"/>
      <c r="W1518" s="17" t="n"/>
      <c r="X1518" s="17" t="n"/>
      <c r="Y1518" s="17" t="n">
        <v>1</v>
      </c>
      <c r="Z1518" s="13">
        <f>SUMPRODUCT(N1518:Y1518,$N$2:$Y$2)*$K1518*$L1518*$M1518</f>
        <v/>
      </c>
      <c r="AA1518" s="14">
        <f>SUM(N1518:Y1518)</f>
        <v/>
      </c>
      <c r="AB1518" s="14">
        <f>IFERROR(IF(UPPER($E1518)="L",SUMPRODUCT(N1518:Y1518,$N$3:$Y$3,$N$2:$Y$2),SUMPRODUCT(N1518:Y1518,$N$4:$Y$4,$N$2:$Y$2))/(Z1518/($K1518*$L1518*$M1518)),"")</f>
        <v/>
      </c>
      <c r="AC1518" s="18" t="n"/>
    </row>
    <row r="1519">
      <c r="A1519" s="9" t="n">
        <v>807061</v>
      </c>
      <c r="B1519" s="9" t="inlineStr">
        <is>
          <t>Carter Beck</t>
        </is>
      </c>
      <c r="C1519" s="9" t="inlineStr">
        <is>
          <t>ATL</t>
        </is>
      </c>
      <c r="D1519" s="9" t="n">
        <v>22</v>
      </c>
      <c r="E1519" s="16" t="inlineStr">
        <is>
          <t>L</t>
        </is>
      </c>
      <c r="F1519" s="16" t="n"/>
      <c r="G1519" s="9" t="n">
        <v>17.43589743589744</v>
      </c>
      <c r="H1519" s="9" t="n">
        <v>17.43589743589744</v>
      </c>
      <c r="I1519" s="9" t="inlineStr">
        <is>
          <t>Depth (no MLB PA)</t>
        </is>
      </c>
      <c r="J1519" s="16" t="inlineStr">
        <is>
          <t>Opening Day</t>
        </is>
      </c>
      <c r="K1519" s="11">
        <f>IFERROR(INDEX(Roles!$B$17:$B$20,MATCH(J1519,Roles!$A$17:$A$20,0)),1)</f>
        <v/>
      </c>
      <c r="L1519" s="17" t="n">
        <v>1</v>
      </c>
      <c r="M1519" s="11" t="n">
        <v>1</v>
      </c>
      <c r="N1519" s="17" t="n"/>
      <c r="O1519" s="17" t="n"/>
      <c r="P1519" s="17" t="n"/>
      <c r="Q1519" s="17" t="n"/>
      <c r="R1519" s="17" t="n"/>
      <c r="S1519" s="17" t="n"/>
      <c r="T1519" s="17" t="n"/>
      <c r="U1519" s="17" t="n"/>
      <c r="V1519" s="17" t="n"/>
      <c r="W1519" s="17" t="n"/>
      <c r="X1519" s="17" t="n"/>
      <c r="Y1519" s="17" t="n">
        <v>1</v>
      </c>
      <c r="Z1519" s="13">
        <f>SUMPRODUCT(N1519:Y1519,$N$2:$Y$2)*$K1519*$L1519*$M1519</f>
        <v/>
      </c>
      <c r="AA1519" s="14">
        <f>SUM(N1519:Y1519)</f>
        <v/>
      </c>
      <c r="AB1519" s="14">
        <f>IFERROR(IF(UPPER($E1519)="L",SUMPRODUCT(N1519:Y1519,$N$3:$Y$3,$N$2:$Y$2),SUMPRODUCT(N1519:Y1519,$N$4:$Y$4,$N$2:$Y$2))/(Z1519/($K1519*$L1519*$M1519)),"")</f>
        <v/>
      </c>
      <c r="AC1519" s="18" t="n"/>
    </row>
    <row r="1520">
      <c r="A1520" s="9" t="n">
        <v>805104</v>
      </c>
      <c r="B1520" s="9" t="inlineStr">
        <is>
          <t>Jose Monserrate</t>
        </is>
      </c>
      <c r="C1520" s="9" t="inlineStr">
        <is>
          <t>MIA</t>
        </is>
      </c>
      <c r="D1520" s="9" t="n">
        <v>25</v>
      </c>
      <c r="E1520" s="16" t="inlineStr">
        <is>
          <t>R</t>
        </is>
      </c>
      <c r="F1520" s="16" t="n"/>
      <c r="G1520" s="9" t="n">
        <v>15.38461538461538</v>
      </c>
      <c r="H1520" s="9" t="n">
        <v>15.38461538461538</v>
      </c>
      <c r="I1520" s="9" t="inlineStr">
        <is>
          <t>Depth (no MLB PA)</t>
        </is>
      </c>
      <c r="J1520" s="16" t="inlineStr">
        <is>
          <t>Opening Day</t>
        </is>
      </c>
      <c r="K1520" s="11">
        <f>IFERROR(INDEX(Roles!$B$17:$B$20,MATCH(J1520,Roles!$A$17:$A$20,0)),1)</f>
        <v/>
      </c>
      <c r="L1520" s="17" t="n">
        <v>1</v>
      </c>
      <c r="M1520" s="11" t="n">
        <v>1</v>
      </c>
      <c r="N1520" s="17" t="n"/>
      <c r="O1520" s="17" t="n"/>
      <c r="P1520" s="17" t="n"/>
      <c r="Q1520" s="17" t="n"/>
      <c r="R1520" s="17" t="n"/>
      <c r="S1520" s="17" t="n"/>
      <c r="T1520" s="17" t="n"/>
      <c r="U1520" s="17" t="n"/>
      <c r="V1520" s="17" t="n"/>
      <c r="W1520" s="17" t="n"/>
      <c r="X1520" s="17" t="n"/>
      <c r="Y1520" s="17" t="n">
        <v>1</v>
      </c>
      <c r="Z1520" s="13">
        <f>SUMPRODUCT(N1520:Y1520,$N$2:$Y$2)*$K1520*$L1520*$M1520</f>
        <v/>
      </c>
      <c r="AA1520" s="14">
        <f>SUM(N1520:Y1520)</f>
        <v/>
      </c>
      <c r="AB1520" s="14">
        <f>IFERROR(IF(UPPER($E1520)="L",SUMPRODUCT(N1520:Y1520,$N$3:$Y$3,$N$2:$Y$2),SUMPRODUCT(N1520:Y1520,$N$4:$Y$4,$N$2:$Y$2))/(Z1520/($K1520*$L1520*$M1520)),"")</f>
        <v/>
      </c>
      <c r="AC1520" s="18" t="n"/>
    </row>
    <row r="1521">
      <c r="A1521" s="9" t="n">
        <v>700784</v>
      </c>
      <c r="B1521" s="9" t="inlineStr">
        <is>
          <t>Jeron Williams</t>
        </is>
      </c>
      <c r="C1521" s="9" t="inlineStr">
        <is>
          <t>HOU</t>
        </is>
      </c>
      <c r="D1521" s="9" t="n">
        <v>25</v>
      </c>
      <c r="E1521" s="16" t="inlineStr">
        <is>
          <t>R</t>
        </is>
      </c>
      <c r="F1521" s="16" t="n"/>
      <c r="G1521" s="9" t="n">
        <v>21.89743589743589</v>
      </c>
      <c r="H1521" s="9" t="n">
        <v>21.89743589743589</v>
      </c>
      <c r="I1521" s="9" t="inlineStr">
        <is>
          <t>Depth (no MLB PA)</t>
        </is>
      </c>
      <c r="J1521" s="16" t="inlineStr">
        <is>
          <t>Opening Day</t>
        </is>
      </c>
      <c r="K1521" s="11">
        <f>IFERROR(INDEX(Roles!$B$17:$B$20,MATCH(J1521,Roles!$A$17:$A$20,0)),1)</f>
        <v/>
      </c>
      <c r="L1521" s="17" t="n">
        <v>1</v>
      </c>
      <c r="M1521" s="11" t="n">
        <v>1</v>
      </c>
      <c r="N1521" s="17" t="n"/>
      <c r="O1521" s="17" t="n"/>
      <c r="P1521" s="17" t="n"/>
      <c r="Q1521" s="17" t="n"/>
      <c r="R1521" s="17" t="n"/>
      <c r="S1521" s="17" t="n"/>
      <c r="T1521" s="17" t="n"/>
      <c r="U1521" s="17" t="n"/>
      <c r="V1521" s="17" t="n"/>
      <c r="W1521" s="17" t="n"/>
      <c r="X1521" s="17" t="n"/>
      <c r="Y1521" s="17" t="n">
        <v>1</v>
      </c>
      <c r="Z1521" s="13">
        <f>SUMPRODUCT(N1521:Y1521,$N$2:$Y$2)*$K1521*$L1521*$M1521</f>
        <v/>
      </c>
      <c r="AA1521" s="14">
        <f>SUM(N1521:Y1521)</f>
        <v/>
      </c>
      <c r="AB1521" s="14">
        <f>IFERROR(IF(UPPER($E1521)="L",SUMPRODUCT(N1521:Y1521,$N$3:$Y$3,$N$2:$Y$2),SUMPRODUCT(N1521:Y1521,$N$4:$Y$4,$N$2:$Y$2))/(Z1521/($K1521*$L1521*$M1521)),"")</f>
        <v/>
      </c>
      <c r="AC1521" s="18" t="n"/>
    </row>
    <row r="1522">
      <c r="A1522" s="9" t="n">
        <v>800149</v>
      </c>
      <c r="B1522" s="9" t="inlineStr">
        <is>
          <t>Carlos Pacheco</t>
        </is>
      </c>
      <c r="C1522" s="9" t="inlineStr">
        <is>
          <t>OAK</t>
        </is>
      </c>
      <c r="D1522" s="9" t="n">
        <v>25</v>
      </c>
      <c r="E1522" s="16" t="inlineStr">
        <is>
          <t>R</t>
        </is>
      </c>
      <c r="F1522" s="16" t="n"/>
      <c r="G1522" s="9" t="n">
        <v>13.28205128205128</v>
      </c>
      <c r="H1522" s="9" t="n">
        <v>13.28205128205128</v>
      </c>
      <c r="I1522" s="9" t="inlineStr">
        <is>
          <t>Depth (no MLB PA)</t>
        </is>
      </c>
      <c r="J1522" s="16" t="inlineStr">
        <is>
          <t>Opening Day</t>
        </is>
      </c>
      <c r="K1522" s="11">
        <f>IFERROR(INDEX(Roles!$B$17:$B$20,MATCH(J1522,Roles!$A$17:$A$20,0)),1)</f>
        <v/>
      </c>
      <c r="L1522" s="17" t="n">
        <v>1</v>
      </c>
      <c r="M1522" s="11" t="n">
        <v>1</v>
      </c>
      <c r="N1522" s="17" t="n"/>
      <c r="O1522" s="17" t="n"/>
      <c r="P1522" s="17" t="n"/>
      <c r="Q1522" s="17" t="n"/>
      <c r="R1522" s="17" t="n"/>
      <c r="S1522" s="17" t="n"/>
      <c r="T1522" s="17" t="n"/>
      <c r="U1522" s="17" t="n"/>
      <c r="V1522" s="17" t="n"/>
      <c r="W1522" s="17" t="n"/>
      <c r="X1522" s="17" t="n"/>
      <c r="Y1522" s="17" t="n">
        <v>1</v>
      </c>
      <c r="Z1522" s="13">
        <f>SUMPRODUCT(N1522:Y1522,$N$2:$Y$2)*$K1522*$L1522*$M1522</f>
        <v/>
      </c>
      <c r="AA1522" s="14">
        <f>SUM(N1522:Y1522)</f>
        <v/>
      </c>
      <c r="AB1522" s="14">
        <f>IFERROR(IF(UPPER($E1522)="L",SUMPRODUCT(N1522:Y1522,$N$3:$Y$3,$N$2:$Y$2),SUMPRODUCT(N1522:Y1522,$N$4:$Y$4,$N$2:$Y$2))/(Z1522/($K1522*$L1522*$M1522)),"")</f>
        <v/>
      </c>
      <c r="AC1522" s="18" t="n"/>
    </row>
    <row r="1523">
      <c r="A1523" s="9" t="n">
        <v>669134</v>
      </c>
      <c r="B1523" s="9" t="inlineStr">
        <is>
          <t>Luis Campusano</t>
        </is>
      </c>
      <c r="C1523" s="9" t="inlineStr">
        <is>
          <t>SD</t>
        </is>
      </c>
      <c r="D1523" s="9" t="n">
        <v>28</v>
      </c>
      <c r="E1523" s="16" t="inlineStr">
        <is>
          <t>R</t>
        </is>
      </c>
      <c r="F1523" s="16" t="inlineStr">
        <is>
          <t>C</t>
        </is>
      </c>
      <c r="G1523" s="9" t="n">
        <v>248</v>
      </c>
      <c r="H1523" s="9" t="n">
        <v>798</v>
      </c>
      <c r="I1523" s="9" t="inlineStr">
        <is>
          <t>Everyday DH / 1B-DH</t>
        </is>
      </c>
      <c r="J1523" s="16" t="inlineStr">
        <is>
          <t>Opening Day</t>
        </is>
      </c>
      <c r="K1523" s="11">
        <f>IFERROR(INDEX(Roles!$B$17:$B$20,MATCH(J1523,Roles!$A$17:$A$20,0)),1)</f>
        <v/>
      </c>
      <c r="L1523" s="17" t="n">
        <v>1</v>
      </c>
      <c r="M1523" s="11" t="n">
        <v>1</v>
      </c>
      <c r="N1523" s="17" t="n"/>
      <c r="O1523" s="17" t="n">
        <v>0.62</v>
      </c>
      <c r="P1523" s="17" t="n"/>
      <c r="Q1523" s="17" t="n"/>
      <c r="R1523" s="17" t="n"/>
      <c r="S1523" s="17" t="n"/>
      <c r="T1523" s="17" t="n"/>
      <c r="U1523" s="17" t="n"/>
      <c r="V1523" s="17" t="n"/>
      <c r="W1523" s="17" t="n">
        <v>0.38</v>
      </c>
      <c r="X1523" s="17" t="n"/>
      <c r="Y1523" s="17" t="n"/>
      <c r="Z1523" s="13">
        <f>SUMPRODUCT(N1523:Y1523,$N$2:$Y$2)*$K1523*$L1523*$M1523</f>
        <v/>
      </c>
      <c r="AA1523" s="14">
        <f>SUM(N1523:Y1523)</f>
        <v/>
      </c>
      <c r="AB1523" s="14">
        <f>IFERROR(IF(UPPER($E1523)="L",SUMPRODUCT(N1523:Y1523,$N$3:$Y$3,$N$2:$Y$2),SUMPRODUCT(N1523:Y1523,$N$4:$Y$4,$N$2:$Y$2))/(Z1523/($K1523*$L1523*$M1523)),"")</f>
        <v/>
      </c>
      <c r="AC1523" s="18" t="n"/>
    </row>
    <row r="1524">
      <c r="A1524" s="9" t="n">
        <v>690053</v>
      </c>
      <c r="B1524" s="9" t="inlineStr">
        <is>
          <t>Chris Sargent</t>
        </is>
      </c>
      <c r="C1524" s="9" t="inlineStr">
        <is>
          <t>SD</t>
        </is>
      </c>
      <c r="D1524" s="9" t="n">
        <v>25</v>
      </c>
      <c r="E1524" s="16" t="inlineStr">
        <is>
          <t>R</t>
        </is>
      </c>
      <c r="F1524" s="16" t="n"/>
      <c r="G1524" s="9" t="n">
        <v>39.48717948717948</v>
      </c>
      <c r="H1524" s="9" t="n">
        <v>39.48717948717948</v>
      </c>
      <c r="I1524" s="9" t="inlineStr">
        <is>
          <t>Depth (no MLB PA)</t>
        </is>
      </c>
      <c r="J1524" s="16" t="inlineStr">
        <is>
          <t>Opening Day</t>
        </is>
      </c>
      <c r="K1524" s="11">
        <f>IFERROR(INDEX(Roles!$B$17:$B$20,MATCH(J1524,Roles!$A$17:$A$20,0)),1)</f>
        <v/>
      </c>
      <c r="L1524" s="17" t="n">
        <v>1</v>
      </c>
      <c r="M1524" s="11" t="n">
        <v>1</v>
      </c>
      <c r="N1524" s="17" t="n"/>
      <c r="O1524" s="17" t="n"/>
      <c r="P1524" s="17" t="n"/>
      <c r="Q1524" s="17" t="n"/>
      <c r="R1524" s="17" t="n"/>
      <c r="S1524" s="17" t="n"/>
      <c r="T1524" s="17" t="n"/>
      <c r="U1524" s="17" t="n"/>
      <c r="V1524" s="17" t="n"/>
      <c r="W1524" s="17" t="n"/>
      <c r="X1524" s="17" t="n"/>
      <c r="Y1524" s="17" t="n">
        <v>1</v>
      </c>
      <c r="Z1524" s="13">
        <f>SUMPRODUCT(N1524:Y1524,$N$2:$Y$2)*$K1524*$L1524*$M1524</f>
        <v/>
      </c>
      <c r="AA1524" s="14">
        <f>SUM(N1524:Y1524)</f>
        <v/>
      </c>
      <c r="AB1524" s="14">
        <f>IFERROR(IF(UPPER($E1524)="L",SUMPRODUCT(N1524:Y1524,$N$3:$Y$3,$N$2:$Y$2),SUMPRODUCT(N1524:Y1524,$N$4:$Y$4,$N$2:$Y$2))/(Z1524/($K1524*$L1524*$M1524)),"")</f>
        <v/>
      </c>
      <c r="AC1524" s="18" t="n"/>
    </row>
    <row r="1525">
      <c r="A1525" s="9" t="n">
        <v>702520</v>
      </c>
      <c r="B1525" s="9" t="inlineStr">
        <is>
          <t>Justin Thomas Jr.</t>
        </is>
      </c>
      <c r="C1525" s="9" t="inlineStr">
        <is>
          <t>HOU</t>
        </is>
      </c>
      <c r="D1525" s="9" t="n">
        <v>25</v>
      </c>
      <c r="E1525" s="16" t="inlineStr">
        <is>
          <t>R</t>
        </is>
      </c>
      <c r="F1525" s="16" t="n"/>
      <c r="G1525" s="9" t="n">
        <v>30.15384615384616</v>
      </c>
      <c r="H1525" s="9" t="n">
        <v>30.15384615384616</v>
      </c>
      <c r="I1525" s="9" t="inlineStr">
        <is>
          <t>Depth (no MLB PA)</t>
        </is>
      </c>
      <c r="J1525" s="16" t="inlineStr">
        <is>
          <t>Opening Day</t>
        </is>
      </c>
      <c r="K1525" s="11">
        <f>IFERROR(INDEX(Roles!$B$17:$B$20,MATCH(J1525,Roles!$A$17:$A$20,0)),1)</f>
        <v/>
      </c>
      <c r="L1525" s="17" t="n">
        <v>1</v>
      </c>
      <c r="M1525" s="11" t="n">
        <v>1</v>
      </c>
      <c r="N1525" s="17" t="n"/>
      <c r="O1525" s="17" t="n"/>
      <c r="P1525" s="17" t="n"/>
      <c r="Q1525" s="17" t="n"/>
      <c r="R1525" s="17" t="n"/>
      <c r="S1525" s="17" t="n"/>
      <c r="T1525" s="17" t="n"/>
      <c r="U1525" s="17" t="n"/>
      <c r="V1525" s="17" t="n"/>
      <c r="W1525" s="17" t="n"/>
      <c r="X1525" s="17" t="n"/>
      <c r="Y1525" s="17" t="n">
        <v>1</v>
      </c>
      <c r="Z1525" s="13">
        <f>SUMPRODUCT(N1525:Y1525,$N$2:$Y$2)*$K1525*$L1525*$M1525</f>
        <v/>
      </c>
      <c r="AA1525" s="14">
        <f>SUM(N1525:Y1525)</f>
        <v/>
      </c>
      <c r="AB1525" s="14">
        <f>IFERROR(IF(UPPER($E1525)="L",SUMPRODUCT(N1525:Y1525,$N$3:$Y$3,$N$2:$Y$2),SUMPRODUCT(N1525:Y1525,$N$4:$Y$4,$N$2:$Y$2))/(Z1525/($K1525*$L1525*$M1525)),"")</f>
        <v/>
      </c>
      <c r="AC1525" s="18" t="n"/>
    </row>
    <row r="1526">
      <c r="A1526" s="9" t="n">
        <v>805870</v>
      </c>
      <c r="B1526" s="9" t="inlineStr">
        <is>
          <t>Hyungchan Um</t>
        </is>
      </c>
      <c r="C1526" s="9" t="inlineStr">
        <is>
          <t>KC</t>
        </is>
      </c>
      <c r="D1526" s="9" t="n">
        <v>25</v>
      </c>
      <c r="E1526" s="16" t="inlineStr">
        <is>
          <t>R</t>
        </is>
      </c>
      <c r="F1526" s="16" t="n"/>
      <c r="G1526" s="9" t="n">
        <v>13.28205128205128</v>
      </c>
      <c r="H1526" s="9" t="n">
        <v>13.28205128205128</v>
      </c>
      <c r="I1526" s="9" t="inlineStr">
        <is>
          <t>Depth (no MLB PA)</t>
        </is>
      </c>
      <c r="J1526" s="16" t="inlineStr">
        <is>
          <t>Opening Day</t>
        </is>
      </c>
      <c r="K1526" s="11">
        <f>IFERROR(INDEX(Roles!$B$17:$B$20,MATCH(J1526,Roles!$A$17:$A$20,0)),1)</f>
        <v/>
      </c>
      <c r="L1526" s="17" t="n">
        <v>1</v>
      </c>
      <c r="M1526" s="11" t="n">
        <v>1</v>
      </c>
      <c r="N1526" s="17" t="n"/>
      <c r="O1526" s="17" t="n"/>
      <c r="P1526" s="17" t="n"/>
      <c r="Q1526" s="17" t="n"/>
      <c r="R1526" s="17" t="n"/>
      <c r="S1526" s="17" t="n"/>
      <c r="T1526" s="17" t="n"/>
      <c r="U1526" s="17" t="n"/>
      <c r="V1526" s="17" t="n"/>
      <c r="W1526" s="17" t="n"/>
      <c r="X1526" s="17" t="n"/>
      <c r="Y1526" s="17" t="n">
        <v>1</v>
      </c>
      <c r="Z1526" s="13">
        <f>SUMPRODUCT(N1526:Y1526,$N$2:$Y$2)*$K1526*$L1526*$M1526</f>
        <v/>
      </c>
      <c r="AA1526" s="14">
        <f>SUM(N1526:Y1526)</f>
        <v/>
      </c>
      <c r="AB1526" s="14">
        <f>IFERROR(IF(UPPER($E1526)="L",SUMPRODUCT(N1526:Y1526,$N$3:$Y$3,$N$2:$Y$2),SUMPRODUCT(N1526:Y1526,$N$4:$Y$4,$N$2:$Y$2))/(Z1526/($K1526*$L1526*$M1526)),"")</f>
        <v/>
      </c>
      <c r="AC1526" s="18" t="n"/>
    </row>
    <row r="1527">
      <c r="A1527" s="9" t="n">
        <v>692364</v>
      </c>
      <c r="B1527" s="9" t="inlineStr">
        <is>
          <t>Cesar Quintas</t>
        </is>
      </c>
      <c r="C1527" s="9" t="inlineStr">
        <is>
          <t>SEA</t>
        </is>
      </c>
      <c r="D1527" s="9" t="n">
        <v>25</v>
      </c>
      <c r="E1527" s="16" t="inlineStr">
        <is>
          <t>R</t>
        </is>
      </c>
      <c r="F1527" s="16" t="n"/>
      <c r="G1527" s="9" t="n">
        <v>17.64102564102564</v>
      </c>
      <c r="H1527" s="9" t="n">
        <v>17.64102564102564</v>
      </c>
      <c r="I1527" s="9" t="inlineStr">
        <is>
          <t>Depth (no MLB PA)</t>
        </is>
      </c>
      <c r="J1527" s="16" t="inlineStr">
        <is>
          <t>Opening Day</t>
        </is>
      </c>
      <c r="K1527" s="11">
        <f>IFERROR(INDEX(Roles!$B$17:$B$20,MATCH(J1527,Roles!$A$17:$A$20,0)),1)</f>
        <v/>
      </c>
      <c r="L1527" s="17" t="n">
        <v>1</v>
      </c>
      <c r="M1527" s="11" t="n">
        <v>1</v>
      </c>
      <c r="N1527" s="17" t="n"/>
      <c r="O1527" s="17" t="n"/>
      <c r="P1527" s="17" t="n"/>
      <c r="Q1527" s="17" t="n"/>
      <c r="R1527" s="17" t="n"/>
      <c r="S1527" s="17" t="n"/>
      <c r="T1527" s="17" t="n"/>
      <c r="U1527" s="17" t="n"/>
      <c r="V1527" s="17" t="n"/>
      <c r="W1527" s="17" t="n"/>
      <c r="X1527" s="17" t="n"/>
      <c r="Y1527" s="17" t="n">
        <v>1</v>
      </c>
      <c r="Z1527" s="13">
        <f>SUMPRODUCT(N1527:Y1527,$N$2:$Y$2)*$K1527*$L1527*$M1527</f>
        <v/>
      </c>
      <c r="AA1527" s="14">
        <f>SUM(N1527:Y1527)</f>
        <v/>
      </c>
      <c r="AB1527" s="14">
        <f>IFERROR(IF(UPPER($E1527)="L",SUMPRODUCT(N1527:Y1527,$N$3:$Y$3,$N$2:$Y$2),SUMPRODUCT(N1527:Y1527,$N$4:$Y$4,$N$2:$Y$2))/(Z1527/($K1527*$L1527*$M1527)),"")</f>
        <v/>
      </c>
      <c r="AC1527" s="18" t="n"/>
    </row>
    <row r="1528">
      <c r="A1528" s="9" t="n">
        <v>807011</v>
      </c>
      <c r="B1528" s="9" t="inlineStr">
        <is>
          <t>Felix Morrobel</t>
        </is>
      </c>
      <c r="C1528" s="9" t="inlineStr">
        <is>
          <t>LAA</t>
        </is>
      </c>
      <c r="D1528" s="9" t="n">
        <v>25</v>
      </c>
      <c r="E1528" s="16" t="inlineStr">
        <is>
          <t>S</t>
        </is>
      </c>
      <c r="F1528" s="16" t="n"/>
      <c r="G1528" s="9" t="n">
        <v>13.41538461538462</v>
      </c>
      <c r="H1528" s="9" t="n">
        <v>13.41538461538462</v>
      </c>
      <c r="I1528" s="9" t="inlineStr">
        <is>
          <t>Depth (no MLB PA)</t>
        </is>
      </c>
      <c r="J1528" s="16" t="inlineStr">
        <is>
          <t>Opening Day</t>
        </is>
      </c>
      <c r="K1528" s="11">
        <f>IFERROR(INDEX(Roles!$B$17:$B$20,MATCH(J1528,Roles!$A$17:$A$20,0)),1)</f>
        <v/>
      </c>
      <c r="L1528" s="17" t="n">
        <v>1</v>
      </c>
      <c r="M1528" s="11" t="n">
        <v>1</v>
      </c>
      <c r="N1528" s="17" t="n"/>
      <c r="O1528" s="17" t="n"/>
      <c r="P1528" s="17" t="n"/>
      <c r="Q1528" s="17" t="n"/>
      <c r="R1528" s="17" t="n"/>
      <c r="S1528" s="17" t="n"/>
      <c r="T1528" s="17" t="n"/>
      <c r="U1528" s="17" t="n"/>
      <c r="V1528" s="17" t="n"/>
      <c r="W1528" s="17" t="n"/>
      <c r="X1528" s="17" t="n"/>
      <c r="Y1528" s="17" t="n">
        <v>1</v>
      </c>
      <c r="Z1528" s="13">
        <f>SUMPRODUCT(N1528:Y1528,$N$2:$Y$2)*$K1528*$L1528*$M1528</f>
        <v/>
      </c>
      <c r="AA1528" s="14">
        <f>SUM(N1528:Y1528)</f>
        <v/>
      </c>
      <c r="AB1528" s="14">
        <f>IFERROR(IF(UPPER($E1528)="L",SUMPRODUCT(N1528:Y1528,$N$3:$Y$3,$N$2:$Y$2),SUMPRODUCT(N1528:Y1528,$N$4:$Y$4,$N$2:$Y$2))/(Z1528/($K1528*$L1528*$M1528)),"")</f>
        <v/>
      </c>
      <c r="AC1528" s="18" t="n"/>
    </row>
    <row r="1529">
      <c r="A1529" s="9" t="n">
        <v>571980</v>
      </c>
      <c r="B1529" s="9" t="inlineStr">
        <is>
          <t>Tyler Naquin</t>
        </is>
      </c>
      <c r="C1529" s="9" t="inlineStr">
        <is>
          <t>NYM</t>
        </is>
      </c>
      <c r="D1529" s="9" t="n">
        <v>36</v>
      </c>
      <c r="E1529" s="16" t="inlineStr">
        <is>
          <t>L</t>
        </is>
      </c>
      <c r="F1529" s="16" t="inlineStr">
        <is>
          <t>LF</t>
        </is>
      </c>
      <c r="G1529" s="9" t="n">
        <v>8</v>
      </c>
      <c r="H1529" s="9" t="n">
        <v>342</v>
      </c>
      <c r="I1529" s="9" t="inlineStr">
        <is>
          <t>Depth (no MLB PA)</t>
        </is>
      </c>
      <c r="J1529" s="16" t="inlineStr">
        <is>
          <t>Opening Day</t>
        </is>
      </c>
      <c r="K1529" s="11">
        <f>IFERROR(INDEX(Roles!$B$17:$B$20,MATCH(J1529,Roles!$A$17:$A$20,0)),1)</f>
        <v/>
      </c>
      <c r="L1529" s="17" t="n">
        <v>1</v>
      </c>
      <c r="M1529" s="11" t="n">
        <v>1</v>
      </c>
      <c r="N1529" s="17" t="n"/>
      <c r="O1529" s="17" t="n"/>
      <c r="P1529" s="17" t="n"/>
      <c r="Q1529" s="17" t="n"/>
      <c r="R1529" s="17" t="n"/>
      <c r="S1529" s="17" t="n"/>
      <c r="T1529" s="17" t="n"/>
      <c r="U1529" s="17" t="n"/>
      <c r="V1529" s="17" t="n"/>
      <c r="W1529" s="17" t="n"/>
      <c r="X1529" s="17" t="n"/>
      <c r="Y1529" s="17" t="n">
        <v>1</v>
      </c>
      <c r="Z1529" s="13">
        <f>SUMPRODUCT(N1529:Y1529,$N$2:$Y$2)*$K1529*$L1529*$M1529</f>
        <v/>
      </c>
      <c r="AA1529" s="14">
        <f>SUM(N1529:Y1529)</f>
        <v/>
      </c>
      <c r="AB1529" s="14">
        <f>IFERROR(IF(UPPER($E1529)="L",SUMPRODUCT(N1529:Y1529,$N$3:$Y$3,$N$2:$Y$2),SUMPRODUCT(N1529:Y1529,$N$4:$Y$4,$N$2:$Y$2))/(Z1529/($K1529*$L1529*$M1529)),"")</f>
        <v/>
      </c>
      <c r="AC1529" s="18" t="n"/>
    </row>
    <row r="1530">
      <c r="A1530" s="9" t="n">
        <v>806982</v>
      </c>
      <c r="B1530" s="9" t="inlineStr">
        <is>
          <t>Esmil Valencia</t>
        </is>
      </c>
      <c r="C1530" s="9" t="inlineStr">
        <is>
          <t>MIA</t>
        </is>
      </c>
      <c r="D1530" s="9" t="n">
        <v>25</v>
      </c>
      <c r="E1530" s="16" t="inlineStr">
        <is>
          <t>R</t>
        </is>
      </c>
      <c r="F1530" s="16" t="n"/>
      <c r="G1530" s="9" t="n">
        <v>39.38461538461539</v>
      </c>
      <c r="H1530" s="9" t="n">
        <v>39.38461538461539</v>
      </c>
      <c r="I1530" s="9" t="inlineStr">
        <is>
          <t>Depth (no MLB PA)</t>
        </is>
      </c>
      <c r="J1530" s="16" t="inlineStr">
        <is>
          <t>Opening Day</t>
        </is>
      </c>
      <c r="K1530" s="11">
        <f>IFERROR(INDEX(Roles!$B$17:$B$20,MATCH(J1530,Roles!$A$17:$A$20,0)),1)</f>
        <v/>
      </c>
      <c r="L1530" s="17" t="n">
        <v>1</v>
      </c>
      <c r="M1530" s="11" t="n">
        <v>1</v>
      </c>
      <c r="N1530" s="17" t="n"/>
      <c r="O1530" s="17" t="n"/>
      <c r="P1530" s="17" t="n"/>
      <c r="Q1530" s="17" t="n"/>
      <c r="R1530" s="17" t="n"/>
      <c r="S1530" s="17" t="n"/>
      <c r="T1530" s="17" t="n"/>
      <c r="U1530" s="17" t="n"/>
      <c r="V1530" s="17" t="n"/>
      <c r="W1530" s="17" t="n"/>
      <c r="X1530" s="17" t="n"/>
      <c r="Y1530" s="17" t="n">
        <v>1</v>
      </c>
      <c r="Z1530" s="13">
        <f>SUMPRODUCT(N1530:Y1530,$N$2:$Y$2)*$K1530*$L1530*$M1530</f>
        <v/>
      </c>
      <c r="AA1530" s="14">
        <f>SUM(N1530:Y1530)</f>
        <v/>
      </c>
      <c r="AB1530" s="14">
        <f>IFERROR(IF(UPPER($E1530)="L",SUMPRODUCT(N1530:Y1530,$N$3:$Y$3,$N$2:$Y$2),SUMPRODUCT(N1530:Y1530,$N$4:$Y$4,$N$2:$Y$2))/(Z1530/($K1530*$L1530*$M1530)),"")</f>
        <v/>
      </c>
      <c r="AC1530" s="18" t="n"/>
    </row>
    <row r="1531">
      <c r="A1531" s="9" t="n">
        <v>695501</v>
      </c>
      <c r="B1531" s="9" t="inlineStr">
        <is>
          <t>Blake Burke</t>
        </is>
      </c>
      <c r="C1531" s="9" t="inlineStr">
        <is>
          <t>MIL</t>
        </is>
      </c>
      <c r="D1531" s="9" t="n">
        <v>24</v>
      </c>
      <c r="E1531" s="16" t="inlineStr">
        <is>
          <t>L</t>
        </is>
      </c>
      <c r="F1531" s="16" t="n"/>
      <c r="G1531" s="9" t="n">
        <v>75.02564102564104</v>
      </c>
      <c r="H1531" s="9" t="n">
        <v>75.02564102564104</v>
      </c>
      <c r="I1531" s="9" t="inlineStr">
        <is>
          <t>Bench Bat</t>
        </is>
      </c>
      <c r="J1531" s="16" t="inlineStr">
        <is>
          <t>Mid Season (~July)</t>
        </is>
      </c>
      <c r="K1531" s="11">
        <f>IFERROR(INDEX(Roles!$B$17:$B$20,MATCH(J1531,Roles!$A$17:$A$20,0)),1)</f>
        <v/>
      </c>
      <c r="L1531" s="17" t="n">
        <v>1</v>
      </c>
      <c r="M1531" s="11" t="n">
        <v>1</v>
      </c>
      <c r="N1531" s="17" t="n"/>
      <c r="O1531" s="17" t="n"/>
      <c r="P1531" s="17" t="n">
        <v>0.35</v>
      </c>
      <c r="Q1531" s="17" t="n"/>
      <c r="R1531" s="17" t="n"/>
      <c r="S1531" s="17" t="n"/>
      <c r="T1531" s="17" t="n"/>
      <c r="U1531" s="17" t="n"/>
      <c r="V1531" s="17" t="n"/>
      <c r="W1531" s="17" t="n">
        <v>0.45</v>
      </c>
      <c r="X1531" s="17" t="n">
        <v>0.2</v>
      </c>
      <c r="Y1531" s="17" t="n"/>
      <c r="Z1531" s="13">
        <f>SUMPRODUCT(N1531:Y1531,$N$2:$Y$2)*$K1531*$L1531*$M1531</f>
        <v/>
      </c>
      <c r="AA1531" s="14">
        <f>SUM(N1531:Y1531)</f>
        <v/>
      </c>
      <c r="AB1531" s="14">
        <f>IFERROR(IF(UPPER($E1531)="L",SUMPRODUCT(N1531:Y1531,$N$3:$Y$3,$N$2:$Y$2),SUMPRODUCT(N1531:Y1531,$N$4:$Y$4,$N$2:$Y$2))/(Z1531/($K1531*$L1531*$M1531)),"")</f>
        <v/>
      </c>
      <c r="AC1531" s="18" t="n"/>
    </row>
    <row r="1532">
      <c r="A1532" s="9" t="n">
        <v>519058</v>
      </c>
      <c r="B1532" s="9" t="inlineStr">
        <is>
          <t>Mike Moustakas</t>
        </is>
      </c>
      <c r="C1532" s="9" t="inlineStr">
        <is>
          <t>LAA</t>
        </is>
      </c>
      <c r="D1532" s="9" t="n">
        <v>38</v>
      </c>
      <c r="E1532" s="16" t="inlineStr">
        <is>
          <t>L</t>
        </is>
      </c>
      <c r="F1532" s="16" t="inlineStr">
        <is>
          <t>3B</t>
        </is>
      </c>
      <c r="G1532" s="9" t="n">
        <v>386</v>
      </c>
      <c r="H1532" s="9" t="n">
        <v>671</v>
      </c>
      <c r="I1532" s="9" t="inlineStr">
        <is>
          <t>Depth (no MLB PA)</t>
        </is>
      </c>
      <c r="J1532" s="16" t="inlineStr">
        <is>
          <t>Opening Day</t>
        </is>
      </c>
      <c r="K1532" s="11">
        <f>IFERROR(INDEX(Roles!$B$17:$B$20,MATCH(J1532,Roles!$A$17:$A$20,0)),1)</f>
        <v/>
      </c>
      <c r="L1532" s="17" t="n">
        <v>1</v>
      </c>
      <c r="M1532" s="11" t="n">
        <v>1</v>
      </c>
      <c r="N1532" s="17" t="n"/>
      <c r="O1532" s="17" t="n"/>
      <c r="P1532" s="17" t="n"/>
      <c r="Q1532" s="17" t="n"/>
      <c r="R1532" s="17" t="n"/>
      <c r="S1532" s="17" t="n"/>
      <c r="T1532" s="17" t="n"/>
      <c r="U1532" s="17" t="n"/>
      <c r="V1532" s="17" t="n"/>
      <c r="W1532" s="17" t="n"/>
      <c r="X1532" s="17" t="n"/>
      <c r="Y1532" s="17" t="n">
        <v>1</v>
      </c>
      <c r="Z1532" s="13">
        <f>SUMPRODUCT(N1532:Y1532,$N$2:$Y$2)*$K1532*$L1532*$M1532</f>
        <v/>
      </c>
      <c r="AA1532" s="14">
        <f>SUM(N1532:Y1532)</f>
        <v/>
      </c>
      <c r="AB1532" s="14">
        <f>IFERROR(IF(UPPER($E1532)="L",SUMPRODUCT(N1532:Y1532,$N$3:$Y$3,$N$2:$Y$2),SUMPRODUCT(N1532:Y1532,$N$4:$Y$4,$N$2:$Y$2))/(Z1532/($K1532*$L1532*$M1532)),"")</f>
        <v/>
      </c>
      <c r="AC1532" s="18" t="n"/>
    </row>
    <row r="1533">
      <c r="A1533" s="9" t="n">
        <v>803630</v>
      </c>
      <c r="B1533" s="9" t="inlineStr">
        <is>
          <t>Jalen Hairston</t>
        </is>
      </c>
      <c r="C1533" s="9" t="inlineStr">
        <is>
          <t>CIN</t>
        </is>
      </c>
      <c r="D1533" s="9" t="n">
        <v>25</v>
      </c>
      <c r="E1533" s="16" t="inlineStr">
        <is>
          <t>L</t>
        </is>
      </c>
      <c r="F1533" s="16" t="n"/>
      <c r="G1533" s="9" t="n">
        <v>28.92307692307692</v>
      </c>
      <c r="H1533" s="9" t="n">
        <v>28.92307692307692</v>
      </c>
      <c r="I1533" s="9" t="inlineStr">
        <is>
          <t>Depth (no MLB PA)</t>
        </is>
      </c>
      <c r="J1533" s="16" t="inlineStr">
        <is>
          <t>Opening Day</t>
        </is>
      </c>
      <c r="K1533" s="11">
        <f>IFERROR(INDEX(Roles!$B$17:$B$20,MATCH(J1533,Roles!$A$17:$A$20,0)),1)</f>
        <v/>
      </c>
      <c r="L1533" s="17" t="n">
        <v>1</v>
      </c>
      <c r="M1533" s="11" t="n">
        <v>1</v>
      </c>
      <c r="N1533" s="17" t="n"/>
      <c r="O1533" s="17" t="n"/>
      <c r="P1533" s="17" t="n"/>
      <c r="Q1533" s="17" t="n"/>
      <c r="R1533" s="17" t="n"/>
      <c r="S1533" s="17" t="n"/>
      <c r="T1533" s="17" t="n"/>
      <c r="U1533" s="17" t="n"/>
      <c r="V1533" s="17" t="n"/>
      <c r="W1533" s="17" t="n"/>
      <c r="X1533" s="17" t="n"/>
      <c r="Y1533" s="17" t="n">
        <v>1</v>
      </c>
      <c r="Z1533" s="13">
        <f>SUMPRODUCT(N1533:Y1533,$N$2:$Y$2)*$K1533*$L1533*$M1533</f>
        <v/>
      </c>
      <c r="AA1533" s="14">
        <f>SUM(N1533:Y1533)</f>
        <v/>
      </c>
      <c r="AB1533" s="14">
        <f>IFERROR(IF(UPPER($E1533)="L",SUMPRODUCT(N1533:Y1533,$N$3:$Y$3,$N$2:$Y$2),SUMPRODUCT(N1533:Y1533,$N$4:$Y$4,$N$2:$Y$2))/(Z1533/($K1533*$L1533*$M1533)),"")</f>
        <v/>
      </c>
      <c r="AC1533" s="18" t="n"/>
    </row>
    <row r="1534">
      <c r="A1534" s="9" t="n">
        <v>694193</v>
      </c>
      <c r="B1534" s="9" t="inlineStr">
        <is>
          <t>Victor Acosta</t>
        </is>
      </c>
      <c r="C1534" s="9" t="inlineStr">
        <is>
          <t>CIN</t>
        </is>
      </c>
      <c r="D1534" s="9" t="n">
        <v>25</v>
      </c>
      <c r="E1534" s="16" t="inlineStr">
        <is>
          <t>S</t>
        </is>
      </c>
      <c r="F1534" s="16" t="n"/>
      <c r="G1534" s="9" t="n">
        <v>30.97435897435897</v>
      </c>
      <c r="H1534" s="9" t="n">
        <v>30.97435897435897</v>
      </c>
      <c r="I1534" s="9" t="inlineStr">
        <is>
          <t>Depth (no MLB PA)</t>
        </is>
      </c>
      <c r="J1534" s="16" t="inlineStr">
        <is>
          <t>Opening Day</t>
        </is>
      </c>
      <c r="K1534" s="11">
        <f>IFERROR(INDEX(Roles!$B$17:$B$20,MATCH(J1534,Roles!$A$17:$A$20,0)),1)</f>
        <v/>
      </c>
      <c r="L1534" s="17" t="n">
        <v>1</v>
      </c>
      <c r="M1534" s="11" t="n">
        <v>1</v>
      </c>
      <c r="N1534" s="17" t="n"/>
      <c r="O1534" s="17" t="n"/>
      <c r="P1534" s="17" t="n"/>
      <c r="Q1534" s="17" t="n"/>
      <c r="R1534" s="17" t="n"/>
      <c r="S1534" s="17" t="n"/>
      <c r="T1534" s="17" t="n"/>
      <c r="U1534" s="17" t="n"/>
      <c r="V1534" s="17" t="n"/>
      <c r="W1534" s="17" t="n"/>
      <c r="X1534" s="17" t="n"/>
      <c r="Y1534" s="17" t="n">
        <v>1</v>
      </c>
      <c r="Z1534" s="13">
        <f>SUMPRODUCT(N1534:Y1534,$N$2:$Y$2)*$K1534*$L1534*$M1534</f>
        <v/>
      </c>
      <c r="AA1534" s="14">
        <f>SUM(N1534:Y1534)</f>
        <v/>
      </c>
      <c r="AB1534" s="14">
        <f>IFERROR(IF(UPPER($E1534)="L",SUMPRODUCT(N1534:Y1534,$N$3:$Y$3,$N$2:$Y$2),SUMPRODUCT(N1534:Y1534,$N$4:$Y$4,$N$2:$Y$2))/(Z1534/($K1534*$L1534*$M1534)),"")</f>
        <v/>
      </c>
      <c r="AC1534" s="18" t="n"/>
    </row>
    <row r="1535">
      <c r="A1535" s="9" t="n">
        <v>694838</v>
      </c>
      <c r="B1535" s="9" t="inlineStr">
        <is>
          <t>Joe Vetrano</t>
        </is>
      </c>
      <c r="C1535" s="9" t="inlineStr">
        <is>
          <t>LAD</t>
        </is>
      </c>
      <c r="D1535" s="9" t="n">
        <v>25</v>
      </c>
      <c r="E1535" s="16" t="inlineStr">
        <is>
          <t>L</t>
        </is>
      </c>
      <c r="F1535" s="16" t="n"/>
      <c r="G1535" s="9" t="n">
        <v>124.5641025641026</v>
      </c>
      <c r="H1535" s="9" t="n">
        <v>124.5641025641026</v>
      </c>
      <c r="I1535" s="9" t="inlineStr">
        <is>
          <t>Depth (no MLB PA)</t>
        </is>
      </c>
      <c r="J1535" s="16" t="inlineStr">
        <is>
          <t>Opening Day</t>
        </is>
      </c>
      <c r="K1535" s="11">
        <f>IFERROR(INDEX(Roles!$B$17:$B$20,MATCH(J1535,Roles!$A$17:$A$20,0)),1)</f>
        <v/>
      </c>
      <c r="L1535" s="17" t="n">
        <v>1</v>
      </c>
      <c r="M1535" s="11" t="n">
        <v>1</v>
      </c>
      <c r="N1535" s="17" t="n"/>
      <c r="O1535" s="17" t="n"/>
      <c r="P1535" s="17" t="n"/>
      <c r="Q1535" s="17" t="n"/>
      <c r="R1535" s="17" t="n"/>
      <c r="S1535" s="17" t="n"/>
      <c r="T1535" s="17" t="n"/>
      <c r="U1535" s="17" t="n"/>
      <c r="V1535" s="17" t="n"/>
      <c r="W1535" s="17" t="n"/>
      <c r="X1535" s="17" t="n"/>
      <c r="Y1535" s="17" t="n">
        <v>1</v>
      </c>
      <c r="Z1535" s="13">
        <f>SUMPRODUCT(N1535:Y1535,$N$2:$Y$2)*$K1535*$L1535*$M1535</f>
        <v/>
      </c>
      <c r="AA1535" s="14">
        <f>SUM(N1535:Y1535)</f>
        <v/>
      </c>
      <c r="AB1535" s="14">
        <f>IFERROR(IF(UPPER($E1535)="L",SUMPRODUCT(N1535:Y1535,$N$3:$Y$3,$N$2:$Y$2),SUMPRODUCT(N1535:Y1535,$N$4:$Y$4,$N$2:$Y$2))/(Z1535/($K1535*$L1535*$M1535)),"")</f>
        <v/>
      </c>
      <c r="AC1535" s="18" t="n"/>
    </row>
    <row r="1536">
      <c r="A1536" s="9" t="n">
        <v>804859</v>
      </c>
      <c r="B1536" s="9" t="inlineStr">
        <is>
          <t>Robert Phelps</t>
        </is>
      </c>
      <c r="C1536" s="9" t="inlineStr">
        <is>
          <t>PHI</t>
        </is>
      </c>
      <c r="D1536" s="9" t="n">
        <v>25</v>
      </c>
      <c r="E1536" s="16" t="inlineStr">
        <is>
          <t>R</t>
        </is>
      </c>
      <c r="F1536" s="16" t="n"/>
      <c r="G1536" s="9" t="n">
        <v>22.56410256410257</v>
      </c>
      <c r="H1536" s="9" t="n">
        <v>22.56410256410257</v>
      </c>
      <c r="I1536" s="9" t="inlineStr">
        <is>
          <t>Depth (no MLB PA)</t>
        </is>
      </c>
      <c r="J1536" s="16" t="inlineStr">
        <is>
          <t>Opening Day</t>
        </is>
      </c>
      <c r="K1536" s="11">
        <f>IFERROR(INDEX(Roles!$B$17:$B$20,MATCH(J1536,Roles!$A$17:$A$20,0)),1)</f>
        <v/>
      </c>
      <c r="L1536" s="17" t="n">
        <v>1</v>
      </c>
      <c r="M1536" s="11" t="n">
        <v>1</v>
      </c>
      <c r="N1536" s="17" t="n"/>
      <c r="O1536" s="17" t="n"/>
      <c r="P1536" s="17" t="n"/>
      <c r="Q1536" s="17" t="n"/>
      <c r="R1536" s="17" t="n"/>
      <c r="S1536" s="17" t="n"/>
      <c r="T1536" s="17" t="n"/>
      <c r="U1536" s="17" t="n"/>
      <c r="V1536" s="17" t="n"/>
      <c r="W1536" s="17" t="n"/>
      <c r="X1536" s="17" t="n"/>
      <c r="Y1536" s="17" t="n">
        <v>1</v>
      </c>
      <c r="Z1536" s="13">
        <f>SUMPRODUCT(N1536:Y1536,$N$2:$Y$2)*$K1536*$L1536*$M1536</f>
        <v/>
      </c>
      <c r="AA1536" s="14">
        <f>SUM(N1536:Y1536)</f>
        <v/>
      </c>
      <c r="AB1536" s="14">
        <f>IFERROR(IF(UPPER($E1536)="L",SUMPRODUCT(N1536:Y1536,$N$3:$Y$3,$N$2:$Y$2),SUMPRODUCT(N1536:Y1536,$N$4:$Y$4,$N$2:$Y$2))/(Z1536/($K1536*$L1536*$M1536)),"")</f>
        <v/>
      </c>
      <c r="AC1536" s="18" t="n"/>
    </row>
    <row r="1537">
      <c r="A1537" s="9" t="n">
        <v>702630</v>
      </c>
      <c r="B1537" s="9" t="inlineStr">
        <is>
          <t>Luke Hanson</t>
        </is>
      </c>
      <c r="C1537" s="9" t="inlineStr">
        <is>
          <t>TEX</t>
        </is>
      </c>
      <c r="D1537" s="9" t="n">
        <v>25</v>
      </c>
      <c r="E1537" s="16" t="inlineStr">
        <is>
          <t>R</t>
        </is>
      </c>
      <c r="F1537" s="16" t="n"/>
      <c r="G1537" s="9" t="n">
        <v>22.61538461538461</v>
      </c>
      <c r="H1537" s="9" t="n">
        <v>22.61538461538461</v>
      </c>
      <c r="I1537" s="9" t="inlineStr">
        <is>
          <t>Depth (no MLB PA)</t>
        </is>
      </c>
      <c r="J1537" s="16" t="inlineStr">
        <is>
          <t>Opening Day</t>
        </is>
      </c>
      <c r="K1537" s="11">
        <f>IFERROR(INDEX(Roles!$B$17:$B$20,MATCH(J1537,Roles!$A$17:$A$20,0)),1)</f>
        <v/>
      </c>
      <c r="L1537" s="17" t="n">
        <v>1</v>
      </c>
      <c r="M1537" s="11" t="n">
        <v>1</v>
      </c>
      <c r="N1537" s="17" t="n"/>
      <c r="O1537" s="17" t="n"/>
      <c r="P1537" s="17" t="n"/>
      <c r="Q1537" s="17" t="n"/>
      <c r="R1537" s="17" t="n"/>
      <c r="S1537" s="17" t="n"/>
      <c r="T1537" s="17" t="n"/>
      <c r="U1537" s="17" t="n"/>
      <c r="V1537" s="17" t="n"/>
      <c r="W1537" s="17" t="n"/>
      <c r="X1537" s="17" t="n"/>
      <c r="Y1537" s="17" t="n">
        <v>1</v>
      </c>
      <c r="Z1537" s="13">
        <f>SUMPRODUCT(N1537:Y1537,$N$2:$Y$2)*$K1537*$L1537*$M1537</f>
        <v/>
      </c>
      <c r="AA1537" s="14">
        <f>SUM(N1537:Y1537)</f>
        <v/>
      </c>
      <c r="AB1537" s="14">
        <f>IFERROR(IF(UPPER($E1537)="L",SUMPRODUCT(N1537:Y1537,$N$3:$Y$3,$N$2:$Y$2),SUMPRODUCT(N1537:Y1537,$N$4:$Y$4,$N$2:$Y$2))/(Z1537/($K1537*$L1537*$M1537)),"")</f>
        <v/>
      </c>
      <c r="AC1537" s="18" t="n"/>
    </row>
    <row r="1538">
      <c r="A1538" s="9" t="n">
        <v>826043</v>
      </c>
      <c r="B1538" s="9" t="inlineStr">
        <is>
          <t>Riley Nelson</t>
        </is>
      </c>
      <c r="C1538" s="9" t="inlineStr">
        <is>
          <t>CLE</t>
        </is>
      </c>
      <c r="D1538" s="9" t="n">
        <v>25</v>
      </c>
      <c r="E1538" s="16" t="inlineStr">
        <is>
          <t>L</t>
        </is>
      </c>
      <c r="F1538" s="16" t="n"/>
      <c r="G1538" s="9" t="n">
        <v>13.33333333333334</v>
      </c>
      <c r="H1538" s="9" t="n">
        <v>13.33333333333334</v>
      </c>
      <c r="I1538" s="9" t="inlineStr">
        <is>
          <t>Depth (no MLB PA)</t>
        </is>
      </c>
      <c r="J1538" s="16" t="inlineStr">
        <is>
          <t>Opening Day</t>
        </is>
      </c>
      <c r="K1538" s="11">
        <f>IFERROR(INDEX(Roles!$B$17:$B$20,MATCH(J1538,Roles!$A$17:$A$20,0)),1)</f>
        <v/>
      </c>
      <c r="L1538" s="17" t="n">
        <v>1</v>
      </c>
      <c r="M1538" s="11" t="n">
        <v>1</v>
      </c>
      <c r="N1538" s="17" t="n"/>
      <c r="O1538" s="17" t="n"/>
      <c r="P1538" s="17" t="n"/>
      <c r="Q1538" s="17" t="n"/>
      <c r="R1538" s="17" t="n"/>
      <c r="S1538" s="17" t="n"/>
      <c r="T1538" s="17" t="n"/>
      <c r="U1538" s="17" t="n"/>
      <c r="V1538" s="17" t="n"/>
      <c r="W1538" s="17" t="n"/>
      <c r="X1538" s="17" t="n"/>
      <c r="Y1538" s="17" t="n">
        <v>1</v>
      </c>
      <c r="Z1538" s="13">
        <f>SUMPRODUCT(N1538:Y1538,$N$2:$Y$2)*$K1538*$L1538*$M1538</f>
        <v/>
      </c>
      <c r="AA1538" s="14">
        <f>SUM(N1538:Y1538)</f>
        <v/>
      </c>
      <c r="AB1538" s="14">
        <f>IFERROR(IF(UPPER($E1538)="L",SUMPRODUCT(N1538:Y1538,$N$3:$Y$3,$N$2:$Y$2),SUMPRODUCT(N1538:Y1538,$N$4:$Y$4,$N$2:$Y$2))/(Z1538/($K1538*$L1538*$M1538)),"")</f>
        <v/>
      </c>
      <c r="AC1538" s="18" t="n"/>
    </row>
    <row r="1539">
      <c r="A1539" s="9" t="n">
        <v>807975</v>
      </c>
      <c r="B1539" s="9" t="inlineStr">
        <is>
          <t>Yeiker Reyes</t>
        </is>
      </c>
      <c r="C1539" s="9" t="inlineStr">
        <is>
          <t>COL</t>
        </is>
      </c>
      <c r="D1539" s="9" t="n">
        <v>25</v>
      </c>
      <c r="E1539" s="16" t="inlineStr">
        <is>
          <t>L</t>
        </is>
      </c>
      <c r="F1539" s="16" t="n"/>
      <c r="G1539" s="9" t="n">
        <v>15.75384615384616</v>
      </c>
      <c r="H1539" s="9" t="n">
        <v>15.75384615384616</v>
      </c>
      <c r="I1539" s="9" t="inlineStr">
        <is>
          <t>Depth (no MLB PA)</t>
        </is>
      </c>
      <c r="J1539" s="16" t="inlineStr">
        <is>
          <t>Opening Day</t>
        </is>
      </c>
      <c r="K1539" s="11">
        <f>IFERROR(INDEX(Roles!$B$17:$B$20,MATCH(J1539,Roles!$A$17:$A$20,0)),1)</f>
        <v/>
      </c>
      <c r="L1539" s="17" t="n">
        <v>1</v>
      </c>
      <c r="M1539" s="11" t="n">
        <v>1</v>
      </c>
      <c r="N1539" s="17" t="n"/>
      <c r="O1539" s="17" t="n"/>
      <c r="P1539" s="17" t="n"/>
      <c r="Q1539" s="17" t="n"/>
      <c r="R1539" s="17" t="n"/>
      <c r="S1539" s="17" t="n"/>
      <c r="T1539" s="17" t="n"/>
      <c r="U1539" s="17" t="n"/>
      <c r="V1539" s="17" t="n"/>
      <c r="W1539" s="17" t="n"/>
      <c r="X1539" s="17" t="n"/>
      <c r="Y1539" s="17" t="n">
        <v>1</v>
      </c>
      <c r="Z1539" s="13">
        <f>SUMPRODUCT(N1539:Y1539,$N$2:$Y$2)*$K1539*$L1539*$M1539</f>
        <v/>
      </c>
      <c r="AA1539" s="14">
        <f>SUM(N1539:Y1539)</f>
        <v/>
      </c>
      <c r="AB1539" s="14">
        <f>IFERROR(IF(UPPER($E1539)="L",SUMPRODUCT(N1539:Y1539,$N$3:$Y$3,$N$2:$Y$2),SUMPRODUCT(N1539:Y1539,$N$4:$Y$4,$N$2:$Y$2))/(Z1539/($K1539*$L1539*$M1539)),"")</f>
        <v/>
      </c>
      <c r="AC1539" s="18" t="n"/>
    </row>
    <row r="1540">
      <c r="A1540" s="9" t="n">
        <v>806867</v>
      </c>
      <c r="B1540" s="9" t="inlineStr">
        <is>
          <t>Abel Lorenzo</t>
        </is>
      </c>
      <c r="C1540" s="9" t="inlineStr">
        <is>
          <t>LAD</t>
        </is>
      </c>
      <c r="D1540" s="9" t="n">
        <v>25</v>
      </c>
      <c r="E1540" s="16" t="inlineStr">
        <is>
          <t>L</t>
        </is>
      </c>
      <c r="F1540" s="16" t="n"/>
      <c r="G1540" s="9" t="n">
        <v>15.87692307692308</v>
      </c>
      <c r="H1540" s="9" t="n">
        <v>15.87692307692308</v>
      </c>
      <c r="I1540" s="9" t="inlineStr">
        <is>
          <t>Depth (no MLB PA)</t>
        </is>
      </c>
      <c r="J1540" s="16" t="inlineStr">
        <is>
          <t>Opening Day</t>
        </is>
      </c>
      <c r="K1540" s="11">
        <f>IFERROR(INDEX(Roles!$B$17:$B$20,MATCH(J1540,Roles!$A$17:$A$20,0)),1)</f>
        <v/>
      </c>
      <c r="L1540" s="17" t="n">
        <v>1</v>
      </c>
      <c r="M1540" s="11" t="n">
        <v>1</v>
      </c>
      <c r="N1540" s="17" t="n"/>
      <c r="O1540" s="17" t="n"/>
      <c r="P1540" s="17" t="n"/>
      <c r="Q1540" s="17" t="n"/>
      <c r="R1540" s="17" t="n"/>
      <c r="S1540" s="17" t="n"/>
      <c r="T1540" s="17" t="n"/>
      <c r="U1540" s="17" t="n"/>
      <c r="V1540" s="17" t="n"/>
      <c r="W1540" s="17" t="n"/>
      <c r="X1540" s="17" t="n"/>
      <c r="Y1540" s="17" t="n">
        <v>1</v>
      </c>
      <c r="Z1540" s="13">
        <f>SUMPRODUCT(N1540:Y1540,$N$2:$Y$2)*$K1540*$L1540*$M1540</f>
        <v/>
      </c>
      <c r="AA1540" s="14">
        <f>SUM(N1540:Y1540)</f>
        <v/>
      </c>
      <c r="AB1540" s="14">
        <f>IFERROR(IF(UPPER($E1540)="L",SUMPRODUCT(N1540:Y1540,$N$3:$Y$3,$N$2:$Y$2),SUMPRODUCT(N1540:Y1540,$N$4:$Y$4,$N$2:$Y$2))/(Z1540/($K1540*$L1540*$M1540)),"")</f>
        <v/>
      </c>
      <c r="AC1540" s="18" t="n"/>
    </row>
    <row r="1541">
      <c r="A1541" s="9" t="n">
        <v>805416</v>
      </c>
      <c r="B1541" s="9" t="inlineStr">
        <is>
          <t>Will Vierling</t>
        </is>
      </c>
      <c r="C1541" s="9" t="inlineStr">
        <is>
          <t>PHI</t>
        </is>
      </c>
      <c r="D1541" s="9" t="n">
        <v>25</v>
      </c>
      <c r="E1541" s="16" t="inlineStr">
        <is>
          <t>L</t>
        </is>
      </c>
      <c r="F1541" s="16" t="n"/>
      <c r="G1541" s="9" t="n">
        <v>33.96923076923077</v>
      </c>
      <c r="H1541" s="9" t="n">
        <v>33.96923076923077</v>
      </c>
      <c r="I1541" s="9" t="inlineStr">
        <is>
          <t>Depth (no MLB PA)</t>
        </is>
      </c>
      <c r="J1541" s="16" t="inlineStr">
        <is>
          <t>Opening Day</t>
        </is>
      </c>
      <c r="K1541" s="11">
        <f>IFERROR(INDEX(Roles!$B$17:$B$20,MATCH(J1541,Roles!$A$17:$A$20,0)),1)</f>
        <v/>
      </c>
      <c r="L1541" s="17" t="n">
        <v>1</v>
      </c>
      <c r="M1541" s="11" t="n">
        <v>1</v>
      </c>
      <c r="N1541" s="17" t="n"/>
      <c r="O1541" s="17" t="n"/>
      <c r="P1541" s="17" t="n"/>
      <c r="Q1541" s="17" t="n"/>
      <c r="R1541" s="17" t="n"/>
      <c r="S1541" s="17" t="n"/>
      <c r="T1541" s="17" t="n"/>
      <c r="U1541" s="17" t="n"/>
      <c r="V1541" s="17" t="n"/>
      <c r="W1541" s="17" t="n"/>
      <c r="X1541" s="17" t="n"/>
      <c r="Y1541" s="17" t="n">
        <v>1</v>
      </c>
      <c r="Z1541" s="13">
        <f>SUMPRODUCT(N1541:Y1541,$N$2:$Y$2)*$K1541*$L1541*$M1541</f>
        <v/>
      </c>
      <c r="AA1541" s="14">
        <f>SUM(N1541:Y1541)</f>
        <v/>
      </c>
      <c r="AB1541" s="14">
        <f>IFERROR(IF(UPPER($E1541)="L",SUMPRODUCT(N1541:Y1541,$N$3:$Y$3,$N$2:$Y$2),SUMPRODUCT(N1541:Y1541,$N$4:$Y$4,$N$2:$Y$2))/(Z1541/($K1541*$L1541*$M1541)),"")</f>
        <v/>
      </c>
      <c r="AC1541" s="18" t="n"/>
    </row>
    <row r="1542">
      <c r="A1542" s="9" t="n">
        <v>694188</v>
      </c>
      <c r="B1542" s="9" t="inlineStr">
        <is>
          <t>Jesus Galiz</t>
        </is>
      </c>
      <c r="C1542" s="9" t="inlineStr">
        <is>
          <t>LAD</t>
        </is>
      </c>
      <c r="D1542" s="9" t="n">
        <v>25</v>
      </c>
      <c r="E1542" s="16" t="inlineStr">
        <is>
          <t>R</t>
        </is>
      </c>
      <c r="F1542" s="16" t="n"/>
      <c r="G1542" s="9" t="n">
        <v>13.74358974358974</v>
      </c>
      <c r="H1542" s="9" t="n">
        <v>13.74358974358974</v>
      </c>
      <c r="I1542" s="9" t="inlineStr">
        <is>
          <t>Depth (no MLB PA)</t>
        </is>
      </c>
      <c r="J1542" s="16" t="inlineStr">
        <is>
          <t>Opening Day</t>
        </is>
      </c>
      <c r="K1542" s="11">
        <f>IFERROR(INDEX(Roles!$B$17:$B$20,MATCH(J1542,Roles!$A$17:$A$20,0)),1)</f>
        <v/>
      </c>
      <c r="L1542" s="17" t="n">
        <v>1</v>
      </c>
      <c r="M1542" s="11" t="n">
        <v>1</v>
      </c>
      <c r="N1542" s="17" t="n"/>
      <c r="O1542" s="17" t="n"/>
      <c r="P1542" s="17" t="n"/>
      <c r="Q1542" s="17" t="n"/>
      <c r="R1542" s="17" t="n"/>
      <c r="S1542" s="17" t="n"/>
      <c r="T1542" s="17" t="n"/>
      <c r="U1542" s="17" t="n"/>
      <c r="V1542" s="17" t="n"/>
      <c r="W1542" s="17" t="n"/>
      <c r="X1542" s="17" t="n"/>
      <c r="Y1542" s="17" t="n">
        <v>1</v>
      </c>
      <c r="Z1542" s="13">
        <f>SUMPRODUCT(N1542:Y1542,$N$2:$Y$2)*$K1542*$L1542*$M1542</f>
        <v/>
      </c>
      <c r="AA1542" s="14">
        <f>SUM(N1542:Y1542)</f>
        <v/>
      </c>
      <c r="AB1542" s="14">
        <f>IFERROR(IF(UPPER($E1542)="L",SUMPRODUCT(N1542:Y1542,$N$3:$Y$3,$N$2:$Y$2),SUMPRODUCT(N1542:Y1542,$N$4:$Y$4,$N$2:$Y$2))/(Z1542/($K1542*$L1542*$M1542)),"")</f>
        <v/>
      </c>
      <c r="AC1542" s="18" t="n"/>
    </row>
    <row r="1543">
      <c r="A1543" s="9" t="n">
        <v>701796</v>
      </c>
      <c r="B1543" s="9" t="inlineStr">
        <is>
          <t>Will Cresswell</t>
        </is>
      </c>
      <c r="C1543" s="9" t="inlineStr">
        <is>
          <t>TOR</t>
        </is>
      </c>
      <c r="D1543" s="9" t="n">
        <v>25</v>
      </c>
      <c r="E1543" s="16" t="inlineStr">
        <is>
          <t>R</t>
        </is>
      </c>
      <c r="F1543" s="16" t="n"/>
      <c r="G1543" s="9" t="n">
        <v>15.38461538461538</v>
      </c>
      <c r="H1543" s="9" t="n">
        <v>15.38461538461538</v>
      </c>
      <c r="I1543" s="9" t="inlineStr">
        <is>
          <t>Depth (no MLB PA)</t>
        </is>
      </c>
      <c r="J1543" s="16" t="inlineStr">
        <is>
          <t>Opening Day</t>
        </is>
      </c>
      <c r="K1543" s="11">
        <f>IFERROR(INDEX(Roles!$B$17:$B$20,MATCH(J1543,Roles!$A$17:$A$20,0)),1)</f>
        <v/>
      </c>
      <c r="L1543" s="17" t="n">
        <v>1</v>
      </c>
      <c r="M1543" s="11" t="n">
        <v>1</v>
      </c>
      <c r="N1543" s="17" t="n"/>
      <c r="O1543" s="17" t="n"/>
      <c r="P1543" s="17" t="n"/>
      <c r="Q1543" s="17" t="n"/>
      <c r="R1543" s="17" t="n"/>
      <c r="S1543" s="17" t="n"/>
      <c r="T1543" s="17" t="n"/>
      <c r="U1543" s="17" t="n"/>
      <c r="V1543" s="17" t="n"/>
      <c r="W1543" s="17" t="n"/>
      <c r="X1543" s="17" t="n"/>
      <c r="Y1543" s="17" t="n">
        <v>1</v>
      </c>
      <c r="Z1543" s="13">
        <f>SUMPRODUCT(N1543:Y1543,$N$2:$Y$2)*$K1543*$L1543*$M1543</f>
        <v/>
      </c>
      <c r="AA1543" s="14">
        <f>SUM(N1543:Y1543)</f>
        <v/>
      </c>
      <c r="AB1543" s="14">
        <f>IFERROR(IF(UPPER($E1543)="L",SUMPRODUCT(N1543:Y1543,$N$3:$Y$3,$N$2:$Y$2),SUMPRODUCT(N1543:Y1543,$N$4:$Y$4,$N$2:$Y$2))/(Z1543/($K1543*$L1543*$M1543)),"")</f>
        <v/>
      </c>
      <c r="AC1543" s="18" t="n"/>
    </row>
    <row r="1544">
      <c r="A1544" s="9" t="n">
        <v>698916</v>
      </c>
      <c r="B1544" s="9" t="inlineStr">
        <is>
          <t>Rosman Verdugo</t>
        </is>
      </c>
      <c r="C1544" s="9" t="inlineStr">
        <is>
          <t>SD</t>
        </is>
      </c>
      <c r="D1544" s="9" t="n">
        <v>25</v>
      </c>
      <c r="E1544" s="16" t="inlineStr">
        <is>
          <t>R</t>
        </is>
      </c>
      <c r="F1544" s="16" t="n"/>
      <c r="G1544" s="9" t="n">
        <v>13.53846153846154</v>
      </c>
      <c r="H1544" s="9" t="n">
        <v>13.53846153846154</v>
      </c>
      <c r="I1544" s="9" t="inlineStr">
        <is>
          <t>Depth (no MLB PA)</t>
        </is>
      </c>
      <c r="J1544" s="16" t="inlineStr">
        <is>
          <t>Opening Day</t>
        </is>
      </c>
      <c r="K1544" s="11">
        <f>IFERROR(INDEX(Roles!$B$17:$B$20,MATCH(J1544,Roles!$A$17:$A$20,0)),1)</f>
        <v/>
      </c>
      <c r="L1544" s="17" t="n">
        <v>1</v>
      </c>
      <c r="M1544" s="11" t="n">
        <v>1</v>
      </c>
      <c r="N1544" s="17" t="n"/>
      <c r="O1544" s="17" t="n"/>
      <c r="P1544" s="17" t="n"/>
      <c r="Q1544" s="17" t="n"/>
      <c r="R1544" s="17" t="n"/>
      <c r="S1544" s="17" t="n"/>
      <c r="T1544" s="17" t="n"/>
      <c r="U1544" s="17" t="n"/>
      <c r="V1544" s="17" t="n"/>
      <c r="W1544" s="17" t="n"/>
      <c r="X1544" s="17" t="n"/>
      <c r="Y1544" s="17" t="n">
        <v>1</v>
      </c>
      <c r="Z1544" s="13">
        <f>SUMPRODUCT(N1544:Y1544,$N$2:$Y$2)*$K1544*$L1544*$M1544</f>
        <v/>
      </c>
      <c r="AA1544" s="14">
        <f>SUM(N1544:Y1544)</f>
        <v/>
      </c>
      <c r="AB1544" s="14">
        <f>IFERROR(IF(UPPER($E1544)="L",SUMPRODUCT(N1544:Y1544,$N$3:$Y$3,$N$2:$Y$2),SUMPRODUCT(N1544:Y1544,$N$4:$Y$4,$N$2:$Y$2))/(Z1544/($K1544*$L1544*$M1544)),"")</f>
        <v/>
      </c>
      <c r="AC1544" s="18" t="n"/>
    </row>
    <row r="1545">
      <c r="A1545" s="9" t="n">
        <v>800610</v>
      </c>
      <c r="B1545" s="9" t="inlineStr">
        <is>
          <t>Roman Martin</t>
        </is>
      </c>
      <c r="C1545" s="9" t="inlineStr">
        <is>
          <t>OAK</t>
        </is>
      </c>
      <c r="D1545" s="9" t="n">
        <v>25</v>
      </c>
      <c r="E1545" s="16" t="inlineStr">
        <is>
          <t>R</t>
        </is>
      </c>
      <c r="F1545" s="16" t="n"/>
      <c r="G1545" s="9" t="n">
        <v>13.66153846153846</v>
      </c>
      <c r="H1545" s="9" t="n">
        <v>13.66153846153846</v>
      </c>
      <c r="I1545" s="9" t="inlineStr">
        <is>
          <t>Depth (no MLB PA)</t>
        </is>
      </c>
      <c r="J1545" s="16" t="inlineStr">
        <is>
          <t>Opening Day</t>
        </is>
      </c>
      <c r="K1545" s="11">
        <f>IFERROR(INDEX(Roles!$B$17:$B$20,MATCH(J1545,Roles!$A$17:$A$20,0)),1)</f>
        <v/>
      </c>
      <c r="L1545" s="17" t="n">
        <v>1</v>
      </c>
      <c r="M1545" s="11" t="n">
        <v>1</v>
      </c>
      <c r="N1545" s="17" t="n"/>
      <c r="O1545" s="17" t="n"/>
      <c r="P1545" s="17" t="n"/>
      <c r="Q1545" s="17" t="n"/>
      <c r="R1545" s="17" t="n"/>
      <c r="S1545" s="17" t="n"/>
      <c r="T1545" s="17" t="n"/>
      <c r="U1545" s="17" t="n"/>
      <c r="V1545" s="17" t="n"/>
      <c r="W1545" s="17" t="n"/>
      <c r="X1545" s="17" t="n"/>
      <c r="Y1545" s="17" t="n">
        <v>1</v>
      </c>
      <c r="Z1545" s="13">
        <f>SUMPRODUCT(N1545:Y1545,$N$2:$Y$2)*$K1545*$L1545*$M1545</f>
        <v/>
      </c>
      <c r="AA1545" s="14">
        <f>SUM(N1545:Y1545)</f>
        <v/>
      </c>
      <c r="AB1545" s="14">
        <f>IFERROR(IF(UPPER($E1545)="L",SUMPRODUCT(N1545:Y1545,$N$3:$Y$3,$N$2:$Y$2),SUMPRODUCT(N1545:Y1545,$N$4:$Y$4,$N$2:$Y$2))/(Z1545/($K1545*$L1545*$M1545)),"")</f>
        <v/>
      </c>
      <c r="AC1545" s="18" t="n"/>
    </row>
    <row r="1546">
      <c r="A1546" s="9" t="n">
        <v>694281</v>
      </c>
      <c r="B1546" s="9" t="inlineStr">
        <is>
          <t>Tomas Frick</t>
        </is>
      </c>
      <c r="C1546" s="9" t="inlineStr">
        <is>
          <t>NYY</t>
        </is>
      </c>
      <c r="D1546" s="9" t="n">
        <v>25</v>
      </c>
      <c r="E1546" s="16" t="inlineStr">
        <is>
          <t>R</t>
        </is>
      </c>
      <c r="F1546" s="16" t="n"/>
      <c r="G1546" s="9" t="n">
        <v>22.97435897435897</v>
      </c>
      <c r="H1546" s="9" t="n">
        <v>22.97435897435897</v>
      </c>
      <c r="I1546" s="9" t="inlineStr">
        <is>
          <t>Depth (no MLB PA)</t>
        </is>
      </c>
      <c r="J1546" s="16" t="inlineStr">
        <is>
          <t>Opening Day</t>
        </is>
      </c>
      <c r="K1546" s="11">
        <f>IFERROR(INDEX(Roles!$B$17:$B$20,MATCH(J1546,Roles!$A$17:$A$20,0)),1)</f>
        <v/>
      </c>
      <c r="L1546" s="17" t="n">
        <v>1</v>
      </c>
      <c r="M1546" s="11" t="n">
        <v>1</v>
      </c>
      <c r="N1546" s="17" t="n"/>
      <c r="O1546" s="17" t="n"/>
      <c r="P1546" s="17" t="n"/>
      <c r="Q1546" s="17" t="n"/>
      <c r="R1546" s="17" t="n"/>
      <c r="S1546" s="17" t="n"/>
      <c r="T1546" s="17" t="n"/>
      <c r="U1546" s="17" t="n"/>
      <c r="V1546" s="17" t="n"/>
      <c r="W1546" s="17" t="n"/>
      <c r="X1546" s="17" t="n"/>
      <c r="Y1546" s="17" t="n">
        <v>1</v>
      </c>
      <c r="Z1546" s="13">
        <f>SUMPRODUCT(N1546:Y1546,$N$2:$Y$2)*$K1546*$L1546*$M1546</f>
        <v/>
      </c>
      <c r="AA1546" s="14">
        <f>SUM(N1546:Y1546)</f>
        <v/>
      </c>
      <c r="AB1546" s="14">
        <f>IFERROR(IF(UPPER($E1546)="L",SUMPRODUCT(N1546:Y1546,$N$3:$Y$3,$N$2:$Y$2),SUMPRODUCT(N1546:Y1546,$N$4:$Y$4,$N$2:$Y$2))/(Z1546/($K1546*$L1546*$M1546)),"")</f>
        <v/>
      </c>
      <c r="AC1546" s="18" t="n"/>
    </row>
    <row r="1547">
      <c r="A1547" s="9" t="n">
        <v>687152</v>
      </c>
      <c r="B1547" s="9" t="inlineStr">
        <is>
          <t>Darrien Miller</t>
        </is>
      </c>
      <c r="C1547" s="9" t="inlineStr">
        <is>
          <t>MIL</t>
        </is>
      </c>
      <c r="D1547" s="9" t="n">
        <v>25</v>
      </c>
      <c r="E1547" s="16" t="inlineStr">
        <is>
          <t>L</t>
        </is>
      </c>
      <c r="F1547" s="16" t="n"/>
      <c r="G1547" s="9" t="n">
        <v>45.6923076923077</v>
      </c>
      <c r="H1547" s="9" t="n">
        <v>45.6923076923077</v>
      </c>
      <c r="I1547" s="9" t="inlineStr">
        <is>
          <t>Depth (no MLB PA)</t>
        </is>
      </c>
      <c r="J1547" s="16" t="inlineStr">
        <is>
          <t>Opening Day</t>
        </is>
      </c>
      <c r="K1547" s="11">
        <f>IFERROR(INDEX(Roles!$B$17:$B$20,MATCH(J1547,Roles!$A$17:$A$20,0)),1)</f>
        <v/>
      </c>
      <c r="L1547" s="17" t="n">
        <v>1</v>
      </c>
      <c r="M1547" s="11" t="n">
        <v>1</v>
      </c>
      <c r="N1547" s="17" t="n"/>
      <c r="O1547" s="17" t="n"/>
      <c r="P1547" s="17" t="n"/>
      <c r="Q1547" s="17" t="n"/>
      <c r="R1547" s="17" t="n"/>
      <c r="S1547" s="17" t="n"/>
      <c r="T1547" s="17" t="n"/>
      <c r="U1547" s="17" t="n"/>
      <c r="V1547" s="17" t="n"/>
      <c r="W1547" s="17" t="n"/>
      <c r="X1547" s="17" t="n"/>
      <c r="Y1547" s="17" t="n">
        <v>1</v>
      </c>
      <c r="Z1547" s="13">
        <f>SUMPRODUCT(N1547:Y1547,$N$2:$Y$2)*$K1547*$L1547*$M1547</f>
        <v/>
      </c>
      <c r="AA1547" s="14">
        <f>SUM(N1547:Y1547)</f>
        <v/>
      </c>
      <c r="AB1547" s="14">
        <f>IFERROR(IF(UPPER($E1547)="L",SUMPRODUCT(N1547:Y1547,$N$3:$Y$3,$N$2:$Y$2),SUMPRODUCT(N1547:Y1547,$N$4:$Y$4,$N$2:$Y$2))/(Z1547/($K1547*$L1547*$M1547)),"")</f>
        <v/>
      </c>
      <c r="AC1547" s="18" t="n"/>
    </row>
    <row r="1548">
      <c r="A1548" s="9" t="n">
        <v>686958</v>
      </c>
      <c r="B1548" s="9" t="inlineStr">
        <is>
          <t>Jose Torres</t>
        </is>
      </c>
      <c r="C1548" s="9" t="inlineStr">
        <is>
          <t>COL</t>
        </is>
      </c>
      <c r="D1548" s="9" t="n">
        <v>25</v>
      </c>
      <c r="E1548" s="16" t="inlineStr">
        <is>
          <t>R</t>
        </is>
      </c>
      <c r="F1548" s="16" t="n"/>
      <c r="G1548" s="9" t="n">
        <v>73.58974358974358</v>
      </c>
      <c r="H1548" s="9" t="n">
        <v>73.58974358974358</v>
      </c>
      <c r="I1548" s="9" t="inlineStr">
        <is>
          <t>Depth (no MLB PA)</t>
        </is>
      </c>
      <c r="J1548" s="16" t="inlineStr">
        <is>
          <t>Opening Day</t>
        </is>
      </c>
      <c r="K1548" s="11">
        <f>IFERROR(INDEX(Roles!$B$17:$B$20,MATCH(J1548,Roles!$A$17:$A$20,0)),1)</f>
        <v/>
      </c>
      <c r="L1548" s="17" t="n">
        <v>1</v>
      </c>
      <c r="M1548" s="11" t="n">
        <v>1</v>
      </c>
      <c r="N1548" s="17" t="n"/>
      <c r="O1548" s="17" t="n"/>
      <c r="P1548" s="17" t="n"/>
      <c r="Q1548" s="17" t="n"/>
      <c r="R1548" s="17" t="n"/>
      <c r="S1548" s="17" t="n"/>
      <c r="T1548" s="17" t="n"/>
      <c r="U1548" s="17" t="n"/>
      <c r="V1548" s="17" t="n"/>
      <c r="W1548" s="17" t="n"/>
      <c r="X1548" s="17" t="n"/>
      <c r="Y1548" s="17" t="n">
        <v>1</v>
      </c>
      <c r="Z1548" s="13">
        <f>SUMPRODUCT(N1548:Y1548,$N$2:$Y$2)*$K1548*$L1548*$M1548</f>
        <v/>
      </c>
      <c r="AA1548" s="14">
        <f>SUM(N1548:Y1548)</f>
        <v/>
      </c>
      <c r="AB1548" s="14">
        <f>IFERROR(IF(UPPER($E1548)="L",SUMPRODUCT(N1548:Y1548,$N$3:$Y$3,$N$2:$Y$2),SUMPRODUCT(N1548:Y1548,$N$4:$Y$4,$N$2:$Y$2))/(Z1548/($K1548*$L1548*$M1548)),"")</f>
        <v/>
      </c>
      <c r="AC1548" s="18" t="n"/>
    </row>
    <row r="1549">
      <c r="A1549" s="9" t="n">
        <v>703804</v>
      </c>
      <c r="B1549" s="9" t="inlineStr">
        <is>
          <t>Romeo Sanabria</t>
        </is>
      </c>
      <c r="C1549" s="9" t="inlineStr">
        <is>
          <t>SD</t>
        </is>
      </c>
      <c r="D1549" s="9" t="n">
        <v>25</v>
      </c>
      <c r="E1549" s="16" t="inlineStr">
        <is>
          <t>L</t>
        </is>
      </c>
      <c r="F1549" s="16" t="n"/>
      <c r="G1549" s="9" t="n">
        <v>46.25641025641026</v>
      </c>
      <c r="H1549" s="9" t="n">
        <v>46.25641025641026</v>
      </c>
      <c r="I1549" s="9" t="inlineStr">
        <is>
          <t>Depth (no MLB PA)</t>
        </is>
      </c>
      <c r="J1549" s="16" t="inlineStr">
        <is>
          <t>Opening Day</t>
        </is>
      </c>
      <c r="K1549" s="11">
        <f>IFERROR(INDEX(Roles!$B$17:$B$20,MATCH(J1549,Roles!$A$17:$A$20,0)),1)</f>
        <v/>
      </c>
      <c r="L1549" s="17" t="n">
        <v>1</v>
      </c>
      <c r="M1549" s="11" t="n">
        <v>1</v>
      </c>
      <c r="N1549" s="17" t="n"/>
      <c r="O1549" s="17" t="n"/>
      <c r="P1549" s="17" t="n"/>
      <c r="Q1549" s="17" t="n"/>
      <c r="R1549" s="17" t="n"/>
      <c r="S1549" s="17" t="n"/>
      <c r="T1549" s="17" t="n"/>
      <c r="U1549" s="17" t="n"/>
      <c r="V1549" s="17" t="n"/>
      <c r="W1549" s="17" t="n"/>
      <c r="X1549" s="17" t="n"/>
      <c r="Y1549" s="17" t="n">
        <v>1</v>
      </c>
      <c r="Z1549" s="13">
        <f>SUMPRODUCT(N1549:Y1549,$N$2:$Y$2)*$K1549*$L1549*$M1549</f>
        <v/>
      </c>
      <c r="AA1549" s="14">
        <f>SUM(N1549:Y1549)</f>
        <v/>
      </c>
      <c r="AB1549" s="14">
        <f>IFERROR(IF(UPPER($E1549)="L",SUMPRODUCT(N1549:Y1549,$N$3:$Y$3,$N$2:$Y$2),SUMPRODUCT(N1549:Y1549,$N$4:$Y$4,$N$2:$Y$2))/(Z1549/($K1549*$L1549*$M1549)),"")</f>
        <v/>
      </c>
      <c r="AC1549" s="18" t="n"/>
    </row>
    <row r="1550">
      <c r="A1550" s="9" t="n">
        <v>703430</v>
      </c>
      <c r="B1550" s="9" t="inlineStr">
        <is>
          <t>Anthony Scull</t>
        </is>
      </c>
      <c r="C1550" s="9" t="inlineStr">
        <is>
          <t>LAA</t>
        </is>
      </c>
      <c r="D1550" s="9" t="n">
        <v>25</v>
      </c>
      <c r="E1550" s="16" t="inlineStr">
        <is>
          <t>L</t>
        </is>
      </c>
      <c r="F1550" s="16" t="n"/>
      <c r="G1550" s="9" t="n">
        <v>57.7948717948718</v>
      </c>
      <c r="H1550" s="9" t="n">
        <v>57.7948717948718</v>
      </c>
      <c r="I1550" s="9" t="inlineStr">
        <is>
          <t>Depth (no MLB PA)</t>
        </is>
      </c>
      <c r="J1550" s="16" t="inlineStr">
        <is>
          <t>Opening Day</t>
        </is>
      </c>
      <c r="K1550" s="11">
        <f>IFERROR(INDEX(Roles!$B$17:$B$20,MATCH(J1550,Roles!$A$17:$A$20,0)),1)</f>
        <v/>
      </c>
      <c r="L1550" s="17" t="n">
        <v>1</v>
      </c>
      <c r="M1550" s="11" t="n">
        <v>1</v>
      </c>
      <c r="N1550" s="17" t="n"/>
      <c r="O1550" s="17" t="n"/>
      <c r="P1550" s="17" t="n"/>
      <c r="Q1550" s="17" t="n"/>
      <c r="R1550" s="17" t="n"/>
      <c r="S1550" s="17" t="n"/>
      <c r="T1550" s="17" t="n"/>
      <c r="U1550" s="17" t="n"/>
      <c r="V1550" s="17" t="n"/>
      <c r="W1550" s="17" t="n"/>
      <c r="X1550" s="17" t="n"/>
      <c r="Y1550" s="17" t="n">
        <v>1</v>
      </c>
      <c r="Z1550" s="13">
        <f>SUMPRODUCT(N1550:Y1550,$N$2:$Y$2)*$K1550*$L1550*$M1550</f>
        <v/>
      </c>
      <c r="AA1550" s="14">
        <f>SUM(N1550:Y1550)</f>
        <v/>
      </c>
      <c r="AB1550" s="14">
        <f>IFERROR(IF(UPPER($E1550)="L",SUMPRODUCT(N1550:Y1550,$N$3:$Y$3,$N$2:$Y$2),SUMPRODUCT(N1550:Y1550,$N$4:$Y$4,$N$2:$Y$2))/(Z1550/($K1550*$L1550*$M1550)),"")</f>
        <v/>
      </c>
      <c r="AC1550" s="18" t="n"/>
    </row>
    <row r="1551">
      <c r="A1551" s="9" t="n">
        <v>694320</v>
      </c>
      <c r="B1551" s="9" t="inlineStr">
        <is>
          <t>Jack Costello</t>
        </is>
      </c>
      <c r="C1551" s="9" t="inlineStr">
        <is>
          <t>SD</t>
        </is>
      </c>
      <c r="D1551" s="9" t="n">
        <v>25</v>
      </c>
      <c r="E1551" s="16" t="inlineStr">
        <is>
          <t>R</t>
        </is>
      </c>
      <c r="F1551" s="16" t="n"/>
      <c r="G1551" s="9" t="n">
        <v>32.66666666666666</v>
      </c>
      <c r="H1551" s="9" t="n">
        <v>32.66666666666666</v>
      </c>
      <c r="I1551" s="9" t="inlineStr">
        <is>
          <t>Depth (no MLB PA)</t>
        </is>
      </c>
      <c r="J1551" s="16" t="inlineStr">
        <is>
          <t>Opening Day</t>
        </is>
      </c>
      <c r="K1551" s="11">
        <f>IFERROR(INDEX(Roles!$B$17:$B$20,MATCH(J1551,Roles!$A$17:$A$20,0)),1)</f>
        <v/>
      </c>
      <c r="L1551" s="17" t="n">
        <v>1</v>
      </c>
      <c r="M1551" s="11" t="n">
        <v>1</v>
      </c>
      <c r="N1551" s="17" t="n"/>
      <c r="O1551" s="17" t="n"/>
      <c r="P1551" s="17" t="n"/>
      <c r="Q1551" s="17" t="n"/>
      <c r="R1551" s="17" t="n"/>
      <c r="S1551" s="17" t="n"/>
      <c r="T1551" s="17" t="n"/>
      <c r="U1551" s="17" t="n"/>
      <c r="V1551" s="17" t="n"/>
      <c r="W1551" s="17" t="n"/>
      <c r="X1551" s="17" t="n"/>
      <c r="Y1551" s="17" t="n">
        <v>1</v>
      </c>
      <c r="Z1551" s="13">
        <f>SUMPRODUCT(N1551:Y1551,$N$2:$Y$2)*$K1551*$L1551*$M1551</f>
        <v/>
      </c>
      <c r="AA1551" s="14">
        <f>SUM(N1551:Y1551)</f>
        <v/>
      </c>
      <c r="AB1551" s="14">
        <f>IFERROR(IF(UPPER($E1551)="L",SUMPRODUCT(N1551:Y1551,$N$3:$Y$3,$N$2:$Y$2),SUMPRODUCT(N1551:Y1551,$N$4:$Y$4,$N$2:$Y$2))/(Z1551/($K1551*$L1551*$M1551)),"")</f>
        <v/>
      </c>
      <c r="AC1551" s="18" t="n"/>
    </row>
    <row r="1552">
      <c r="A1552" s="9" t="n">
        <v>702333</v>
      </c>
      <c r="B1552" s="9" t="inlineStr">
        <is>
          <t>Haydn McGeary</t>
        </is>
      </c>
      <c r="C1552" s="9" t="inlineStr">
        <is>
          <t>CHC</t>
        </is>
      </c>
      <c r="D1552" s="9" t="n">
        <v>25</v>
      </c>
      <c r="E1552" s="16" t="inlineStr">
        <is>
          <t>R</t>
        </is>
      </c>
      <c r="F1552" s="16" t="n"/>
      <c r="G1552" s="9" t="n">
        <v>13.64102564102564</v>
      </c>
      <c r="H1552" s="9" t="n">
        <v>13.64102564102564</v>
      </c>
      <c r="I1552" s="9" t="inlineStr">
        <is>
          <t>Depth (no MLB PA)</t>
        </is>
      </c>
      <c r="J1552" s="16" t="inlineStr">
        <is>
          <t>Opening Day</t>
        </is>
      </c>
      <c r="K1552" s="11">
        <f>IFERROR(INDEX(Roles!$B$17:$B$20,MATCH(J1552,Roles!$A$17:$A$20,0)),1)</f>
        <v/>
      </c>
      <c r="L1552" s="17" t="n">
        <v>1</v>
      </c>
      <c r="M1552" s="11" t="n">
        <v>1</v>
      </c>
      <c r="N1552" s="17" t="n"/>
      <c r="O1552" s="17" t="n"/>
      <c r="P1552" s="17" t="n"/>
      <c r="Q1552" s="17" t="n"/>
      <c r="R1552" s="17" t="n"/>
      <c r="S1552" s="17" t="n"/>
      <c r="T1552" s="17" t="n"/>
      <c r="U1552" s="17" t="n"/>
      <c r="V1552" s="17" t="n"/>
      <c r="W1552" s="17" t="n"/>
      <c r="X1552" s="17" t="n"/>
      <c r="Y1552" s="17" t="n">
        <v>1</v>
      </c>
      <c r="Z1552" s="13">
        <f>SUMPRODUCT(N1552:Y1552,$N$2:$Y$2)*$K1552*$L1552*$M1552</f>
        <v/>
      </c>
      <c r="AA1552" s="14">
        <f>SUM(N1552:Y1552)</f>
        <v/>
      </c>
      <c r="AB1552" s="14">
        <f>IFERROR(IF(UPPER($E1552)="L",SUMPRODUCT(N1552:Y1552,$N$3:$Y$3,$N$2:$Y$2),SUMPRODUCT(N1552:Y1552,$N$4:$Y$4,$N$2:$Y$2))/(Z1552/($K1552*$L1552*$M1552)),"")</f>
        <v/>
      </c>
      <c r="AC1552" s="18" t="n"/>
    </row>
    <row r="1553">
      <c r="A1553" s="9" t="n">
        <v>696286</v>
      </c>
      <c r="B1553" s="9" t="inlineStr">
        <is>
          <t>Davis Diaz</t>
        </is>
      </c>
      <c r="C1553" s="9" t="inlineStr">
        <is>
          <t>OAK</t>
        </is>
      </c>
      <c r="D1553" s="9" t="n">
        <v>25</v>
      </c>
      <c r="E1553" s="16" t="inlineStr">
        <is>
          <t>R</t>
        </is>
      </c>
      <c r="F1553" s="16" t="n"/>
      <c r="G1553" s="9" t="n">
        <v>45.6923076923077</v>
      </c>
      <c r="H1553" s="9" t="n">
        <v>45.6923076923077</v>
      </c>
      <c r="I1553" s="9" t="inlineStr">
        <is>
          <t>Depth (no MLB PA)</t>
        </is>
      </c>
      <c r="J1553" s="16" t="inlineStr">
        <is>
          <t>Opening Day</t>
        </is>
      </c>
      <c r="K1553" s="11">
        <f>IFERROR(INDEX(Roles!$B$17:$B$20,MATCH(J1553,Roles!$A$17:$A$20,0)),1)</f>
        <v/>
      </c>
      <c r="L1553" s="17" t="n">
        <v>1</v>
      </c>
      <c r="M1553" s="11" t="n">
        <v>1</v>
      </c>
      <c r="N1553" s="17" t="n"/>
      <c r="O1553" s="17" t="n"/>
      <c r="P1553" s="17" t="n"/>
      <c r="Q1553" s="17" t="n"/>
      <c r="R1553" s="17" t="n"/>
      <c r="S1553" s="17" t="n"/>
      <c r="T1553" s="17" t="n"/>
      <c r="U1553" s="17" t="n"/>
      <c r="V1553" s="17" t="n"/>
      <c r="W1553" s="17" t="n"/>
      <c r="X1553" s="17" t="n"/>
      <c r="Y1553" s="17" t="n">
        <v>1</v>
      </c>
      <c r="Z1553" s="13">
        <f>SUMPRODUCT(N1553:Y1553,$N$2:$Y$2)*$K1553*$L1553*$M1553</f>
        <v/>
      </c>
      <c r="AA1553" s="14">
        <f>SUM(N1553:Y1553)</f>
        <v/>
      </c>
      <c r="AB1553" s="14">
        <f>IFERROR(IF(UPPER($E1553)="L",SUMPRODUCT(N1553:Y1553,$N$3:$Y$3,$N$2:$Y$2),SUMPRODUCT(N1553:Y1553,$N$4:$Y$4,$N$2:$Y$2))/(Z1553/($K1553*$L1553*$M1553)),"")</f>
        <v/>
      </c>
      <c r="AC1553" s="18" t="n"/>
    </row>
    <row r="1554">
      <c r="A1554" s="9" t="n">
        <v>703157</v>
      </c>
      <c r="B1554" s="9" t="inlineStr">
        <is>
          <t>Javier Osorio</t>
        </is>
      </c>
      <c r="C1554" s="9" t="inlineStr">
        <is>
          <t>DET</t>
        </is>
      </c>
      <c r="D1554" s="9" t="n">
        <v>25</v>
      </c>
      <c r="E1554" s="16" t="inlineStr">
        <is>
          <t>R</t>
        </is>
      </c>
      <c r="F1554" s="16" t="n"/>
      <c r="G1554" s="9" t="n">
        <v>33.96923076923077</v>
      </c>
      <c r="H1554" s="9" t="n">
        <v>33.96923076923077</v>
      </c>
      <c r="I1554" s="9" t="inlineStr">
        <is>
          <t>Depth (no MLB PA)</t>
        </is>
      </c>
      <c r="J1554" s="16" t="inlineStr">
        <is>
          <t>Opening Day</t>
        </is>
      </c>
      <c r="K1554" s="11">
        <f>IFERROR(INDEX(Roles!$B$17:$B$20,MATCH(J1554,Roles!$A$17:$A$20,0)),1)</f>
        <v/>
      </c>
      <c r="L1554" s="17" t="n">
        <v>1</v>
      </c>
      <c r="M1554" s="11" t="n">
        <v>1</v>
      </c>
      <c r="N1554" s="17" t="n"/>
      <c r="O1554" s="17" t="n"/>
      <c r="P1554" s="17" t="n"/>
      <c r="Q1554" s="17" t="n"/>
      <c r="R1554" s="17" t="n"/>
      <c r="S1554" s="17" t="n"/>
      <c r="T1554" s="17" t="n"/>
      <c r="U1554" s="17" t="n"/>
      <c r="V1554" s="17" t="n"/>
      <c r="W1554" s="17" t="n"/>
      <c r="X1554" s="17" t="n"/>
      <c r="Y1554" s="17" t="n">
        <v>1</v>
      </c>
      <c r="Z1554" s="13">
        <f>SUMPRODUCT(N1554:Y1554,$N$2:$Y$2)*$K1554*$L1554*$M1554</f>
        <v/>
      </c>
      <c r="AA1554" s="14">
        <f>SUM(N1554:Y1554)</f>
        <v/>
      </c>
      <c r="AB1554" s="14">
        <f>IFERROR(IF(UPPER($E1554)="L",SUMPRODUCT(N1554:Y1554,$N$3:$Y$3,$N$2:$Y$2),SUMPRODUCT(N1554:Y1554,$N$4:$Y$4,$N$2:$Y$2))/(Z1554/($K1554*$L1554*$M1554)),"")</f>
        <v/>
      </c>
      <c r="AC1554" s="18" t="n"/>
    </row>
    <row r="1555">
      <c r="A1555" s="9" t="n">
        <v>702695</v>
      </c>
      <c r="B1555" s="9" t="inlineStr">
        <is>
          <t>Easton Carmichael</t>
        </is>
      </c>
      <c r="C1555" s="9" t="inlineStr">
        <is>
          <t>PIT</t>
        </is>
      </c>
      <c r="D1555" s="9" t="n">
        <v>25</v>
      </c>
      <c r="E1555" s="16" t="inlineStr">
        <is>
          <t>R</t>
        </is>
      </c>
      <c r="F1555" s="16" t="n"/>
      <c r="G1555" s="9" t="n">
        <v>50.61538461538461</v>
      </c>
      <c r="H1555" s="9" t="n">
        <v>50.61538461538461</v>
      </c>
      <c r="I1555" s="9" t="inlineStr">
        <is>
          <t>Depth (no MLB PA)</t>
        </is>
      </c>
      <c r="J1555" s="16" t="inlineStr">
        <is>
          <t>Opening Day</t>
        </is>
      </c>
      <c r="K1555" s="11">
        <f>IFERROR(INDEX(Roles!$B$17:$B$20,MATCH(J1555,Roles!$A$17:$A$20,0)),1)</f>
        <v/>
      </c>
      <c r="L1555" s="17" t="n">
        <v>1</v>
      </c>
      <c r="M1555" s="11" t="n">
        <v>1</v>
      </c>
      <c r="N1555" s="17" t="n"/>
      <c r="O1555" s="17" t="n"/>
      <c r="P1555" s="17" t="n"/>
      <c r="Q1555" s="17" t="n"/>
      <c r="R1555" s="17" t="n"/>
      <c r="S1555" s="17" t="n"/>
      <c r="T1555" s="17" t="n"/>
      <c r="U1555" s="17" t="n"/>
      <c r="V1555" s="17" t="n"/>
      <c r="W1555" s="17" t="n"/>
      <c r="X1555" s="17" t="n"/>
      <c r="Y1555" s="17" t="n">
        <v>1</v>
      </c>
      <c r="Z1555" s="13">
        <f>SUMPRODUCT(N1555:Y1555,$N$2:$Y$2)*$K1555*$L1555*$M1555</f>
        <v/>
      </c>
      <c r="AA1555" s="14">
        <f>SUM(N1555:Y1555)</f>
        <v/>
      </c>
      <c r="AB1555" s="14">
        <f>IFERROR(IF(UPPER($E1555)="L",SUMPRODUCT(N1555:Y1555,$N$3:$Y$3,$N$2:$Y$2),SUMPRODUCT(N1555:Y1555,$N$4:$Y$4,$N$2:$Y$2))/(Z1555/($K1555*$L1555*$M1555)),"")</f>
        <v/>
      </c>
      <c r="AC1555" s="18" t="n"/>
    </row>
    <row r="1556">
      <c r="A1556" s="9" t="n">
        <v>695770</v>
      </c>
      <c r="B1556" s="9" t="inlineStr">
        <is>
          <t>Wes Kath</t>
        </is>
      </c>
      <c r="C1556" s="9" t="inlineStr">
        <is>
          <t>CWS</t>
        </is>
      </c>
      <c r="D1556" s="9" t="n">
        <v>25</v>
      </c>
      <c r="E1556" s="16" t="inlineStr">
        <is>
          <t>L</t>
        </is>
      </c>
      <c r="F1556" s="16" t="n"/>
      <c r="G1556" s="9" t="n">
        <v>17.64102564102564</v>
      </c>
      <c r="H1556" s="9" t="n">
        <v>17.64102564102564</v>
      </c>
      <c r="I1556" s="9" t="inlineStr">
        <is>
          <t>Depth (no MLB PA)</t>
        </is>
      </c>
      <c r="J1556" s="16" t="inlineStr">
        <is>
          <t>Opening Day</t>
        </is>
      </c>
      <c r="K1556" s="11">
        <f>IFERROR(INDEX(Roles!$B$17:$B$20,MATCH(J1556,Roles!$A$17:$A$20,0)),1)</f>
        <v/>
      </c>
      <c r="L1556" s="17" t="n">
        <v>1</v>
      </c>
      <c r="M1556" s="11" t="n">
        <v>1</v>
      </c>
      <c r="N1556" s="17" t="n"/>
      <c r="O1556" s="17" t="n"/>
      <c r="P1556" s="17" t="n"/>
      <c r="Q1556" s="17" t="n"/>
      <c r="R1556" s="17" t="n"/>
      <c r="S1556" s="17" t="n"/>
      <c r="T1556" s="17" t="n"/>
      <c r="U1556" s="17" t="n"/>
      <c r="V1556" s="17" t="n"/>
      <c r="W1556" s="17" t="n"/>
      <c r="X1556" s="17" t="n"/>
      <c r="Y1556" s="17" t="n">
        <v>1</v>
      </c>
      <c r="Z1556" s="13">
        <f>SUMPRODUCT(N1556:Y1556,$N$2:$Y$2)*$K1556*$L1556*$M1556</f>
        <v/>
      </c>
      <c r="AA1556" s="14">
        <f>SUM(N1556:Y1556)</f>
        <v/>
      </c>
      <c r="AB1556" s="14">
        <f>IFERROR(IF(UPPER($E1556)="L",SUMPRODUCT(N1556:Y1556,$N$3:$Y$3,$N$2:$Y$2),SUMPRODUCT(N1556:Y1556,$N$4:$Y$4,$N$2:$Y$2))/(Z1556/($K1556*$L1556*$M1556)),"")</f>
        <v/>
      </c>
      <c r="AC1556" s="18" t="n"/>
    </row>
    <row r="1557">
      <c r="A1557" s="9" t="n">
        <v>622268</v>
      </c>
      <c r="B1557" s="9" t="inlineStr">
        <is>
          <t>Donovan Walton</t>
        </is>
      </c>
      <c r="C1557" s="9" t="inlineStr">
        <is>
          <t>OAK</t>
        </is>
      </c>
      <c r="D1557" s="9" t="n">
        <v>33</v>
      </c>
      <c r="E1557" s="16" t="inlineStr">
        <is>
          <t>L</t>
        </is>
      </c>
      <c r="F1557" s="16" t="inlineStr">
        <is>
          <t>2B</t>
        </is>
      </c>
      <c r="G1557" s="9" t="n">
        <v>268</v>
      </c>
      <c r="H1557" s="9" t="n">
        <v>380</v>
      </c>
      <c r="I1557" s="9" t="inlineStr">
        <is>
          <t>Strong Side Platoon</t>
        </is>
      </c>
      <c r="J1557" s="16" t="inlineStr">
        <is>
          <t>Opening Day</t>
        </is>
      </c>
      <c r="K1557" s="11">
        <f>IFERROR(INDEX(Roles!$B$17:$B$20,MATCH(J1557,Roles!$A$17:$A$20,0)),1)</f>
        <v/>
      </c>
      <c r="L1557" s="17" t="n">
        <v>1</v>
      </c>
      <c r="M1557" s="11" t="n">
        <v>1</v>
      </c>
      <c r="N1557" s="17" t="n">
        <v>0.4</v>
      </c>
      <c r="O1557" s="17" t="n"/>
      <c r="P1557" s="17" t="n">
        <v>0.6</v>
      </c>
      <c r="Q1557" s="17" t="n"/>
      <c r="R1557" s="17" t="n"/>
      <c r="S1557" s="17" t="n"/>
      <c r="T1557" s="17" t="n"/>
      <c r="U1557" s="17" t="n"/>
      <c r="V1557" s="17" t="n"/>
      <c r="W1557" s="17" t="n"/>
      <c r="X1557" s="17" t="n"/>
      <c r="Y1557" s="17" t="n"/>
      <c r="Z1557" s="13">
        <f>SUMPRODUCT(N1557:Y1557,$N$2:$Y$2)*$K1557*$L1557*$M1557</f>
        <v/>
      </c>
      <c r="AA1557" s="14">
        <f>SUM(N1557:Y1557)</f>
        <v/>
      </c>
      <c r="AB1557" s="14">
        <f>IFERROR(IF(UPPER($E1557)="L",SUMPRODUCT(N1557:Y1557,$N$3:$Y$3,$N$2:$Y$2),SUMPRODUCT(N1557:Y1557,$N$4:$Y$4,$N$2:$Y$2))/(Z1557/($K1557*$L1557*$M1557)),"")</f>
        <v/>
      </c>
      <c r="AC1557" s="18" t="n"/>
    </row>
    <row r="1558">
      <c r="A1558" s="9" t="n">
        <v>808496</v>
      </c>
      <c r="B1558" s="9" t="inlineStr">
        <is>
          <t>Jaeden Calderon</t>
        </is>
      </c>
      <c r="C1558" s="9" t="inlineStr">
        <is>
          <t>PHI</t>
        </is>
      </c>
      <c r="D1558" s="9" t="n">
        <v>25</v>
      </c>
      <c r="E1558" s="16" t="inlineStr">
        <is>
          <t>R</t>
        </is>
      </c>
      <c r="F1558" s="16" t="n"/>
      <c r="G1558" s="9" t="n">
        <v>18.21538461538461</v>
      </c>
      <c r="H1558" s="9" t="n">
        <v>18.21538461538461</v>
      </c>
      <c r="I1558" s="9" t="inlineStr">
        <is>
          <t>Depth (no MLB PA)</t>
        </is>
      </c>
      <c r="J1558" s="16" t="inlineStr">
        <is>
          <t>Opening Day</t>
        </is>
      </c>
      <c r="K1558" s="11">
        <f>IFERROR(INDEX(Roles!$B$17:$B$20,MATCH(J1558,Roles!$A$17:$A$20,0)),1)</f>
        <v/>
      </c>
      <c r="L1558" s="17" t="n">
        <v>1</v>
      </c>
      <c r="M1558" s="11" t="n">
        <v>1</v>
      </c>
      <c r="N1558" s="17" t="n"/>
      <c r="O1558" s="17" t="n"/>
      <c r="P1558" s="17" t="n"/>
      <c r="Q1558" s="17" t="n"/>
      <c r="R1558" s="17" t="n"/>
      <c r="S1558" s="17" t="n"/>
      <c r="T1558" s="17" t="n"/>
      <c r="U1558" s="17" t="n"/>
      <c r="V1558" s="17" t="n"/>
      <c r="W1558" s="17" t="n"/>
      <c r="X1558" s="17" t="n"/>
      <c r="Y1558" s="17" t="n">
        <v>1</v>
      </c>
      <c r="Z1558" s="13">
        <f>SUMPRODUCT(N1558:Y1558,$N$2:$Y$2)*$K1558*$L1558*$M1558</f>
        <v/>
      </c>
      <c r="AA1558" s="14">
        <f>SUM(N1558:Y1558)</f>
        <v/>
      </c>
      <c r="AB1558" s="14">
        <f>IFERROR(IF(UPPER($E1558)="L",SUMPRODUCT(N1558:Y1558,$N$3:$Y$3,$N$2:$Y$2),SUMPRODUCT(N1558:Y1558,$N$4:$Y$4,$N$2:$Y$2))/(Z1558/($K1558*$L1558*$M1558)),"")</f>
        <v/>
      </c>
      <c r="AC1558" s="18" t="n"/>
    </row>
    <row r="1559">
      <c r="A1559" s="9" t="n">
        <v>815895</v>
      </c>
      <c r="B1559" s="9" t="inlineStr">
        <is>
          <t>Adriel Radney</t>
        </is>
      </c>
      <c r="C1559" s="9" t="inlineStr">
        <is>
          <t>ARI</t>
        </is>
      </c>
      <c r="D1559" s="9" t="n">
        <v>25</v>
      </c>
      <c r="E1559" s="16" t="inlineStr">
        <is>
          <t>R</t>
        </is>
      </c>
      <c r="F1559" s="16" t="n"/>
      <c r="G1559" s="9" t="n">
        <v>13.90769230769231</v>
      </c>
      <c r="H1559" s="9" t="n">
        <v>13.90769230769231</v>
      </c>
      <c r="I1559" s="9" t="inlineStr">
        <is>
          <t>Depth (no MLB PA)</t>
        </is>
      </c>
      <c r="J1559" s="16" t="inlineStr">
        <is>
          <t>Opening Day</t>
        </is>
      </c>
      <c r="K1559" s="11">
        <f>IFERROR(INDEX(Roles!$B$17:$B$20,MATCH(J1559,Roles!$A$17:$A$20,0)),1)</f>
        <v/>
      </c>
      <c r="L1559" s="17" t="n">
        <v>1</v>
      </c>
      <c r="M1559" s="11" t="n">
        <v>1</v>
      </c>
      <c r="N1559" s="17" t="n"/>
      <c r="O1559" s="17" t="n"/>
      <c r="P1559" s="17" t="n"/>
      <c r="Q1559" s="17" t="n"/>
      <c r="R1559" s="17" t="n"/>
      <c r="S1559" s="17" t="n"/>
      <c r="T1559" s="17" t="n"/>
      <c r="U1559" s="17" t="n"/>
      <c r="V1559" s="17" t="n"/>
      <c r="W1559" s="17" t="n"/>
      <c r="X1559" s="17" t="n"/>
      <c r="Y1559" s="17" t="n">
        <v>1</v>
      </c>
      <c r="Z1559" s="13">
        <f>SUMPRODUCT(N1559:Y1559,$N$2:$Y$2)*$K1559*$L1559*$M1559</f>
        <v/>
      </c>
      <c r="AA1559" s="14">
        <f>SUM(N1559:Y1559)</f>
        <v/>
      </c>
      <c r="AB1559" s="14">
        <f>IFERROR(IF(UPPER($E1559)="L",SUMPRODUCT(N1559:Y1559,$N$3:$Y$3,$N$2:$Y$2),SUMPRODUCT(N1559:Y1559,$N$4:$Y$4,$N$2:$Y$2))/(Z1559/($K1559*$L1559*$M1559)),"")</f>
        <v/>
      </c>
      <c r="AC1559" s="18" t="n"/>
    </row>
    <row r="1560">
      <c r="A1560" s="9" t="n">
        <v>666139</v>
      </c>
      <c r="B1560" s="9" t="inlineStr">
        <is>
          <t>Josh Lowe</t>
        </is>
      </c>
      <c r="C1560" s="9" t="inlineStr">
        <is>
          <t>LAA</t>
        </is>
      </c>
      <c r="D1560" s="9" t="n">
        <v>29</v>
      </c>
      <c r="E1560" s="16" t="inlineStr">
        <is>
          <t>L</t>
        </is>
      </c>
      <c r="F1560" s="16" t="inlineStr">
        <is>
          <t>LF</t>
        </is>
      </c>
      <c r="G1560" s="9" t="n">
        <v>343</v>
      </c>
      <c r="H1560" s="9" t="n">
        <v>1864</v>
      </c>
      <c r="I1560" s="9" t="inlineStr">
        <is>
          <t>Full Time</t>
        </is>
      </c>
      <c r="J1560" s="16" t="inlineStr">
        <is>
          <t>Opening Day</t>
        </is>
      </c>
      <c r="K1560" s="11">
        <f>IFERROR(INDEX(Roles!$B$17:$B$20,MATCH(J1560,Roles!$A$17:$A$20,0)),1)</f>
        <v/>
      </c>
      <c r="L1560" s="17" t="n">
        <v>1</v>
      </c>
      <c r="M1560" s="11" t="n">
        <v>0.9415022749061316</v>
      </c>
      <c r="N1560" s="17" t="n">
        <v>1</v>
      </c>
      <c r="O1560" s="17" t="n"/>
      <c r="P1560" s="17" t="n"/>
      <c r="Q1560" s="17" t="n"/>
      <c r="R1560" s="17" t="n"/>
      <c r="S1560" s="17" t="n"/>
      <c r="T1560" s="17" t="n"/>
      <c r="U1560" s="17" t="n"/>
      <c r="V1560" s="17" t="n"/>
      <c r="W1560" s="17" t="n"/>
      <c r="X1560" s="17" t="n"/>
      <c r="Y1560" s="17" t="n"/>
      <c r="Z1560" s="13">
        <f>SUMPRODUCT(N1560:Y1560,$N$2:$Y$2)*$K1560*$L1560*$M1560</f>
        <v/>
      </c>
      <c r="AA1560" s="14">
        <f>SUM(N1560:Y1560)</f>
        <v/>
      </c>
      <c r="AB1560" s="14">
        <f>IFERROR(IF(UPPER($E1560)="L",SUMPRODUCT(N1560:Y1560,$N$3:$Y$3,$N$2:$Y$2),SUMPRODUCT(N1560:Y1560,$N$4:$Y$4,$N$2:$Y$2))/(Z1560/($K1560*$L1560*$M1560)),"")</f>
        <v/>
      </c>
      <c r="AC1560" s="18" t="n"/>
    </row>
    <row r="1561">
      <c r="A1561" s="9" t="n">
        <v>829943</v>
      </c>
      <c r="B1561" s="9" t="inlineStr">
        <is>
          <t>Louis Andujar</t>
        </is>
      </c>
      <c r="C1561" s="9" t="inlineStr">
        <is>
          <t>BOS</t>
        </is>
      </c>
      <c r="D1561" s="9" t="n">
        <v>25</v>
      </c>
      <c r="E1561" s="16" t="inlineStr">
        <is>
          <t>R</t>
        </is>
      </c>
      <c r="F1561" s="16" t="n"/>
      <c r="G1561" s="9" t="n">
        <v>31.87692307692308</v>
      </c>
      <c r="H1561" s="9" t="n">
        <v>31.87692307692308</v>
      </c>
      <c r="I1561" s="9" t="inlineStr">
        <is>
          <t>Depth (no MLB PA)</t>
        </is>
      </c>
      <c r="J1561" s="16" t="inlineStr">
        <is>
          <t>Opening Day</t>
        </is>
      </c>
      <c r="K1561" s="11">
        <f>IFERROR(INDEX(Roles!$B$17:$B$20,MATCH(J1561,Roles!$A$17:$A$20,0)),1)</f>
        <v/>
      </c>
      <c r="L1561" s="17" t="n">
        <v>1</v>
      </c>
      <c r="M1561" s="11" t="n">
        <v>1</v>
      </c>
      <c r="N1561" s="17" t="n"/>
      <c r="O1561" s="17" t="n"/>
      <c r="P1561" s="17" t="n"/>
      <c r="Q1561" s="17" t="n"/>
      <c r="R1561" s="17" t="n"/>
      <c r="S1561" s="17" t="n"/>
      <c r="T1561" s="17" t="n"/>
      <c r="U1561" s="17" t="n"/>
      <c r="V1561" s="17" t="n"/>
      <c r="W1561" s="17" t="n"/>
      <c r="X1561" s="17" t="n"/>
      <c r="Y1561" s="17" t="n">
        <v>1</v>
      </c>
      <c r="Z1561" s="13">
        <f>SUMPRODUCT(N1561:Y1561,$N$2:$Y$2)*$K1561*$L1561*$M1561</f>
        <v/>
      </c>
      <c r="AA1561" s="14">
        <f>SUM(N1561:Y1561)</f>
        <v/>
      </c>
      <c r="AB1561" s="14">
        <f>IFERROR(IF(UPPER($E1561)="L",SUMPRODUCT(N1561:Y1561,$N$3:$Y$3,$N$2:$Y$2),SUMPRODUCT(N1561:Y1561,$N$4:$Y$4,$N$2:$Y$2))/(Z1561/($K1561*$L1561*$M1561)),"")</f>
        <v/>
      </c>
      <c r="AC1561" s="18" t="n"/>
    </row>
    <row r="1562">
      <c r="A1562" s="9" t="n">
        <v>553869</v>
      </c>
      <c r="B1562" s="9" t="inlineStr">
        <is>
          <t>Elias Díaz</t>
        </is>
      </c>
      <c r="C1562" s="9" t="inlineStr">
        <is>
          <t>TEX</t>
        </is>
      </c>
      <c r="D1562" s="9" t="n">
        <v>36</v>
      </c>
      <c r="E1562" s="16" t="inlineStr">
        <is>
          <t>R</t>
        </is>
      </c>
      <c r="F1562" s="16" t="inlineStr">
        <is>
          <t>C</t>
        </is>
      </c>
      <c r="G1562" s="9" t="n">
        <v>237</v>
      </c>
      <c r="H1562" s="9" t="n">
        <v>1778</v>
      </c>
      <c r="I1562" s="9" t="inlineStr">
        <is>
          <t>Weak Side Platoon</t>
        </is>
      </c>
      <c r="J1562" s="16" t="inlineStr">
        <is>
          <t>Opening Day</t>
        </is>
      </c>
      <c r="K1562" s="11">
        <f>IFERROR(INDEX(Roles!$B$17:$B$20,MATCH(J1562,Roles!$A$17:$A$20,0)),1)</f>
        <v/>
      </c>
      <c r="L1562" s="17" t="n">
        <v>1</v>
      </c>
      <c r="M1562" s="11" t="n">
        <v>1.012370948574773</v>
      </c>
      <c r="N1562" s="17" t="n"/>
      <c r="O1562" s="17" t="n"/>
      <c r="P1562" s="17" t="n"/>
      <c r="Q1562" s="17" t="n">
        <v>0.6</v>
      </c>
      <c r="R1562" s="17" t="n"/>
      <c r="S1562" s="17" t="n"/>
      <c r="T1562" s="17" t="n">
        <v>0.4</v>
      </c>
      <c r="U1562" s="17" t="n"/>
      <c r="V1562" s="17" t="n"/>
      <c r="W1562" s="17" t="n"/>
      <c r="X1562" s="17" t="n"/>
      <c r="Y1562" s="17" t="n"/>
      <c r="Z1562" s="13">
        <f>SUMPRODUCT(N1562:Y1562,$N$2:$Y$2)*$K1562*$L1562*$M1562</f>
        <v/>
      </c>
      <c r="AA1562" s="14">
        <f>SUM(N1562:Y1562)</f>
        <v/>
      </c>
      <c r="AB1562" s="14">
        <f>IFERROR(IF(UPPER($E1562)="L",SUMPRODUCT(N1562:Y1562,$N$3:$Y$3,$N$2:$Y$2),SUMPRODUCT(N1562:Y1562,$N$4:$Y$4,$N$2:$Y$2))/(Z1562/($K1562*$L1562*$M1562)),"")</f>
        <v/>
      </c>
      <c r="AC1562" s="18" t="n"/>
    </row>
    <row r="1563">
      <c r="A1563" s="9" t="n">
        <v>501659</v>
      </c>
      <c r="B1563" s="9" t="inlineStr">
        <is>
          <t>Abraham Almonte</t>
        </is>
      </c>
      <c r="C1563" s="9" t="inlineStr">
        <is>
          <t>BOS</t>
        </is>
      </c>
      <c r="D1563" s="9" t="n">
        <v>38</v>
      </c>
      <c r="E1563" s="16" t="inlineStr">
        <is>
          <t>S</t>
        </is>
      </c>
      <c r="F1563" s="16" t="inlineStr">
        <is>
          <t>LF</t>
        </is>
      </c>
      <c r="G1563" s="9" t="n">
        <v>16</v>
      </c>
      <c r="H1563" s="9" t="n">
        <v>53</v>
      </c>
      <c r="I1563" s="9" t="inlineStr">
        <is>
          <t>Depth (no MLB PA)</t>
        </is>
      </c>
      <c r="J1563" s="16" t="inlineStr">
        <is>
          <t>Opening Day</t>
        </is>
      </c>
      <c r="K1563" s="11">
        <f>IFERROR(INDEX(Roles!$B$17:$B$20,MATCH(J1563,Roles!$A$17:$A$20,0)),1)</f>
        <v/>
      </c>
      <c r="L1563" s="17" t="n">
        <v>1</v>
      </c>
      <c r="M1563" s="11" t="n">
        <v>1</v>
      </c>
      <c r="N1563" s="17" t="n"/>
      <c r="O1563" s="17" t="n"/>
      <c r="P1563" s="17" t="n"/>
      <c r="Q1563" s="17" t="n"/>
      <c r="R1563" s="17" t="n"/>
      <c r="S1563" s="17" t="n"/>
      <c r="T1563" s="17" t="n"/>
      <c r="U1563" s="17" t="n"/>
      <c r="V1563" s="17" t="n"/>
      <c r="W1563" s="17" t="n"/>
      <c r="X1563" s="17" t="n"/>
      <c r="Y1563" s="17" t="n">
        <v>1</v>
      </c>
      <c r="Z1563" s="13">
        <f>SUMPRODUCT(N1563:Y1563,$N$2:$Y$2)*$K1563*$L1563*$M1563</f>
        <v/>
      </c>
      <c r="AA1563" s="14">
        <f>SUM(N1563:Y1563)</f>
        <v/>
      </c>
      <c r="AB1563" s="14">
        <f>IFERROR(IF(UPPER($E1563)="L",SUMPRODUCT(N1563:Y1563,$N$3:$Y$3,$N$2:$Y$2),SUMPRODUCT(N1563:Y1563,$N$4:$Y$4,$N$2:$Y$2))/(Z1563/($K1563*$L1563*$M1563)),"")</f>
        <v/>
      </c>
      <c r="AC1563" s="18" t="n"/>
    </row>
    <row r="1564">
      <c r="A1564" s="9" t="n">
        <v>808267</v>
      </c>
      <c r="B1564" s="9" t="inlineStr">
        <is>
          <t>Jose Monzon</t>
        </is>
      </c>
      <c r="C1564" s="9" t="inlineStr">
        <is>
          <t>TB</t>
        </is>
      </c>
      <c r="D1564" s="9" t="n">
        <v>25</v>
      </c>
      <c r="E1564" s="16" t="inlineStr">
        <is>
          <t>L</t>
        </is>
      </c>
      <c r="F1564" s="16" t="n"/>
      <c r="G1564" s="9" t="n">
        <v>14.03076923076923</v>
      </c>
      <c r="H1564" s="9" t="n">
        <v>14.03076923076923</v>
      </c>
      <c r="I1564" s="9" t="inlineStr">
        <is>
          <t>Depth (no MLB PA)</t>
        </is>
      </c>
      <c r="J1564" s="16" t="inlineStr">
        <is>
          <t>Opening Day</t>
        </is>
      </c>
      <c r="K1564" s="11">
        <f>IFERROR(INDEX(Roles!$B$17:$B$20,MATCH(J1564,Roles!$A$17:$A$20,0)),1)</f>
        <v/>
      </c>
      <c r="L1564" s="17" t="n">
        <v>1</v>
      </c>
      <c r="M1564" s="11" t="n">
        <v>1</v>
      </c>
      <c r="N1564" s="17" t="n"/>
      <c r="O1564" s="17" t="n"/>
      <c r="P1564" s="17" t="n"/>
      <c r="Q1564" s="17" t="n"/>
      <c r="R1564" s="17" t="n"/>
      <c r="S1564" s="17" t="n"/>
      <c r="T1564" s="17" t="n"/>
      <c r="U1564" s="17" t="n"/>
      <c r="V1564" s="17" t="n"/>
      <c r="W1564" s="17" t="n"/>
      <c r="X1564" s="17" t="n"/>
      <c r="Y1564" s="17" t="n">
        <v>1</v>
      </c>
      <c r="Z1564" s="13">
        <f>SUMPRODUCT(N1564:Y1564,$N$2:$Y$2)*$K1564*$L1564*$M1564</f>
        <v/>
      </c>
      <c r="AA1564" s="14">
        <f>SUM(N1564:Y1564)</f>
        <v/>
      </c>
      <c r="AB1564" s="14">
        <f>IFERROR(IF(UPPER($E1564)="L",SUMPRODUCT(N1564:Y1564,$N$3:$Y$3,$N$2:$Y$2),SUMPRODUCT(N1564:Y1564,$N$4:$Y$4,$N$2:$Y$2))/(Z1564/($K1564*$L1564*$M1564)),"")</f>
        <v/>
      </c>
      <c r="AC1564" s="18" t="n"/>
    </row>
    <row r="1565">
      <c r="A1565" s="9" t="n">
        <v>701520</v>
      </c>
      <c r="B1565" s="9" t="inlineStr">
        <is>
          <t>Bobby Blandford</t>
        </is>
      </c>
      <c r="C1565" s="9" t="inlineStr">
        <is>
          <t>OAK</t>
        </is>
      </c>
      <c r="D1565" s="9" t="n">
        <v>25</v>
      </c>
      <c r="E1565" s="16" t="inlineStr">
        <is>
          <t>L</t>
        </is>
      </c>
      <c r="F1565" s="16" t="n"/>
      <c r="G1565" s="9" t="n">
        <v>57.84615384615384</v>
      </c>
      <c r="H1565" s="9" t="n">
        <v>57.84615384615384</v>
      </c>
      <c r="I1565" s="9" t="inlineStr">
        <is>
          <t>Depth (no MLB PA)</t>
        </is>
      </c>
      <c r="J1565" s="16" t="inlineStr">
        <is>
          <t>Opening Day</t>
        </is>
      </c>
      <c r="K1565" s="11">
        <f>IFERROR(INDEX(Roles!$B$17:$B$20,MATCH(J1565,Roles!$A$17:$A$20,0)),1)</f>
        <v/>
      </c>
      <c r="L1565" s="17" t="n">
        <v>1</v>
      </c>
      <c r="M1565" s="11" t="n">
        <v>1</v>
      </c>
      <c r="N1565" s="17" t="n"/>
      <c r="O1565" s="17" t="n"/>
      <c r="P1565" s="17" t="n"/>
      <c r="Q1565" s="17" t="n"/>
      <c r="R1565" s="17" t="n"/>
      <c r="S1565" s="17" t="n"/>
      <c r="T1565" s="17" t="n"/>
      <c r="U1565" s="17" t="n"/>
      <c r="V1565" s="17" t="n"/>
      <c r="W1565" s="17" t="n"/>
      <c r="X1565" s="17" t="n"/>
      <c r="Y1565" s="17" t="n">
        <v>1</v>
      </c>
      <c r="Z1565" s="13">
        <f>SUMPRODUCT(N1565:Y1565,$N$2:$Y$2)*$K1565*$L1565*$M1565</f>
        <v/>
      </c>
      <c r="AA1565" s="14">
        <f>SUM(N1565:Y1565)</f>
        <v/>
      </c>
      <c r="AB1565" s="14">
        <f>IFERROR(IF(UPPER($E1565)="L",SUMPRODUCT(N1565:Y1565,$N$3:$Y$3,$N$2:$Y$2),SUMPRODUCT(N1565:Y1565,$N$4:$Y$4,$N$2:$Y$2))/(Z1565/($K1565*$L1565*$M1565)),"")</f>
        <v/>
      </c>
      <c r="AC1565" s="18" t="n"/>
    </row>
    <row r="1566">
      <c r="A1566" s="9" t="n">
        <v>680998</v>
      </c>
      <c r="B1566" s="9" t="inlineStr">
        <is>
          <t>Branden Boissiere</t>
        </is>
      </c>
      <c r="C1566" s="9" t="inlineStr">
        <is>
          <t>WSH</t>
        </is>
      </c>
      <c r="D1566" s="9" t="n">
        <v>25</v>
      </c>
      <c r="E1566" s="16" t="inlineStr">
        <is>
          <t>L</t>
        </is>
      </c>
      <c r="F1566" s="16" t="n"/>
      <c r="G1566" s="9" t="n">
        <v>100.8717948717949</v>
      </c>
      <c r="H1566" s="9" t="n">
        <v>100.8717948717949</v>
      </c>
      <c r="I1566" s="9" t="inlineStr">
        <is>
          <t>Depth (no MLB PA)</t>
        </is>
      </c>
      <c r="J1566" s="16" t="inlineStr">
        <is>
          <t>Opening Day</t>
        </is>
      </c>
      <c r="K1566" s="11">
        <f>IFERROR(INDEX(Roles!$B$17:$B$20,MATCH(J1566,Roles!$A$17:$A$20,0)),1)</f>
        <v/>
      </c>
      <c r="L1566" s="17" t="n">
        <v>1</v>
      </c>
      <c r="M1566" s="11" t="n">
        <v>1</v>
      </c>
      <c r="N1566" s="17" t="n"/>
      <c r="O1566" s="17" t="n"/>
      <c r="P1566" s="17" t="n"/>
      <c r="Q1566" s="17" t="n"/>
      <c r="R1566" s="17" t="n"/>
      <c r="S1566" s="17" t="n"/>
      <c r="T1566" s="17" t="n"/>
      <c r="U1566" s="17" t="n"/>
      <c r="V1566" s="17" t="n"/>
      <c r="W1566" s="17" t="n"/>
      <c r="X1566" s="17" t="n"/>
      <c r="Y1566" s="17" t="n">
        <v>1</v>
      </c>
      <c r="Z1566" s="13">
        <f>SUMPRODUCT(N1566:Y1566,$N$2:$Y$2)*$K1566*$L1566*$M1566</f>
        <v/>
      </c>
      <c r="AA1566" s="14">
        <f>SUM(N1566:Y1566)</f>
        <v/>
      </c>
      <c r="AB1566" s="14">
        <f>IFERROR(IF(UPPER($E1566)="L",SUMPRODUCT(N1566:Y1566,$N$3:$Y$3,$N$2:$Y$2),SUMPRODUCT(N1566:Y1566,$N$4:$Y$4,$N$2:$Y$2))/(Z1566/($K1566*$L1566*$M1566)),"")</f>
        <v/>
      </c>
      <c r="AC1566" s="18" t="n"/>
    </row>
    <row r="1567">
      <c r="A1567" s="9" t="n">
        <v>686984</v>
      </c>
      <c r="B1567" s="9" t="inlineStr">
        <is>
          <t>Marcus Lee Sang</t>
        </is>
      </c>
      <c r="C1567" s="9" t="inlineStr">
        <is>
          <t>TEX</t>
        </is>
      </c>
      <c r="D1567" s="9" t="n">
        <v>25</v>
      </c>
      <c r="E1567" s="16" t="inlineStr">
        <is>
          <t>L</t>
        </is>
      </c>
      <c r="F1567" s="16" t="n"/>
      <c r="G1567" s="9" t="n">
        <v>155.4358974358974</v>
      </c>
      <c r="H1567" s="9" t="n">
        <v>155.4358974358974</v>
      </c>
      <c r="I1567" s="9" t="inlineStr">
        <is>
          <t>Depth (no MLB PA)</t>
        </is>
      </c>
      <c r="J1567" s="16" t="inlineStr">
        <is>
          <t>Opening Day</t>
        </is>
      </c>
      <c r="K1567" s="11">
        <f>IFERROR(INDEX(Roles!$B$17:$B$20,MATCH(J1567,Roles!$A$17:$A$20,0)),1)</f>
        <v/>
      </c>
      <c r="L1567" s="17" t="n">
        <v>1</v>
      </c>
      <c r="M1567" s="11" t="n">
        <v>1</v>
      </c>
      <c r="N1567" s="17" t="n"/>
      <c r="O1567" s="17" t="n"/>
      <c r="P1567" s="17" t="n"/>
      <c r="Q1567" s="17" t="n"/>
      <c r="R1567" s="17" t="n"/>
      <c r="S1567" s="17" t="n"/>
      <c r="T1567" s="17" t="n"/>
      <c r="U1567" s="17" t="n"/>
      <c r="V1567" s="17" t="n"/>
      <c r="W1567" s="17" t="n"/>
      <c r="X1567" s="17" t="n"/>
      <c r="Y1567" s="17" t="n">
        <v>1</v>
      </c>
      <c r="Z1567" s="13">
        <f>SUMPRODUCT(N1567:Y1567,$N$2:$Y$2)*$K1567*$L1567*$M1567</f>
        <v/>
      </c>
      <c r="AA1567" s="14">
        <f>SUM(N1567:Y1567)</f>
        <v/>
      </c>
      <c r="AB1567" s="14">
        <f>IFERROR(IF(UPPER($E1567)="L",SUMPRODUCT(N1567:Y1567,$N$3:$Y$3,$N$2:$Y$2),SUMPRODUCT(N1567:Y1567,$N$4:$Y$4,$N$2:$Y$2))/(Z1567/($K1567*$L1567*$M1567)),"")</f>
        <v/>
      </c>
      <c r="AC1567" s="18" t="n"/>
    </row>
    <row r="1568">
      <c r="A1568" s="9" t="n">
        <v>828148</v>
      </c>
      <c r="B1568" s="9" t="inlineStr">
        <is>
          <t>Conor Essenburg</t>
        </is>
      </c>
      <c r="C1568" s="9" t="inlineStr">
        <is>
          <t>ATL</t>
        </is>
      </c>
      <c r="D1568" s="9" t="n">
        <v>21</v>
      </c>
      <c r="E1568" s="16" t="inlineStr">
        <is>
          <t>R</t>
        </is>
      </c>
      <c r="F1568" s="16" t="n"/>
      <c r="G1568" s="9" t="n">
        <v>26.66666666666667</v>
      </c>
      <c r="H1568" s="9" t="n">
        <v>26.66666666666667</v>
      </c>
      <c r="I1568" s="9" t="inlineStr">
        <is>
          <t>Depth (no MLB PA)</t>
        </is>
      </c>
      <c r="J1568" s="16" t="inlineStr">
        <is>
          <t>Opening Day</t>
        </is>
      </c>
      <c r="K1568" s="11">
        <f>IFERROR(INDEX(Roles!$B$17:$B$20,MATCH(J1568,Roles!$A$17:$A$20,0)),1)</f>
        <v/>
      </c>
      <c r="L1568" s="17" t="n">
        <v>1</v>
      </c>
      <c r="M1568" s="11" t="n">
        <v>1</v>
      </c>
      <c r="N1568" s="17" t="n"/>
      <c r="O1568" s="17" t="n"/>
      <c r="P1568" s="17" t="n"/>
      <c r="Q1568" s="17" t="n"/>
      <c r="R1568" s="17" t="n"/>
      <c r="S1568" s="17" t="n"/>
      <c r="T1568" s="17" t="n"/>
      <c r="U1568" s="17" t="n"/>
      <c r="V1568" s="17" t="n"/>
      <c r="W1568" s="17" t="n"/>
      <c r="X1568" s="17" t="n"/>
      <c r="Y1568" s="17" t="n">
        <v>1</v>
      </c>
      <c r="Z1568" s="13">
        <f>SUMPRODUCT(N1568:Y1568,$N$2:$Y$2)*$K1568*$L1568*$M1568</f>
        <v/>
      </c>
      <c r="AA1568" s="14">
        <f>SUM(N1568:Y1568)</f>
        <v/>
      </c>
      <c r="AB1568" s="14">
        <f>IFERROR(IF(UPPER($E1568)="L",SUMPRODUCT(N1568:Y1568,$N$3:$Y$3,$N$2:$Y$2),SUMPRODUCT(N1568:Y1568,$N$4:$Y$4,$N$2:$Y$2))/(Z1568/($K1568*$L1568*$M1568)),"")</f>
        <v/>
      </c>
      <c r="AC1568" s="18" t="n"/>
    </row>
    <row r="1569">
      <c r="A1569" s="9" t="n">
        <v>829750</v>
      </c>
      <c r="B1569" s="9" t="inlineStr">
        <is>
          <t>Victor Santana</t>
        </is>
      </c>
      <c r="C1569" s="9" t="inlineStr">
        <is>
          <t>ARI</t>
        </is>
      </c>
      <c r="D1569" s="9" t="n">
        <v>25</v>
      </c>
      <c r="E1569" s="16" t="inlineStr">
        <is>
          <t>R</t>
        </is>
      </c>
      <c r="F1569" s="16" t="n"/>
      <c r="G1569" s="9" t="n">
        <v>14.52307692307692</v>
      </c>
      <c r="H1569" s="9" t="n">
        <v>14.52307692307692</v>
      </c>
      <c r="I1569" s="9" t="inlineStr">
        <is>
          <t>Depth (no MLB PA)</t>
        </is>
      </c>
      <c r="J1569" s="16" t="inlineStr">
        <is>
          <t>Opening Day</t>
        </is>
      </c>
      <c r="K1569" s="11">
        <f>IFERROR(INDEX(Roles!$B$17:$B$20,MATCH(J1569,Roles!$A$17:$A$20,0)),1)</f>
        <v/>
      </c>
      <c r="L1569" s="17" t="n">
        <v>1</v>
      </c>
      <c r="M1569" s="11" t="n">
        <v>1</v>
      </c>
      <c r="N1569" s="17" t="n"/>
      <c r="O1569" s="17" t="n"/>
      <c r="P1569" s="17" t="n"/>
      <c r="Q1569" s="17" t="n"/>
      <c r="R1569" s="17" t="n"/>
      <c r="S1569" s="17" t="n"/>
      <c r="T1569" s="17" t="n"/>
      <c r="U1569" s="17" t="n"/>
      <c r="V1569" s="17" t="n"/>
      <c r="W1569" s="17" t="n"/>
      <c r="X1569" s="17" t="n"/>
      <c r="Y1569" s="17" t="n">
        <v>1</v>
      </c>
      <c r="Z1569" s="13">
        <f>SUMPRODUCT(N1569:Y1569,$N$2:$Y$2)*$K1569*$L1569*$M1569</f>
        <v/>
      </c>
      <c r="AA1569" s="14">
        <f>SUM(N1569:Y1569)</f>
        <v/>
      </c>
      <c r="AB1569" s="14">
        <f>IFERROR(IF(UPPER($E1569)="L",SUMPRODUCT(N1569:Y1569,$N$3:$Y$3,$N$2:$Y$2),SUMPRODUCT(N1569:Y1569,$N$4:$Y$4,$N$2:$Y$2))/(Z1569/($K1569*$L1569*$M1569)),"")</f>
        <v/>
      </c>
      <c r="AC1569" s="18" t="n"/>
    </row>
    <row r="1570">
      <c r="A1570" s="9" t="n">
        <v>814816</v>
      </c>
      <c r="B1570" s="9" t="inlineStr">
        <is>
          <t>Johnny Tincher</t>
        </is>
      </c>
      <c r="C1570" s="9" t="inlineStr">
        <is>
          <t>BAL</t>
        </is>
      </c>
      <c r="D1570" s="9" t="n">
        <v>25</v>
      </c>
      <c r="E1570" s="16" t="inlineStr">
        <is>
          <t>R</t>
        </is>
      </c>
      <c r="F1570" s="16" t="n"/>
      <c r="G1570" s="9" t="n">
        <v>14.35897435897436</v>
      </c>
      <c r="H1570" s="9" t="n">
        <v>14.35897435897436</v>
      </c>
      <c r="I1570" s="9" t="inlineStr">
        <is>
          <t>Depth (no MLB PA)</t>
        </is>
      </c>
      <c r="J1570" s="16" t="inlineStr">
        <is>
          <t>Opening Day</t>
        </is>
      </c>
      <c r="K1570" s="11">
        <f>IFERROR(INDEX(Roles!$B$17:$B$20,MATCH(J1570,Roles!$A$17:$A$20,0)),1)</f>
        <v/>
      </c>
      <c r="L1570" s="17" t="n">
        <v>1</v>
      </c>
      <c r="M1570" s="11" t="n">
        <v>1</v>
      </c>
      <c r="N1570" s="17" t="n"/>
      <c r="O1570" s="17" t="n"/>
      <c r="P1570" s="17" t="n"/>
      <c r="Q1570" s="17" t="n"/>
      <c r="R1570" s="17" t="n"/>
      <c r="S1570" s="17" t="n"/>
      <c r="T1570" s="17" t="n"/>
      <c r="U1570" s="17" t="n"/>
      <c r="V1570" s="17" t="n"/>
      <c r="W1570" s="17" t="n"/>
      <c r="X1570" s="17" t="n"/>
      <c r="Y1570" s="17" t="n">
        <v>1</v>
      </c>
      <c r="Z1570" s="13">
        <f>SUMPRODUCT(N1570:Y1570,$N$2:$Y$2)*$K1570*$L1570*$M1570</f>
        <v/>
      </c>
      <c r="AA1570" s="14">
        <f>SUM(N1570:Y1570)</f>
        <v/>
      </c>
      <c r="AB1570" s="14">
        <f>IFERROR(IF(UPPER($E1570)="L",SUMPRODUCT(N1570:Y1570,$N$3:$Y$3,$N$2:$Y$2),SUMPRODUCT(N1570:Y1570,$N$4:$Y$4,$N$2:$Y$2))/(Z1570/($K1570*$L1570*$M1570)),"")</f>
        <v/>
      </c>
      <c r="AC1570" s="18" t="n"/>
    </row>
    <row r="1571">
      <c r="A1571" s="9" t="n">
        <v>702524</v>
      </c>
      <c r="B1571" s="9" t="inlineStr">
        <is>
          <t>Logan Sauve</t>
        </is>
      </c>
      <c r="C1571" s="9" t="inlineStr">
        <is>
          <t>OAK</t>
        </is>
      </c>
      <c r="D1571" s="9" t="n">
        <v>25</v>
      </c>
      <c r="E1571" s="16" t="inlineStr">
        <is>
          <t>R</t>
        </is>
      </c>
      <c r="F1571" s="16" t="n"/>
      <c r="G1571" s="9" t="n">
        <v>14</v>
      </c>
      <c r="H1571" s="9" t="n">
        <v>14</v>
      </c>
      <c r="I1571" s="9" t="inlineStr">
        <is>
          <t>Depth (no MLB PA)</t>
        </is>
      </c>
      <c r="J1571" s="16" t="inlineStr">
        <is>
          <t>Opening Day</t>
        </is>
      </c>
      <c r="K1571" s="11">
        <f>IFERROR(INDEX(Roles!$B$17:$B$20,MATCH(J1571,Roles!$A$17:$A$20,0)),1)</f>
        <v/>
      </c>
      <c r="L1571" s="17" t="n">
        <v>1</v>
      </c>
      <c r="M1571" s="11" t="n">
        <v>1</v>
      </c>
      <c r="N1571" s="17" t="n"/>
      <c r="O1571" s="17" t="n"/>
      <c r="P1571" s="17" t="n"/>
      <c r="Q1571" s="17" t="n"/>
      <c r="R1571" s="17" t="n"/>
      <c r="S1571" s="17" t="n"/>
      <c r="T1571" s="17" t="n"/>
      <c r="U1571" s="17" t="n"/>
      <c r="V1571" s="17" t="n"/>
      <c r="W1571" s="17" t="n"/>
      <c r="X1571" s="17" t="n"/>
      <c r="Y1571" s="17" t="n">
        <v>1</v>
      </c>
      <c r="Z1571" s="13">
        <f>SUMPRODUCT(N1571:Y1571,$N$2:$Y$2)*$K1571*$L1571*$M1571</f>
        <v/>
      </c>
      <c r="AA1571" s="14">
        <f>SUM(N1571:Y1571)</f>
        <v/>
      </c>
      <c r="AB1571" s="14">
        <f>IFERROR(IF(UPPER($E1571)="L",SUMPRODUCT(N1571:Y1571,$N$3:$Y$3,$N$2:$Y$2),SUMPRODUCT(N1571:Y1571,$N$4:$Y$4,$N$2:$Y$2))/(Z1571/($K1571*$L1571*$M1571)),"")</f>
        <v/>
      </c>
      <c r="AC1571" s="18" t="n"/>
    </row>
    <row r="1572">
      <c r="A1572" s="9" t="n">
        <v>806967</v>
      </c>
      <c r="B1572" s="9" t="inlineStr">
        <is>
          <t>Brailer Guerrero</t>
        </is>
      </c>
      <c r="C1572" s="9" t="inlineStr">
        <is>
          <t>TB</t>
        </is>
      </c>
      <c r="D1572" s="9" t="n">
        <v>25</v>
      </c>
      <c r="E1572" s="16" t="inlineStr">
        <is>
          <t>L</t>
        </is>
      </c>
      <c r="F1572" s="16" t="n"/>
      <c r="G1572" s="9" t="n">
        <v>24.86153846153847</v>
      </c>
      <c r="H1572" s="9" t="n">
        <v>24.86153846153847</v>
      </c>
      <c r="I1572" s="9" t="inlineStr">
        <is>
          <t>Depth (no MLB PA)</t>
        </is>
      </c>
      <c r="J1572" s="16" t="inlineStr">
        <is>
          <t>Opening Day</t>
        </is>
      </c>
      <c r="K1572" s="11">
        <f>IFERROR(INDEX(Roles!$B$17:$B$20,MATCH(J1572,Roles!$A$17:$A$20,0)),1)</f>
        <v/>
      </c>
      <c r="L1572" s="17" t="n">
        <v>1</v>
      </c>
      <c r="M1572" s="11" t="n">
        <v>1</v>
      </c>
      <c r="N1572" s="17" t="n"/>
      <c r="O1572" s="17" t="n"/>
      <c r="P1572" s="17" t="n"/>
      <c r="Q1572" s="17" t="n"/>
      <c r="R1572" s="17" t="n"/>
      <c r="S1572" s="17" t="n"/>
      <c r="T1572" s="17" t="n"/>
      <c r="U1572" s="17" t="n"/>
      <c r="V1572" s="17" t="n"/>
      <c r="W1572" s="17" t="n"/>
      <c r="X1572" s="17" t="n"/>
      <c r="Y1572" s="17" t="n">
        <v>1</v>
      </c>
      <c r="Z1572" s="13">
        <f>SUMPRODUCT(N1572:Y1572,$N$2:$Y$2)*$K1572*$L1572*$M1572</f>
        <v/>
      </c>
      <c r="AA1572" s="14">
        <f>SUM(N1572:Y1572)</f>
        <v/>
      </c>
      <c r="AB1572" s="14">
        <f>IFERROR(IF(UPPER($E1572)="L",SUMPRODUCT(N1572:Y1572,$N$3:$Y$3,$N$2:$Y$2),SUMPRODUCT(N1572:Y1572,$N$4:$Y$4,$N$2:$Y$2))/(Z1572/($K1572*$L1572*$M1572)),"")</f>
        <v/>
      </c>
      <c r="AC1572" s="18" t="n"/>
    </row>
    <row r="1573">
      <c r="A1573" s="9" t="n">
        <v>807737</v>
      </c>
      <c r="B1573" s="9" t="inlineStr">
        <is>
          <t>TJayy Walton</t>
        </is>
      </c>
      <c r="C1573" s="9" t="inlineStr">
        <is>
          <t>PHI</t>
        </is>
      </c>
      <c r="D1573" s="9" t="n">
        <v>25</v>
      </c>
      <c r="E1573" s="16" t="inlineStr">
        <is>
          <t>R</t>
        </is>
      </c>
      <c r="F1573" s="16" t="n"/>
      <c r="G1573" s="9" t="n">
        <v>18.46153846153846</v>
      </c>
      <c r="H1573" s="9" t="n">
        <v>18.46153846153846</v>
      </c>
      <c r="I1573" s="9" t="inlineStr">
        <is>
          <t>Depth (no MLB PA)</t>
        </is>
      </c>
      <c r="J1573" s="16" t="inlineStr">
        <is>
          <t>Opening Day</t>
        </is>
      </c>
      <c r="K1573" s="11">
        <f>IFERROR(INDEX(Roles!$B$17:$B$20,MATCH(J1573,Roles!$A$17:$A$20,0)),1)</f>
        <v/>
      </c>
      <c r="L1573" s="17" t="n">
        <v>1</v>
      </c>
      <c r="M1573" s="11" t="n">
        <v>1</v>
      </c>
      <c r="N1573" s="17" t="n"/>
      <c r="O1573" s="17" t="n"/>
      <c r="P1573" s="17" t="n"/>
      <c r="Q1573" s="17" t="n"/>
      <c r="R1573" s="17" t="n"/>
      <c r="S1573" s="17" t="n"/>
      <c r="T1573" s="17" t="n"/>
      <c r="U1573" s="17" t="n"/>
      <c r="V1573" s="17" t="n"/>
      <c r="W1573" s="17" t="n"/>
      <c r="X1573" s="17" t="n"/>
      <c r="Y1573" s="17" t="n">
        <v>1</v>
      </c>
      <c r="Z1573" s="13">
        <f>SUMPRODUCT(N1573:Y1573,$N$2:$Y$2)*$K1573*$L1573*$M1573</f>
        <v/>
      </c>
      <c r="AA1573" s="14">
        <f>SUM(N1573:Y1573)</f>
        <v/>
      </c>
      <c r="AB1573" s="14">
        <f>IFERROR(IF(UPPER($E1573)="L",SUMPRODUCT(N1573:Y1573,$N$3:$Y$3,$N$2:$Y$2),SUMPRODUCT(N1573:Y1573,$N$4:$Y$4,$N$2:$Y$2))/(Z1573/($K1573*$L1573*$M1573)),"")</f>
        <v/>
      </c>
      <c r="AC1573" s="18" t="n"/>
    </row>
    <row r="1574">
      <c r="A1574" s="9" t="n">
        <v>809397</v>
      </c>
      <c r="B1574" s="9" t="inlineStr">
        <is>
          <t>Juan Cruz</t>
        </is>
      </c>
      <c r="C1574" s="9" t="inlineStr">
        <is>
          <t>WSH</t>
        </is>
      </c>
      <c r="D1574" s="9" t="n">
        <v>25</v>
      </c>
      <c r="E1574" s="16" t="inlineStr">
        <is>
          <t>R</t>
        </is>
      </c>
      <c r="F1574" s="16" t="n"/>
      <c r="G1574" s="9" t="n">
        <v>40.98461538461538</v>
      </c>
      <c r="H1574" s="9" t="n">
        <v>40.98461538461538</v>
      </c>
      <c r="I1574" s="9" t="inlineStr">
        <is>
          <t>Depth (no MLB PA)</t>
        </is>
      </c>
      <c r="J1574" s="16" t="inlineStr">
        <is>
          <t>Opening Day</t>
        </is>
      </c>
      <c r="K1574" s="11">
        <f>IFERROR(INDEX(Roles!$B$17:$B$20,MATCH(J1574,Roles!$A$17:$A$20,0)),1)</f>
        <v/>
      </c>
      <c r="L1574" s="17" t="n">
        <v>1</v>
      </c>
      <c r="M1574" s="11" t="n">
        <v>1</v>
      </c>
      <c r="N1574" s="17" t="n"/>
      <c r="O1574" s="17" t="n"/>
      <c r="P1574" s="17" t="n"/>
      <c r="Q1574" s="17" t="n"/>
      <c r="R1574" s="17" t="n"/>
      <c r="S1574" s="17" t="n"/>
      <c r="T1574" s="17" t="n"/>
      <c r="U1574" s="17" t="n"/>
      <c r="V1574" s="17" t="n"/>
      <c r="W1574" s="17" t="n"/>
      <c r="X1574" s="17" t="n"/>
      <c r="Y1574" s="17" t="n">
        <v>1</v>
      </c>
      <c r="Z1574" s="13">
        <f>SUMPRODUCT(N1574:Y1574,$N$2:$Y$2)*$K1574*$L1574*$M1574</f>
        <v/>
      </c>
      <c r="AA1574" s="14">
        <f>SUM(N1574:Y1574)</f>
        <v/>
      </c>
      <c r="AB1574" s="14">
        <f>IFERROR(IF(UPPER($E1574)="L",SUMPRODUCT(N1574:Y1574,$N$3:$Y$3,$N$2:$Y$2),SUMPRODUCT(N1574:Y1574,$N$4:$Y$4,$N$2:$Y$2))/(Z1574/($K1574*$L1574*$M1574)),"")</f>
        <v/>
      </c>
      <c r="AC1574" s="18" t="n"/>
    </row>
    <row r="1575">
      <c r="A1575" s="9" t="n">
        <v>825582</v>
      </c>
      <c r="B1575" s="9" t="inlineStr">
        <is>
          <t>Nate George</t>
        </is>
      </c>
      <c r="C1575" s="9" t="inlineStr">
        <is>
          <t>BAL</t>
        </is>
      </c>
      <c r="D1575" s="9" t="n">
        <v>21</v>
      </c>
      <c r="E1575" s="16" t="inlineStr">
        <is>
          <t>R</t>
        </is>
      </c>
      <c r="F1575" s="16" t="n"/>
      <c r="G1575" s="9" t="n">
        <v>18.87179487179487</v>
      </c>
      <c r="H1575" s="9" t="n">
        <v>18.87179487179487</v>
      </c>
      <c r="I1575" s="9" t="inlineStr">
        <is>
          <t>Depth (no MLB PA)</t>
        </is>
      </c>
      <c r="J1575" s="16" t="inlineStr">
        <is>
          <t>Opening Day</t>
        </is>
      </c>
      <c r="K1575" s="11">
        <f>IFERROR(INDEX(Roles!$B$17:$B$20,MATCH(J1575,Roles!$A$17:$A$20,0)),1)</f>
        <v/>
      </c>
      <c r="L1575" s="17" t="n">
        <v>1</v>
      </c>
      <c r="M1575" s="11" t="n">
        <v>1</v>
      </c>
      <c r="N1575" s="17" t="n"/>
      <c r="O1575" s="17" t="n"/>
      <c r="P1575" s="17" t="n"/>
      <c r="Q1575" s="17" t="n"/>
      <c r="R1575" s="17" t="n"/>
      <c r="S1575" s="17" t="n"/>
      <c r="T1575" s="17" t="n"/>
      <c r="U1575" s="17" t="n"/>
      <c r="V1575" s="17" t="n"/>
      <c r="W1575" s="17" t="n"/>
      <c r="X1575" s="17" t="n"/>
      <c r="Y1575" s="17" t="n">
        <v>1</v>
      </c>
      <c r="Z1575" s="13">
        <f>SUMPRODUCT(N1575:Y1575,$N$2:$Y$2)*$K1575*$L1575*$M1575</f>
        <v/>
      </c>
      <c r="AA1575" s="14">
        <f>SUM(N1575:Y1575)</f>
        <v/>
      </c>
      <c r="AB1575" s="14">
        <f>IFERROR(IF(UPPER($E1575)="L",SUMPRODUCT(N1575:Y1575,$N$3:$Y$3,$N$2:$Y$2),SUMPRODUCT(N1575:Y1575,$N$4:$Y$4,$N$2:$Y$2))/(Z1575/($K1575*$L1575*$M1575)),"")</f>
        <v/>
      </c>
      <c r="AC1575" s="18" t="n"/>
    </row>
    <row r="1576">
      <c r="A1576" s="9" t="n">
        <v>694754</v>
      </c>
      <c r="B1576" s="9" t="inlineStr">
        <is>
          <t>Sabin Ceballos</t>
        </is>
      </c>
      <c r="C1576" s="9" t="inlineStr">
        <is>
          <t>SF</t>
        </is>
      </c>
      <c r="D1576" s="9" t="n">
        <v>25</v>
      </c>
      <c r="E1576" s="16" t="inlineStr">
        <is>
          <t>R</t>
        </is>
      </c>
      <c r="F1576" s="16" t="n"/>
      <c r="G1576" s="9" t="n">
        <v>174.8205128205128</v>
      </c>
      <c r="H1576" s="9" t="n">
        <v>174.8205128205128</v>
      </c>
      <c r="I1576" s="9" t="inlineStr">
        <is>
          <t>Depth (no MLB PA)</t>
        </is>
      </c>
      <c r="J1576" s="16" t="inlineStr">
        <is>
          <t>Opening Day</t>
        </is>
      </c>
      <c r="K1576" s="11">
        <f>IFERROR(INDEX(Roles!$B$17:$B$20,MATCH(J1576,Roles!$A$17:$A$20,0)),1)</f>
        <v/>
      </c>
      <c r="L1576" s="17" t="n">
        <v>1</v>
      </c>
      <c r="M1576" s="11" t="n">
        <v>1</v>
      </c>
      <c r="N1576" s="17" t="n"/>
      <c r="O1576" s="17" t="n"/>
      <c r="P1576" s="17" t="n"/>
      <c r="Q1576" s="17" t="n"/>
      <c r="R1576" s="17" t="n"/>
      <c r="S1576" s="17" t="n"/>
      <c r="T1576" s="17" t="n"/>
      <c r="U1576" s="17" t="n"/>
      <c r="V1576" s="17" t="n"/>
      <c r="W1576" s="17" t="n"/>
      <c r="X1576" s="17" t="n"/>
      <c r="Y1576" s="17" t="n">
        <v>1</v>
      </c>
      <c r="Z1576" s="13">
        <f>SUMPRODUCT(N1576:Y1576,$N$2:$Y$2)*$K1576*$L1576*$M1576</f>
        <v/>
      </c>
      <c r="AA1576" s="14">
        <f>SUM(N1576:Y1576)</f>
        <v/>
      </c>
      <c r="AB1576" s="14">
        <f>IFERROR(IF(UPPER($E1576)="L",SUMPRODUCT(N1576:Y1576,$N$3:$Y$3,$N$2:$Y$2),SUMPRODUCT(N1576:Y1576,$N$4:$Y$4,$N$2:$Y$2))/(Z1576/($K1576*$L1576*$M1576)),"")</f>
        <v/>
      </c>
      <c r="AC1576" s="18" t="n"/>
    </row>
    <row r="1577">
      <c r="A1577" s="9" t="n">
        <v>823817</v>
      </c>
      <c r="B1577" s="9" t="inlineStr">
        <is>
          <t>Jake McCutcheon</t>
        </is>
      </c>
      <c r="C1577" s="9" t="inlineStr">
        <is>
          <t>MIA</t>
        </is>
      </c>
      <c r="D1577" s="9" t="n">
        <v>25</v>
      </c>
      <c r="E1577" s="16" t="inlineStr">
        <is>
          <t>L</t>
        </is>
      </c>
      <c r="F1577" s="16" t="n"/>
      <c r="G1577" s="9" t="n">
        <v>14.35897435897436</v>
      </c>
      <c r="H1577" s="9" t="n">
        <v>14.35897435897436</v>
      </c>
      <c r="I1577" s="9" t="inlineStr">
        <is>
          <t>Depth (no MLB PA)</t>
        </is>
      </c>
      <c r="J1577" s="16" t="inlineStr">
        <is>
          <t>Opening Day</t>
        </is>
      </c>
      <c r="K1577" s="11">
        <f>IFERROR(INDEX(Roles!$B$17:$B$20,MATCH(J1577,Roles!$A$17:$A$20,0)),1)</f>
        <v/>
      </c>
      <c r="L1577" s="17" t="n">
        <v>1</v>
      </c>
      <c r="M1577" s="11" t="n">
        <v>1</v>
      </c>
      <c r="N1577" s="17" t="n"/>
      <c r="O1577" s="17" t="n"/>
      <c r="P1577" s="17" t="n"/>
      <c r="Q1577" s="17" t="n"/>
      <c r="R1577" s="17" t="n"/>
      <c r="S1577" s="17" t="n"/>
      <c r="T1577" s="17" t="n"/>
      <c r="U1577" s="17" t="n"/>
      <c r="V1577" s="17" t="n"/>
      <c r="W1577" s="17" t="n"/>
      <c r="X1577" s="17" t="n"/>
      <c r="Y1577" s="17" t="n">
        <v>1</v>
      </c>
      <c r="Z1577" s="13">
        <f>SUMPRODUCT(N1577:Y1577,$N$2:$Y$2)*$K1577*$L1577*$M1577</f>
        <v/>
      </c>
      <c r="AA1577" s="14">
        <f>SUM(N1577:Y1577)</f>
        <v/>
      </c>
      <c r="AB1577" s="14">
        <f>IFERROR(IF(UPPER($E1577)="L",SUMPRODUCT(N1577:Y1577,$N$3:$Y$3,$N$2:$Y$2),SUMPRODUCT(N1577:Y1577,$N$4:$Y$4,$N$2:$Y$2))/(Z1577/($K1577*$L1577*$M1577)),"")</f>
        <v/>
      </c>
      <c r="AC1577" s="18" t="n"/>
    </row>
    <row r="1578">
      <c r="A1578" s="9" t="n">
        <v>821692</v>
      </c>
      <c r="B1578" s="9" t="inlineStr">
        <is>
          <t>Cristian Arguelles</t>
        </is>
      </c>
      <c r="C1578" s="9" t="inlineStr">
        <is>
          <t>COL</t>
        </is>
      </c>
      <c r="D1578" s="9" t="n">
        <v>20</v>
      </c>
      <c r="E1578" s="16" t="inlineStr">
        <is>
          <t>L</t>
        </is>
      </c>
      <c r="F1578" s="16" t="n"/>
      <c r="G1578" s="9" t="n">
        <v>19.44615384615384</v>
      </c>
      <c r="H1578" s="9" t="n">
        <v>19.44615384615384</v>
      </c>
      <c r="I1578" s="9" t="inlineStr">
        <is>
          <t>Depth (no MLB PA)</t>
        </is>
      </c>
      <c r="J1578" s="16" t="inlineStr">
        <is>
          <t>Opening Day</t>
        </is>
      </c>
      <c r="K1578" s="11">
        <f>IFERROR(INDEX(Roles!$B$17:$B$20,MATCH(J1578,Roles!$A$17:$A$20,0)),1)</f>
        <v/>
      </c>
      <c r="L1578" s="17" t="n">
        <v>1</v>
      </c>
      <c r="M1578" s="11" t="n">
        <v>1</v>
      </c>
      <c r="N1578" s="17" t="n"/>
      <c r="O1578" s="17" t="n"/>
      <c r="P1578" s="17" t="n"/>
      <c r="Q1578" s="17" t="n"/>
      <c r="R1578" s="17" t="n"/>
      <c r="S1578" s="17" t="n"/>
      <c r="T1578" s="17" t="n"/>
      <c r="U1578" s="17" t="n"/>
      <c r="V1578" s="17" t="n"/>
      <c r="W1578" s="17" t="n"/>
      <c r="X1578" s="17" t="n"/>
      <c r="Y1578" s="17" t="n">
        <v>1</v>
      </c>
      <c r="Z1578" s="13">
        <f>SUMPRODUCT(N1578:Y1578,$N$2:$Y$2)*$K1578*$L1578*$M1578</f>
        <v/>
      </c>
      <c r="AA1578" s="14">
        <f>SUM(N1578:Y1578)</f>
        <v/>
      </c>
      <c r="AB1578" s="14">
        <f>IFERROR(IF(UPPER($E1578)="L",SUMPRODUCT(N1578:Y1578,$N$3:$Y$3,$N$2:$Y$2),SUMPRODUCT(N1578:Y1578,$N$4:$Y$4,$N$2:$Y$2))/(Z1578/($K1578*$L1578*$M1578)),"")</f>
        <v/>
      </c>
      <c r="AC1578" s="18" t="n"/>
    </row>
    <row r="1579">
      <c r="A1579" s="9" t="n">
        <v>703612</v>
      </c>
      <c r="B1579" s="9" t="inlineStr">
        <is>
          <t>Nick Peoples</t>
        </is>
      </c>
      <c r="C1579" s="9" t="inlineStr">
        <is>
          <t>WSH</t>
        </is>
      </c>
      <c r="D1579" s="9" t="n">
        <v>25</v>
      </c>
      <c r="E1579" s="16" t="inlineStr">
        <is>
          <t>L</t>
        </is>
      </c>
      <c r="F1579" s="16" t="n"/>
      <c r="G1579" s="9" t="n">
        <v>31.01538461538461</v>
      </c>
      <c r="H1579" s="9" t="n">
        <v>31.01538461538461</v>
      </c>
      <c r="I1579" s="9" t="inlineStr">
        <is>
          <t>Depth (no MLB PA)</t>
        </is>
      </c>
      <c r="J1579" s="16" t="inlineStr">
        <is>
          <t>Opening Day</t>
        </is>
      </c>
      <c r="K1579" s="11">
        <f>IFERROR(INDEX(Roles!$B$17:$B$20,MATCH(J1579,Roles!$A$17:$A$20,0)),1)</f>
        <v/>
      </c>
      <c r="L1579" s="17" t="n">
        <v>1</v>
      </c>
      <c r="M1579" s="11" t="n">
        <v>1</v>
      </c>
      <c r="N1579" s="17" t="n"/>
      <c r="O1579" s="17" t="n"/>
      <c r="P1579" s="17" t="n"/>
      <c r="Q1579" s="17" t="n"/>
      <c r="R1579" s="17" t="n"/>
      <c r="S1579" s="17" t="n"/>
      <c r="T1579" s="17" t="n"/>
      <c r="U1579" s="17" t="n"/>
      <c r="V1579" s="17" t="n"/>
      <c r="W1579" s="17" t="n"/>
      <c r="X1579" s="17" t="n"/>
      <c r="Y1579" s="17" t="n">
        <v>1</v>
      </c>
      <c r="Z1579" s="13">
        <f>SUMPRODUCT(N1579:Y1579,$N$2:$Y$2)*$K1579*$L1579*$M1579</f>
        <v/>
      </c>
      <c r="AA1579" s="14">
        <f>SUM(N1579:Y1579)</f>
        <v/>
      </c>
      <c r="AB1579" s="14">
        <f>IFERROR(IF(UPPER($E1579)="L",SUMPRODUCT(N1579:Y1579,$N$3:$Y$3,$N$2:$Y$2),SUMPRODUCT(N1579:Y1579,$N$4:$Y$4,$N$2:$Y$2))/(Z1579/($K1579*$L1579*$M1579)),"")</f>
        <v/>
      </c>
      <c r="AC1579" s="18" t="n"/>
    </row>
    <row r="1580">
      <c r="A1580" s="9" t="n">
        <v>691262</v>
      </c>
      <c r="B1580" s="9" t="inlineStr">
        <is>
          <t>Reginald Preciado</t>
        </is>
      </c>
      <c r="C1580" s="9" t="inlineStr">
        <is>
          <t>CHC</t>
        </is>
      </c>
      <c r="D1580" s="9" t="n">
        <v>25</v>
      </c>
      <c r="E1580" s="16" t="inlineStr">
        <is>
          <t>R</t>
        </is>
      </c>
      <c r="F1580" s="16" t="n"/>
      <c r="G1580" s="9" t="n">
        <v>22.56410256410257</v>
      </c>
      <c r="H1580" s="9" t="n">
        <v>22.56410256410257</v>
      </c>
      <c r="I1580" s="9" t="inlineStr">
        <is>
          <t>Depth (no MLB PA)</t>
        </is>
      </c>
      <c r="J1580" s="16" t="inlineStr">
        <is>
          <t>Opening Day</t>
        </is>
      </c>
      <c r="K1580" s="11">
        <f>IFERROR(INDEX(Roles!$B$17:$B$20,MATCH(J1580,Roles!$A$17:$A$20,0)),1)</f>
        <v/>
      </c>
      <c r="L1580" s="17" t="n">
        <v>1</v>
      </c>
      <c r="M1580" s="11" t="n">
        <v>1</v>
      </c>
      <c r="N1580" s="17" t="n"/>
      <c r="O1580" s="17" t="n"/>
      <c r="P1580" s="17" t="n"/>
      <c r="Q1580" s="17" t="n"/>
      <c r="R1580" s="17" t="n"/>
      <c r="S1580" s="17" t="n"/>
      <c r="T1580" s="17" t="n"/>
      <c r="U1580" s="17" t="n"/>
      <c r="V1580" s="17" t="n"/>
      <c r="W1580" s="17" t="n"/>
      <c r="X1580" s="17" t="n"/>
      <c r="Y1580" s="17" t="n">
        <v>1</v>
      </c>
      <c r="Z1580" s="13">
        <f>SUMPRODUCT(N1580:Y1580,$N$2:$Y$2)*$K1580*$L1580*$M1580</f>
        <v/>
      </c>
      <c r="AA1580" s="14">
        <f>SUM(N1580:Y1580)</f>
        <v/>
      </c>
      <c r="AB1580" s="14">
        <f>IFERROR(IF(UPPER($E1580)="L",SUMPRODUCT(N1580:Y1580,$N$3:$Y$3,$N$2:$Y$2),SUMPRODUCT(N1580:Y1580,$N$4:$Y$4,$N$2:$Y$2))/(Z1580/($K1580*$L1580*$M1580)),"")</f>
        <v/>
      </c>
      <c r="AC1580" s="18" t="n"/>
    </row>
    <row r="1581">
      <c r="A1581" s="9" t="n">
        <v>691942</v>
      </c>
      <c r="B1581" s="9" t="inlineStr">
        <is>
          <t>Jack O'Dowd</t>
        </is>
      </c>
      <c r="C1581" s="9" t="inlineStr">
        <is>
          <t>COL</t>
        </is>
      </c>
      <c r="D1581" s="9" t="n">
        <v>25</v>
      </c>
      <c r="E1581" s="16" t="inlineStr">
        <is>
          <t>L</t>
        </is>
      </c>
      <c r="F1581" s="16" t="n"/>
      <c r="G1581" s="9" t="n">
        <v>75.02564102564102</v>
      </c>
      <c r="H1581" s="9" t="n">
        <v>75.02564102564102</v>
      </c>
      <c r="I1581" s="9" t="inlineStr">
        <is>
          <t>Depth (no MLB PA)</t>
        </is>
      </c>
      <c r="J1581" s="16" t="inlineStr">
        <is>
          <t>Opening Day</t>
        </is>
      </c>
      <c r="K1581" s="11">
        <f>IFERROR(INDEX(Roles!$B$17:$B$20,MATCH(J1581,Roles!$A$17:$A$20,0)),1)</f>
        <v/>
      </c>
      <c r="L1581" s="17" t="n">
        <v>1</v>
      </c>
      <c r="M1581" s="11" t="n">
        <v>1</v>
      </c>
      <c r="N1581" s="17" t="n"/>
      <c r="O1581" s="17" t="n"/>
      <c r="P1581" s="17" t="n"/>
      <c r="Q1581" s="17" t="n"/>
      <c r="R1581" s="17" t="n"/>
      <c r="S1581" s="17" t="n"/>
      <c r="T1581" s="17" t="n"/>
      <c r="U1581" s="17" t="n"/>
      <c r="V1581" s="17" t="n"/>
      <c r="W1581" s="17" t="n"/>
      <c r="X1581" s="17" t="n"/>
      <c r="Y1581" s="17" t="n">
        <v>1</v>
      </c>
      <c r="Z1581" s="13">
        <f>SUMPRODUCT(N1581:Y1581,$N$2:$Y$2)*$K1581*$L1581*$M1581</f>
        <v/>
      </c>
      <c r="AA1581" s="14">
        <f>SUM(N1581:Y1581)</f>
        <v/>
      </c>
      <c r="AB1581" s="14">
        <f>IFERROR(IF(UPPER($E1581)="L",SUMPRODUCT(N1581:Y1581,$N$3:$Y$3,$N$2:$Y$2),SUMPRODUCT(N1581:Y1581,$N$4:$Y$4,$N$2:$Y$2))/(Z1581/($K1581*$L1581*$M1581)),"")</f>
        <v/>
      </c>
      <c r="AC1581" s="18" t="n"/>
    </row>
    <row r="1582">
      <c r="A1582" s="9" t="n">
        <v>815464</v>
      </c>
      <c r="B1582" s="9" t="inlineStr">
        <is>
          <t>Lisbel Diaz</t>
        </is>
      </c>
      <c r="C1582" s="9" t="inlineStr">
        <is>
          <t>SF</t>
        </is>
      </c>
      <c r="D1582" s="9" t="n">
        <v>25</v>
      </c>
      <c r="E1582" s="16" t="inlineStr">
        <is>
          <t>R</t>
        </is>
      </c>
      <c r="F1582" s="16" t="n"/>
      <c r="G1582" s="9" t="n">
        <v>32.30769230769231</v>
      </c>
      <c r="H1582" s="9" t="n">
        <v>32.30769230769231</v>
      </c>
      <c r="I1582" s="9" t="inlineStr">
        <is>
          <t>Depth (no MLB PA)</t>
        </is>
      </c>
      <c r="J1582" s="16" t="inlineStr">
        <is>
          <t>Opening Day</t>
        </is>
      </c>
      <c r="K1582" s="11">
        <f>IFERROR(INDEX(Roles!$B$17:$B$20,MATCH(J1582,Roles!$A$17:$A$20,0)),1)</f>
        <v/>
      </c>
      <c r="L1582" s="17" t="n">
        <v>1</v>
      </c>
      <c r="M1582" s="11" t="n">
        <v>1</v>
      </c>
      <c r="N1582" s="17" t="n"/>
      <c r="O1582" s="17" t="n"/>
      <c r="P1582" s="17" t="n"/>
      <c r="Q1582" s="17" t="n"/>
      <c r="R1582" s="17" t="n"/>
      <c r="S1582" s="17" t="n"/>
      <c r="T1582" s="17" t="n"/>
      <c r="U1582" s="17" t="n"/>
      <c r="V1582" s="17" t="n"/>
      <c r="W1582" s="17" t="n"/>
      <c r="X1582" s="17" t="n"/>
      <c r="Y1582" s="17" t="n">
        <v>1</v>
      </c>
      <c r="Z1582" s="13">
        <f>SUMPRODUCT(N1582:Y1582,$N$2:$Y$2)*$K1582*$L1582*$M1582</f>
        <v/>
      </c>
      <c r="AA1582" s="14">
        <f>SUM(N1582:Y1582)</f>
        <v/>
      </c>
      <c r="AB1582" s="14">
        <f>IFERROR(IF(UPPER($E1582)="L",SUMPRODUCT(N1582:Y1582,$N$3:$Y$3,$N$2:$Y$2),SUMPRODUCT(N1582:Y1582,$N$4:$Y$4,$N$2:$Y$2))/(Z1582/($K1582*$L1582*$M1582)),"")</f>
        <v/>
      </c>
      <c r="AC1582" s="18" t="n"/>
    </row>
    <row r="1583">
      <c r="A1583" s="9" t="n">
        <v>834408</v>
      </c>
      <c r="B1583" s="9" t="inlineStr">
        <is>
          <t>JC Vanek</t>
        </is>
      </c>
      <c r="C1583" s="9" t="inlineStr">
        <is>
          <t>KC</t>
        </is>
      </c>
      <c r="D1583" s="9" t="n">
        <v>25</v>
      </c>
      <c r="E1583" s="16" t="inlineStr">
        <is>
          <t>L</t>
        </is>
      </c>
      <c r="F1583" s="16" t="n"/>
      <c r="G1583" s="9" t="n">
        <v>44.67692307692308</v>
      </c>
      <c r="H1583" s="9" t="n">
        <v>44.67692307692308</v>
      </c>
      <c r="I1583" s="9" t="inlineStr">
        <is>
          <t>Depth (no MLB PA)</t>
        </is>
      </c>
      <c r="J1583" s="16" t="inlineStr">
        <is>
          <t>Opening Day</t>
        </is>
      </c>
      <c r="K1583" s="11">
        <f>IFERROR(INDEX(Roles!$B$17:$B$20,MATCH(J1583,Roles!$A$17:$A$20,0)),1)</f>
        <v/>
      </c>
      <c r="L1583" s="17" t="n">
        <v>1</v>
      </c>
      <c r="M1583" s="11" t="n">
        <v>1</v>
      </c>
      <c r="N1583" s="17" t="n"/>
      <c r="O1583" s="17" t="n"/>
      <c r="P1583" s="17" t="n"/>
      <c r="Q1583" s="17" t="n"/>
      <c r="R1583" s="17" t="n"/>
      <c r="S1583" s="17" t="n"/>
      <c r="T1583" s="17" t="n"/>
      <c r="U1583" s="17" t="n"/>
      <c r="V1583" s="17" t="n"/>
      <c r="W1583" s="17" t="n"/>
      <c r="X1583" s="17" t="n"/>
      <c r="Y1583" s="17" t="n">
        <v>1</v>
      </c>
      <c r="Z1583" s="13">
        <f>SUMPRODUCT(N1583:Y1583,$N$2:$Y$2)*$K1583*$L1583*$M1583</f>
        <v/>
      </c>
      <c r="AA1583" s="14">
        <f>SUM(N1583:Y1583)</f>
        <v/>
      </c>
      <c r="AB1583" s="14">
        <f>IFERROR(IF(UPPER($E1583)="L",SUMPRODUCT(N1583:Y1583,$N$3:$Y$3,$N$2:$Y$2),SUMPRODUCT(N1583:Y1583,$N$4:$Y$4,$N$2:$Y$2))/(Z1583/($K1583*$L1583*$M1583)),"")</f>
        <v/>
      </c>
      <c r="AC1583" s="18" t="n"/>
    </row>
    <row r="1584">
      <c r="A1584" s="9" t="n">
        <v>702486</v>
      </c>
      <c r="B1584" s="9" t="inlineStr">
        <is>
          <t>Jaxson West</t>
        </is>
      </c>
      <c r="C1584" s="9" t="inlineStr">
        <is>
          <t>TOR</t>
        </is>
      </c>
      <c r="D1584" s="9" t="n">
        <v>25</v>
      </c>
      <c r="E1584" s="16" t="inlineStr">
        <is>
          <t>L</t>
        </is>
      </c>
      <c r="F1584" s="16" t="n"/>
      <c r="G1584" s="9" t="n">
        <v>19.28205128205128</v>
      </c>
      <c r="H1584" s="9" t="n">
        <v>19.28205128205128</v>
      </c>
      <c r="I1584" s="9" t="inlineStr">
        <is>
          <t>Depth (no MLB PA)</t>
        </is>
      </c>
      <c r="J1584" s="16" t="inlineStr">
        <is>
          <t>Opening Day</t>
        </is>
      </c>
      <c r="K1584" s="11">
        <f>IFERROR(INDEX(Roles!$B$17:$B$20,MATCH(J1584,Roles!$A$17:$A$20,0)),1)</f>
        <v/>
      </c>
      <c r="L1584" s="17" t="n">
        <v>1</v>
      </c>
      <c r="M1584" s="11" t="n">
        <v>1</v>
      </c>
      <c r="N1584" s="17" t="n"/>
      <c r="O1584" s="17" t="n"/>
      <c r="P1584" s="17" t="n"/>
      <c r="Q1584" s="17" t="n"/>
      <c r="R1584" s="17" t="n"/>
      <c r="S1584" s="17" t="n"/>
      <c r="T1584" s="17" t="n"/>
      <c r="U1584" s="17" t="n"/>
      <c r="V1584" s="17" t="n"/>
      <c r="W1584" s="17" t="n"/>
      <c r="X1584" s="17" t="n"/>
      <c r="Y1584" s="17" t="n">
        <v>1</v>
      </c>
      <c r="Z1584" s="13">
        <f>SUMPRODUCT(N1584:Y1584,$N$2:$Y$2)*$K1584*$L1584*$M1584</f>
        <v/>
      </c>
      <c r="AA1584" s="14">
        <f>SUM(N1584:Y1584)</f>
        <v/>
      </c>
      <c r="AB1584" s="14">
        <f>IFERROR(IF(UPPER($E1584)="L",SUMPRODUCT(N1584:Y1584,$N$3:$Y$3,$N$2:$Y$2),SUMPRODUCT(N1584:Y1584,$N$4:$Y$4,$N$2:$Y$2))/(Z1584/($K1584*$L1584*$M1584)),"")</f>
        <v/>
      </c>
      <c r="AC1584" s="18" t="n"/>
    </row>
    <row r="1585">
      <c r="A1585" s="9" t="n">
        <v>801903</v>
      </c>
      <c r="B1585" s="9" t="inlineStr">
        <is>
          <t>Brock Tibbitts</t>
        </is>
      </c>
      <c r="C1585" s="9" t="inlineStr">
        <is>
          <t>TOR</t>
        </is>
      </c>
      <c r="D1585" s="9" t="n">
        <v>25</v>
      </c>
      <c r="E1585" s="16" t="inlineStr">
        <is>
          <t>R</t>
        </is>
      </c>
      <c r="F1585" s="16" t="n"/>
      <c r="G1585" s="9" t="n">
        <v>14.4</v>
      </c>
      <c r="H1585" s="9" t="n">
        <v>14.4</v>
      </c>
      <c r="I1585" s="9" t="inlineStr">
        <is>
          <t>Depth (no MLB PA)</t>
        </is>
      </c>
      <c r="J1585" s="16" t="inlineStr">
        <is>
          <t>Opening Day</t>
        </is>
      </c>
      <c r="K1585" s="11">
        <f>IFERROR(INDEX(Roles!$B$17:$B$20,MATCH(J1585,Roles!$A$17:$A$20,0)),1)</f>
        <v/>
      </c>
      <c r="L1585" s="17" t="n">
        <v>1</v>
      </c>
      <c r="M1585" s="11" t="n">
        <v>1</v>
      </c>
      <c r="N1585" s="17" t="n"/>
      <c r="O1585" s="17" t="n"/>
      <c r="P1585" s="17" t="n"/>
      <c r="Q1585" s="17" t="n"/>
      <c r="R1585" s="17" t="n"/>
      <c r="S1585" s="17" t="n"/>
      <c r="T1585" s="17" t="n"/>
      <c r="U1585" s="17" t="n"/>
      <c r="V1585" s="17" t="n"/>
      <c r="W1585" s="17" t="n"/>
      <c r="X1585" s="17" t="n"/>
      <c r="Y1585" s="17" t="n">
        <v>1</v>
      </c>
      <c r="Z1585" s="13">
        <f>SUMPRODUCT(N1585:Y1585,$N$2:$Y$2)*$K1585*$L1585*$M1585</f>
        <v/>
      </c>
      <c r="AA1585" s="14">
        <f>SUM(N1585:Y1585)</f>
        <v/>
      </c>
      <c r="AB1585" s="14">
        <f>IFERROR(IF(UPPER($E1585)="L",SUMPRODUCT(N1585:Y1585,$N$3:$Y$3,$N$2:$Y$2),SUMPRODUCT(N1585:Y1585,$N$4:$Y$4,$N$2:$Y$2))/(Z1585/($K1585*$L1585*$M1585)),"")</f>
        <v/>
      </c>
      <c r="AC1585" s="18" t="n"/>
    </row>
    <row r="1586">
      <c r="A1586" s="9" t="n">
        <v>571740</v>
      </c>
      <c r="B1586" s="9" t="inlineStr">
        <is>
          <t>Billy Hamilton</t>
        </is>
      </c>
      <c r="C1586" s="9" t="inlineStr">
        <is>
          <t>CWS</t>
        </is>
      </c>
      <c r="D1586" s="9" t="n">
        <v>36</v>
      </c>
      <c r="E1586" s="16" t="inlineStr">
        <is>
          <t>S</t>
        </is>
      </c>
      <c r="F1586" s="16" t="inlineStr">
        <is>
          <t>RF</t>
        </is>
      </c>
      <c r="G1586" s="9" t="n">
        <v>2</v>
      </c>
      <c r="H1586" s="9" t="n">
        <v>25</v>
      </c>
      <c r="I1586" s="9" t="inlineStr">
        <is>
          <t>Depth (no MLB PA)</t>
        </is>
      </c>
      <c r="J1586" s="16" t="inlineStr">
        <is>
          <t>Opening Day</t>
        </is>
      </c>
      <c r="K1586" s="11">
        <f>IFERROR(INDEX(Roles!$B$17:$B$20,MATCH(J1586,Roles!$A$17:$A$20,0)),1)</f>
        <v/>
      </c>
      <c r="L1586" s="17" t="n">
        <v>1</v>
      </c>
      <c r="M1586" s="11" t="n">
        <v>1</v>
      </c>
      <c r="N1586" s="17" t="n"/>
      <c r="O1586" s="17" t="n"/>
      <c r="P1586" s="17" t="n"/>
      <c r="Q1586" s="17" t="n"/>
      <c r="R1586" s="17" t="n"/>
      <c r="S1586" s="17" t="n"/>
      <c r="T1586" s="17" t="n"/>
      <c r="U1586" s="17" t="n"/>
      <c r="V1586" s="17" t="n"/>
      <c r="W1586" s="17" t="n"/>
      <c r="X1586" s="17" t="n"/>
      <c r="Y1586" s="17" t="n">
        <v>1</v>
      </c>
      <c r="Z1586" s="13">
        <f>SUMPRODUCT(N1586:Y1586,$N$2:$Y$2)*$K1586*$L1586*$M1586</f>
        <v/>
      </c>
      <c r="AA1586" s="14">
        <f>SUM(N1586:Y1586)</f>
        <v/>
      </c>
      <c r="AB1586" s="14">
        <f>IFERROR(IF(UPPER($E1586)="L",SUMPRODUCT(N1586:Y1586,$N$3:$Y$3,$N$2:$Y$2),SUMPRODUCT(N1586:Y1586,$N$4:$Y$4,$N$2:$Y$2))/(Z1586/($K1586*$L1586*$M1586)),"")</f>
        <v/>
      </c>
      <c r="AC1586" s="18" t="n"/>
    </row>
    <row r="1587">
      <c r="A1587" s="9" t="n">
        <v>828173</v>
      </c>
      <c r="B1587" s="9" t="inlineStr">
        <is>
          <t>Slater de Brun</t>
        </is>
      </c>
      <c r="C1587" s="9" t="inlineStr">
        <is>
          <t>TB</t>
        </is>
      </c>
      <c r="D1587" s="9" t="n">
        <v>20</v>
      </c>
      <c r="E1587" s="16" t="inlineStr">
        <is>
          <t>L</t>
        </is>
      </c>
      <c r="F1587" s="16" t="n"/>
      <c r="G1587" s="9" t="n">
        <v>14.76923076923077</v>
      </c>
      <c r="H1587" s="9" t="n">
        <v>14.76923076923077</v>
      </c>
      <c r="I1587" s="9" t="inlineStr">
        <is>
          <t>Depth (no MLB PA)</t>
        </is>
      </c>
      <c r="J1587" s="16" t="inlineStr">
        <is>
          <t>Opening Day</t>
        </is>
      </c>
      <c r="K1587" s="11">
        <f>IFERROR(INDEX(Roles!$B$17:$B$20,MATCH(J1587,Roles!$A$17:$A$20,0)),1)</f>
        <v/>
      </c>
      <c r="L1587" s="17" t="n">
        <v>1</v>
      </c>
      <c r="M1587" s="11" t="n">
        <v>1</v>
      </c>
      <c r="N1587" s="17" t="n"/>
      <c r="O1587" s="17" t="n"/>
      <c r="P1587" s="17" t="n"/>
      <c r="Q1587" s="17" t="n"/>
      <c r="R1587" s="17" t="n"/>
      <c r="S1587" s="17" t="n"/>
      <c r="T1587" s="17" t="n"/>
      <c r="U1587" s="17" t="n"/>
      <c r="V1587" s="17" t="n"/>
      <c r="W1587" s="17" t="n"/>
      <c r="X1587" s="17" t="n"/>
      <c r="Y1587" s="17" t="n">
        <v>1</v>
      </c>
      <c r="Z1587" s="13">
        <f>SUMPRODUCT(N1587:Y1587,$N$2:$Y$2)*$K1587*$L1587*$M1587</f>
        <v/>
      </c>
      <c r="AA1587" s="14">
        <f>SUM(N1587:Y1587)</f>
        <v/>
      </c>
      <c r="AB1587" s="14">
        <f>IFERROR(IF(UPPER($E1587)="L",SUMPRODUCT(N1587:Y1587,$N$3:$Y$3,$N$2:$Y$2),SUMPRODUCT(N1587:Y1587,$N$4:$Y$4,$N$2:$Y$2))/(Z1587/($K1587*$L1587*$M1587)),"")</f>
        <v/>
      </c>
      <c r="AC1587" s="18" t="n"/>
    </row>
    <row r="1588">
      <c r="A1588" s="9" t="n">
        <v>808104</v>
      </c>
      <c r="B1588" s="9" t="inlineStr">
        <is>
          <t>Andruw Musett</t>
        </is>
      </c>
      <c r="C1588" s="9" t="inlineStr">
        <is>
          <t>BOS</t>
        </is>
      </c>
      <c r="D1588" s="9" t="n">
        <v>25</v>
      </c>
      <c r="E1588" s="16" t="inlineStr">
        <is>
          <t>R</t>
        </is>
      </c>
      <c r="F1588" s="16" t="n"/>
      <c r="G1588" s="9" t="n">
        <v>23.63076923076923</v>
      </c>
      <c r="H1588" s="9" t="n">
        <v>23.63076923076923</v>
      </c>
      <c r="I1588" s="9" t="inlineStr">
        <is>
          <t>Depth (no MLB PA)</t>
        </is>
      </c>
      <c r="J1588" s="16" t="inlineStr">
        <is>
          <t>Opening Day</t>
        </is>
      </c>
      <c r="K1588" s="11">
        <f>IFERROR(INDEX(Roles!$B$17:$B$20,MATCH(J1588,Roles!$A$17:$A$20,0)),1)</f>
        <v/>
      </c>
      <c r="L1588" s="17" t="n">
        <v>1</v>
      </c>
      <c r="M1588" s="11" t="n">
        <v>1</v>
      </c>
      <c r="N1588" s="17" t="n"/>
      <c r="O1588" s="17" t="n"/>
      <c r="P1588" s="17" t="n"/>
      <c r="Q1588" s="17" t="n"/>
      <c r="R1588" s="17" t="n"/>
      <c r="S1588" s="17" t="n"/>
      <c r="T1588" s="17" t="n"/>
      <c r="U1588" s="17" t="n"/>
      <c r="V1588" s="17" t="n"/>
      <c r="W1588" s="17" t="n"/>
      <c r="X1588" s="17" t="n"/>
      <c r="Y1588" s="17" t="n">
        <v>1</v>
      </c>
      <c r="Z1588" s="13">
        <f>SUMPRODUCT(N1588:Y1588,$N$2:$Y$2)*$K1588*$L1588*$M1588</f>
        <v/>
      </c>
      <c r="AA1588" s="14">
        <f>SUM(N1588:Y1588)</f>
        <v/>
      </c>
      <c r="AB1588" s="14">
        <f>IFERROR(IF(UPPER($E1588)="L",SUMPRODUCT(N1588:Y1588,$N$3:$Y$3,$N$2:$Y$2),SUMPRODUCT(N1588:Y1588,$N$4:$Y$4,$N$2:$Y$2))/(Z1588/($K1588*$L1588*$M1588)),"")</f>
        <v/>
      </c>
      <c r="AC1588" s="18" t="n"/>
    </row>
    <row r="1589">
      <c r="A1589" s="9" t="n">
        <v>802398</v>
      </c>
      <c r="B1589" s="9" t="inlineStr">
        <is>
          <t>Sebastian Baquera</t>
        </is>
      </c>
      <c r="C1589" s="9" t="inlineStr">
        <is>
          <t>TEX</t>
        </is>
      </c>
      <c r="D1589" s="9" t="n">
        <v>25</v>
      </c>
      <c r="E1589" s="16" t="inlineStr">
        <is>
          <t>R</t>
        </is>
      </c>
      <c r="F1589" s="16" t="n"/>
      <c r="G1589" s="9" t="n">
        <v>19.07692307692308</v>
      </c>
      <c r="H1589" s="9" t="n">
        <v>19.07692307692308</v>
      </c>
      <c r="I1589" s="9" t="inlineStr">
        <is>
          <t>Depth (no MLB PA)</t>
        </is>
      </c>
      <c r="J1589" s="16" t="inlineStr">
        <is>
          <t>Opening Day</t>
        </is>
      </c>
      <c r="K1589" s="11">
        <f>IFERROR(INDEX(Roles!$B$17:$B$20,MATCH(J1589,Roles!$A$17:$A$20,0)),1)</f>
        <v/>
      </c>
      <c r="L1589" s="17" t="n">
        <v>1</v>
      </c>
      <c r="M1589" s="11" t="n">
        <v>1</v>
      </c>
      <c r="N1589" s="17" t="n"/>
      <c r="O1589" s="17" t="n"/>
      <c r="P1589" s="17" t="n"/>
      <c r="Q1589" s="17" t="n"/>
      <c r="R1589" s="17" t="n"/>
      <c r="S1589" s="17" t="n"/>
      <c r="T1589" s="17" t="n"/>
      <c r="U1589" s="17" t="n"/>
      <c r="V1589" s="17" t="n"/>
      <c r="W1589" s="17" t="n"/>
      <c r="X1589" s="17" t="n"/>
      <c r="Y1589" s="17" t="n">
        <v>1</v>
      </c>
      <c r="Z1589" s="13">
        <f>SUMPRODUCT(N1589:Y1589,$N$2:$Y$2)*$K1589*$L1589*$M1589</f>
        <v/>
      </c>
      <c r="AA1589" s="14">
        <f>SUM(N1589:Y1589)</f>
        <v/>
      </c>
      <c r="AB1589" s="14">
        <f>IFERROR(IF(UPPER($E1589)="L",SUMPRODUCT(N1589:Y1589,$N$3:$Y$3,$N$2:$Y$2),SUMPRODUCT(N1589:Y1589,$N$4:$Y$4,$N$2:$Y$2))/(Z1589/($K1589*$L1589*$M1589)),"")</f>
        <v/>
      </c>
      <c r="AC1589" s="18" t="n"/>
    </row>
    <row r="1590">
      <c r="A1590" s="9" t="n">
        <v>806016</v>
      </c>
      <c r="B1590" s="9" t="inlineStr">
        <is>
          <t>Aaron Graeber</t>
        </is>
      </c>
      <c r="C1590" s="9" t="inlineStr">
        <is>
          <t>LAA</t>
        </is>
      </c>
      <c r="D1590" s="9" t="n">
        <v>25</v>
      </c>
      <c r="E1590" s="16" t="inlineStr">
        <is>
          <t>L</t>
        </is>
      </c>
      <c r="F1590" s="16" t="n"/>
      <c r="G1590" s="9" t="n">
        <v>30.97435897435897</v>
      </c>
      <c r="H1590" s="9" t="n">
        <v>30.97435897435897</v>
      </c>
      <c r="I1590" s="9" t="inlineStr">
        <is>
          <t>Depth (no MLB PA)</t>
        </is>
      </c>
      <c r="J1590" s="16" t="inlineStr">
        <is>
          <t>Opening Day</t>
        </is>
      </c>
      <c r="K1590" s="11">
        <f>IFERROR(INDEX(Roles!$B$17:$B$20,MATCH(J1590,Roles!$A$17:$A$20,0)),1)</f>
        <v/>
      </c>
      <c r="L1590" s="17" t="n">
        <v>1</v>
      </c>
      <c r="M1590" s="11" t="n">
        <v>1</v>
      </c>
      <c r="N1590" s="17" t="n"/>
      <c r="O1590" s="17" t="n"/>
      <c r="P1590" s="17" t="n"/>
      <c r="Q1590" s="17" t="n"/>
      <c r="R1590" s="17" t="n"/>
      <c r="S1590" s="17" t="n"/>
      <c r="T1590" s="17" t="n"/>
      <c r="U1590" s="17" t="n"/>
      <c r="V1590" s="17" t="n"/>
      <c r="W1590" s="17" t="n"/>
      <c r="X1590" s="17" t="n"/>
      <c r="Y1590" s="17" t="n">
        <v>1</v>
      </c>
      <c r="Z1590" s="13">
        <f>SUMPRODUCT(N1590:Y1590,$N$2:$Y$2)*$K1590*$L1590*$M1590</f>
        <v/>
      </c>
      <c r="AA1590" s="14">
        <f>SUM(N1590:Y1590)</f>
        <v/>
      </c>
      <c r="AB1590" s="14">
        <f>IFERROR(IF(UPPER($E1590)="L",SUMPRODUCT(N1590:Y1590,$N$3:$Y$3,$N$2:$Y$2),SUMPRODUCT(N1590:Y1590,$N$4:$Y$4,$N$2:$Y$2))/(Z1590/($K1590*$L1590*$M1590)),"")</f>
        <v/>
      </c>
      <c r="AC1590" s="18" t="n"/>
    </row>
    <row r="1591">
      <c r="A1591" s="9" t="n">
        <v>802407</v>
      </c>
      <c r="B1591" s="9" t="inlineStr">
        <is>
          <t>Joe Lampe</t>
        </is>
      </c>
      <c r="C1591" s="9" t="inlineStr">
        <is>
          <t>CLE</t>
        </is>
      </c>
      <c r="D1591" s="9" t="n">
        <v>25</v>
      </c>
      <c r="E1591" s="16" t="inlineStr">
        <is>
          <t>L</t>
        </is>
      </c>
      <c r="F1591" s="16" t="n"/>
      <c r="G1591" s="9" t="n">
        <v>31.58974358974359</v>
      </c>
      <c r="H1591" s="9" t="n">
        <v>31.58974358974359</v>
      </c>
      <c r="I1591" s="9" t="inlineStr">
        <is>
          <t>Depth (no MLB PA)</t>
        </is>
      </c>
      <c r="J1591" s="16" t="inlineStr">
        <is>
          <t>Opening Day</t>
        </is>
      </c>
      <c r="K1591" s="11">
        <f>IFERROR(INDEX(Roles!$B$17:$B$20,MATCH(J1591,Roles!$A$17:$A$20,0)),1)</f>
        <v/>
      </c>
      <c r="L1591" s="17" t="n">
        <v>1</v>
      </c>
      <c r="M1591" s="11" t="n">
        <v>1</v>
      </c>
      <c r="N1591" s="17" t="n"/>
      <c r="O1591" s="17" t="n"/>
      <c r="P1591" s="17" t="n"/>
      <c r="Q1591" s="17" t="n"/>
      <c r="R1591" s="17" t="n"/>
      <c r="S1591" s="17" t="n"/>
      <c r="T1591" s="17" t="n"/>
      <c r="U1591" s="17" t="n"/>
      <c r="V1591" s="17" t="n"/>
      <c r="W1591" s="17" t="n"/>
      <c r="X1591" s="17" t="n"/>
      <c r="Y1591" s="17" t="n">
        <v>1</v>
      </c>
      <c r="Z1591" s="13">
        <f>SUMPRODUCT(N1591:Y1591,$N$2:$Y$2)*$K1591*$L1591*$M1591</f>
        <v/>
      </c>
      <c r="AA1591" s="14">
        <f>SUM(N1591:Y1591)</f>
        <v/>
      </c>
      <c r="AB1591" s="14">
        <f>IFERROR(IF(UPPER($E1591)="L",SUMPRODUCT(N1591:Y1591,$N$3:$Y$3,$N$2:$Y$2),SUMPRODUCT(N1591:Y1591,$N$4:$Y$4,$N$2:$Y$2))/(Z1591/($K1591*$L1591*$M1591)),"")</f>
        <v/>
      </c>
      <c r="AC1591" s="18" t="n"/>
    </row>
    <row r="1592">
      <c r="A1592" s="9" t="n">
        <v>660688</v>
      </c>
      <c r="B1592" s="9" t="inlineStr">
        <is>
          <t>Keibert Ruiz</t>
        </is>
      </c>
      <c r="C1592" s="9" t="inlineStr">
        <is>
          <t>WSH</t>
        </is>
      </c>
      <c r="D1592" s="9" t="n">
        <v>28</v>
      </c>
      <c r="E1592" s="16" t="inlineStr">
        <is>
          <t>S</t>
        </is>
      </c>
      <c r="F1592" s="16" t="inlineStr">
        <is>
          <t>C</t>
        </is>
      </c>
      <c r="G1592" s="9" t="n">
        <v>354</v>
      </c>
      <c r="H1592" s="9" t="n">
        <v>2101</v>
      </c>
      <c r="I1592" s="9" t="inlineStr">
        <is>
          <t>Strong Side Platoon</t>
        </is>
      </c>
      <c r="J1592" s="16" t="inlineStr">
        <is>
          <t>Opening Day</t>
        </is>
      </c>
      <c r="K1592" s="11">
        <f>IFERROR(INDEX(Roles!$B$17:$B$20,MATCH(J1592,Roles!$A$17:$A$20,0)),1)</f>
        <v/>
      </c>
      <c r="L1592" s="17" t="n">
        <v>1</v>
      </c>
      <c r="M1592" s="11" t="n">
        <v>0.8957202905268605</v>
      </c>
      <c r="N1592" s="17" t="n"/>
      <c r="O1592" s="17" t="n"/>
      <c r="P1592" s="17" t="n">
        <v>0.6</v>
      </c>
      <c r="Q1592" s="17" t="n"/>
      <c r="R1592" s="17" t="n">
        <v>0.4</v>
      </c>
      <c r="S1592" s="17" t="n"/>
      <c r="T1592" s="17" t="n"/>
      <c r="U1592" s="17" t="n"/>
      <c r="V1592" s="17" t="n"/>
      <c r="W1592" s="17" t="n"/>
      <c r="X1592" s="17" t="n"/>
      <c r="Y1592" s="17" t="n"/>
      <c r="Z1592" s="13">
        <f>SUMPRODUCT(N1592:Y1592,$N$2:$Y$2)*$K1592*$L1592*$M1592</f>
        <v/>
      </c>
      <c r="AA1592" s="14">
        <f>SUM(N1592:Y1592)</f>
        <v/>
      </c>
      <c r="AB1592" s="14">
        <f>IFERROR(IF(UPPER($E1592)="L",SUMPRODUCT(N1592:Y1592,$N$3:$Y$3,$N$2:$Y$2),SUMPRODUCT(N1592:Y1592,$N$4:$Y$4,$N$2:$Y$2))/(Z1592/($K1592*$L1592*$M1592)),"")</f>
        <v/>
      </c>
      <c r="AC1592" s="18" t="n"/>
    </row>
    <row r="1593">
      <c r="A1593" s="9" t="n">
        <v>702600</v>
      </c>
      <c r="B1593" s="9" t="inlineStr">
        <is>
          <t>Matt Klein</t>
        </is>
      </c>
      <c r="C1593" s="9" t="inlineStr">
        <is>
          <t>COL</t>
        </is>
      </c>
      <c r="D1593" s="9" t="n">
        <v>25</v>
      </c>
      <c r="E1593" s="16" t="inlineStr">
        <is>
          <t>L</t>
        </is>
      </c>
      <c r="F1593" s="16" t="n"/>
      <c r="G1593" s="9" t="n">
        <v>23.26153846153846</v>
      </c>
      <c r="H1593" s="9" t="n">
        <v>23.26153846153846</v>
      </c>
      <c r="I1593" s="9" t="inlineStr">
        <is>
          <t>Depth (no MLB PA)</t>
        </is>
      </c>
      <c r="J1593" s="16" t="inlineStr">
        <is>
          <t>Opening Day</t>
        </is>
      </c>
      <c r="K1593" s="11">
        <f>IFERROR(INDEX(Roles!$B$17:$B$20,MATCH(J1593,Roles!$A$17:$A$20,0)),1)</f>
        <v/>
      </c>
      <c r="L1593" s="17" t="n">
        <v>1</v>
      </c>
      <c r="M1593" s="11" t="n">
        <v>1</v>
      </c>
      <c r="N1593" s="17" t="n"/>
      <c r="O1593" s="17" t="n"/>
      <c r="P1593" s="17" t="n"/>
      <c r="Q1593" s="17" t="n"/>
      <c r="R1593" s="17" t="n"/>
      <c r="S1593" s="17" t="n"/>
      <c r="T1593" s="17" t="n"/>
      <c r="U1593" s="17" t="n"/>
      <c r="V1593" s="17" t="n"/>
      <c r="W1593" s="17" t="n"/>
      <c r="X1593" s="17" t="n"/>
      <c r="Y1593" s="17" t="n">
        <v>1</v>
      </c>
      <c r="Z1593" s="13">
        <f>SUMPRODUCT(N1593:Y1593,$N$2:$Y$2)*$K1593*$L1593*$M1593</f>
        <v/>
      </c>
      <c r="AA1593" s="14">
        <f>SUM(N1593:Y1593)</f>
        <v/>
      </c>
      <c r="AB1593" s="14">
        <f>IFERROR(IF(UPPER($E1593)="L",SUMPRODUCT(N1593:Y1593,$N$3:$Y$3,$N$2:$Y$2),SUMPRODUCT(N1593:Y1593,$N$4:$Y$4,$N$2:$Y$2))/(Z1593/($K1593*$L1593*$M1593)),"")</f>
        <v/>
      </c>
      <c r="AC1593" s="18" t="n"/>
    </row>
    <row r="1594">
      <c r="A1594" s="9" t="n">
        <v>682997</v>
      </c>
      <c r="B1594" s="9" t="inlineStr">
        <is>
          <t>Tyler Callihan</t>
        </is>
      </c>
      <c r="C1594" s="9" t="inlineStr">
        <is>
          <t>PIT</t>
        </is>
      </c>
      <c r="D1594" s="9" t="n">
        <v>27</v>
      </c>
      <c r="E1594" s="16" t="inlineStr">
        <is>
          <t>L</t>
        </is>
      </c>
      <c r="F1594" s="16" t="inlineStr">
        <is>
          <t>RF</t>
        </is>
      </c>
      <c r="G1594" s="9" t="n">
        <v>107</v>
      </c>
      <c r="H1594" s="9" t="n">
        <v>113</v>
      </c>
      <c r="I1594" s="9" t="inlineStr">
        <is>
          <t>Bench Bat</t>
        </is>
      </c>
      <c r="J1594" s="16" t="inlineStr">
        <is>
          <t>Opening Day</t>
        </is>
      </c>
      <c r="K1594" s="11">
        <f>IFERROR(INDEX(Roles!$B$17:$B$20,MATCH(J1594,Roles!$A$17:$A$20,0)),1)</f>
        <v/>
      </c>
      <c r="L1594" s="17" t="n">
        <v>1</v>
      </c>
      <c r="M1594" s="11" t="n">
        <v>1</v>
      </c>
      <c r="N1594" s="17" t="n"/>
      <c r="O1594" s="17" t="n"/>
      <c r="P1594" s="17" t="n"/>
      <c r="Q1594" s="17" t="n"/>
      <c r="R1594" s="17" t="n"/>
      <c r="S1594" s="17" t="n"/>
      <c r="T1594" s="17" t="n"/>
      <c r="U1594" s="17" t="n"/>
      <c r="V1594" s="17" t="n"/>
      <c r="W1594" s="17" t="n">
        <v>1</v>
      </c>
      <c r="X1594" s="17" t="n"/>
      <c r="Y1594" s="17" t="n"/>
      <c r="Z1594" s="13">
        <f>SUMPRODUCT(N1594:Y1594,$N$2:$Y$2)*$K1594*$L1594*$M1594</f>
        <v/>
      </c>
      <c r="AA1594" s="14">
        <f>SUM(N1594:Y1594)</f>
        <v/>
      </c>
      <c r="AB1594" s="14">
        <f>IFERROR(IF(UPPER($E1594)="L",SUMPRODUCT(N1594:Y1594,$N$3:$Y$3,$N$2:$Y$2),SUMPRODUCT(N1594:Y1594,$N$4:$Y$4,$N$2:$Y$2))/(Z1594/($K1594*$L1594*$M1594)),"")</f>
        <v/>
      </c>
      <c r="AC1594" s="18" t="n"/>
    </row>
    <row r="1595">
      <c r="A1595" s="9" t="n">
        <v>824753</v>
      </c>
      <c r="B1595" s="9" t="inlineStr">
        <is>
          <t>Nick Hollifield</t>
        </is>
      </c>
      <c r="C1595" s="9" t="inlineStr">
        <is>
          <t>WSH</t>
        </is>
      </c>
      <c r="D1595" s="9" t="n">
        <v>25</v>
      </c>
      <c r="E1595" s="16" t="inlineStr">
        <is>
          <t>R</t>
        </is>
      </c>
      <c r="F1595" s="16" t="n"/>
      <c r="G1595" s="9" t="n">
        <v>18.83076923076923</v>
      </c>
      <c r="H1595" s="9" t="n">
        <v>18.83076923076923</v>
      </c>
      <c r="I1595" s="9" t="inlineStr">
        <is>
          <t>Depth (no MLB PA)</t>
        </is>
      </c>
      <c r="J1595" s="16" t="inlineStr">
        <is>
          <t>Opening Day</t>
        </is>
      </c>
      <c r="K1595" s="11">
        <f>IFERROR(INDEX(Roles!$B$17:$B$20,MATCH(J1595,Roles!$A$17:$A$20,0)),1)</f>
        <v/>
      </c>
      <c r="L1595" s="17" t="n">
        <v>1</v>
      </c>
      <c r="M1595" s="11" t="n">
        <v>1</v>
      </c>
      <c r="N1595" s="17" t="n"/>
      <c r="O1595" s="17" t="n"/>
      <c r="P1595" s="17" t="n"/>
      <c r="Q1595" s="17" t="n"/>
      <c r="R1595" s="17" t="n"/>
      <c r="S1595" s="17" t="n"/>
      <c r="T1595" s="17" t="n"/>
      <c r="U1595" s="17" t="n"/>
      <c r="V1595" s="17" t="n"/>
      <c r="W1595" s="17" t="n"/>
      <c r="X1595" s="17" t="n"/>
      <c r="Y1595" s="17" t="n">
        <v>1</v>
      </c>
      <c r="Z1595" s="13">
        <f>SUMPRODUCT(N1595:Y1595,$N$2:$Y$2)*$K1595*$L1595*$M1595</f>
        <v/>
      </c>
      <c r="AA1595" s="14">
        <f>SUM(N1595:Y1595)</f>
        <v/>
      </c>
      <c r="AB1595" s="14">
        <f>IFERROR(IF(UPPER($E1595)="L",SUMPRODUCT(N1595:Y1595,$N$3:$Y$3,$N$2:$Y$2),SUMPRODUCT(N1595:Y1595,$N$4:$Y$4,$N$2:$Y$2))/(Z1595/($K1595*$L1595*$M1595)),"")</f>
        <v/>
      </c>
      <c r="AC1595" s="18" t="n"/>
    </row>
    <row r="1596">
      <c r="A1596" s="9" t="n">
        <v>702302</v>
      </c>
      <c r="B1596" s="9" t="inlineStr">
        <is>
          <t>RJ Schreck</t>
        </is>
      </c>
      <c r="C1596" s="9" t="inlineStr">
        <is>
          <t>TOR</t>
        </is>
      </c>
      <c r="D1596" s="9" t="n">
        <v>25</v>
      </c>
      <c r="E1596" s="16" t="inlineStr">
        <is>
          <t>L</t>
        </is>
      </c>
      <c r="F1596" s="16" t="n"/>
      <c r="G1596" s="9" t="n">
        <v>142.1538461538462</v>
      </c>
      <c r="H1596" s="9" t="n">
        <v>142.1538461538462</v>
      </c>
      <c r="I1596" s="9" t="inlineStr">
        <is>
          <t>Depth (no MLB PA)</t>
        </is>
      </c>
      <c r="J1596" s="16" t="inlineStr">
        <is>
          <t>Opening Day</t>
        </is>
      </c>
      <c r="K1596" s="11">
        <f>IFERROR(INDEX(Roles!$B$17:$B$20,MATCH(J1596,Roles!$A$17:$A$20,0)),1)</f>
        <v/>
      </c>
      <c r="L1596" s="17" t="n">
        <v>1</v>
      </c>
      <c r="M1596" s="11" t="n">
        <v>1</v>
      </c>
      <c r="N1596" s="17" t="n"/>
      <c r="O1596" s="17" t="n"/>
      <c r="P1596" s="17" t="n"/>
      <c r="Q1596" s="17" t="n"/>
      <c r="R1596" s="17" t="n"/>
      <c r="S1596" s="17" t="n"/>
      <c r="T1596" s="17" t="n"/>
      <c r="U1596" s="17" t="n"/>
      <c r="V1596" s="17" t="n"/>
      <c r="W1596" s="17" t="n"/>
      <c r="X1596" s="17" t="n"/>
      <c r="Y1596" s="17" t="n">
        <v>1</v>
      </c>
      <c r="Z1596" s="13">
        <f>SUMPRODUCT(N1596:Y1596,$N$2:$Y$2)*$K1596*$L1596*$M1596</f>
        <v/>
      </c>
      <c r="AA1596" s="14">
        <f>SUM(N1596:Y1596)</f>
        <v/>
      </c>
      <c r="AB1596" s="14">
        <f>IFERROR(IF(UPPER($E1596)="L",SUMPRODUCT(N1596:Y1596,$N$3:$Y$3,$N$2:$Y$2),SUMPRODUCT(N1596:Y1596,$N$4:$Y$4,$N$2:$Y$2))/(Z1596/($K1596*$L1596*$M1596)),"")</f>
        <v/>
      </c>
      <c r="AC1596" s="18" t="n"/>
    </row>
    <row r="1597">
      <c r="A1597" s="9" t="n">
        <v>685087</v>
      </c>
      <c r="B1597" s="9" t="inlineStr">
        <is>
          <t>Jordan Nwogu</t>
        </is>
      </c>
      <c r="C1597" s="9" t="inlineStr">
        <is>
          <t>CHC</t>
        </is>
      </c>
      <c r="D1597" s="9" t="n">
        <v>25</v>
      </c>
      <c r="E1597" s="16" t="inlineStr">
        <is>
          <t>R</t>
        </is>
      </c>
      <c r="F1597" s="16" t="n"/>
      <c r="G1597" s="9" t="n">
        <v>63.17948717948719</v>
      </c>
      <c r="H1597" s="9" t="n">
        <v>63.17948717948719</v>
      </c>
      <c r="I1597" s="9" t="inlineStr">
        <is>
          <t>Depth (no MLB PA)</t>
        </is>
      </c>
      <c r="J1597" s="16" t="inlineStr">
        <is>
          <t>Opening Day</t>
        </is>
      </c>
      <c r="K1597" s="11">
        <f>IFERROR(INDEX(Roles!$B$17:$B$20,MATCH(J1597,Roles!$A$17:$A$20,0)),1)</f>
        <v/>
      </c>
      <c r="L1597" s="17" t="n">
        <v>1</v>
      </c>
      <c r="M1597" s="11" t="n">
        <v>1</v>
      </c>
      <c r="N1597" s="17" t="n"/>
      <c r="O1597" s="17" t="n"/>
      <c r="P1597" s="17" t="n"/>
      <c r="Q1597" s="17" t="n"/>
      <c r="R1597" s="17" t="n"/>
      <c r="S1597" s="17" t="n"/>
      <c r="T1597" s="17" t="n"/>
      <c r="U1597" s="17" t="n"/>
      <c r="V1597" s="17" t="n"/>
      <c r="W1597" s="17" t="n"/>
      <c r="X1597" s="17" t="n"/>
      <c r="Y1597" s="17" t="n">
        <v>1</v>
      </c>
      <c r="Z1597" s="13">
        <f>SUMPRODUCT(N1597:Y1597,$N$2:$Y$2)*$K1597*$L1597*$M1597</f>
        <v/>
      </c>
      <c r="AA1597" s="14">
        <f>SUM(N1597:Y1597)</f>
        <v/>
      </c>
      <c r="AB1597" s="14">
        <f>IFERROR(IF(UPPER($E1597)="L",SUMPRODUCT(N1597:Y1597,$N$3:$Y$3,$N$2:$Y$2),SUMPRODUCT(N1597:Y1597,$N$4:$Y$4,$N$2:$Y$2))/(Z1597/($K1597*$L1597*$M1597)),"")</f>
        <v/>
      </c>
      <c r="AC1597" s="18" t="n"/>
    </row>
    <row r="1598">
      <c r="A1598" s="9" t="n">
        <v>682192</v>
      </c>
      <c r="B1598" s="9" t="inlineStr">
        <is>
          <t>Paul McIntosh</t>
        </is>
      </c>
      <c r="C1598" s="9" t="inlineStr">
        <is>
          <t>PHI</t>
        </is>
      </c>
      <c r="D1598" s="9" t="n">
        <v>25</v>
      </c>
      <c r="E1598" s="16" t="inlineStr">
        <is>
          <t>R</t>
        </is>
      </c>
      <c r="F1598" s="16" t="n"/>
      <c r="G1598" s="9" t="n">
        <v>159.6410256410257</v>
      </c>
      <c r="H1598" s="9" t="n">
        <v>159.6410256410257</v>
      </c>
      <c r="I1598" s="9" t="inlineStr">
        <is>
          <t>Depth (no MLB PA)</t>
        </is>
      </c>
      <c r="J1598" s="16" t="inlineStr">
        <is>
          <t>Opening Day</t>
        </is>
      </c>
      <c r="K1598" s="11">
        <f>IFERROR(INDEX(Roles!$B$17:$B$20,MATCH(J1598,Roles!$A$17:$A$20,0)),1)</f>
        <v/>
      </c>
      <c r="L1598" s="17" t="n">
        <v>1</v>
      </c>
      <c r="M1598" s="11" t="n">
        <v>1</v>
      </c>
      <c r="N1598" s="17" t="n"/>
      <c r="O1598" s="17" t="n"/>
      <c r="P1598" s="17" t="n"/>
      <c r="Q1598" s="17" t="n"/>
      <c r="R1598" s="17" t="n"/>
      <c r="S1598" s="17" t="n"/>
      <c r="T1598" s="17" t="n"/>
      <c r="U1598" s="17" t="n"/>
      <c r="V1598" s="17" t="n"/>
      <c r="W1598" s="17" t="n"/>
      <c r="X1598" s="17" t="n"/>
      <c r="Y1598" s="17" t="n">
        <v>1</v>
      </c>
      <c r="Z1598" s="13">
        <f>SUMPRODUCT(N1598:Y1598,$N$2:$Y$2)*$K1598*$L1598*$M1598</f>
        <v/>
      </c>
      <c r="AA1598" s="14">
        <f>SUM(N1598:Y1598)</f>
        <v/>
      </c>
      <c r="AB1598" s="14">
        <f>IFERROR(IF(UPPER($E1598)="L",SUMPRODUCT(N1598:Y1598,$N$3:$Y$3,$N$2:$Y$2),SUMPRODUCT(N1598:Y1598,$N$4:$Y$4,$N$2:$Y$2))/(Z1598/($K1598*$L1598*$M1598)),"")</f>
        <v/>
      </c>
      <c r="AC1598" s="18" t="n"/>
    </row>
    <row r="1599">
      <c r="A1599" s="9" t="n">
        <v>689577</v>
      </c>
      <c r="B1599" s="9" t="inlineStr">
        <is>
          <t>Aaron Antonini</t>
        </is>
      </c>
      <c r="C1599" s="9" t="inlineStr">
        <is>
          <t>DET</t>
        </is>
      </c>
      <c r="D1599" s="9" t="n">
        <v>25</v>
      </c>
      <c r="E1599" s="16" t="inlineStr">
        <is>
          <t>S</t>
        </is>
      </c>
      <c r="F1599" s="16" t="n"/>
      <c r="G1599" s="9" t="n">
        <v>40.56410256410256</v>
      </c>
      <c r="H1599" s="9" t="n">
        <v>40.56410256410256</v>
      </c>
      <c r="I1599" s="9" t="inlineStr">
        <is>
          <t>Depth (no MLB PA)</t>
        </is>
      </c>
      <c r="J1599" s="16" t="inlineStr">
        <is>
          <t>Opening Day</t>
        </is>
      </c>
      <c r="K1599" s="11">
        <f>IFERROR(INDEX(Roles!$B$17:$B$20,MATCH(J1599,Roles!$A$17:$A$20,0)),1)</f>
        <v/>
      </c>
      <c r="L1599" s="17" t="n">
        <v>1</v>
      </c>
      <c r="M1599" s="11" t="n">
        <v>1</v>
      </c>
      <c r="N1599" s="17" t="n"/>
      <c r="O1599" s="17" t="n"/>
      <c r="P1599" s="17" t="n"/>
      <c r="Q1599" s="17" t="n"/>
      <c r="R1599" s="17" t="n"/>
      <c r="S1599" s="17" t="n"/>
      <c r="T1599" s="17" t="n"/>
      <c r="U1599" s="17" t="n"/>
      <c r="V1599" s="17" t="n"/>
      <c r="W1599" s="17" t="n"/>
      <c r="X1599" s="17" t="n"/>
      <c r="Y1599" s="17" t="n">
        <v>1</v>
      </c>
      <c r="Z1599" s="13">
        <f>SUMPRODUCT(N1599:Y1599,$N$2:$Y$2)*$K1599*$L1599*$M1599</f>
        <v/>
      </c>
      <c r="AA1599" s="14">
        <f>SUM(N1599:Y1599)</f>
        <v/>
      </c>
      <c r="AB1599" s="14">
        <f>IFERROR(IF(UPPER($E1599)="L",SUMPRODUCT(N1599:Y1599,$N$3:$Y$3,$N$2:$Y$2),SUMPRODUCT(N1599:Y1599,$N$4:$Y$4,$N$2:$Y$2))/(Z1599/($K1599*$L1599*$M1599)),"")</f>
        <v/>
      </c>
      <c r="AC1599" s="18" t="n"/>
    </row>
    <row r="1600">
      <c r="A1600" s="9" t="n">
        <v>822877</v>
      </c>
      <c r="B1600" s="9" t="inlineStr">
        <is>
          <t>Luke Cantwell</t>
        </is>
      </c>
      <c r="C1600" s="9" t="inlineStr">
        <is>
          <t>SD</t>
        </is>
      </c>
      <c r="D1600" s="9" t="n">
        <v>25</v>
      </c>
      <c r="E1600" s="16" t="inlineStr">
        <is>
          <t>L</t>
        </is>
      </c>
      <c r="F1600" s="16" t="n"/>
      <c r="G1600" s="9" t="n">
        <v>31.58974358974359</v>
      </c>
      <c r="H1600" s="9" t="n">
        <v>31.58974358974359</v>
      </c>
      <c r="I1600" s="9" t="inlineStr">
        <is>
          <t>Depth (no MLB PA)</t>
        </is>
      </c>
      <c r="J1600" s="16" t="inlineStr">
        <is>
          <t>Opening Day</t>
        </is>
      </c>
      <c r="K1600" s="11">
        <f>IFERROR(INDEX(Roles!$B$17:$B$20,MATCH(J1600,Roles!$A$17:$A$20,0)),1)</f>
        <v/>
      </c>
      <c r="L1600" s="17" t="n">
        <v>1</v>
      </c>
      <c r="M1600" s="11" t="n">
        <v>1</v>
      </c>
      <c r="N1600" s="17" t="n"/>
      <c r="O1600" s="17" t="n"/>
      <c r="P1600" s="17" t="n"/>
      <c r="Q1600" s="17" t="n"/>
      <c r="R1600" s="17" t="n"/>
      <c r="S1600" s="17" t="n"/>
      <c r="T1600" s="17" t="n"/>
      <c r="U1600" s="17" t="n"/>
      <c r="V1600" s="17" t="n"/>
      <c r="W1600" s="17" t="n"/>
      <c r="X1600" s="17" t="n"/>
      <c r="Y1600" s="17" t="n">
        <v>1</v>
      </c>
      <c r="Z1600" s="13">
        <f>SUMPRODUCT(N1600:Y1600,$N$2:$Y$2)*$K1600*$L1600*$M1600</f>
        <v/>
      </c>
      <c r="AA1600" s="14">
        <f>SUM(N1600:Y1600)</f>
        <v/>
      </c>
      <c r="AB1600" s="14">
        <f>IFERROR(IF(UPPER($E1600)="L",SUMPRODUCT(N1600:Y1600,$N$3:$Y$3,$N$2:$Y$2),SUMPRODUCT(N1600:Y1600,$N$4:$Y$4,$N$2:$Y$2))/(Z1600/($K1600*$L1600*$M1600)),"")</f>
        <v/>
      </c>
      <c r="AC1600" s="18" t="n"/>
    </row>
    <row r="1601">
      <c r="A1601" s="9" t="n">
        <v>696020</v>
      </c>
      <c r="B1601" s="9" t="inlineStr">
        <is>
          <t>Raudelis Martinez</t>
        </is>
      </c>
      <c r="C1601" s="9" t="inlineStr">
        <is>
          <t>BOS</t>
        </is>
      </c>
      <c r="D1601" s="9" t="n">
        <v>25</v>
      </c>
      <c r="E1601" s="16" t="inlineStr">
        <is>
          <t>L</t>
        </is>
      </c>
      <c r="F1601" s="16" t="n"/>
      <c r="G1601" s="9" t="n">
        <v>24.05128205128205</v>
      </c>
      <c r="H1601" s="9" t="n">
        <v>24.05128205128205</v>
      </c>
      <c r="I1601" s="9" t="inlineStr">
        <is>
          <t>Depth (no MLB PA)</t>
        </is>
      </c>
      <c r="J1601" s="16" t="inlineStr">
        <is>
          <t>Opening Day</t>
        </is>
      </c>
      <c r="K1601" s="11">
        <f>IFERROR(INDEX(Roles!$B$17:$B$20,MATCH(J1601,Roles!$A$17:$A$20,0)),1)</f>
        <v/>
      </c>
      <c r="L1601" s="17" t="n">
        <v>1</v>
      </c>
      <c r="M1601" s="11" t="n">
        <v>1</v>
      </c>
      <c r="N1601" s="17" t="n"/>
      <c r="O1601" s="17" t="n"/>
      <c r="P1601" s="17" t="n"/>
      <c r="Q1601" s="17" t="n"/>
      <c r="R1601" s="17" t="n"/>
      <c r="S1601" s="17" t="n"/>
      <c r="T1601" s="17" t="n"/>
      <c r="U1601" s="17" t="n"/>
      <c r="V1601" s="17" t="n"/>
      <c r="W1601" s="17" t="n"/>
      <c r="X1601" s="17" t="n"/>
      <c r="Y1601" s="17" t="n">
        <v>1</v>
      </c>
      <c r="Z1601" s="13">
        <f>SUMPRODUCT(N1601:Y1601,$N$2:$Y$2)*$K1601*$L1601*$M1601</f>
        <v/>
      </c>
      <c r="AA1601" s="14">
        <f>SUM(N1601:Y1601)</f>
        <v/>
      </c>
      <c r="AB1601" s="14">
        <f>IFERROR(IF(UPPER($E1601)="L",SUMPRODUCT(N1601:Y1601,$N$3:$Y$3,$N$2:$Y$2),SUMPRODUCT(N1601:Y1601,$N$4:$Y$4,$N$2:$Y$2))/(Z1601/($K1601*$L1601*$M1601)),"")</f>
        <v/>
      </c>
      <c r="AC1601" s="18" t="n"/>
    </row>
    <row r="1602">
      <c r="A1602" s="9" t="n">
        <v>825484</v>
      </c>
      <c r="B1602" s="9" t="inlineStr">
        <is>
          <t>Alexander Frias</t>
        </is>
      </c>
      <c r="C1602" s="9" t="inlineStr">
        <is>
          <t>STL</t>
        </is>
      </c>
      <c r="D1602" s="9" t="n">
        <v>19</v>
      </c>
      <c r="E1602" s="16" t="inlineStr">
        <is>
          <t>L</t>
        </is>
      </c>
      <c r="F1602" s="16" t="n"/>
      <c r="G1602" s="9" t="n">
        <v>28.30769230769231</v>
      </c>
      <c r="H1602" s="9" t="n">
        <v>28.30769230769231</v>
      </c>
      <c r="I1602" s="9" t="inlineStr">
        <is>
          <t>Depth (no MLB PA)</t>
        </is>
      </c>
      <c r="J1602" s="16" t="inlineStr">
        <is>
          <t>Opening Day</t>
        </is>
      </c>
      <c r="K1602" s="11">
        <f>IFERROR(INDEX(Roles!$B$17:$B$20,MATCH(J1602,Roles!$A$17:$A$20,0)),1)</f>
        <v/>
      </c>
      <c r="L1602" s="17" t="n">
        <v>1</v>
      </c>
      <c r="M1602" s="11" t="n">
        <v>1</v>
      </c>
      <c r="N1602" s="17" t="n"/>
      <c r="O1602" s="17" t="n"/>
      <c r="P1602" s="17" t="n"/>
      <c r="Q1602" s="17" t="n"/>
      <c r="R1602" s="17" t="n"/>
      <c r="S1602" s="17" t="n"/>
      <c r="T1602" s="17" t="n"/>
      <c r="U1602" s="17" t="n"/>
      <c r="V1602" s="17" t="n"/>
      <c r="W1602" s="17" t="n"/>
      <c r="X1602" s="17" t="n"/>
      <c r="Y1602" s="17" t="n">
        <v>1</v>
      </c>
      <c r="Z1602" s="13">
        <f>SUMPRODUCT(N1602:Y1602,$N$2:$Y$2)*$K1602*$L1602*$M1602</f>
        <v/>
      </c>
      <c r="AA1602" s="14">
        <f>SUM(N1602:Y1602)</f>
        <v/>
      </c>
      <c r="AB1602" s="14">
        <f>IFERROR(IF(UPPER($E1602)="L",SUMPRODUCT(N1602:Y1602,$N$3:$Y$3,$N$2:$Y$2),SUMPRODUCT(N1602:Y1602,$N$4:$Y$4,$N$2:$Y$2))/(Z1602/($K1602*$L1602*$M1602)),"")</f>
        <v/>
      </c>
      <c r="AC1602" s="18" t="n"/>
    </row>
    <row r="1603">
      <c r="A1603" s="9" t="n">
        <v>821688</v>
      </c>
      <c r="B1603" s="9" t="inlineStr">
        <is>
          <t>Jemone Nuel</t>
        </is>
      </c>
      <c r="C1603" s="9" t="inlineStr">
        <is>
          <t>BAL</t>
        </is>
      </c>
      <c r="D1603" s="9" t="n">
        <v>25</v>
      </c>
      <c r="E1603" s="16" t="inlineStr">
        <is>
          <t>S</t>
        </is>
      </c>
      <c r="F1603" s="16" t="n"/>
      <c r="G1603" s="9" t="n">
        <v>14.89230769230769</v>
      </c>
      <c r="H1603" s="9" t="n">
        <v>14.89230769230769</v>
      </c>
      <c r="I1603" s="9" t="inlineStr">
        <is>
          <t>Depth (no MLB PA)</t>
        </is>
      </c>
      <c r="J1603" s="16" t="inlineStr">
        <is>
          <t>Opening Day</t>
        </is>
      </c>
      <c r="K1603" s="11">
        <f>IFERROR(INDEX(Roles!$B$17:$B$20,MATCH(J1603,Roles!$A$17:$A$20,0)),1)</f>
        <v/>
      </c>
      <c r="L1603" s="17" t="n">
        <v>1</v>
      </c>
      <c r="M1603" s="11" t="n">
        <v>1</v>
      </c>
      <c r="N1603" s="17" t="n"/>
      <c r="O1603" s="17" t="n"/>
      <c r="P1603" s="17" t="n"/>
      <c r="Q1603" s="17" t="n"/>
      <c r="R1603" s="17" t="n"/>
      <c r="S1603" s="17" t="n"/>
      <c r="T1603" s="17" t="n"/>
      <c r="U1603" s="17" t="n"/>
      <c r="V1603" s="17" t="n"/>
      <c r="W1603" s="17" t="n"/>
      <c r="X1603" s="17" t="n"/>
      <c r="Y1603" s="17" t="n">
        <v>1</v>
      </c>
      <c r="Z1603" s="13">
        <f>SUMPRODUCT(N1603:Y1603,$N$2:$Y$2)*$K1603*$L1603*$M1603</f>
        <v/>
      </c>
      <c r="AA1603" s="14">
        <f>SUM(N1603:Y1603)</f>
        <v/>
      </c>
      <c r="AB1603" s="14">
        <f>IFERROR(IF(UPPER($E1603)="L",SUMPRODUCT(N1603:Y1603,$N$3:$Y$3,$N$2:$Y$2),SUMPRODUCT(N1603:Y1603,$N$4:$Y$4,$N$2:$Y$2))/(Z1603/($K1603*$L1603*$M1603)),"")</f>
        <v/>
      </c>
      <c r="AC1603" s="18" t="n"/>
    </row>
    <row r="1604">
      <c r="A1604" s="9" t="n">
        <v>699031</v>
      </c>
      <c r="B1604" s="9" t="inlineStr">
        <is>
          <t>Anyelo Encarnación</t>
        </is>
      </c>
      <c r="C1604" s="9" t="inlineStr">
        <is>
          <t>STL</t>
        </is>
      </c>
      <c r="D1604" s="9" t="n">
        <v>25</v>
      </c>
      <c r="E1604" s="16" t="inlineStr">
        <is>
          <t>R</t>
        </is>
      </c>
      <c r="F1604" s="16" t="n"/>
      <c r="G1604" s="9" t="n">
        <v>52.30769230769232</v>
      </c>
      <c r="H1604" s="9" t="n">
        <v>52.30769230769232</v>
      </c>
      <c r="I1604" s="9" t="inlineStr">
        <is>
          <t>Depth (no MLB PA)</t>
        </is>
      </c>
      <c r="J1604" s="16" t="inlineStr">
        <is>
          <t>Opening Day</t>
        </is>
      </c>
      <c r="K1604" s="11">
        <f>IFERROR(INDEX(Roles!$B$17:$B$20,MATCH(J1604,Roles!$A$17:$A$20,0)),1)</f>
        <v/>
      </c>
      <c r="L1604" s="17" t="n">
        <v>1</v>
      </c>
      <c r="M1604" s="11" t="n">
        <v>1</v>
      </c>
      <c r="N1604" s="17" t="n"/>
      <c r="O1604" s="17" t="n"/>
      <c r="P1604" s="17" t="n"/>
      <c r="Q1604" s="17" t="n"/>
      <c r="R1604" s="17" t="n"/>
      <c r="S1604" s="17" t="n"/>
      <c r="T1604" s="17" t="n"/>
      <c r="U1604" s="17" t="n"/>
      <c r="V1604" s="17" t="n"/>
      <c r="W1604" s="17" t="n"/>
      <c r="X1604" s="17" t="n"/>
      <c r="Y1604" s="17" t="n">
        <v>1</v>
      </c>
      <c r="Z1604" s="13">
        <f>SUMPRODUCT(N1604:Y1604,$N$2:$Y$2)*$K1604*$L1604*$M1604</f>
        <v/>
      </c>
      <c r="AA1604" s="14">
        <f>SUM(N1604:Y1604)</f>
        <v/>
      </c>
      <c r="AB1604" s="14">
        <f>IFERROR(IF(UPPER($E1604)="L",SUMPRODUCT(N1604:Y1604,$N$3:$Y$3,$N$2:$Y$2),SUMPRODUCT(N1604:Y1604,$N$4:$Y$4,$N$2:$Y$2))/(Z1604/($K1604*$L1604*$M1604)),"")</f>
        <v/>
      </c>
      <c r="AC1604" s="18" t="n"/>
    </row>
    <row r="1605">
      <c r="A1605" s="9" t="n">
        <v>656308</v>
      </c>
      <c r="B1605" s="9" t="inlineStr">
        <is>
          <t>Michael Chavis</t>
        </is>
      </c>
      <c r="C1605" s="9" t="inlineStr">
        <is>
          <t>WSH</t>
        </is>
      </c>
      <c r="D1605" s="9" t="n">
        <v>31</v>
      </c>
      <c r="E1605" s="16" t="inlineStr">
        <is>
          <t>R</t>
        </is>
      </c>
      <c r="F1605" s="16" t="inlineStr">
        <is>
          <t>2B</t>
        </is>
      </c>
      <c r="G1605" s="9" t="n">
        <v>96</v>
      </c>
      <c r="H1605" s="9" t="n">
        <v>522</v>
      </c>
      <c r="I1605" s="9" t="inlineStr">
        <is>
          <t>Depth (no MLB PA)</t>
        </is>
      </c>
      <c r="J1605" s="16" t="inlineStr">
        <is>
          <t>Opening Day</t>
        </is>
      </c>
      <c r="K1605" s="11">
        <f>IFERROR(INDEX(Roles!$B$17:$B$20,MATCH(J1605,Roles!$A$17:$A$20,0)),1)</f>
        <v/>
      </c>
      <c r="L1605" s="17" t="n">
        <v>1</v>
      </c>
      <c r="M1605" s="11" t="n">
        <v>1</v>
      </c>
      <c r="N1605" s="17" t="n"/>
      <c r="O1605" s="17" t="n"/>
      <c r="P1605" s="17" t="n"/>
      <c r="Q1605" s="17" t="n"/>
      <c r="R1605" s="17" t="n"/>
      <c r="S1605" s="17" t="n"/>
      <c r="T1605" s="17" t="n"/>
      <c r="U1605" s="17" t="n"/>
      <c r="V1605" s="17" t="n"/>
      <c r="W1605" s="17" t="n"/>
      <c r="X1605" s="17" t="n"/>
      <c r="Y1605" s="17" t="n">
        <v>1</v>
      </c>
      <c r="Z1605" s="13">
        <f>SUMPRODUCT(N1605:Y1605,$N$2:$Y$2)*$K1605*$L1605*$M1605</f>
        <v/>
      </c>
      <c r="AA1605" s="14">
        <f>SUM(N1605:Y1605)</f>
        <v/>
      </c>
      <c r="AB1605" s="14">
        <f>IFERROR(IF(UPPER($E1605)="L",SUMPRODUCT(N1605:Y1605,$N$3:$Y$3,$N$2:$Y$2),SUMPRODUCT(N1605:Y1605,$N$4:$Y$4,$N$2:$Y$2))/(Z1605/($K1605*$L1605*$M1605)),"")</f>
        <v/>
      </c>
      <c r="AC1605" s="18" t="n"/>
    </row>
    <row r="1606">
      <c r="A1606" s="9" t="n">
        <v>821181</v>
      </c>
      <c r="B1606" s="9" t="inlineStr">
        <is>
          <t>Juneiker Caceres</t>
        </is>
      </c>
      <c r="C1606" s="9" t="inlineStr">
        <is>
          <t>CLE</t>
        </is>
      </c>
      <c r="D1606" s="9" t="n">
        <v>20</v>
      </c>
      <c r="E1606" s="16" t="inlineStr">
        <is>
          <t>L</t>
        </is>
      </c>
      <c r="F1606" s="16" t="n"/>
      <c r="G1606" s="9" t="n">
        <v>19.28205128205128</v>
      </c>
      <c r="H1606" s="9" t="n">
        <v>19.28205128205128</v>
      </c>
      <c r="I1606" s="9" t="inlineStr">
        <is>
          <t>Depth (no MLB PA)</t>
        </is>
      </c>
      <c r="J1606" s="16" t="inlineStr">
        <is>
          <t>Opening Day</t>
        </is>
      </c>
      <c r="K1606" s="11">
        <f>IFERROR(INDEX(Roles!$B$17:$B$20,MATCH(J1606,Roles!$A$17:$A$20,0)),1)</f>
        <v/>
      </c>
      <c r="L1606" s="17" t="n">
        <v>1</v>
      </c>
      <c r="M1606" s="11" t="n">
        <v>1</v>
      </c>
      <c r="N1606" s="17" t="n"/>
      <c r="O1606" s="17" t="n"/>
      <c r="P1606" s="17" t="n"/>
      <c r="Q1606" s="17" t="n"/>
      <c r="R1606" s="17" t="n"/>
      <c r="S1606" s="17" t="n"/>
      <c r="T1606" s="17" t="n"/>
      <c r="U1606" s="17" t="n"/>
      <c r="V1606" s="17" t="n"/>
      <c r="W1606" s="17" t="n"/>
      <c r="X1606" s="17" t="n"/>
      <c r="Y1606" s="17" t="n">
        <v>1</v>
      </c>
      <c r="Z1606" s="13">
        <f>SUMPRODUCT(N1606:Y1606,$N$2:$Y$2)*$K1606*$L1606*$M1606</f>
        <v/>
      </c>
      <c r="AA1606" s="14">
        <f>SUM(N1606:Y1606)</f>
        <v/>
      </c>
      <c r="AB1606" s="14">
        <f>IFERROR(IF(UPPER($E1606)="L",SUMPRODUCT(N1606:Y1606,$N$3:$Y$3,$N$2:$Y$2),SUMPRODUCT(N1606:Y1606,$N$4:$Y$4,$N$2:$Y$2))/(Z1606/($K1606*$L1606*$M1606)),"")</f>
        <v/>
      </c>
      <c r="AC1606" s="18" t="n"/>
    </row>
    <row r="1607">
      <c r="A1607" s="9" t="n">
        <v>806994</v>
      </c>
      <c r="B1607" s="9" t="inlineStr">
        <is>
          <t>Luis Guanipa</t>
        </is>
      </c>
      <c r="C1607" s="9" t="inlineStr">
        <is>
          <t>ATL</t>
        </is>
      </c>
      <c r="D1607" s="9" t="n">
        <v>25</v>
      </c>
      <c r="E1607" s="16" t="inlineStr">
        <is>
          <t>R</t>
        </is>
      </c>
      <c r="F1607" s="16" t="n"/>
      <c r="G1607" s="9" t="n">
        <v>29.12820512820513</v>
      </c>
      <c r="H1607" s="9" t="n">
        <v>29.12820512820513</v>
      </c>
      <c r="I1607" s="9" t="inlineStr">
        <is>
          <t>Depth (no MLB PA)</t>
        </is>
      </c>
      <c r="J1607" s="16" t="inlineStr">
        <is>
          <t>Opening Day</t>
        </is>
      </c>
      <c r="K1607" s="11">
        <f>IFERROR(INDEX(Roles!$B$17:$B$20,MATCH(J1607,Roles!$A$17:$A$20,0)),1)</f>
        <v/>
      </c>
      <c r="L1607" s="17" t="n">
        <v>1</v>
      </c>
      <c r="M1607" s="11" t="n">
        <v>1</v>
      </c>
      <c r="N1607" s="17" t="n"/>
      <c r="O1607" s="17" t="n"/>
      <c r="P1607" s="17" t="n"/>
      <c r="Q1607" s="17" t="n"/>
      <c r="R1607" s="17" t="n"/>
      <c r="S1607" s="17" t="n"/>
      <c r="T1607" s="17" t="n"/>
      <c r="U1607" s="17" t="n"/>
      <c r="V1607" s="17" t="n"/>
      <c r="W1607" s="17" t="n"/>
      <c r="X1607" s="17" t="n"/>
      <c r="Y1607" s="17" t="n">
        <v>1</v>
      </c>
      <c r="Z1607" s="13">
        <f>SUMPRODUCT(N1607:Y1607,$N$2:$Y$2)*$K1607*$L1607*$M1607</f>
        <v/>
      </c>
      <c r="AA1607" s="14">
        <f>SUM(N1607:Y1607)</f>
        <v/>
      </c>
      <c r="AB1607" s="14">
        <f>IFERROR(IF(UPPER($E1607)="L",SUMPRODUCT(N1607:Y1607,$N$3:$Y$3,$N$2:$Y$2),SUMPRODUCT(N1607:Y1607,$N$4:$Y$4,$N$2:$Y$2))/(Z1607/($K1607*$L1607*$M1607)),"")</f>
        <v/>
      </c>
      <c r="AC1607" s="18" t="n"/>
    </row>
    <row r="1608">
      <c r="A1608" s="9" t="n">
        <v>821237</v>
      </c>
      <c r="B1608" s="9" t="inlineStr">
        <is>
          <t>Kevin Garcia</t>
        </is>
      </c>
      <c r="C1608" s="9" t="inlineStr">
        <is>
          <t>MIL</t>
        </is>
      </c>
      <c r="D1608" s="9" t="n">
        <v>25</v>
      </c>
      <c r="E1608" s="16" t="inlineStr">
        <is>
          <t>R</t>
        </is>
      </c>
      <c r="F1608" s="16" t="n"/>
      <c r="G1608" s="9" t="n">
        <v>27.93846153846154</v>
      </c>
      <c r="H1608" s="9" t="n">
        <v>27.93846153846154</v>
      </c>
      <c r="I1608" s="9" t="inlineStr">
        <is>
          <t>Depth (no MLB PA)</t>
        </is>
      </c>
      <c r="J1608" s="16" t="inlineStr">
        <is>
          <t>Opening Day</t>
        </is>
      </c>
      <c r="K1608" s="11">
        <f>IFERROR(INDEX(Roles!$B$17:$B$20,MATCH(J1608,Roles!$A$17:$A$20,0)),1)</f>
        <v/>
      </c>
      <c r="L1608" s="17" t="n">
        <v>1</v>
      </c>
      <c r="M1608" s="11" t="n">
        <v>1</v>
      </c>
      <c r="N1608" s="17" t="n"/>
      <c r="O1608" s="17" t="n"/>
      <c r="P1608" s="17" t="n"/>
      <c r="Q1608" s="17" t="n"/>
      <c r="R1608" s="17" t="n"/>
      <c r="S1608" s="17" t="n"/>
      <c r="T1608" s="17" t="n"/>
      <c r="U1608" s="17" t="n"/>
      <c r="V1608" s="17" t="n"/>
      <c r="W1608" s="17" t="n"/>
      <c r="X1608" s="17" t="n"/>
      <c r="Y1608" s="17" t="n">
        <v>1</v>
      </c>
      <c r="Z1608" s="13">
        <f>SUMPRODUCT(N1608:Y1608,$N$2:$Y$2)*$K1608*$L1608*$M1608</f>
        <v/>
      </c>
      <c r="AA1608" s="14">
        <f>SUM(N1608:Y1608)</f>
        <v/>
      </c>
      <c r="AB1608" s="14">
        <f>IFERROR(IF(UPPER($E1608)="L",SUMPRODUCT(N1608:Y1608,$N$3:$Y$3,$N$2:$Y$2),SUMPRODUCT(N1608:Y1608,$N$4:$Y$4,$N$2:$Y$2))/(Z1608/($K1608*$L1608*$M1608)),"")</f>
        <v/>
      </c>
      <c r="AC1608" s="18" t="n"/>
    </row>
    <row r="1609">
      <c r="A1609" s="9" t="n">
        <v>809861</v>
      </c>
      <c r="B1609" s="9" t="inlineStr">
        <is>
          <t>Chase Meggers</t>
        </is>
      </c>
      <c r="C1609" s="9" t="inlineStr">
        <is>
          <t>NYM</t>
        </is>
      </c>
      <c r="D1609" s="9" t="n">
        <v>25</v>
      </c>
      <c r="E1609" s="16" t="inlineStr">
        <is>
          <t>L</t>
        </is>
      </c>
      <c r="F1609" s="16" t="n"/>
      <c r="G1609" s="9" t="n">
        <v>15.17948717948718</v>
      </c>
      <c r="H1609" s="9" t="n">
        <v>15.17948717948718</v>
      </c>
      <c r="I1609" s="9" t="inlineStr">
        <is>
          <t>Depth (no MLB PA)</t>
        </is>
      </c>
      <c r="J1609" s="16" t="inlineStr">
        <is>
          <t>Opening Day</t>
        </is>
      </c>
      <c r="K1609" s="11">
        <f>IFERROR(INDEX(Roles!$B$17:$B$20,MATCH(J1609,Roles!$A$17:$A$20,0)),1)</f>
        <v/>
      </c>
      <c r="L1609" s="17" t="n">
        <v>1</v>
      </c>
      <c r="M1609" s="11" t="n">
        <v>1</v>
      </c>
      <c r="N1609" s="17" t="n"/>
      <c r="O1609" s="17" t="n"/>
      <c r="P1609" s="17" t="n"/>
      <c r="Q1609" s="17" t="n"/>
      <c r="R1609" s="17" t="n"/>
      <c r="S1609" s="17" t="n"/>
      <c r="T1609" s="17" t="n"/>
      <c r="U1609" s="17" t="n"/>
      <c r="V1609" s="17" t="n"/>
      <c r="W1609" s="17" t="n"/>
      <c r="X1609" s="17" t="n"/>
      <c r="Y1609" s="17" t="n">
        <v>1</v>
      </c>
      <c r="Z1609" s="13">
        <f>SUMPRODUCT(N1609:Y1609,$N$2:$Y$2)*$K1609*$L1609*$M1609</f>
        <v/>
      </c>
      <c r="AA1609" s="14">
        <f>SUM(N1609:Y1609)</f>
        <v/>
      </c>
      <c r="AB1609" s="14">
        <f>IFERROR(IF(UPPER($E1609)="L",SUMPRODUCT(N1609:Y1609,$N$3:$Y$3,$N$2:$Y$2),SUMPRODUCT(N1609:Y1609,$N$4:$Y$4,$N$2:$Y$2))/(Z1609/($K1609*$L1609*$M1609)),"")</f>
        <v/>
      </c>
      <c r="AC1609" s="18" t="n"/>
    </row>
    <row r="1610">
      <c r="A1610" s="9" t="n">
        <v>815907</v>
      </c>
      <c r="B1610" s="9" t="inlineStr">
        <is>
          <t>Curley Martha</t>
        </is>
      </c>
      <c r="C1610" s="9" t="inlineStr">
        <is>
          <t>TEX</t>
        </is>
      </c>
      <c r="D1610" s="9" t="n">
        <v>25</v>
      </c>
      <c r="E1610" s="16" t="inlineStr">
        <is>
          <t>R</t>
        </is>
      </c>
      <c r="F1610" s="16" t="n"/>
      <c r="G1610" s="9" t="n">
        <v>22.03076923076923</v>
      </c>
      <c r="H1610" s="9" t="n">
        <v>22.03076923076923</v>
      </c>
      <c r="I1610" s="9" t="inlineStr">
        <is>
          <t>Depth (no MLB PA)</t>
        </is>
      </c>
      <c r="J1610" s="16" t="inlineStr">
        <is>
          <t>Opening Day</t>
        </is>
      </c>
      <c r="K1610" s="11">
        <f>IFERROR(INDEX(Roles!$B$17:$B$20,MATCH(J1610,Roles!$A$17:$A$20,0)),1)</f>
        <v/>
      </c>
      <c r="L1610" s="17" t="n">
        <v>1</v>
      </c>
      <c r="M1610" s="11" t="n">
        <v>1</v>
      </c>
      <c r="N1610" s="17" t="n"/>
      <c r="O1610" s="17" t="n"/>
      <c r="P1610" s="17" t="n"/>
      <c r="Q1610" s="17" t="n"/>
      <c r="R1610" s="17" t="n"/>
      <c r="S1610" s="17" t="n"/>
      <c r="T1610" s="17" t="n"/>
      <c r="U1610" s="17" t="n"/>
      <c r="V1610" s="17" t="n"/>
      <c r="W1610" s="17" t="n"/>
      <c r="X1610" s="17" t="n"/>
      <c r="Y1610" s="17" t="n">
        <v>1</v>
      </c>
      <c r="Z1610" s="13">
        <f>SUMPRODUCT(N1610:Y1610,$N$2:$Y$2)*$K1610*$L1610*$M1610</f>
        <v/>
      </c>
      <c r="AA1610" s="14">
        <f>SUM(N1610:Y1610)</f>
        <v/>
      </c>
      <c r="AB1610" s="14">
        <f>IFERROR(IF(UPPER($E1610)="L",SUMPRODUCT(N1610:Y1610,$N$3:$Y$3,$N$2:$Y$2),SUMPRODUCT(N1610:Y1610,$N$4:$Y$4,$N$2:$Y$2))/(Z1610/($K1610*$L1610*$M1610)),"")</f>
        <v/>
      </c>
      <c r="AC1610" s="18" t="n"/>
    </row>
    <row r="1611">
      <c r="A1611" s="9" t="n">
        <v>806152</v>
      </c>
      <c r="B1611" s="9" t="inlineStr">
        <is>
          <t>Walker Martin</t>
        </is>
      </c>
      <c r="C1611" s="9" t="inlineStr">
        <is>
          <t>SF</t>
        </is>
      </c>
      <c r="D1611" s="9" t="n">
        <v>25</v>
      </c>
      <c r="E1611" s="16" t="inlineStr">
        <is>
          <t>L</t>
        </is>
      </c>
      <c r="F1611" s="16" t="n"/>
      <c r="G1611" s="9" t="n">
        <v>90.46153846153848</v>
      </c>
      <c r="H1611" s="9" t="n">
        <v>90.46153846153848</v>
      </c>
      <c r="I1611" s="9" t="inlineStr">
        <is>
          <t>Depth (no MLB PA)</t>
        </is>
      </c>
      <c r="J1611" s="16" t="inlineStr">
        <is>
          <t>Opening Day</t>
        </is>
      </c>
      <c r="K1611" s="11">
        <f>IFERROR(INDEX(Roles!$B$17:$B$20,MATCH(J1611,Roles!$A$17:$A$20,0)),1)</f>
        <v/>
      </c>
      <c r="L1611" s="17" t="n">
        <v>1</v>
      </c>
      <c r="M1611" s="11" t="n">
        <v>1</v>
      </c>
      <c r="N1611" s="17" t="n"/>
      <c r="O1611" s="17" t="n"/>
      <c r="P1611" s="17" t="n"/>
      <c r="Q1611" s="17" t="n"/>
      <c r="R1611" s="17" t="n"/>
      <c r="S1611" s="17" t="n"/>
      <c r="T1611" s="17" t="n"/>
      <c r="U1611" s="17" t="n"/>
      <c r="V1611" s="17" t="n"/>
      <c r="W1611" s="17" t="n"/>
      <c r="X1611" s="17" t="n"/>
      <c r="Y1611" s="17" t="n">
        <v>1</v>
      </c>
      <c r="Z1611" s="13">
        <f>SUMPRODUCT(N1611:Y1611,$N$2:$Y$2)*$K1611*$L1611*$M1611</f>
        <v/>
      </c>
      <c r="AA1611" s="14">
        <f>SUM(N1611:Y1611)</f>
        <v/>
      </c>
      <c r="AB1611" s="14">
        <f>IFERROR(IF(UPPER($E1611)="L",SUMPRODUCT(N1611:Y1611,$N$3:$Y$3,$N$2:$Y$2),SUMPRODUCT(N1611:Y1611,$N$4:$Y$4,$N$2:$Y$2))/(Z1611/($K1611*$L1611*$M1611)),"")</f>
        <v/>
      </c>
      <c r="AC1611" s="18" t="n"/>
    </row>
    <row r="1612">
      <c r="A1612" s="9" t="n">
        <v>836173</v>
      </c>
      <c r="B1612" s="9" t="inlineStr">
        <is>
          <t>Conner Westenburg</t>
        </is>
      </c>
      <c r="C1612" s="9" t="inlineStr">
        <is>
          <t>SD</t>
        </is>
      </c>
      <c r="D1612" s="9" t="n">
        <v>25</v>
      </c>
      <c r="E1612" s="16" t="inlineStr">
        <is>
          <t>R</t>
        </is>
      </c>
      <c r="F1612" s="16" t="n"/>
      <c r="G1612" s="9" t="n">
        <v>14.97435897435898</v>
      </c>
      <c r="H1612" s="9" t="n">
        <v>14.97435897435898</v>
      </c>
      <c r="I1612" s="9" t="inlineStr">
        <is>
          <t>Depth (no MLB PA)</t>
        </is>
      </c>
      <c r="J1612" s="16" t="inlineStr">
        <is>
          <t>Opening Day</t>
        </is>
      </c>
      <c r="K1612" s="11">
        <f>IFERROR(INDEX(Roles!$B$17:$B$20,MATCH(J1612,Roles!$A$17:$A$20,0)),1)</f>
        <v/>
      </c>
      <c r="L1612" s="17" t="n">
        <v>1</v>
      </c>
      <c r="M1612" s="11" t="n">
        <v>1</v>
      </c>
      <c r="N1612" s="17" t="n"/>
      <c r="O1612" s="17" t="n"/>
      <c r="P1612" s="17" t="n"/>
      <c r="Q1612" s="17" t="n"/>
      <c r="R1612" s="17" t="n"/>
      <c r="S1612" s="17" t="n"/>
      <c r="T1612" s="17" t="n"/>
      <c r="U1612" s="17" t="n"/>
      <c r="V1612" s="17" t="n"/>
      <c r="W1612" s="17" t="n"/>
      <c r="X1612" s="17" t="n"/>
      <c r="Y1612" s="17" t="n">
        <v>1</v>
      </c>
      <c r="Z1612" s="13">
        <f>SUMPRODUCT(N1612:Y1612,$N$2:$Y$2)*$K1612*$L1612*$M1612</f>
        <v/>
      </c>
      <c r="AA1612" s="14">
        <f>SUM(N1612:Y1612)</f>
        <v/>
      </c>
      <c r="AB1612" s="14">
        <f>IFERROR(IF(UPPER($E1612)="L",SUMPRODUCT(N1612:Y1612,$N$3:$Y$3,$N$2:$Y$2),SUMPRODUCT(N1612:Y1612,$N$4:$Y$4,$N$2:$Y$2))/(Z1612/($K1612*$L1612*$M1612)),"")</f>
        <v/>
      </c>
      <c r="AC1612" s="18" t="n"/>
    </row>
    <row r="1613">
      <c r="A1613" s="9" t="n">
        <v>827504</v>
      </c>
      <c r="B1613" s="9" t="inlineStr">
        <is>
          <t>Hector Salas</t>
        </is>
      </c>
      <c r="C1613" s="9" t="inlineStr">
        <is>
          <t>HOU</t>
        </is>
      </c>
      <c r="D1613" s="9" t="n">
        <v>25</v>
      </c>
      <c r="E1613" s="16" t="inlineStr">
        <is>
          <t>L</t>
        </is>
      </c>
      <c r="F1613" s="16" t="n"/>
      <c r="G1613" s="9" t="n">
        <v>24.05128205128205</v>
      </c>
      <c r="H1613" s="9" t="n">
        <v>24.05128205128205</v>
      </c>
      <c r="I1613" s="9" t="inlineStr">
        <is>
          <t>Depth (no MLB PA)</t>
        </is>
      </c>
      <c r="J1613" s="16" t="inlineStr">
        <is>
          <t>Opening Day</t>
        </is>
      </c>
      <c r="K1613" s="11">
        <f>IFERROR(INDEX(Roles!$B$17:$B$20,MATCH(J1613,Roles!$A$17:$A$20,0)),1)</f>
        <v/>
      </c>
      <c r="L1613" s="17" t="n">
        <v>1</v>
      </c>
      <c r="M1613" s="11" t="n">
        <v>1</v>
      </c>
      <c r="N1613" s="17" t="n"/>
      <c r="O1613" s="17" t="n"/>
      <c r="P1613" s="17" t="n"/>
      <c r="Q1613" s="17" t="n"/>
      <c r="R1613" s="17" t="n"/>
      <c r="S1613" s="17" t="n"/>
      <c r="T1613" s="17" t="n"/>
      <c r="U1613" s="17" t="n"/>
      <c r="V1613" s="17" t="n"/>
      <c r="W1613" s="17" t="n"/>
      <c r="X1613" s="17" t="n"/>
      <c r="Y1613" s="17" t="n">
        <v>1</v>
      </c>
      <c r="Z1613" s="13">
        <f>SUMPRODUCT(N1613:Y1613,$N$2:$Y$2)*$K1613*$L1613*$M1613</f>
        <v/>
      </c>
      <c r="AA1613" s="14">
        <f>SUM(N1613:Y1613)</f>
        <v/>
      </c>
      <c r="AB1613" s="14">
        <f>IFERROR(IF(UPPER($E1613)="L",SUMPRODUCT(N1613:Y1613,$N$3:$Y$3,$N$2:$Y$2),SUMPRODUCT(N1613:Y1613,$N$4:$Y$4,$N$2:$Y$2))/(Z1613/($K1613*$L1613*$M1613)),"")</f>
        <v/>
      </c>
      <c r="AC1613" s="18" t="n"/>
    </row>
    <row r="1614">
      <c r="A1614" s="9" t="n">
        <v>808082</v>
      </c>
      <c r="B1614" s="9" t="inlineStr">
        <is>
          <t>Vladi Gomez</t>
        </is>
      </c>
      <c r="C1614" s="9" t="inlineStr">
        <is>
          <t>NYM</t>
        </is>
      </c>
      <c r="D1614" s="9" t="n">
        <v>25</v>
      </c>
      <c r="E1614" s="16" t="inlineStr">
        <is>
          <t>L</t>
        </is>
      </c>
      <c r="F1614" s="16" t="n"/>
      <c r="G1614" s="9" t="n">
        <v>15.26153846153846</v>
      </c>
      <c r="H1614" s="9" t="n">
        <v>15.26153846153846</v>
      </c>
      <c r="I1614" s="9" t="inlineStr">
        <is>
          <t>Depth (no MLB PA)</t>
        </is>
      </c>
      <c r="J1614" s="16" t="inlineStr">
        <is>
          <t>Opening Day</t>
        </is>
      </c>
      <c r="K1614" s="11">
        <f>IFERROR(INDEX(Roles!$B$17:$B$20,MATCH(J1614,Roles!$A$17:$A$20,0)),1)</f>
        <v/>
      </c>
      <c r="L1614" s="17" t="n">
        <v>1</v>
      </c>
      <c r="M1614" s="11" t="n">
        <v>1</v>
      </c>
      <c r="N1614" s="17" t="n"/>
      <c r="O1614" s="17" t="n"/>
      <c r="P1614" s="17" t="n"/>
      <c r="Q1614" s="17" t="n"/>
      <c r="R1614" s="17" t="n"/>
      <c r="S1614" s="17" t="n"/>
      <c r="T1614" s="17" t="n"/>
      <c r="U1614" s="17" t="n"/>
      <c r="V1614" s="17" t="n"/>
      <c r="W1614" s="17" t="n"/>
      <c r="X1614" s="17" t="n"/>
      <c r="Y1614" s="17" t="n">
        <v>1</v>
      </c>
      <c r="Z1614" s="13">
        <f>SUMPRODUCT(N1614:Y1614,$N$2:$Y$2)*$K1614*$L1614*$M1614</f>
        <v/>
      </c>
      <c r="AA1614" s="14">
        <f>SUM(N1614:Y1614)</f>
        <v/>
      </c>
      <c r="AB1614" s="14">
        <f>IFERROR(IF(UPPER($E1614)="L",SUMPRODUCT(N1614:Y1614,$N$3:$Y$3,$N$2:$Y$2),SUMPRODUCT(N1614:Y1614,$N$4:$Y$4,$N$2:$Y$2))/(Z1614/($K1614*$L1614*$M1614)),"")</f>
        <v/>
      </c>
      <c r="AC1614" s="18" t="n"/>
    </row>
    <row r="1615">
      <c r="A1615" s="9" t="n">
        <v>664247</v>
      </c>
      <c r="B1615" s="9" t="inlineStr">
        <is>
          <t>Kyle Garlick</t>
        </is>
      </c>
      <c r="C1615" s="9" t="inlineStr">
        <is>
          <t>MIN</t>
        </is>
      </c>
      <c r="D1615" s="9" t="n">
        <v>35</v>
      </c>
      <c r="E1615" s="16" t="inlineStr">
        <is>
          <t>R</t>
        </is>
      </c>
      <c r="F1615" s="16" t="inlineStr">
        <is>
          <t>RF</t>
        </is>
      </c>
      <c r="G1615" s="9" t="n">
        <v>30</v>
      </c>
      <c r="H1615" s="9" t="n">
        <v>192</v>
      </c>
      <c r="I1615" s="9" t="inlineStr">
        <is>
          <t>Depth (no MLB PA)</t>
        </is>
      </c>
      <c r="J1615" s="16" t="inlineStr">
        <is>
          <t>Opening Day</t>
        </is>
      </c>
      <c r="K1615" s="11">
        <f>IFERROR(INDEX(Roles!$B$17:$B$20,MATCH(J1615,Roles!$A$17:$A$20,0)),1)</f>
        <v/>
      </c>
      <c r="L1615" s="17" t="n">
        <v>1</v>
      </c>
      <c r="M1615" s="11" t="n">
        <v>1</v>
      </c>
      <c r="N1615" s="17" t="n"/>
      <c r="O1615" s="17" t="n"/>
      <c r="P1615" s="17" t="n"/>
      <c r="Q1615" s="17" t="n"/>
      <c r="R1615" s="17" t="n"/>
      <c r="S1615" s="17" t="n"/>
      <c r="T1615" s="17" t="n"/>
      <c r="U1615" s="17" t="n"/>
      <c r="V1615" s="17" t="n"/>
      <c r="W1615" s="17" t="n"/>
      <c r="X1615" s="17" t="n"/>
      <c r="Y1615" s="17" t="n">
        <v>1</v>
      </c>
      <c r="Z1615" s="13">
        <f>SUMPRODUCT(N1615:Y1615,$N$2:$Y$2)*$K1615*$L1615*$M1615</f>
        <v/>
      </c>
      <c r="AA1615" s="14">
        <f>SUM(N1615:Y1615)</f>
        <v/>
      </c>
      <c r="AB1615" s="14">
        <f>IFERROR(IF(UPPER($E1615)="L",SUMPRODUCT(N1615:Y1615,$N$3:$Y$3,$N$2:$Y$2),SUMPRODUCT(N1615:Y1615,$N$4:$Y$4,$N$2:$Y$2))/(Z1615/($K1615*$L1615*$M1615)),"")</f>
        <v/>
      </c>
      <c r="AC1615" s="18" t="n"/>
    </row>
    <row r="1616">
      <c r="A1616" s="9" t="n">
        <v>693832</v>
      </c>
      <c r="B1616" s="9" t="inlineStr">
        <is>
          <t>Tre Richardson III</t>
        </is>
      </c>
      <c r="C1616" s="9" t="inlineStr">
        <is>
          <t>STL</t>
        </is>
      </c>
      <c r="D1616" s="9" t="n">
        <v>25</v>
      </c>
      <c r="E1616" s="16" t="inlineStr">
        <is>
          <t>R</t>
        </is>
      </c>
      <c r="F1616" s="16" t="n"/>
      <c r="G1616" s="9" t="n">
        <v>85.7948717948718</v>
      </c>
      <c r="H1616" s="9" t="n">
        <v>85.7948717948718</v>
      </c>
      <c r="I1616" s="9" t="inlineStr">
        <is>
          <t>Depth (no MLB PA)</t>
        </is>
      </c>
      <c r="J1616" s="16" t="inlineStr">
        <is>
          <t>Opening Day</t>
        </is>
      </c>
      <c r="K1616" s="11">
        <f>IFERROR(INDEX(Roles!$B$17:$B$20,MATCH(J1616,Roles!$A$17:$A$20,0)),1)</f>
        <v/>
      </c>
      <c r="L1616" s="17" t="n">
        <v>1</v>
      </c>
      <c r="M1616" s="11" t="n">
        <v>1</v>
      </c>
      <c r="N1616" s="17" t="n"/>
      <c r="O1616" s="17" t="n"/>
      <c r="P1616" s="17" t="n"/>
      <c r="Q1616" s="17" t="n"/>
      <c r="R1616" s="17" t="n"/>
      <c r="S1616" s="17" t="n"/>
      <c r="T1616" s="17" t="n"/>
      <c r="U1616" s="17" t="n"/>
      <c r="V1616" s="17" t="n"/>
      <c r="W1616" s="17" t="n"/>
      <c r="X1616" s="17" t="n"/>
      <c r="Y1616" s="17" t="n">
        <v>1</v>
      </c>
      <c r="Z1616" s="13">
        <f>SUMPRODUCT(N1616:Y1616,$N$2:$Y$2)*$K1616*$L1616*$M1616</f>
        <v/>
      </c>
      <c r="AA1616" s="14">
        <f>SUM(N1616:Y1616)</f>
        <v/>
      </c>
      <c r="AB1616" s="14">
        <f>IFERROR(IF(UPPER($E1616)="L",SUMPRODUCT(N1616:Y1616,$N$3:$Y$3,$N$2:$Y$2),SUMPRODUCT(N1616:Y1616,$N$4:$Y$4,$N$2:$Y$2))/(Z1616/($K1616*$L1616*$M1616)),"")</f>
        <v/>
      </c>
      <c r="AC1616" s="18" t="n"/>
    </row>
    <row r="1617">
      <c r="A1617" s="9" t="n">
        <v>656495</v>
      </c>
      <c r="B1617" s="9" t="inlineStr">
        <is>
          <t>Dalton Guthrie</t>
        </is>
      </c>
      <c r="C1617" s="9" t="inlineStr">
        <is>
          <t>PHI</t>
        </is>
      </c>
      <c r="D1617" s="9" t="n">
        <v>31</v>
      </c>
      <c r="E1617" s="16" t="inlineStr">
        <is>
          <t>R</t>
        </is>
      </c>
      <c r="F1617" s="16" t="inlineStr">
        <is>
          <t>CF</t>
        </is>
      </c>
      <c r="G1617" s="9" t="n">
        <v>28</v>
      </c>
      <c r="H1617" s="9" t="n">
        <v>56</v>
      </c>
      <c r="I1617" s="9" t="inlineStr">
        <is>
          <t>Depth (no MLB PA)</t>
        </is>
      </c>
      <c r="J1617" s="16" t="inlineStr">
        <is>
          <t>Opening Day</t>
        </is>
      </c>
      <c r="K1617" s="11">
        <f>IFERROR(INDEX(Roles!$B$17:$B$20,MATCH(J1617,Roles!$A$17:$A$20,0)),1)</f>
        <v/>
      </c>
      <c r="L1617" s="17" t="n">
        <v>1</v>
      </c>
      <c r="M1617" s="11" t="n">
        <v>1</v>
      </c>
      <c r="N1617" s="17" t="n"/>
      <c r="O1617" s="17" t="n"/>
      <c r="P1617" s="17" t="n"/>
      <c r="Q1617" s="17" t="n"/>
      <c r="R1617" s="17" t="n"/>
      <c r="S1617" s="17" t="n"/>
      <c r="T1617" s="17" t="n"/>
      <c r="U1617" s="17" t="n"/>
      <c r="V1617" s="17" t="n"/>
      <c r="W1617" s="17" t="n"/>
      <c r="X1617" s="17" t="n"/>
      <c r="Y1617" s="17" t="n">
        <v>1</v>
      </c>
      <c r="Z1617" s="13">
        <f>SUMPRODUCT(N1617:Y1617,$N$2:$Y$2)*$K1617*$L1617*$M1617</f>
        <v/>
      </c>
      <c r="AA1617" s="14">
        <f>SUM(N1617:Y1617)</f>
        <v/>
      </c>
      <c r="AB1617" s="14">
        <f>IFERROR(IF(UPPER($E1617)="L",SUMPRODUCT(N1617:Y1617,$N$3:$Y$3,$N$2:$Y$2),SUMPRODUCT(N1617:Y1617,$N$4:$Y$4,$N$2:$Y$2))/(Z1617/($K1617*$L1617*$M1617)),"")</f>
        <v/>
      </c>
      <c r="AC1617" s="18" t="n"/>
    </row>
    <row r="1618">
      <c r="A1618" s="9" t="n">
        <v>664029</v>
      </c>
      <c r="B1618" s="9" t="inlineStr">
        <is>
          <t>Mark Mathias</t>
        </is>
      </c>
      <c r="C1618" s="9" t="inlineStr">
        <is>
          <t>SF</t>
        </is>
      </c>
      <c r="D1618" s="9" t="n">
        <v>32</v>
      </c>
      <c r="E1618" s="16" t="inlineStr">
        <is>
          <t>R</t>
        </is>
      </c>
      <c r="F1618" s="16" t="inlineStr">
        <is>
          <t>2B</t>
        </is>
      </c>
      <c r="G1618" s="9" t="n">
        <v>72</v>
      </c>
      <c r="H1618" s="9" t="n">
        <v>163</v>
      </c>
      <c r="I1618" s="9" t="inlineStr">
        <is>
          <t>Depth (no MLB PA)</t>
        </is>
      </c>
      <c r="J1618" s="16" t="inlineStr">
        <is>
          <t>Opening Day</t>
        </is>
      </c>
      <c r="K1618" s="11">
        <f>IFERROR(INDEX(Roles!$B$17:$B$20,MATCH(J1618,Roles!$A$17:$A$20,0)),1)</f>
        <v/>
      </c>
      <c r="L1618" s="17" t="n">
        <v>1</v>
      </c>
      <c r="M1618" s="11" t="n">
        <v>1</v>
      </c>
      <c r="N1618" s="17" t="n"/>
      <c r="O1618" s="17" t="n"/>
      <c r="P1618" s="17" t="n"/>
      <c r="Q1618" s="17" t="n"/>
      <c r="R1618" s="17" t="n"/>
      <c r="S1618" s="17" t="n"/>
      <c r="T1618" s="17" t="n"/>
      <c r="U1618" s="17" t="n"/>
      <c r="V1618" s="17" t="n"/>
      <c r="W1618" s="17" t="n"/>
      <c r="X1618" s="17" t="n"/>
      <c r="Y1618" s="17" t="n">
        <v>1</v>
      </c>
      <c r="Z1618" s="13">
        <f>SUMPRODUCT(N1618:Y1618,$N$2:$Y$2)*$K1618*$L1618*$M1618</f>
        <v/>
      </c>
      <c r="AA1618" s="14">
        <f>SUM(N1618:Y1618)</f>
        <v/>
      </c>
      <c r="AB1618" s="14">
        <f>IFERROR(IF(UPPER($E1618)="L",SUMPRODUCT(N1618:Y1618,$N$3:$Y$3,$N$2:$Y$2),SUMPRODUCT(N1618:Y1618,$N$4:$Y$4,$N$2:$Y$2))/(Z1618/($K1618*$L1618*$M1618)),"")</f>
        <v/>
      </c>
      <c r="AC1618" s="18" t="n"/>
    </row>
    <row r="1619">
      <c r="A1619" s="9" t="n">
        <v>696501</v>
      </c>
      <c r="B1619" s="9" t="inlineStr">
        <is>
          <t>Mark Coley II</t>
        </is>
      </c>
      <c r="C1619" s="9" t="inlineStr">
        <is>
          <t>MIL</t>
        </is>
      </c>
      <c r="D1619" s="9" t="n">
        <v>25</v>
      </c>
      <c r="E1619" s="16" t="inlineStr">
        <is>
          <t>R</t>
        </is>
      </c>
      <c r="F1619" s="16" t="n"/>
      <c r="G1619" s="9" t="n">
        <v>101.2307692307692</v>
      </c>
      <c r="H1619" s="9" t="n">
        <v>101.2307692307692</v>
      </c>
      <c r="I1619" s="9" t="inlineStr">
        <is>
          <t>Depth (no MLB PA)</t>
        </is>
      </c>
      <c r="J1619" s="16" t="inlineStr">
        <is>
          <t>Opening Day</t>
        </is>
      </c>
      <c r="K1619" s="11">
        <f>IFERROR(INDEX(Roles!$B$17:$B$20,MATCH(J1619,Roles!$A$17:$A$20,0)),1)</f>
        <v/>
      </c>
      <c r="L1619" s="17" t="n">
        <v>1</v>
      </c>
      <c r="M1619" s="11" t="n">
        <v>1</v>
      </c>
      <c r="N1619" s="17" t="n"/>
      <c r="O1619" s="17" t="n"/>
      <c r="P1619" s="17" t="n"/>
      <c r="Q1619" s="17" t="n"/>
      <c r="R1619" s="17" t="n"/>
      <c r="S1619" s="17" t="n"/>
      <c r="T1619" s="17" t="n"/>
      <c r="U1619" s="17" t="n"/>
      <c r="V1619" s="17" t="n"/>
      <c r="W1619" s="17" t="n"/>
      <c r="X1619" s="17" t="n"/>
      <c r="Y1619" s="17" t="n">
        <v>1</v>
      </c>
      <c r="Z1619" s="13">
        <f>SUMPRODUCT(N1619:Y1619,$N$2:$Y$2)*$K1619*$L1619*$M1619</f>
        <v/>
      </c>
      <c r="AA1619" s="14">
        <f>SUM(N1619:Y1619)</f>
        <v/>
      </c>
      <c r="AB1619" s="14">
        <f>IFERROR(IF(UPPER($E1619)="L",SUMPRODUCT(N1619:Y1619,$N$3:$Y$3,$N$2:$Y$2),SUMPRODUCT(N1619:Y1619,$N$4:$Y$4,$N$2:$Y$2))/(Z1619/($K1619*$L1619*$M1619)),"")</f>
        <v/>
      </c>
      <c r="AC1619" s="18" t="n"/>
    </row>
    <row r="1620">
      <c r="A1620" s="9" t="n">
        <v>829306</v>
      </c>
      <c r="B1620" s="9" t="inlineStr">
        <is>
          <t>Nick Becker</t>
        </is>
      </c>
      <c r="C1620" s="9" t="inlineStr">
        <is>
          <t>SEA</t>
        </is>
      </c>
      <c r="D1620" s="9" t="n">
        <v>25</v>
      </c>
      <c r="E1620" s="16" t="inlineStr">
        <is>
          <t>R</t>
        </is>
      </c>
      <c r="F1620" s="16" t="n"/>
      <c r="G1620" s="9" t="n">
        <v>15.01538461538461</v>
      </c>
      <c r="H1620" s="9" t="n">
        <v>15.01538461538461</v>
      </c>
      <c r="I1620" s="9" t="inlineStr">
        <is>
          <t>Depth (no MLB PA)</t>
        </is>
      </c>
      <c r="J1620" s="16" t="inlineStr">
        <is>
          <t>Opening Day</t>
        </is>
      </c>
      <c r="K1620" s="11">
        <f>IFERROR(INDEX(Roles!$B$17:$B$20,MATCH(J1620,Roles!$A$17:$A$20,0)),1)</f>
        <v/>
      </c>
      <c r="L1620" s="17" t="n">
        <v>1</v>
      </c>
      <c r="M1620" s="11" t="n">
        <v>1</v>
      </c>
      <c r="N1620" s="17" t="n"/>
      <c r="O1620" s="17" t="n"/>
      <c r="P1620" s="17" t="n"/>
      <c r="Q1620" s="17" t="n"/>
      <c r="R1620" s="17" t="n"/>
      <c r="S1620" s="17" t="n"/>
      <c r="T1620" s="17" t="n"/>
      <c r="U1620" s="17" t="n"/>
      <c r="V1620" s="17" t="n"/>
      <c r="W1620" s="17" t="n"/>
      <c r="X1620" s="17" t="n"/>
      <c r="Y1620" s="17" t="n">
        <v>1</v>
      </c>
      <c r="Z1620" s="13">
        <f>SUMPRODUCT(N1620:Y1620,$N$2:$Y$2)*$K1620*$L1620*$M1620</f>
        <v/>
      </c>
      <c r="AA1620" s="14">
        <f>SUM(N1620:Y1620)</f>
        <v/>
      </c>
      <c r="AB1620" s="14">
        <f>IFERROR(IF(UPPER($E1620)="L",SUMPRODUCT(N1620:Y1620,$N$3:$Y$3,$N$2:$Y$2),SUMPRODUCT(N1620:Y1620,$N$4:$Y$4,$N$2:$Y$2))/(Z1620/($K1620*$L1620*$M1620)),"")</f>
        <v/>
      </c>
      <c r="AC1620" s="18" t="n"/>
    </row>
    <row r="1621">
      <c r="A1621" s="9" t="n">
        <v>822619</v>
      </c>
      <c r="B1621" s="9" t="inlineStr">
        <is>
          <t>Christian Gonzalez</t>
        </is>
      </c>
      <c r="C1621" s="9" t="inlineStr">
        <is>
          <t>CWS</t>
        </is>
      </c>
      <c r="D1621" s="9" t="n">
        <v>25</v>
      </c>
      <c r="E1621" s="16" t="inlineStr">
        <is>
          <t>L</t>
        </is>
      </c>
      <c r="F1621" s="16" t="n"/>
      <c r="G1621" s="9" t="n">
        <v>17.47692307692308</v>
      </c>
      <c r="H1621" s="9" t="n">
        <v>17.47692307692308</v>
      </c>
      <c r="I1621" s="9" t="inlineStr">
        <is>
          <t>Depth (no MLB PA)</t>
        </is>
      </c>
      <c r="J1621" s="16" t="inlineStr">
        <is>
          <t>Opening Day</t>
        </is>
      </c>
      <c r="K1621" s="11">
        <f>IFERROR(INDEX(Roles!$B$17:$B$20,MATCH(J1621,Roles!$A$17:$A$20,0)),1)</f>
        <v/>
      </c>
      <c r="L1621" s="17" t="n">
        <v>1</v>
      </c>
      <c r="M1621" s="11" t="n">
        <v>1</v>
      </c>
      <c r="N1621" s="17" t="n"/>
      <c r="O1621" s="17" t="n"/>
      <c r="P1621" s="17" t="n"/>
      <c r="Q1621" s="17" t="n"/>
      <c r="R1621" s="17" t="n"/>
      <c r="S1621" s="17" t="n"/>
      <c r="T1621" s="17" t="n"/>
      <c r="U1621" s="17" t="n"/>
      <c r="V1621" s="17" t="n"/>
      <c r="W1621" s="17" t="n"/>
      <c r="X1621" s="17" t="n"/>
      <c r="Y1621" s="17" t="n">
        <v>1</v>
      </c>
      <c r="Z1621" s="13">
        <f>SUMPRODUCT(N1621:Y1621,$N$2:$Y$2)*$K1621*$L1621*$M1621</f>
        <v/>
      </c>
      <c r="AA1621" s="14">
        <f>SUM(N1621:Y1621)</f>
        <v/>
      </c>
      <c r="AB1621" s="14">
        <f>IFERROR(IF(UPPER($E1621)="L",SUMPRODUCT(N1621:Y1621,$N$3:$Y$3,$N$2:$Y$2),SUMPRODUCT(N1621:Y1621,$N$4:$Y$4,$N$2:$Y$2))/(Z1621/($K1621*$L1621*$M1621)),"")</f>
        <v/>
      </c>
      <c r="AC1621" s="18" t="n"/>
    </row>
    <row r="1622">
      <c r="A1622" s="9" t="n">
        <v>689052</v>
      </c>
      <c r="B1622" s="9" t="inlineStr">
        <is>
          <t>Jordan Williams</t>
        </is>
      </c>
      <c r="C1622" s="9" t="inlineStr">
        <is>
          <t>WSH</t>
        </is>
      </c>
      <c r="D1622" s="9" t="n">
        <v>25</v>
      </c>
      <c r="E1622" s="16" t="inlineStr">
        <is>
          <t>S</t>
        </is>
      </c>
      <c r="F1622" s="16" t="n"/>
      <c r="G1622" s="9" t="n">
        <v>35.44615384615385</v>
      </c>
      <c r="H1622" s="9" t="n">
        <v>35.44615384615385</v>
      </c>
      <c r="I1622" s="9" t="inlineStr">
        <is>
          <t>Depth (no MLB PA)</t>
        </is>
      </c>
      <c r="J1622" s="16" t="inlineStr">
        <is>
          <t>Opening Day</t>
        </is>
      </c>
      <c r="K1622" s="11">
        <f>IFERROR(INDEX(Roles!$B$17:$B$20,MATCH(J1622,Roles!$A$17:$A$20,0)),1)</f>
        <v/>
      </c>
      <c r="L1622" s="17" t="n">
        <v>1</v>
      </c>
      <c r="M1622" s="11" t="n">
        <v>1</v>
      </c>
      <c r="N1622" s="17" t="n"/>
      <c r="O1622" s="17" t="n"/>
      <c r="P1622" s="17" t="n"/>
      <c r="Q1622" s="17" t="n"/>
      <c r="R1622" s="17" t="n"/>
      <c r="S1622" s="17" t="n"/>
      <c r="T1622" s="17" t="n"/>
      <c r="U1622" s="17" t="n"/>
      <c r="V1622" s="17" t="n"/>
      <c r="W1622" s="17" t="n"/>
      <c r="X1622" s="17" t="n"/>
      <c r="Y1622" s="17" t="n">
        <v>1</v>
      </c>
      <c r="Z1622" s="13">
        <f>SUMPRODUCT(N1622:Y1622,$N$2:$Y$2)*$K1622*$L1622*$M1622</f>
        <v/>
      </c>
      <c r="AA1622" s="14">
        <f>SUM(N1622:Y1622)</f>
        <v/>
      </c>
      <c r="AB1622" s="14">
        <f>IFERROR(IF(UPPER($E1622)="L",SUMPRODUCT(N1622:Y1622,$N$3:$Y$3,$N$2:$Y$2),SUMPRODUCT(N1622:Y1622,$N$4:$Y$4,$N$2:$Y$2))/(Z1622/($K1622*$L1622*$M1622)),"")</f>
        <v/>
      </c>
      <c r="AC1622" s="18" t="n"/>
    </row>
    <row r="1623">
      <c r="A1623" s="9" t="n">
        <v>800294</v>
      </c>
      <c r="B1623" s="9" t="inlineStr">
        <is>
          <t>Waner Luciano</t>
        </is>
      </c>
      <c r="C1623" s="9" t="inlineStr">
        <is>
          <t>HOU</t>
        </is>
      </c>
      <c r="D1623" s="9" t="n">
        <v>25</v>
      </c>
      <c r="E1623" s="16" t="inlineStr">
        <is>
          <t>R</t>
        </is>
      </c>
      <c r="F1623" s="16" t="n"/>
      <c r="G1623" s="9" t="n">
        <v>36.06153846153846</v>
      </c>
      <c r="H1623" s="9" t="n">
        <v>36.06153846153846</v>
      </c>
      <c r="I1623" s="9" t="inlineStr">
        <is>
          <t>Depth (no MLB PA)</t>
        </is>
      </c>
      <c r="J1623" s="16" t="inlineStr">
        <is>
          <t>Opening Day</t>
        </is>
      </c>
      <c r="K1623" s="11">
        <f>IFERROR(INDEX(Roles!$B$17:$B$20,MATCH(J1623,Roles!$A$17:$A$20,0)),1)</f>
        <v/>
      </c>
      <c r="L1623" s="17" t="n">
        <v>1</v>
      </c>
      <c r="M1623" s="11" t="n">
        <v>1</v>
      </c>
      <c r="N1623" s="17" t="n"/>
      <c r="O1623" s="17" t="n"/>
      <c r="P1623" s="17" t="n"/>
      <c r="Q1623" s="17" t="n"/>
      <c r="R1623" s="17" t="n"/>
      <c r="S1623" s="17" t="n"/>
      <c r="T1623" s="17" t="n"/>
      <c r="U1623" s="17" t="n"/>
      <c r="V1623" s="17" t="n"/>
      <c r="W1623" s="17" t="n"/>
      <c r="X1623" s="17" t="n"/>
      <c r="Y1623" s="17" t="n">
        <v>1</v>
      </c>
      <c r="Z1623" s="13">
        <f>SUMPRODUCT(N1623:Y1623,$N$2:$Y$2)*$K1623*$L1623*$M1623</f>
        <v/>
      </c>
      <c r="AA1623" s="14">
        <f>SUM(N1623:Y1623)</f>
        <v/>
      </c>
      <c r="AB1623" s="14">
        <f>IFERROR(IF(UPPER($E1623)="L",SUMPRODUCT(N1623:Y1623,$N$3:$Y$3,$N$2:$Y$2),SUMPRODUCT(N1623:Y1623,$N$4:$Y$4,$N$2:$Y$2))/(Z1623/($K1623*$L1623*$M1623)),"")</f>
        <v/>
      </c>
      <c r="AC1623" s="18" t="n"/>
    </row>
    <row r="1624">
      <c r="A1624" s="9" t="n">
        <v>695527</v>
      </c>
      <c r="B1624" s="9" t="inlineStr">
        <is>
          <t>Ian Daugherty</t>
        </is>
      </c>
      <c r="C1624" s="9" t="inlineStr">
        <is>
          <t>MIN</t>
        </is>
      </c>
      <c r="D1624" s="9" t="n">
        <v>25</v>
      </c>
      <c r="E1624" s="16" t="inlineStr">
        <is>
          <t>R</t>
        </is>
      </c>
      <c r="F1624" s="16" t="n"/>
      <c r="G1624" s="9" t="n">
        <v>15.23076923076923</v>
      </c>
      <c r="H1624" s="9" t="n">
        <v>15.23076923076923</v>
      </c>
      <c r="I1624" s="9" t="inlineStr">
        <is>
          <t>Depth (no MLB PA)</t>
        </is>
      </c>
      <c r="J1624" s="16" t="inlineStr">
        <is>
          <t>Opening Day</t>
        </is>
      </c>
      <c r="K1624" s="11">
        <f>IFERROR(INDEX(Roles!$B$17:$B$20,MATCH(J1624,Roles!$A$17:$A$20,0)),1)</f>
        <v/>
      </c>
      <c r="L1624" s="17" t="n">
        <v>1</v>
      </c>
      <c r="M1624" s="11" t="n">
        <v>1</v>
      </c>
      <c r="N1624" s="17" t="n"/>
      <c r="O1624" s="17" t="n"/>
      <c r="P1624" s="17" t="n"/>
      <c r="Q1624" s="17" t="n"/>
      <c r="R1624" s="17" t="n"/>
      <c r="S1624" s="17" t="n"/>
      <c r="T1624" s="17" t="n"/>
      <c r="U1624" s="17" t="n"/>
      <c r="V1624" s="17" t="n"/>
      <c r="W1624" s="17" t="n"/>
      <c r="X1624" s="17" t="n"/>
      <c r="Y1624" s="17" t="n">
        <v>1</v>
      </c>
      <c r="Z1624" s="13">
        <f>SUMPRODUCT(N1624:Y1624,$N$2:$Y$2)*$K1624*$L1624*$M1624</f>
        <v/>
      </c>
      <c r="AA1624" s="14">
        <f>SUM(N1624:Y1624)</f>
        <v/>
      </c>
      <c r="AB1624" s="14">
        <f>IFERROR(IF(UPPER($E1624)="L",SUMPRODUCT(N1624:Y1624,$N$3:$Y$3,$N$2:$Y$2),SUMPRODUCT(N1624:Y1624,$N$4:$Y$4,$N$2:$Y$2))/(Z1624/($K1624*$L1624*$M1624)),"")</f>
        <v/>
      </c>
      <c r="AC1624" s="18" t="n"/>
    </row>
    <row r="1625">
      <c r="A1625" s="9" t="n">
        <v>669208</v>
      </c>
      <c r="B1625" s="9" t="inlineStr">
        <is>
          <t>Ryan Bliss</t>
        </is>
      </c>
      <c r="C1625" s="9" t="inlineStr">
        <is>
          <t>SEA</t>
        </is>
      </c>
      <c r="D1625" s="9" t="n">
        <v>27</v>
      </c>
      <c r="E1625" s="16" t="inlineStr">
        <is>
          <t>R</t>
        </is>
      </c>
      <c r="F1625" s="16" t="inlineStr">
        <is>
          <t>2B</t>
        </is>
      </c>
      <c r="G1625" s="9" t="n">
        <v>10</v>
      </c>
      <c r="H1625" s="9" t="n">
        <v>120</v>
      </c>
      <c r="I1625" s="9" t="inlineStr">
        <is>
          <t>Bench Bat</t>
        </is>
      </c>
      <c r="J1625" s="16" t="inlineStr">
        <is>
          <t>Opening Day</t>
        </is>
      </c>
      <c r="K1625" s="11">
        <f>IFERROR(INDEX(Roles!$B$17:$B$20,MATCH(J1625,Roles!$A$17:$A$20,0)),1)</f>
        <v/>
      </c>
      <c r="L1625" s="17" t="n">
        <v>1</v>
      </c>
      <c r="M1625" s="11" t="n">
        <v>1</v>
      </c>
      <c r="N1625" s="17" t="n"/>
      <c r="O1625" s="17" t="n"/>
      <c r="P1625" s="17" t="n"/>
      <c r="Q1625" s="17" t="n"/>
      <c r="R1625" s="17" t="n"/>
      <c r="S1625" s="17" t="n"/>
      <c r="T1625" s="17" t="n"/>
      <c r="U1625" s="17" t="n"/>
      <c r="V1625" s="17" t="n"/>
      <c r="W1625" s="17" t="n">
        <v>1</v>
      </c>
      <c r="X1625" s="17" t="n"/>
      <c r="Y1625" s="17" t="n"/>
      <c r="Z1625" s="13">
        <f>SUMPRODUCT(N1625:Y1625,$N$2:$Y$2)*$K1625*$L1625*$M1625</f>
        <v/>
      </c>
      <c r="AA1625" s="14">
        <f>SUM(N1625:Y1625)</f>
        <v/>
      </c>
      <c r="AB1625" s="14">
        <f>IFERROR(IF(UPPER($E1625)="L",SUMPRODUCT(N1625:Y1625,$N$3:$Y$3,$N$2:$Y$2),SUMPRODUCT(N1625:Y1625,$N$4:$Y$4,$N$2:$Y$2))/(Z1625/($K1625*$L1625*$M1625)),"")</f>
        <v/>
      </c>
      <c r="AC1625" s="18" t="n"/>
    </row>
    <row r="1626">
      <c r="A1626" s="9" t="n">
        <v>694378</v>
      </c>
      <c r="B1626" s="9" t="inlineStr">
        <is>
          <t>Jacob Gonzalez</t>
        </is>
      </c>
      <c r="C1626" s="9" t="inlineStr">
        <is>
          <t>PIT</t>
        </is>
      </c>
      <c r="D1626" s="9" t="n">
        <v>25</v>
      </c>
      <c r="E1626" s="16" t="inlineStr">
        <is>
          <t>L</t>
        </is>
      </c>
      <c r="F1626" s="16" t="inlineStr">
        <is>
          <t>1B</t>
        </is>
      </c>
      <c r="G1626" s="9" t="n">
        <v>227</v>
      </c>
      <c r="H1626" s="9" t="n">
        <v>227</v>
      </c>
      <c r="I1626" s="9" t="inlineStr">
        <is>
          <t>Bench Bat</t>
        </is>
      </c>
      <c r="J1626" s="16" t="inlineStr">
        <is>
          <t>Opening Day</t>
        </is>
      </c>
      <c r="K1626" s="11">
        <f>IFERROR(INDEX(Roles!$B$17:$B$20,MATCH(J1626,Roles!$A$17:$A$20,0)),1)</f>
        <v/>
      </c>
      <c r="L1626" s="17" t="n">
        <v>1</v>
      </c>
      <c r="M1626" s="11" t="n">
        <v>1</v>
      </c>
      <c r="N1626" s="17" t="n"/>
      <c r="O1626" s="17" t="n"/>
      <c r="P1626" s="17" t="n"/>
      <c r="Q1626" s="17" t="n"/>
      <c r="R1626" s="17" t="n"/>
      <c r="S1626" s="17" t="n"/>
      <c r="T1626" s="17" t="n"/>
      <c r="U1626" s="17" t="n">
        <v>0.4</v>
      </c>
      <c r="V1626" s="17" t="n"/>
      <c r="W1626" s="17" t="n">
        <v>0.6</v>
      </c>
      <c r="X1626" s="17" t="n"/>
      <c r="Y1626" s="17" t="n"/>
      <c r="Z1626" s="13">
        <f>SUMPRODUCT(N1626:Y1626,$N$2:$Y$2)*$K1626*$L1626*$M1626</f>
        <v/>
      </c>
      <c r="AA1626" s="14">
        <f>SUM(N1626:Y1626)</f>
        <v/>
      </c>
      <c r="AB1626" s="14">
        <f>IFERROR(IF(UPPER($E1626)="L",SUMPRODUCT(N1626:Y1626,$N$3:$Y$3,$N$2:$Y$2),SUMPRODUCT(N1626:Y1626,$N$4:$Y$4,$N$2:$Y$2))/(Z1626/($K1626*$L1626*$M1626)),"")</f>
        <v/>
      </c>
      <c r="AC1626" s="18" t="n"/>
    </row>
    <row r="1627">
      <c r="A1627" s="9" t="n">
        <v>821759</v>
      </c>
      <c r="B1627" s="9" t="inlineStr">
        <is>
          <t>Johan Rodriguez</t>
        </is>
      </c>
      <c r="C1627" s="9" t="inlineStr">
        <is>
          <t>CLE</t>
        </is>
      </c>
      <c r="D1627" s="9" t="n">
        <v>25</v>
      </c>
      <c r="E1627" s="16" t="inlineStr">
        <is>
          <t>R</t>
        </is>
      </c>
      <c r="F1627" s="16" t="n"/>
      <c r="G1627" s="9" t="n">
        <v>24.86153846153847</v>
      </c>
      <c r="H1627" s="9" t="n">
        <v>24.86153846153847</v>
      </c>
      <c r="I1627" s="9" t="inlineStr">
        <is>
          <t>Depth (no MLB PA)</t>
        </is>
      </c>
      <c r="J1627" s="16" t="inlineStr">
        <is>
          <t>Opening Day</t>
        </is>
      </c>
      <c r="K1627" s="11">
        <f>IFERROR(INDEX(Roles!$B$17:$B$20,MATCH(J1627,Roles!$A$17:$A$20,0)),1)</f>
        <v/>
      </c>
      <c r="L1627" s="17" t="n">
        <v>1</v>
      </c>
      <c r="M1627" s="11" t="n">
        <v>1</v>
      </c>
      <c r="N1627" s="17" t="n"/>
      <c r="O1627" s="17" t="n"/>
      <c r="P1627" s="17" t="n"/>
      <c r="Q1627" s="17" t="n"/>
      <c r="R1627" s="17" t="n"/>
      <c r="S1627" s="17" t="n"/>
      <c r="T1627" s="17" t="n"/>
      <c r="U1627" s="17" t="n"/>
      <c r="V1627" s="17" t="n"/>
      <c r="W1627" s="17" t="n"/>
      <c r="X1627" s="17" t="n"/>
      <c r="Y1627" s="17" t="n">
        <v>1</v>
      </c>
      <c r="Z1627" s="13">
        <f>SUMPRODUCT(N1627:Y1627,$N$2:$Y$2)*$K1627*$L1627*$M1627</f>
        <v/>
      </c>
      <c r="AA1627" s="14">
        <f>SUM(N1627:Y1627)</f>
        <v/>
      </c>
      <c r="AB1627" s="14">
        <f>IFERROR(IF(UPPER($E1627)="L",SUMPRODUCT(N1627:Y1627,$N$3:$Y$3,$N$2:$Y$2),SUMPRODUCT(N1627:Y1627,$N$4:$Y$4,$N$2:$Y$2))/(Z1627/($K1627*$L1627*$M1627)),"")</f>
        <v/>
      </c>
      <c r="AC1627" s="18" t="n"/>
    </row>
    <row r="1628">
      <c r="A1628" s="9" t="n">
        <v>681286</v>
      </c>
      <c r="B1628" s="9" t="inlineStr">
        <is>
          <t>JT Schwartz</t>
        </is>
      </c>
      <c r="C1628" s="9" t="inlineStr">
        <is>
          <t>NYM</t>
        </is>
      </c>
      <c r="D1628" s="9" t="n">
        <v>25</v>
      </c>
      <c r="E1628" s="16" t="inlineStr">
        <is>
          <t>L</t>
        </is>
      </c>
      <c r="F1628" s="16" t="n"/>
      <c r="G1628" s="9" t="n">
        <v>103.7435897435897</v>
      </c>
      <c r="H1628" s="9" t="n">
        <v>103.7435897435897</v>
      </c>
      <c r="I1628" s="9" t="inlineStr">
        <is>
          <t>Depth (no MLB PA)</t>
        </is>
      </c>
      <c r="J1628" s="16" t="inlineStr">
        <is>
          <t>Opening Day</t>
        </is>
      </c>
      <c r="K1628" s="11">
        <f>IFERROR(INDEX(Roles!$B$17:$B$20,MATCH(J1628,Roles!$A$17:$A$20,0)),1)</f>
        <v/>
      </c>
      <c r="L1628" s="17" t="n">
        <v>1</v>
      </c>
      <c r="M1628" s="11" t="n">
        <v>1</v>
      </c>
      <c r="N1628" s="17" t="n"/>
      <c r="O1628" s="17" t="n"/>
      <c r="P1628" s="17" t="n"/>
      <c r="Q1628" s="17" t="n"/>
      <c r="R1628" s="17" t="n"/>
      <c r="S1628" s="17" t="n"/>
      <c r="T1628" s="17" t="n"/>
      <c r="U1628" s="17" t="n"/>
      <c r="V1628" s="17" t="n"/>
      <c r="W1628" s="17" t="n"/>
      <c r="X1628" s="17" t="n"/>
      <c r="Y1628" s="17" t="n">
        <v>1</v>
      </c>
      <c r="Z1628" s="13">
        <f>SUMPRODUCT(N1628:Y1628,$N$2:$Y$2)*$K1628*$L1628*$M1628</f>
        <v/>
      </c>
      <c r="AA1628" s="14">
        <f>SUM(N1628:Y1628)</f>
        <v/>
      </c>
      <c r="AB1628" s="14">
        <f>IFERROR(IF(UPPER($E1628)="L",SUMPRODUCT(N1628:Y1628,$N$3:$Y$3,$N$2:$Y$2),SUMPRODUCT(N1628:Y1628,$N$4:$Y$4,$N$2:$Y$2))/(Z1628/($K1628*$L1628*$M1628)),"")</f>
        <v/>
      </c>
      <c r="AC1628" s="18" t="n"/>
    </row>
    <row r="1629">
      <c r="A1629" s="9" t="n">
        <v>702461</v>
      </c>
      <c r="B1629" s="9" t="inlineStr">
        <is>
          <t>Kay-Lan Nicasia</t>
        </is>
      </c>
      <c r="C1629" s="9" t="inlineStr">
        <is>
          <t>MIL</t>
        </is>
      </c>
      <c r="D1629" s="9" t="n">
        <v>25</v>
      </c>
      <c r="E1629" s="16" t="inlineStr">
        <is>
          <t>S</t>
        </is>
      </c>
      <c r="F1629" s="16" t="n"/>
      <c r="G1629" s="9" t="n">
        <v>15.07692307692308</v>
      </c>
      <c r="H1629" s="9" t="n">
        <v>15.07692307692308</v>
      </c>
      <c r="I1629" s="9" t="inlineStr">
        <is>
          <t>Depth (no MLB PA)</t>
        </is>
      </c>
      <c r="J1629" s="16" t="inlineStr">
        <is>
          <t>Opening Day</t>
        </is>
      </c>
      <c r="K1629" s="11">
        <f>IFERROR(INDEX(Roles!$B$17:$B$20,MATCH(J1629,Roles!$A$17:$A$20,0)),1)</f>
        <v/>
      </c>
      <c r="L1629" s="17" t="n">
        <v>1</v>
      </c>
      <c r="M1629" s="11" t="n">
        <v>1</v>
      </c>
      <c r="N1629" s="17" t="n"/>
      <c r="O1629" s="17" t="n"/>
      <c r="P1629" s="17" t="n"/>
      <c r="Q1629" s="17" t="n"/>
      <c r="R1629" s="17" t="n"/>
      <c r="S1629" s="17" t="n"/>
      <c r="T1629" s="17" t="n"/>
      <c r="U1629" s="17" t="n"/>
      <c r="V1629" s="17" t="n"/>
      <c r="W1629" s="17" t="n"/>
      <c r="X1629" s="17" t="n"/>
      <c r="Y1629" s="17" t="n">
        <v>1</v>
      </c>
      <c r="Z1629" s="13">
        <f>SUMPRODUCT(N1629:Y1629,$N$2:$Y$2)*$K1629*$L1629*$M1629</f>
        <v/>
      </c>
      <c r="AA1629" s="14">
        <f>SUM(N1629:Y1629)</f>
        <v/>
      </c>
      <c r="AB1629" s="14">
        <f>IFERROR(IF(UPPER($E1629)="L",SUMPRODUCT(N1629:Y1629,$N$3:$Y$3,$N$2:$Y$2),SUMPRODUCT(N1629:Y1629,$N$4:$Y$4,$N$2:$Y$2))/(Z1629/($K1629*$L1629*$M1629)),"")</f>
        <v/>
      </c>
      <c r="AC1629" s="18" t="n"/>
    </row>
    <row r="1630">
      <c r="A1630" s="9" t="n">
        <v>701800</v>
      </c>
      <c r="B1630" s="9" t="inlineStr">
        <is>
          <t>Carlos Linarez</t>
        </is>
      </c>
      <c r="C1630" s="9" t="inlineStr">
        <is>
          <t>STL</t>
        </is>
      </c>
      <c r="D1630" s="9" t="n">
        <v>25</v>
      </c>
      <c r="E1630" s="16" t="inlineStr">
        <is>
          <t>R</t>
        </is>
      </c>
      <c r="F1630" s="16" t="n"/>
      <c r="G1630" s="9" t="n">
        <v>15.43589743589743</v>
      </c>
      <c r="H1630" s="9" t="n">
        <v>15.43589743589743</v>
      </c>
      <c r="I1630" s="9" t="inlineStr">
        <is>
          <t>Depth (no MLB PA)</t>
        </is>
      </c>
      <c r="J1630" s="16" t="inlineStr">
        <is>
          <t>Opening Day</t>
        </is>
      </c>
      <c r="K1630" s="11">
        <f>IFERROR(INDEX(Roles!$B$17:$B$20,MATCH(J1630,Roles!$A$17:$A$20,0)),1)</f>
        <v/>
      </c>
      <c r="L1630" s="17" t="n">
        <v>1</v>
      </c>
      <c r="M1630" s="11" t="n">
        <v>1</v>
      </c>
      <c r="N1630" s="17" t="n"/>
      <c r="O1630" s="17" t="n"/>
      <c r="P1630" s="17" t="n"/>
      <c r="Q1630" s="17" t="n"/>
      <c r="R1630" s="17" t="n"/>
      <c r="S1630" s="17" t="n"/>
      <c r="T1630" s="17" t="n"/>
      <c r="U1630" s="17" t="n"/>
      <c r="V1630" s="17" t="n"/>
      <c r="W1630" s="17" t="n"/>
      <c r="X1630" s="17" t="n"/>
      <c r="Y1630" s="17" t="n">
        <v>1</v>
      </c>
      <c r="Z1630" s="13">
        <f>SUMPRODUCT(N1630:Y1630,$N$2:$Y$2)*$K1630*$L1630*$M1630</f>
        <v/>
      </c>
      <c r="AA1630" s="14">
        <f>SUM(N1630:Y1630)</f>
        <v/>
      </c>
      <c r="AB1630" s="14">
        <f>IFERROR(IF(UPPER($E1630)="L",SUMPRODUCT(N1630:Y1630,$N$3:$Y$3,$N$2:$Y$2),SUMPRODUCT(N1630:Y1630,$N$4:$Y$4,$N$2:$Y$2))/(Z1630/($K1630*$L1630*$M1630)),"")</f>
        <v/>
      </c>
      <c r="AC1630" s="18" t="n"/>
    </row>
    <row r="1631">
      <c r="A1631" s="9" t="n">
        <v>681495</v>
      </c>
      <c r="B1631" s="9" t="inlineStr">
        <is>
          <t>Cade Fergus</t>
        </is>
      </c>
      <c r="C1631" s="9" t="inlineStr">
        <is>
          <t>PHI</t>
        </is>
      </c>
      <c r="D1631" s="9" t="n">
        <v>25</v>
      </c>
      <c r="E1631" s="16" t="inlineStr">
        <is>
          <t>R</t>
        </is>
      </c>
      <c r="F1631" s="16" t="n"/>
      <c r="G1631" s="9" t="n">
        <v>15.23076923076923</v>
      </c>
      <c r="H1631" s="9" t="n">
        <v>15.23076923076923</v>
      </c>
      <c r="I1631" s="9" t="inlineStr">
        <is>
          <t>Depth (no MLB PA)</t>
        </is>
      </c>
      <c r="J1631" s="16" t="inlineStr">
        <is>
          <t>Opening Day</t>
        </is>
      </c>
      <c r="K1631" s="11">
        <f>IFERROR(INDEX(Roles!$B$17:$B$20,MATCH(J1631,Roles!$A$17:$A$20,0)),1)</f>
        <v/>
      </c>
      <c r="L1631" s="17" t="n">
        <v>1</v>
      </c>
      <c r="M1631" s="11" t="n">
        <v>1</v>
      </c>
      <c r="N1631" s="17" t="n"/>
      <c r="O1631" s="17" t="n"/>
      <c r="P1631" s="17" t="n"/>
      <c r="Q1631" s="17" t="n"/>
      <c r="R1631" s="17" t="n"/>
      <c r="S1631" s="17" t="n"/>
      <c r="T1631" s="17" t="n"/>
      <c r="U1631" s="17" t="n"/>
      <c r="V1631" s="17" t="n"/>
      <c r="W1631" s="17" t="n"/>
      <c r="X1631" s="17" t="n"/>
      <c r="Y1631" s="17" t="n">
        <v>1</v>
      </c>
      <c r="Z1631" s="13">
        <f>SUMPRODUCT(N1631:Y1631,$N$2:$Y$2)*$K1631*$L1631*$M1631</f>
        <v/>
      </c>
      <c r="AA1631" s="14">
        <f>SUM(N1631:Y1631)</f>
        <v/>
      </c>
      <c r="AB1631" s="14">
        <f>IFERROR(IF(UPPER($E1631)="L",SUMPRODUCT(N1631:Y1631,$N$3:$Y$3,$N$2:$Y$2),SUMPRODUCT(N1631:Y1631,$N$4:$Y$4,$N$2:$Y$2))/(Z1631/($K1631*$L1631*$M1631)),"")</f>
        <v/>
      </c>
      <c r="AC1631" s="18" t="n"/>
    </row>
    <row r="1632">
      <c r="A1632" s="9" t="n">
        <v>800377</v>
      </c>
      <c r="B1632" s="9" t="inlineStr">
        <is>
          <t>Angel Mateo</t>
        </is>
      </c>
      <c r="C1632" s="9" t="inlineStr">
        <is>
          <t>TB</t>
        </is>
      </c>
      <c r="D1632" s="9" t="n">
        <v>25</v>
      </c>
      <c r="E1632" s="16" t="inlineStr">
        <is>
          <t>R</t>
        </is>
      </c>
      <c r="F1632" s="16" t="n"/>
      <c r="G1632" s="9" t="n">
        <v>24.41025641025641</v>
      </c>
      <c r="H1632" s="9" t="n">
        <v>24.41025641025641</v>
      </c>
      <c r="I1632" s="9" t="inlineStr">
        <is>
          <t>Depth (no MLB PA)</t>
        </is>
      </c>
      <c r="J1632" s="16" t="inlineStr">
        <is>
          <t>Opening Day</t>
        </is>
      </c>
      <c r="K1632" s="11">
        <f>IFERROR(INDEX(Roles!$B$17:$B$20,MATCH(J1632,Roles!$A$17:$A$20,0)),1)</f>
        <v/>
      </c>
      <c r="L1632" s="17" t="n">
        <v>1</v>
      </c>
      <c r="M1632" s="11" t="n">
        <v>1</v>
      </c>
      <c r="N1632" s="17" t="n"/>
      <c r="O1632" s="17" t="n"/>
      <c r="P1632" s="17" t="n"/>
      <c r="Q1632" s="17" t="n"/>
      <c r="R1632" s="17" t="n"/>
      <c r="S1632" s="17" t="n"/>
      <c r="T1632" s="17" t="n"/>
      <c r="U1632" s="17" t="n"/>
      <c r="V1632" s="17" t="n"/>
      <c r="W1632" s="17" t="n"/>
      <c r="X1632" s="17" t="n"/>
      <c r="Y1632" s="17" t="n">
        <v>1</v>
      </c>
      <c r="Z1632" s="13">
        <f>SUMPRODUCT(N1632:Y1632,$N$2:$Y$2)*$K1632*$L1632*$M1632</f>
        <v/>
      </c>
      <c r="AA1632" s="14">
        <f>SUM(N1632:Y1632)</f>
        <v/>
      </c>
      <c r="AB1632" s="14">
        <f>IFERROR(IF(UPPER($E1632)="L",SUMPRODUCT(N1632:Y1632,$N$3:$Y$3,$N$2:$Y$2),SUMPRODUCT(N1632:Y1632,$N$4:$Y$4,$N$2:$Y$2))/(Z1632/($K1632*$L1632*$M1632)),"")</f>
        <v/>
      </c>
      <c r="AC1632" s="18" t="n"/>
    </row>
    <row r="1633">
      <c r="A1633" s="9" t="n">
        <v>815653</v>
      </c>
      <c r="B1633" s="9" t="inlineStr">
        <is>
          <t>Tyson Lewis</t>
        </is>
      </c>
      <c r="C1633" s="9" t="inlineStr">
        <is>
          <t>CIN</t>
        </is>
      </c>
      <c r="D1633" s="9" t="n">
        <v>25</v>
      </c>
      <c r="E1633" s="16" t="inlineStr">
        <is>
          <t>L</t>
        </is>
      </c>
      <c r="F1633" s="16" t="n"/>
      <c r="G1633" s="9" t="n">
        <v>45.74358974358975</v>
      </c>
      <c r="H1633" s="9" t="n">
        <v>45.74358974358975</v>
      </c>
      <c r="I1633" s="9" t="inlineStr">
        <is>
          <t>Depth (no MLB PA)</t>
        </is>
      </c>
      <c r="J1633" s="16" t="inlineStr">
        <is>
          <t>Opening Day</t>
        </is>
      </c>
      <c r="K1633" s="11">
        <f>IFERROR(INDEX(Roles!$B$17:$B$20,MATCH(J1633,Roles!$A$17:$A$20,0)),1)</f>
        <v/>
      </c>
      <c r="L1633" s="17" t="n">
        <v>1</v>
      </c>
      <c r="M1633" s="11" t="n">
        <v>1</v>
      </c>
      <c r="N1633" s="17" t="n"/>
      <c r="O1633" s="17" t="n"/>
      <c r="P1633" s="17" t="n"/>
      <c r="Q1633" s="17" t="n"/>
      <c r="R1633" s="17" t="n"/>
      <c r="S1633" s="17" t="n"/>
      <c r="T1633" s="17" t="n"/>
      <c r="U1633" s="17" t="n"/>
      <c r="V1633" s="17" t="n"/>
      <c r="W1633" s="17" t="n"/>
      <c r="X1633" s="17" t="n"/>
      <c r="Y1633" s="17" t="n">
        <v>1</v>
      </c>
      <c r="Z1633" s="13">
        <f>SUMPRODUCT(N1633:Y1633,$N$2:$Y$2)*$K1633*$L1633*$M1633</f>
        <v/>
      </c>
      <c r="AA1633" s="14">
        <f>SUM(N1633:Y1633)</f>
        <v/>
      </c>
      <c r="AB1633" s="14">
        <f>IFERROR(IF(UPPER($E1633)="L",SUMPRODUCT(N1633:Y1633,$N$3:$Y$3,$N$2:$Y$2),SUMPRODUCT(N1633:Y1633,$N$4:$Y$4,$N$2:$Y$2))/(Z1633/($K1633*$L1633*$M1633)),"")</f>
        <v/>
      </c>
      <c r="AC1633" s="18" t="n"/>
    </row>
    <row r="1634">
      <c r="A1634" s="9" t="n">
        <v>690971</v>
      </c>
      <c r="B1634" s="9" t="inlineStr">
        <is>
          <t>Chase Davis</t>
        </is>
      </c>
      <c r="C1634" s="9" t="inlineStr">
        <is>
          <t>STL</t>
        </is>
      </c>
      <c r="D1634" s="9" t="n">
        <v>25</v>
      </c>
      <c r="E1634" s="16" t="inlineStr">
        <is>
          <t>L</t>
        </is>
      </c>
      <c r="F1634" s="16" t="n"/>
      <c r="G1634" s="9" t="n">
        <v>111.1282051282051</v>
      </c>
      <c r="H1634" s="9" t="n">
        <v>111.1282051282051</v>
      </c>
      <c r="I1634" s="9" t="inlineStr">
        <is>
          <t>Depth (no MLB PA)</t>
        </is>
      </c>
      <c r="J1634" s="16" t="inlineStr">
        <is>
          <t>Opening Day</t>
        </is>
      </c>
      <c r="K1634" s="11">
        <f>IFERROR(INDEX(Roles!$B$17:$B$20,MATCH(J1634,Roles!$A$17:$A$20,0)),1)</f>
        <v/>
      </c>
      <c r="L1634" s="17" t="n">
        <v>1</v>
      </c>
      <c r="M1634" s="11" t="n">
        <v>1</v>
      </c>
      <c r="N1634" s="17" t="n"/>
      <c r="O1634" s="17" t="n"/>
      <c r="P1634" s="17" t="n"/>
      <c r="Q1634" s="17" t="n"/>
      <c r="R1634" s="17" t="n"/>
      <c r="S1634" s="17" t="n"/>
      <c r="T1634" s="17" t="n"/>
      <c r="U1634" s="17" t="n"/>
      <c r="V1634" s="17" t="n"/>
      <c r="W1634" s="17" t="n"/>
      <c r="X1634" s="17" t="n"/>
      <c r="Y1634" s="17" t="n">
        <v>1</v>
      </c>
      <c r="Z1634" s="13">
        <f>SUMPRODUCT(N1634:Y1634,$N$2:$Y$2)*$K1634*$L1634*$M1634</f>
        <v/>
      </c>
      <c r="AA1634" s="14">
        <f>SUM(N1634:Y1634)</f>
        <v/>
      </c>
      <c r="AB1634" s="14">
        <f>IFERROR(IF(UPPER($E1634)="L",SUMPRODUCT(N1634:Y1634,$N$3:$Y$3,$N$2:$Y$2),SUMPRODUCT(N1634:Y1634,$N$4:$Y$4,$N$2:$Y$2))/(Z1634/($K1634*$L1634*$M1634)),"")</f>
        <v/>
      </c>
      <c r="AC1634" s="18" t="n"/>
    </row>
    <row r="1635">
      <c r="A1635" s="9" t="n">
        <v>596115</v>
      </c>
      <c r="B1635" s="9" t="inlineStr">
        <is>
          <t>Trevor Story</t>
        </is>
      </c>
      <c r="C1635" s="9" t="inlineStr">
        <is>
          <t>BOS</t>
        </is>
      </c>
      <c r="D1635" s="9" t="n">
        <v>34</v>
      </c>
      <c r="E1635" s="16" t="inlineStr">
        <is>
          <t>R</t>
        </is>
      </c>
      <c r="F1635" s="16" t="inlineStr">
        <is>
          <t>SS</t>
        </is>
      </c>
      <c r="G1635" s="9" t="n">
        <v>266</v>
      </c>
      <c r="H1635" s="9" t="n">
        <v>1590</v>
      </c>
      <c r="I1635" s="9" t="inlineStr">
        <is>
          <t>Full Time</t>
        </is>
      </c>
      <c r="J1635" s="16" t="inlineStr">
        <is>
          <t>Opening Day</t>
        </is>
      </c>
      <c r="K1635" s="11">
        <f>IFERROR(INDEX(Roles!$B$17:$B$20,MATCH(J1635,Roles!$A$17:$A$20,0)),1)</f>
        <v/>
      </c>
      <c r="L1635" s="17" t="n">
        <v>1</v>
      </c>
      <c r="M1635" s="11" t="n">
        <v>0.8259084972812968</v>
      </c>
      <c r="N1635" s="17" t="n">
        <v>1</v>
      </c>
      <c r="O1635" s="17" t="n"/>
      <c r="P1635" s="17" t="n"/>
      <c r="Q1635" s="17" t="n"/>
      <c r="R1635" s="17" t="n"/>
      <c r="S1635" s="17" t="n"/>
      <c r="T1635" s="17" t="n"/>
      <c r="U1635" s="17" t="n"/>
      <c r="V1635" s="17" t="n"/>
      <c r="W1635" s="17" t="n"/>
      <c r="X1635" s="17" t="n"/>
      <c r="Y1635" s="17" t="n"/>
      <c r="Z1635" s="13">
        <f>SUMPRODUCT(N1635:Y1635,$N$2:$Y$2)*$K1635*$L1635*$M1635</f>
        <v/>
      </c>
      <c r="AA1635" s="14">
        <f>SUM(N1635:Y1635)</f>
        <v/>
      </c>
      <c r="AB1635" s="14">
        <f>IFERROR(IF(UPPER($E1635)="L",SUMPRODUCT(N1635:Y1635,$N$3:$Y$3,$N$2:$Y$2),SUMPRODUCT(N1635:Y1635,$N$4:$Y$4,$N$2:$Y$2))/(Z1635/($K1635*$L1635*$M1635)),"")</f>
        <v/>
      </c>
      <c r="AC1635" s="18" t="n"/>
    </row>
    <row r="1636">
      <c r="A1636" s="9" t="n">
        <v>829033</v>
      </c>
      <c r="B1636" s="9" t="inlineStr">
        <is>
          <t>Elian Peña</t>
        </is>
      </c>
      <c r="C1636" s="9" t="inlineStr">
        <is>
          <t>NYM</t>
        </is>
      </c>
      <c r="D1636" s="9" t="n">
        <v>20</v>
      </c>
      <c r="E1636" s="16" t="inlineStr">
        <is>
          <t>L</t>
        </is>
      </c>
      <c r="F1636" s="16" t="n"/>
      <c r="G1636" s="9" t="n">
        <v>15.58974358974359</v>
      </c>
      <c r="H1636" s="9" t="n">
        <v>15.58974358974359</v>
      </c>
      <c r="I1636" s="9" t="inlineStr">
        <is>
          <t>Depth (no MLB PA)</t>
        </is>
      </c>
      <c r="J1636" s="16" t="inlineStr">
        <is>
          <t>Opening Day</t>
        </is>
      </c>
      <c r="K1636" s="11">
        <f>IFERROR(INDEX(Roles!$B$17:$B$20,MATCH(J1636,Roles!$A$17:$A$20,0)),1)</f>
        <v/>
      </c>
      <c r="L1636" s="17" t="n">
        <v>1</v>
      </c>
      <c r="M1636" s="11" t="n">
        <v>1</v>
      </c>
      <c r="N1636" s="17" t="n"/>
      <c r="O1636" s="17" t="n"/>
      <c r="P1636" s="17" t="n"/>
      <c r="Q1636" s="17" t="n"/>
      <c r="R1636" s="17" t="n"/>
      <c r="S1636" s="17" t="n"/>
      <c r="T1636" s="17" t="n"/>
      <c r="U1636" s="17" t="n"/>
      <c r="V1636" s="17" t="n"/>
      <c r="W1636" s="17" t="n"/>
      <c r="X1636" s="17" t="n"/>
      <c r="Y1636" s="17" t="n">
        <v>1</v>
      </c>
      <c r="Z1636" s="13">
        <f>SUMPRODUCT(N1636:Y1636,$N$2:$Y$2)*$K1636*$L1636*$M1636</f>
        <v/>
      </c>
      <c r="AA1636" s="14">
        <f>SUM(N1636:Y1636)</f>
        <v/>
      </c>
      <c r="AB1636" s="14">
        <f>IFERROR(IF(UPPER($E1636)="L",SUMPRODUCT(N1636:Y1636,$N$3:$Y$3,$N$2:$Y$2),SUMPRODUCT(N1636:Y1636,$N$4:$Y$4,$N$2:$Y$2))/(Z1636/($K1636*$L1636*$M1636)),"")</f>
        <v/>
      </c>
      <c r="AC1636" s="18" t="n"/>
    </row>
    <row r="1637">
      <c r="A1637" s="9" t="n">
        <v>821689</v>
      </c>
      <c r="B1637" s="9" t="inlineStr">
        <is>
          <t>Francisco Espinoza</t>
        </is>
      </c>
      <c r="C1637" s="9" t="inlineStr">
        <is>
          <t>LAD</t>
        </is>
      </c>
      <c r="D1637" s="9" t="n">
        <v>25</v>
      </c>
      <c r="E1637" s="16" t="inlineStr">
        <is>
          <t>R</t>
        </is>
      </c>
      <c r="F1637" s="16" t="n"/>
      <c r="G1637" s="9" t="n">
        <v>16</v>
      </c>
      <c r="H1637" s="9" t="n">
        <v>16</v>
      </c>
      <c r="I1637" s="9" t="inlineStr">
        <is>
          <t>Depth (no MLB PA)</t>
        </is>
      </c>
      <c r="J1637" s="16" t="inlineStr">
        <is>
          <t>Opening Day</t>
        </is>
      </c>
      <c r="K1637" s="11">
        <f>IFERROR(INDEX(Roles!$B$17:$B$20,MATCH(J1637,Roles!$A$17:$A$20,0)),1)</f>
        <v/>
      </c>
      <c r="L1637" s="17" t="n">
        <v>1</v>
      </c>
      <c r="M1637" s="11" t="n">
        <v>1</v>
      </c>
      <c r="N1637" s="17" t="n"/>
      <c r="O1637" s="17" t="n"/>
      <c r="P1637" s="17" t="n"/>
      <c r="Q1637" s="17" t="n"/>
      <c r="R1637" s="17" t="n"/>
      <c r="S1637" s="17" t="n"/>
      <c r="T1637" s="17" t="n"/>
      <c r="U1637" s="17" t="n"/>
      <c r="V1637" s="17" t="n"/>
      <c r="W1637" s="17" t="n"/>
      <c r="X1637" s="17" t="n"/>
      <c r="Y1637" s="17" t="n">
        <v>1</v>
      </c>
      <c r="Z1637" s="13">
        <f>SUMPRODUCT(N1637:Y1637,$N$2:$Y$2)*$K1637*$L1637*$M1637</f>
        <v/>
      </c>
      <c r="AA1637" s="14">
        <f>SUM(N1637:Y1637)</f>
        <v/>
      </c>
      <c r="AB1637" s="14">
        <f>IFERROR(IF(UPPER($E1637)="L",SUMPRODUCT(N1637:Y1637,$N$3:$Y$3,$N$2:$Y$2),SUMPRODUCT(N1637:Y1637,$N$4:$Y$4,$N$2:$Y$2))/(Z1637/($K1637*$L1637*$M1637)),"")</f>
        <v/>
      </c>
      <c r="AC1637" s="18" t="n"/>
    </row>
    <row r="1638">
      <c r="A1638" s="9" t="n">
        <v>829679</v>
      </c>
      <c r="B1638" s="9" t="inlineStr">
        <is>
          <t>Shotaro Morii</t>
        </is>
      </c>
      <c r="C1638" s="9" t="inlineStr">
        <is>
          <t>OAK</t>
        </is>
      </c>
      <c r="D1638" s="9" t="n">
        <v>25</v>
      </c>
      <c r="E1638" s="16" t="inlineStr">
        <is>
          <t>L</t>
        </is>
      </c>
      <c r="F1638" s="16" t="n"/>
      <c r="G1638" s="9" t="n">
        <v>24.49230769230769</v>
      </c>
      <c r="H1638" s="9" t="n">
        <v>24.49230769230769</v>
      </c>
      <c r="I1638" s="9" t="inlineStr">
        <is>
          <t>Depth (no MLB PA)</t>
        </is>
      </c>
      <c r="J1638" s="16" t="inlineStr">
        <is>
          <t>Opening Day</t>
        </is>
      </c>
      <c r="K1638" s="11">
        <f>IFERROR(INDEX(Roles!$B$17:$B$20,MATCH(J1638,Roles!$A$17:$A$20,0)),1)</f>
        <v/>
      </c>
      <c r="L1638" s="17" t="n">
        <v>1</v>
      </c>
      <c r="M1638" s="11" t="n">
        <v>1</v>
      </c>
      <c r="N1638" s="17" t="n"/>
      <c r="O1638" s="17" t="n"/>
      <c r="P1638" s="17" t="n"/>
      <c r="Q1638" s="17" t="n"/>
      <c r="R1638" s="17" t="n"/>
      <c r="S1638" s="17" t="n"/>
      <c r="T1638" s="17" t="n"/>
      <c r="U1638" s="17" t="n"/>
      <c r="V1638" s="17" t="n"/>
      <c r="W1638" s="17" t="n"/>
      <c r="X1638" s="17" t="n"/>
      <c r="Y1638" s="17" t="n">
        <v>1</v>
      </c>
      <c r="Z1638" s="13">
        <f>SUMPRODUCT(N1638:Y1638,$N$2:$Y$2)*$K1638*$L1638*$M1638</f>
        <v/>
      </c>
      <c r="AA1638" s="14">
        <f>SUM(N1638:Y1638)</f>
        <v/>
      </c>
      <c r="AB1638" s="14">
        <f>IFERROR(IF(UPPER($E1638)="L",SUMPRODUCT(N1638:Y1638,$N$3:$Y$3,$N$2:$Y$2),SUMPRODUCT(N1638:Y1638,$N$4:$Y$4,$N$2:$Y$2))/(Z1638/($K1638*$L1638*$M1638)),"")</f>
        <v/>
      </c>
      <c r="AC1638" s="18" t="n"/>
    </row>
    <row r="1639">
      <c r="A1639" s="9" t="n">
        <v>695000</v>
      </c>
      <c r="B1639" s="9" t="inlineStr">
        <is>
          <t>Poncho Ruiz</t>
        </is>
      </c>
      <c r="C1639" s="9" t="inlineStr">
        <is>
          <t>MIN</t>
        </is>
      </c>
      <c r="D1639" s="9" t="n">
        <v>25</v>
      </c>
      <c r="E1639" s="16" t="inlineStr">
        <is>
          <t>R</t>
        </is>
      </c>
      <c r="F1639" s="16" t="n"/>
      <c r="G1639" s="9" t="n">
        <v>34.1025641025641</v>
      </c>
      <c r="H1639" s="9" t="n">
        <v>34.1025641025641</v>
      </c>
      <c r="I1639" s="9" t="inlineStr">
        <is>
          <t>Depth (no MLB PA)</t>
        </is>
      </c>
      <c r="J1639" s="16" t="inlineStr">
        <is>
          <t>Opening Day</t>
        </is>
      </c>
      <c r="K1639" s="11">
        <f>IFERROR(INDEX(Roles!$B$17:$B$20,MATCH(J1639,Roles!$A$17:$A$20,0)),1)</f>
        <v/>
      </c>
      <c r="L1639" s="17" t="n">
        <v>1</v>
      </c>
      <c r="M1639" s="11" t="n">
        <v>1</v>
      </c>
      <c r="N1639" s="17" t="n"/>
      <c r="O1639" s="17" t="n"/>
      <c r="P1639" s="17" t="n"/>
      <c r="Q1639" s="17" t="n"/>
      <c r="R1639" s="17" t="n"/>
      <c r="S1639" s="17" t="n"/>
      <c r="T1639" s="17" t="n"/>
      <c r="U1639" s="17" t="n"/>
      <c r="V1639" s="17" t="n"/>
      <c r="W1639" s="17" t="n"/>
      <c r="X1639" s="17" t="n"/>
      <c r="Y1639" s="17" t="n">
        <v>1</v>
      </c>
      <c r="Z1639" s="13">
        <f>SUMPRODUCT(N1639:Y1639,$N$2:$Y$2)*$K1639*$L1639*$M1639</f>
        <v/>
      </c>
      <c r="AA1639" s="14">
        <f>SUM(N1639:Y1639)</f>
        <v/>
      </c>
      <c r="AB1639" s="14">
        <f>IFERROR(IF(UPPER($E1639)="L",SUMPRODUCT(N1639:Y1639,$N$3:$Y$3,$N$2:$Y$2),SUMPRODUCT(N1639:Y1639,$N$4:$Y$4,$N$2:$Y$2))/(Z1639/($K1639*$L1639*$M1639)),"")</f>
        <v/>
      </c>
      <c r="AC1639" s="18" t="n"/>
    </row>
    <row r="1640">
      <c r="A1640" s="9" t="n">
        <v>829704</v>
      </c>
      <c r="B1640" s="9" t="inlineStr">
        <is>
          <t>Fredderick Ovalle</t>
        </is>
      </c>
      <c r="C1640" s="9" t="inlineStr">
        <is>
          <t>PIT</t>
        </is>
      </c>
      <c r="D1640" s="9" t="n">
        <v>25</v>
      </c>
      <c r="E1640" s="16" t="inlineStr">
        <is>
          <t>L</t>
        </is>
      </c>
      <c r="F1640" s="16" t="n"/>
      <c r="G1640" s="9" t="n">
        <v>18.58461538461538</v>
      </c>
      <c r="H1640" s="9" t="n">
        <v>18.58461538461538</v>
      </c>
      <c r="I1640" s="9" t="inlineStr">
        <is>
          <t>Depth (no MLB PA)</t>
        </is>
      </c>
      <c r="J1640" s="16" t="inlineStr">
        <is>
          <t>Opening Day</t>
        </is>
      </c>
      <c r="K1640" s="11">
        <f>IFERROR(INDEX(Roles!$B$17:$B$20,MATCH(J1640,Roles!$A$17:$A$20,0)),1)</f>
        <v/>
      </c>
      <c r="L1640" s="17" t="n">
        <v>1</v>
      </c>
      <c r="M1640" s="11" t="n">
        <v>1</v>
      </c>
      <c r="N1640" s="17" t="n"/>
      <c r="O1640" s="17" t="n"/>
      <c r="P1640" s="17" t="n"/>
      <c r="Q1640" s="17" t="n"/>
      <c r="R1640" s="17" t="n"/>
      <c r="S1640" s="17" t="n"/>
      <c r="T1640" s="17" t="n"/>
      <c r="U1640" s="17" t="n"/>
      <c r="V1640" s="17" t="n"/>
      <c r="W1640" s="17" t="n"/>
      <c r="X1640" s="17" t="n"/>
      <c r="Y1640" s="17" t="n">
        <v>1</v>
      </c>
      <c r="Z1640" s="13">
        <f>SUMPRODUCT(N1640:Y1640,$N$2:$Y$2)*$K1640*$L1640*$M1640</f>
        <v/>
      </c>
      <c r="AA1640" s="14">
        <f>SUM(N1640:Y1640)</f>
        <v/>
      </c>
      <c r="AB1640" s="14">
        <f>IFERROR(IF(UPPER($E1640)="L",SUMPRODUCT(N1640:Y1640,$N$3:$Y$3,$N$2:$Y$2),SUMPRODUCT(N1640:Y1640,$N$4:$Y$4,$N$2:$Y$2))/(Z1640/($K1640*$L1640*$M1640)),"")</f>
        <v/>
      </c>
      <c r="AC1640" s="18" t="n"/>
    </row>
    <row r="1641">
      <c r="A1641" s="9" t="n">
        <v>800728</v>
      </c>
      <c r="B1641" s="9" t="inlineStr">
        <is>
          <t>Cameron Nickens</t>
        </is>
      </c>
      <c r="C1641" s="9" t="inlineStr">
        <is>
          <t>STL</t>
        </is>
      </c>
      <c r="D1641" s="9" t="n">
        <v>25</v>
      </c>
      <c r="E1641" s="16" t="inlineStr">
        <is>
          <t>R</t>
        </is>
      </c>
      <c r="F1641" s="16" t="n"/>
      <c r="G1641" s="9" t="n">
        <v>32.61538461538462</v>
      </c>
      <c r="H1641" s="9" t="n">
        <v>32.61538461538462</v>
      </c>
      <c r="I1641" s="9" t="inlineStr">
        <is>
          <t>Depth (no MLB PA)</t>
        </is>
      </c>
      <c r="J1641" s="16" t="inlineStr">
        <is>
          <t>Opening Day</t>
        </is>
      </c>
      <c r="K1641" s="11">
        <f>IFERROR(INDEX(Roles!$B$17:$B$20,MATCH(J1641,Roles!$A$17:$A$20,0)),1)</f>
        <v/>
      </c>
      <c r="L1641" s="17" t="n">
        <v>1</v>
      </c>
      <c r="M1641" s="11" t="n">
        <v>1</v>
      </c>
      <c r="N1641" s="17" t="n"/>
      <c r="O1641" s="17" t="n"/>
      <c r="P1641" s="17" t="n"/>
      <c r="Q1641" s="17" t="n"/>
      <c r="R1641" s="17" t="n"/>
      <c r="S1641" s="17" t="n"/>
      <c r="T1641" s="17" t="n"/>
      <c r="U1641" s="17" t="n"/>
      <c r="V1641" s="17" t="n"/>
      <c r="W1641" s="17" t="n"/>
      <c r="X1641" s="17" t="n"/>
      <c r="Y1641" s="17" t="n">
        <v>1</v>
      </c>
      <c r="Z1641" s="13">
        <f>SUMPRODUCT(N1641:Y1641,$N$2:$Y$2)*$K1641*$L1641*$M1641</f>
        <v/>
      </c>
      <c r="AA1641" s="14">
        <f>SUM(N1641:Y1641)</f>
        <v/>
      </c>
      <c r="AB1641" s="14">
        <f>IFERROR(IF(UPPER($E1641)="L",SUMPRODUCT(N1641:Y1641,$N$3:$Y$3,$N$2:$Y$2),SUMPRODUCT(N1641:Y1641,$N$4:$Y$4,$N$2:$Y$2))/(Z1641/($K1641*$L1641*$M1641)),"")</f>
        <v/>
      </c>
      <c r="AC1641" s="18" t="n"/>
    </row>
    <row r="1642">
      <c r="A1642" s="9" t="n">
        <v>683353</v>
      </c>
      <c r="B1642" s="9" t="inlineStr">
        <is>
          <t>Connor Caskenette</t>
        </is>
      </c>
      <c r="C1642" s="9" t="inlineStr">
        <is>
          <t>MIA</t>
        </is>
      </c>
      <c r="D1642" s="9" t="n">
        <v>25</v>
      </c>
      <c r="E1642" s="16" t="inlineStr">
        <is>
          <t>R</t>
        </is>
      </c>
      <c r="F1642" s="16" t="n"/>
      <c r="G1642" s="9" t="n">
        <v>69.28205128205128</v>
      </c>
      <c r="H1642" s="9" t="n">
        <v>69.28205128205128</v>
      </c>
      <c r="I1642" s="9" t="inlineStr">
        <is>
          <t>Depth (no MLB PA)</t>
        </is>
      </c>
      <c r="J1642" s="16" t="inlineStr">
        <is>
          <t>Opening Day</t>
        </is>
      </c>
      <c r="K1642" s="11">
        <f>IFERROR(INDEX(Roles!$B$17:$B$20,MATCH(J1642,Roles!$A$17:$A$20,0)),1)</f>
        <v/>
      </c>
      <c r="L1642" s="17" t="n">
        <v>1</v>
      </c>
      <c r="M1642" s="11" t="n">
        <v>1</v>
      </c>
      <c r="N1642" s="17" t="n"/>
      <c r="O1642" s="17" t="n"/>
      <c r="P1642" s="17" t="n"/>
      <c r="Q1642" s="17" t="n"/>
      <c r="R1642" s="17" t="n"/>
      <c r="S1642" s="17" t="n"/>
      <c r="T1642" s="17" t="n"/>
      <c r="U1642" s="17" t="n"/>
      <c r="V1642" s="17" t="n"/>
      <c r="W1642" s="17" t="n"/>
      <c r="X1642" s="17" t="n"/>
      <c r="Y1642" s="17" t="n">
        <v>1</v>
      </c>
      <c r="Z1642" s="13">
        <f>SUMPRODUCT(N1642:Y1642,$N$2:$Y$2)*$K1642*$L1642*$M1642</f>
        <v/>
      </c>
      <c r="AA1642" s="14">
        <f>SUM(N1642:Y1642)</f>
        <v/>
      </c>
      <c r="AB1642" s="14">
        <f>IFERROR(IF(UPPER($E1642)="L",SUMPRODUCT(N1642:Y1642,$N$3:$Y$3,$N$2:$Y$2),SUMPRODUCT(N1642:Y1642,$N$4:$Y$4,$N$2:$Y$2))/(Z1642/($K1642*$L1642*$M1642)),"")</f>
        <v/>
      </c>
      <c r="AC1642" s="18" t="n"/>
    </row>
    <row r="1643">
      <c r="A1643" s="9" t="n">
        <v>703159</v>
      </c>
      <c r="B1643" s="9" t="inlineStr">
        <is>
          <t>Simon Juan</t>
        </is>
      </c>
      <c r="C1643" s="9" t="inlineStr">
        <is>
          <t>NYM</t>
        </is>
      </c>
      <c r="D1643" s="9" t="n">
        <v>25</v>
      </c>
      <c r="E1643" s="16" t="inlineStr">
        <is>
          <t>R</t>
        </is>
      </c>
      <c r="F1643" s="16" t="n"/>
      <c r="G1643" s="9" t="n">
        <v>35.69230769230769</v>
      </c>
      <c r="H1643" s="9" t="n">
        <v>35.69230769230769</v>
      </c>
      <c r="I1643" s="9" t="inlineStr">
        <is>
          <t>Depth (no MLB PA)</t>
        </is>
      </c>
      <c r="J1643" s="16" t="inlineStr">
        <is>
          <t>Opening Day</t>
        </is>
      </c>
      <c r="K1643" s="11">
        <f>IFERROR(INDEX(Roles!$B$17:$B$20,MATCH(J1643,Roles!$A$17:$A$20,0)),1)</f>
        <v/>
      </c>
      <c r="L1643" s="17" t="n">
        <v>1</v>
      </c>
      <c r="M1643" s="11" t="n">
        <v>1</v>
      </c>
      <c r="N1643" s="17" t="n"/>
      <c r="O1643" s="17" t="n"/>
      <c r="P1643" s="17" t="n"/>
      <c r="Q1643" s="17" t="n"/>
      <c r="R1643" s="17" t="n"/>
      <c r="S1643" s="17" t="n"/>
      <c r="T1643" s="17" t="n"/>
      <c r="U1643" s="17" t="n"/>
      <c r="V1643" s="17" t="n"/>
      <c r="W1643" s="17" t="n"/>
      <c r="X1643" s="17" t="n"/>
      <c r="Y1643" s="17" t="n">
        <v>1</v>
      </c>
      <c r="Z1643" s="13">
        <f>SUMPRODUCT(N1643:Y1643,$N$2:$Y$2)*$K1643*$L1643*$M1643</f>
        <v/>
      </c>
      <c r="AA1643" s="14">
        <f>SUM(N1643:Y1643)</f>
        <v/>
      </c>
      <c r="AB1643" s="14">
        <f>IFERROR(IF(UPPER($E1643)="L",SUMPRODUCT(N1643:Y1643,$N$3:$Y$3,$N$2:$Y$2),SUMPRODUCT(N1643:Y1643,$N$4:$Y$4,$N$2:$Y$2))/(Z1643/($K1643*$L1643*$M1643)),"")</f>
        <v/>
      </c>
      <c r="AC1643" s="18" t="n"/>
    </row>
    <row r="1644">
      <c r="A1644" s="9" t="n">
        <v>801194</v>
      </c>
      <c r="B1644" s="9" t="inlineStr">
        <is>
          <t>Max Anderson</t>
        </is>
      </c>
      <c r="C1644" s="9" t="inlineStr">
        <is>
          <t>DET</t>
        </is>
      </c>
      <c r="D1644" s="9" t="n">
        <v>25</v>
      </c>
      <c r="E1644" s="16" t="inlineStr">
        <is>
          <t>R</t>
        </is>
      </c>
      <c r="F1644" s="16" t="n"/>
      <c r="G1644" s="9" t="n">
        <v>265.1282051282051</v>
      </c>
      <c r="H1644" s="9" t="n">
        <v>265.1282051282051</v>
      </c>
      <c r="I1644" s="9" t="inlineStr">
        <is>
          <t>Depth (no MLB PA)</t>
        </is>
      </c>
      <c r="J1644" s="16" t="inlineStr">
        <is>
          <t>Opening Day</t>
        </is>
      </c>
      <c r="K1644" s="11">
        <f>IFERROR(INDEX(Roles!$B$17:$B$20,MATCH(J1644,Roles!$A$17:$A$20,0)),1)</f>
        <v/>
      </c>
      <c r="L1644" s="17" t="n">
        <v>1</v>
      </c>
      <c r="M1644" s="11" t="n">
        <v>1</v>
      </c>
      <c r="N1644" s="17" t="n"/>
      <c r="O1644" s="17" t="n"/>
      <c r="P1644" s="17" t="n"/>
      <c r="Q1644" s="17" t="n"/>
      <c r="R1644" s="17" t="n"/>
      <c r="S1644" s="17" t="n"/>
      <c r="T1644" s="17" t="n"/>
      <c r="U1644" s="17" t="n"/>
      <c r="V1644" s="17" t="n"/>
      <c r="W1644" s="17" t="n"/>
      <c r="X1644" s="17" t="n"/>
      <c r="Y1644" s="17" t="n">
        <v>1</v>
      </c>
      <c r="Z1644" s="13">
        <f>SUMPRODUCT(N1644:Y1644,$N$2:$Y$2)*$K1644*$L1644*$M1644</f>
        <v/>
      </c>
      <c r="AA1644" s="14">
        <f>SUM(N1644:Y1644)</f>
        <v/>
      </c>
      <c r="AB1644" s="14">
        <f>IFERROR(IF(UPPER($E1644)="L",SUMPRODUCT(N1644:Y1644,$N$3:$Y$3,$N$2:$Y$2),SUMPRODUCT(N1644:Y1644,$N$4:$Y$4,$N$2:$Y$2))/(Z1644/($K1644*$L1644*$M1644)),"")</f>
        <v/>
      </c>
      <c r="AC1644" s="18" t="n"/>
    </row>
    <row r="1645">
      <c r="A1645" s="9" t="n">
        <v>694206</v>
      </c>
      <c r="B1645" s="9" t="inlineStr">
        <is>
          <t>Daniel Guilarte</t>
        </is>
      </c>
      <c r="C1645" s="9" t="inlineStr">
        <is>
          <t>MIL</t>
        </is>
      </c>
      <c r="D1645" s="9" t="n">
        <v>25</v>
      </c>
      <c r="E1645" s="16" t="inlineStr">
        <is>
          <t>R</t>
        </is>
      </c>
      <c r="F1645" s="16" t="n"/>
      <c r="G1645" s="9" t="n">
        <v>15.7948717948718</v>
      </c>
      <c r="H1645" s="9" t="n">
        <v>15.7948717948718</v>
      </c>
      <c r="I1645" s="9" t="inlineStr">
        <is>
          <t>Depth (no MLB PA)</t>
        </is>
      </c>
      <c r="J1645" s="16" t="inlineStr">
        <is>
          <t>Opening Day</t>
        </is>
      </c>
      <c r="K1645" s="11">
        <f>IFERROR(INDEX(Roles!$B$17:$B$20,MATCH(J1645,Roles!$A$17:$A$20,0)),1)</f>
        <v/>
      </c>
      <c r="L1645" s="17" t="n">
        <v>1</v>
      </c>
      <c r="M1645" s="11" t="n">
        <v>1</v>
      </c>
      <c r="N1645" s="17" t="n"/>
      <c r="O1645" s="17" t="n"/>
      <c r="P1645" s="17" t="n"/>
      <c r="Q1645" s="17" t="n"/>
      <c r="R1645" s="17" t="n"/>
      <c r="S1645" s="17" t="n"/>
      <c r="T1645" s="17" t="n"/>
      <c r="U1645" s="17" t="n"/>
      <c r="V1645" s="17" t="n"/>
      <c r="W1645" s="17" t="n"/>
      <c r="X1645" s="17" t="n"/>
      <c r="Y1645" s="17" t="n">
        <v>1</v>
      </c>
      <c r="Z1645" s="13">
        <f>SUMPRODUCT(N1645:Y1645,$N$2:$Y$2)*$K1645*$L1645*$M1645</f>
        <v/>
      </c>
      <c r="AA1645" s="14">
        <f>SUM(N1645:Y1645)</f>
        <v/>
      </c>
      <c r="AB1645" s="14">
        <f>IFERROR(IF(UPPER($E1645)="L",SUMPRODUCT(N1645:Y1645,$N$3:$Y$3,$N$2:$Y$2),SUMPRODUCT(N1645:Y1645,$N$4:$Y$4,$N$2:$Y$2))/(Z1645/($K1645*$L1645*$M1645)),"")</f>
        <v/>
      </c>
      <c r="AC1645" s="18" t="n"/>
    </row>
    <row r="1646">
      <c r="A1646" s="9" t="n">
        <v>803426</v>
      </c>
      <c r="B1646" s="9" t="inlineStr">
        <is>
          <t>Carlos Cauro</t>
        </is>
      </c>
      <c r="C1646" s="9" t="inlineStr">
        <is>
          <t>HOU</t>
        </is>
      </c>
      <c r="D1646" s="9" t="n">
        <v>25</v>
      </c>
      <c r="E1646" s="16" t="inlineStr">
        <is>
          <t>R</t>
        </is>
      </c>
      <c r="F1646" s="16" t="n"/>
      <c r="G1646" s="9" t="n">
        <v>31.63076923076923</v>
      </c>
      <c r="H1646" s="9" t="n">
        <v>31.63076923076923</v>
      </c>
      <c r="I1646" s="9" t="inlineStr">
        <is>
          <t>Depth (no MLB PA)</t>
        </is>
      </c>
      <c r="J1646" s="16" t="inlineStr">
        <is>
          <t>Opening Day</t>
        </is>
      </c>
      <c r="K1646" s="11">
        <f>IFERROR(INDEX(Roles!$B$17:$B$20,MATCH(J1646,Roles!$A$17:$A$20,0)),1)</f>
        <v/>
      </c>
      <c r="L1646" s="17" t="n">
        <v>1</v>
      </c>
      <c r="M1646" s="11" t="n">
        <v>1</v>
      </c>
      <c r="N1646" s="17" t="n"/>
      <c r="O1646" s="17" t="n"/>
      <c r="P1646" s="17" t="n"/>
      <c r="Q1646" s="17" t="n"/>
      <c r="R1646" s="17" t="n"/>
      <c r="S1646" s="17" t="n"/>
      <c r="T1646" s="17" t="n"/>
      <c r="U1646" s="17" t="n"/>
      <c r="V1646" s="17" t="n"/>
      <c r="W1646" s="17" t="n"/>
      <c r="X1646" s="17" t="n"/>
      <c r="Y1646" s="17" t="n">
        <v>1</v>
      </c>
      <c r="Z1646" s="13">
        <f>SUMPRODUCT(N1646:Y1646,$N$2:$Y$2)*$K1646*$L1646*$M1646</f>
        <v/>
      </c>
      <c r="AA1646" s="14">
        <f>SUM(N1646:Y1646)</f>
        <v/>
      </c>
      <c r="AB1646" s="14">
        <f>IFERROR(IF(UPPER($E1646)="L",SUMPRODUCT(N1646:Y1646,$N$3:$Y$3,$N$2:$Y$2),SUMPRODUCT(N1646:Y1646,$N$4:$Y$4,$N$2:$Y$2))/(Z1646/($K1646*$L1646*$M1646)),"")</f>
        <v/>
      </c>
      <c r="AC1646" s="18" t="n"/>
    </row>
    <row r="1647">
      <c r="A1647" s="9" t="n">
        <v>803152</v>
      </c>
      <c r="B1647" s="9" t="inlineStr">
        <is>
          <t>Jake Reinisch</t>
        </is>
      </c>
      <c r="C1647" s="9" t="inlineStr">
        <is>
          <t>OAK</t>
        </is>
      </c>
      <c r="D1647" s="9" t="n">
        <v>25</v>
      </c>
      <c r="E1647" s="16" t="inlineStr">
        <is>
          <t>L</t>
        </is>
      </c>
      <c r="F1647" s="16" t="n"/>
      <c r="G1647" s="9" t="n">
        <v>41.64102564102564</v>
      </c>
      <c r="H1647" s="9" t="n">
        <v>41.64102564102564</v>
      </c>
      <c r="I1647" s="9" t="inlineStr">
        <is>
          <t>Depth (no MLB PA)</t>
        </is>
      </c>
      <c r="J1647" s="16" t="inlineStr">
        <is>
          <t>Opening Day</t>
        </is>
      </c>
      <c r="K1647" s="11">
        <f>IFERROR(INDEX(Roles!$B$17:$B$20,MATCH(J1647,Roles!$A$17:$A$20,0)),1)</f>
        <v/>
      </c>
      <c r="L1647" s="17" t="n">
        <v>1</v>
      </c>
      <c r="M1647" s="11" t="n">
        <v>1</v>
      </c>
      <c r="N1647" s="17" t="n"/>
      <c r="O1647" s="17" t="n"/>
      <c r="P1647" s="17" t="n"/>
      <c r="Q1647" s="17" t="n"/>
      <c r="R1647" s="17" t="n"/>
      <c r="S1647" s="17" t="n"/>
      <c r="T1647" s="17" t="n"/>
      <c r="U1647" s="17" t="n"/>
      <c r="V1647" s="17" t="n"/>
      <c r="W1647" s="17" t="n"/>
      <c r="X1647" s="17" t="n"/>
      <c r="Y1647" s="17" t="n">
        <v>1</v>
      </c>
      <c r="Z1647" s="13">
        <f>SUMPRODUCT(N1647:Y1647,$N$2:$Y$2)*$K1647*$L1647*$M1647</f>
        <v/>
      </c>
      <c r="AA1647" s="14">
        <f>SUM(N1647:Y1647)</f>
        <v/>
      </c>
      <c r="AB1647" s="14">
        <f>IFERROR(IF(UPPER($E1647)="L",SUMPRODUCT(N1647:Y1647,$N$3:$Y$3,$N$2:$Y$2),SUMPRODUCT(N1647:Y1647,$N$4:$Y$4,$N$2:$Y$2))/(Z1647/($K1647*$L1647*$M1647)),"")</f>
        <v/>
      </c>
      <c r="AC1647" s="18" t="n"/>
    </row>
    <row r="1648">
      <c r="A1648" s="9" t="n">
        <v>825924</v>
      </c>
      <c r="B1648" s="9" t="inlineStr">
        <is>
          <t>Jackson Strong</t>
        </is>
      </c>
      <c r="C1648" s="9" t="inlineStr">
        <is>
          <t>DET</t>
        </is>
      </c>
      <c r="D1648" s="9" t="n">
        <v>25</v>
      </c>
      <c r="E1648" s="16" t="inlineStr">
        <is>
          <t>L</t>
        </is>
      </c>
      <c r="F1648" s="16" t="n"/>
      <c r="G1648" s="9" t="n">
        <v>87.58974358974359</v>
      </c>
      <c r="H1648" s="9" t="n">
        <v>87.58974358974359</v>
      </c>
      <c r="I1648" s="9" t="inlineStr">
        <is>
          <t>Depth (no MLB PA)</t>
        </is>
      </c>
      <c r="J1648" s="16" t="inlineStr">
        <is>
          <t>Opening Day</t>
        </is>
      </c>
      <c r="K1648" s="11">
        <f>IFERROR(INDEX(Roles!$B$17:$B$20,MATCH(J1648,Roles!$A$17:$A$20,0)),1)</f>
        <v/>
      </c>
      <c r="L1648" s="17" t="n">
        <v>1</v>
      </c>
      <c r="M1648" s="11" t="n">
        <v>1</v>
      </c>
      <c r="N1648" s="17" t="n"/>
      <c r="O1648" s="17" t="n"/>
      <c r="P1648" s="17" t="n"/>
      <c r="Q1648" s="17" t="n"/>
      <c r="R1648" s="17" t="n"/>
      <c r="S1648" s="17" t="n"/>
      <c r="T1648" s="17" t="n"/>
      <c r="U1648" s="17" t="n"/>
      <c r="V1648" s="17" t="n"/>
      <c r="W1648" s="17" t="n"/>
      <c r="X1648" s="17" t="n"/>
      <c r="Y1648" s="17" t="n">
        <v>1</v>
      </c>
      <c r="Z1648" s="13">
        <f>SUMPRODUCT(N1648:Y1648,$N$2:$Y$2)*$K1648*$L1648*$M1648</f>
        <v/>
      </c>
      <c r="AA1648" s="14">
        <f>SUM(N1648:Y1648)</f>
        <v/>
      </c>
      <c r="AB1648" s="14">
        <f>IFERROR(IF(UPPER($E1648)="L",SUMPRODUCT(N1648:Y1648,$N$3:$Y$3,$N$2:$Y$2),SUMPRODUCT(N1648:Y1648,$N$4:$Y$4,$N$2:$Y$2))/(Z1648/($K1648*$L1648*$M1648)),"")</f>
        <v/>
      </c>
      <c r="AC1648" s="18" t="n"/>
    </row>
    <row r="1649">
      <c r="A1649" s="9" t="n">
        <v>832213</v>
      </c>
      <c r="B1649" s="9" t="inlineStr">
        <is>
          <t>Derek Cerda</t>
        </is>
      </c>
      <c r="C1649" s="9" t="inlineStr">
        <is>
          <t>CWS</t>
        </is>
      </c>
      <c r="D1649" s="9" t="n">
        <v>25</v>
      </c>
      <c r="E1649" s="16" t="inlineStr">
        <is>
          <t>R</t>
        </is>
      </c>
      <c r="F1649" s="16" t="n"/>
      <c r="G1649" s="9" t="n">
        <v>20.92307692307692</v>
      </c>
      <c r="H1649" s="9" t="n">
        <v>20.92307692307692</v>
      </c>
      <c r="I1649" s="9" t="inlineStr">
        <is>
          <t>Depth (no MLB PA)</t>
        </is>
      </c>
      <c r="J1649" s="16" t="inlineStr">
        <is>
          <t>Opening Day</t>
        </is>
      </c>
      <c r="K1649" s="11">
        <f>IFERROR(INDEX(Roles!$B$17:$B$20,MATCH(J1649,Roles!$A$17:$A$20,0)),1)</f>
        <v/>
      </c>
      <c r="L1649" s="17" t="n">
        <v>1</v>
      </c>
      <c r="M1649" s="11" t="n">
        <v>1</v>
      </c>
      <c r="N1649" s="17" t="n"/>
      <c r="O1649" s="17" t="n"/>
      <c r="P1649" s="17" t="n"/>
      <c r="Q1649" s="17" t="n"/>
      <c r="R1649" s="17" t="n"/>
      <c r="S1649" s="17" t="n"/>
      <c r="T1649" s="17" t="n"/>
      <c r="U1649" s="17" t="n"/>
      <c r="V1649" s="17" t="n"/>
      <c r="W1649" s="17" t="n"/>
      <c r="X1649" s="17" t="n"/>
      <c r="Y1649" s="17" t="n">
        <v>1</v>
      </c>
      <c r="Z1649" s="13">
        <f>SUMPRODUCT(N1649:Y1649,$N$2:$Y$2)*$K1649*$L1649*$M1649</f>
        <v/>
      </c>
      <c r="AA1649" s="14">
        <f>SUM(N1649:Y1649)</f>
        <v/>
      </c>
      <c r="AB1649" s="14">
        <f>IFERROR(IF(UPPER($E1649)="L",SUMPRODUCT(N1649:Y1649,$N$3:$Y$3,$N$2:$Y$2),SUMPRODUCT(N1649:Y1649,$N$4:$Y$4,$N$2:$Y$2))/(Z1649/($K1649*$L1649*$M1649)),"")</f>
        <v/>
      </c>
      <c r="AC1649" s="18" t="n"/>
    </row>
    <row r="1650">
      <c r="A1650" s="9" t="n">
        <v>699077</v>
      </c>
      <c r="B1650" s="9" t="inlineStr">
        <is>
          <t>Jose Perez</t>
        </is>
      </c>
      <c r="C1650" s="9" t="inlineStr">
        <is>
          <t>TB</t>
        </is>
      </c>
      <c r="D1650" s="9" t="n">
        <v>25</v>
      </c>
      <c r="E1650" s="16" t="inlineStr">
        <is>
          <t>S</t>
        </is>
      </c>
      <c r="F1650" s="16" t="n"/>
      <c r="G1650" s="9" t="n">
        <v>16</v>
      </c>
      <c r="H1650" s="9" t="n">
        <v>16</v>
      </c>
      <c r="I1650" s="9" t="inlineStr">
        <is>
          <t>Depth (no MLB PA)</t>
        </is>
      </c>
      <c r="J1650" s="16" t="inlineStr">
        <is>
          <t>Opening Day</t>
        </is>
      </c>
      <c r="K1650" s="11">
        <f>IFERROR(INDEX(Roles!$B$17:$B$20,MATCH(J1650,Roles!$A$17:$A$20,0)),1)</f>
        <v/>
      </c>
      <c r="L1650" s="17" t="n">
        <v>1</v>
      </c>
      <c r="M1650" s="11" t="n">
        <v>1</v>
      </c>
      <c r="N1650" s="17" t="n"/>
      <c r="O1650" s="17" t="n"/>
      <c r="P1650" s="17" t="n"/>
      <c r="Q1650" s="17" t="n"/>
      <c r="R1650" s="17" t="n"/>
      <c r="S1650" s="17" t="n"/>
      <c r="T1650" s="17" t="n"/>
      <c r="U1650" s="17" t="n"/>
      <c r="V1650" s="17" t="n"/>
      <c r="W1650" s="17" t="n"/>
      <c r="X1650" s="17" t="n"/>
      <c r="Y1650" s="17" t="n">
        <v>1</v>
      </c>
      <c r="Z1650" s="13">
        <f>SUMPRODUCT(N1650:Y1650,$N$2:$Y$2)*$K1650*$L1650*$M1650</f>
        <v/>
      </c>
      <c r="AA1650" s="14">
        <f>SUM(N1650:Y1650)</f>
        <v/>
      </c>
      <c r="AB1650" s="14">
        <f>IFERROR(IF(UPPER($E1650)="L",SUMPRODUCT(N1650:Y1650,$N$3:$Y$3,$N$2:$Y$2),SUMPRODUCT(N1650:Y1650,$N$4:$Y$4,$N$2:$Y$2))/(Z1650/($K1650*$L1650*$M1650)),"")</f>
        <v/>
      </c>
      <c r="AC1650" s="18" t="n"/>
    </row>
    <row r="1651">
      <c r="A1651" s="9" t="n">
        <v>808279</v>
      </c>
      <c r="B1651" s="9" t="inlineStr">
        <is>
          <t>Elian Soto</t>
        </is>
      </c>
      <c r="C1651" s="9" t="inlineStr">
        <is>
          <t>WSH</t>
        </is>
      </c>
      <c r="D1651" s="9" t="n">
        <v>25</v>
      </c>
      <c r="E1651" s="16" t="inlineStr">
        <is>
          <t>L</t>
        </is>
      </c>
      <c r="F1651" s="16" t="n"/>
      <c r="G1651" s="9" t="n">
        <v>22.4</v>
      </c>
      <c r="H1651" s="9" t="n">
        <v>22.4</v>
      </c>
      <c r="I1651" s="9" t="inlineStr">
        <is>
          <t>Depth (no MLB PA)</t>
        </is>
      </c>
      <c r="J1651" s="16" t="inlineStr">
        <is>
          <t>Opening Day</t>
        </is>
      </c>
      <c r="K1651" s="11">
        <f>IFERROR(INDEX(Roles!$B$17:$B$20,MATCH(J1651,Roles!$A$17:$A$20,0)),1)</f>
        <v/>
      </c>
      <c r="L1651" s="17" t="n">
        <v>1</v>
      </c>
      <c r="M1651" s="11" t="n">
        <v>1</v>
      </c>
      <c r="N1651" s="17" t="n"/>
      <c r="O1651" s="17" t="n"/>
      <c r="P1651" s="17" t="n"/>
      <c r="Q1651" s="17" t="n"/>
      <c r="R1651" s="17" t="n"/>
      <c r="S1651" s="17" t="n"/>
      <c r="T1651" s="17" t="n"/>
      <c r="U1651" s="17" t="n"/>
      <c r="V1651" s="17" t="n"/>
      <c r="W1651" s="17" t="n"/>
      <c r="X1651" s="17" t="n"/>
      <c r="Y1651" s="17" t="n">
        <v>1</v>
      </c>
      <c r="Z1651" s="13">
        <f>SUMPRODUCT(N1651:Y1651,$N$2:$Y$2)*$K1651*$L1651*$M1651</f>
        <v/>
      </c>
      <c r="AA1651" s="14">
        <f>SUM(N1651:Y1651)</f>
        <v/>
      </c>
      <c r="AB1651" s="14">
        <f>IFERROR(IF(UPPER($E1651)="L",SUMPRODUCT(N1651:Y1651,$N$3:$Y$3,$N$2:$Y$2),SUMPRODUCT(N1651:Y1651,$N$4:$Y$4,$N$2:$Y$2))/(Z1651/($K1651*$L1651*$M1651)),"")</f>
        <v/>
      </c>
      <c r="AC1651" s="18" t="n"/>
    </row>
    <row r="1652">
      <c r="A1652" s="9" t="n">
        <v>808237</v>
      </c>
      <c r="B1652" s="9" t="inlineStr">
        <is>
          <t>Yirer Garcia</t>
        </is>
      </c>
      <c r="C1652" s="9" t="inlineStr">
        <is>
          <t>TB</t>
        </is>
      </c>
      <c r="D1652" s="9" t="n">
        <v>25</v>
      </c>
      <c r="E1652" s="16" t="inlineStr">
        <is>
          <t>R</t>
        </is>
      </c>
      <c r="F1652" s="16" t="n"/>
      <c r="G1652" s="9" t="n">
        <v>16.73846153846154</v>
      </c>
      <c r="H1652" s="9" t="n">
        <v>16.73846153846154</v>
      </c>
      <c r="I1652" s="9" t="inlineStr">
        <is>
          <t>Depth (no MLB PA)</t>
        </is>
      </c>
      <c r="J1652" s="16" t="inlineStr">
        <is>
          <t>Opening Day</t>
        </is>
      </c>
      <c r="K1652" s="11">
        <f>IFERROR(INDEX(Roles!$B$17:$B$20,MATCH(J1652,Roles!$A$17:$A$20,0)),1)</f>
        <v/>
      </c>
      <c r="L1652" s="17" t="n">
        <v>1</v>
      </c>
      <c r="M1652" s="11" t="n">
        <v>1</v>
      </c>
      <c r="N1652" s="17" t="n"/>
      <c r="O1652" s="17" t="n"/>
      <c r="P1652" s="17" t="n"/>
      <c r="Q1652" s="17" t="n"/>
      <c r="R1652" s="17" t="n"/>
      <c r="S1652" s="17" t="n"/>
      <c r="T1652" s="17" t="n"/>
      <c r="U1652" s="17" t="n"/>
      <c r="V1652" s="17" t="n"/>
      <c r="W1652" s="17" t="n"/>
      <c r="X1652" s="17" t="n"/>
      <c r="Y1652" s="17" t="n">
        <v>1</v>
      </c>
      <c r="Z1652" s="13">
        <f>SUMPRODUCT(N1652:Y1652,$N$2:$Y$2)*$K1652*$L1652*$M1652</f>
        <v/>
      </c>
      <c r="AA1652" s="14">
        <f>SUM(N1652:Y1652)</f>
        <v/>
      </c>
      <c r="AB1652" s="14">
        <f>IFERROR(IF(UPPER($E1652)="L",SUMPRODUCT(N1652:Y1652,$N$3:$Y$3,$N$2:$Y$2),SUMPRODUCT(N1652:Y1652,$N$4:$Y$4,$N$2:$Y$2))/(Z1652/($K1652*$L1652*$M1652)),"")</f>
        <v/>
      </c>
      <c r="AC1652" s="18" t="n"/>
    </row>
    <row r="1653">
      <c r="A1653" s="9" t="n">
        <v>801442</v>
      </c>
      <c r="B1653" s="9" t="inlineStr">
        <is>
          <t>Jack Pineda</t>
        </is>
      </c>
      <c r="C1653" s="9" t="inlineStr">
        <is>
          <t>KC</t>
        </is>
      </c>
      <c r="D1653" s="9" t="n">
        <v>25</v>
      </c>
      <c r="E1653" s="16" t="inlineStr">
        <is>
          <t>L</t>
        </is>
      </c>
      <c r="F1653" s="16" t="n"/>
      <c r="G1653" s="9" t="n">
        <v>50.20512820512821</v>
      </c>
      <c r="H1653" s="9" t="n">
        <v>50.20512820512821</v>
      </c>
      <c r="I1653" s="9" t="inlineStr">
        <is>
          <t>Depth (no MLB PA)</t>
        </is>
      </c>
      <c r="J1653" s="16" t="inlineStr">
        <is>
          <t>Opening Day</t>
        </is>
      </c>
      <c r="K1653" s="11">
        <f>IFERROR(INDEX(Roles!$B$17:$B$20,MATCH(J1653,Roles!$A$17:$A$20,0)),1)</f>
        <v/>
      </c>
      <c r="L1653" s="17" t="n">
        <v>1</v>
      </c>
      <c r="M1653" s="11" t="n">
        <v>1</v>
      </c>
      <c r="N1653" s="17" t="n"/>
      <c r="O1653" s="17" t="n"/>
      <c r="P1653" s="17" t="n"/>
      <c r="Q1653" s="17" t="n"/>
      <c r="R1653" s="17" t="n"/>
      <c r="S1653" s="17" t="n"/>
      <c r="T1653" s="17" t="n"/>
      <c r="U1653" s="17" t="n"/>
      <c r="V1653" s="17" t="n"/>
      <c r="W1653" s="17" t="n"/>
      <c r="X1653" s="17" t="n"/>
      <c r="Y1653" s="17" t="n">
        <v>1</v>
      </c>
      <c r="Z1653" s="13">
        <f>SUMPRODUCT(N1653:Y1653,$N$2:$Y$2)*$K1653*$L1653*$M1653</f>
        <v/>
      </c>
      <c r="AA1653" s="14">
        <f>SUM(N1653:Y1653)</f>
        <v/>
      </c>
      <c r="AB1653" s="14">
        <f>IFERROR(IF(UPPER($E1653)="L",SUMPRODUCT(N1653:Y1653,$N$3:$Y$3,$N$2:$Y$2),SUMPRODUCT(N1653:Y1653,$N$4:$Y$4,$N$2:$Y$2))/(Z1653/($K1653*$L1653*$M1653)),"")</f>
        <v/>
      </c>
      <c r="AC1653" s="18" t="n"/>
    </row>
    <row r="1654">
      <c r="A1654" s="9" t="n">
        <v>802082</v>
      </c>
      <c r="B1654" s="9" t="inlineStr">
        <is>
          <t>Julio Henriquez</t>
        </is>
      </c>
      <c r="C1654" s="9" t="inlineStr">
        <is>
          <t>MIA</t>
        </is>
      </c>
      <c r="D1654" s="9" t="n">
        <v>25</v>
      </c>
      <c r="E1654" s="16" t="inlineStr">
        <is>
          <t>R</t>
        </is>
      </c>
      <c r="F1654" s="16" t="n"/>
      <c r="G1654" s="9" t="n">
        <v>18.46153846153846</v>
      </c>
      <c r="H1654" s="9" t="n">
        <v>18.46153846153846</v>
      </c>
      <c r="I1654" s="9" t="inlineStr">
        <is>
          <t>Depth (no MLB PA)</t>
        </is>
      </c>
      <c r="J1654" s="16" t="inlineStr">
        <is>
          <t>Opening Day</t>
        </is>
      </c>
      <c r="K1654" s="11">
        <f>IFERROR(INDEX(Roles!$B$17:$B$20,MATCH(J1654,Roles!$A$17:$A$20,0)),1)</f>
        <v/>
      </c>
      <c r="L1654" s="17" t="n">
        <v>1</v>
      </c>
      <c r="M1654" s="11" t="n">
        <v>1</v>
      </c>
      <c r="N1654" s="17" t="n"/>
      <c r="O1654" s="17" t="n"/>
      <c r="P1654" s="17" t="n"/>
      <c r="Q1654" s="17" t="n"/>
      <c r="R1654" s="17" t="n"/>
      <c r="S1654" s="17" t="n"/>
      <c r="T1654" s="17" t="n"/>
      <c r="U1654" s="17" t="n"/>
      <c r="V1654" s="17" t="n"/>
      <c r="W1654" s="17" t="n"/>
      <c r="X1654" s="17" t="n"/>
      <c r="Y1654" s="17" t="n">
        <v>1</v>
      </c>
      <c r="Z1654" s="13">
        <f>SUMPRODUCT(N1654:Y1654,$N$2:$Y$2)*$K1654*$L1654*$M1654</f>
        <v/>
      </c>
      <c r="AA1654" s="14">
        <f>SUM(N1654:Y1654)</f>
        <v/>
      </c>
      <c r="AB1654" s="14">
        <f>IFERROR(IF(UPPER($E1654)="L",SUMPRODUCT(N1654:Y1654,$N$3:$Y$3,$N$2:$Y$2),SUMPRODUCT(N1654:Y1654,$N$4:$Y$4,$N$2:$Y$2))/(Z1654/($K1654*$L1654*$M1654)),"")</f>
        <v/>
      </c>
      <c r="AC1654" s="18" t="n"/>
    </row>
    <row r="1655">
      <c r="A1655" s="9" t="n">
        <v>806921</v>
      </c>
      <c r="B1655" s="9" t="inlineStr">
        <is>
          <t>Yannic Walther</t>
        </is>
      </c>
      <c r="C1655" s="9" t="inlineStr">
        <is>
          <t>MIL</t>
        </is>
      </c>
      <c r="D1655" s="9" t="n">
        <v>25</v>
      </c>
      <c r="E1655" s="16" t="inlineStr">
        <is>
          <t>R</t>
        </is>
      </c>
      <c r="F1655" s="16" t="n"/>
      <c r="G1655" s="9" t="n">
        <v>24.2051282051282</v>
      </c>
      <c r="H1655" s="9" t="n">
        <v>24.2051282051282</v>
      </c>
      <c r="I1655" s="9" t="inlineStr">
        <is>
          <t>Depth (no MLB PA)</t>
        </is>
      </c>
      <c r="J1655" s="16" t="inlineStr">
        <is>
          <t>Opening Day</t>
        </is>
      </c>
      <c r="K1655" s="11">
        <f>IFERROR(INDEX(Roles!$B$17:$B$20,MATCH(J1655,Roles!$A$17:$A$20,0)),1)</f>
        <v/>
      </c>
      <c r="L1655" s="17" t="n">
        <v>1</v>
      </c>
      <c r="M1655" s="11" t="n">
        <v>1</v>
      </c>
      <c r="N1655" s="17" t="n"/>
      <c r="O1655" s="17" t="n"/>
      <c r="P1655" s="17" t="n"/>
      <c r="Q1655" s="17" t="n"/>
      <c r="R1655" s="17" t="n"/>
      <c r="S1655" s="17" t="n"/>
      <c r="T1655" s="17" t="n"/>
      <c r="U1655" s="17" t="n"/>
      <c r="V1655" s="17" t="n"/>
      <c r="W1655" s="17" t="n"/>
      <c r="X1655" s="17" t="n"/>
      <c r="Y1655" s="17" t="n">
        <v>1</v>
      </c>
      <c r="Z1655" s="13">
        <f>SUMPRODUCT(N1655:Y1655,$N$2:$Y$2)*$K1655*$L1655*$M1655</f>
        <v/>
      </c>
      <c r="AA1655" s="14">
        <f>SUM(N1655:Y1655)</f>
        <v/>
      </c>
      <c r="AB1655" s="14">
        <f>IFERROR(IF(UPPER($E1655)="L",SUMPRODUCT(N1655:Y1655,$N$3:$Y$3,$N$2:$Y$2),SUMPRODUCT(N1655:Y1655,$N$4:$Y$4,$N$2:$Y$2))/(Z1655/($K1655*$L1655*$M1655)),"")</f>
        <v/>
      </c>
      <c r="AC1655" s="18" t="n"/>
    </row>
    <row r="1656">
      <c r="A1656" s="9" t="n">
        <v>834846</v>
      </c>
      <c r="B1656" s="9" t="inlineStr">
        <is>
          <t>Caden Merritt</t>
        </is>
      </c>
      <c r="C1656" s="9" t="inlineStr">
        <is>
          <t>ATL</t>
        </is>
      </c>
      <c r="D1656" s="9" t="n">
        <v>25</v>
      </c>
      <c r="E1656" s="16" t="inlineStr">
        <is>
          <t>R</t>
        </is>
      </c>
      <c r="F1656" s="16" t="n"/>
      <c r="G1656" s="9" t="n">
        <v>22.27692307692308</v>
      </c>
      <c r="H1656" s="9" t="n">
        <v>22.27692307692308</v>
      </c>
      <c r="I1656" s="9" t="inlineStr">
        <is>
          <t>Depth (no MLB PA)</t>
        </is>
      </c>
      <c r="J1656" s="16" t="inlineStr">
        <is>
          <t>Opening Day</t>
        </is>
      </c>
      <c r="K1656" s="11">
        <f>IFERROR(INDEX(Roles!$B$17:$B$20,MATCH(J1656,Roles!$A$17:$A$20,0)),1)</f>
        <v/>
      </c>
      <c r="L1656" s="17" t="n">
        <v>1</v>
      </c>
      <c r="M1656" s="11" t="n">
        <v>1</v>
      </c>
      <c r="N1656" s="17" t="n"/>
      <c r="O1656" s="17" t="n"/>
      <c r="P1656" s="17" t="n"/>
      <c r="Q1656" s="17" t="n"/>
      <c r="R1656" s="17" t="n"/>
      <c r="S1656" s="17" t="n"/>
      <c r="T1656" s="17" t="n"/>
      <c r="U1656" s="17" t="n"/>
      <c r="V1656" s="17" t="n"/>
      <c r="W1656" s="17" t="n"/>
      <c r="X1656" s="17" t="n"/>
      <c r="Y1656" s="17" t="n">
        <v>1</v>
      </c>
      <c r="Z1656" s="13">
        <f>SUMPRODUCT(N1656:Y1656,$N$2:$Y$2)*$K1656*$L1656*$M1656</f>
        <v/>
      </c>
      <c r="AA1656" s="14">
        <f>SUM(N1656:Y1656)</f>
        <v/>
      </c>
      <c r="AB1656" s="14">
        <f>IFERROR(IF(UPPER($E1656)="L",SUMPRODUCT(N1656:Y1656,$N$3:$Y$3,$N$2:$Y$2),SUMPRODUCT(N1656:Y1656,$N$4:$Y$4,$N$2:$Y$2))/(Z1656/($K1656*$L1656*$M1656)),"")</f>
        <v/>
      </c>
      <c r="AC1656" s="18" t="n"/>
    </row>
    <row r="1657">
      <c r="A1657" s="9" t="n">
        <v>691941</v>
      </c>
      <c r="B1657" s="9" t="inlineStr">
        <is>
          <t>Calvin Harris</t>
        </is>
      </c>
      <c r="C1657" s="9" t="inlineStr">
        <is>
          <t>CWS</t>
        </is>
      </c>
      <c r="D1657" s="9" t="n">
        <v>25</v>
      </c>
      <c r="E1657" s="16" t="inlineStr">
        <is>
          <t>L</t>
        </is>
      </c>
      <c r="F1657" s="16" t="n"/>
      <c r="G1657" s="9" t="n">
        <v>52.41025641025641</v>
      </c>
      <c r="H1657" s="9" t="n">
        <v>52.41025641025641</v>
      </c>
      <c r="I1657" s="9" t="inlineStr">
        <is>
          <t>Depth (no MLB PA)</t>
        </is>
      </c>
      <c r="J1657" s="16" t="inlineStr">
        <is>
          <t>Opening Day</t>
        </is>
      </c>
      <c r="K1657" s="11">
        <f>IFERROR(INDEX(Roles!$B$17:$B$20,MATCH(J1657,Roles!$A$17:$A$20,0)),1)</f>
        <v/>
      </c>
      <c r="L1657" s="17" t="n">
        <v>1</v>
      </c>
      <c r="M1657" s="11" t="n">
        <v>1</v>
      </c>
      <c r="N1657" s="17" t="n"/>
      <c r="O1657" s="17" t="n"/>
      <c r="P1657" s="17" t="n"/>
      <c r="Q1657" s="17" t="n"/>
      <c r="R1657" s="17" t="n"/>
      <c r="S1657" s="17" t="n"/>
      <c r="T1657" s="17" t="n"/>
      <c r="U1657" s="17" t="n"/>
      <c r="V1657" s="17" t="n"/>
      <c r="W1657" s="17" t="n"/>
      <c r="X1657" s="17" t="n"/>
      <c r="Y1657" s="17" t="n">
        <v>1</v>
      </c>
      <c r="Z1657" s="13">
        <f>SUMPRODUCT(N1657:Y1657,$N$2:$Y$2)*$K1657*$L1657*$M1657</f>
        <v/>
      </c>
      <c r="AA1657" s="14">
        <f>SUM(N1657:Y1657)</f>
        <v/>
      </c>
      <c r="AB1657" s="14">
        <f>IFERROR(IF(UPPER($E1657)="L",SUMPRODUCT(N1657:Y1657,$N$3:$Y$3,$N$2:$Y$2),SUMPRODUCT(N1657:Y1657,$N$4:$Y$4,$N$2:$Y$2))/(Z1657/($K1657*$L1657*$M1657)),"")</f>
        <v/>
      </c>
      <c r="AC1657" s="18" t="n"/>
    </row>
    <row r="1658">
      <c r="A1658" s="9" t="n">
        <v>703188</v>
      </c>
      <c r="B1658" s="9" t="inlineStr">
        <is>
          <t>Anthuan Valencia</t>
        </is>
      </c>
      <c r="C1658" s="9" t="inlineStr">
        <is>
          <t>CIN</t>
        </is>
      </c>
      <c r="D1658" s="9" t="n">
        <v>25</v>
      </c>
      <c r="E1658" s="16" t="inlineStr">
        <is>
          <t>R</t>
        </is>
      </c>
      <c r="F1658" s="16" t="n"/>
      <c r="G1658" s="9" t="n">
        <v>16</v>
      </c>
      <c r="H1658" s="9" t="n">
        <v>16</v>
      </c>
      <c r="I1658" s="9" t="inlineStr">
        <is>
          <t>Depth (no MLB PA)</t>
        </is>
      </c>
      <c r="J1658" s="16" t="inlineStr">
        <is>
          <t>Opening Day</t>
        </is>
      </c>
      <c r="K1658" s="11">
        <f>IFERROR(INDEX(Roles!$B$17:$B$20,MATCH(J1658,Roles!$A$17:$A$20,0)),1)</f>
        <v/>
      </c>
      <c r="L1658" s="17" t="n">
        <v>1</v>
      </c>
      <c r="M1658" s="11" t="n">
        <v>1</v>
      </c>
      <c r="N1658" s="17" t="n"/>
      <c r="O1658" s="17" t="n"/>
      <c r="P1658" s="17" t="n"/>
      <c r="Q1658" s="17" t="n"/>
      <c r="R1658" s="17" t="n"/>
      <c r="S1658" s="17" t="n"/>
      <c r="T1658" s="17" t="n"/>
      <c r="U1658" s="17" t="n"/>
      <c r="V1658" s="17" t="n"/>
      <c r="W1658" s="17" t="n"/>
      <c r="X1658" s="17" t="n"/>
      <c r="Y1658" s="17" t="n">
        <v>1</v>
      </c>
      <c r="Z1658" s="13">
        <f>SUMPRODUCT(N1658:Y1658,$N$2:$Y$2)*$K1658*$L1658*$M1658</f>
        <v/>
      </c>
      <c r="AA1658" s="14">
        <f>SUM(N1658:Y1658)</f>
        <v/>
      </c>
      <c r="AB1658" s="14">
        <f>IFERROR(IF(UPPER($E1658)="L",SUMPRODUCT(N1658:Y1658,$N$3:$Y$3,$N$2:$Y$2),SUMPRODUCT(N1658:Y1658,$N$4:$Y$4,$N$2:$Y$2))/(Z1658/($K1658*$L1658*$M1658)),"")</f>
        <v/>
      </c>
      <c r="AC1658" s="18" t="n"/>
    </row>
    <row r="1659">
      <c r="A1659" s="9" t="n">
        <v>833381</v>
      </c>
      <c r="B1659" s="9" t="inlineStr">
        <is>
          <t>Jack Moroknek</t>
        </is>
      </c>
      <c r="C1659" s="9" t="inlineStr">
        <is>
          <t>WSH</t>
        </is>
      </c>
      <c r="D1659" s="9" t="n">
        <v>25</v>
      </c>
      <c r="E1659" s="16" t="inlineStr">
        <is>
          <t>L</t>
        </is>
      </c>
      <c r="F1659" s="16" t="n"/>
      <c r="G1659" s="9" t="n">
        <v>32.82051282051282</v>
      </c>
      <c r="H1659" s="9" t="n">
        <v>32.82051282051282</v>
      </c>
      <c r="I1659" s="9" t="inlineStr">
        <is>
          <t>Depth (no MLB PA)</t>
        </is>
      </c>
      <c r="J1659" s="16" t="inlineStr">
        <is>
          <t>Opening Day</t>
        </is>
      </c>
      <c r="K1659" s="11">
        <f>IFERROR(INDEX(Roles!$B$17:$B$20,MATCH(J1659,Roles!$A$17:$A$20,0)),1)</f>
        <v/>
      </c>
      <c r="L1659" s="17" t="n">
        <v>1</v>
      </c>
      <c r="M1659" s="11" t="n">
        <v>1</v>
      </c>
      <c r="N1659" s="17" t="n"/>
      <c r="O1659" s="17" t="n"/>
      <c r="P1659" s="17" t="n"/>
      <c r="Q1659" s="17" t="n"/>
      <c r="R1659" s="17" t="n"/>
      <c r="S1659" s="17" t="n"/>
      <c r="T1659" s="17" t="n"/>
      <c r="U1659" s="17" t="n"/>
      <c r="V1659" s="17" t="n"/>
      <c r="W1659" s="17" t="n"/>
      <c r="X1659" s="17" t="n"/>
      <c r="Y1659" s="17" t="n">
        <v>1</v>
      </c>
      <c r="Z1659" s="13">
        <f>SUMPRODUCT(N1659:Y1659,$N$2:$Y$2)*$K1659*$L1659*$M1659</f>
        <v/>
      </c>
      <c r="AA1659" s="14">
        <f>SUM(N1659:Y1659)</f>
        <v/>
      </c>
      <c r="AB1659" s="14">
        <f>IFERROR(IF(UPPER($E1659)="L",SUMPRODUCT(N1659:Y1659,$N$3:$Y$3,$N$2:$Y$2),SUMPRODUCT(N1659:Y1659,$N$4:$Y$4,$N$2:$Y$2))/(Z1659/($K1659*$L1659*$M1659)),"")</f>
        <v/>
      </c>
      <c r="AC1659" s="18" t="n"/>
    </row>
    <row r="1660">
      <c r="A1660" s="9" t="n">
        <v>821380</v>
      </c>
      <c r="B1660" s="9" t="inlineStr">
        <is>
          <t>Pedro Blanco</t>
        </is>
      </c>
      <c r="C1660" s="9" t="inlineStr">
        <is>
          <t>ARI</t>
        </is>
      </c>
      <c r="D1660" s="9" t="n">
        <v>25</v>
      </c>
      <c r="E1660" s="16" t="inlineStr">
        <is>
          <t>L</t>
        </is>
      </c>
      <c r="F1660" s="16" t="n"/>
      <c r="G1660" s="9" t="n">
        <v>54.52307692307692</v>
      </c>
      <c r="H1660" s="9" t="n">
        <v>54.52307692307692</v>
      </c>
      <c r="I1660" s="9" t="inlineStr">
        <is>
          <t>Depth (no MLB PA)</t>
        </is>
      </c>
      <c r="J1660" s="16" t="inlineStr">
        <is>
          <t>Opening Day</t>
        </is>
      </c>
      <c r="K1660" s="11">
        <f>IFERROR(INDEX(Roles!$B$17:$B$20,MATCH(J1660,Roles!$A$17:$A$20,0)),1)</f>
        <v/>
      </c>
      <c r="L1660" s="17" t="n">
        <v>1</v>
      </c>
      <c r="M1660" s="11" t="n">
        <v>1</v>
      </c>
      <c r="N1660" s="17" t="n"/>
      <c r="O1660" s="17" t="n"/>
      <c r="P1660" s="17" t="n"/>
      <c r="Q1660" s="17" t="n"/>
      <c r="R1660" s="17" t="n"/>
      <c r="S1660" s="17" t="n"/>
      <c r="T1660" s="17" t="n"/>
      <c r="U1660" s="17" t="n"/>
      <c r="V1660" s="17" t="n"/>
      <c r="W1660" s="17" t="n"/>
      <c r="X1660" s="17" t="n"/>
      <c r="Y1660" s="17" t="n">
        <v>1</v>
      </c>
      <c r="Z1660" s="13">
        <f>SUMPRODUCT(N1660:Y1660,$N$2:$Y$2)*$K1660*$L1660*$M1660</f>
        <v/>
      </c>
      <c r="AA1660" s="14">
        <f>SUM(N1660:Y1660)</f>
        <v/>
      </c>
      <c r="AB1660" s="14">
        <f>IFERROR(IF(UPPER($E1660)="L",SUMPRODUCT(N1660:Y1660,$N$3:$Y$3,$N$2:$Y$2),SUMPRODUCT(N1660:Y1660,$N$4:$Y$4,$N$2:$Y$2))/(Z1660/($K1660*$L1660*$M1660)),"")</f>
        <v/>
      </c>
      <c r="AC1660" s="18" t="n"/>
    </row>
    <row r="1661">
      <c r="A1661" s="9" t="n">
        <v>804446</v>
      </c>
      <c r="B1661" s="9" t="inlineStr">
        <is>
          <t>Eddie Micheletti Jr.</t>
        </is>
      </c>
      <c r="C1661" s="9" t="inlineStr">
        <is>
          <t>LAA</t>
        </is>
      </c>
      <c r="D1661" s="9" t="n">
        <v>25</v>
      </c>
      <c r="E1661" s="16" t="inlineStr">
        <is>
          <t>L</t>
        </is>
      </c>
      <c r="F1661" s="16" t="n"/>
      <c r="G1661" s="9" t="n">
        <v>179.8461538461538</v>
      </c>
      <c r="H1661" s="9" t="n">
        <v>179.8461538461538</v>
      </c>
      <c r="I1661" s="9" t="inlineStr">
        <is>
          <t>Depth (no MLB PA)</t>
        </is>
      </c>
      <c r="J1661" s="16" t="inlineStr">
        <is>
          <t>Opening Day</t>
        </is>
      </c>
      <c r="K1661" s="11">
        <f>IFERROR(INDEX(Roles!$B$17:$B$20,MATCH(J1661,Roles!$A$17:$A$20,0)),1)</f>
        <v/>
      </c>
      <c r="L1661" s="17" t="n">
        <v>1</v>
      </c>
      <c r="M1661" s="11" t="n">
        <v>1</v>
      </c>
      <c r="N1661" s="17" t="n"/>
      <c r="O1661" s="17" t="n"/>
      <c r="P1661" s="17" t="n"/>
      <c r="Q1661" s="17" t="n"/>
      <c r="R1661" s="17" t="n"/>
      <c r="S1661" s="17" t="n"/>
      <c r="T1661" s="17" t="n"/>
      <c r="U1661" s="17" t="n"/>
      <c r="V1661" s="17" t="n"/>
      <c r="W1661" s="17" t="n"/>
      <c r="X1661" s="17" t="n"/>
      <c r="Y1661" s="17" t="n">
        <v>1</v>
      </c>
      <c r="Z1661" s="13">
        <f>SUMPRODUCT(N1661:Y1661,$N$2:$Y$2)*$K1661*$L1661*$M1661</f>
        <v/>
      </c>
      <c r="AA1661" s="14">
        <f>SUM(N1661:Y1661)</f>
        <v/>
      </c>
      <c r="AB1661" s="14">
        <f>IFERROR(IF(UPPER($E1661)="L",SUMPRODUCT(N1661:Y1661,$N$3:$Y$3,$N$2:$Y$2),SUMPRODUCT(N1661:Y1661,$N$4:$Y$4,$N$2:$Y$2))/(Z1661/($K1661*$L1661*$M1661)),"")</f>
        <v/>
      </c>
      <c r="AC1661" s="18" t="n"/>
    </row>
    <row r="1662">
      <c r="A1662" s="9" t="n">
        <v>605170</v>
      </c>
      <c r="B1662" s="9" t="inlineStr">
        <is>
          <t>Victor Caratini</t>
        </is>
      </c>
      <c r="C1662" s="9" t="inlineStr">
        <is>
          <t>MIN</t>
        </is>
      </c>
      <c r="D1662" s="9" t="n">
        <v>33</v>
      </c>
      <c r="E1662" s="16" t="inlineStr">
        <is>
          <t>S</t>
        </is>
      </c>
      <c r="F1662" s="16" t="inlineStr">
        <is>
          <t>C</t>
        </is>
      </c>
      <c r="G1662" s="9" t="n">
        <v>382</v>
      </c>
      <c r="H1662" s="9" t="n">
        <v>1582</v>
      </c>
      <c r="I1662" s="9" t="inlineStr">
        <is>
          <t>Full Time</t>
        </is>
      </c>
      <c r="J1662" s="16" t="inlineStr">
        <is>
          <t>Opening Day</t>
        </is>
      </c>
      <c r="K1662" s="11">
        <f>IFERROR(INDEX(Roles!$B$17:$B$20,MATCH(J1662,Roles!$A$17:$A$20,0)),1)</f>
        <v/>
      </c>
      <c r="L1662" s="17" t="n">
        <v>1</v>
      </c>
      <c r="M1662" s="11" t="n">
        <v>0.8590567129237127</v>
      </c>
      <c r="N1662" s="17" t="n">
        <v>1</v>
      </c>
      <c r="O1662" s="17" t="n"/>
      <c r="P1662" s="17" t="n"/>
      <c r="Q1662" s="17" t="n"/>
      <c r="R1662" s="17" t="n"/>
      <c r="S1662" s="17" t="n"/>
      <c r="T1662" s="17" t="n"/>
      <c r="U1662" s="17" t="n"/>
      <c r="V1662" s="17" t="n"/>
      <c r="W1662" s="17" t="n"/>
      <c r="X1662" s="17" t="n"/>
      <c r="Y1662" s="17" t="n"/>
      <c r="Z1662" s="13">
        <f>SUMPRODUCT(N1662:Y1662,$N$2:$Y$2)*$K1662*$L1662*$M1662</f>
        <v/>
      </c>
      <c r="AA1662" s="14">
        <f>SUM(N1662:Y1662)</f>
        <v/>
      </c>
      <c r="AB1662" s="14">
        <f>IFERROR(IF(UPPER($E1662)="L",SUMPRODUCT(N1662:Y1662,$N$3:$Y$3,$N$2:$Y$2),SUMPRODUCT(N1662:Y1662,$N$4:$Y$4,$N$2:$Y$2))/(Z1662/($K1662*$L1662*$M1662)),"")</f>
        <v/>
      </c>
      <c r="AC1662" s="18" t="n"/>
    </row>
    <row r="1663">
      <c r="A1663" s="9" t="n">
        <v>805301</v>
      </c>
      <c r="B1663" s="9" t="inlineStr">
        <is>
          <t>Jordan Dissin</t>
        </is>
      </c>
      <c r="C1663" s="9" t="inlineStr">
        <is>
          <t>PHI</t>
        </is>
      </c>
      <c r="D1663" s="9" t="n">
        <v>25</v>
      </c>
      <c r="E1663" s="16" t="inlineStr">
        <is>
          <t>R</t>
        </is>
      </c>
      <c r="F1663" s="16" t="n"/>
      <c r="G1663" s="9" t="n">
        <v>16.92307692307692</v>
      </c>
      <c r="H1663" s="9" t="n">
        <v>16.92307692307692</v>
      </c>
      <c r="I1663" s="9" t="inlineStr">
        <is>
          <t>Depth (no MLB PA)</t>
        </is>
      </c>
      <c r="J1663" s="16" t="inlineStr">
        <is>
          <t>Opening Day</t>
        </is>
      </c>
      <c r="K1663" s="11">
        <f>IFERROR(INDEX(Roles!$B$17:$B$20,MATCH(J1663,Roles!$A$17:$A$20,0)),1)</f>
        <v/>
      </c>
      <c r="L1663" s="17" t="n">
        <v>1</v>
      </c>
      <c r="M1663" s="11" t="n">
        <v>1</v>
      </c>
      <c r="N1663" s="17" t="n"/>
      <c r="O1663" s="17" t="n"/>
      <c r="P1663" s="17" t="n"/>
      <c r="Q1663" s="17" t="n"/>
      <c r="R1663" s="17" t="n"/>
      <c r="S1663" s="17" t="n"/>
      <c r="T1663" s="17" t="n"/>
      <c r="U1663" s="17" t="n"/>
      <c r="V1663" s="17" t="n"/>
      <c r="W1663" s="17" t="n"/>
      <c r="X1663" s="17" t="n"/>
      <c r="Y1663" s="17" t="n">
        <v>1</v>
      </c>
      <c r="Z1663" s="13">
        <f>SUMPRODUCT(N1663:Y1663,$N$2:$Y$2)*$K1663*$L1663*$M1663</f>
        <v/>
      </c>
      <c r="AA1663" s="14">
        <f>SUM(N1663:Y1663)</f>
        <v/>
      </c>
      <c r="AB1663" s="14">
        <f>IFERROR(IF(UPPER($E1663)="L",SUMPRODUCT(N1663:Y1663,$N$3:$Y$3,$N$2:$Y$2),SUMPRODUCT(N1663:Y1663,$N$4:$Y$4,$N$2:$Y$2))/(Z1663/($K1663*$L1663*$M1663)),"")</f>
        <v/>
      </c>
      <c r="AC1663" s="18" t="n"/>
    </row>
    <row r="1664">
      <c r="A1664" s="9" t="n">
        <v>663853</v>
      </c>
      <c r="B1664" s="9" t="inlineStr">
        <is>
          <t>Romy Gonzalez</t>
        </is>
      </c>
      <c r="C1664" s="9" t="inlineStr">
        <is>
          <t>BOS</t>
        </is>
      </c>
      <c r="D1664" s="9" t="n">
        <v>30</v>
      </c>
      <c r="E1664" s="16" t="inlineStr">
        <is>
          <t>R</t>
        </is>
      </c>
      <c r="F1664" s="16" t="inlineStr">
        <is>
          <t>2B</t>
        </is>
      </c>
      <c r="G1664" s="9" t="n">
        <v>73</v>
      </c>
      <c r="H1664" s="9" t="n">
        <v>836</v>
      </c>
      <c r="I1664" s="9" t="inlineStr">
        <is>
          <t>Weak Side Platoon</t>
        </is>
      </c>
      <c r="J1664" s="16" t="inlineStr">
        <is>
          <t>Opening Day</t>
        </is>
      </c>
      <c r="K1664" s="11">
        <f>IFERROR(INDEX(Roles!$B$17:$B$20,MATCH(J1664,Roles!$A$17:$A$20,0)),1)</f>
        <v/>
      </c>
      <c r="L1664" s="17" t="n">
        <v>1</v>
      </c>
      <c r="M1664" s="11" t="n">
        <v>0.8173167732281431</v>
      </c>
      <c r="N1664" s="17" t="n"/>
      <c r="O1664" s="17" t="n"/>
      <c r="P1664" s="17" t="n"/>
      <c r="Q1664" s="17" t="n">
        <v>1</v>
      </c>
      <c r="R1664" s="17" t="n"/>
      <c r="S1664" s="17" t="n"/>
      <c r="T1664" s="17" t="n"/>
      <c r="U1664" s="17" t="n"/>
      <c r="V1664" s="17" t="n"/>
      <c r="W1664" s="17" t="n"/>
      <c r="X1664" s="17" t="n"/>
      <c r="Y1664" s="17" t="n"/>
      <c r="Z1664" s="13">
        <f>SUMPRODUCT(N1664:Y1664,$N$2:$Y$2)*$K1664*$L1664*$M1664</f>
        <v/>
      </c>
      <c r="AA1664" s="14">
        <f>SUM(N1664:Y1664)</f>
        <v/>
      </c>
      <c r="AB1664" s="14">
        <f>IFERROR(IF(UPPER($E1664)="L",SUMPRODUCT(N1664:Y1664,$N$3:$Y$3,$N$2:$Y$2),SUMPRODUCT(N1664:Y1664,$N$4:$Y$4,$N$2:$Y$2))/(Z1664/($K1664*$L1664*$M1664)),"")</f>
        <v/>
      </c>
      <c r="AC1664" s="18" t="n"/>
    </row>
    <row r="1665">
      <c r="A1665" s="9" t="n">
        <v>801523</v>
      </c>
      <c r="B1665" s="9" t="inlineStr">
        <is>
          <t>Chris Suero</t>
        </is>
      </c>
      <c r="C1665" s="9" t="inlineStr">
        <is>
          <t>NYM</t>
        </is>
      </c>
      <c r="D1665" s="9" t="n">
        <v>25</v>
      </c>
      <c r="E1665" s="16" t="inlineStr">
        <is>
          <t>R</t>
        </is>
      </c>
      <c r="F1665" s="16" t="n"/>
      <c r="G1665" s="9" t="n">
        <v>173.3846153846154</v>
      </c>
      <c r="H1665" s="9" t="n">
        <v>173.3846153846154</v>
      </c>
      <c r="I1665" s="9" t="inlineStr">
        <is>
          <t>Depth (no MLB PA)</t>
        </is>
      </c>
      <c r="J1665" s="16" t="inlineStr">
        <is>
          <t>Opening Day</t>
        </is>
      </c>
      <c r="K1665" s="11">
        <f>IFERROR(INDEX(Roles!$B$17:$B$20,MATCH(J1665,Roles!$A$17:$A$20,0)),1)</f>
        <v/>
      </c>
      <c r="L1665" s="17" t="n">
        <v>1</v>
      </c>
      <c r="M1665" s="11" t="n">
        <v>1</v>
      </c>
      <c r="N1665" s="17" t="n"/>
      <c r="O1665" s="17" t="n"/>
      <c r="P1665" s="17" t="n"/>
      <c r="Q1665" s="17" t="n"/>
      <c r="R1665" s="17" t="n"/>
      <c r="S1665" s="17" t="n"/>
      <c r="T1665" s="17" t="n"/>
      <c r="U1665" s="17" t="n"/>
      <c r="V1665" s="17" t="n"/>
      <c r="W1665" s="17" t="n"/>
      <c r="X1665" s="17" t="n"/>
      <c r="Y1665" s="17" t="n">
        <v>1</v>
      </c>
      <c r="Z1665" s="13">
        <f>SUMPRODUCT(N1665:Y1665,$N$2:$Y$2)*$K1665*$L1665*$M1665</f>
        <v/>
      </c>
      <c r="AA1665" s="14">
        <f>SUM(N1665:Y1665)</f>
        <v/>
      </c>
      <c r="AB1665" s="14">
        <f>IFERROR(IF(UPPER($E1665)="L",SUMPRODUCT(N1665:Y1665,$N$3:$Y$3,$N$2:$Y$2),SUMPRODUCT(N1665:Y1665,$N$4:$Y$4,$N$2:$Y$2))/(Z1665/($K1665*$L1665*$M1665)),"")</f>
        <v/>
      </c>
      <c r="AC1665" s="18" t="n"/>
    </row>
    <row r="1666">
      <c r="A1666" s="9" t="n">
        <v>801686</v>
      </c>
      <c r="B1666" s="9" t="inlineStr">
        <is>
          <t>Michael Carico</t>
        </is>
      </c>
      <c r="C1666" s="9" t="inlineStr">
        <is>
          <t>CHC</t>
        </is>
      </c>
      <c r="D1666" s="9" t="n">
        <v>25</v>
      </c>
      <c r="E1666" s="16" t="inlineStr">
        <is>
          <t>L</t>
        </is>
      </c>
      <c r="F1666" s="16" t="n"/>
      <c r="G1666" s="9" t="n">
        <v>20.10256410256411</v>
      </c>
      <c r="H1666" s="9" t="n">
        <v>20.10256410256411</v>
      </c>
      <c r="I1666" s="9" t="inlineStr">
        <is>
          <t>Depth (no MLB PA)</t>
        </is>
      </c>
      <c r="J1666" s="16" t="inlineStr">
        <is>
          <t>Opening Day</t>
        </is>
      </c>
      <c r="K1666" s="11">
        <f>IFERROR(INDEX(Roles!$B$17:$B$20,MATCH(J1666,Roles!$A$17:$A$20,0)),1)</f>
        <v/>
      </c>
      <c r="L1666" s="17" t="n">
        <v>1</v>
      </c>
      <c r="M1666" s="11" t="n">
        <v>1</v>
      </c>
      <c r="N1666" s="17" t="n"/>
      <c r="O1666" s="17" t="n"/>
      <c r="P1666" s="17" t="n"/>
      <c r="Q1666" s="17" t="n"/>
      <c r="R1666" s="17" t="n"/>
      <c r="S1666" s="17" t="n"/>
      <c r="T1666" s="17" t="n"/>
      <c r="U1666" s="17" t="n"/>
      <c r="V1666" s="17" t="n"/>
      <c r="W1666" s="17" t="n"/>
      <c r="X1666" s="17" t="n"/>
      <c r="Y1666" s="17" t="n">
        <v>1</v>
      </c>
      <c r="Z1666" s="13">
        <f>SUMPRODUCT(N1666:Y1666,$N$2:$Y$2)*$K1666*$L1666*$M1666</f>
        <v/>
      </c>
      <c r="AA1666" s="14">
        <f>SUM(N1666:Y1666)</f>
        <v/>
      </c>
      <c r="AB1666" s="14">
        <f>IFERROR(IF(UPPER($E1666)="L",SUMPRODUCT(N1666:Y1666,$N$3:$Y$3,$N$2:$Y$2),SUMPRODUCT(N1666:Y1666,$N$4:$Y$4,$N$2:$Y$2))/(Z1666/($K1666*$L1666*$M1666)),"")</f>
        <v/>
      </c>
      <c r="AC1666" s="18" t="n"/>
    </row>
    <row r="1667">
      <c r="A1667" s="9" t="n">
        <v>700243</v>
      </c>
      <c r="B1667" s="9" t="inlineStr">
        <is>
          <t>Payton Green</t>
        </is>
      </c>
      <c r="C1667" s="9" t="inlineStr">
        <is>
          <t>MIA</t>
        </is>
      </c>
      <c r="D1667" s="9" t="n">
        <v>25</v>
      </c>
      <c r="E1667" s="16" t="inlineStr">
        <is>
          <t>R</t>
        </is>
      </c>
      <c r="F1667" s="16" t="n"/>
      <c r="G1667" s="9" t="n">
        <v>16.35897435897436</v>
      </c>
      <c r="H1667" s="9" t="n">
        <v>16.35897435897436</v>
      </c>
      <c r="I1667" s="9" t="inlineStr">
        <is>
          <t>Depth (no MLB PA)</t>
        </is>
      </c>
      <c r="J1667" s="16" t="inlineStr">
        <is>
          <t>Opening Day</t>
        </is>
      </c>
      <c r="K1667" s="11">
        <f>IFERROR(INDEX(Roles!$B$17:$B$20,MATCH(J1667,Roles!$A$17:$A$20,0)),1)</f>
        <v/>
      </c>
      <c r="L1667" s="17" t="n">
        <v>1</v>
      </c>
      <c r="M1667" s="11" t="n">
        <v>1</v>
      </c>
      <c r="N1667" s="17" t="n"/>
      <c r="O1667" s="17" t="n"/>
      <c r="P1667" s="17" t="n"/>
      <c r="Q1667" s="17" t="n"/>
      <c r="R1667" s="17" t="n"/>
      <c r="S1667" s="17" t="n"/>
      <c r="T1667" s="17" t="n"/>
      <c r="U1667" s="17" t="n"/>
      <c r="V1667" s="17" t="n"/>
      <c r="W1667" s="17" t="n"/>
      <c r="X1667" s="17" t="n"/>
      <c r="Y1667" s="17" t="n">
        <v>1</v>
      </c>
      <c r="Z1667" s="13">
        <f>SUMPRODUCT(N1667:Y1667,$N$2:$Y$2)*$K1667*$L1667*$M1667</f>
        <v/>
      </c>
      <c r="AA1667" s="14">
        <f>SUM(N1667:Y1667)</f>
        <v/>
      </c>
      <c r="AB1667" s="14">
        <f>IFERROR(IF(UPPER($E1667)="L",SUMPRODUCT(N1667:Y1667,$N$3:$Y$3,$N$2:$Y$2),SUMPRODUCT(N1667:Y1667,$N$4:$Y$4,$N$2:$Y$2))/(Z1667/($K1667*$L1667*$M1667)),"")</f>
        <v/>
      </c>
      <c r="AC1667" s="18" t="n"/>
    </row>
    <row r="1668">
      <c r="A1668" s="9" t="n">
        <v>695573</v>
      </c>
      <c r="B1668" s="9" t="inlineStr">
        <is>
          <t>Cole Mathis</t>
        </is>
      </c>
      <c r="C1668" s="9" t="inlineStr">
        <is>
          <t>NYM</t>
        </is>
      </c>
      <c r="D1668" s="9" t="n">
        <v>25</v>
      </c>
      <c r="E1668" s="16" t="inlineStr">
        <is>
          <t>R</t>
        </is>
      </c>
      <c r="F1668" s="16" t="n"/>
      <c r="G1668" s="9" t="n">
        <v>29.33333333333333</v>
      </c>
      <c r="H1668" s="9" t="n">
        <v>29.33333333333333</v>
      </c>
      <c r="I1668" s="9" t="inlineStr">
        <is>
          <t>Depth (no MLB PA)</t>
        </is>
      </c>
      <c r="J1668" s="16" t="inlineStr">
        <is>
          <t>Opening Day</t>
        </is>
      </c>
      <c r="K1668" s="11">
        <f>IFERROR(INDEX(Roles!$B$17:$B$20,MATCH(J1668,Roles!$A$17:$A$20,0)),1)</f>
        <v/>
      </c>
      <c r="L1668" s="17" t="n">
        <v>1</v>
      </c>
      <c r="M1668" s="11" t="n">
        <v>1</v>
      </c>
      <c r="N1668" s="17" t="n"/>
      <c r="O1668" s="17" t="n"/>
      <c r="P1668" s="17" t="n"/>
      <c r="Q1668" s="17" t="n"/>
      <c r="R1668" s="17" t="n"/>
      <c r="S1668" s="17" t="n"/>
      <c r="T1668" s="17" t="n"/>
      <c r="U1668" s="17" t="n"/>
      <c r="V1668" s="17" t="n"/>
      <c r="W1668" s="17" t="n"/>
      <c r="X1668" s="17" t="n"/>
      <c r="Y1668" s="17" t="n">
        <v>1</v>
      </c>
      <c r="Z1668" s="13">
        <f>SUMPRODUCT(N1668:Y1668,$N$2:$Y$2)*$K1668*$L1668*$M1668</f>
        <v/>
      </c>
      <c r="AA1668" s="14">
        <f>SUM(N1668:Y1668)</f>
        <v/>
      </c>
      <c r="AB1668" s="14">
        <f>IFERROR(IF(UPPER($E1668)="L",SUMPRODUCT(N1668:Y1668,$N$3:$Y$3,$N$2:$Y$2),SUMPRODUCT(N1668:Y1668,$N$4:$Y$4,$N$2:$Y$2))/(Z1668/($K1668*$L1668*$M1668)),"")</f>
        <v/>
      </c>
      <c r="AC1668" s="18" t="n"/>
    </row>
    <row r="1669">
      <c r="A1669" s="9" t="n">
        <v>800346</v>
      </c>
      <c r="B1669" s="9" t="inlineStr">
        <is>
          <t>Juanfel Peguero</t>
        </is>
      </c>
      <c r="C1669" s="9" t="inlineStr">
        <is>
          <t>TB</t>
        </is>
      </c>
      <c r="D1669" s="9" t="n">
        <v>25</v>
      </c>
      <c r="E1669" s="16" t="inlineStr">
        <is>
          <t>S</t>
        </is>
      </c>
      <c r="F1669" s="16" t="n"/>
      <c r="G1669" s="9" t="n">
        <v>16.2051282051282</v>
      </c>
      <c r="H1669" s="9" t="n">
        <v>16.2051282051282</v>
      </c>
      <c r="I1669" s="9" t="inlineStr">
        <is>
          <t>Depth (no MLB PA)</t>
        </is>
      </c>
      <c r="J1669" s="16" t="inlineStr">
        <is>
          <t>Opening Day</t>
        </is>
      </c>
      <c r="K1669" s="11">
        <f>IFERROR(INDEX(Roles!$B$17:$B$20,MATCH(J1669,Roles!$A$17:$A$20,0)),1)</f>
        <v/>
      </c>
      <c r="L1669" s="17" t="n">
        <v>1</v>
      </c>
      <c r="M1669" s="11" t="n">
        <v>1</v>
      </c>
      <c r="N1669" s="17" t="n"/>
      <c r="O1669" s="17" t="n"/>
      <c r="P1669" s="17" t="n"/>
      <c r="Q1669" s="17" t="n"/>
      <c r="R1669" s="17" t="n"/>
      <c r="S1669" s="17" t="n"/>
      <c r="T1669" s="17" t="n"/>
      <c r="U1669" s="17" t="n"/>
      <c r="V1669" s="17" t="n"/>
      <c r="W1669" s="17" t="n"/>
      <c r="X1669" s="17" t="n"/>
      <c r="Y1669" s="17" t="n">
        <v>1</v>
      </c>
      <c r="Z1669" s="13">
        <f>SUMPRODUCT(N1669:Y1669,$N$2:$Y$2)*$K1669*$L1669*$M1669</f>
        <v/>
      </c>
      <c r="AA1669" s="14">
        <f>SUM(N1669:Y1669)</f>
        <v/>
      </c>
      <c r="AB1669" s="14">
        <f>IFERROR(IF(UPPER($E1669)="L",SUMPRODUCT(N1669:Y1669,$N$3:$Y$3,$N$2:$Y$2),SUMPRODUCT(N1669:Y1669,$N$4:$Y$4,$N$2:$Y$2))/(Z1669/($K1669*$L1669*$M1669)),"")</f>
        <v/>
      </c>
      <c r="AC1669" s="18" t="n"/>
    </row>
    <row r="1670">
      <c r="A1670" s="9" t="n">
        <v>701699</v>
      </c>
      <c r="B1670" s="9" t="inlineStr">
        <is>
          <t>Bryan Arendt</t>
        </is>
      </c>
      <c r="C1670" s="9" t="inlineStr">
        <is>
          <t>OAK</t>
        </is>
      </c>
      <c r="D1670" s="9" t="n">
        <v>25</v>
      </c>
      <c r="E1670" s="16" t="inlineStr">
        <is>
          <t>R</t>
        </is>
      </c>
      <c r="F1670" s="16" t="n"/>
      <c r="G1670" s="9" t="n">
        <v>25.02564102564103</v>
      </c>
      <c r="H1670" s="9" t="n">
        <v>25.02564102564103</v>
      </c>
      <c r="I1670" s="9" t="inlineStr">
        <is>
          <t>Depth (no MLB PA)</t>
        </is>
      </c>
      <c r="J1670" s="16" t="inlineStr">
        <is>
          <t>Opening Day</t>
        </is>
      </c>
      <c r="K1670" s="11">
        <f>IFERROR(INDEX(Roles!$B$17:$B$20,MATCH(J1670,Roles!$A$17:$A$20,0)),1)</f>
        <v/>
      </c>
      <c r="L1670" s="17" t="n">
        <v>1</v>
      </c>
      <c r="M1670" s="11" t="n">
        <v>1</v>
      </c>
      <c r="N1670" s="17" t="n"/>
      <c r="O1670" s="17" t="n"/>
      <c r="P1670" s="17" t="n"/>
      <c r="Q1670" s="17" t="n"/>
      <c r="R1670" s="17" t="n"/>
      <c r="S1670" s="17" t="n"/>
      <c r="T1670" s="17" t="n"/>
      <c r="U1670" s="17" t="n"/>
      <c r="V1670" s="17" t="n"/>
      <c r="W1670" s="17" t="n"/>
      <c r="X1670" s="17" t="n"/>
      <c r="Y1670" s="17" t="n">
        <v>1</v>
      </c>
      <c r="Z1670" s="13">
        <f>SUMPRODUCT(N1670:Y1670,$N$2:$Y$2)*$K1670*$L1670*$M1670</f>
        <v/>
      </c>
      <c r="AA1670" s="14">
        <f>SUM(N1670:Y1670)</f>
        <v/>
      </c>
      <c r="AB1670" s="14">
        <f>IFERROR(IF(UPPER($E1670)="L",SUMPRODUCT(N1670:Y1670,$N$3:$Y$3,$N$2:$Y$2),SUMPRODUCT(N1670:Y1670,$N$4:$Y$4,$N$2:$Y$2))/(Z1670/($K1670*$L1670*$M1670)),"")</f>
        <v/>
      </c>
      <c r="AC1670" s="18" t="n"/>
    </row>
    <row r="1671">
      <c r="A1671" s="9" t="n">
        <v>805371</v>
      </c>
      <c r="B1671" s="9" t="inlineStr">
        <is>
          <t>Rod Barajas Jr.</t>
        </is>
      </c>
      <c r="C1671" s="9" t="inlineStr">
        <is>
          <t>SF</t>
        </is>
      </c>
      <c r="D1671" s="9" t="n">
        <v>25</v>
      </c>
      <c r="E1671" s="16" t="inlineStr">
        <is>
          <t>L</t>
        </is>
      </c>
      <c r="F1671" s="16" t="n"/>
      <c r="G1671" s="9" t="n">
        <v>46.27692307692308</v>
      </c>
      <c r="H1671" s="9" t="n">
        <v>46.27692307692308</v>
      </c>
      <c r="I1671" s="9" t="inlineStr">
        <is>
          <t>Depth (no MLB PA)</t>
        </is>
      </c>
      <c r="J1671" s="16" t="inlineStr">
        <is>
          <t>Opening Day</t>
        </is>
      </c>
      <c r="K1671" s="11">
        <f>IFERROR(INDEX(Roles!$B$17:$B$20,MATCH(J1671,Roles!$A$17:$A$20,0)),1)</f>
        <v/>
      </c>
      <c r="L1671" s="17" t="n">
        <v>1</v>
      </c>
      <c r="M1671" s="11" t="n">
        <v>1</v>
      </c>
      <c r="N1671" s="17" t="n"/>
      <c r="O1671" s="17" t="n"/>
      <c r="P1671" s="17" t="n"/>
      <c r="Q1671" s="17" t="n"/>
      <c r="R1671" s="17" t="n"/>
      <c r="S1671" s="17" t="n"/>
      <c r="T1671" s="17" t="n"/>
      <c r="U1671" s="17" t="n"/>
      <c r="V1671" s="17" t="n"/>
      <c r="W1671" s="17" t="n"/>
      <c r="X1671" s="17" t="n"/>
      <c r="Y1671" s="17" t="n">
        <v>1</v>
      </c>
      <c r="Z1671" s="13">
        <f>SUMPRODUCT(N1671:Y1671,$N$2:$Y$2)*$K1671*$L1671*$M1671</f>
        <v/>
      </c>
      <c r="AA1671" s="14">
        <f>SUM(N1671:Y1671)</f>
        <v/>
      </c>
      <c r="AB1671" s="14">
        <f>IFERROR(IF(UPPER($E1671)="L",SUMPRODUCT(N1671:Y1671,$N$3:$Y$3,$N$2:$Y$2),SUMPRODUCT(N1671:Y1671,$N$4:$Y$4,$N$2:$Y$2))/(Z1671/($K1671*$L1671*$M1671)),"")</f>
        <v/>
      </c>
      <c r="AC1671" s="18" t="n"/>
    </row>
    <row r="1672">
      <c r="A1672" s="9" t="n">
        <v>825094</v>
      </c>
      <c r="B1672" s="9" t="inlineStr">
        <is>
          <t>Nick Dumesnil</t>
        </is>
      </c>
      <c r="C1672" s="9" t="inlineStr">
        <is>
          <t>DET</t>
        </is>
      </c>
      <c r="D1672" s="9" t="n">
        <v>25</v>
      </c>
      <c r="E1672" s="16" t="inlineStr">
        <is>
          <t>R</t>
        </is>
      </c>
      <c r="F1672" s="16" t="n"/>
      <c r="G1672" s="9" t="n">
        <v>30.15384615384616</v>
      </c>
      <c r="H1672" s="9" t="n">
        <v>30.15384615384616</v>
      </c>
      <c r="I1672" s="9" t="inlineStr">
        <is>
          <t>Depth (no MLB PA)</t>
        </is>
      </c>
      <c r="J1672" s="16" t="inlineStr">
        <is>
          <t>Opening Day</t>
        </is>
      </c>
      <c r="K1672" s="11">
        <f>IFERROR(INDEX(Roles!$B$17:$B$20,MATCH(J1672,Roles!$A$17:$A$20,0)),1)</f>
        <v/>
      </c>
      <c r="L1672" s="17" t="n">
        <v>1</v>
      </c>
      <c r="M1672" s="11" t="n">
        <v>1</v>
      </c>
      <c r="N1672" s="17" t="n"/>
      <c r="O1672" s="17" t="n"/>
      <c r="P1672" s="17" t="n"/>
      <c r="Q1672" s="17" t="n"/>
      <c r="R1672" s="17" t="n"/>
      <c r="S1672" s="17" t="n"/>
      <c r="T1672" s="17" t="n"/>
      <c r="U1672" s="17" t="n"/>
      <c r="V1672" s="17" t="n"/>
      <c r="W1672" s="17" t="n"/>
      <c r="X1672" s="17" t="n"/>
      <c r="Y1672" s="17" t="n">
        <v>1</v>
      </c>
      <c r="Z1672" s="13">
        <f>SUMPRODUCT(N1672:Y1672,$N$2:$Y$2)*$K1672*$L1672*$M1672</f>
        <v/>
      </c>
      <c r="AA1672" s="14">
        <f>SUM(N1672:Y1672)</f>
        <v/>
      </c>
      <c r="AB1672" s="14">
        <f>IFERROR(IF(UPPER($E1672)="L",SUMPRODUCT(N1672:Y1672,$N$3:$Y$3,$N$2:$Y$2),SUMPRODUCT(N1672:Y1672,$N$4:$Y$4,$N$2:$Y$2))/(Z1672/($K1672*$L1672*$M1672)),"")</f>
        <v/>
      </c>
      <c r="AC1672" s="18" t="n"/>
    </row>
    <row r="1673">
      <c r="A1673" s="9" t="n">
        <v>820986</v>
      </c>
      <c r="B1673" s="9" t="inlineStr">
        <is>
          <t>Hayden Alvarez</t>
        </is>
      </c>
      <c r="C1673" s="9" t="inlineStr">
        <is>
          <t>LAA</t>
        </is>
      </c>
      <c r="D1673" s="9" t="n">
        <v>20</v>
      </c>
      <c r="E1673" s="16" t="inlineStr">
        <is>
          <t>R</t>
        </is>
      </c>
      <c r="F1673" s="16" t="n"/>
      <c r="G1673" s="9" t="n">
        <v>21.33333333333334</v>
      </c>
      <c r="H1673" s="9" t="n">
        <v>21.33333333333334</v>
      </c>
      <c r="I1673" s="9" t="inlineStr">
        <is>
          <t>Depth (no MLB PA)</t>
        </is>
      </c>
      <c r="J1673" s="16" t="inlineStr">
        <is>
          <t>Opening Day</t>
        </is>
      </c>
      <c r="K1673" s="11">
        <f>IFERROR(INDEX(Roles!$B$17:$B$20,MATCH(J1673,Roles!$A$17:$A$20,0)),1)</f>
        <v/>
      </c>
      <c r="L1673" s="17" t="n">
        <v>1</v>
      </c>
      <c r="M1673" s="11" t="n">
        <v>1</v>
      </c>
      <c r="N1673" s="17" t="n"/>
      <c r="O1673" s="17" t="n"/>
      <c r="P1673" s="17" t="n"/>
      <c r="Q1673" s="17" t="n"/>
      <c r="R1673" s="17" t="n"/>
      <c r="S1673" s="17" t="n"/>
      <c r="T1673" s="17" t="n"/>
      <c r="U1673" s="17" t="n"/>
      <c r="V1673" s="17" t="n"/>
      <c r="W1673" s="17" t="n"/>
      <c r="X1673" s="17" t="n"/>
      <c r="Y1673" s="17" t="n">
        <v>1</v>
      </c>
      <c r="Z1673" s="13">
        <f>SUMPRODUCT(N1673:Y1673,$N$2:$Y$2)*$K1673*$L1673*$M1673</f>
        <v/>
      </c>
      <c r="AA1673" s="14">
        <f>SUM(N1673:Y1673)</f>
        <v/>
      </c>
      <c r="AB1673" s="14">
        <f>IFERROR(IF(UPPER($E1673)="L",SUMPRODUCT(N1673:Y1673,$N$3:$Y$3,$N$2:$Y$2),SUMPRODUCT(N1673:Y1673,$N$4:$Y$4,$N$2:$Y$2))/(Z1673/($K1673*$L1673*$M1673)),"")</f>
        <v/>
      </c>
      <c r="AC1673" s="18" t="n"/>
    </row>
    <row r="1674">
      <c r="A1674" s="9" t="n">
        <v>829052</v>
      </c>
      <c r="B1674" s="9" t="inlineStr">
        <is>
          <t>Breyson Guedez</t>
        </is>
      </c>
      <c r="C1674" s="9" t="inlineStr">
        <is>
          <t>OAK</t>
        </is>
      </c>
      <c r="D1674" s="9" t="n">
        <v>20</v>
      </c>
      <c r="E1674" s="16" t="inlineStr">
        <is>
          <t>L</t>
        </is>
      </c>
      <c r="F1674" s="16" t="n"/>
      <c r="G1674" s="9" t="n">
        <v>26.05128205128205</v>
      </c>
      <c r="H1674" s="9" t="n">
        <v>26.05128205128205</v>
      </c>
      <c r="I1674" s="9" t="inlineStr">
        <is>
          <t>Depth (no MLB PA)</t>
        </is>
      </c>
      <c r="J1674" s="16" t="inlineStr">
        <is>
          <t>Opening Day</t>
        </is>
      </c>
      <c r="K1674" s="11">
        <f>IFERROR(INDEX(Roles!$B$17:$B$20,MATCH(J1674,Roles!$A$17:$A$20,0)),1)</f>
        <v/>
      </c>
      <c r="L1674" s="17" t="n">
        <v>1</v>
      </c>
      <c r="M1674" s="11" t="n">
        <v>1</v>
      </c>
      <c r="N1674" s="17" t="n"/>
      <c r="O1674" s="17" t="n"/>
      <c r="P1674" s="17" t="n"/>
      <c r="Q1674" s="17" t="n"/>
      <c r="R1674" s="17" t="n"/>
      <c r="S1674" s="17" t="n"/>
      <c r="T1674" s="17" t="n"/>
      <c r="U1674" s="17" t="n"/>
      <c r="V1674" s="17" t="n"/>
      <c r="W1674" s="17" t="n"/>
      <c r="X1674" s="17" t="n"/>
      <c r="Y1674" s="17" t="n">
        <v>1</v>
      </c>
      <c r="Z1674" s="13">
        <f>SUMPRODUCT(N1674:Y1674,$N$2:$Y$2)*$K1674*$L1674*$M1674</f>
        <v/>
      </c>
      <c r="AA1674" s="14">
        <f>SUM(N1674:Y1674)</f>
        <v/>
      </c>
      <c r="AB1674" s="14">
        <f>IFERROR(IF(UPPER($E1674)="L",SUMPRODUCT(N1674:Y1674,$N$3:$Y$3,$N$2:$Y$2),SUMPRODUCT(N1674:Y1674,$N$4:$Y$4,$N$2:$Y$2))/(Z1674/($K1674*$L1674*$M1674)),"")</f>
        <v/>
      </c>
      <c r="AC1674" s="18" t="n"/>
    </row>
    <row r="1675">
      <c r="A1675" s="9" t="n">
        <v>691907</v>
      </c>
      <c r="B1675" s="9" t="inlineStr">
        <is>
          <t>Tsung-Che Cheng</t>
        </is>
      </c>
      <c r="C1675" s="9" t="inlineStr">
        <is>
          <t>BOS</t>
        </is>
      </c>
      <c r="D1675" s="9" t="n">
        <v>25</v>
      </c>
      <c r="E1675" s="16" t="inlineStr">
        <is>
          <t>L</t>
        </is>
      </c>
      <c r="F1675" s="16" t="inlineStr">
        <is>
          <t>SS</t>
        </is>
      </c>
      <c r="G1675" s="9" t="n">
        <v>44</v>
      </c>
      <c r="H1675" s="9" t="n">
        <v>51</v>
      </c>
      <c r="I1675" s="9" t="inlineStr">
        <is>
          <t>Bench Bat</t>
        </is>
      </c>
      <c r="J1675" s="16" t="inlineStr">
        <is>
          <t>Opening Day</t>
        </is>
      </c>
      <c r="K1675" s="11">
        <f>IFERROR(INDEX(Roles!$B$17:$B$20,MATCH(J1675,Roles!$A$17:$A$20,0)),1)</f>
        <v/>
      </c>
      <c r="L1675" s="17" t="n">
        <v>1</v>
      </c>
      <c r="M1675" s="11" t="n">
        <v>1</v>
      </c>
      <c r="N1675" s="17" t="n"/>
      <c r="O1675" s="17" t="n"/>
      <c r="P1675" s="17" t="n"/>
      <c r="Q1675" s="17" t="n"/>
      <c r="R1675" s="17" t="n"/>
      <c r="S1675" s="17" t="n"/>
      <c r="T1675" s="17" t="n"/>
      <c r="U1675" s="17" t="n"/>
      <c r="V1675" s="17" t="n"/>
      <c r="W1675" s="17" t="n">
        <v>1</v>
      </c>
      <c r="X1675" s="17" t="n"/>
      <c r="Y1675" s="17" t="n"/>
      <c r="Z1675" s="13">
        <f>SUMPRODUCT(N1675:Y1675,$N$2:$Y$2)*$K1675*$L1675*$M1675</f>
        <v/>
      </c>
      <c r="AA1675" s="14">
        <f>SUM(N1675:Y1675)</f>
        <v/>
      </c>
      <c r="AB1675" s="14">
        <f>IFERROR(IF(UPPER($E1675)="L",SUMPRODUCT(N1675:Y1675,$N$3:$Y$3,$N$2:$Y$2),SUMPRODUCT(N1675:Y1675,$N$4:$Y$4,$N$2:$Y$2))/(Z1675/($K1675*$L1675*$M1675)),"")</f>
        <v/>
      </c>
      <c r="AC1675" s="18" t="n"/>
    </row>
    <row r="1676">
      <c r="A1676" s="9" t="n">
        <v>692374</v>
      </c>
      <c r="B1676" s="9" t="inlineStr">
        <is>
          <t>Jose Ramos</t>
        </is>
      </c>
      <c r="C1676" s="9" t="inlineStr">
        <is>
          <t>SF</t>
        </is>
      </c>
      <c r="D1676" s="9" t="n">
        <v>25</v>
      </c>
      <c r="E1676" s="16" t="inlineStr">
        <is>
          <t>R</t>
        </is>
      </c>
      <c r="F1676" s="16" t="n"/>
      <c r="G1676" s="9" t="n">
        <v>25.43589743589744</v>
      </c>
      <c r="H1676" s="9" t="n">
        <v>25.43589743589744</v>
      </c>
      <c r="I1676" s="9" t="inlineStr">
        <is>
          <t>Depth (no MLB PA)</t>
        </is>
      </c>
      <c r="J1676" s="16" t="inlineStr">
        <is>
          <t>Opening Day</t>
        </is>
      </c>
      <c r="K1676" s="11">
        <f>IFERROR(INDEX(Roles!$B$17:$B$20,MATCH(J1676,Roles!$A$17:$A$20,0)),1)</f>
        <v/>
      </c>
      <c r="L1676" s="17" t="n">
        <v>1</v>
      </c>
      <c r="M1676" s="11" t="n">
        <v>1</v>
      </c>
      <c r="N1676" s="17" t="n"/>
      <c r="O1676" s="17" t="n"/>
      <c r="P1676" s="17" t="n"/>
      <c r="Q1676" s="17" t="n"/>
      <c r="R1676" s="17" t="n"/>
      <c r="S1676" s="17" t="n"/>
      <c r="T1676" s="17" t="n"/>
      <c r="U1676" s="17" t="n"/>
      <c r="V1676" s="17" t="n"/>
      <c r="W1676" s="17" t="n"/>
      <c r="X1676" s="17" t="n"/>
      <c r="Y1676" s="17" t="n">
        <v>1</v>
      </c>
      <c r="Z1676" s="13">
        <f>SUMPRODUCT(N1676:Y1676,$N$2:$Y$2)*$K1676*$L1676*$M1676</f>
        <v/>
      </c>
      <c r="AA1676" s="14">
        <f>SUM(N1676:Y1676)</f>
        <v/>
      </c>
      <c r="AB1676" s="14">
        <f>IFERROR(IF(UPPER($E1676)="L",SUMPRODUCT(N1676:Y1676,$N$3:$Y$3,$N$2:$Y$2),SUMPRODUCT(N1676:Y1676,$N$4:$Y$4,$N$2:$Y$2))/(Z1676/($K1676*$L1676*$M1676)),"")</f>
        <v/>
      </c>
      <c r="AC1676" s="18" t="n"/>
    </row>
    <row r="1677">
      <c r="A1677" s="9" t="n">
        <v>680846</v>
      </c>
      <c r="B1677" s="9" t="inlineStr">
        <is>
          <t>Pablo Aliendo</t>
        </is>
      </c>
      <c r="C1677" s="9" t="inlineStr">
        <is>
          <t>CIN</t>
        </is>
      </c>
      <c r="D1677" s="9" t="n">
        <v>25</v>
      </c>
      <c r="E1677" s="16" t="inlineStr">
        <is>
          <t>R</t>
        </is>
      </c>
      <c r="F1677" s="16" t="n"/>
      <c r="G1677" s="9" t="n">
        <v>50.97435897435897</v>
      </c>
      <c r="H1677" s="9" t="n">
        <v>50.97435897435897</v>
      </c>
      <c r="I1677" s="9" t="inlineStr">
        <is>
          <t>Depth (no MLB PA)</t>
        </is>
      </c>
      <c r="J1677" s="16" t="inlineStr">
        <is>
          <t>Opening Day</t>
        </is>
      </c>
      <c r="K1677" s="11">
        <f>IFERROR(INDEX(Roles!$B$17:$B$20,MATCH(J1677,Roles!$A$17:$A$20,0)),1)</f>
        <v/>
      </c>
      <c r="L1677" s="17" t="n">
        <v>1</v>
      </c>
      <c r="M1677" s="11" t="n">
        <v>1</v>
      </c>
      <c r="N1677" s="17" t="n"/>
      <c r="O1677" s="17" t="n"/>
      <c r="P1677" s="17" t="n"/>
      <c r="Q1677" s="17" t="n"/>
      <c r="R1677" s="17" t="n"/>
      <c r="S1677" s="17" t="n"/>
      <c r="T1677" s="17" t="n"/>
      <c r="U1677" s="17" t="n"/>
      <c r="V1677" s="17" t="n"/>
      <c r="W1677" s="17" t="n"/>
      <c r="X1677" s="17" t="n"/>
      <c r="Y1677" s="17" t="n">
        <v>1</v>
      </c>
      <c r="Z1677" s="13">
        <f>SUMPRODUCT(N1677:Y1677,$N$2:$Y$2)*$K1677*$L1677*$M1677</f>
        <v/>
      </c>
      <c r="AA1677" s="14">
        <f>SUM(N1677:Y1677)</f>
        <v/>
      </c>
      <c r="AB1677" s="14">
        <f>IFERROR(IF(UPPER($E1677)="L",SUMPRODUCT(N1677:Y1677,$N$3:$Y$3,$N$2:$Y$2),SUMPRODUCT(N1677:Y1677,$N$4:$Y$4,$N$2:$Y$2))/(Z1677/($K1677*$L1677*$M1677)),"")</f>
        <v/>
      </c>
      <c r="AC1677" s="18" t="n"/>
    </row>
    <row r="1678">
      <c r="A1678" s="9" t="n">
        <v>641521</v>
      </c>
      <c r="B1678" s="9" t="inlineStr">
        <is>
          <t>Edwin Díaz</t>
        </is>
      </c>
      <c r="C1678" s="9" t="inlineStr">
        <is>
          <t>HOU</t>
        </is>
      </c>
      <c r="D1678" s="9" t="n">
        <v>25</v>
      </c>
      <c r="E1678" s="16" t="inlineStr">
        <is>
          <t>R</t>
        </is>
      </c>
      <c r="F1678" s="16" t="n"/>
      <c r="G1678" s="9" t="n">
        <v>46.82051282051282</v>
      </c>
      <c r="H1678" s="9" t="n">
        <v>46.82051282051282</v>
      </c>
      <c r="I1678" s="9" t="inlineStr">
        <is>
          <t>Depth (no MLB PA)</t>
        </is>
      </c>
      <c r="J1678" s="16" t="inlineStr">
        <is>
          <t>Opening Day</t>
        </is>
      </c>
      <c r="K1678" s="11">
        <f>IFERROR(INDEX(Roles!$B$17:$B$20,MATCH(J1678,Roles!$A$17:$A$20,0)),1)</f>
        <v/>
      </c>
      <c r="L1678" s="17" t="n">
        <v>1</v>
      </c>
      <c r="M1678" s="11" t="n">
        <v>1</v>
      </c>
      <c r="N1678" s="17" t="n"/>
      <c r="O1678" s="17" t="n"/>
      <c r="P1678" s="17" t="n"/>
      <c r="Q1678" s="17" t="n"/>
      <c r="R1678" s="17" t="n"/>
      <c r="S1678" s="17" t="n"/>
      <c r="T1678" s="17" t="n"/>
      <c r="U1678" s="17" t="n"/>
      <c r="V1678" s="17" t="n"/>
      <c r="W1678" s="17" t="n"/>
      <c r="X1678" s="17" t="n"/>
      <c r="Y1678" s="17" t="n">
        <v>1</v>
      </c>
      <c r="Z1678" s="13">
        <f>SUMPRODUCT(N1678:Y1678,$N$2:$Y$2)*$K1678*$L1678*$M1678</f>
        <v/>
      </c>
      <c r="AA1678" s="14">
        <f>SUM(N1678:Y1678)</f>
        <v/>
      </c>
      <c r="AB1678" s="14">
        <f>IFERROR(IF(UPPER($E1678)="L",SUMPRODUCT(N1678:Y1678,$N$3:$Y$3,$N$2:$Y$2),SUMPRODUCT(N1678:Y1678,$N$4:$Y$4,$N$2:$Y$2))/(Z1678/($K1678*$L1678*$M1678)),"")</f>
        <v/>
      </c>
      <c r="AC1678" s="18" t="n"/>
    </row>
    <row r="1679">
      <c r="A1679" s="9" t="n">
        <v>701546</v>
      </c>
      <c r="B1679" s="9" t="inlineStr">
        <is>
          <t>Duce Gourson</t>
        </is>
      </c>
      <c r="C1679" s="9" t="inlineStr">
        <is>
          <t>PIT</t>
        </is>
      </c>
      <c r="D1679" s="9" t="n">
        <v>25</v>
      </c>
      <c r="E1679" s="16" t="inlineStr">
        <is>
          <t>L</t>
        </is>
      </c>
      <c r="F1679" s="16" t="n"/>
      <c r="G1679" s="9" t="n">
        <v>112.2564102564103</v>
      </c>
      <c r="H1679" s="9" t="n">
        <v>112.2564102564103</v>
      </c>
      <c r="I1679" s="9" t="inlineStr">
        <is>
          <t>Depth (no MLB PA)</t>
        </is>
      </c>
      <c r="J1679" s="16" t="inlineStr">
        <is>
          <t>Opening Day</t>
        </is>
      </c>
      <c r="K1679" s="11">
        <f>IFERROR(INDEX(Roles!$B$17:$B$20,MATCH(J1679,Roles!$A$17:$A$20,0)),1)</f>
        <v/>
      </c>
      <c r="L1679" s="17" t="n">
        <v>1</v>
      </c>
      <c r="M1679" s="11" t="n">
        <v>1</v>
      </c>
      <c r="N1679" s="17" t="n"/>
      <c r="O1679" s="17" t="n"/>
      <c r="P1679" s="17" t="n"/>
      <c r="Q1679" s="17" t="n"/>
      <c r="R1679" s="17" t="n"/>
      <c r="S1679" s="17" t="n"/>
      <c r="T1679" s="17" t="n"/>
      <c r="U1679" s="17" t="n"/>
      <c r="V1679" s="17" t="n"/>
      <c r="W1679" s="17" t="n"/>
      <c r="X1679" s="17" t="n"/>
      <c r="Y1679" s="17" t="n">
        <v>1</v>
      </c>
      <c r="Z1679" s="13">
        <f>SUMPRODUCT(N1679:Y1679,$N$2:$Y$2)*$K1679*$L1679*$M1679</f>
        <v/>
      </c>
      <c r="AA1679" s="14">
        <f>SUM(N1679:Y1679)</f>
        <v/>
      </c>
      <c r="AB1679" s="14">
        <f>IFERROR(IF(UPPER($E1679)="L",SUMPRODUCT(N1679:Y1679,$N$3:$Y$3,$N$2:$Y$2),SUMPRODUCT(N1679:Y1679,$N$4:$Y$4,$N$2:$Y$2))/(Z1679/($K1679*$L1679*$M1679)),"")</f>
        <v/>
      </c>
      <c r="AC1679" s="18" t="n"/>
    </row>
    <row r="1680">
      <c r="A1680" s="9" t="n">
        <v>806869</v>
      </c>
      <c r="B1680" s="9" t="inlineStr">
        <is>
          <t>Pedro Catuy</t>
        </is>
      </c>
      <c r="C1680" s="9" t="inlineStr">
        <is>
          <t>ARI</t>
        </is>
      </c>
      <c r="D1680" s="9" t="n">
        <v>25</v>
      </c>
      <c r="E1680" s="16" t="inlineStr">
        <is>
          <t>R</t>
        </is>
      </c>
      <c r="F1680" s="16" t="n"/>
      <c r="G1680" s="9" t="n">
        <v>34.46153846153846</v>
      </c>
      <c r="H1680" s="9" t="n">
        <v>34.46153846153846</v>
      </c>
      <c r="I1680" s="9" t="inlineStr">
        <is>
          <t>Depth (no MLB PA)</t>
        </is>
      </c>
      <c r="J1680" s="16" t="inlineStr">
        <is>
          <t>Opening Day</t>
        </is>
      </c>
      <c r="K1680" s="11">
        <f>IFERROR(INDEX(Roles!$B$17:$B$20,MATCH(J1680,Roles!$A$17:$A$20,0)),1)</f>
        <v/>
      </c>
      <c r="L1680" s="17" t="n">
        <v>1</v>
      </c>
      <c r="M1680" s="11" t="n">
        <v>1</v>
      </c>
      <c r="N1680" s="17" t="n"/>
      <c r="O1680" s="17" t="n"/>
      <c r="P1680" s="17" t="n"/>
      <c r="Q1680" s="17" t="n"/>
      <c r="R1680" s="17" t="n"/>
      <c r="S1680" s="17" t="n"/>
      <c r="T1680" s="17" t="n"/>
      <c r="U1680" s="17" t="n"/>
      <c r="V1680" s="17" t="n"/>
      <c r="W1680" s="17" t="n"/>
      <c r="X1680" s="17" t="n"/>
      <c r="Y1680" s="17" t="n">
        <v>1</v>
      </c>
      <c r="Z1680" s="13">
        <f>SUMPRODUCT(N1680:Y1680,$N$2:$Y$2)*$K1680*$L1680*$M1680</f>
        <v/>
      </c>
      <c r="AA1680" s="14">
        <f>SUM(N1680:Y1680)</f>
        <v/>
      </c>
      <c r="AB1680" s="14">
        <f>IFERROR(IF(UPPER($E1680)="L",SUMPRODUCT(N1680:Y1680,$N$3:$Y$3,$N$2:$Y$2),SUMPRODUCT(N1680:Y1680,$N$4:$Y$4,$N$2:$Y$2))/(Z1680/($K1680*$L1680*$M1680)),"")</f>
        <v/>
      </c>
      <c r="AC1680" s="18" t="n"/>
    </row>
    <row r="1681">
      <c r="A1681" s="9" t="n">
        <v>815793</v>
      </c>
      <c r="B1681" s="9" t="inlineStr">
        <is>
          <t>Carter Johnson</t>
        </is>
      </c>
      <c r="C1681" s="9" t="inlineStr">
        <is>
          <t>MIA</t>
        </is>
      </c>
      <c r="D1681" s="9" t="n">
        <v>25</v>
      </c>
      <c r="E1681" s="16" t="inlineStr">
        <is>
          <t>L</t>
        </is>
      </c>
      <c r="F1681" s="16" t="n"/>
      <c r="G1681" s="9" t="n">
        <v>43.07692307692308</v>
      </c>
      <c r="H1681" s="9" t="n">
        <v>43.07692307692308</v>
      </c>
      <c r="I1681" s="9" t="inlineStr">
        <is>
          <t>Depth (no MLB PA)</t>
        </is>
      </c>
      <c r="J1681" s="16" t="inlineStr">
        <is>
          <t>Opening Day</t>
        </is>
      </c>
      <c r="K1681" s="11">
        <f>IFERROR(INDEX(Roles!$B$17:$B$20,MATCH(J1681,Roles!$A$17:$A$20,0)),1)</f>
        <v/>
      </c>
      <c r="L1681" s="17" t="n">
        <v>1</v>
      </c>
      <c r="M1681" s="11" t="n">
        <v>1</v>
      </c>
      <c r="N1681" s="17" t="n"/>
      <c r="O1681" s="17" t="n"/>
      <c r="P1681" s="17" t="n"/>
      <c r="Q1681" s="17" t="n"/>
      <c r="R1681" s="17" t="n"/>
      <c r="S1681" s="17" t="n"/>
      <c r="T1681" s="17" t="n"/>
      <c r="U1681" s="17" t="n"/>
      <c r="V1681" s="17" t="n"/>
      <c r="W1681" s="17" t="n"/>
      <c r="X1681" s="17" t="n"/>
      <c r="Y1681" s="17" t="n">
        <v>1</v>
      </c>
      <c r="Z1681" s="13">
        <f>SUMPRODUCT(N1681:Y1681,$N$2:$Y$2)*$K1681*$L1681*$M1681</f>
        <v/>
      </c>
      <c r="AA1681" s="14">
        <f>SUM(N1681:Y1681)</f>
        <v/>
      </c>
      <c r="AB1681" s="14">
        <f>IFERROR(IF(UPPER($E1681)="L",SUMPRODUCT(N1681:Y1681,$N$3:$Y$3,$N$2:$Y$2),SUMPRODUCT(N1681:Y1681,$N$4:$Y$4,$N$2:$Y$2))/(Z1681/($K1681*$L1681*$M1681)),"")</f>
        <v/>
      </c>
      <c r="AC1681" s="18" t="n"/>
    </row>
    <row r="1682">
      <c r="A1682" s="9" t="n">
        <v>836052</v>
      </c>
      <c r="B1682" s="9" t="inlineStr">
        <is>
          <t>Conner O'Neal</t>
        </is>
      </c>
      <c r="C1682" s="9" t="inlineStr">
        <is>
          <t>LAD</t>
        </is>
      </c>
      <c r="D1682" s="9" t="n">
        <v>25</v>
      </c>
      <c r="E1682" s="16" t="inlineStr">
        <is>
          <t>L</t>
        </is>
      </c>
      <c r="F1682" s="16" t="n"/>
      <c r="G1682" s="9" t="n">
        <v>35.93846153846154</v>
      </c>
      <c r="H1682" s="9" t="n">
        <v>35.93846153846154</v>
      </c>
      <c r="I1682" s="9" t="inlineStr">
        <is>
          <t>Depth (no MLB PA)</t>
        </is>
      </c>
      <c r="J1682" s="16" t="inlineStr">
        <is>
          <t>Opening Day</t>
        </is>
      </c>
      <c r="K1682" s="11">
        <f>IFERROR(INDEX(Roles!$B$17:$B$20,MATCH(J1682,Roles!$A$17:$A$20,0)),1)</f>
        <v/>
      </c>
      <c r="L1682" s="17" t="n">
        <v>1</v>
      </c>
      <c r="M1682" s="11" t="n">
        <v>1</v>
      </c>
      <c r="N1682" s="17" t="n"/>
      <c r="O1682" s="17" t="n"/>
      <c r="P1682" s="17" t="n"/>
      <c r="Q1682" s="17" t="n"/>
      <c r="R1682" s="17" t="n"/>
      <c r="S1682" s="17" t="n"/>
      <c r="T1682" s="17" t="n"/>
      <c r="U1682" s="17" t="n"/>
      <c r="V1682" s="17" t="n"/>
      <c r="W1682" s="17" t="n"/>
      <c r="X1682" s="17" t="n"/>
      <c r="Y1682" s="17" t="n">
        <v>1</v>
      </c>
      <c r="Z1682" s="13">
        <f>SUMPRODUCT(N1682:Y1682,$N$2:$Y$2)*$K1682*$L1682*$M1682</f>
        <v/>
      </c>
      <c r="AA1682" s="14">
        <f>SUM(N1682:Y1682)</f>
        <v/>
      </c>
      <c r="AB1682" s="14">
        <f>IFERROR(IF(UPPER($E1682)="L",SUMPRODUCT(N1682:Y1682,$N$3:$Y$3,$N$2:$Y$2),SUMPRODUCT(N1682:Y1682,$N$4:$Y$4,$N$2:$Y$2))/(Z1682/($K1682*$L1682*$M1682)),"")</f>
        <v/>
      </c>
      <c r="AC1682" s="18" t="n"/>
    </row>
    <row r="1683">
      <c r="A1683" s="9" t="n">
        <v>689688</v>
      </c>
      <c r="B1683" s="9" t="inlineStr">
        <is>
          <t>Ethan Workinger</t>
        </is>
      </c>
      <c r="C1683" s="9" t="inlineStr">
        <is>
          <t>ATL</t>
        </is>
      </c>
      <c r="D1683" s="9" t="n">
        <v>25</v>
      </c>
      <c r="E1683" s="16" t="inlineStr">
        <is>
          <t>R</t>
        </is>
      </c>
      <c r="F1683" s="16" t="n"/>
      <c r="G1683" s="9" t="n">
        <v>52.41025641025641</v>
      </c>
      <c r="H1683" s="9" t="n">
        <v>52.41025641025641</v>
      </c>
      <c r="I1683" s="9" t="inlineStr">
        <is>
          <t>Depth (no MLB PA)</t>
        </is>
      </c>
      <c r="J1683" s="16" t="inlineStr">
        <is>
          <t>Opening Day</t>
        </is>
      </c>
      <c r="K1683" s="11">
        <f>IFERROR(INDEX(Roles!$B$17:$B$20,MATCH(J1683,Roles!$A$17:$A$20,0)),1)</f>
        <v/>
      </c>
      <c r="L1683" s="17" t="n">
        <v>1</v>
      </c>
      <c r="M1683" s="11" t="n">
        <v>1</v>
      </c>
      <c r="N1683" s="17" t="n"/>
      <c r="O1683" s="17" t="n"/>
      <c r="P1683" s="17" t="n"/>
      <c r="Q1683" s="17" t="n"/>
      <c r="R1683" s="17" t="n"/>
      <c r="S1683" s="17" t="n"/>
      <c r="T1683" s="17" t="n"/>
      <c r="U1683" s="17" t="n"/>
      <c r="V1683" s="17" t="n"/>
      <c r="W1683" s="17" t="n"/>
      <c r="X1683" s="17" t="n"/>
      <c r="Y1683" s="17" t="n">
        <v>1</v>
      </c>
      <c r="Z1683" s="13">
        <f>SUMPRODUCT(N1683:Y1683,$N$2:$Y$2)*$K1683*$L1683*$M1683</f>
        <v/>
      </c>
      <c r="AA1683" s="14">
        <f>SUM(N1683:Y1683)</f>
        <v/>
      </c>
      <c r="AB1683" s="14">
        <f>IFERROR(IF(UPPER($E1683)="L",SUMPRODUCT(N1683:Y1683,$N$3:$Y$3,$N$2:$Y$2),SUMPRODUCT(N1683:Y1683,$N$4:$Y$4,$N$2:$Y$2))/(Z1683/($K1683*$L1683*$M1683)),"")</f>
        <v/>
      </c>
      <c r="AC1683" s="18" t="n"/>
    </row>
    <row r="1684">
      <c r="A1684" s="9" t="n">
        <v>686683</v>
      </c>
      <c r="B1684" s="9" t="inlineStr">
        <is>
          <t>Tevin Tucker</t>
        </is>
      </c>
      <c r="C1684" s="9" t="inlineStr">
        <is>
          <t>COL</t>
        </is>
      </c>
      <c r="D1684" s="9" t="n">
        <v>25</v>
      </c>
      <c r="E1684" s="16" t="inlineStr">
        <is>
          <t>R</t>
        </is>
      </c>
      <c r="F1684" s="16" t="n"/>
      <c r="G1684" s="9" t="n">
        <v>16.35897435897436</v>
      </c>
      <c r="H1684" s="9" t="n">
        <v>16.35897435897436</v>
      </c>
      <c r="I1684" s="9" t="inlineStr">
        <is>
          <t>Depth (no MLB PA)</t>
        </is>
      </c>
      <c r="J1684" s="16" t="inlineStr">
        <is>
          <t>Opening Day</t>
        </is>
      </c>
      <c r="K1684" s="11">
        <f>IFERROR(INDEX(Roles!$B$17:$B$20,MATCH(J1684,Roles!$A$17:$A$20,0)),1)</f>
        <v/>
      </c>
      <c r="L1684" s="17" t="n">
        <v>1</v>
      </c>
      <c r="M1684" s="11" t="n">
        <v>1</v>
      </c>
      <c r="N1684" s="17" t="n"/>
      <c r="O1684" s="17" t="n"/>
      <c r="P1684" s="17" t="n"/>
      <c r="Q1684" s="17" t="n"/>
      <c r="R1684" s="17" t="n"/>
      <c r="S1684" s="17" t="n"/>
      <c r="T1684" s="17" t="n"/>
      <c r="U1684" s="17" t="n"/>
      <c r="V1684" s="17" t="n"/>
      <c r="W1684" s="17" t="n"/>
      <c r="X1684" s="17" t="n"/>
      <c r="Y1684" s="17" t="n">
        <v>1</v>
      </c>
      <c r="Z1684" s="13">
        <f>SUMPRODUCT(N1684:Y1684,$N$2:$Y$2)*$K1684*$L1684*$M1684</f>
        <v/>
      </c>
      <c r="AA1684" s="14">
        <f>SUM(N1684:Y1684)</f>
        <v/>
      </c>
      <c r="AB1684" s="14">
        <f>IFERROR(IF(UPPER($E1684)="L",SUMPRODUCT(N1684:Y1684,$N$3:$Y$3,$N$2:$Y$2),SUMPRODUCT(N1684:Y1684,$N$4:$Y$4,$N$2:$Y$2))/(Z1684/($K1684*$L1684*$M1684)),"")</f>
        <v/>
      </c>
      <c r="AC1684" s="18" t="n"/>
    </row>
    <row r="1685">
      <c r="A1685" s="9" t="n">
        <v>808564</v>
      </c>
      <c r="B1685" s="9" t="inlineStr">
        <is>
          <t>Scott Mudler</t>
        </is>
      </c>
      <c r="C1685" s="9" t="inlineStr">
        <is>
          <t>PHI</t>
        </is>
      </c>
      <c r="D1685" s="9" t="n">
        <v>25</v>
      </c>
      <c r="E1685" s="16" t="inlineStr">
        <is>
          <t>L</t>
        </is>
      </c>
      <c r="F1685" s="16" t="n"/>
      <c r="G1685" s="9" t="n">
        <v>17.02564102564103</v>
      </c>
      <c r="H1685" s="9" t="n">
        <v>17.02564102564103</v>
      </c>
      <c r="I1685" s="9" t="inlineStr">
        <is>
          <t>Depth (no MLB PA)</t>
        </is>
      </c>
      <c r="J1685" s="16" t="inlineStr">
        <is>
          <t>Opening Day</t>
        </is>
      </c>
      <c r="K1685" s="11">
        <f>IFERROR(INDEX(Roles!$B$17:$B$20,MATCH(J1685,Roles!$A$17:$A$20,0)),1)</f>
        <v/>
      </c>
      <c r="L1685" s="17" t="n">
        <v>1</v>
      </c>
      <c r="M1685" s="11" t="n">
        <v>1</v>
      </c>
      <c r="N1685" s="17" t="n"/>
      <c r="O1685" s="17" t="n"/>
      <c r="P1685" s="17" t="n"/>
      <c r="Q1685" s="17" t="n"/>
      <c r="R1685" s="17" t="n"/>
      <c r="S1685" s="17" t="n"/>
      <c r="T1685" s="17" t="n"/>
      <c r="U1685" s="17" t="n"/>
      <c r="V1685" s="17" t="n"/>
      <c r="W1685" s="17" t="n"/>
      <c r="X1685" s="17" t="n"/>
      <c r="Y1685" s="17" t="n">
        <v>1</v>
      </c>
      <c r="Z1685" s="13">
        <f>SUMPRODUCT(N1685:Y1685,$N$2:$Y$2)*$K1685*$L1685*$M1685</f>
        <v/>
      </c>
      <c r="AA1685" s="14">
        <f>SUM(N1685:Y1685)</f>
        <v/>
      </c>
      <c r="AB1685" s="14">
        <f>IFERROR(IF(UPPER($E1685)="L",SUMPRODUCT(N1685:Y1685,$N$3:$Y$3,$N$2:$Y$2),SUMPRODUCT(N1685:Y1685,$N$4:$Y$4,$N$2:$Y$2))/(Z1685/($K1685*$L1685*$M1685)),"")</f>
        <v/>
      </c>
      <c r="AC1685" s="18" t="n"/>
    </row>
    <row r="1686">
      <c r="A1686" s="9" t="n">
        <v>672761</v>
      </c>
      <c r="B1686" s="9" t="inlineStr">
        <is>
          <t>Wenceel Pérez</t>
        </is>
      </c>
      <c r="C1686" s="9" t="inlineStr">
        <is>
          <t>DET</t>
        </is>
      </c>
      <c r="D1686" s="9" t="n">
        <v>27</v>
      </c>
      <c r="E1686" s="16" t="inlineStr">
        <is>
          <t>S</t>
        </is>
      </c>
      <c r="F1686" s="16" t="inlineStr">
        <is>
          <t>RF</t>
        </is>
      </c>
      <c r="G1686" s="9" t="n">
        <v>175</v>
      </c>
      <c r="H1686" s="9" t="n">
        <v>983</v>
      </c>
      <c r="I1686" s="9" t="inlineStr">
        <is>
          <t>Injury Replacement / 26th Man</t>
        </is>
      </c>
      <c r="J1686" s="16" t="inlineStr">
        <is>
          <t>Opening Day</t>
        </is>
      </c>
      <c r="K1686" s="11">
        <f>IFERROR(INDEX(Roles!$B$17:$B$20,MATCH(J1686,Roles!$A$17:$A$20,0)),1)</f>
        <v/>
      </c>
      <c r="L1686" s="17" t="n">
        <v>1</v>
      </c>
      <c r="M1686" s="11" t="n">
        <v>1.044310805167854</v>
      </c>
      <c r="N1686" s="17" t="n"/>
      <c r="O1686" s="17" t="n"/>
      <c r="P1686" s="17" t="n"/>
      <c r="Q1686" s="17" t="n"/>
      <c r="R1686" s="17" t="n"/>
      <c r="S1686" s="17" t="n"/>
      <c r="T1686" s="17" t="n"/>
      <c r="U1686" s="17" t="n"/>
      <c r="V1686" s="17" t="n"/>
      <c r="W1686" s="17" t="n">
        <v>0.15</v>
      </c>
      <c r="X1686" s="17" t="n">
        <v>0.85</v>
      </c>
      <c r="Y1686" s="17" t="n"/>
      <c r="Z1686" s="13">
        <f>SUMPRODUCT(N1686:Y1686,$N$2:$Y$2)*$K1686*$L1686*$M1686</f>
        <v/>
      </c>
      <c r="AA1686" s="14">
        <f>SUM(N1686:Y1686)</f>
        <v/>
      </c>
      <c r="AB1686" s="14">
        <f>IFERROR(IF(UPPER($E1686)="L",SUMPRODUCT(N1686:Y1686,$N$3:$Y$3,$N$2:$Y$2),SUMPRODUCT(N1686:Y1686,$N$4:$Y$4,$N$2:$Y$2))/(Z1686/($K1686*$L1686*$M1686)),"")</f>
        <v/>
      </c>
      <c r="AC1686" s="18" t="n"/>
    </row>
    <row r="1687">
      <c r="A1687" s="9" t="n">
        <v>803067</v>
      </c>
      <c r="B1687" s="9" t="inlineStr">
        <is>
          <t>Brady Marget</t>
        </is>
      </c>
      <c r="C1687" s="9" t="inlineStr">
        <is>
          <t>TB</t>
        </is>
      </c>
      <c r="D1687" s="9" t="n">
        <v>25</v>
      </c>
      <c r="E1687" s="16" t="inlineStr">
        <is>
          <t>L</t>
        </is>
      </c>
      <c r="F1687" s="16" t="n"/>
      <c r="G1687" s="9" t="n">
        <v>26.46153846153846</v>
      </c>
      <c r="H1687" s="9" t="n">
        <v>26.46153846153846</v>
      </c>
      <c r="I1687" s="9" t="inlineStr">
        <is>
          <t>Depth (no MLB PA)</t>
        </is>
      </c>
      <c r="J1687" s="16" t="inlineStr">
        <is>
          <t>Opening Day</t>
        </is>
      </c>
      <c r="K1687" s="11">
        <f>IFERROR(INDEX(Roles!$B$17:$B$20,MATCH(J1687,Roles!$A$17:$A$20,0)),1)</f>
        <v/>
      </c>
      <c r="L1687" s="17" t="n">
        <v>1</v>
      </c>
      <c r="M1687" s="11" t="n">
        <v>1</v>
      </c>
      <c r="N1687" s="17" t="n"/>
      <c r="O1687" s="17" t="n"/>
      <c r="P1687" s="17" t="n"/>
      <c r="Q1687" s="17" t="n"/>
      <c r="R1687" s="17" t="n"/>
      <c r="S1687" s="17" t="n"/>
      <c r="T1687" s="17" t="n"/>
      <c r="U1687" s="17" t="n"/>
      <c r="V1687" s="17" t="n"/>
      <c r="W1687" s="17" t="n"/>
      <c r="X1687" s="17" t="n"/>
      <c r="Y1687" s="17" t="n">
        <v>1</v>
      </c>
      <c r="Z1687" s="13">
        <f>SUMPRODUCT(N1687:Y1687,$N$2:$Y$2)*$K1687*$L1687*$M1687</f>
        <v/>
      </c>
      <c r="AA1687" s="14">
        <f>SUM(N1687:Y1687)</f>
        <v/>
      </c>
      <c r="AB1687" s="14">
        <f>IFERROR(IF(UPPER($E1687)="L",SUMPRODUCT(N1687:Y1687,$N$3:$Y$3,$N$2:$Y$2),SUMPRODUCT(N1687:Y1687,$N$4:$Y$4,$N$2:$Y$2))/(Z1687/($K1687*$L1687*$M1687)),"")</f>
        <v/>
      </c>
      <c r="AC1687" s="18" t="n"/>
    </row>
    <row r="1688">
      <c r="A1688" s="9" t="n">
        <v>694181</v>
      </c>
      <c r="B1688" s="9" t="inlineStr">
        <is>
          <t>Carlos Colmenarez</t>
        </is>
      </c>
      <c r="C1688" s="9" t="inlineStr">
        <is>
          <t>TB</t>
        </is>
      </c>
      <c r="D1688" s="9" t="n">
        <v>25</v>
      </c>
      <c r="E1688" s="16" t="inlineStr">
        <is>
          <t>L</t>
        </is>
      </c>
      <c r="F1688" s="16" t="n"/>
      <c r="G1688" s="9" t="n">
        <v>46.82051282051282</v>
      </c>
      <c r="H1688" s="9" t="n">
        <v>46.82051282051282</v>
      </c>
      <c r="I1688" s="9" t="inlineStr">
        <is>
          <t>Depth (no MLB PA)</t>
        </is>
      </c>
      <c r="J1688" s="16" t="inlineStr">
        <is>
          <t>Opening Day</t>
        </is>
      </c>
      <c r="K1688" s="11">
        <f>IFERROR(INDEX(Roles!$B$17:$B$20,MATCH(J1688,Roles!$A$17:$A$20,0)),1)</f>
        <v/>
      </c>
      <c r="L1688" s="17" t="n">
        <v>1</v>
      </c>
      <c r="M1688" s="11" t="n">
        <v>1</v>
      </c>
      <c r="N1688" s="17" t="n"/>
      <c r="O1688" s="17" t="n"/>
      <c r="P1688" s="17" t="n"/>
      <c r="Q1688" s="17" t="n"/>
      <c r="R1688" s="17" t="n"/>
      <c r="S1688" s="17" t="n"/>
      <c r="T1688" s="17" t="n"/>
      <c r="U1688" s="17" t="n"/>
      <c r="V1688" s="17" t="n"/>
      <c r="W1688" s="17" t="n"/>
      <c r="X1688" s="17" t="n"/>
      <c r="Y1688" s="17" t="n">
        <v>1</v>
      </c>
      <c r="Z1688" s="13">
        <f>SUMPRODUCT(N1688:Y1688,$N$2:$Y$2)*$K1688*$L1688*$M1688</f>
        <v/>
      </c>
      <c r="AA1688" s="14">
        <f>SUM(N1688:Y1688)</f>
        <v/>
      </c>
      <c r="AB1688" s="14">
        <f>IFERROR(IF(UPPER($E1688)="L",SUMPRODUCT(N1688:Y1688,$N$3:$Y$3,$N$2:$Y$2),SUMPRODUCT(N1688:Y1688,$N$4:$Y$4,$N$2:$Y$2))/(Z1688/($K1688*$L1688*$M1688)),"")</f>
        <v/>
      </c>
      <c r="AC1688" s="18" t="n"/>
    </row>
    <row r="1689">
      <c r="A1689" s="9" t="n">
        <v>692110</v>
      </c>
      <c r="B1689" s="9" t="inlineStr">
        <is>
          <t>Core Jackson</t>
        </is>
      </c>
      <c r="C1689" s="9" t="inlineStr">
        <is>
          <t>NYY</t>
        </is>
      </c>
      <c r="D1689" s="9" t="n">
        <v>25</v>
      </c>
      <c r="E1689" s="16" t="inlineStr">
        <is>
          <t>L</t>
        </is>
      </c>
      <c r="F1689" s="16" t="n"/>
      <c r="G1689" s="9" t="n">
        <v>36.25641025641026</v>
      </c>
      <c r="H1689" s="9" t="n">
        <v>36.25641025641026</v>
      </c>
      <c r="I1689" s="9" t="inlineStr">
        <is>
          <t>Depth (no MLB PA)</t>
        </is>
      </c>
      <c r="J1689" s="16" t="inlineStr">
        <is>
          <t>Opening Day</t>
        </is>
      </c>
      <c r="K1689" s="11">
        <f>IFERROR(INDEX(Roles!$B$17:$B$20,MATCH(J1689,Roles!$A$17:$A$20,0)),1)</f>
        <v/>
      </c>
      <c r="L1689" s="17" t="n">
        <v>1</v>
      </c>
      <c r="M1689" s="11" t="n">
        <v>1</v>
      </c>
      <c r="N1689" s="17" t="n"/>
      <c r="O1689" s="17" t="n"/>
      <c r="P1689" s="17" t="n"/>
      <c r="Q1689" s="17" t="n"/>
      <c r="R1689" s="17" t="n"/>
      <c r="S1689" s="17" t="n"/>
      <c r="T1689" s="17" t="n"/>
      <c r="U1689" s="17" t="n"/>
      <c r="V1689" s="17" t="n"/>
      <c r="W1689" s="17" t="n"/>
      <c r="X1689" s="17" t="n"/>
      <c r="Y1689" s="17" t="n">
        <v>1</v>
      </c>
      <c r="Z1689" s="13">
        <f>SUMPRODUCT(N1689:Y1689,$N$2:$Y$2)*$K1689*$L1689*$M1689</f>
        <v/>
      </c>
      <c r="AA1689" s="14">
        <f>SUM(N1689:Y1689)</f>
        <v/>
      </c>
      <c r="AB1689" s="14">
        <f>IFERROR(IF(UPPER($E1689)="L",SUMPRODUCT(N1689:Y1689,$N$3:$Y$3,$N$2:$Y$2),SUMPRODUCT(N1689:Y1689,$N$4:$Y$4,$N$2:$Y$2))/(Z1689/($K1689*$L1689*$M1689)),"")</f>
        <v/>
      </c>
      <c r="AC1689" s="18" t="n"/>
    </row>
    <row r="1690">
      <c r="A1690" s="9" t="n">
        <v>694469</v>
      </c>
      <c r="B1690" s="9" t="inlineStr">
        <is>
          <t>Bryce Eblin</t>
        </is>
      </c>
      <c r="C1690" s="9" t="inlineStr">
        <is>
          <t>CWS</t>
        </is>
      </c>
      <c r="D1690" s="9" t="n">
        <v>25</v>
      </c>
      <c r="E1690" s="16" t="inlineStr">
        <is>
          <t>L</t>
        </is>
      </c>
      <c r="F1690" s="16" t="n"/>
      <c r="G1690" s="9" t="n">
        <v>29.94871794871795</v>
      </c>
      <c r="H1690" s="9" t="n">
        <v>29.94871794871795</v>
      </c>
      <c r="I1690" s="9" t="inlineStr">
        <is>
          <t>Depth (no MLB PA)</t>
        </is>
      </c>
      <c r="J1690" s="16" t="inlineStr">
        <is>
          <t>Opening Day</t>
        </is>
      </c>
      <c r="K1690" s="11">
        <f>IFERROR(INDEX(Roles!$B$17:$B$20,MATCH(J1690,Roles!$A$17:$A$20,0)),1)</f>
        <v/>
      </c>
      <c r="L1690" s="17" t="n">
        <v>1</v>
      </c>
      <c r="M1690" s="11" t="n">
        <v>1</v>
      </c>
      <c r="N1690" s="17" t="n"/>
      <c r="O1690" s="17" t="n"/>
      <c r="P1690" s="17" t="n"/>
      <c r="Q1690" s="17" t="n"/>
      <c r="R1690" s="17" t="n"/>
      <c r="S1690" s="17" t="n"/>
      <c r="T1690" s="17" t="n"/>
      <c r="U1690" s="17" t="n"/>
      <c r="V1690" s="17" t="n"/>
      <c r="W1690" s="17" t="n"/>
      <c r="X1690" s="17" t="n"/>
      <c r="Y1690" s="17" t="n">
        <v>1</v>
      </c>
      <c r="Z1690" s="13">
        <f>SUMPRODUCT(N1690:Y1690,$N$2:$Y$2)*$K1690*$L1690*$M1690</f>
        <v/>
      </c>
      <c r="AA1690" s="14">
        <f>SUM(N1690:Y1690)</f>
        <v/>
      </c>
      <c r="AB1690" s="14">
        <f>IFERROR(IF(UPPER($E1690)="L",SUMPRODUCT(N1690:Y1690,$N$3:$Y$3,$N$2:$Y$2),SUMPRODUCT(N1690:Y1690,$N$4:$Y$4,$N$2:$Y$2))/(Z1690/($K1690*$L1690*$M1690)),"")</f>
        <v/>
      </c>
      <c r="AC1690" s="18" t="n"/>
    </row>
    <row r="1691">
      <c r="A1691" s="9" t="n">
        <v>805834</v>
      </c>
      <c r="B1691" s="9" t="inlineStr">
        <is>
          <t>Javier Vaz</t>
        </is>
      </c>
      <c r="C1691" s="9" t="inlineStr">
        <is>
          <t>KC</t>
        </is>
      </c>
      <c r="D1691" s="9" t="n">
        <v>25</v>
      </c>
      <c r="E1691" s="16" t="inlineStr">
        <is>
          <t>L</t>
        </is>
      </c>
      <c r="F1691" s="16" t="n"/>
      <c r="G1691" s="9" t="n">
        <v>17.48717948717949</v>
      </c>
      <c r="H1691" s="9" t="n">
        <v>17.48717948717949</v>
      </c>
      <c r="I1691" s="9" t="inlineStr">
        <is>
          <t>Depth (no MLB PA)</t>
        </is>
      </c>
      <c r="J1691" s="16" t="inlineStr">
        <is>
          <t>Opening Day</t>
        </is>
      </c>
      <c r="K1691" s="11">
        <f>IFERROR(INDEX(Roles!$B$17:$B$20,MATCH(J1691,Roles!$A$17:$A$20,0)),1)</f>
        <v/>
      </c>
      <c r="L1691" s="17" t="n">
        <v>1</v>
      </c>
      <c r="M1691" s="11" t="n">
        <v>1</v>
      </c>
      <c r="N1691" s="17" t="n"/>
      <c r="O1691" s="17" t="n"/>
      <c r="P1691" s="17" t="n"/>
      <c r="Q1691" s="17" t="n"/>
      <c r="R1691" s="17" t="n"/>
      <c r="S1691" s="17" t="n"/>
      <c r="T1691" s="17" t="n"/>
      <c r="U1691" s="17" t="n"/>
      <c r="V1691" s="17" t="n"/>
      <c r="W1691" s="17" t="n"/>
      <c r="X1691" s="17" t="n"/>
      <c r="Y1691" s="17" t="n">
        <v>1</v>
      </c>
      <c r="Z1691" s="13">
        <f>SUMPRODUCT(N1691:Y1691,$N$2:$Y$2)*$K1691*$L1691*$M1691</f>
        <v/>
      </c>
      <c r="AA1691" s="14">
        <f>SUM(N1691:Y1691)</f>
        <v/>
      </c>
      <c r="AB1691" s="14">
        <f>IFERROR(IF(UPPER($E1691)="L",SUMPRODUCT(N1691:Y1691,$N$3:$Y$3,$N$2:$Y$2),SUMPRODUCT(N1691:Y1691,$N$4:$Y$4,$N$2:$Y$2))/(Z1691/($K1691*$L1691*$M1691)),"")</f>
        <v/>
      </c>
      <c r="AC1691" s="18" t="n"/>
    </row>
    <row r="1692">
      <c r="A1692" s="9" t="n">
        <v>821197</v>
      </c>
      <c r="B1692" s="9" t="inlineStr">
        <is>
          <t>Juan Martinez</t>
        </is>
      </c>
      <c r="C1692" s="9" t="inlineStr">
        <is>
          <t>COL</t>
        </is>
      </c>
      <c r="D1692" s="9" t="n">
        <v>25</v>
      </c>
      <c r="E1692" s="16" t="inlineStr">
        <is>
          <t>S</t>
        </is>
      </c>
      <c r="F1692" s="16" t="n"/>
      <c r="G1692" s="9" t="n">
        <v>22.27692307692308</v>
      </c>
      <c r="H1692" s="9" t="n">
        <v>22.27692307692308</v>
      </c>
      <c r="I1692" s="9" t="inlineStr">
        <is>
          <t>Depth (no MLB PA)</t>
        </is>
      </c>
      <c r="J1692" s="16" t="inlineStr">
        <is>
          <t>Opening Day</t>
        </is>
      </c>
      <c r="K1692" s="11">
        <f>IFERROR(INDEX(Roles!$B$17:$B$20,MATCH(J1692,Roles!$A$17:$A$20,0)),1)</f>
        <v/>
      </c>
      <c r="L1692" s="17" t="n">
        <v>1</v>
      </c>
      <c r="M1692" s="11" t="n">
        <v>1</v>
      </c>
      <c r="N1692" s="17" t="n"/>
      <c r="O1692" s="17" t="n"/>
      <c r="P1692" s="17" t="n"/>
      <c r="Q1692" s="17" t="n"/>
      <c r="R1692" s="17" t="n"/>
      <c r="S1692" s="17" t="n"/>
      <c r="T1692" s="17" t="n"/>
      <c r="U1692" s="17" t="n"/>
      <c r="V1692" s="17" t="n"/>
      <c r="W1692" s="17" t="n"/>
      <c r="X1692" s="17" t="n"/>
      <c r="Y1692" s="17" t="n">
        <v>1</v>
      </c>
      <c r="Z1692" s="13">
        <f>SUMPRODUCT(N1692:Y1692,$N$2:$Y$2)*$K1692*$L1692*$M1692</f>
        <v/>
      </c>
      <c r="AA1692" s="14">
        <f>SUM(N1692:Y1692)</f>
        <v/>
      </c>
      <c r="AB1692" s="14">
        <f>IFERROR(IF(UPPER($E1692)="L",SUMPRODUCT(N1692:Y1692,$N$3:$Y$3,$N$2:$Y$2),SUMPRODUCT(N1692:Y1692,$N$4:$Y$4,$N$2:$Y$2))/(Z1692/($K1692*$L1692*$M1692)),"")</f>
        <v/>
      </c>
      <c r="AC1692" s="18" t="n"/>
    </row>
    <row r="1693">
      <c r="A1693" s="9" t="n">
        <v>805804</v>
      </c>
      <c r="B1693" s="9" t="inlineStr">
        <is>
          <t>George Wolkow</t>
        </is>
      </c>
      <c r="C1693" s="9" t="inlineStr">
        <is>
          <t>CWS</t>
        </is>
      </c>
      <c r="D1693" s="9" t="n">
        <v>21</v>
      </c>
      <c r="E1693" s="16" t="inlineStr">
        <is>
          <t>L</t>
        </is>
      </c>
      <c r="F1693" s="16" t="n"/>
      <c r="G1693" s="9" t="n">
        <v>110.5641025641026</v>
      </c>
      <c r="H1693" s="9" t="n">
        <v>110.5641025641026</v>
      </c>
      <c r="I1693" s="9" t="inlineStr">
        <is>
          <t>Depth (no MLB PA)</t>
        </is>
      </c>
      <c r="J1693" s="16" t="inlineStr">
        <is>
          <t>Opening Day</t>
        </is>
      </c>
      <c r="K1693" s="11">
        <f>IFERROR(INDEX(Roles!$B$17:$B$20,MATCH(J1693,Roles!$A$17:$A$20,0)),1)</f>
        <v/>
      </c>
      <c r="L1693" s="17" t="n">
        <v>1</v>
      </c>
      <c r="M1693" s="11" t="n">
        <v>1</v>
      </c>
      <c r="N1693" s="17" t="n"/>
      <c r="O1693" s="17" t="n"/>
      <c r="P1693" s="17" t="n"/>
      <c r="Q1693" s="17" t="n"/>
      <c r="R1693" s="17" t="n"/>
      <c r="S1693" s="17" t="n"/>
      <c r="T1693" s="17" t="n"/>
      <c r="U1693" s="17" t="n"/>
      <c r="V1693" s="17" t="n"/>
      <c r="W1693" s="17" t="n"/>
      <c r="X1693" s="17" t="n"/>
      <c r="Y1693" s="17" t="n">
        <v>1</v>
      </c>
      <c r="Z1693" s="13">
        <f>SUMPRODUCT(N1693:Y1693,$N$2:$Y$2)*$K1693*$L1693*$M1693</f>
        <v/>
      </c>
      <c r="AA1693" s="14">
        <f>SUM(N1693:Y1693)</f>
        <v/>
      </c>
      <c r="AB1693" s="14">
        <f>IFERROR(IF(UPPER($E1693)="L",SUMPRODUCT(N1693:Y1693,$N$3:$Y$3,$N$2:$Y$2),SUMPRODUCT(N1693:Y1693,$N$4:$Y$4,$N$2:$Y$2))/(Z1693/($K1693*$L1693*$M1693)),"")</f>
        <v/>
      </c>
      <c r="AC1693" s="18" t="n"/>
    </row>
    <row r="1694">
      <c r="A1694" s="9" t="n">
        <v>833426</v>
      </c>
      <c r="B1694" s="9" t="inlineStr">
        <is>
          <t>Hayden Jatczak</t>
        </is>
      </c>
      <c r="C1694" s="9" t="inlineStr">
        <is>
          <t>SF</t>
        </is>
      </c>
      <c r="D1694" s="9" t="n">
        <v>25</v>
      </c>
      <c r="E1694" s="16" t="inlineStr">
        <is>
          <t>R</t>
        </is>
      </c>
      <c r="F1694" s="16" t="n"/>
      <c r="G1694" s="9" t="n">
        <v>30.56410256410257</v>
      </c>
      <c r="H1694" s="9" t="n">
        <v>30.56410256410257</v>
      </c>
      <c r="I1694" s="9" t="inlineStr">
        <is>
          <t>Depth (no MLB PA)</t>
        </is>
      </c>
      <c r="J1694" s="16" t="inlineStr">
        <is>
          <t>Opening Day</t>
        </is>
      </c>
      <c r="K1694" s="11">
        <f>IFERROR(INDEX(Roles!$B$17:$B$20,MATCH(J1694,Roles!$A$17:$A$20,0)),1)</f>
        <v/>
      </c>
      <c r="L1694" s="17" t="n">
        <v>1</v>
      </c>
      <c r="M1694" s="11" t="n">
        <v>1</v>
      </c>
      <c r="N1694" s="17" t="n"/>
      <c r="O1694" s="17" t="n"/>
      <c r="P1694" s="17" t="n"/>
      <c r="Q1694" s="17" t="n"/>
      <c r="R1694" s="17" t="n"/>
      <c r="S1694" s="17" t="n"/>
      <c r="T1694" s="17" t="n"/>
      <c r="U1694" s="17" t="n"/>
      <c r="V1694" s="17" t="n"/>
      <c r="W1694" s="17" t="n"/>
      <c r="X1694" s="17" t="n"/>
      <c r="Y1694" s="17" t="n">
        <v>1</v>
      </c>
      <c r="Z1694" s="13">
        <f>SUMPRODUCT(N1694:Y1694,$N$2:$Y$2)*$K1694*$L1694*$M1694</f>
        <v/>
      </c>
      <c r="AA1694" s="14">
        <f>SUM(N1694:Y1694)</f>
        <v/>
      </c>
      <c r="AB1694" s="14">
        <f>IFERROR(IF(UPPER($E1694)="L",SUMPRODUCT(N1694:Y1694,$N$3:$Y$3,$N$2:$Y$2),SUMPRODUCT(N1694:Y1694,$N$4:$Y$4,$N$2:$Y$2))/(Z1694/($K1694*$L1694*$M1694)),"")</f>
        <v/>
      </c>
      <c r="AC1694" s="18" t="n"/>
    </row>
    <row r="1695">
      <c r="A1695" s="9" t="n">
        <v>641786</v>
      </c>
      <c r="B1695" s="9" t="inlineStr">
        <is>
          <t>Kyle Lewis</t>
        </is>
      </c>
      <c r="C1695" s="9" t="inlineStr">
        <is>
          <t>ARI</t>
        </is>
      </c>
      <c r="D1695" s="9" t="n">
        <v>31</v>
      </c>
      <c r="E1695" s="16" t="inlineStr">
        <is>
          <t>R</t>
        </is>
      </c>
      <c r="F1695" s="16" t="inlineStr">
        <is>
          <t>LF</t>
        </is>
      </c>
      <c r="G1695" s="9" t="n">
        <v>54</v>
      </c>
      <c r="H1695" s="9" t="n">
        <v>116</v>
      </c>
      <c r="I1695" s="9" t="inlineStr">
        <is>
          <t>Depth (no MLB PA)</t>
        </is>
      </c>
      <c r="J1695" s="16" t="inlineStr">
        <is>
          <t>Opening Day</t>
        </is>
      </c>
      <c r="K1695" s="11">
        <f>IFERROR(INDEX(Roles!$B$17:$B$20,MATCH(J1695,Roles!$A$17:$A$20,0)),1)</f>
        <v/>
      </c>
      <c r="L1695" s="17" t="n">
        <v>1</v>
      </c>
      <c r="M1695" s="11" t="n">
        <v>1</v>
      </c>
      <c r="N1695" s="17" t="n"/>
      <c r="O1695" s="17" t="n"/>
      <c r="P1695" s="17" t="n"/>
      <c r="Q1695" s="17" t="n"/>
      <c r="R1695" s="17" t="n"/>
      <c r="S1695" s="17" t="n"/>
      <c r="T1695" s="17" t="n"/>
      <c r="U1695" s="17" t="n"/>
      <c r="V1695" s="17" t="n"/>
      <c r="W1695" s="17" t="n"/>
      <c r="X1695" s="17" t="n"/>
      <c r="Y1695" s="17" t="n">
        <v>1</v>
      </c>
      <c r="Z1695" s="13">
        <f>SUMPRODUCT(N1695:Y1695,$N$2:$Y$2)*$K1695*$L1695*$M1695</f>
        <v/>
      </c>
      <c r="AA1695" s="14">
        <f>SUM(N1695:Y1695)</f>
        <v/>
      </c>
      <c r="AB1695" s="14">
        <f>IFERROR(IF(UPPER($E1695)="L",SUMPRODUCT(N1695:Y1695,$N$3:$Y$3,$N$2:$Y$2),SUMPRODUCT(N1695:Y1695,$N$4:$Y$4,$N$2:$Y$2))/(Z1695/($K1695*$L1695*$M1695)),"")</f>
        <v/>
      </c>
      <c r="AC1695" s="18" t="n"/>
    </row>
    <row r="1696">
      <c r="A1696" s="9" t="n">
        <v>828667</v>
      </c>
      <c r="B1696" s="9" t="inlineStr">
        <is>
          <t>Ching-Hsien Ko</t>
        </is>
      </c>
      <c r="C1696" s="9" t="inlineStr">
        <is>
          <t>LAD</t>
        </is>
      </c>
      <c r="D1696" s="9" t="n">
        <v>21</v>
      </c>
      <c r="E1696" s="16" t="inlineStr">
        <is>
          <t>L</t>
        </is>
      </c>
      <c r="F1696" s="16" t="n"/>
      <c r="G1696" s="9" t="n">
        <v>63.87692307692307</v>
      </c>
      <c r="H1696" s="9" t="n">
        <v>63.87692307692307</v>
      </c>
      <c r="I1696" s="9" t="inlineStr">
        <is>
          <t>Depth (no MLB PA)</t>
        </is>
      </c>
      <c r="J1696" s="16" t="inlineStr">
        <is>
          <t>Opening Day</t>
        </is>
      </c>
      <c r="K1696" s="11">
        <f>IFERROR(INDEX(Roles!$B$17:$B$20,MATCH(J1696,Roles!$A$17:$A$20,0)),1)</f>
        <v/>
      </c>
      <c r="L1696" s="17" t="n">
        <v>1</v>
      </c>
      <c r="M1696" s="11" t="n">
        <v>1</v>
      </c>
      <c r="N1696" s="17" t="n"/>
      <c r="O1696" s="17" t="n"/>
      <c r="P1696" s="17" t="n"/>
      <c r="Q1696" s="17" t="n"/>
      <c r="R1696" s="17" t="n"/>
      <c r="S1696" s="17" t="n"/>
      <c r="T1696" s="17" t="n"/>
      <c r="U1696" s="17" t="n"/>
      <c r="V1696" s="17" t="n"/>
      <c r="W1696" s="17" t="n"/>
      <c r="X1696" s="17" t="n"/>
      <c r="Y1696" s="17" t="n">
        <v>1</v>
      </c>
      <c r="Z1696" s="13">
        <f>SUMPRODUCT(N1696:Y1696,$N$2:$Y$2)*$K1696*$L1696*$M1696</f>
        <v/>
      </c>
      <c r="AA1696" s="14">
        <f>SUM(N1696:Y1696)</f>
        <v/>
      </c>
      <c r="AB1696" s="14">
        <f>IFERROR(IF(UPPER($E1696)="L",SUMPRODUCT(N1696:Y1696,$N$3:$Y$3,$N$2:$Y$2),SUMPRODUCT(N1696:Y1696,$N$4:$Y$4,$N$2:$Y$2))/(Z1696/($K1696*$L1696*$M1696)),"")</f>
        <v/>
      </c>
      <c r="AC1696" s="18" t="n"/>
    </row>
    <row r="1697">
      <c r="A1697" s="9" t="n">
        <v>829210</v>
      </c>
      <c r="B1697" s="9" t="inlineStr">
        <is>
          <t>Ty Harvey</t>
        </is>
      </c>
      <c r="C1697" s="9" t="inlineStr">
        <is>
          <t>SD</t>
        </is>
      </c>
      <c r="D1697" s="9" t="n">
        <v>25</v>
      </c>
      <c r="E1697" s="16" t="inlineStr">
        <is>
          <t>R</t>
        </is>
      </c>
      <c r="F1697" s="16" t="n"/>
      <c r="G1697" s="9" t="n">
        <v>23.87692307692308</v>
      </c>
      <c r="H1697" s="9" t="n">
        <v>23.87692307692308</v>
      </c>
      <c r="I1697" s="9" t="inlineStr">
        <is>
          <t>Depth (no MLB PA)</t>
        </is>
      </c>
      <c r="J1697" s="16" t="inlineStr">
        <is>
          <t>Opening Day</t>
        </is>
      </c>
      <c r="K1697" s="11">
        <f>IFERROR(INDEX(Roles!$B$17:$B$20,MATCH(J1697,Roles!$A$17:$A$20,0)),1)</f>
        <v/>
      </c>
      <c r="L1697" s="17" t="n">
        <v>1</v>
      </c>
      <c r="M1697" s="11" t="n">
        <v>1</v>
      </c>
      <c r="N1697" s="17" t="n"/>
      <c r="O1697" s="17" t="n"/>
      <c r="P1697" s="17" t="n"/>
      <c r="Q1697" s="17" t="n"/>
      <c r="R1697" s="17" t="n"/>
      <c r="S1697" s="17" t="n"/>
      <c r="T1697" s="17" t="n"/>
      <c r="U1697" s="17" t="n"/>
      <c r="V1697" s="17" t="n"/>
      <c r="W1697" s="17" t="n"/>
      <c r="X1697" s="17" t="n"/>
      <c r="Y1697" s="17" t="n">
        <v>1</v>
      </c>
      <c r="Z1697" s="13">
        <f>SUMPRODUCT(N1697:Y1697,$N$2:$Y$2)*$K1697*$L1697*$M1697</f>
        <v/>
      </c>
      <c r="AA1697" s="14">
        <f>SUM(N1697:Y1697)</f>
        <v/>
      </c>
      <c r="AB1697" s="14">
        <f>IFERROR(IF(UPPER($E1697)="L",SUMPRODUCT(N1697:Y1697,$N$3:$Y$3,$N$2:$Y$2),SUMPRODUCT(N1697:Y1697,$N$4:$Y$4,$N$2:$Y$2))/(Z1697/($K1697*$L1697*$M1697)),"")</f>
        <v/>
      </c>
      <c r="AC1697" s="18" t="n"/>
    </row>
    <row r="1698">
      <c r="A1698" s="9" t="n">
        <v>800195</v>
      </c>
      <c r="B1698" s="9" t="inlineStr">
        <is>
          <t>Jorgelys Mota</t>
        </is>
      </c>
      <c r="C1698" s="9" t="inlineStr">
        <is>
          <t>WSH</t>
        </is>
      </c>
      <c r="D1698" s="9" t="n">
        <v>25</v>
      </c>
      <c r="E1698" s="16" t="inlineStr">
        <is>
          <t>R</t>
        </is>
      </c>
      <c r="F1698" s="16" t="n"/>
      <c r="G1698" s="9" t="n">
        <v>17.02564102564103</v>
      </c>
      <c r="H1698" s="9" t="n">
        <v>17.02564102564103</v>
      </c>
      <c r="I1698" s="9" t="inlineStr">
        <is>
          <t>Depth (no MLB PA)</t>
        </is>
      </c>
      <c r="J1698" s="16" t="inlineStr">
        <is>
          <t>Opening Day</t>
        </is>
      </c>
      <c r="K1698" s="11">
        <f>IFERROR(INDEX(Roles!$B$17:$B$20,MATCH(J1698,Roles!$A$17:$A$20,0)),1)</f>
        <v/>
      </c>
      <c r="L1698" s="17" t="n">
        <v>1</v>
      </c>
      <c r="M1698" s="11" t="n">
        <v>1</v>
      </c>
      <c r="N1698" s="17" t="n"/>
      <c r="O1698" s="17" t="n"/>
      <c r="P1698" s="17" t="n"/>
      <c r="Q1698" s="17" t="n"/>
      <c r="R1698" s="17" t="n"/>
      <c r="S1698" s="17" t="n"/>
      <c r="T1698" s="17" t="n"/>
      <c r="U1698" s="17" t="n"/>
      <c r="V1698" s="17" t="n"/>
      <c r="W1698" s="17" t="n"/>
      <c r="X1698" s="17" t="n"/>
      <c r="Y1698" s="17" t="n">
        <v>1</v>
      </c>
      <c r="Z1698" s="13">
        <f>SUMPRODUCT(N1698:Y1698,$N$2:$Y$2)*$K1698*$L1698*$M1698</f>
        <v/>
      </c>
      <c r="AA1698" s="14">
        <f>SUM(N1698:Y1698)</f>
        <v/>
      </c>
      <c r="AB1698" s="14">
        <f>IFERROR(IF(UPPER($E1698)="L",SUMPRODUCT(N1698:Y1698,$N$3:$Y$3,$N$2:$Y$2),SUMPRODUCT(N1698:Y1698,$N$4:$Y$4,$N$2:$Y$2))/(Z1698/($K1698*$L1698*$M1698)),"")</f>
        <v/>
      </c>
      <c r="AC1698" s="18" t="n"/>
    </row>
    <row r="1699">
      <c r="A1699" s="9" t="n">
        <v>808675</v>
      </c>
      <c r="B1699" s="9" t="inlineStr">
        <is>
          <t>Ramon Ramirez</t>
        </is>
      </c>
      <c r="C1699" s="9" t="inlineStr">
        <is>
          <t>KC</t>
        </is>
      </c>
      <c r="D1699" s="9" t="n">
        <v>22</v>
      </c>
      <c r="E1699" s="16" t="inlineStr">
        <is>
          <t>R</t>
        </is>
      </c>
      <c r="F1699" s="16" t="n"/>
      <c r="G1699" s="9" t="n">
        <v>74.25641025641026</v>
      </c>
      <c r="H1699" s="9" t="n">
        <v>74.25641025641026</v>
      </c>
      <c r="I1699" s="9" t="inlineStr">
        <is>
          <t>Depth (no MLB PA)</t>
        </is>
      </c>
      <c r="J1699" s="16" t="inlineStr">
        <is>
          <t>Opening Day</t>
        </is>
      </c>
      <c r="K1699" s="11">
        <f>IFERROR(INDEX(Roles!$B$17:$B$20,MATCH(J1699,Roles!$A$17:$A$20,0)),1)</f>
        <v/>
      </c>
      <c r="L1699" s="17" t="n">
        <v>1</v>
      </c>
      <c r="M1699" s="11" t="n">
        <v>1</v>
      </c>
      <c r="N1699" s="17" t="n"/>
      <c r="O1699" s="17" t="n"/>
      <c r="P1699" s="17" t="n"/>
      <c r="Q1699" s="17" t="n"/>
      <c r="R1699" s="17" t="n"/>
      <c r="S1699" s="17" t="n"/>
      <c r="T1699" s="17" t="n"/>
      <c r="U1699" s="17" t="n"/>
      <c r="V1699" s="17" t="n"/>
      <c r="W1699" s="17" t="n"/>
      <c r="X1699" s="17" t="n"/>
      <c r="Y1699" s="17" t="n">
        <v>1</v>
      </c>
      <c r="Z1699" s="13">
        <f>SUMPRODUCT(N1699:Y1699,$N$2:$Y$2)*$K1699*$L1699*$M1699</f>
        <v/>
      </c>
      <c r="AA1699" s="14">
        <f>SUM(N1699:Y1699)</f>
        <v/>
      </c>
      <c r="AB1699" s="14">
        <f>IFERROR(IF(UPPER($E1699)="L",SUMPRODUCT(N1699:Y1699,$N$3:$Y$3,$N$2:$Y$2),SUMPRODUCT(N1699:Y1699,$N$4:$Y$4,$N$2:$Y$2))/(Z1699/($K1699*$L1699*$M1699)),"")</f>
        <v/>
      </c>
      <c r="AC1699" s="18" t="n"/>
    </row>
    <row r="1700">
      <c r="A1700" s="9" t="n">
        <v>665804</v>
      </c>
      <c r="B1700" s="9" t="inlineStr">
        <is>
          <t>Miguel Amaya</t>
        </is>
      </c>
      <c r="C1700" s="9" t="inlineStr">
        <is>
          <t>CHC</t>
        </is>
      </c>
      <c r="D1700" s="9" t="n">
        <v>28</v>
      </c>
      <c r="E1700" s="16" t="inlineStr">
        <is>
          <t>R</t>
        </is>
      </c>
      <c r="F1700" s="16" t="inlineStr">
        <is>
          <t>C</t>
        </is>
      </c>
      <c r="G1700" s="9" t="n">
        <v>254</v>
      </c>
      <c r="H1700" s="9" t="n">
        <v>876</v>
      </c>
      <c r="I1700" s="9" t="inlineStr">
        <is>
          <t>Catcher - Backup</t>
        </is>
      </c>
      <c r="J1700" s="16" t="inlineStr">
        <is>
          <t>Opening Day</t>
        </is>
      </c>
      <c r="K1700" s="11">
        <f>IFERROR(INDEX(Roles!$B$17:$B$20,MATCH(J1700,Roles!$A$17:$A$20,0)),1)</f>
        <v/>
      </c>
      <c r="L1700" s="17" t="n">
        <v>1</v>
      </c>
      <c r="M1700" s="11" t="n">
        <v>1.085561950734867</v>
      </c>
      <c r="N1700" s="17" t="n"/>
      <c r="O1700" s="17" t="n"/>
      <c r="P1700" s="17" t="n"/>
      <c r="Q1700" s="17" t="n"/>
      <c r="R1700" s="17" t="n"/>
      <c r="S1700" s="17" t="n"/>
      <c r="T1700" s="17" t="n">
        <v>0.7</v>
      </c>
      <c r="U1700" s="17" t="n"/>
      <c r="V1700" s="17" t="n"/>
      <c r="W1700" s="17" t="n">
        <v>0.3</v>
      </c>
      <c r="X1700" s="17" t="n"/>
      <c r="Y1700" s="17" t="n"/>
      <c r="Z1700" s="13">
        <f>SUMPRODUCT(N1700:Y1700,$N$2:$Y$2)*$K1700*$L1700*$M1700</f>
        <v/>
      </c>
      <c r="AA1700" s="14">
        <f>SUM(N1700:Y1700)</f>
        <v/>
      </c>
      <c r="AB1700" s="14">
        <f>IFERROR(IF(UPPER($E1700)="L",SUMPRODUCT(N1700:Y1700,$N$3:$Y$3,$N$2:$Y$2),SUMPRODUCT(N1700:Y1700,$N$4:$Y$4,$N$2:$Y$2))/(Z1700/($K1700*$L1700*$M1700)),"")</f>
        <v/>
      </c>
      <c r="AC1700" s="18" t="n"/>
    </row>
    <row r="1701">
      <c r="A1701" s="9" t="n">
        <v>681134</v>
      </c>
      <c r="B1701" s="9" t="inlineStr">
        <is>
          <t>Caleb Roberts</t>
        </is>
      </c>
      <c r="C1701" s="9" t="inlineStr">
        <is>
          <t>MIN</t>
        </is>
      </c>
      <c r="D1701" s="9" t="n">
        <v>25</v>
      </c>
      <c r="E1701" s="16" t="inlineStr">
        <is>
          <t>L</t>
        </is>
      </c>
      <c r="F1701" s="16" t="n"/>
      <c r="G1701" s="9" t="n">
        <v>43.79487179487179</v>
      </c>
      <c r="H1701" s="9" t="n">
        <v>43.79487179487179</v>
      </c>
      <c r="I1701" s="9" t="inlineStr">
        <is>
          <t>Depth (no MLB PA)</t>
        </is>
      </c>
      <c r="J1701" s="16" t="inlineStr">
        <is>
          <t>Opening Day</t>
        </is>
      </c>
      <c r="K1701" s="11">
        <f>IFERROR(INDEX(Roles!$B$17:$B$20,MATCH(J1701,Roles!$A$17:$A$20,0)),1)</f>
        <v/>
      </c>
      <c r="L1701" s="17" t="n">
        <v>1</v>
      </c>
      <c r="M1701" s="11" t="n">
        <v>1</v>
      </c>
      <c r="N1701" s="17" t="n"/>
      <c r="O1701" s="17" t="n"/>
      <c r="P1701" s="17" t="n"/>
      <c r="Q1701" s="17" t="n"/>
      <c r="R1701" s="17" t="n"/>
      <c r="S1701" s="17" t="n"/>
      <c r="T1701" s="17" t="n"/>
      <c r="U1701" s="17" t="n"/>
      <c r="V1701" s="17" t="n"/>
      <c r="W1701" s="17" t="n"/>
      <c r="X1701" s="17" t="n"/>
      <c r="Y1701" s="17" t="n">
        <v>1</v>
      </c>
      <c r="Z1701" s="13">
        <f>SUMPRODUCT(N1701:Y1701,$N$2:$Y$2)*$K1701*$L1701*$M1701</f>
        <v/>
      </c>
      <c r="AA1701" s="14">
        <f>SUM(N1701:Y1701)</f>
        <v/>
      </c>
      <c r="AB1701" s="14">
        <f>IFERROR(IF(UPPER($E1701)="L",SUMPRODUCT(N1701:Y1701,$N$3:$Y$3,$N$2:$Y$2),SUMPRODUCT(N1701:Y1701,$N$4:$Y$4,$N$2:$Y$2))/(Z1701/($K1701*$L1701*$M1701)),"")</f>
        <v/>
      </c>
      <c r="AC1701" s="18" t="n"/>
    </row>
    <row r="1702">
      <c r="A1702" s="9" t="n">
        <v>699061</v>
      </c>
      <c r="B1702" s="9" t="inlineStr">
        <is>
          <t>Rayne Doncon</t>
        </is>
      </c>
      <c r="C1702" s="9" t="inlineStr">
        <is>
          <t>MIN</t>
        </is>
      </c>
      <c r="D1702" s="9" t="n">
        <v>25</v>
      </c>
      <c r="E1702" s="16" t="inlineStr">
        <is>
          <t>R</t>
        </is>
      </c>
      <c r="F1702" s="16" t="n"/>
      <c r="G1702" s="9" t="n">
        <v>40</v>
      </c>
      <c r="H1702" s="9" t="n">
        <v>40</v>
      </c>
      <c r="I1702" s="9" t="inlineStr">
        <is>
          <t>Depth (no MLB PA)</t>
        </is>
      </c>
      <c r="J1702" s="16" t="inlineStr">
        <is>
          <t>Opening Day</t>
        </is>
      </c>
      <c r="K1702" s="11">
        <f>IFERROR(INDEX(Roles!$B$17:$B$20,MATCH(J1702,Roles!$A$17:$A$20,0)),1)</f>
        <v/>
      </c>
      <c r="L1702" s="17" t="n">
        <v>1</v>
      </c>
      <c r="M1702" s="11" t="n">
        <v>1</v>
      </c>
      <c r="N1702" s="17" t="n"/>
      <c r="O1702" s="17" t="n"/>
      <c r="P1702" s="17" t="n"/>
      <c r="Q1702" s="17" t="n"/>
      <c r="R1702" s="17" t="n"/>
      <c r="S1702" s="17" t="n"/>
      <c r="T1702" s="17" t="n"/>
      <c r="U1702" s="17" t="n"/>
      <c r="V1702" s="17" t="n"/>
      <c r="W1702" s="17" t="n"/>
      <c r="X1702" s="17" t="n"/>
      <c r="Y1702" s="17" t="n">
        <v>1</v>
      </c>
      <c r="Z1702" s="13">
        <f>SUMPRODUCT(N1702:Y1702,$N$2:$Y$2)*$K1702*$L1702*$M1702</f>
        <v/>
      </c>
      <c r="AA1702" s="14">
        <f>SUM(N1702:Y1702)</f>
        <v/>
      </c>
      <c r="AB1702" s="14">
        <f>IFERROR(IF(UPPER($E1702)="L",SUMPRODUCT(N1702:Y1702,$N$3:$Y$3,$N$2:$Y$2),SUMPRODUCT(N1702:Y1702,$N$4:$Y$4,$N$2:$Y$2))/(Z1702/($K1702*$L1702*$M1702)),"")</f>
        <v/>
      </c>
      <c r="AC1702" s="18" t="n"/>
    </row>
    <row r="1703">
      <c r="A1703" s="9" t="n">
        <v>701727</v>
      </c>
      <c r="B1703" s="9" t="inlineStr">
        <is>
          <t>Bryce Martin-Grudzielanek</t>
        </is>
      </c>
      <c r="C1703" s="9" t="inlineStr">
        <is>
          <t>NYY</t>
        </is>
      </c>
      <c r="D1703" s="9" t="n">
        <v>25</v>
      </c>
      <c r="E1703" s="16" t="inlineStr">
        <is>
          <t>R</t>
        </is>
      </c>
      <c r="F1703" s="16" t="n"/>
      <c r="G1703" s="9" t="n">
        <v>22.15384615384616</v>
      </c>
      <c r="H1703" s="9" t="n">
        <v>22.15384615384616</v>
      </c>
      <c r="I1703" s="9" t="inlineStr">
        <is>
          <t>Depth (no MLB PA)</t>
        </is>
      </c>
      <c r="J1703" s="16" t="inlineStr">
        <is>
          <t>Opening Day</t>
        </is>
      </c>
      <c r="K1703" s="11">
        <f>IFERROR(INDEX(Roles!$B$17:$B$20,MATCH(J1703,Roles!$A$17:$A$20,0)),1)</f>
        <v/>
      </c>
      <c r="L1703" s="17" t="n">
        <v>1</v>
      </c>
      <c r="M1703" s="11" t="n">
        <v>1</v>
      </c>
      <c r="N1703" s="17" t="n"/>
      <c r="O1703" s="17" t="n"/>
      <c r="P1703" s="17" t="n"/>
      <c r="Q1703" s="17" t="n"/>
      <c r="R1703" s="17" t="n"/>
      <c r="S1703" s="17" t="n"/>
      <c r="T1703" s="17" t="n"/>
      <c r="U1703" s="17" t="n"/>
      <c r="V1703" s="17" t="n"/>
      <c r="W1703" s="17" t="n"/>
      <c r="X1703" s="17" t="n"/>
      <c r="Y1703" s="17" t="n">
        <v>1</v>
      </c>
      <c r="Z1703" s="13">
        <f>SUMPRODUCT(N1703:Y1703,$N$2:$Y$2)*$K1703*$L1703*$M1703</f>
        <v/>
      </c>
      <c r="AA1703" s="14">
        <f>SUM(N1703:Y1703)</f>
        <v/>
      </c>
      <c r="AB1703" s="14">
        <f>IFERROR(IF(UPPER($E1703)="L",SUMPRODUCT(N1703:Y1703,$N$3:$Y$3,$N$2:$Y$2),SUMPRODUCT(N1703:Y1703,$N$4:$Y$4,$N$2:$Y$2))/(Z1703/($K1703*$L1703*$M1703)),"")</f>
        <v/>
      </c>
      <c r="AC1703" s="18" t="n"/>
    </row>
    <row r="1704">
      <c r="A1704" s="9" t="n">
        <v>672515</v>
      </c>
      <c r="B1704" s="9" t="inlineStr">
        <is>
          <t>Gabriel Moreno</t>
        </is>
      </c>
      <c r="C1704" s="9" t="inlineStr">
        <is>
          <t>ARI</t>
        </is>
      </c>
      <c r="D1704" s="9" t="n">
        <v>27</v>
      </c>
      <c r="E1704" s="16" t="inlineStr">
        <is>
          <t>R</t>
        </is>
      </c>
      <c r="F1704" s="16" t="inlineStr">
        <is>
          <t>C</t>
        </is>
      </c>
      <c r="G1704" s="9" t="n">
        <v>549</v>
      </c>
      <c r="H1704" s="9" t="n">
        <v>1662</v>
      </c>
      <c r="I1704" s="9" t="inlineStr">
        <is>
          <t>Catcher - Primary</t>
        </is>
      </c>
      <c r="J1704" s="16" t="inlineStr">
        <is>
          <t>Opening Day</t>
        </is>
      </c>
      <c r="K1704" s="11">
        <f>IFERROR(INDEX(Roles!$B$17:$B$20,MATCH(J1704,Roles!$A$17:$A$20,0)),1)</f>
        <v/>
      </c>
      <c r="L1704" s="17" t="n">
        <v>1</v>
      </c>
      <c r="M1704" s="11" t="n">
        <v>0.9888043591974776</v>
      </c>
      <c r="N1704" s="17" t="n"/>
      <c r="O1704" s="17" t="n"/>
      <c r="P1704" s="17" t="n"/>
      <c r="Q1704" s="17" t="n"/>
      <c r="R1704" s="17" t="n">
        <v>1</v>
      </c>
      <c r="S1704" s="17" t="n"/>
      <c r="T1704" s="17" t="n"/>
      <c r="U1704" s="17" t="n"/>
      <c r="V1704" s="17" t="n"/>
      <c r="W1704" s="17" t="n"/>
      <c r="X1704" s="17" t="n"/>
      <c r="Y1704" s="17" t="n"/>
      <c r="Z1704" s="13">
        <f>SUMPRODUCT(N1704:Y1704,$N$2:$Y$2)*$K1704*$L1704*$M1704</f>
        <v/>
      </c>
      <c r="AA1704" s="14">
        <f>SUM(N1704:Y1704)</f>
        <v/>
      </c>
      <c r="AB1704" s="14">
        <f>IFERROR(IF(UPPER($E1704)="L",SUMPRODUCT(N1704:Y1704,$N$3:$Y$3,$N$2:$Y$2),SUMPRODUCT(N1704:Y1704,$N$4:$Y$4,$N$2:$Y$2))/(Z1704/($K1704*$L1704*$M1704)),"")</f>
        <v/>
      </c>
      <c r="AC1704" s="18" t="n"/>
    </row>
    <row r="1705">
      <c r="A1705" s="9" t="n">
        <v>800426</v>
      </c>
      <c r="B1705" s="9" t="inlineStr">
        <is>
          <t>Raylin Ramos</t>
        </is>
      </c>
      <c r="C1705" s="9" t="inlineStr">
        <is>
          <t>BAL</t>
        </is>
      </c>
      <c r="D1705" s="9" t="n">
        <v>25</v>
      </c>
      <c r="E1705" s="16" t="inlineStr">
        <is>
          <t>R</t>
        </is>
      </c>
      <c r="F1705" s="16" t="n"/>
      <c r="G1705" s="9" t="n">
        <v>26.95384615384616</v>
      </c>
      <c r="H1705" s="9" t="n">
        <v>26.95384615384616</v>
      </c>
      <c r="I1705" s="9" t="inlineStr">
        <is>
          <t>Depth (no MLB PA)</t>
        </is>
      </c>
      <c r="J1705" s="16" t="inlineStr">
        <is>
          <t>Opening Day</t>
        </is>
      </c>
      <c r="K1705" s="11">
        <f>IFERROR(INDEX(Roles!$B$17:$B$20,MATCH(J1705,Roles!$A$17:$A$20,0)),1)</f>
        <v/>
      </c>
      <c r="L1705" s="17" t="n">
        <v>1</v>
      </c>
      <c r="M1705" s="11" t="n">
        <v>1</v>
      </c>
      <c r="N1705" s="17" t="n"/>
      <c r="O1705" s="17" t="n"/>
      <c r="P1705" s="17" t="n"/>
      <c r="Q1705" s="17" t="n"/>
      <c r="R1705" s="17" t="n"/>
      <c r="S1705" s="17" t="n"/>
      <c r="T1705" s="17" t="n"/>
      <c r="U1705" s="17" t="n"/>
      <c r="V1705" s="17" t="n"/>
      <c r="W1705" s="17" t="n"/>
      <c r="X1705" s="17" t="n"/>
      <c r="Y1705" s="17" t="n">
        <v>1</v>
      </c>
      <c r="Z1705" s="13">
        <f>SUMPRODUCT(N1705:Y1705,$N$2:$Y$2)*$K1705*$L1705*$M1705</f>
        <v/>
      </c>
      <c r="AA1705" s="14">
        <f>SUM(N1705:Y1705)</f>
        <v/>
      </c>
      <c r="AB1705" s="14">
        <f>IFERROR(IF(UPPER($E1705)="L",SUMPRODUCT(N1705:Y1705,$N$3:$Y$3,$N$2:$Y$2),SUMPRODUCT(N1705:Y1705,$N$4:$Y$4,$N$2:$Y$2))/(Z1705/($K1705*$L1705*$M1705)),"")</f>
        <v/>
      </c>
      <c r="AC1705" s="18" t="n"/>
    </row>
    <row r="1706">
      <c r="A1706" s="9" t="n">
        <v>829035</v>
      </c>
      <c r="B1706" s="9" t="inlineStr">
        <is>
          <t>Andrew Salas</t>
        </is>
      </c>
      <c r="C1706" s="9" t="inlineStr">
        <is>
          <t>MIA</t>
        </is>
      </c>
      <c r="D1706" s="9" t="n">
        <v>25</v>
      </c>
      <c r="E1706" s="16" t="inlineStr">
        <is>
          <t>S</t>
        </is>
      </c>
      <c r="F1706" s="16" t="n"/>
      <c r="G1706" s="9" t="n">
        <v>22.03076923076923</v>
      </c>
      <c r="H1706" s="9" t="n">
        <v>22.03076923076923</v>
      </c>
      <c r="I1706" s="9" t="inlineStr">
        <is>
          <t>Depth (no MLB PA)</t>
        </is>
      </c>
      <c r="J1706" s="16" t="inlineStr">
        <is>
          <t>Opening Day</t>
        </is>
      </c>
      <c r="K1706" s="11">
        <f>IFERROR(INDEX(Roles!$B$17:$B$20,MATCH(J1706,Roles!$A$17:$A$20,0)),1)</f>
        <v/>
      </c>
      <c r="L1706" s="17" t="n">
        <v>1</v>
      </c>
      <c r="M1706" s="11" t="n">
        <v>1</v>
      </c>
      <c r="N1706" s="17" t="n"/>
      <c r="O1706" s="17" t="n"/>
      <c r="P1706" s="17" t="n"/>
      <c r="Q1706" s="17" t="n"/>
      <c r="R1706" s="17" t="n"/>
      <c r="S1706" s="17" t="n"/>
      <c r="T1706" s="17" t="n"/>
      <c r="U1706" s="17" t="n"/>
      <c r="V1706" s="17" t="n"/>
      <c r="W1706" s="17" t="n"/>
      <c r="X1706" s="17" t="n"/>
      <c r="Y1706" s="17" t="n">
        <v>1</v>
      </c>
      <c r="Z1706" s="13">
        <f>SUMPRODUCT(N1706:Y1706,$N$2:$Y$2)*$K1706*$L1706*$M1706</f>
        <v/>
      </c>
      <c r="AA1706" s="14">
        <f>SUM(N1706:Y1706)</f>
        <v/>
      </c>
      <c r="AB1706" s="14">
        <f>IFERROR(IF(UPPER($E1706)="L",SUMPRODUCT(N1706:Y1706,$N$3:$Y$3,$N$2:$Y$2),SUMPRODUCT(N1706:Y1706,$N$4:$Y$4,$N$2:$Y$2))/(Z1706/($K1706*$L1706*$M1706)),"")</f>
        <v/>
      </c>
      <c r="AC1706" s="18" t="n"/>
    </row>
    <row r="1707">
      <c r="A1707" s="9" t="n">
        <v>694202</v>
      </c>
      <c r="B1707" s="9" t="inlineStr">
        <is>
          <t>Manuel Beltre</t>
        </is>
      </c>
      <c r="C1707" s="9" t="inlineStr">
        <is>
          <t>TOR</t>
        </is>
      </c>
      <c r="D1707" s="9" t="n">
        <v>25</v>
      </c>
      <c r="E1707" s="16" t="inlineStr">
        <is>
          <t>R</t>
        </is>
      </c>
      <c r="F1707" s="16" t="n"/>
      <c r="G1707" s="9" t="n">
        <v>44.51282051282052</v>
      </c>
      <c r="H1707" s="9" t="n">
        <v>44.51282051282052</v>
      </c>
      <c r="I1707" s="9" t="inlineStr">
        <is>
          <t>Depth (no MLB PA)</t>
        </is>
      </c>
      <c r="J1707" s="16" t="inlineStr">
        <is>
          <t>Opening Day</t>
        </is>
      </c>
      <c r="K1707" s="11">
        <f>IFERROR(INDEX(Roles!$B$17:$B$20,MATCH(J1707,Roles!$A$17:$A$20,0)),1)</f>
        <v/>
      </c>
      <c r="L1707" s="17" t="n">
        <v>1</v>
      </c>
      <c r="M1707" s="11" t="n">
        <v>1</v>
      </c>
      <c r="N1707" s="17" t="n"/>
      <c r="O1707" s="17" t="n"/>
      <c r="P1707" s="17" t="n"/>
      <c r="Q1707" s="17" t="n"/>
      <c r="R1707" s="17" t="n"/>
      <c r="S1707" s="17" t="n"/>
      <c r="T1707" s="17" t="n"/>
      <c r="U1707" s="17" t="n"/>
      <c r="V1707" s="17" t="n"/>
      <c r="W1707" s="17" t="n"/>
      <c r="X1707" s="17" t="n"/>
      <c r="Y1707" s="17" t="n">
        <v>1</v>
      </c>
      <c r="Z1707" s="13">
        <f>SUMPRODUCT(N1707:Y1707,$N$2:$Y$2)*$K1707*$L1707*$M1707</f>
        <v/>
      </c>
      <c r="AA1707" s="14">
        <f>SUM(N1707:Y1707)</f>
        <v/>
      </c>
      <c r="AB1707" s="14">
        <f>IFERROR(IF(UPPER($E1707)="L",SUMPRODUCT(N1707:Y1707,$N$3:$Y$3,$N$2:$Y$2),SUMPRODUCT(N1707:Y1707,$N$4:$Y$4,$N$2:$Y$2))/(Z1707/($K1707*$L1707*$M1707)),"")</f>
        <v/>
      </c>
      <c r="AC1707" s="18" t="n"/>
    </row>
    <row r="1708">
      <c r="A1708" s="9" t="n">
        <v>823809</v>
      </c>
      <c r="B1708" s="9" t="inlineStr">
        <is>
          <t>Nick Monistere</t>
        </is>
      </c>
      <c r="C1708" s="9" t="inlineStr">
        <is>
          <t>HOU</t>
        </is>
      </c>
      <c r="D1708" s="9" t="n">
        <v>25</v>
      </c>
      <c r="E1708" s="16" t="inlineStr">
        <is>
          <t>R</t>
        </is>
      </c>
      <c r="F1708" s="16" t="n"/>
      <c r="G1708" s="9" t="n">
        <v>21.33333333333334</v>
      </c>
      <c r="H1708" s="9" t="n">
        <v>21.33333333333334</v>
      </c>
      <c r="I1708" s="9" t="inlineStr">
        <is>
          <t>Depth (no MLB PA)</t>
        </is>
      </c>
      <c r="J1708" s="16" t="inlineStr">
        <is>
          <t>Opening Day</t>
        </is>
      </c>
      <c r="K1708" s="11">
        <f>IFERROR(INDEX(Roles!$B$17:$B$20,MATCH(J1708,Roles!$A$17:$A$20,0)),1)</f>
        <v/>
      </c>
      <c r="L1708" s="17" t="n">
        <v>1</v>
      </c>
      <c r="M1708" s="11" t="n">
        <v>1</v>
      </c>
      <c r="N1708" s="17" t="n"/>
      <c r="O1708" s="17" t="n"/>
      <c r="P1708" s="17" t="n"/>
      <c r="Q1708" s="17" t="n"/>
      <c r="R1708" s="17" t="n"/>
      <c r="S1708" s="17" t="n"/>
      <c r="T1708" s="17" t="n"/>
      <c r="U1708" s="17" t="n"/>
      <c r="V1708" s="17" t="n"/>
      <c r="W1708" s="17" t="n"/>
      <c r="X1708" s="17" t="n"/>
      <c r="Y1708" s="17" t="n">
        <v>1</v>
      </c>
      <c r="Z1708" s="13">
        <f>SUMPRODUCT(N1708:Y1708,$N$2:$Y$2)*$K1708*$L1708*$M1708</f>
        <v/>
      </c>
      <c r="AA1708" s="14">
        <f>SUM(N1708:Y1708)</f>
        <v/>
      </c>
      <c r="AB1708" s="14">
        <f>IFERROR(IF(UPPER($E1708)="L",SUMPRODUCT(N1708:Y1708,$N$3:$Y$3,$N$2:$Y$2),SUMPRODUCT(N1708:Y1708,$N$4:$Y$4,$N$2:$Y$2))/(Z1708/($K1708*$L1708*$M1708)),"")</f>
        <v/>
      </c>
      <c r="AC1708" s="18" t="n"/>
    </row>
    <row r="1709">
      <c r="A1709" s="9" t="n">
        <v>695732</v>
      </c>
      <c r="B1709" s="9" t="inlineStr">
        <is>
          <t>Dylan King</t>
        </is>
      </c>
      <c r="C1709" s="9" t="inlineStr">
        <is>
          <t>CIN</t>
        </is>
      </c>
      <c r="D1709" s="9" t="n">
        <v>25</v>
      </c>
      <c r="E1709" s="16" t="inlineStr">
        <is>
          <t>L</t>
        </is>
      </c>
      <c r="F1709" s="16" t="n"/>
      <c r="G1709" s="9" t="n">
        <v>21.41538461538461</v>
      </c>
      <c r="H1709" s="9" t="n">
        <v>21.41538461538461</v>
      </c>
      <c r="I1709" s="9" t="inlineStr">
        <is>
          <t>Depth (no MLB PA)</t>
        </is>
      </c>
      <c r="J1709" s="16" t="inlineStr">
        <is>
          <t>Opening Day</t>
        </is>
      </c>
      <c r="K1709" s="11">
        <f>IFERROR(INDEX(Roles!$B$17:$B$20,MATCH(J1709,Roles!$A$17:$A$20,0)),1)</f>
        <v/>
      </c>
      <c r="L1709" s="17" t="n">
        <v>1</v>
      </c>
      <c r="M1709" s="11" t="n">
        <v>1</v>
      </c>
      <c r="N1709" s="17" t="n"/>
      <c r="O1709" s="17" t="n"/>
      <c r="P1709" s="17" t="n"/>
      <c r="Q1709" s="17" t="n"/>
      <c r="R1709" s="17" t="n"/>
      <c r="S1709" s="17" t="n"/>
      <c r="T1709" s="17" t="n"/>
      <c r="U1709" s="17" t="n"/>
      <c r="V1709" s="17" t="n"/>
      <c r="W1709" s="17" t="n"/>
      <c r="X1709" s="17" t="n"/>
      <c r="Y1709" s="17" t="n">
        <v>1</v>
      </c>
      <c r="Z1709" s="13">
        <f>SUMPRODUCT(N1709:Y1709,$N$2:$Y$2)*$K1709*$L1709*$M1709</f>
        <v/>
      </c>
      <c r="AA1709" s="14">
        <f>SUM(N1709:Y1709)</f>
        <v/>
      </c>
      <c r="AB1709" s="14">
        <f>IFERROR(IF(UPPER($E1709)="L",SUMPRODUCT(N1709:Y1709,$N$3:$Y$3,$N$2:$Y$2),SUMPRODUCT(N1709:Y1709,$N$4:$Y$4,$N$2:$Y$2))/(Z1709/($K1709*$L1709*$M1709)),"")</f>
        <v/>
      </c>
      <c r="AC1709" s="18" t="n"/>
    </row>
    <row r="1710">
      <c r="A1710" s="9" t="n">
        <v>608703</v>
      </c>
      <c r="B1710" s="9" t="inlineStr">
        <is>
          <t>Matt Reynolds</t>
        </is>
      </c>
      <c r="C1710" s="9" t="inlineStr">
        <is>
          <t>CIN</t>
        </is>
      </c>
      <c r="D1710" s="9" t="n">
        <v>36</v>
      </c>
      <c r="E1710" s="16" t="inlineStr">
        <is>
          <t>R</t>
        </is>
      </c>
      <c r="F1710" s="16" t="inlineStr">
        <is>
          <t>3B</t>
        </is>
      </c>
      <c r="G1710" s="9" t="n">
        <v>5</v>
      </c>
      <c r="H1710" s="9" t="n">
        <v>277</v>
      </c>
      <c r="I1710" s="9" t="inlineStr">
        <is>
          <t>Depth (no MLB PA)</t>
        </is>
      </c>
      <c r="J1710" s="16" t="inlineStr">
        <is>
          <t>Opening Day</t>
        </is>
      </c>
      <c r="K1710" s="11">
        <f>IFERROR(INDEX(Roles!$B$17:$B$20,MATCH(J1710,Roles!$A$17:$A$20,0)),1)</f>
        <v/>
      </c>
      <c r="L1710" s="17" t="n">
        <v>1</v>
      </c>
      <c r="M1710" s="11" t="n">
        <v>1</v>
      </c>
      <c r="N1710" s="17" t="n"/>
      <c r="O1710" s="17" t="n"/>
      <c r="P1710" s="17" t="n"/>
      <c r="Q1710" s="17" t="n"/>
      <c r="R1710" s="17" t="n"/>
      <c r="S1710" s="17" t="n"/>
      <c r="T1710" s="17" t="n"/>
      <c r="U1710" s="17" t="n"/>
      <c r="V1710" s="17" t="n"/>
      <c r="W1710" s="17" t="n"/>
      <c r="X1710" s="17" t="n"/>
      <c r="Y1710" s="17" t="n">
        <v>1</v>
      </c>
      <c r="Z1710" s="13">
        <f>SUMPRODUCT(N1710:Y1710,$N$2:$Y$2)*$K1710*$L1710*$M1710</f>
        <v/>
      </c>
      <c r="AA1710" s="14">
        <f>SUM(N1710:Y1710)</f>
        <v/>
      </c>
      <c r="AB1710" s="14">
        <f>IFERROR(IF(UPPER($E1710)="L",SUMPRODUCT(N1710:Y1710,$N$3:$Y$3,$N$2:$Y$2),SUMPRODUCT(N1710:Y1710,$N$4:$Y$4,$N$2:$Y$2))/(Z1710/($K1710*$L1710*$M1710)),"")</f>
        <v/>
      </c>
      <c r="AC1710" s="18" t="n"/>
    </row>
    <row r="1711">
      <c r="A1711" s="9" t="n">
        <v>687616</v>
      </c>
      <c r="B1711" s="9" t="inlineStr">
        <is>
          <t>Jimmy Obertop</t>
        </is>
      </c>
      <c r="C1711" s="9" t="inlineStr">
        <is>
          <t>COL</t>
        </is>
      </c>
      <c r="D1711" s="9" t="n">
        <v>25</v>
      </c>
      <c r="E1711" s="16" t="inlineStr">
        <is>
          <t>R</t>
        </is>
      </c>
      <c r="F1711" s="16" t="n"/>
      <c r="G1711" s="9" t="n">
        <v>59.58974358974358</v>
      </c>
      <c r="H1711" s="9" t="n">
        <v>59.58974358974358</v>
      </c>
      <c r="I1711" s="9" t="inlineStr">
        <is>
          <t>Depth (no MLB PA)</t>
        </is>
      </c>
      <c r="J1711" s="16" t="inlineStr">
        <is>
          <t>Opening Day</t>
        </is>
      </c>
      <c r="K1711" s="11">
        <f>IFERROR(INDEX(Roles!$B$17:$B$20,MATCH(J1711,Roles!$A$17:$A$20,0)),1)</f>
        <v/>
      </c>
      <c r="L1711" s="17" t="n">
        <v>1</v>
      </c>
      <c r="M1711" s="11" t="n">
        <v>1</v>
      </c>
      <c r="N1711" s="17" t="n"/>
      <c r="O1711" s="17" t="n"/>
      <c r="P1711" s="17" t="n"/>
      <c r="Q1711" s="17" t="n"/>
      <c r="R1711" s="17" t="n"/>
      <c r="S1711" s="17" t="n"/>
      <c r="T1711" s="17" t="n"/>
      <c r="U1711" s="17" t="n"/>
      <c r="V1711" s="17" t="n"/>
      <c r="W1711" s="17" t="n"/>
      <c r="X1711" s="17" t="n"/>
      <c r="Y1711" s="17" t="n">
        <v>1</v>
      </c>
      <c r="Z1711" s="13">
        <f>SUMPRODUCT(N1711:Y1711,$N$2:$Y$2)*$K1711*$L1711*$M1711</f>
        <v/>
      </c>
      <c r="AA1711" s="14">
        <f>SUM(N1711:Y1711)</f>
        <v/>
      </c>
      <c r="AB1711" s="14">
        <f>IFERROR(IF(UPPER($E1711)="L",SUMPRODUCT(N1711:Y1711,$N$3:$Y$3,$N$2:$Y$2),SUMPRODUCT(N1711:Y1711,$N$4:$Y$4,$N$2:$Y$2))/(Z1711/($K1711*$L1711*$M1711)),"")</f>
        <v/>
      </c>
      <c r="AC1711" s="18" t="n"/>
    </row>
    <row r="1712">
      <c r="A1712" s="9" t="n">
        <v>680868</v>
      </c>
      <c r="B1712" s="9" t="inlineStr">
        <is>
          <t>Patrick Winkel</t>
        </is>
      </c>
      <c r="C1712" s="9" t="inlineStr">
        <is>
          <t>TOR</t>
        </is>
      </c>
      <c r="D1712" s="9" t="n">
        <v>25</v>
      </c>
      <c r="E1712" s="16" t="inlineStr">
        <is>
          <t>L</t>
        </is>
      </c>
      <c r="F1712" s="16" t="n"/>
      <c r="G1712" s="9" t="n">
        <v>44.15384615384615</v>
      </c>
      <c r="H1712" s="9" t="n">
        <v>44.15384615384615</v>
      </c>
      <c r="I1712" s="9" t="inlineStr">
        <is>
          <t>Depth (no MLB PA)</t>
        </is>
      </c>
      <c r="J1712" s="16" t="inlineStr">
        <is>
          <t>Opening Day</t>
        </is>
      </c>
      <c r="K1712" s="11">
        <f>IFERROR(INDEX(Roles!$B$17:$B$20,MATCH(J1712,Roles!$A$17:$A$20,0)),1)</f>
        <v/>
      </c>
      <c r="L1712" s="17" t="n">
        <v>1</v>
      </c>
      <c r="M1712" s="11" t="n">
        <v>1</v>
      </c>
      <c r="N1712" s="17" t="n"/>
      <c r="O1712" s="17" t="n"/>
      <c r="P1712" s="17" t="n"/>
      <c r="Q1712" s="17" t="n"/>
      <c r="R1712" s="17" t="n"/>
      <c r="S1712" s="17" t="n"/>
      <c r="T1712" s="17" t="n"/>
      <c r="U1712" s="17" t="n"/>
      <c r="V1712" s="17" t="n"/>
      <c r="W1712" s="17" t="n"/>
      <c r="X1712" s="17" t="n"/>
      <c r="Y1712" s="17" t="n">
        <v>1</v>
      </c>
      <c r="Z1712" s="13">
        <f>SUMPRODUCT(N1712:Y1712,$N$2:$Y$2)*$K1712*$L1712*$M1712</f>
        <v/>
      </c>
      <c r="AA1712" s="14">
        <f>SUM(N1712:Y1712)</f>
        <v/>
      </c>
      <c r="AB1712" s="14">
        <f>IFERROR(IF(UPPER($E1712)="L",SUMPRODUCT(N1712:Y1712,$N$3:$Y$3,$N$2:$Y$2),SUMPRODUCT(N1712:Y1712,$N$4:$Y$4,$N$2:$Y$2))/(Z1712/($K1712*$L1712*$M1712)),"")</f>
        <v/>
      </c>
      <c r="AC1712" s="18" t="n"/>
    </row>
    <row r="1713">
      <c r="A1713" s="9" t="n">
        <v>806464</v>
      </c>
      <c r="B1713" s="9" t="inlineStr">
        <is>
          <t>Connor Charping</t>
        </is>
      </c>
      <c r="C1713" s="9" t="inlineStr">
        <is>
          <t>SEA</t>
        </is>
      </c>
      <c r="D1713" s="9" t="n">
        <v>25</v>
      </c>
      <c r="E1713" s="16" t="inlineStr">
        <is>
          <t>R</t>
        </is>
      </c>
      <c r="F1713" s="16" t="n"/>
      <c r="G1713" s="9" t="n">
        <v>72.51282051282051</v>
      </c>
      <c r="H1713" s="9" t="n">
        <v>72.51282051282051</v>
      </c>
      <c r="I1713" s="9" t="inlineStr">
        <is>
          <t>Depth (no MLB PA)</t>
        </is>
      </c>
      <c r="J1713" s="16" t="inlineStr">
        <is>
          <t>Opening Day</t>
        </is>
      </c>
      <c r="K1713" s="11">
        <f>IFERROR(INDEX(Roles!$B$17:$B$20,MATCH(J1713,Roles!$A$17:$A$20,0)),1)</f>
        <v/>
      </c>
      <c r="L1713" s="17" t="n">
        <v>1</v>
      </c>
      <c r="M1713" s="11" t="n">
        <v>1</v>
      </c>
      <c r="N1713" s="17" t="n"/>
      <c r="O1713" s="17" t="n"/>
      <c r="P1713" s="17" t="n"/>
      <c r="Q1713" s="17" t="n"/>
      <c r="R1713" s="17" t="n"/>
      <c r="S1713" s="17" t="n"/>
      <c r="T1713" s="17" t="n"/>
      <c r="U1713" s="17" t="n"/>
      <c r="V1713" s="17" t="n"/>
      <c r="W1713" s="17" t="n"/>
      <c r="X1713" s="17" t="n"/>
      <c r="Y1713" s="17" t="n">
        <v>1</v>
      </c>
      <c r="Z1713" s="13">
        <f>SUMPRODUCT(N1713:Y1713,$N$2:$Y$2)*$K1713*$L1713*$M1713</f>
        <v/>
      </c>
      <c r="AA1713" s="14">
        <f>SUM(N1713:Y1713)</f>
        <v/>
      </c>
      <c r="AB1713" s="14">
        <f>IFERROR(IF(UPPER($E1713)="L",SUMPRODUCT(N1713:Y1713,$N$3:$Y$3,$N$2:$Y$2),SUMPRODUCT(N1713:Y1713,$N$4:$Y$4,$N$2:$Y$2))/(Z1713/($K1713*$L1713*$M1713)),"")</f>
        <v/>
      </c>
      <c r="AC1713" s="18" t="n"/>
    </row>
    <row r="1714">
      <c r="A1714" s="9" t="n">
        <v>813771</v>
      </c>
      <c r="B1714" s="9" t="inlineStr">
        <is>
          <t>Robert Hipwell</t>
        </is>
      </c>
      <c r="C1714" s="9" t="inlineStr">
        <is>
          <t>SF</t>
        </is>
      </c>
      <c r="D1714" s="9" t="n">
        <v>25</v>
      </c>
      <c r="E1714" s="16" t="inlineStr">
        <is>
          <t>L</t>
        </is>
      </c>
      <c r="F1714" s="16" t="n"/>
      <c r="G1714" s="9" t="n">
        <v>50.46153846153847</v>
      </c>
      <c r="H1714" s="9" t="n">
        <v>50.46153846153847</v>
      </c>
      <c r="I1714" s="9" t="inlineStr">
        <is>
          <t>Depth (no MLB PA)</t>
        </is>
      </c>
      <c r="J1714" s="16" t="inlineStr">
        <is>
          <t>Opening Day</t>
        </is>
      </c>
      <c r="K1714" s="11">
        <f>IFERROR(INDEX(Roles!$B$17:$B$20,MATCH(J1714,Roles!$A$17:$A$20,0)),1)</f>
        <v/>
      </c>
      <c r="L1714" s="17" t="n">
        <v>1</v>
      </c>
      <c r="M1714" s="11" t="n">
        <v>1</v>
      </c>
      <c r="N1714" s="17" t="n"/>
      <c r="O1714" s="17" t="n"/>
      <c r="P1714" s="17" t="n"/>
      <c r="Q1714" s="17" t="n"/>
      <c r="R1714" s="17" t="n"/>
      <c r="S1714" s="17" t="n"/>
      <c r="T1714" s="17" t="n"/>
      <c r="U1714" s="17" t="n"/>
      <c r="V1714" s="17" t="n"/>
      <c r="W1714" s="17" t="n"/>
      <c r="X1714" s="17" t="n"/>
      <c r="Y1714" s="17" t="n">
        <v>1</v>
      </c>
      <c r="Z1714" s="13">
        <f>SUMPRODUCT(N1714:Y1714,$N$2:$Y$2)*$K1714*$L1714*$M1714</f>
        <v/>
      </c>
      <c r="AA1714" s="14">
        <f>SUM(N1714:Y1714)</f>
        <v/>
      </c>
      <c r="AB1714" s="14">
        <f>IFERROR(IF(UPPER($E1714)="L",SUMPRODUCT(N1714:Y1714,$N$3:$Y$3,$N$2:$Y$2),SUMPRODUCT(N1714:Y1714,$N$4:$Y$4,$N$2:$Y$2))/(Z1714/($K1714*$L1714*$M1714)),"")</f>
        <v/>
      </c>
      <c r="AC1714" s="18" t="n"/>
    </row>
    <row r="1715">
      <c r="A1715" s="9" t="n">
        <v>814131</v>
      </c>
      <c r="B1715" s="9" t="inlineStr">
        <is>
          <t>Derik Alcantara</t>
        </is>
      </c>
      <c r="C1715" s="9" t="inlineStr">
        <is>
          <t>CHC</t>
        </is>
      </c>
      <c r="D1715" s="9" t="n">
        <v>25</v>
      </c>
      <c r="E1715" s="16" t="inlineStr">
        <is>
          <t>L</t>
        </is>
      </c>
      <c r="F1715" s="16" t="n"/>
      <c r="G1715" s="9" t="n">
        <v>20.8</v>
      </c>
      <c r="H1715" s="9" t="n">
        <v>20.8</v>
      </c>
      <c r="I1715" s="9" t="inlineStr">
        <is>
          <t>Depth (no MLB PA)</t>
        </is>
      </c>
      <c r="J1715" s="16" t="inlineStr">
        <is>
          <t>Opening Day</t>
        </is>
      </c>
      <c r="K1715" s="11">
        <f>IFERROR(INDEX(Roles!$B$17:$B$20,MATCH(J1715,Roles!$A$17:$A$20,0)),1)</f>
        <v/>
      </c>
      <c r="L1715" s="17" t="n">
        <v>1</v>
      </c>
      <c r="M1715" s="11" t="n">
        <v>1</v>
      </c>
      <c r="N1715" s="17" t="n"/>
      <c r="O1715" s="17" t="n"/>
      <c r="P1715" s="17" t="n"/>
      <c r="Q1715" s="17" t="n"/>
      <c r="R1715" s="17" t="n"/>
      <c r="S1715" s="17" t="n"/>
      <c r="T1715" s="17" t="n"/>
      <c r="U1715" s="17" t="n"/>
      <c r="V1715" s="17" t="n"/>
      <c r="W1715" s="17" t="n"/>
      <c r="X1715" s="17" t="n"/>
      <c r="Y1715" s="17" t="n">
        <v>1</v>
      </c>
      <c r="Z1715" s="13">
        <f>SUMPRODUCT(N1715:Y1715,$N$2:$Y$2)*$K1715*$L1715*$M1715</f>
        <v/>
      </c>
      <c r="AA1715" s="14">
        <f>SUM(N1715:Y1715)</f>
        <v/>
      </c>
      <c r="AB1715" s="14">
        <f>IFERROR(IF(UPPER($E1715)="L",SUMPRODUCT(N1715:Y1715,$N$3:$Y$3,$N$2:$Y$2),SUMPRODUCT(N1715:Y1715,$N$4:$Y$4,$N$2:$Y$2))/(Z1715/($K1715*$L1715*$M1715)),"")</f>
        <v/>
      </c>
      <c r="AC1715" s="18" t="n"/>
    </row>
    <row r="1716">
      <c r="A1716" s="9" t="n">
        <v>805880</v>
      </c>
      <c r="B1716" s="9" t="inlineStr">
        <is>
          <t>Tanner Thach</t>
        </is>
      </c>
      <c r="C1716" s="9" t="inlineStr">
        <is>
          <t>COL</t>
        </is>
      </c>
      <c r="D1716" s="9" t="n">
        <v>25</v>
      </c>
      <c r="E1716" s="16" t="inlineStr">
        <is>
          <t>L</t>
        </is>
      </c>
      <c r="F1716" s="16" t="n"/>
      <c r="G1716" s="9" t="n">
        <v>45.53846153846155</v>
      </c>
      <c r="H1716" s="9" t="n">
        <v>45.53846153846155</v>
      </c>
      <c r="I1716" s="9" t="inlineStr">
        <is>
          <t>Depth (no MLB PA)</t>
        </is>
      </c>
      <c r="J1716" s="16" t="inlineStr">
        <is>
          <t>Opening Day</t>
        </is>
      </c>
      <c r="K1716" s="11">
        <f>IFERROR(INDEX(Roles!$B$17:$B$20,MATCH(J1716,Roles!$A$17:$A$20,0)),1)</f>
        <v/>
      </c>
      <c r="L1716" s="17" t="n">
        <v>1</v>
      </c>
      <c r="M1716" s="11" t="n">
        <v>1</v>
      </c>
      <c r="N1716" s="17" t="n"/>
      <c r="O1716" s="17" t="n"/>
      <c r="P1716" s="17" t="n"/>
      <c r="Q1716" s="17" t="n"/>
      <c r="R1716" s="17" t="n"/>
      <c r="S1716" s="17" t="n"/>
      <c r="T1716" s="17" t="n"/>
      <c r="U1716" s="17" t="n"/>
      <c r="V1716" s="17" t="n"/>
      <c r="W1716" s="17" t="n"/>
      <c r="X1716" s="17" t="n"/>
      <c r="Y1716" s="17" t="n">
        <v>1</v>
      </c>
      <c r="Z1716" s="13">
        <f>SUMPRODUCT(N1716:Y1716,$N$2:$Y$2)*$K1716*$L1716*$M1716</f>
        <v/>
      </c>
      <c r="AA1716" s="14">
        <f>SUM(N1716:Y1716)</f>
        <v/>
      </c>
      <c r="AB1716" s="14">
        <f>IFERROR(IF(UPPER($E1716)="L",SUMPRODUCT(N1716:Y1716,$N$3:$Y$3,$N$2:$Y$2),SUMPRODUCT(N1716:Y1716,$N$4:$Y$4,$N$2:$Y$2))/(Z1716/($K1716*$L1716*$M1716)),"")</f>
        <v/>
      </c>
      <c r="AC1716" s="18" t="n"/>
    </row>
    <row r="1717">
      <c r="A1717" s="9" t="n">
        <v>831025</v>
      </c>
      <c r="B1717" s="9" t="inlineStr">
        <is>
          <t>Dean Toigo</t>
        </is>
      </c>
      <c r="C1717" s="9" t="inlineStr">
        <is>
          <t>NYY</t>
        </is>
      </c>
      <c r="D1717" s="9" t="n">
        <v>25</v>
      </c>
      <c r="E1717" s="16" t="inlineStr">
        <is>
          <t>L</t>
        </is>
      </c>
      <c r="F1717" s="16" t="n"/>
      <c r="G1717" s="9" t="n">
        <v>18.05128205128205</v>
      </c>
      <c r="H1717" s="9" t="n">
        <v>18.05128205128205</v>
      </c>
      <c r="I1717" s="9" t="inlineStr">
        <is>
          <t>Depth (no MLB PA)</t>
        </is>
      </c>
      <c r="J1717" s="16" t="inlineStr">
        <is>
          <t>Opening Day</t>
        </is>
      </c>
      <c r="K1717" s="11">
        <f>IFERROR(INDEX(Roles!$B$17:$B$20,MATCH(J1717,Roles!$A$17:$A$20,0)),1)</f>
        <v/>
      </c>
      <c r="L1717" s="17" t="n">
        <v>1</v>
      </c>
      <c r="M1717" s="11" t="n">
        <v>1</v>
      </c>
      <c r="N1717" s="17" t="n"/>
      <c r="O1717" s="17" t="n"/>
      <c r="P1717" s="17" t="n"/>
      <c r="Q1717" s="17" t="n"/>
      <c r="R1717" s="17" t="n"/>
      <c r="S1717" s="17" t="n"/>
      <c r="T1717" s="17" t="n"/>
      <c r="U1717" s="17" t="n"/>
      <c r="V1717" s="17" t="n"/>
      <c r="W1717" s="17" t="n"/>
      <c r="X1717" s="17" t="n"/>
      <c r="Y1717" s="17" t="n">
        <v>1</v>
      </c>
      <c r="Z1717" s="13">
        <f>SUMPRODUCT(N1717:Y1717,$N$2:$Y$2)*$K1717*$L1717*$M1717</f>
        <v/>
      </c>
      <c r="AA1717" s="14">
        <f>SUM(N1717:Y1717)</f>
        <v/>
      </c>
      <c r="AB1717" s="14">
        <f>IFERROR(IF(UPPER($E1717)="L",SUMPRODUCT(N1717:Y1717,$N$3:$Y$3,$N$2:$Y$2),SUMPRODUCT(N1717:Y1717,$N$4:$Y$4,$N$2:$Y$2))/(Z1717/($K1717*$L1717*$M1717)),"")</f>
        <v/>
      </c>
      <c r="AC1717" s="18" t="n"/>
    </row>
    <row r="1718">
      <c r="A1718" s="9" t="n">
        <v>657041</v>
      </c>
      <c r="B1718" s="9" t="inlineStr">
        <is>
          <t>Lane Thomas</t>
        </is>
      </c>
      <c r="C1718" s="9" t="inlineStr">
        <is>
          <t>ATL</t>
        </is>
      </c>
      <c r="D1718" s="9" t="n">
        <v>31</v>
      </c>
      <c r="E1718" s="16" t="inlineStr">
        <is>
          <t>R</t>
        </is>
      </c>
      <c r="F1718" s="16" t="inlineStr">
        <is>
          <t>CF</t>
        </is>
      </c>
      <c r="G1718" s="9" t="n">
        <v>374</v>
      </c>
      <c r="H1718" s="9" t="n">
        <v>2274</v>
      </c>
      <c r="I1718" s="9" t="inlineStr">
        <is>
          <t>Weak Side Platoon</t>
        </is>
      </c>
      <c r="J1718" s="16" t="inlineStr">
        <is>
          <t>Opening Day</t>
        </is>
      </c>
      <c r="K1718" s="11">
        <f>IFERROR(INDEX(Roles!$B$17:$B$20,MATCH(J1718,Roles!$A$17:$A$20,0)),1)</f>
        <v/>
      </c>
      <c r="L1718" s="17" t="n">
        <v>1</v>
      </c>
      <c r="M1718" s="11" t="n">
        <v>1.040668963650967</v>
      </c>
      <c r="N1718" s="17" t="n"/>
      <c r="O1718" s="17" t="n"/>
      <c r="P1718" s="17" t="n"/>
      <c r="Q1718" s="17" t="n">
        <v>0.6</v>
      </c>
      <c r="R1718" s="17" t="n"/>
      <c r="S1718" s="17" t="n"/>
      <c r="T1718" s="17" t="n"/>
      <c r="U1718" s="17" t="n"/>
      <c r="V1718" s="17" t="n">
        <v>0.4</v>
      </c>
      <c r="W1718" s="17" t="n"/>
      <c r="X1718" s="17" t="n"/>
      <c r="Y1718" s="17" t="n"/>
      <c r="Z1718" s="13">
        <f>SUMPRODUCT(N1718:Y1718,$N$2:$Y$2)*$K1718*$L1718*$M1718</f>
        <v/>
      </c>
      <c r="AA1718" s="14">
        <f>SUM(N1718:Y1718)</f>
        <v/>
      </c>
      <c r="AB1718" s="14">
        <f>IFERROR(IF(UPPER($E1718)="L",SUMPRODUCT(N1718:Y1718,$N$3:$Y$3,$N$2:$Y$2),SUMPRODUCT(N1718:Y1718,$N$4:$Y$4,$N$2:$Y$2))/(Z1718/($K1718*$L1718*$M1718)),"")</f>
        <v/>
      </c>
      <c r="AC1718" s="18" t="n"/>
    </row>
    <row r="1719">
      <c r="A1719" s="9" t="n">
        <v>815304</v>
      </c>
      <c r="B1719" s="9" t="inlineStr">
        <is>
          <t>Josh Adamczewski</t>
        </is>
      </c>
      <c r="C1719" s="9" t="inlineStr">
        <is>
          <t>MIL</t>
        </is>
      </c>
      <c r="D1719" s="9" t="n">
        <v>22</v>
      </c>
      <c r="E1719" s="16" t="inlineStr">
        <is>
          <t>L</t>
        </is>
      </c>
      <c r="F1719" s="16" t="n"/>
      <c r="G1719" s="9" t="n">
        <v>99.7948717948718</v>
      </c>
      <c r="H1719" s="9" t="n">
        <v>99.7948717948718</v>
      </c>
      <c r="I1719" s="9" t="inlineStr">
        <is>
          <t>Bench Bat</t>
        </is>
      </c>
      <c r="J1719" s="16" t="inlineStr">
        <is>
          <t>Mid Season (~July)</t>
        </is>
      </c>
      <c r="K1719" s="11">
        <f>IFERROR(INDEX(Roles!$B$17:$B$20,MATCH(J1719,Roles!$A$17:$A$20,0)),1)</f>
        <v/>
      </c>
      <c r="L1719" s="17" t="n">
        <v>1</v>
      </c>
      <c r="M1719" s="11" t="n">
        <v>1</v>
      </c>
      <c r="N1719" s="17" t="n"/>
      <c r="O1719" s="17" t="n"/>
      <c r="P1719" s="17" t="n">
        <v>0.26</v>
      </c>
      <c r="Q1719" s="17" t="n"/>
      <c r="R1719" s="17" t="n"/>
      <c r="S1719" s="17" t="n"/>
      <c r="T1719" s="17" t="n"/>
      <c r="U1719" s="17" t="n"/>
      <c r="V1719" s="17" t="n"/>
      <c r="W1719" s="17" t="n">
        <v>0.5</v>
      </c>
      <c r="X1719" s="17" t="n">
        <v>0.24</v>
      </c>
      <c r="Y1719" s="17" t="n"/>
      <c r="Z1719" s="13">
        <f>SUMPRODUCT(N1719:Y1719,$N$2:$Y$2)*$K1719*$L1719*$M1719</f>
        <v/>
      </c>
      <c r="AA1719" s="14">
        <f>SUM(N1719:Y1719)</f>
        <v/>
      </c>
      <c r="AB1719" s="14">
        <f>IFERROR(IF(UPPER($E1719)="L",SUMPRODUCT(N1719:Y1719,$N$3:$Y$3,$N$2:$Y$2),SUMPRODUCT(N1719:Y1719,$N$4:$Y$4,$N$2:$Y$2))/(Z1719/($K1719*$L1719*$M1719)),"")</f>
        <v/>
      </c>
      <c r="AC1719" s="18" t="n"/>
    </row>
    <row r="1720">
      <c r="A1720" s="9" t="n">
        <v>702110</v>
      </c>
      <c r="B1720" s="9" t="inlineStr">
        <is>
          <t>Matt Suggs</t>
        </is>
      </c>
      <c r="C1720" s="9" t="inlineStr">
        <is>
          <t>WSH</t>
        </is>
      </c>
      <c r="D1720" s="9" t="n">
        <v>25</v>
      </c>
      <c r="E1720" s="16" t="inlineStr">
        <is>
          <t>R</t>
        </is>
      </c>
      <c r="F1720" s="16" t="n"/>
      <c r="G1720" s="9" t="n">
        <v>17.64102564102564</v>
      </c>
      <c r="H1720" s="9" t="n">
        <v>17.64102564102564</v>
      </c>
      <c r="I1720" s="9" t="inlineStr">
        <is>
          <t>Depth (no MLB PA)</t>
        </is>
      </c>
      <c r="J1720" s="16" t="inlineStr">
        <is>
          <t>Opening Day</t>
        </is>
      </c>
      <c r="K1720" s="11">
        <f>IFERROR(INDEX(Roles!$B$17:$B$20,MATCH(J1720,Roles!$A$17:$A$20,0)),1)</f>
        <v/>
      </c>
      <c r="L1720" s="17" t="n">
        <v>1</v>
      </c>
      <c r="M1720" s="11" t="n">
        <v>1</v>
      </c>
      <c r="N1720" s="17" t="n"/>
      <c r="O1720" s="17" t="n"/>
      <c r="P1720" s="17" t="n"/>
      <c r="Q1720" s="17" t="n"/>
      <c r="R1720" s="17" t="n"/>
      <c r="S1720" s="17" t="n"/>
      <c r="T1720" s="17" t="n"/>
      <c r="U1720" s="17" t="n"/>
      <c r="V1720" s="17" t="n"/>
      <c r="W1720" s="17" t="n"/>
      <c r="X1720" s="17" t="n"/>
      <c r="Y1720" s="17" t="n">
        <v>1</v>
      </c>
      <c r="Z1720" s="13">
        <f>SUMPRODUCT(N1720:Y1720,$N$2:$Y$2)*$K1720*$L1720*$M1720</f>
        <v/>
      </c>
      <c r="AA1720" s="14">
        <f>SUM(N1720:Y1720)</f>
        <v/>
      </c>
      <c r="AB1720" s="14">
        <f>IFERROR(IF(UPPER($E1720)="L",SUMPRODUCT(N1720:Y1720,$N$3:$Y$3,$N$2:$Y$2),SUMPRODUCT(N1720:Y1720,$N$4:$Y$4,$N$2:$Y$2))/(Z1720/($K1720*$L1720*$M1720)),"")</f>
        <v/>
      </c>
      <c r="AC1720" s="18" t="n"/>
    </row>
    <row r="1721">
      <c r="A1721" s="9" t="n">
        <v>668832</v>
      </c>
      <c r="B1721" s="9" t="inlineStr">
        <is>
          <t>Kyle McCann</t>
        </is>
      </c>
      <c r="C1721" s="9" t="inlineStr">
        <is>
          <t>OAK</t>
        </is>
      </c>
      <c r="D1721" s="9" t="n">
        <v>29</v>
      </c>
      <c r="E1721" s="16" t="inlineStr">
        <is>
          <t>L</t>
        </is>
      </c>
      <c r="F1721" s="16" t="inlineStr">
        <is>
          <t>C</t>
        </is>
      </c>
      <c r="G1721" s="9" t="n">
        <v>157</v>
      </c>
      <c r="H1721" s="9" t="n">
        <v>157</v>
      </c>
      <c r="I1721" s="9" t="inlineStr">
        <is>
          <t>Depth (no MLB PA)</t>
        </is>
      </c>
      <c r="J1721" s="16" t="inlineStr">
        <is>
          <t>Opening Day</t>
        </is>
      </c>
      <c r="K1721" s="11">
        <f>IFERROR(INDEX(Roles!$B$17:$B$20,MATCH(J1721,Roles!$A$17:$A$20,0)),1)</f>
        <v/>
      </c>
      <c r="L1721" s="17" t="n">
        <v>1</v>
      </c>
      <c r="M1721" s="11" t="n">
        <v>1</v>
      </c>
      <c r="N1721" s="17" t="n"/>
      <c r="O1721" s="17" t="n"/>
      <c r="P1721" s="17" t="n"/>
      <c r="Q1721" s="17" t="n"/>
      <c r="R1721" s="17" t="n"/>
      <c r="S1721" s="17" t="n"/>
      <c r="T1721" s="17" t="n"/>
      <c r="U1721" s="17" t="n"/>
      <c r="V1721" s="17" t="n"/>
      <c r="W1721" s="17" t="n"/>
      <c r="X1721" s="17" t="n"/>
      <c r="Y1721" s="17" t="n">
        <v>1</v>
      </c>
      <c r="Z1721" s="13">
        <f>SUMPRODUCT(N1721:Y1721,$N$2:$Y$2)*$K1721*$L1721*$M1721</f>
        <v/>
      </c>
      <c r="AA1721" s="14">
        <f>SUM(N1721:Y1721)</f>
        <v/>
      </c>
      <c r="AB1721" s="14">
        <f>IFERROR(IF(UPPER($E1721)="L",SUMPRODUCT(N1721:Y1721,$N$3:$Y$3,$N$2:$Y$2),SUMPRODUCT(N1721:Y1721,$N$4:$Y$4,$N$2:$Y$2))/(Z1721/($K1721*$L1721*$M1721)),"")</f>
        <v/>
      </c>
      <c r="AC1721" s="18" t="n"/>
    </row>
    <row r="1722">
      <c r="A1722" s="9" t="n">
        <v>815152</v>
      </c>
      <c r="B1722" s="9" t="inlineStr">
        <is>
          <t>Theo Hardy</t>
        </is>
      </c>
      <c r="C1722" s="9" t="inlineStr">
        <is>
          <t>TEX</t>
        </is>
      </c>
      <c r="D1722" s="9" t="n">
        <v>25</v>
      </c>
      <c r="E1722" s="16" t="inlineStr">
        <is>
          <t>S</t>
        </is>
      </c>
      <c r="F1722" s="16" t="n"/>
      <c r="G1722" s="9" t="n">
        <v>18.61538461538462</v>
      </c>
      <c r="H1722" s="9" t="n">
        <v>18.61538461538462</v>
      </c>
      <c r="I1722" s="9" t="inlineStr">
        <is>
          <t>Depth (no MLB PA)</t>
        </is>
      </c>
      <c r="J1722" s="16" t="inlineStr">
        <is>
          <t>Opening Day</t>
        </is>
      </c>
      <c r="K1722" s="11">
        <f>IFERROR(INDEX(Roles!$B$17:$B$20,MATCH(J1722,Roles!$A$17:$A$20,0)),1)</f>
        <v/>
      </c>
      <c r="L1722" s="17" t="n">
        <v>1</v>
      </c>
      <c r="M1722" s="11" t="n">
        <v>1</v>
      </c>
      <c r="N1722" s="17" t="n"/>
      <c r="O1722" s="17" t="n"/>
      <c r="P1722" s="17" t="n"/>
      <c r="Q1722" s="17" t="n"/>
      <c r="R1722" s="17" t="n"/>
      <c r="S1722" s="17" t="n"/>
      <c r="T1722" s="17" t="n"/>
      <c r="U1722" s="17" t="n"/>
      <c r="V1722" s="17" t="n"/>
      <c r="W1722" s="17" t="n"/>
      <c r="X1722" s="17" t="n"/>
      <c r="Y1722" s="17" t="n">
        <v>1</v>
      </c>
      <c r="Z1722" s="13">
        <f>SUMPRODUCT(N1722:Y1722,$N$2:$Y$2)*$K1722*$L1722*$M1722</f>
        <v/>
      </c>
      <c r="AA1722" s="14">
        <f>SUM(N1722:Y1722)</f>
        <v/>
      </c>
      <c r="AB1722" s="14">
        <f>IFERROR(IF(UPPER($E1722)="L",SUMPRODUCT(N1722:Y1722,$N$3:$Y$3,$N$2:$Y$2),SUMPRODUCT(N1722:Y1722,$N$4:$Y$4,$N$2:$Y$2))/(Z1722/($K1722*$L1722*$M1722)),"")</f>
        <v/>
      </c>
      <c r="AC1722" s="18" t="n"/>
    </row>
    <row r="1723">
      <c r="A1723" s="9" t="n">
        <v>703149</v>
      </c>
      <c r="B1723" s="9" t="inlineStr">
        <is>
          <t>Roderick Arias</t>
        </is>
      </c>
      <c r="C1723" s="9" t="inlineStr">
        <is>
          <t>NYY</t>
        </is>
      </c>
      <c r="D1723" s="9" t="n">
        <v>25</v>
      </c>
      <c r="E1723" s="16" t="inlineStr">
        <is>
          <t>S</t>
        </is>
      </c>
      <c r="F1723" s="16" t="n"/>
      <c r="G1723" s="9" t="n">
        <v>53.12820512820512</v>
      </c>
      <c r="H1723" s="9" t="n">
        <v>53.12820512820512</v>
      </c>
      <c r="I1723" s="9" t="inlineStr">
        <is>
          <t>Depth (no MLB PA)</t>
        </is>
      </c>
      <c r="J1723" s="16" t="inlineStr">
        <is>
          <t>Opening Day</t>
        </is>
      </c>
      <c r="K1723" s="11">
        <f>IFERROR(INDEX(Roles!$B$17:$B$20,MATCH(J1723,Roles!$A$17:$A$20,0)),1)</f>
        <v/>
      </c>
      <c r="L1723" s="17" t="n">
        <v>1</v>
      </c>
      <c r="M1723" s="11" t="n">
        <v>1</v>
      </c>
      <c r="N1723" s="17" t="n"/>
      <c r="O1723" s="17" t="n"/>
      <c r="P1723" s="17" t="n"/>
      <c r="Q1723" s="17" t="n"/>
      <c r="R1723" s="17" t="n"/>
      <c r="S1723" s="17" t="n"/>
      <c r="T1723" s="17" t="n"/>
      <c r="U1723" s="17" t="n"/>
      <c r="V1723" s="17" t="n"/>
      <c r="W1723" s="17" t="n"/>
      <c r="X1723" s="17" t="n"/>
      <c r="Y1723" s="17" t="n">
        <v>1</v>
      </c>
      <c r="Z1723" s="13">
        <f>SUMPRODUCT(N1723:Y1723,$N$2:$Y$2)*$K1723*$L1723*$M1723</f>
        <v/>
      </c>
      <c r="AA1723" s="14">
        <f>SUM(N1723:Y1723)</f>
        <v/>
      </c>
      <c r="AB1723" s="14">
        <f>IFERROR(IF(UPPER($E1723)="L",SUMPRODUCT(N1723:Y1723,$N$3:$Y$3,$N$2:$Y$2),SUMPRODUCT(N1723:Y1723,$N$4:$Y$4,$N$2:$Y$2))/(Z1723/($K1723*$L1723*$M1723)),"")</f>
        <v/>
      </c>
      <c r="AC1723" s="18" t="n"/>
    </row>
    <row r="1724">
      <c r="A1724" s="9" t="n">
        <v>694399</v>
      </c>
      <c r="B1724" s="9" t="inlineStr">
        <is>
          <t>Elijah Nunez</t>
        </is>
      </c>
      <c r="C1724" s="9" t="inlineStr">
        <is>
          <t>WSH</t>
        </is>
      </c>
      <c r="D1724" s="9" t="n">
        <v>25</v>
      </c>
      <c r="E1724" s="16" t="inlineStr">
        <is>
          <t>L</t>
        </is>
      </c>
      <c r="F1724" s="16" t="n"/>
      <c r="G1724" s="9" t="n">
        <v>18.30769230769231</v>
      </c>
      <c r="H1724" s="9" t="n">
        <v>18.30769230769231</v>
      </c>
      <c r="I1724" s="9" t="inlineStr">
        <is>
          <t>Depth (no MLB PA)</t>
        </is>
      </c>
      <c r="J1724" s="16" t="inlineStr">
        <is>
          <t>Opening Day</t>
        </is>
      </c>
      <c r="K1724" s="11">
        <f>IFERROR(INDEX(Roles!$B$17:$B$20,MATCH(J1724,Roles!$A$17:$A$20,0)),1)</f>
        <v/>
      </c>
      <c r="L1724" s="17" t="n">
        <v>1</v>
      </c>
      <c r="M1724" s="11" t="n">
        <v>1</v>
      </c>
      <c r="N1724" s="17" t="n"/>
      <c r="O1724" s="17" t="n"/>
      <c r="P1724" s="17" t="n"/>
      <c r="Q1724" s="17" t="n"/>
      <c r="R1724" s="17" t="n"/>
      <c r="S1724" s="17" t="n"/>
      <c r="T1724" s="17" t="n"/>
      <c r="U1724" s="17" t="n"/>
      <c r="V1724" s="17" t="n"/>
      <c r="W1724" s="17" t="n"/>
      <c r="X1724" s="17" t="n"/>
      <c r="Y1724" s="17" t="n">
        <v>1</v>
      </c>
      <c r="Z1724" s="13">
        <f>SUMPRODUCT(N1724:Y1724,$N$2:$Y$2)*$K1724*$L1724*$M1724</f>
        <v/>
      </c>
      <c r="AA1724" s="14">
        <f>SUM(N1724:Y1724)</f>
        <v/>
      </c>
      <c r="AB1724" s="14">
        <f>IFERROR(IF(UPPER($E1724)="L",SUMPRODUCT(N1724:Y1724,$N$3:$Y$3,$N$2:$Y$2),SUMPRODUCT(N1724:Y1724,$N$4:$Y$4,$N$2:$Y$2))/(Z1724/($K1724*$L1724*$M1724)),"")</f>
        <v/>
      </c>
      <c r="AC1724" s="18" t="n"/>
    </row>
    <row r="1725">
      <c r="A1725" s="9" t="n">
        <v>594777</v>
      </c>
      <c r="B1725" s="9" t="inlineStr">
        <is>
          <t>Kole Calhoun</t>
        </is>
      </c>
      <c r="C1725" s="9" t="inlineStr">
        <is>
          <t>CLE</t>
        </is>
      </c>
      <c r="D1725" s="9" t="n">
        <v>39</v>
      </c>
      <c r="E1725" s="16" t="inlineStr">
        <is>
          <t>L</t>
        </is>
      </c>
      <c r="F1725" s="16" t="inlineStr">
        <is>
          <t>1B</t>
        </is>
      </c>
      <c r="G1725" s="9" t="n">
        <v>174</v>
      </c>
      <c r="H1725" s="9" t="n">
        <v>598</v>
      </c>
      <c r="I1725" s="9" t="inlineStr">
        <is>
          <t>Depth (no MLB PA)</t>
        </is>
      </c>
      <c r="J1725" s="16" t="inlineStr">
        <is>
          <t>Opening Day</t>
        </is>
      </c>
      <c r="K1725" s="11">
        <f>IFERROR(INDEX(Roles!$B$17:$B$20,MATCH(J1725,Roles!$A$17:$A$20,0)),1)</f>
        <v/>
      </c>
      <c r="L1725" s="17" t="n">
        <v>1</v>
      </c>
      <c r="M1725" s="11" t="n">
        <v>1</v>
      </c>
      <c r="N1725" s="17" t="n"/>
      <c r="O1725" s="17" t="n"/>
      <c r="P1725" s="17" t="n"/>
      <c r="Q1725" s="17" t="n"/>
      <c r="R1725" s="17" t="n"/>
      <c r="S1725" s="17" t="n"/>
      <c r="T1725" s="17" t="n"/>
      <c r="U1725" s="17" t="n"/>
      <c r="V1725" s="17" t="n"/>
      <c r="W1725" s="17" t="n"/>
      <c r="X1725" s="17" t="n"/>
      <c r="Y1725" s="17" t="n">
        <v>1</v>
      </c>
      <c r="Z1725" s="13">
        <f>SUMPRODUCT(N1725:Y1725,$N$2:$Y$2)*$K1725*$L1725*$M1725</f>
        <v/>
      </c>
      <c r="AA1725" s="14">
        <f>SUM(N1725:Y1725)</f>
        <v/>
      </c>
      <c r="AB1725" s="14">
        <f>IFERROR(IF(UPPER($E1725)="L",SUMPRODUCT(N1725:Y1725,$N$3:$Y$3,$N$2:$Y$2),SUMPRODUCT(N1725:Y1725,$N$4:$Y$4,$N$2:$Y$2))/(Z1725/($K1725*$L1725*$M1725)),"")</f>
        <v/>
      </c>
      <c r="AC1725" s="18" t="n"/>
    </row>
    <row r="1726">
      <c r="A1726" s="9" t="n">
        <v>640449</v>
      </c>
      <c r="B1726" s="9" t="inlineStr">
        <is>
          <t>Clint Frazier</t>
        </is>
      </c>
      <c r="C1726" s="9" t="inlineStr">
        <is>
          <t>CWS</t>
        </is>
      </c>
      <c r="D1726" s="9" t="n">
        <v>32</v>
      </c>
      <c r="E1726" s="16" t="inlineStr">
        <is>
          <t>R</t>
        </is>
      </c>
      <c r="F1726" s="16" t="inlineStr">
        <is>
          <t>RF</t>
        </is>
      </c>
      <c r="G1726" s="9" t="n">
        <v>76</v>
      </c>
      <c r="H1726" s="9" t="n">
        <v>121</v>
      </c>
      <c r="I1726" s="9" t="inlineStr">
        <is>
          <t>Depth (no MLB PA)</t>
        </is>
      </c>
      <c r="J1726" s="16" t="inlineStr">
        <is>
          <t>Opening Day</t>
        </is>
      </c>
      <c r="K1726" s="11">
        <f>IFERROR(INDEX(Roles!$B$17:$B$20,MATCH(J1726,Roles!$A$17:$A$20,0)),1)</f>
        <v/>
      </c>
      <c r="L1726" s="17" t="n">
        <v>1</v>
      </c>
      <c r="M1726" s="11" t="n">
        <v>1</v>
      </c>
      <c r="N1726" s="17" t="n"/>
      <c r="O1726" s="17" t="n"/>
      <c r="P1726" s="17" t="n"/>
      <c r="Q1726" s="17" t="n"/>
      <c r="R1726" s="17" t="n"/>
      <c r="S1726" s="17" t="n"/>
      <c r="T1726" s="17" t="n"/>
      <c r="U1726" s="17" t="n"/>
      <c r="V1726" s="17" t="n"/>
      <c r="W1726" s="17" t="n"/>
      <c r="X1726" s="17" t="n"/>
      <c r="Y1726" s="17" t="n">
        <v>1</v>
      </c>
      <c r="Z1726" s="13">
        <f>SUMPRODUCT(N1726:Y1726,$N$2:$Y$2)*$K1726*$L1726*$M1726</f>
        <v/>
      </c>
      <c r="AA1726" s="14">
        <f>SUM(N1726:Y1726)</f>
        <v/>
      </c>
      <c r="AB1726" s="14">
        <f>IFERROR(IF(UPPER($E1726)="L",SUMPRODUCT(N1726:Y1726,$N$3:$Y$3,$N$2:$Y$2),SUMPRODUCT(N1726:Y1726,$N$4:$Y$4,$N$2:$Y$2))/(Z1726/($K1726*$L1726*$M1726)),"")</f>
        <v/>
      </c>
      <c r="AC1726" s="18" t="n"/>
    </row>
    <row r="1727">
      <c r="A1727" s="9" t="n">
        <v>815877</v>
      </c>
      <c r="B1727" s="9" t="inlineStr">
        <is>
          <t>Jeremiah Jenkins</t>
        </is>
      </c>
      <c r="C1727" s="9" t="inlineStr">
        <is>
          <t>SF</t>
        </is>
      </c>
      <c r="D1727" s="9" t="n">
        <v>25</v>
      </c>
      <c r="E1727" s="16" t="inlineStr">
        <is>
          <t>L</t>
        </is>
      </c>
      <c r="F1727" s="16" t="n"/>
      <c r="G1727" s="9" t="n">
        <v>55.38461538461539</v>
      </c>
      <c r="H1727" s="9" t="n">
        <v>55.38461538461539</v>
      </c>
      <c r="I1727" s="9" t="inlineStr">
        <is>
          <t>Depth (no MLB PA)</t>
        </is>
      </c>
      <c r="J1727" s="16" t="inlineStr">
        <is>
          <t>Opening Day</t>
        </is>
      </c>
      <c r="K1727" s="11">
        <f>IFERROR(INDEX(Roles!$B$17:$B$20,MATCH(J1727,Roles!$A$17:$A$20,0)),1)</f>
        <v/>
      </c>
      <c r="L1727" s="17" t="n">
        <v>1</v>
      </c>
      <c r="M1727" s="11" t="n">
        <v>1</v>
      </c>
      <c r="N1727" s="17" t="n"/>
      <c r="O1727" s="17" t="n"/>
      <c r="P1727" s="17" t="n"/>
      <c r="Q1727" s="17" t="n"/>
      <c r="R1727" s="17" t="n"/>
      <c r="S1727" s="17" t="n"/>
      <c r="T1727" s="17" t="n"/>
      <c r="U1727" s="17" t="n"/>
      <c r="V1727" s="17" t="n"/>
      <c r="W1727" s="17" t="n"/>
      <c r="X1727" s="17" t="n"/>
      <c r="Y1727" s="17" t="n">
        <v>1</v>
      </c>
      <c r="Z1727" s="13">
        <f>SUMPRODUCT(N1727:Y1727,$N$2:$Y$2)*$K1727*$L1727*$M1727</f>
        <v/>
      </c>
      <c r="AA1727" s="14">
        <f>SUM(N1727:Y1727)</f>
        <v/>
      </c>
      <c r="AB1727" s="14">
        <f>IFERROR(IF(UPPER($E1727)="L",SUMPRODUCT(N1727:Y1727,$N$3:$Y$3,$N$2:$Y$2),SUMPRODUCT(N1727:Y1727,$N$4:$Y$4,$N$2:$Y$2))/(Z1727/($K1727*$L1727*$M1727)),"")</f>
        <v/>
      </c>
      <c r="AC1727" s="18" t="n"/>
    </row>
    <row r="1728">
      <c r="A1728" s="9" t="n">
        <v>813664</v>
      </c>
      <c r="B1728" s="9" t="inlineStr">
        <is>
          <t>Justin DeCriscio</t>
        </is>
      </c>
      <c r="C1728" s="9" t="inlineStr">
        <is>
          <t>SD</t>
        </is>
      </c>
      <c r="D1728" s="9" t="n">
        <v>25</v>
      </c>
      <c r="E1728" s="16" t="inlineStr">
        <is>
          <t>R</t>
        </is>
      </c>
      <c r="F1728" s="16" t="n"/>
      <c r="G1728" s="9" t="n">
        <v>27.64102564102564</v>
      </c>
      <c r="H1728" s="9" t="n">
        <v>27.64102564102564</v>
      </c>
      <c r="I1728" s="9" t="inlineStr">
        <is>
          <t>Depth (no MLB PA)</t>
        </is>
      </c>
      <c r="J1728" s="16" t="inlineStr">
        <is>
          <t>Opening Day</t>
        </is>
      </c>
      <c r="K1728" s="11">
        <f>IFERROR(INDEX(Roles!$B$17:$B$20,MATCH(J1728,Roles!$A$17:$A$20,0)),1)</f>
        <v/>
      </c>
      <c r="L1728" s="17" t="n">
        <v>1</v>
      </c>
      <c r="M1728" s="11" t="n">
        <v>1</v>
      </c>
      <c r="N1728" s="17" t="n"/>
      <c r="O1728" s="17" t="n"/>
      <c r="P1728" s="17" t="n"/>
      <c r="Q1728" s="17" t="n"/>
      <c r="R1728" s="17" t="n"/>
      <c r="S1728" s="17" t="n"/>
      <c r="T1728" s="17" t="n"/>
      <c r="U1728" s="17" t="n"/>
      <c r="V1728" s="17" t="n"/>
      <c r="W1728" s="17" t="n"/>
      <c r="X1728" s="17" t="n"/>
      <c r="Y1728" s="17" t="n">
        <v>1</v>
      </c>
      <c r="Z1728" s="13">
        <f>SUMPRODUCT(N1728:Y1728,$N$2:$Y$2)*$K1728*$L1728*$M1728</f>
        <v/>
      </c>
      <c r="AA1728" s="14">
        <f>SUM(N1728:Y1728)</f>
        <v/>
      </c>
      <c r="AB1728" s="14">
        <f>IFERROR(IF(UPPER($E1728)="L",SUMPRODUCT(N1728:Y1728,$N$3:$Y$3,$N$2:$Y$2),SUMPRODUCT(N1728:Y1728,$N$4:$Y$4,$N$2:$Y$2))/(Z1728/($K1728*$L1728*$M1728)),"")</f>
        <v/>
      </c>
      <c r="AC1728" s="18" t="n"/>
    </row>
    <row r="1729">
      <c r="A1729" s="9" t="n">
        <v>815983</v>
      </c>
      <c r="B1729" s="9" t="inlineStr">
        <is>
          <t>Coy James</t>
        </is>
      </c>
      <c r="C1729" s="9" t="inlineStr">
        <is>
          <t>WSH</t>
        </is>
      </c>
      <c r="D1729" s="9" t="n">
        <v>25</v>
      </c>
      <c r="E1729" s="16" t="inlineStr">
        <is>
          <t>R</t>
        </is>
      </c>
      <c r="F1729" s="16" t="n"/>
      <c r="G1729" s="9" t="n">
        <v>61.16923076923077</v>
      </c>
      <c r="H1729" s="9" t="n">
        <v>61.16923076923077</v>
      </c>
      <c r="I1729" s="9" t="inlineStr">
        <is>
          <t>Depth (no MLB PA)</t>
        </is>
      </c>
      <c r="J1729" s="16" t="inlineStr">
        <is>
          <t>Opening Day</t>
        </is>
      </c>
      <c r="K1729" s="11">
        <f>IFERROR(INDEX(Roles!$B$17:$B$20,MATCH(J1729,Roles!$A$17:$A$20,0)),1)</f>
        <v/>
      </c>
      <c r="L1729" s="17" t="n">
        <v>1</v>
      </c>
      <c r="M1729" s="11" t="n">
        <v>1</v>
      </c>
      <c r="N1729" s="17" t="n"/>
      <c r="O1729" s="17" t="n"/>
      <c r="P1729" s="17" t="n"/>
      <c r="Q1729" s="17" t="n"/>
      <c r="R1729" s="17" t="n"/>
      <c r="S1729" s="17" t="n"/>
      <c r="T1729" s="17" t="n"/>
      <c r="U1729" s="17" t="n"/>
      <c r="V1729" s="17" t="n"/>
      <c r="W1729" s="17" t="n"/>
      <c r="X1729" s="17" t="n"/>
      <c r="Y1729" s="17" t="n">
        <v>1</v>
      </c>
      <c r="Z1729" s="13">
        <f>SUMPRODUCT(N1729:Y1729,$N$2:$Y$2)*$K1729*$L1729*$M1729</f>
        <v/>
      </c>
      <c r="AA1729" s="14">
        <f>SUM(N1729:Y1729)</f>
        <v/>
      </c>
      <c r="AB1729" s="14">
        <f>IFERROR(IF(UPPER($E1729)="L",SUMPRODUCT(N1729:Y1729,$N$3:$Y$3,$N$2:$Y$2),SUMPRODUCT(N1729:Y1729,$N$4:$Y$4,$N$2:$Y$2))/(Z1729/($K1729*$L1729*$M1729)),"")</f>
        <v/>
      </c>
      <c r="AC1729" s="18" t="n"/>
    </row>
    <row r="1730">
      <c r="A1730" s="9" t="n">
        <v>829076</v>
      </c>
      <c r="B1730" s="9" t="inlineStr">
        <is>
          <t>Jhomnardo Reyes</t>
        </is>
      </c>
      <c r="C1730" s="9" t="inlineStr">
        <is>
          <t>BAL</t>
        </is>
      </c>
      <c r="D1730" s="9" t="n">
        <v>20</v>
      </c>
      <c r="E1730" s="16" t="inlineStr">
        <is>
          <t>L</t>
        </is>
      </c>
      <c r="F1730" s="16" t="n"/>
      <c r="G1730" s="9" t="n">
        <v>18.33846153846154</v>
      </c>
      <c r="H1730" s="9" t="n">
        <v>18.33846153846154</v>
      </c>
      <c r="I1730" s="9" t="inlineStr">
        <is>
          <t>Depth (no MLB PA)</t>
        </is>
      </c>
      <c r="J1730" s="16" t="inlineStr">
        <is>
          <t>Opening Day</t>
        </is>
      </c>
      <c r="K1730" s="11">
        <f>IFERROR(INDEX(Roles!$B$17:$B$20,MATCH(J1730,Roles!$A$17:$A$20,0)),1)</f>
        <v/>
      </c>
      <c r="L1730" s="17" t="n">
        <v>1</v>
      </c>
      <c r="M1730" s="11" t="n">
        <v>1</v>
      </c>
      <c r="N1730" s="17" t="n"/>
      <c r="O1730" s="17" t="n"/>
      <c r="P1730" s="17" t="n"/>
      <c r="Q1730" s="17" t="n"/>
      <c r="R1730" s="17" t="n"/>
      <c r="S1730" s="17" t="n"/>
      <c r="T1730" s="17" t="n"/>
      <c r="U1730" s="17" t="n"/>
      <c r="V1730" s="17" t="n"/>
      <c r="W1730" s="17" t="n"/>
      <c r="X1730" s="17" t="n"/>
      <c r="Y1730" s="17" t="n">
        <v>1</v>
      </c>
      <c r="Z1730" s="13">
        <f>SUMPRODUCT(N1730:Y1730,$N$2:$Y$2)*$K1730*$L1730*$M1730</f>
        <v/>
      </c>
      <c r="AA1730" s="14">
        <f>SUM(N1730:Y1730)</f>
        <v/>
      </c>
      <c r="AB1730" s="14">
        <f>IFERROR(IF(UPPER($E1730)="L",SUMPRODUCT(N1730:Y1730,$N$3:$Y$3,$N$2:$Y$2),SUMPRODUCT(N1730:Y1730,$N$4:$Y$4,$N$2:$Y$2))/(Z1730/($K1730*$L1730*$M1730)),"")</f>
        <v/>
      </c>
      <c r="AC1730" s="18" t="n"/>
    </row>
    <row r="1731">
      <c r="A1731" s="9" t="n">
        <v>809844</v>
      </c>
      <c r="B1731" s="9" t="inlineStr">
        <is>
          <t>Kien Vu</t>
        </is>
      </c>
      <c r="C1731" s="9" t="inlineStr">
        <is>
          <t>CIN</t>
        </is>
      </c>
      <c r="D1731" s="9" t="n">
        <v>25</v>
      </c>
      <c r="E1731" s="16" t="inlineStr">
        <is>
          <t>L</t>
        </is>
      </c>
      <c r="F1731" s="16" t="n"/>
      <c r="G1731" s="9" t="n">
        <v>62.1025641025641</v>
      </c>
      <c r="H1731" s="9" t="n">
        <v>62.1025641025641</v>
      </c>
      <c r="I1731" s="9" t="inlineStr">
        <is>
          <t>Depth (no MLB PA)</t>
        </is>
      </c>
      <c r="J1731" s="16" t="inlineStr">
        <is>
          <t>Opening Day</t>
        </is>
      </c>
      <c r="K1731" s="11">
        <f>IFERROR(INDEX(Roles!$B$17:$B$20,MATCH(J1731,Roles!$A$17:$A$20,0)),1)</f>
        <v/>
      </c>
      <c r="L1731" s="17" t="n">
        <v>1</v>
      </c>
      <c r="M1731" s="11" t="n">
        <v>1</v>
      </c>
      <c r="N1731" s="17" t="n"/>
      <c r="O1731" s="17" t="n"/>
      <c r="P1731" s="17" t="n"/>
      <c r="Q1731" s="17" t="n"/>
      <c r="R1731" s="17" t="n"/>
      <c r="S1731" s="17" t="n"/>
      <c r="T1731" s="17" t="n"/>
      <c r="U1731" s="17" t="n"/>
      <c r="V1731" s="17" t="n"/>
      <c r="W1731" s="17" t="n"/>
      <c r="X1731" s="17" t="n"/>
      <c r="Y1731" s="17" t="n">
        <v>1</v>
      </c>
      <c r="Z1731" s="13">
        <f>SUMPRODUCT(N1731:Y1731,$N$2:$Y$2)*$K1731*$L1731*$M1731</f>
        <v/>
      </c>
      <c r="AA1731" s="14">
        <f>SUM(N1731:Y1731)</f>
        <v/>
      </c>
      <c r="AB1731" s="14">
        <f>IFERROR(IF(UPPER($E1731)="L",SUMPRODUCT(N1731:Y1731,$N$3:$Y$3,$N$2:$Y$2),SUMPRODUCT(N1731:Y1731,$N$4:$Y$4,$N$2:$Y$2))/(Z1731/($K1731*$L1731*$M1731)),"")</f>
        <v/>
      </c>
      <c r="AC1731" s="18" t="n"/>
    </row>
    <row r="1732">
      <c r="A1732" s="9" t="n">
        <v>800281</v>
      </c>
      <c r="B1732" s="9" t="inlineStr">
        <is>
          <t>Roynier Hernandez</t>
        </is>
      </c>
      <c r="C1732" s="9" t="inlineStr">
        <is>
          <t>COL</t>
        </is>
      </c>
      <c r="D1732" s="9" t="n">
        <v>25</v>
      </c>
      <c r="E1732" s="16" t="inlineStr">
        <is>
          <t>L</t>
        </is>
      </c>
      <c r="F1732" s="16" t="n"/>
      <c r="G1732" s="9" t="n">
        <v>19.02564102564103</v>
      </c>
      <c r="H1732" s="9" t="n">
        <v>19.02564102564103</v>
      </c>
      <c r="I1732" s="9" t="inlineStr">
        <is>
          <t>Depth (no MLB PA)</t>
        </is>
      </c>
      <c r="J1732" s="16" t="inlineStr">
        <is>
          <t>Opening Day</t>
        </is>
      </c>
      <c r="K1732" s="11">
        <f>IFERROR(INDEX(Roles!$B$17:$B$20,MATCH(J1732,Roles!$A$17:$A$20,0)),1)</f>
        <v/>
      </c>
      <c r="L1732" s="17" t="n">
        <v>1</v>
      </c>
      <c r="M1732" s="11" t="n">
        <v>1</v>
      </c>
      <c r="N1732" s="17" t="n"/>
      <c r="O1732" s="17" t="n"/>
      <c r="P1732" s="17" t="n"/>
      <c r="Q1732" s="17" t="n"/>
      <c r="R1732" s="17" t="n"/>
      <c r="S1732" s="17" t="n"/>
      <c r="T1732" s="17" t="n"/>
      <c r="U1732" s="17" t="n"/>
      <c r="V1732" s="17" t="n"/>
      <c r="W1732" s="17" t="n"/>
      <c r="X1732" s="17" t="n"/>
      <c r="Y1732" s="17" t="n">
        <v>1</v>
      </c>
      <c r="Z1732" s="13">
        <f>SUMPRODUCT(N1732:Y1732,$N$2:$Y$2)*$K1732*$L1732*$M1732</f>
        <v/>
      </c>
      <c r="AA1732" s="14">
        <f>SUM(N1732:Y1732)</f>
        <v/>
      </c>
      <c r="AB1732" s="14">
        <f>IFERROR(IF(UPPER($E1732)="L",SUMPRODUCT(N1732:Y1732,$N$3:$Y$3,$N$2:$Y$2),SUMPRODUCT(N1732:Y1732,$N$4:$Y$4,$N$2:$Y$2))/(Z1732/($K1732*$L1732*$M1732)),"")</f>
        <v/>
      </c>
      <c r="AC1732" s="18" t="n"/>
    </row>
    <row r="1733">
      <c r="A1733" s="9" t="n">
        <v>645801</v>
      </c>
      <c r="B1733" s="9" t="inlineStr">
        <is>
          <t>Mike Ford</t>
        </is>
      </c>
      <c r="C1733" s="9" t="inlineStr">
        <is>
          <t>CIN</t>
        </is>
      </c>
      <c r="D1733" s="9" t="n">
        <v>34</v>
      </c>
      <c r="E1733" s="16" t="inlineStr">
        <is>
          <t>L</t>
        </is>
      </c>
      <c r="F1733" s="16" t="inlineStr">
        <is>
          <t>1B</t>
        </is>
      </c>
      <c r="G1733" s="9" t="n">
        <v>62</v>
      </c>
      <c r="H1733" s="9" t="n">
        <v>462</v>
      </c>
      <c r="I1733" s="9" t="inlineStr">
        <is>
          <t>Depth (no MLB PA)</t>
        </is>
      </c>
      <c r="J1733" s="16" t="inlineStr">
        <is>
          <t>Opening Day</t>
        </is>
      </c>
      <c r="K1733" s="11">
        <f>IFERROR(INDEX(Roles!$B$17:$B$20,MATCH(J1733,Roles!$A$17:$A$20,0)),1)</f>
        <v/>
      </c>
      <c r="L1733" s="17" t="n">
        <v>1</v>
      </c>
      <c r="M1733" s="11" t="n">
        <v>1</v>
      </c>
      <c r="N1733" s="17" t="n"/>
      <c r="O1733" s="17" t="n"/>
      <c r="P1733" s="17" t="n"/>
      <c r="Q1733" s="17" t="n"/>
      <c r="R1733" s="17" t="n"/>
      <c r="S1733" s="17" t="n"/>
      <c r="T1733" s="17" t="n"/>
      <c r="U1733" s="17" t="n"/>
      <c r="V1733" s="17" t="n"/>
      <c r="W1733" s="17" t="n"/>
      <c r="X1733" s="17" t="n"/>
      <c r="Y1733" s="17" t="n">
        <v>1</v>
      </c>
      <c r="Z1733" s="13">
        <f>SUMPRODUCT(N1733:Y1733,$N$2:$Y$2)*$K1733*$L1733*$M1733</f>
        <v/>
      </c>
      <c r="AA1733" s="14">
        <f>SUM(N1733:Y1733)</f>
        <v/>
      </c>
      <c r="AB1733" s="14">
        <f>IFERROR(IF(UPPER($E1733)="L",SUMPRODUCT(N1733:Y1733,$N$3:$Y$3,$N$2:$Y$2),SUMPRODUCT(N1733:Y1733,$N$4:$Y$4,$N$2:$Y$2))/(Z1733/($K1733*$L1733*$M1733)),"")</f>
        <v/>
      </c>
      <c r="AC1733" s="18" t="n"/>
    </row>
    <row r="1734">
      <c r="A1734" s="9" t="n">
        <v>835279</v>
      </c>
      <c r="B1734" s="9" t="inlineStr">
        <is>
          <t>Jake Schaffner</t>
        </is>
      </c>
      <c r="C1734" s="9" t="inlineStr">
        <is>
          <t>BOS</t>
        </is>
      </c>
      <c r="D1734" s="9" t="n">
        <v>23</v>
      </c>
      <c r="E1734" s="16" t="inlineStr">
        <is>
          <t>L</t>
        </is>
      </c>
      <c r="F1734" s="16" t="n"/>
      <c r="G1734" s="9" t="n">
        <v>23.58974358974359</v>
      </c>
      <c r="H1734" s="9" t="n">
        <v>23.58974358974359</v>
      </c>
      <c r="I1734" s="9" t="inlineStr">
        <is>
          <t>Depth (no MLB PA)</t>
        </is>
      </c>
      <c r="J1734" s="16" t="inlineStr">
        <is>
          <t>Opening Day</t>
        </is>
      </c>
      <c r="K1734" s="11">
        <f>IFERROR(INDEX(Roles!$B$17:$B$20,MATCH(J1734,Roles!$A$17:$A$20,0)),1)</f>
        <v/>
      </c>
      <c r="L1734" s="17" t="n">
        <v>1</v>
      </c>
      <c r="M1734" s="11" t="n">
        <v>1</v>
      </c>
      <c r="N1734" s="17" t="n"/>
      <c r="O1734" s="17" t="n"/>
      <c r="P1734" s="17" t="n"/>
      <c r="Q1734" s="17" t="n"/>
      <c r="R1734" s="17" t="n"/>
      <c r="S1734" s="17" t="n"/>
      <c r="T1734" s="17" t="n"/>
      <c r="U1734" s="17" t="n"/>
      <c r="V1734" s="17" t="n"/>
      <c r="W1734" s="17" t="n"/>
      <c r="X1734" s="17" t="n"/>
      <c r="Y1734" s="17" t="n">
        <v>1</v>
      </c>
      <c r="Z1734" s="13">
        <f>SUMPRODUCT(N1734:Y1734,$N$2:$Y$2)*$K1734*$L1734*$M1734</f>
        <v/>
      </c>
      <c r="AA1734" s="14">
        <f>SUM(N1734:Y1734)</f>
        <v/>
      </c>
      <c r="AB1734" s="14">
        <f>IFERROR(IF(UPPER($E1734)="L",SUMPRODUCT(N1734:Y1734,$N$3:$Y$3,$N$2:$Y$2),SUMPRODUCT(N1734:Y1734,$N$4:$Y$4,$N$2:$Y$2))/(Z1734/($K1734*$L1734*$M1734)),"")</f>
        <v/>
      </c>
      <c r="AC1734" s="18" t="n"/>
    </row>
    <row r="1735">
      <c r="A1735" s="9" t="n">
        <v>695579</v>
      </c>
      <c r="B1735" s="9" t="inlineStr">
        <is>
          <t>Trevor Haskins</t>
        </is>
      </c>
      <c r="C1735" s="9" t="inlineStr">
        <is>
          <t>STL</t>
        </is>
      </c>
      <c r="D1735" s="9" t="n">
        <v>25</v>
      </c>
      <c r="E1735" s="16" t="inlineStr">
        <is>
          <t>R</t>
        </is>
      </c>
      <c r="F1735" s="16" t="n"/>
      <c r="G1735" s="9" t="n">
        <v>44.67692307692308</v>
      </c>
      <c r="H1735" s="9" t="n">
        <v>44.67692307692308</v>
      </c>
      <c r="I1735" s="9" t="inlineStr">
        <is>
          <t>Depth (no MLB PA)</t>
        </is>
      </c>
      <c r="J1735" s="16" t="inlineStr">
        <is>
          <t>Opening Day</t>
        </is>
      </c>
      <c r="K1735" s="11">
        <f>IFERROR(INDEX(Roles!$B$17:$B$20,MATCH(J1735,Roles!$A$17:$A$20,0)),1)</f>
        <v/>
      </c>
      <c r="L1735" s="17" t="n">
        <v>1</v>
      </c>
      <c r="M1735" s="11" t="n">
        <v>1</v>
      </c>
      <c r="N1735" s="17" t="n"/>
      <c r="O1735" s="17" t="n"/>
      <c r="P1735" s="17" t="n"/>
      <c r="Q1735" s="17" t="n"/>
      <c r="R1735" s="17" t="n"/>
      <c r="S1735" s="17" t="n"/>
      <c r="T1735" s="17" t="n"/>
      <c r="U1735" s="17" t="n"/>
      <c r="V1735" s="17" t="n"/>
      <c r="W1735" s="17" t="n"/>
      <c r="X1735" s="17" t="n"/>
      <c r="Y1735" s="17" t="n">
        <v>1</v>
      </c>
      <c r="Z1735" s="13">
        <f>SUMPRODUCT(N1735:Y1735,$N$2:$Y$2)*$K1735*$L1735*$M1735</f>
        <v/>
      </c>
      <c r="AA1735" s="14">
        <f>SUM(N1735:Y1735)</f>
        <v/>
      </c>
      <c r="AB1735" s="14">
        <f>IFERROR(IF(UPPER($E1735)="L",SUMPRODUCT(N1735:Y1735,$N$3:$Y$3,$N$2:$Y$2),SUMPRODUCT(N1735:Y1735,$N$4:$Y$4,$N$2:$Y$2))/(Z1735/($K1735*$L1735*$M1735)),"")</f>
        <v/>
      </c>
      <c r="AC1735" s="18" t="n"/>
    </row>
    <row r="1736">
      <c r="A1736" s="9" t="n">
        <v>803811</v>
      </c>
      <c r="B1736" s="9" t="inlineStr">
        <is>
          <t>Josh Hogue</t>
        </is>
      </c>
      <c r="C1736" s="9" t="inlineStr">
        <is>
          <t>MIA</t>
        </is>
      </c>
      <c r="D1736" s="9" t="n">
        <v>25</v>
      </c>
      <c r="E1736" s="16" t="inlineStr">
        <is>
          <t>L</t>
        </is>
      </c>
      <c r="F1736" s="16" t="n"/>
      <c r="G1736" s="9" t="n">
        <v>29.66153846153846</v>
      </c>
      <c r="H1736" s="9" t="n">
        <v>29.66153846153846</v>
      </c>
      <c r="I1736" s="9" t="inlineStr">
        <is>
          <t>Depth (no MLB PA)</t>
        </is>
      </c>
      <c r="J1736" s="16" t="inlineStr">
        <is>
          <t>Opening Day</t>
        </is>
      </c>
      <c r="K1736" s="11">
        <f>IFERROR(INDEX(Roles!$B$17:$B$20,MATCH(J1736,Roles!$A$17:$A$20,0)),1)</f>
        <v/>
      </c>
      <c r="L1736" s="17" t="n">
        <v>1</v>
      </c>
      <c r="M1736" s="11" t="n">
        <v>1</v>
      </c>
      <c r="N1736" s="17" t="n"/>
      <c r="O1736" s="17" t="n"/>
      <c r="P1736" s="17" t="n"/>
      <c r="Q1736" s="17" t="n"/>
      <c r="R1736" s="17" t="n"/>
      <c r="S1736" s="17" t="n"/>
      <c r="T1736" s="17" t="n"/>
      <c r="U1736" s="17" t="n"/>
      <c r="V1736" s="17" t="n"/>
      <c r="W1736" s="17" t="n"/>
      <c r="X1736" s="17" t="n"/>
      <c r="Y1736" s="17" t="n">
        <v>1</v>
      </c>
      <c r="Z1736" s="13">
        <f>SUMPRODUCT(N1736:Y1736,$N$2:$Y$2)*$K1736*$L1736*$M1736</f>
        <v/>
      </c>
      <c r="AA1736" s="14">
        <f>SUM(N1736:Y1736)</f>
        <v/>
      </c>
      <c r="AB1736" s="14">
        <f>IFERROR(IF(UPPER($E1736)="L",SUMPRODUCT(N1736:Y1736,$N$3:$Y$3,$N$2:$Y$2),SUMPRODUCT(N1736:Y1736,$N$4:$Y$4,$N$2:$Y$2))/(Z1736/($K1736*$L1736*$M1736)),"")</f>
        <v/>
      </c>
      <c r="AC1736" s="18" t="n"/>
    </row>
    <row r="1737">
      <c r="A1737" s="9" t="n">
        <v>702547</v>
      </c>
      <c r="B1737" s="9" t="inlineStr">
        <is>
          <t>Caden Powell</t>
        </is>
      </c>
      <c r="C1737" s="9" t="inlineStr">
        <is>
          <t>HOU</t>
        </is>
      </c>
      <c r="D1737" s="9" t="n">
        <v>25</v>
      </c>
      <c r="E1737" s="16" t="inlineStr">
        <is>
          <t>R</t>
        </is>
      </c>
      <c r="F1737" s="16" t="n"/>
      <c r="G1737" s="9" t="n">
        <v>96.20512820512822</v>
      </c>
      <c r="H1737" s="9" t="n">
        <v>96.20512820512822</v>
      </c>
      <c r="I1737" s="9" t="inlineStr">
        <is>
          <t>Depth (no MLB PA)</t>
        </is>
      </c>
      <c r="J1737" s="16" t="inlineStr">
        <is>
          <t>Opening Day</t>
        </is>
      </c>
      <c r="K1737" s="11">
        <f>IFERROR(INDEX(Roles!$B$17:$B$20,MATCH(J1737,Roles!$A$17:$A$20,0)),1)</f>
        <v/>
      </c>
      <c r="L1737" s="17" t="n">
        <v>1</v>
      </c>
      <c r="M1737" s="11" t="n">
        <v>1</v>
      </c>
      <c r="N1737" s="17" t="n"/>
      <c r="O1737" s="17" t="n"/>
      <c r="P1737" s="17" t="n"/>
      <c r="Q1737" s="17" t="n"/>
      <c r="R1737" s="17" t="n"/>
      <c r="S1737" s="17" t="n"/>
      <c r="T1737" s="17" t="n"/>
      <c r="U1737" s="17" t="n"/>
      <c r="V1737" s="17" t="n"/>
      <c r="W1737" s="17" t="n"/>
      <c r="X1737" s="17" t="n"/>
      <c r="Y1737" s="17" t="n">
        <v>1</v>
      </c>
      <c r="Z1737" s="13">
        <f>SUMPRODUCT(N1737:Y1737,$N$2:$Y$2)*$K1737*$L1737*$M1737</f>
        <v/>
      </c>
      <c r="AA1737" s="14">
        <f>SUM(N1737:Y1737)</f>
        <v/>
      </c>
      <c r="AB1737" s="14">
        <f>IFERROR(IF(UPPER($E1737)="L",SUMPRODUCT(N1737:Y1737,$N$3:$Y$3,$N$2:$Y$2),SUMPRODUCT(N1737:Y1737,$N$4:$Y$4,$N$2:$Y$2))/(Z1737/($K1737*$L1737*$M1737)),"")</f>
        <v/>
      </c>
      <c r="AC1737" s="18" t="n"/>
    </row>
    <row r="1738">
      <c r="A1738" s="9" t="n">
        <v>815528</v>
      </c>
      <c r="B1738" s="9" t="inlineStr">
        <is>
          <t>Ediel Rivera</t>
        </is>
      </c>
      <c r="C1738" s="9" t="inlineStr">
        <is>
          <t>NYY</t>
        </is>
      </c>
      <c r="D1738" s="9" t="n">
        <v>25</v>
      </c>
      <c r="E1738" s="16" t="inlineStr">
        <is>
          <t>R</t>
        </is>
      </c>
      <c r="F1738" s="16" t="n"/>
      <c r="G1738" s="9" t="n">
        <v>27.07692307692308</v>
      </c>
      <c r="H1738" s="9" t="n">
        <v>27.07692307692308</v>
      </c>
      <c r="I1738" s="9" t="inlineStr">
        <is>
          <t>Depth (no MLB PA)</t>
        </is>
      </c>
      <c r="J1738" s="16" t="inlineStr">
        <is>
          <t>Opening Day</t>
        </is>
      </c>
      <c r="K1738" s="11">
        <f>IFERROR(INDEX(Roles!$B$17:$B$20,MATCH(J1738,Roles!$A$17:$A$20,0)),1)</f>
        <v/>
      </c>
      <c r="L1738" s="17" t="n">
        <v>1</v>
      </c>
      <c r="M1738" s="11" t="n">
        <v>1</v>
      </c>
      <c r="N1738" s="17" t="n"/>
      <c r="O1738" s="17" t="n"/>
      <c r="P1738" s="17" t="n"/>
      <c r="Q1738" s="17" t="n"/>
      <c r="R1738" s="17" t="n"/>
      <c r="S1738" s="17" t="n"/>
      <c r="T1738" s="17" t="n"/>
      <c r="U1738" s="17" t="n"/>
      <c r="V1738" s="17" t="n"/>
      <c r="W1738" s="17" t="n"/>
      <c r="X1738" s="17" t="n"/>
      <c r="Y1738" s="17" t="n">
        <v>1</v>
      </c>
      <c r="Z1738" s="13">
        <f>SUMPRODUCT(N1738:Y1738,$N$2:$Y$2)*$K1738*$L1738*$M1738</f>
        <v/>
      </c>
      <c r="AA1738" s="14">
        <f>SUM(N1738:Y1738)</f>
        <v/>
      </c>
      <c r="AB1738" s="14">
        <f>IFERROR(IF(UPPER($E1738)="L",SUMPRODUCT(N1738:Y1738,$N$3:$Y$3,$N$2:$Y$2),SUMPRODUCT(N1738:Y1738,$N$4:$Y$4,$N$2:$Y$2))/(Z1738/($K1738*$L1738*$M1738)),"")</f>
        <v/>
      </c>
      <c r="AC1738" s="18" t="n"/>
    </row>
    <row r="1739">
      <c r="A1739" s="9" t="n">
        <v>815438</v>
      </c>
      <c r="B1739" s="9" t="inlineStr">
        <is>
          <t>Jesus Freitez</t>
        </is>
      </c>
      <c r="C1739" s="9" t="inlineStr">
        <is>
          <t>COL</t>
        </is>
      </c>
      <c r="D1739" s="9" t="n">
        <v>25</v>
      </c>
      <c r="E1739" s="16" t="inlineStr">
        <is>
          <t>R</t>
        </is>
      </c>
      <c r="F1739" s="16" t="n"/>
      <c r="G1739" s="9" t="n">
        <v>21.66153846153846</v>
      </c>
      <c r="H1739" s="9" t="n">
        <v>21.66153846153846</v>
      </c>
      <c r="I1739" s="9" t="inlineStr">
        <is>
          <t>Depth (no MLB PA)</t>
        </is>
      </c>
      <c r="J1739" s="16" t="inlineStr">
        <is>
          <t>Opening Day</t>
        </is>
      </c>
      <c r="K1739" s="11">
        <f>IFERROR(INDEX(Roles!$B$17:$B$20,MATCH(J1739,Roles!$A$17:$A$20,0)),1)</f>
        <v/>
      </c>
      <c r="L1739" s="17" t="n">
        <v>1</v>
      </c>
      <c r="M1739" s="11" t="n">
        <v>1</v>
      </c>
      <c r="N1739" s="17" t="n"/>
      <c r="O1739" s="17" t="n"/>
      <c r="P1739" s="17" t="n"/>
      <c r="Q1739" s="17" t="n"/>
      <c r="R1739" s="17" t="n"/>
      <c r="S1739" s="17" t="n"/>
      <c r="T1739" s="17" t="n"/>
      <c r="U1739" s="17" t="n"/>
      <c r="V1739" s="17" t="n"/>
      <c r="W1739" s="17" t="n"/>
      <c r="X1739" s="17" t="n"/>
      <c r="Y1739" s="17" t="n">
        <v>1</v>
      </c>
      <c r="Z1739" s="13">
        <f>SUMPRODUCT(N1739:Y1739,$N$2:$Y$2)*$K1739*$L1739*$M1739</f>
        <v/>
      </c>
      <c r="AA1739" s="14">
        <f>SUM(N1739:Y1739)</f>
        <v/>
      </c>
      <c r="AB1739" s="14">
        <f>IFERROR(IF(UPPER($E1739)="L",SUMPRODUCT(N1739:Y1739,$N$3:$Y$3,$N$2:$Y$2),SUMPRODUCT(N1739:Y1739,$N$4:$Y$4,$N$2:$Y$2))/(Z1739/($K1739*$L1739*$M1739)),"")</f>
        <v/>
      </c>
      <c r="AC1739" s="18" t="n"/>
    </row>
    <row r="1740">
      <c r="A1740" s="9" t="n">
        <v>806306</v>
      </c>
      <c r="B1740" s="9" t="inlineStr">
        <is>
          <t>Cameron Decker</t>
        </is>
      </c>
      <c r="C1740" s="9" t="inlineStr">
        <is>
          <t>LAD</t>
        </is>
      </c>
      <c r="D1740" s="9" t="n">
        <v>25</v>
      </c>
      <c r="E1740" s="16" t="inlineStr">
        <is>
          <t>R</t>
        </is>
      </c>
      <c r="F1740" s="16" t="n"/>
      <c r="G1740" s="9" t="n">
        <v>35.28205128205128</v>
      </c>
      <c r="H1740" s="9" t="n">
        <v>35.28205128205128</v>
      </c>
      <c r="I1740" s="9" t="inlineStr">
        <is>
          <t>Depth (no MLB PA)</t>
        </is>
      </c>
      <c r="J1740" s="16" t="inlineStr">
        <is>
          <t>Opening Day</t>
        </is>
      </c>
      <c r="K1740" s="11">
        <f>IFERROR(INDEX(Roles!$B$17:$B$20,MATCH(J1740,Roles!$A$17:$A$20,0)),1)</f>
        <v/>
      </c>
      <c r="L1740" s="17" t="n">
        <v>1</v>
      </c>
      <c r="M1740" s="11" t="n">
        <v>1</v>
      </c>
      <c r="N1740" s="17" t="n"/>
      <c r="O1740" s="17" t="n"/>
      <c r="P1740" s="17" t="n"/>
      <c r="Q1740" s="17" t="n"/>
      <c r="R1740" s="17" t="n"/>
      <c r="S1740" s="17" t="n"/>
      <c r="T1740" s="17" t="n"/>
      <c r="U1740" s="17" t="n"/>
      <c r="V1740" s="17" t="n"/>
      <c r="W1740" s="17" t="n"/>
      <c r="X1740" s="17" t="n"/>
      <c r="Y1740" s="17" t="n">
        <v>1</v>
      </c>
      <c r="Z1740" s="13">
        <f>SUMPRODUCT(N1740:Y1740,$N$2:$Y$2)*$K1740*$L1740*$M1740</f>
        <v/>
      </c>
      <c r="AA1740" s="14">
        <f>SUM(N1740:Y1740)</f>
        <v/>
      </c>
      <c r="AB1740" s="14">
        <f>IFERROR(IF(UPPER($E1740)="L",SUMPRODUCT(N1740:Y1740,$N$3:$Y$3,$N$2:$Y$2),SUMPRODUCT(N1740:Y1740,$N$4:$Y$4,$N$2:$Y$2))/(Z1740/($K1740*$L1740*$M1740)),"")</f>
        <v/>
      </c>
      <c r="AC1740" s="18" t="n"/>
    </row>
    <row r="1741">
      <c r="A1741" s="9" t="n">
        <v>815874</v>
      </c>
      <c r="B1741" s="9" t="inlineStr">
        <is>
          <t>Nick Roselli</t>
        </is>
      </c>
      <c r="C1741" s="9" t="inlineStr">
        <is>
          <t>NYM</t>
        </is>
      </c>
      <c r="D1741" s="9" t="n">
        <v>25</v>
      </c>
      <c r="E1741" s="16" t="inlineStr">
        <is>
          <t>L</t>
        </is>
      </c>
      <c r="F1741" s="16" t="n"/>
      <c r="G1741" s="9" t="n">
        <v>18.66666666666667</v>
      </c>
      <c r="H1741" s="9" t="n">
        <v>18.66666666666667</v>
      </c>
      <c r="I1741" s="9" t="inlineStr">
        <is>
          <t>Depth (no MLB PA)</t>
        </is>
      </c>
      <c r="J1741" s="16" t="inlineStr">
        <is>
          <t>Opening Day</t>
        </is>
      </c>
      <c r="K1741" s="11">
        <f>IFERROR(INDEX(Roles!$B$17:$B$20,MATCH(J1741,Roles!$A$17:$A$20,0)),1)</f>
        <v/>
      </c>
      <c r="L1741" s="17" t="n">
        <v>1</v>
      </c>
      <c r="M1741" s="11" t="n">
        <v>1</v>
      </c>
      <c r="N1741" s="17" t="n"/>
      <c r="O1741" s="17" t="n"/>
      <c r="P1741" s="17" t="n"/>
      <c r="Q1741" s="17" t="n"/>
      <c r="R1741" s="17" t="n"/>
      <c r="S1741" s="17" t="n"/>
      <c r="T1741" s="17" t="n"/>
      <c r="U1741" s="17" t="n"/>
      <c r="V1741" s="17" t="n"/>
      <c r="W1741" s="17" t="n"/>
      <c r="X1741" s="17" t="n"/>
      <c r="Y1741" s="17" t="n">
        <v>1</v>
      </c>
      <c r="Z1741" s="13">
        <f>SUMPRODUCT(N1741:Y1741,$N$2:$Y$2)*$K1741*$L1741*$M1741</f>
        <v/>
      </c>
      <c r="AA1741" s="14">
        <f>SUM(N1741:Y1741)</f>
        <v/>
      </c>
      <c r="AB1741" s="14">
        <f>IFERROR(IF(UPPER($E1741)="L",SUMPRODUCT(N1741:Y1741,$N$3:$Y$3,$N$2:$Y$2),SUMPRODUCT(N1741:Y1741,$N$4:$Y$4,$N$2:$Y$2))/(Z1741/($K1741*$L1741*$M1741)),"")</f>
        <v/>
      </c>
      <c r="AC1741" s="18" t="n"/>
    </row>
    <row r="1742">
      <c r="A1742" s="9" t="n">
        <v>699698</v>
      </c>
      <c r="B1742" s="9" t="inlineStr">
        <is>
          <t>Ricardo Cova</t>
        </is>
      </c>
      <c r="C1742" s="9" t="inlineStr">
        <is>
          <t>SEA</t>
        </is>
      </c>
      <c r="D1742" s="9" t="n">
        <v>25</v>
      </c>
      <c r="E1742" s="16" t="inlineStr">
        <is>
          <t>R</t>
        </is>
      </c>
      <c r="F1742" s="16" t="n"/>
      <c r="G1742" s="9" t="n">
        <v>19.48717948717949</v>
      </c>
      <c r="H1742" s="9" t="n">
        <v>19.48717948717949</v>
      </c>
      <c r="I1742" s="9" t="inlineStr">
        <is>
          <t>Depth (no MLB PA)</t>
        </is>
      </c>
      <c r="J1742" s="16" t="inlineStr">
        <is>
          <t>Opening Day</t>
        </is>
      </c>
      <c r="K1742" s="11">
        <f>IFERROR(INDEX(Roles!$B$17:$B$20,MATCH(J1742,Roles!$A$17:$A$20,0)),1)</f>
        <v/>
      </c>
      <c r="L1742" s="17" t="n">
        <v>1</v>
      </c>
      <c r="M1742" s="11" t="n">
        <v>1</v>
      </c>
      <c r="N1742" s="17" t="n"/>
      <c r="O1742" s="17" t="n"/>
      <c r="P1742" s="17" t="n"/>
      <c r="Q1742" s="17" t="n"/>
      <c r="R1742" s="17" t="n"/>
      <c r="S1742" s="17" t="n"/>
      <c r="T1742" s="17" t="n"/>
      <c r="U1742" s="17" t="n"/>
      <c r="V1742" s="17" t="n"/>
      <c r="W1742" s="17" t="n"/>
      <c r="X1742" s="17" t="n"/>
      <c r="Y1742" s="17" t="n">
        <v>1</v>
      </c>
      <c r="Z1742" s="13">
        <f>SUMPRODUCT(N1742:Y1742,$N$2:$Y$2)*$K1742*$L1742*$M1742</f>
        <v/>
      </c>
      <c r="AA1742" s="14">
        <f>SUM(N1742:Y1742)</f>
        <v/>
      </c>
      <c r="AB1742" s="14">
        <f>IFERROR(IF(UPPER($E1742)="L",SUMPRODUCT(N1742:Y1742,$N$3:$Y$3,$N$2:$Y$2),SUMPRODUCT(N1742:Y1742,$N$4:$Y$4,$N$2:$Y$2))/(Z1742/($K1742*$L1742*$M1742)),"")</f>
        <v/>
      </c>
      <c r="AC1742" s="18" t="n"/>
    </row>
    <row r="1743">
      <c r="A1743" s="9" t="n">
        <v>828685</v>
      </c>
      <c r="B1743" s="9" t="inlineStr">
        <is>
          <t>Taitn Gray</t>
        </is>
      </c>
      <c r="C1743" s="9" t="inlineStr">
        <is>
          <t>TB</t>
        </is>
      </c>
      <c r="D1743" s="9" t="n">
        <v>20</v>
      </c>
      <c r="E1743" s="16" t="inlineStr">
        <is>
          <t>S</t>
        </is>
      </c>
      <c r="F1743" s="16" t="n"/>
      <c r="G1743" s="9" t="n">
        <v>36.92307692307692</v>
      </c>
      <c r="H1743" s="9" t="n">
        <v>36.92307692307692</v>
      </c>
      <c r="I1743" s="9" t="inlineStr">
        <is>
          <t>Depth (no MLB PA)</t>
        </is>
      </c>
      <c r="J1743" s="16" t="inlineStr">
        <is>
          <t>Opening Day</t>
        </is>
      </c>
      <c r="K1743" s="11">
        <f>IFERROR(INDEX(Roles!$B$17:$B$20,MATCH(J1743,Roles!$A$17:$A$20,0)),1)</f>
        <v/>
      </c>
      <c r="L1743" s="17" t="n">
        <v>1</v>
      </c>
      <c r="M1743" s="11" t="n">
        <v>1</v>
      </c>
      <c r="N1743" s="17" t="n"/>
      <c r="O1743" s="17" t="n"/>
      <c r="P1743" s="17" t="n"/>
      <c r="Q1743" s="17" t="n"/>
      <c r="R1743" s="17" t="n"/>
      <c r="S1743" s="17" t="n"/>
      <c r="T1743" s="17" t="n"/>
      <c r="U1743" s="17" t="n"/>
      <c r="V1743" s="17" t="n"/>
      <c r="W1743" s="17" t="n"/>
      <c r="X1743" s="17" t="n"/>
      <c r="Y1743" s="17" t="n">
        <v>1</v>
      </c>
      <c r="Z1743" s="13">
        <f>SUMPRODUCT(N1743:Y1743,$N$2:$Y$2)*$K1743*$L1743*$M1743</f>
        <v/>
      </c>
      <c r="AA1743" s="14">
        <f>SUM(N1743:Y1743)</f>
        <v/>
      </c>
      <c r="AB1743" s="14">
        <f>IFERROR(IF(UPPER($E1743)="L",SUMPRODUCT(N1743:Y1743,$N$3:$Y$3,$N$2:$Y$2),SUMPRODUCT(N1743:Y1743,$N$4:$Y$4,$N$2:$Y$2))/(Z1743/($K1743*$L1743*$M1743)),"")</f>
        <v/>
      </c>
      <c r="AC1743" s="18" t="n"/>
    </row>
    <row r="1744">
      <c r="A1744" s="9" t="n">
        <v>806999</v>
      </c>
      <c r="B1744" s="9" t="inlineStr">
        <is>
          <t>Manuel Cabrera</t>
        </is>
      </c>
      <c r="C1744" s="9" t="inlineStr">
        <is>
          <t>WSH</t>
        </is>
      </c>
      <c r="D1744" s="9" t="n">
        <v>25</v>
      </c>
      <c r="E1744" s="16" t="inlineStr">
        <is>
          <t>R</t>
        </is>
      </c>
      <c r="F1744" s="16" t="n"/>
      <c r="G1744" s="9" t="n">
        <v>29.66153846153846</v>
      </c>
      <c r="H1744" s="9" t="n">
        <v>29.66153846153846</v>
      </c>
      <c r="I1744" s="9" t="inlineStr">
        <is>
          <t>Depth (no MLB PA)</t>
        </is>
      </c>
      <c r="J1744" s="16" t="inlineStr">
        <is>
          <t>Opening Day</t>
        </is>
      </c>
      <c r="K1744" s="11">
        <f>IFERROR(INDEX(Roles!$B$17:$B$20,MATCH(J1744,Roles!$A$17:$A$20,0)),1)</f>
        <v/>
      </c>
      <c r="L1744" s="17" t="n">
        <v>1</v>
      </c>
      <c r="M1744" s="11" t="n">
        <v>1</v>
      </c>
      <c r="N1744" s="17" t="n"/>
      <c r="O1744" s="17" t="n"/>
      <c r="P1744" s="17" t="n"/>
      <c r="Q1744" s="17" t="n"/>
      <c r="R1744" s="17" t="n"/>
      <c r="S1744" s="17" t="n"/>
      <c r="T1744" s="17" t="n"/>
      <c r="U1744" s="17" t="n"/>
      <c r="V1744" s="17" t="n"/>
      <c r="W1744" s="17" t="n"/>
      <c r="X1744" s="17" t="n"/>
      <c r="Y1744" s="17" t="n">
        <v>1</v>
      </c>
      <c r="Z1744" s="13">
        <f>SUMPRODUCT(N1744:Y1744,$N$2:$Y$2)*$K1744*$L1744*$M1744</f>
        <v/>
      </c>
      <c r="AA1744" s="14">
        <f>SUM(N1744:Y1744)</f>
        <v/>
      </c>
      <c r="AB1744" s="14">
        <f>IFERROR(IF(UPPER($E1744)="L",SUMPRODUCT(N1744:Y1744,$N$3:$Y$3,$N$2:$Y$2),SUMPRODUCT(N1744:Y1744,$N$4:$Y$4,$N$2:$Y$2))/(Z1744/($K1744*$L1744*$M1744)),"")</f>
        <v/>
      </c>
      <c r="AC1744" s="18" t="n"/>
    </row>
    <row r="1745">
      <c r="A1745" s="9" t="n">
        <v>800607</v>
      </c>
      <c r="B1745" s="9" t="inlineStr">
        <is>
          <t>Kehden Hettiger</t>
        </is>
      </c>
      <c r="C1745" s="9" t="inlineStr">
        <is>
          <t>PHI</t>
        </is>
      </c>
      <c r="D1745" s="9" t="n">
        <v>25</v>
      </c>
      <c r="E1745" s="16" t="inlineStr">
        <is>
          <t>L</t>
        </is>
      </c>
      <c r="F1745" s="16" t="n"/>
      <c r="G1745" s="9" t="n">
        <v>87.23076923076923</v>
      </c>
      <c r="H1745" s="9" t="n">
        <v>87.23076923076923</v>
      </c>
      <c r="I1745" s="9" t="inlineStr">
        <is>
          <t>Depth (no MLB PA)</t>
        </is>
      </c>
      <c r="J1745" s="16" t="inlineStr">
        <is>
          <t>Opening Day</t>
        </is>
      </c>
      <c r="K1745" s="11">
        <f>IFERROR(INDEX(Roles!$B$17:$B$20,MATCH(J1745,Roles!$A$17:$A$20,0)),1)</f>
        <v/>
      </c>
      <c r="L1745" s="17" t="n">
        <v>1</v>
      </c>
      <c r="M1745" s="11" t="n">
        <v>1</v>
      </c>
      <c r="N1745" s="17" t="n"/>
      <c r="O1745" s="17" t="n"/>
      <c r="P1745" s="17" t="n"/>
      <c r="Q1745" s="17" t="n"/>
      <c r="R1745" s="17" t="n"/>
      <c r="S1745" s="17" t="n"/>
      <c r="T1745" s="17" t="n"/>
      <c r="U1745" s="17" t="n"/>
      <c r="V1745" s="17" t="n"/>
      <c r="W1745" s="17" t="n"/>
      <c r="X1745" s="17" t="n"/>
      <c r="Y1745" s="17" t="n">
        <v>1</v>
      </c>
      <c r="Z1745" s="13">
        <f>SUMPRODUCT(N1745:Y1745,$N$2:$Y$2)*$K1745*$L1745*$M1745</f>
        <v/>
      </c>
      <c r="AA1745" s="14">
        <f>SUM(N1745:Y1745)</f>
        <v/>
      </c>
      <c r="AB1745" s="14">
        <f>IFERROR(IF(UPPER($E1745)="L",SUMPRODUCT(N1745:Y1745,$N$3:$Y$3,$N$2:$Y$2),SUMPRODUCT(N1745:Y1745,$N$4:$Y$4,$N$2:$Y$2))/(Z1745/($K1745*$L1745*$M1745)),"")</f>
        <v/>
      </c>
      <c r="AC1745" s="18" t="n"/>
    </row>
    <row r="1746">
      <c r="A1746" s="9" t="n">
        <v>691863</v>
      </c>
      <c r="B1746" s="9" t="inlineStr">
        <is>
          <t>Carlos Franco</t>
        </is>
      </c>
      <c r="C1746" s="9" t="inlineStr">
        <is>
          <t>OAK</t>
        </is>
      </c>
      <c r="D1746" s="9" t="n">
        <v>25</v>
      </c>
      <c r="E1746" s="16" t="inlineStr">
        <is>
          <t>R</t>
        </is>
      </c>
      <c r="F1746" s="16" t="n"/>
      <c r="G1746" s="9" t="n">
        <v>32.82051282051282</v>
      </c>
      <c r="H1746" s="9" t="n">
        <v>32.82051282051282</v>
      </c>
      <c r="I1746" s="9" t="inlineStr">
        <is>
          <t>Depth (no MLB PA)</t>
        </is>
      </c>
      <c r="J1746" s="16" t="inlineStr">
        <is>
          <t>Opening Day</t>
        </is>
      </c>
      <c r="K1746" s="11">
        <f>IFERROR(INDEX(Roles!$B$17:$B$20,MATCH(J1746,Roles!$A$17:$A$20,0)),1)</f>
        <v/>
      </c>
      <c r="L1746" s="17" t="n">
        <v>1</v>
      </c>
      <c r="M1746" s="11" t="n">
        <v>1</v>
      </c>
      <c r="N1746" s="17" t="n"/>
      <c r="O1746" s="17" t="n"/>
      <c r="P1746" s="17" t="n"/>
      <c r="Q1746" s="17" t="n"/>
      <c r="R1746" s="17" t="n"/>
      <c r="S1746" s="17" t="n"/>
      <c r="T1746" s="17" t="n"/>
      <c r="U1746" s="17" t="n"/>
      <c r="V1746" s="17" t="n"/>
      <c r="W1746" s="17" t="n"/>
      <c r="X1746" s="17" t="n"/>
      <c r="Y1746" s="17" t="n">
        <v>1</v>
      </c>
      <c r="Z1746" s="13">
        <f>SUMPRODUCT(N1746:Y1746,$N$2:$Y$2)*$K1746*$L1746*$M1746</f>
        <v/>
      </c>
      <c r="AA1746" s="14">
        <f>SUM(N1746:Y1746)</f>
        <v/>
      </c>
      <c r="AB1746" s="14">
        <f>IFERROR(IF(UPPER($E1746)="L",SUMPRODUCT(N1746:Y1746,$N$3:$Y$3,$N$2:$Y$2),SUMPRODUCT(N1746:Y1746,$N$4:$Y$4,$N$2:$Y$2))/(Z1746/($K1746*$L1746*$M1746)),"")</f>
        <v/>
      </c>
      <c r="AC1746" s="18" t="n"/>
    </row>
    <row r="1747">
      <c r="A1747" s="9" t="n">
        <v>686445</v>
      </c>
      <c r="B1747" s="9" t="inlineStr">
        <is>
          <t>Sammy Siani</t>
        </is>
      </c>
      <c r="C1747" s="9" t="inlineStr">
        <is>
          <t>SEA</t>
        </is>
      </c>
      <c r="D1747" s="9" t="n">
        <v>25</v>
      </c>
      <c r="E1747" s="16" t="inlineStr">
        <is>
          <t>L</t>
        </is>
      </c>
      <c r="F1747" s="16" t="n"/>
      <c r="G1747" s="9" t="n">
        <v>82.92307692307692</v>
      </c>
      <c r="H1747" s="9" t="n">
        <v>82.92307692307692</v>
      </c>
      <c r="I1747" s="9" t="inlineStr">
        <is>
          <t>Depth (no MLB PA)</t>
        </is>
      </c>
      <c r="J1747" s="16" t="inlineStr">
        <is>
          <t>Opening Day</t>
        </is>
      </c>
      <c r="K1747" s="11">
        <f>IFERROR(INDEX(Roles!$B$17:$B$20,MATCH(J1747,Roles!$A$17:$A$20,0)),1)</f>
        <v/>
      </c>
      <c r="L1747" s="17" t="n">
        <v>1</v>
      </c>
      <c r="M1747" s="11" t="n">
        <v>1</v>
      </c>
      <c r="N1747" s="17" t="n"/>
      <c r="O1747" s="17" t="n"/>
      <c r="P1747" s="17" t="n"/>
      <c r="Q1747" s="17" t="n"/>
      <c r="R1747" s="17" t="n"/>
      <c r="S1747" s="17" t="n"/>
      <c r="T1747" s="17" t="n"/>
      <c r="U1747" s="17" t="n"/>
      <c r="V1747" s="17" t="n"/>
      <c r="W1747" s="17" t="n"/>
      <c r="X1747" s="17" t="n"/>
      <c r="Y1747" s="17" t="n">
        <v>1</v>
      </c>
      <c r="Z1747" s="13">
        <f>SUMPRODUCT(N1747:Y1747,$N$2:$Y$2)*$K1747*$L1747*$M1747</f>
        <v/>
      </c>
      <c r="AA1747" s="14">
        <f>SUM(N1747:Y1747)</f>
        <v/>
      </c>
      <c r="AB1747" s="14">
        <f>IFERROR(IF(UPPER($E1747)="L",SUMPRODUCT(N1747:Y1747,$N$3:$Y$3,$N$2:$Y$2),SUMPRODUCT(N1747:Y1747,$N$4:$Y$4,$N$2:$Y$2))/(Z1747/($K1747*$L1747*$M1747)),"")</f>
        <v/>
      </c>
      <c r="AC1747" s="18" t="n"/>
    </row>
    <row r="1748">
      <c r="A1748" s="9" t="n">
        <v>828319</v>
      </c>
      <c r="B1748" s="9" t="inlineStr">
        <is>
          <t>Marshall Toole</t>
        </is>
      </c>
      <c r="C1748" s="9" t="inlineStr">
        <is>
          <t>TB</t>
        </is>
      </c>
      <c r="D1748" s="9" t="n">
        <v>25</v>
      </c>
      <c r="E1748" s="16" t="inlineStr">
        <is>
          <t>L</t>
        </is>
      </c>
      <c r="F1748" s="16" t="n"/>
      <c r="G1748" s="9" t="n">
        <v>30.97435897435897</v>
      </c>
      <c r="H1748" s="9" t="n">
        <v>30.97435897435897</v>
      </c>
      <c r="I1748" s="9" t="inlineStr">
        <is>
          <t>Depth (no MLB PA)</t>
        </is>
      </c>
      <c r="J1748" s="16" t="inlineStr">
        <is>
          <t>Opening Day</t>
        </is>
      </c>
      <c r="K1748" s="11">
        <f>IFERROR(INDEX(Roles!$B$17:$B$20,MATCH(J1748,Roles!$A$17:$A$20,0)),1)</f>
        <v/>
      </c>
      <c r="L1748" s="17" t="n">
        <v>1</v>
      </c>
      <c r="M1748" s="11" t="n">
        <v>1</v>
      </c>
      <c r="N1748" s="17" t="n"/>
      <c r="O1748" s="17" t="n"/>
      <c r="P1748" s="17" t="n"/>
      <c r="Q1748" s="17" t="n"/>
      <c r="R1748" s="17" t="n"/>
      <c r="S1748" s="17" t="n"/>
      <c r="T1748" s="17" t="n"/>
      <c r="U1748" s="17" t="n"/>
      <c r="V1748" s="17" t="n"/>
      <c r="W1748" s="17" t="n"/>
      <c r="X1748" s="17" t="n"/>
      <c r="Y1748" s="17" t="n">
        <v>1</v>
      </c>
      <c r="Z1748" s="13">
        <f>SUMPRODUCT(N1748:Y1748,$N$2:$Y$2)*$K1748*$L1748*$M1748</f>
        <v/>
      </c>
      <c r="AA1748" s="14">
        <f>SUM(N1748:Y1748)</f>
        <v/>
      </c>
      <c r="AB1748" s="14">
        <f>IFERROR(IF(UPPER($E1748)="L",SUMPRODUCT(N1748:Y1748,$N$3:$Y$3,$N$2:$Y$2),SUMPRODUCT(N1748:Y1748,$N$4:$Y$4,$N$2:$Y$2))/(Z1748/($K1748*$L1748*$M1748)),"")</f>
        <v/>
      </c>
      <c r="AC1748" s="18" t="n"/>
    </row>
    <row r="1749">
      <c r="A1749" s="9" t="n">
        <v>800357</v>
      </c>
      <c r="B1749" s="9" t="inlineStr">
        <is>
          <t>Ricardo Gonzalez</t>
        </is>
      </c>
      <c r="C1749" s="9" t="inlineStr">
        <is>
          <t>TB</t>
        </is>
      </c>
      <c r="D1749" s="9" t="n">
        <v>25</v>
      </c>
      <c r="E1749" s="16" t="inlineStr">
        <is>
          <t>S</t>
        </is>
      </c>
      <c r="F1749" s="16" t="n"/>
      <c r="G1749" s="9" t="n">
        <v>23.58974358974359</v>
      </c>
      <c r="H1749" s="9" t="n">
        <v>23.58974358974359</v>
      </c>
      <c r="I1749" s="9" t="inlineStr">
        <is>
          <t>Depth (no MLB PA)</t>
        </is>
      </c>
      <c r="J1749" s="16" t="inlineStr">
        <is>
          <t>Opening Day</t>
        </is>
      </c>
      <c r="K1749" s="11">
        <f>IFERROR(INDEX(Roles!$B$17:$B$20,MATCH(J1749,Roles!$A$17:$A$20,0)),1)</f>
        <v/>
      </c>
      <c r="L1749" s="17" t="n">
        <v>1</v>
      </c>
      <c r="M1749" s="11" t="n">
        <v>1</v>
      </c>
      <c r="N1749" s="17" t="n"/>
      <c r="O1749" s="17" t="n"/>
      <c r="P1749" s="17" t="n"/>
      <c r="Q1749" s="17" t="n"/>
      <c r="R1749" s="17" t="n"/>
      <c r="S1749" s="17" t="n"/>
      <c r="T1749" s="17" t="n"/>
      <c r="U1749" s="17" t="n"/>
      <c r="V1749" s="17" t="n"/>
      <c r="W1749" s="17" t="n"/>
      <c r="X1749" s="17" t="n"/>
      <c r="Y1749" s="17" t="n">
        <v>1</v>
      </c>
      <c r="Z1749" s="13">
        <f>SUMPRODUCT(N1749:Y1749,$N$2:$Y$2)*$K1749*$L1749*$M1749</f>
        <v/>
      </c>
      <c r="AA1749" s="14">
        <f>SUM(N1749:Y1749)</f>
        <v/>
      </c>
      <c r="AB1749" s="14">
        <f>IFERROR(IF(UPPER($E1749)="L",SUMPRODUCT(N1749:Y1749,$N$3:$Y$3,$N$2:$Y$2),SUMPRODUCT(N1749:Y1749,$N$4:$Y$4,$N$2:$Y$2))/(Z1749/($K1749*$L1749*$M1749)),"")</f>
        <v/>
      </c>
      <c r="AC1749" s="18" t="n"/>
    </row>
    <row r="1750">
      <c r="A1750" s="9" t="n">
        <v>682239</v>
      </c>
      <c r="B1750" s="9" t="inlineStr">
        <is>
          <t>Luke Ritter</t>
        </is>
      </c>
      <c r="C1750" s="9" t="inlineStr">
        <is>
          <t>DET</t>
        </is>
      </c>
      <c r="D1750" s="9" t="n">
        <v>25</v>
      </c>
      <c r="E1750" s="16" t="inlineStr">
        <is>
          <t>R</t>
        </is>
      </c>
      <c r="F1750" s="16" t="n"/>
      <c r="G1750" s="9" t="n">
        <v>34.41025641025641</v>
      </c>
      <c r="H1750" s="9" t="n">
        <v>34.41025641025641</v>
      </c>
      <c r="I1750" s="9" t="inlineStr">
        <is>
          <t>Depth (no MLB PA)</t>
        </is>
      </c>
      <c r="J1750" s="16" t="inlineStr">
        <is>
          <t>Opening Day</t>
        </is>
      </c>
      <c r="K1750" s="11">
        <f>IFERROR(INDEX(Roles!$B$17:$B$20,MATCH(J1750,Roles!$A$17:$A$20,0)),1)</f>
        <v/>
      </c>
      <c r="L1750" s="17" t="n">
        <v>1</v>
      </c>
      <c r="M1750" s="11" t="n">
        <v>1</v>
      </c>
      <c r="N1750" s="17" t="n"/>
      <c r="O1750" s="17" t="n"/>
      <c r="P1750" s="17" t="n"/>
      <c r="Q1750" s="17" t="n"/>
      <c r="R1750" s="17" t="n"/>
      <c r="S1750" s="17" t="n"/>
      <c r="T1750" s="17" t="n"/>
      <c r="U1750" s="17" t="n"/>
      <c r="V1750" s="17" t="n"/>
      <c r="W1750" s="17" t="n"/>
      <c r="X1750" s="17" t="n"/>
      <c r="Y1750" s="17" t="n">
        <v>1</v>
      </c>
      <c r="Z1750" s="13">
        <f>SUMPRODUCT(N1750:Y1750,$N$2:$Y$2)*$K1750*$L1750*$M1750</f>
        <v/>
      </c>
      <c r="AA1750" s="14">
        <f>SUM(N1750:Y1750)</f>
        <v/>
      </c>
      <c r="AB1750" s="14">
        <f>IFERROR(IF(UPPER($E1750)="L",SUMPRODUCT(N1750:Y1750,$N$3:$Y$3,$N$2:$Y$2),SUMPRODUCT(N1750:Y1750,$N$4:$Y$4,$N$2:$Y$2))/(Z1750/($K1750*$L1750*$M1750)),"")</f>
        <v/>
      </c>
      <c r="AC1750" s="18" t="n"/>
    </row>
    <row r="1751">
      <c r="A1751" s="9" t="n">
        <v>808302</v>
      </c>
      <c r="B1751" s="9" t="inlineStr">
        <is>
          <t>Juan Ortega</t>
        </is>
      </c>
      <c r="C1751" s="9" t="inlineStr">
        <is>
          <t>BAL</t>
        </is>
      </c>
      <c r="D1751" s="9" t="n">
        <v>25</v>
      </c>
      <c r="E1751" s="16" t="inlineStr">
        <is>
          <t>R</t>
        </is>
      </c>
      <c r="F1751" s="16" t="n"/>
      <c r="G1751" s="9" t="n">
        <v>23.50769230769231</v>
      </c>
      <c r="H1751" s="9" t="n">
        <v>23.50769230769231</v>
      </c>
      <c r="I1751" s="9" t="inlineStr">
        <is>
          <t>Depth (no MLB PA)</t>
        </is>
      </c>
      <c r="J1751" s="16" t="inlineStr">
        <is>
          <t>Opening Day</t>
        </is>
      </c>
      <c r="K1751" s="11">
        <f>IFERROR(INDEX(Roles!$B$17:$B$20,MATCH(J1751,Roles!$A$17:$A$20,0)),1)</f>
        <v/>
      </c>
      <c r="L1751" s="17" t="n">
        <v>1</v>
      </c>
      <c r="M1751" s="11" t="n">
        <v>1</v>
      </c>
      <c r="N1751" s="17" t="n"/>
      <c r="O1751" s="17" t="n"/>
      <c r="P1751" s="17" t="n"/>
      <c r="Q1751" s="17" t="n"/>
      <c r="R1751" s="17" t="n"/>
      <c r="S1751" s="17" t="n"/>
      <c r="T1751" s="17" t="n"/>
      <c r="U1751" s="17" t="n"/>
      <c r="V1751" s="17" t="n"/>
      <c r="W1751" s="17" t="n"/>
      <c r="X1751" s="17" t="n"/>
      <c r="Y1751" s="17" t="n">
        <v>1</v>
      </c>
      <c r="Z1751" s="13">
        <f>SUMPRODUCT(N1751:Y1751,$N$2:$Y$2)*$K1751*$L1751*$M1751</f>
        <v/>
      </c>
      <c r="AA1751" s="14">
        <f>SUM(N1751:Y1751)</f>
        <v/>
      </c>
      <c r="AB1751" s="14">
        <f>IFERROR(IF(UPPER($E1751)="L",SUMPRODUCT(N1751:Y1751,$N$3:$Y$3,$N$2:$Y$2),SUMPRODUCT(N1751:Y1751,$N$4:$Y$4,$N$2:$Y$2))/(Z1751/($K1751*$L1751*$M1751)),"")</f>
        <v/>
      </c>
      <c r="AC1751" s="18" t="n"/>
    </row>
    <row r="1752">
      <c r="A1752" s="9" t="n">
        <v>701682</v>
      </c>
      <c r="B1752" s="9" t="inlineStr">
        <is>
          <t>Braedon Karpathios</t>
        </is>
      </c>
      <c r="C1752" s="9" t="inlineStr">
        <is>
          <t>SD</t>
        </is>
      </c>
      <c r="D1752" s="9" t="n">
        <v>25</v>
      </c>
      <c r="E1752" s="16" t="inlineStr">
        <is>
          <t>L</t>
        </is>
      </c>
      <c r="F1752" s="16" t="n"/>
      <c r="G1752" s="9" t="n">
        <v>18.61538461538462</v>
      </c>
      <c r="H1752" s="9" t="n">
        <v>18.61538461538462</v>
      </c>
      <c r="I1752" s="9" t="inlineStr">
        <is>
          <t>Depth (no MLB PA)</t>
        </is>
      </c>
      <c r="J1752" s="16" t="inlineStr">
        <is>
          <t>Opening Day</t>
        </is>
      </c>
      <c r="K1752" s="11">
        <f>IFERROR(INDEX(Roles!$B$17:$B$20,MATCH(J1752,Roles!$A$17:$A$20,0)),1)</f>
        <v/>
      </c>
      <c r="L1752" s="17" t="n">
        <v>1</v>
      </c>
      <c r="M1752" s="11" t="n">
        <v>1</v>
      </c>
      <c r="N1752" s="17" t="n"/>
      <c r="O1752" s="17" t="n"/>
      <c r="P1752" s="17" t="n"/>
      <c r="Q1752" s="17" t="n"/>
      <c r="R1752" s="17" t="n"/>
      <c r="S1752" s="17" t="n"/>
      <c r="T1752" s="17" t="n"/>
      <c r="U1752" s="17" t="n"/>
      <c r="V1752" s="17" t="n"/>
      <c r="W1752" s="17" t="n"/>
      <c r="X1752" s="17" t="n"/>
      <c r="Y1752" s="17" t="n">
        <v>1</v>
      </c>
      <c r="Z1752" s="13">
        <f>SUMPRODUCT(N1752:Y1752,$N$2:$Y$2)*$K1752*$L1752*$M1752</f>
        <v/>
      </c>
      <c r="AA1752" s="14">
        <f>SUM(N1752:Y1752)</f>
        <v/>
      </c>
      <c r="AB1752" s="14">
        <f>IFERROR(IF(UPPER($E1752)="L",SUMPRODUCT(N1752:Y1752,$N$3:$Y$3,$N$2:$Y$2),SUMPRODUCT(N1752:Y1752,$N$4:$Y$4,$N$2:$Y$2))/(Z1752/($K1752*$L1752*$M1752)),"")</f>
        <v/>
      </c>
      <c r="AC1752" s="18" t="n"/>
    </row>
    <row r="1753">
      <c r="A1753" s="9" t="n">
        <v>827517</v>
      </c>
      <c r="B1753" s="9" t="inlineStr">
        <is>
          <t>Kyle Lodise</t>
        </is>
      </c>
      <c r="C1753" s="9" t="inlineStr">
        <is>
          <t>CWS</t>
        </is>
      </c>
      <c r="D1753" s="9" t="n">
        <v>25</v>
      </c>
      <c r="E1753" s="16" t="inlineStr">
        <is>
          <t>R</t>
        </is>
      </c>
      <c r="F1753" s="16" t="n"/>
      <c r="G1753" s="9" t="n">
        <v>104.6153846153846</v>
      </c>
      <c r="H1753" s="9" t="n">
        <v>104.6153846153846</v>
      </c>
      <c r="I1753" s="9" t="inlineStr">
        <is>
          <t>Depth (no MLB PA)</t>
        </is>
      </c>
      <c r="J1753" s="16" t="inlineStr">
        <is>
          <t>Opening Day</t>
        </is>
      </c>
      <c r="K1753" s="11">
        <f>IFERROR(INDEX(Roles!$B$17:$B$20,MATCH(J1753,Roles!$A$17:$A$20,0)),1)</f>
        <v/>
      </c>
      <c r="L1753" s="17" t="n">
        <v>1</v>
      </c>
      <c r="M1753" s="11" t="n">
        <v>1</v>
      </c>
      <c r="N1753" s="17" t="n"/>
      <c r="O1753" s="17" t="n"/>
      <c r="P1753" s="17" t="n"/>
      <c r="Q1753" s="17" t="n"/>
      <c r="R1753" s="17" t="n"/>
      <c r="S1753" s="17" t="n"/>
      <c r="T1753" s="17" t="n"/>
      <c r="U1753" s="17" t="n"/>
      <c r="V1753" s="17" t="n"/>
      <c r="W1753" s="17" t="n"/>
      <c r="X1753" s="17" t="n"/>
      <c r="Y1753" s="17" t="n">
        <v>1</v>
      </c>
      <c r="Z1753" s="13">
        <f>SUMPRODUCT(N1753:Y1753,$N$2:$Y$2)*$K1753*$L1753*$M1753</f>
        <v/>
      </c>
      <c r="AA1753" s="14">
        <f>SUM(N1753:Y1753)</f>
        <v/>
      </c>
      <c r="AB1753" s="14">
        <f>IFERROR(IF(UPPER($E1753)="L",SUMPRODUCT(N1753:Y1753,$N$3:$Y$3,$N$2:$Y$2),SUMPRODUCT(N1753:Y1753,$N$4:$Y$4,$N$2:$Y$2))/(Z1753/($K1753*$L1753*$M1753)),"")</f>
        <v/>
      </c>
      <c r="AC1753" s="18" t="n"/>
    </row>
    <row r="1754">
      <c r="A1754" s="9" t="n">
        <v>690992</v>
      </c>
      <c r="B1754" s="9" t="inlineStr">
        <is>
          <t>Ed Howard</t>
        </is>
      </c>
      <c r="C1754" s="9" t="inlineStr">
        <is>
          <t>CHC</t>
        </is>
      </c>
      <c r="D1754" s="9" t="n">
        <v>25</v>
      </c>
      <c r="E1754" s="16" t="inlineStr">
        <is>
          <t>R</t>
        </is>
      </c>
      <c r="F1754" s="16" t="n"/>
      <c r="G1754" s="9" t="n">
        <v>18.61538461538462</v>
      </c>
      <c r="H1754" s="9" t="n">
        <v>18.61538461538462</v>
      </c>
      <c r="I1754" s="9" t="inlineStr">
        <is>
          <t>Depth (no MLB PA)</t>
        </is>
      </c>
      <c r="J1754" s="16" t="inlineStr">
        <is>
          <t>Opening Day</t>
        </is>
      </c>
      <c r="K1754" s="11">
        <f>IFERROR(INDEX(Roles!$B$17:$B$20,MATCH(J1754,Roles!$A$17:$A$20,0)),1)</f>
        <v/>
      </c>
      <c r="L1754" s="17" t="n">
        <v>1</v>
      </c>
      <c r="M1754" s="11" t="n">
        <v>1</v>
      </c>
      <c r="N1754" s="17" t="n"/>
      <c r="O1754" s="17" t="n"/>
      <c r="P1754" s="17" t="n"/>
      <c r="Q1754" s="17" t="n"/>
      <c r="R1754" s="17" t="n"/>
      <c r="S1754" s="17" t="n"/>
      <c r="T1754" s="17" t="n"/>
      <c r="U1754" s="17" t="n"/>
      <c r="V1754" s="17" t="n"/>
      <c r="W1754" s="17" t="n"/>
      <c r="X1754" s="17" t="n"/>
      <c r="Y1754" s="17" t="n">
        <v>1</v>
      </c>
      <c r="Z1754" s="13">
        <f>SUMPRODUCT(N1754:Y1754,$N$2:$Y$2)*$K1754*$L1754*$M1754</f>
        <v/>
      </c>
      <c r="AA1754" s="14">
        <f>SUM(N1754:Y1754)</f>
        <v/>
      </c>
      <c r="AB1754" s="14">
        <f>IFERROR(IF(UPPER($E1754)="L",SUMPRODUCT(N1754:Y1754,$N$3:$Y$3,$N$2:$Y$2),SUMPRODUCT(N1754:Y1754,$N$4:$Y$4,$N$2:$Y$2))/(Z1754/($K1754*$L1754*$M1754)),"")</f>
        <v/>
      </c>
      <c r="AC1754" s="18" t="n"/>
    </row>
    <row r="1755">
      <c r="A1755" s="9" t="n">
        <v>600301</v>
      </c>
      <c r="B1755" s="9" t="inlineStr">
        <is>
          <t>Taylor Motter</t>
        </is>
      </c>
      <c r="C1755" s="9" t="inlineStr">
        <is>
          <t>STL</t>
        </is>
      </c>
      <c r="D1755" s="9" t="n">
        <v>37</v>
      </c>
      <c r="E1755" s="16" t="inlineStr">
        <is>
          <t>R</t>
        </is>
      </c>
      <c r="F1755" s="16" t="inlineStr">
        <is>
          <t>2B</t>
        </is>
      </c>
      <c r="G1755" s="9" t="n">
        <v>82</v>
      </c>
      <c r="H1755" s="9" t="n">
        <v>88</v>
      </c>
      <c r="I1755" s="9" t="inlineStr">
        <is>
          <t>Depth (no MLB PA)</t>
        </is>
      </c>
      <c r="J1755" s="16" t="inlineStr">
        <is>
          <t>Opening Day</t>
        </is>
      </c>
      <c r="K1755" s="11">
        <f>IFERROR(INDEX(Roles!$B$17:$B$20,MATCH(J1755,Roles!$A$17:$A$20,0)),1)</f>
        <v/>
      </c>
      <c r="L1755" s="17" t="n">
        <v>1</v>
      </c>
      <c r="M1755" s="11" t="n">
        <v>1</v>
      </c>
      <c r="N1755" s="17" t="n"/>
      <c r="O1755" s="17" t="n"/>
      <c r="P1755" s="17" t="n"/>
      <c r="Q1755" s="17" t="n"/>
      <c r="R1755" s="17" t="n"/>
      <c r="S1755" s="17" t="n"/>
      <c r="T1755" s="17" t="n"/>
      <c r="U1755" s="17" t="n"/>
      <c r="V1755" s="17" t="n"/>
      <c r="W1755" s="17" t="n"/>
      <c r="X1755" s="17" t="n"/>
      <c r="Y1755" s="17" t="n">
        <v>1</v>
      </c>
      <c r="Z1755" s="13">
        <f>SUMPRODUCT(N1755:Y1755,$N$2:$Y$2)*$K1755*$L1755*$M1755</f>
        <v/>
      </c>
      <c r="AA1755" s="14">
        <f>SUM(N1755:Y1755)</f>
        <v/>
      </c>
      <c r="AB1755" s="14">
        <f>IFERROR(IF(UPPER($E1755)="L",SUMPRODUCT(N1755:Y1755,$N$3:$Y$3,$N$2:$Y$2),SUMPRODUCT(N1755:Y1755,$N$4:$Y$4,$N$2:$Y$2))/(Z1755/($K1755*$L1755*$M1755)),"")</f>
        <v/>
      </c>
      <c r="AC1755" s="18" t="n"/>
    </row>
    <row r="1756">
      <c r="A1756" s="9" t="n">
        <v>811339</v>
      </c>
      <c r="B1756" s="9" t="inlineStr">
        <is>
          <t>Josh Kross</t>
        </is>
      </c>
      <c r="C1756" s="9" t="inlineStr">
        <is>
          <t>STL</t>
        </is>
      </c>
      <c r="D1756" s="9" t="n">
        <v>25</v>
      </c>
      <c r="E1756" s="16" t="inlineStr">
        <is>
          <t>S</t>
        </is>
      </c>
      <c r="F1756" s="16" t="n"/>
      <c r="G1756" s="9" t="n">
        <v>75.8974358974359</v>
      </c>
      <c r="H1756" s="9" t="n">
        <v>75.8974358974359</v>
      </c>
      <c r="I1756" s="9" t="inlineStr">
        <is>
          <t>Depth (no MLB PA)</t>
        </is>
      </c>
      <c r="J1756" s="16" t="inlineStr">
        <is>
          <t>Opening Day</t>
        </is>
      </c>
      <c r="K1756" s="11">
        <f>IFERROR(INDEX(Roles!$B$17:$B$20,MATCH(J1756,Roles!$A$17:$A$20,0)),1)</f>
        <v/>
      </c>
      <c r="L1756" s="17" t="n">
        <v>1</v>
      </c>
      <c r="M1756" s="11" t="n">
        <v>1</v>
      </c>
      <c r="N1756" s="17" t="n"/>
      <c r="O1756" s="17" t="n"/>
      <c r="P1756" s="17" t="n"/>
      <c r="Q1756" s="17" t="n"/>
      <c r="R1756" s="17" t="n"/>
      <c r="S1756" s="17" t="n"/>
      <c r="T1756" s="17" t="n"/>
      <c r="U1756" s="17" t="n"/>
      <c r="V1756" s="17" t="n"/>
      <c r="W1756" s="17" t="n"/>
      <c r="X1756" s="17" t="n"/>
      <c r="Y1756" s="17" t="n">
        <v>1</v>
      </c>
      <c r="Z1756" s="13">
        <f>SUMPRODUCT(N1756:Y1756,$N$2:$Y$2)*$K1756*$L1756*$M1756</f>
        <v/>
      </c>
      <c r="AA1756" s="14">
        <f>SUM(N1756:Y1756)</f>
        <v/>
      </c>
      <c r="AB1756" s="14">
        <f>IFERROR(IF(UPPER($E1756)="L",SUMPRODUCT(N1756:Y1756,$N$3:$Y$3,$N$2:$Y$2),SUMPRODUCT(N1756:Y1756,$N$4:$Y$4,$N$2:$Y$2))/(Z1756/($K1756*$L1756*$M1756)),"")</f>
        <v/>
      </c>
      <c r="AC1756" s="18" t="n"/>
    </row>
    <row r="1757">
      <c r="A1757" s="9" t="n">
        <v>701435</v>
      </c>
      <c r="B1757" s="9" t="inlineStr">
        <is>
          <t>Broedy Poppell</t>
        </is>
      </c>
      <c r="C1757" s="9" t="inlineStr">
        <is>
          <t>SF</t>
        </is>
      </c>
      <c r="D1757" s="9" t="n">
        <v>25</v>
      </c>
      <c r="E1757" s="16" t="inlineStr">
        <is>
          <t>S</t>
        </is>
      </c>
      <c r="F1757" s="16" t="n"/>
      <c r="G1757" s="9" t="n">
        <v>36.67692307692308</v>
      </c>
      <c r="H1757" s="9" t="n">
        <v>36.67692307692308</v>
      </c>
      <c r="I1757" s="9" t="inlineStr">
        <is>
          <t>Depth (no MLB PA)</t>
        </is>
      </c>
      <c r="J1757" s="16" t="inlineStr">
        <is>
          <t>Opening Day</t>
        </is>
      </c>
      <c r="K1757" s="11">
        <f>IFERROR(INDEX(Roles!$B$17:$B$20,MATCH(J1757,Roles!$A$17:$A$20,0)),1)</f>
        <v/>
      </c>
      <c r="L1757" s="17" t="n">
        <v>1</v>
      </c>
      <c r="M1757" s="11" t="n">
        <v>1</v>
      </c>
      <c r="N1757" s="17" t="n"/>
      <c r="O1757" s="17" t="n"/>
      <c r="P1757" s="17" t="n"/>
      <c r="Q1757" s="17" t="n"/>
      <c r="R1757" s="17" t="n"/>
      <c r="S1757" s="17" t="n"/>
      <c r="T1757" s="17" t="n"/>
      <c r="U1757" s="17" t="n"/>
      <c r="V1757" s="17" t="n"/>
      <c r="W1757" s="17" t="n"/>
      <c r="X1757" s="17" t="n"/>
      <c r="Y1757" s="17" t="n">
        <v>1</v>
      </c>
      <c r="Z1757" s="13">
        <f>SUMPRODUCT(N1757:Y1757,$N$2:$Y$2)*$K1757*$L1757*$M1757</f>
        <v/>
      </c>
      <c r="AA1757" s="14">
        <f>SUM(N1757:Y1757)</f>
        <v/>
      </c>
      <c r="AB1757" s="14">
        <f>IFERROR(IF(UPPER($E1757)="L",SUMPRODUCT(N1757:Y1757,$N$3:$Y$3,$N$2:$Y$2),SUMPRODUCT(N1757:Y1757,$N$4:$Y$4,$N$2:$Y$2))/(Z1757/($K1757*$L1757*$M1757)),"")</f>
        <v/>
      </c>
      <c r="AC1757" s="18" t="n"/>
    </row>
    <row r="1758">
      <c r="A1758" s="9" t="n">
        <v>672701</v>
      </c>
      <c r="B1758" s="9" t="inlineStr">
        <is>
          <t>José Devers</t>
        </is>
      </c>
      <c r="C1758" s="9" t="inlineStr">
        <is>
          <t>MIA</t>
        </is>
      </c>
      <c r="D1758" s="9" t="n">
        <v>27</v>
      </c>
      <c r="E1758" s="16" t="inlineStr">
        <is>
          <t>L</t>
        </is>
      </c>
      <c r="F1758" s="16" t="inlineStr">
        <is>
          <t>2B</t>
        </is>
      </c>
      <c r="G1758" s="9" t="n">
        <v>4</v>
      </c>
      <c r="H1758" s="9" t="n">
        <v>4</v>
      </c>
      <c r="I1758" s="9" t="inlineStr">
        <is>
          <t>Depth (no MLB PA)</t>
        </is>
      </c>
      <c r="J1758" s="16" t="inlineStr">
        <is>
          <t>Opening Day</t>
        </is>
      </c>
      <c r="K1758" s="11">
        <f>IFERROR(INDEX(Roles!$B$17:$B$20,MATCH(J1758,Roles!$A$17:$A$20,0)),1)</f>
        <v/>
      </c>
      <c r="L1758" s="17" t="n">
        <v>1</v>
      </c>
      <c r="M1758" s="11" t="n">
        <v>1</v>
      </c>
      <c r="N1758" s="17" t="n"/>
      <c r="O1758" s="17" t="n"/>
      <c r="P1758" s="17" t="n"/>
      <c r="Q1758" s="17" t="n"/>
      <c r="R1758" s="17" t="n"/>
      <c r="S1758" s="17" t="n"/>
      <c r="T1758" s="17" t="n"/>
      <c r="U1758" s="17" t="n"/>
      <c r="V1758" s="17" t="n"/>
      <c r="W1758" s="17" t="n"/>
      <c r="X1758" s="17" t="n"/>
      <c r="Y1758" s="17" t="n">
        <v>1</v>
      </c>
      <c r="Z1758" s="13">
        <f>SUMPRODUCT(N1758:Y1758,$N$2:$Y$2)*$K1758*$L1758*$M1758</f>
        <v/>
      </c>
      <c r="AA1758" s="14">
        <f>SUM(N1758:Y1758)</f>
        <v/>
      </c>
      <c r="AB1758" s="14">
        <f>IFERROR(IF(UPPER($E1758)="L",SUMPRODUCT(N1758:Y1758,$N$3:$Y$3,$N$2:$Y$2),SUMPRODUCT(N1758:Y1758,$N$4:$Y$4,$N$2:$Y$2))/(Z1758/($K1758*$L1758*$M1758)),"")</f>
        <v/>
      </c>
      <c r="AC1758" s="18" t="n"/>
    </row>
    <row r="1759">
      <c r="A1759" s="9" t="n">
        <v>695604</v>
      </c>
      <c r="B1759" s="9" t="inlineStr">
        <is>
          <t>T.J. White</t>
        </is>
      </c>
      <c r="C1759" s="9" t="inlineStr">
        <is>
          <t>WSH</t>
        </is>
      </c>
      <c r="D1759" s="9" t="n">
        <v>25</v>
      </c>
      <c r="E1759" s="16" t="inlineStr">
        <is>
          <t>S</t>
        </is>
      </c>
      <c r="F1759" s="16" t="n"/>
      <c r="G1759" s="9" t="n">
        <v>81.48717948717947</v>
      </c>
      <c r="H1759" s="9" t="n">
        <v>81.48717948717947</v>
      </c>
      <c r="I1759" s="9" t="inlineStr">
        <is>
          <t>Depth (no MLB PA)</t>
        </is>
      </c>
      <c r="J1759" s="16" t="inlineStr">
        <is>
          <t>Opening Day</t>
        </is>
      </c>
      <c r="K1759" s="11">
        <f>IFERROR(INDEX(Roles!$B$17:$B$20,MATCH(J1759,Roles!$A$17:$A$20,0)),1)</f>
        <v/>
      </c>
      <c r="L1759" s="17" t="n">
        <v>1</v>
      </c>
      <c r="M1759" s="11" t="n">
        <v>1</v>
      </c>
      <c r="N1759" s="17" t="n"/>
      <c r="O1759" s="17" t="n"/>
      <c r="P1759" s="17" t="n"/>
      <c r="Q1759" s="17" t="n"/>
      <c r="R1759" s="17" t="n"/>
      <c r="S1759" s="17" t="n"/>
      <c r="T1759" s="17" t="n"/>
      <c r="U1759" s="17" t="n"/>
      <c r="V1759" s="17" t="n"/>
      <c r="W1759" s="17" t="n"/>
      <c r="X1759" s="17" t="n"/>
      <c r="Y1759" s="17" t="n">
        <v>1</v>
      </c>
      <c r="Z1759" s="13">
        <f>SUMPRODUCT(N1759:Y1759,$N$2:$Y$2)*$K1759*$L1759*$M1759</f>
        <v/>
      </c>
      <c r="AA1759" s="14">
        <f>SUM(N1759:Y1759)</f>
        <v/>
      </c>
      <c r="AB1759" s="14">
        <f>IFERROR(IF(UPPER($E1759)="L",SUMPRODUCT(N1759:Y1759,$N$3:$Y$3,$N$2:$Y$2),SUMPRODUCT(N1759:Y1759,$N$4:$Y$4,$N$2:$Y$2))/(Z1759/($K1759*$L1759*$M1759)),"")</f>
        <v/>
      </c>
      <c r="AC1759" s="18" t="n"/>
    </row>
    <row r="1760">
      <c r="A1760" s="9" t="n">
        <v>800391</v>
      </c>
      <c r="B1760" s="9" t="inlineStr">
        <is>
          <t>Darlyn De Leon</t>
        </is>
      </c>
      <c r="C1760" s="9" t="inlineStr">
        <is>
          <t>CHC</t>
        </is>
      </c>
      <c r="D1760" s="9" t="n">
        <v>25</v>
      </c>
      <c r="E1760" s="16" t="inlineStr">
        <is>
          <t>L</t>
        </is>
      </c>
      <c r="F1760" s="16" t="n"/>
      <c r="G1760" s="9" t="n">
        <v>28.55384615384616</v>
      </c>
      <c r="H1760" s="9" t="n">
        <v>28.55384615384616</v>
      </c>
      <c r="I1760" s="9" t="inlineStr">
        <is>
          <t>Depth (no MLB PA)</t>
        </is>
      </c>
      <c r="J1760" s="16" t="inlineStr">
        <is>
          <t>Opening Day</t>
        </is>
      </c>
      <c r="K1760" s="11">
        <f>IFERROR(INDEX(Roles!$B$17:$B$20,MATCH(J1760,Roles!$A$17:$A$20,0)),1)</f>
        <v/>
      </c>
      <c r="L1760" s="17" t="n">
        <v>1</v>
      </c>
      <c r="M1760" s="11" t="n">
        <v>1</v>
      </c>
      <c r="N1760" s="17" t="n"/>
      <c r="O1760" s="17" t="n"/>
      <c r="P1760" s="17" t="n"/>
      <c r="Q1760" s="17" t="n"/>
      <c r="R1760" s="17" t="n"/>
      <c r="S1760" s="17" t="n"/>
      <c r="T1760" s="17" t="n"/>
      <c r="U1760" s="17" t="n"/>
      <c r="V1760" s="17" t="n"/>
      <c r="W1760" s="17" t="n"/>
      <c r="X1760" s="17" t="n"/>
      <c r="Y1760" s="17" t="n">
        <v>1</v>
      </c>
      <c r="Z1760" s="13">
        <f>SUMPRODUCT(N1760:Y1760,$N$2:$Y$2)*$K1760*$L1760*$M1760</f>
        <v/>
      </c>
      <c r="AA1760" s="14">
        <f>SUM(N1760:Y1760)</f>
        <v/>
      </c>
      <c r="AB1760" s="14">
        <f>IFERROR(IF(UPPER($E1760)="L",SUMPRODUCT(N1760:Y1760,$N$3:$Y$3,$N$2:$Y$2),SUMPRODUCT(N1760:Y1760,$N$4:$Y$4,$N$2:$Y$2))/(Z1760/($K1760*$L1760*$M1760)),"")</f>
        <v/>
      </c>
      <c r="AC1760" s="18" t="n"/>
    </row>
    <row r="1761">
      <c r="A1761" s="9" t="n">
        <v>641505</v>
      </c>
      <c r="B1761" s="9" t="inlineStr">
        <is>
          <t>Jonathan Davis</t>
        </is>
      </c>
      <c r="C1761" s="9" t="inlineStr">
        <is>
          <t>MIA</t>
        </is>
      </c>
      <c r="D1761" s="9" t="n">
        <v>35</v>
      </c>
      <c r="E1761" s="16" t="inlineStr">
        <is>
          <t>R</t>
        </is>
      </c>
      <c r="F1761" s="16" t="inlineStr">
        <is>
          <t>CF</t>
        </is>
      </c>
      <c r="G1761" s="9" t="n">
        <v>104</v>
      </c>
      <c r="H1761" s="9" t="n">
        <v>195</v>
      </c>
      <c r="I1761" s="9" t="inlineStr">
        <is>
          <t>Depth (no MLB PA)</t>
        </is>
      </c>
      <c r="J1761" s="16" t="inlineStr">
        <is>
          <t>Opening Day</t>
        </is>
      </c>
      <c r="K1761" s="11">
        <f>IFERROR(INDEX(Roles!$B$17:$B$20,MATCH(J1761,Roles!$A$17:$A$20,0)),1)</f>
        <v/>
      </c>
      <c r="L1761" s="17" t="n">
        <v>1</v>
      </c>
      <c r="M1761" s="11" t="n">
        <v>1</v>
      </c>
      <c r="N1761" s="17" t="n"/>
      <c r="O1761" s="17" t="n"/>
      <c r="P1761" s="17" t="n"/>
      <c r="Q1761" s="17" t="n"/>
      <c r="R1761" s="17" t="n"/>
      <c r="S1761" s="17" t="n"/>
      <c r="T1761" s="17" t="n"/>
      <c r="U1761" s="17" t="n"/>
      <c r="V1761" s="17" t="n"/>
      <c r="W1761" s="17" t="n"/>
      <c r="X1761" s="17" t="n"/>
      <c r="Y1761" s="17" t="n">
        <v>1</v>
      </c>
      <c r="Z1761" s="13">
        <f>SUMPRODUCT(N1761:Y1761,$N$2:$Y$2)*$K1761*$L1761*$M1761</f>
        <v/>
      </c>
      <c r="AA1761" s="14">
        <f>SUM(N1761:Y1761)</f>
        <v/>
      </c>
      <c r="AB1761" s="14">
        <f>IFERROR(IF(UPPER($E1761)="L",SUMPRODUCT(N1761:Y1761,$N$3:$Y$3,$N$2:$Y$2),SUMPRODUCT(N1761:Y1761,$N$4:$Y$4,$N$2:$Y$2))/(Z1761/($K1761*$L1761*$M1761)),"")</f>
        <v/>
      </c>
      <c r="AC1761" s="18" t="n"/>
    </row>
    <row r="1762">
      <c r="A1762" s="9" t="n">
        <v>823754</v>
      </c>
      <c r="B1762" s="9" t="inlineStr">
        <is>
          <t>Robbie Burnett</t>
        </is>
      </c>
      <c r="C1762" s="9" t="inlineStr">
        <is>
          <t>NYY</t>
        </is>
      </c>
      <c r="D1762" s="9" t="n">
        <v>25</v>
      </c>
      <c r="E1762" s="16" t="inlineStr">
        <is>
          <t>L</t>
        </is>
      </c>
      <c r="F1762" s="16" t="n"/>
      <c r="G1762" s="9" t="n">
        <v>31.58974358974359</v>
      </c>
      <c r="H1762" s="9" t="n">
        <v>31.58974358974359</v>
      </c>
      <c r="I1762" s="9" t="inlineStr">
        <is>
          <t>Depth (no MLB PA)</t>
        </is>
      </c>
      <c r="J1762" s="16" t="inlineStr">
        <is>
          <t>Opening Day</t>
        </is>
      </c>
      <c r="K1762" s="11">
        <f>IFERROR(INDEX(Roles!$B$17:$B$20,MATCH(J1762,Roles!$A$17:$A$20,0)),1)</f>
        <v/>
      </c>
      <c r="L1762" s="17" t="n">
        <v>1</v>
      </c>
      <c r="M1762" s="11" t="n">
        <v>1</v>
      </c>
      <c r="N1762" s="17" t="n"/>
      <c r="O1762" s="17" t="n"/>
      <c r="P1762" s="17" t="n"/>
      <c r="Q1762" s="17" t="n"/>
      <c r="R1762" s="17" t="n"/>
      <c r="S1762" s="17" t="n"/>
      <c r="T1762" s="17" t="n"/>
      <c r="U1762" s="17" t="n"/>
      <c r="V1762" s="17" t="n"/>
      <c r="W1762" s="17" t="n"/>
      <c r="X1762" s="17" t="n"/>
      <c r="Y1762" s="17" t="n">
        <v>1</v>
      </c>
      <c r="Z1762" s="13">
        <f>SUMPRODUCT(N1762:Y1762,$N$2:$Y$2)*$K1762*$L1762*$M1762</f>
        <v/>
      </c>
      <c r="AA1762" s="14">
        <f>SUM(N1762:Y1762)</f>
        <v/>
      </c>
      <c r="AB1762" s="14">
        <f>IFERROR(IF(UPPER($E1762)="L",SUMPRODUCT(N1762:Y1762,$N$3:$Y$3,$N$2:$Y$2),SUMPRODUCT(N1762:Y1762,$N$4:$Y$4,$N$2:$Y$2))/(Z1762/($K1762*$L1762*$M1762)),"")</f>
        <v/>
      </c>
      <c r="AC1762" s="18" t="n"/>
    </row>
    <row r="1763">
      <c r="A1763" s="9" t="n">
        <v>827613</v>
      </c>
      <c r="B1763" s="9" t="inlineStr">
        <is>
          <t>Derek Datil</t>
        </is>
      </c>
      <c r="C1763" s="9" t="inlineStr">
        <is>
          <t>TB</t>
        </is>
      </c>
      <c r="D1763" s="9" t="n">
        <v>25</v>
      </c>
      <c r="E1763" s="16" t="inlineStr">
        <is>
          <t>L</t>
        </is>
      </c>
      <c r="F1763" s="16" t="n"/>
      <c r="G1763" s="9" t="n">
        <v>21.41538461538461</v>
      </c>
      <c r="H1763" s="9" t="n">
        <v>21.41538461538461</v>
      </c>
      <c r="I1763" s="9" t="inlineStr">
        <is>
          <t>Depth (no MLB PA)</t>
        </is>
      </c>
      <c r="J1763" s="16" t="inlineStr">
        <is>
          <t>Opening Day</t>
        </is>
      </c>
      <c r="K1763" s="11">
        <f>IFERROR(INDEX(Roles!$B$17:$B$20,MATCH(J1763,Roles!$A$17:$A$20,0)),1)</f>
        <v/>
      </c>
      <c r="L1763" s="17" t="n">
        <v>1</v>
      </c>
      <c r="M1763" s="11" t="n">
        <v>1</v>
      </c>
      <c r="N1763" s="17" t="n"/>
      <c r="O1763" s="17" t="n"/>
      <c r="P1763" s="17" t="n"/>
      <c r="Q1763" s="17" t="n"/>
      <c r="R1763" s="17" t="n"/>
      <c r="S1763" s="17" t="n"/>
      <c r="T1763" s="17" t="n"/>
      <c r="U1763" s="17" t="n"/>
      <c r="V1763" s="17" t="n"/>
      <c r="W1763" s="17" t="n"/>
      <c r="X1763" s="17" t="n"/>
      <c r="Y1763" s="17" t="n">
        <v>1</v>
      </c>
      <c r="Z1763" s="13">
        <f>SUMPRODUCT(N1763:Y1763,$N$2:$Y$2)*$K1763*$L1763*$M1763</f>
        <v/>
      </c>
      <c r="AA1763" s="14">
        <f>SUM(N1763:Y1763)</f>
        <v/>
      </c>
      <c r="AB1763" s="14">
        <f>IFERROR(IF(UPPER($E1763)="L",SUMPRODUCT(N1763:Y1763,$N$3:$Y$3,$N$2:$Y$2),SUMPRODUCT(N1763:Y1763,$N$4:$Y$4,$N$2:$Y$2))/(Z1763/($K1763*$L1763*$M1763)),"")</f>
        <v/>
      </c>
      <c r="AC1763" s="18" t="n"/>
    </row>
    <row r="1764">
      <c r="A1764" s="9" t="n">
        <v>457759</v>
      </c>
      <c r="B1764" s="9" t="inlineStr">
        <is>
          <t>Justin Turner</t>
        </is>
      </c>
      <c r="C1764" s="9" t="inlineStr">
        <is>
          <t>CHC</t>
        </is>
      </c>
      <c r="D1764" s="9" t="n">
        <v>42</v>
      </c>
      <c r="E1764" s="16" t="inlineStr">
        <is>
          <t>R</t>
        </is>
      </c>
      <c r="F1764" s="16" t="inlineStr">
        <is>
          <t>1B</t>
        </is>
      </c>
      <c r="G1764" s="9" t="n">
        <v>191</v>
      </c>
      <c r="H1764" s="9" t="n">
        <v>1888</v>
      </c>
      <c r="I1764" s="9" t="inlineStr">
        <is>
          <t>Bench Bat</t>
        </is>
      </c>
      <c r="J1764" s="16" t="inlineStr">
        <is>
          <t>Opening Day</t>
        </is>
      </c>
      <c r="K1764" s="11">
        <f>IFERROR(INDEX(Roles!$B$17:$B$20,MATCH(J1764,Roles!$A$17:$A$20,0)),1)</f>
        <v/>
      </c>
      <c r="L1764" s="17" t="n">
        <v>1</v>
      </c>
      <c r="M1764" s="11" t="n">
        <v>1.033272172891091</v>
      </c>
      <c r="N1764" s="17" t="n"/>
      <c r="O1764" s="17" t="n"/>
      <c r="P1764" s="17" t="n"/>
      <c r="Q1764" s="17" t="n"/>
      <c r="R1764" s="17" t="n"/>
      <c r="S1764" s="17" t="n"/>
      <c r="T1764" s="17" t="n"/>
      <c r="U1764" s="17" t="n"/>
      <c r="V1764" s="17" t="n"/>
      <c r="W1764" s="17" t="n">
        <v>1</v>
      </c>
      <c r="X1764" s="17" t="n"/>
      <c r="Y1764" s="17" t="n"/>
      <c r="Z1764" s="13">
        <f>SUMPRODUCT(N1764:Y1764,$N$2:$Y$2)*$K1764*$L1764*$M1764</f>
        <v/>
      </c>
      <c r="AA1764" s="14">
        <f>SUM(N1764:Y1764)</f>
        <v/>
      </c>
      <c r="AB1764" s="14">
        <f>IFERROR(IF(UPPER($E1764)="L",SUMPRODUCT(N1764:Y1764,$N$3:$Y$3,$N$2:$Y$2),SUMPRODUCT(N1764:Y1764,$N$4:$Y$4,$N$2:$Y$2))/(Z1764/($K1764*$L1764*$M1764)),"")</f>
        <v/>
      </c>
      <c r="AC1764" s="18" t="n"/>
    </row>
    <row r="1765">
      <c r="A1765" s="9" t="n">
        <v>815755</v>
      </c>
      <c r="B1765" s="9" t="inlineStr">
        <is>
          <t>Kevin Bruggeman</t>
        </is>
      </c>
      <c r="C1765" s="9" t="inlineStr">
        <is>
          <t>LAA</t>
        </is>
      </c>
      <c r="D1765" s="9" t="n">
        <v>25</v>
      </c>
      <c r="E1765" s="16" t="inlineStr">
        <is>
          <t>R</t>
        </is>
      </c>
      <c r="F1765" s="16" t="n"/>
      <c r="G1765" s="9" t="n">
        <v>27.8974358974359</v>
      </c>
      <c r="H1765" s="9" t="n">
        <v>27.8974358974359</v>
      </c>
      <c r="I1765" s="9" t="inlineStr">
        <is>
          <t>Depth (no MLB PA)</t>
        </is>
      </c>
      <c r="J1765" s="16" t="inlineStr">
        <is>
          <t>Opening Day</t>
        </is>
      </c>
      <c r="K1765" s="11">
        <f>IFERROR(INDEX(Roles!$B$17:$B$20,MATCH(J1765,Roles!$A$17:$A$20,0)),1)</f>
        <v/>
      </c>
      <c r="L1765" s="17" t="n">
        <v>1</v>
      </c>
      <c r="M1765" s="11" t="n">
        <v>1</v>
      </c>
      <c r="N1765" s="17" t="n"/>
      <c r="O1765" s="17" t="n"/>
      <c r="P1765" s="17" t="n"/>
      <c r="Q1765" s="17" t="n"/>
      <c r="R1765" s="17" t="n"/>
      <c r="S1765" s="17" t="n"/>
      <c r="T1765" s="17" t="n"/>
      <c r="U1765" s="17" t="n"/>
      <c r="V1765" s="17" t="n"/>
      <c r="W1765" s="17" t="n"/>
      <c r="X1765" s="17" t="n"/>
      <c r="Y1765" s="17" t="n">
        <v>1</v>
      </c>
      <c r="Z1765" s="13">
        <f>SUMPRODUCT(N1765:Y1765,$N$2:$Y$2)*$K1765*$L1765*$M1765</f>
        <v/>
      </c>
      <c r="AA1765" s="14">
        <f>SUM(N1765:Y1765)</f>
        <v/>
      </c>
      <c r="AB1765" s="14">
        <f>IFERROR(IF(UPPER($E1765)="L",SUMPRODUCT(N1765:Y1765,$N$3:$Y$3,$N$2:$Y$2),SUMPRODUCT(N1765:Y1765,$N$4:$Y$4,$N$2:$Y$2))/(Z1765/($K1765*$L1765*$M1765)),"")</f>
        <v/>
      </c>
      <c r="AC1765" s="18" t="n"/>
    </row>
    <row r="1766">
      <c r="A1766" s="9" t="n">
        <v>683270</v>
      </c>
      <c r="B1766" s="9" t="inlineStr">
        <is>
          <t>Connor Dykstra</t>
        </is>
      </c>
      <c r="C1766" s="9" t="inlineStr">
        <is>
          <t>SEA</t>
        </is>
      </c>
      <c r="D1766" s="9" t="n">
        <v>25</v>
      </c>
      <c r="E1766" s="16" t="inlineStr">
        <is>
          <t>R</t>
        </is>
      </c>
      <c r="F1766" s="16" t="n"/>
      <c r="G1766" s="9" t="n">
        <v>27.81538461538462</v>
      </c>
      <c r="H1766" s="9" t="n">
        <v>27.81538461538462</v>
      </c>
      <c r="I1766" s="9" t="inlineStr">
        <is>
          <t>Depth (no MLB PA)</t>
        </is>
      </c>
      <c r="J1766" s="16" t="inlineStr">
        <is>
          <t>Opening Day</t>
        </is>
      </c>
      <c r="K1766" s="11">
        <f>IFERROR(INDEX(Roles!$B$17:$B$20,MATCH(J1766,Roles!$A$17:$A$20,0)),1)</f>
        <v/>
      </c>
      <c r="L1766" s="17" t="n">
        <v>1</v>
      </c>
      <c r="M1766" s="11" t="n">
        <v>1</v>
      </c>
      <c r="N1766" s="17" t="n"/>
      <c r="O1766" s="17" t="n"/>
      <c r="P1766" s="17" t="n"/>
      <c r="Q1766" s="17" t="n"/>
      <c r="R1766" s="17" t="n"/>
      <c r="S1766" s="17" t="n"/>
      <c r="T1766" s="17" t="n"/>
      <c r="U1766" s="17" t="n"/>
      <c r="V1766" s="17" t="n"/>
      <c r="W1766" s="17" t="n"/>
      <c r="X1766" s="17" t="n"/>
      <c r="Y1766" s="17" t="n">
        <v>1</v>
      </c>
      <c r="Z1766" s="13">
        <f>SUMPRODUCT(N1766:Y1766,$N$2:$Y$2)*$K1766*$L1766*$M1766</f>
        <v/>
      </c>
      <c r="AA1766" s="14">
        <f>SUM(N1766:Y1766)</f>
        <v/>
      </c>
      <c r="AB1766" s="14">
        <f>IFERROR(IF(UPPER($E1766)="L",SUMPRODUCT(N1766:Y1766,$N$3:$Y$3,$N$2:$Y$2),SUMPRODUCT(N1766:Y1766,$N$4:$Y$4,$N$2:$Y$2))/(Z1766/($K1766*$L1766*$M1766)),"")</f>
        <v/>
      </c>
      <c r="AC1766" s="18" t="n"/>
    </row>
    <row r="1767">
      <c r="A1767" s="9" t="n">
        <v>832110</v>
      </c>
      <c r="B1767" s="9" t="inlineStr">
        <is>
          <t>Daniel Rogers</t>
        </is>
      </c>
      <c r="C1767" s="9" t="inlineStr">
        <is>
          <t>SF</t>
        </is>
      </c>
      <c r="D1767" s="9" t="n">
        <v>25</v>
      </c>
      <c r="E1767" s="16" t="inlineStr">
        <is>
          <t>L</t>
        </is>
      </c>
      <c r="F1767" s="16" t="n"/>
      <c r="G1767" s="9" t="n">
        <v>27.48717948717949</v>
      </c>
      <c r="H1767" s="9" t="n">
        <v>27.48717948717949</v>
      </c>
      <c r="I1767" s="9" t="inlineStr">
        <is>
          <t>Depth (no MLB PA)</t>
        </is>
      </c>
      <c r="J1767" s="16" t="inlineStr">
        <is>
          <t>Opening Day</t>
        </is>
      </c>
      <c r="K1767" s="11">
        <f>IFERROR(INDEX(Roles!$B$17:$B$20,MATCH(J1767,Roles!$A$17:$A$20,0)),1)</f>
        <v/>
      </c>
      <c r="L1767" s="17" t="n">
        <v>1</v>
      </c>
      <c r="M1767" s="11" t="n">
        <v>1</v>
      </c>
      <c r="N1767" s="17" t="n"/>
      <c r="O1767" s="17" t="n"/>
      <c r="P1767" s="17" t="n"/>
      <c r="Q1767" s="17" t="n"/>
      <c r="R1767" s="17" t="n"/>
      <c r="S1767" s="17" t="n"/>
      <c r="T1767" s="17" t="n"/>
      <c r="U1767" s="17" t="n"/>
      <c r="V1767" s="17" t="n"/>
      <c r="W1767" s="17" t="n"/>
      <c r="X1767" s="17" t="n"/>
      <c r="Y1767" s="17" t="n">
        <v>1</v>
      </c>
      <c r="Z1767" s="13">
        <f>SUMPRODUCT(N1767:Y1767,$N$2:$Y$2)*$K1767*$L1767*$M1767</f>
        <v/>
      </c>
      <c r="AA1767" s="14">
        <f>SUM(N1767:Y1767)</f>
        <v/>
      </c>
      <c r="AB1767" s="14">
        <f>IFERROR(IF(UPPER($E1767)="L",SUMPRODUCT(N1767:Y1767,$N$3:$Y$3,$N$2:$Y$2),SUMPRODUCT(N1767:Y1767,$N$4:$Y$4,$N$2:$Y$2))/(Z1767/($K1767*$L1767*$M1767)),"")</f>
        <v/>
      </c>
      <c r="AC1767" s="18" t="n"/>
    </row>
    <row r="1768">
      <c r="A1768" s="9" t="n">
        <v>828098</v>
      </c>
      <c r="B1768" s="9" t="inlineStr">
        <is>
          <t>JoJo Parker</t>
        </is>
      </c>
      <c r="C1768" s="9" t="inlineStr">
        <is>
          <t>TOR</t>
        </is>
      </c>
      <c r="D1768" s="9" t="n">
        <v>21</v>
      </c>
      <c r="E1768" s="16" t="inlineStr">
        <is>
          <t>L</t>
        </is>
      </c>
      <c r="F1768" s="16" t="n"/>
      <c r="G1768" s="9" t="n">
        <v>19.69230769230769</v>
      </c>
      <c r="H1768" s="9" t="n">
        <v>19.69230769230769</v>
      </c>
      <c r="I1768" s="9" t="inlineStr">
        <is>
          <t>Depth (no MLB PA)</t>
        </is>
      </c>
      <c r="J1768" s="16" t="inlineStr">
        <is>
          <t>Opening Day</t>
        </is>
      </c>
      <c r="K1768" s="11">
        <f>IFERROR(INDEX(Roles!$B$17:$B$20,MATCH(J1768,Roles!$A$17:$A$20,0)),1)</f>
        <v/>
      </c>
      <c r="L1768" s="17" t="n">
        <v>1</v>
      </c>
      <c r="M1768" s="11" t="n">
        <v>1</v>
      </c>
      <c r="N1768" s="17" t="n"/>
      <c r="O1768" s="17" t="n"/>
      <c r="P1768" s="17" t="n"/>
      <c r="Q1768" s="17" t="n"/>
      <c r="R1768" s="17" t="n"/>
      <c r="S1768" s="17" t="n"/>
      <c r="T1768" s="17" t="n"/>
      <c r="U1768" s="17" t="n"/>
      <c r="V1768" s="17" t="n"/>
      <c r="W1768" s="17" t="n"/>
      <c r="X1768" s="17" t="n"/>
      <c r="Y1768" s="17" t="n">
        <v>1</v>
      </c>
      <c r="Z1768" s="13">
        <f>SUMPRODUCT(N1768:Y1768,$N$2:$Y$2)*$K1768*$L1768*$M1768</f>
        <v/>
      </c>
      <c r="AA1768" s="14">
        <f>SUM(N1768:Y1768)</f>
        <v/>
      </c>
      <c r="AB1768" s="14">
        <f>IFERROR(IF(UPPER($E1768)="L",SUMPRODUCT(N1768:Y1768,$N$3:$Y$3,$N$2:$Y$2),SUMPRODUCT(N1768:Y1768,$N$4:$Y$4,$N$2:$Y$2))/(Z1768/($K1768*$L1768*$M1768)),"")</f>
        <v/>
      </c>
      <c r="AC1768" s="18" t="n"/>
    </row>
    <row r="1769">
      <c r="A1769" s="9" t="n">
        <v>689822</v>
      </c>
      <c r="B1769" s="9" t="inlineStr">
        <is>
          <t>Matt Rudick</t>
        </is>
      </c>
      <c r="C1769" s="9" t="inlineStr">
        <is>
          <t>NYM</t>
        </is>
      </c>
      <c r="D1769" s="9" t="n">
        <v>25</v>
      </c>
      <c r="E1769" s="16" t="inlineStr">
        <is>
          <t>L</t>
        </is>
      </c>
      <c r="F1769" s="16" t="n"/>
      <c r="G1769" s="9" t="n">
        <v>36.66666666666667</v>
      </c>
      <c r="H1769" s="9" t="n">
        <v>36.66666666666667</v>
      </c>
      <c r="I1769" s="9" t="inlineStr">
        <is>
          <t>Depth (no MLB PA)</t>
        </is>
      </c>
      <c r="J1769" s="16" t="inlineStr">
        <is>
          <t>Opening Day</t>
        </is>
      </c>
      <c r="K1769" s="11">
        <f>IFERROR(INDEX(Roles!$B$17:$B$20,MATCH(J1769,Roles!$A$17:$A$20,0)),1)</f>
        <v/>
      </c>
      <c r="L1769" s="17" t="n">
        <v>1</v>
      </c>
      <c r="M1769" s="11" t="n">
        <v>1</v>
      </c>
      <c r="N1769" s="17" t="n"/>
      <c r="O1769" s="17" t="n"/>
      <c r="P1769" s="17" t="n"/>
      <c r="Q1769" s="17" t="n"/>
      <c r="R1769" s="17" t="n"/>
      <c r="S1769" s="17" t="n"/>
      <c r="T1769" s="17" t="n"/>
      <c r="U1769" s="17" t="n"/>
      <c r="V1769" s="17" t="n"/>
      <c r="W1769" s="17" t="n"/>
      <c r="X1769" s="17" t="n"/>
      <c r="Y1769" s="17" t="n">
        <v>1</v>
      </c>
      <c r="Z1769" s="13">
        <f>SUMPRODUCT(N1769:Y1769,$N$2:$Y$2)*$K1769*$L1769*$M1769</f>
        <v/>
      </c>
      <c r="AA1769" s="14">
        <f>SUM(N1769:Y1769)</f>
        <v/>
      </c>
      <c r="AB1769" s="14">
        <f>IFERROR(IF(UPPER($E1769)="L",SUMPRODUCT(N1769:Y1769,$N$3:$Y$3,$N$2:$Y$2),SUMPRODUCT(N1769:Y1769,$N$4:$Y$4,$N$2:$Y$2))/(Z1769/($K1769*$L1769*$M1769)),"")</f>
        <v/>
      </c>
      <c r="AC1769" s="18" t="n"/>
    </row>
    <row r="1770">
      <c r="A1770" s="9" t="n">
        <v>642708</v>
      </c>
      <c r="B1770" s="9" t="inlineStr">
        <is>
          <t>Amed Rosario</t>
        </is>
      </c>
      <c r="C1770" s="9" t="inlineStr">
        <is>
          <t>NYY</t>
        </is>
      </c>
      <c r="D1770" s="9" t="n">
        <v>31</v>
      </c>
      <c r="E1770" s="16" t="inlineStr">
        <is>
          <t>R</t>
        </is>
      </c>
      <c r="F1770" s="16" t="inlineStr">
        <is>
          <t>3B</t>
        </is>
      </c>
      <c r="G1770" s="9" t="n">
        <v>244</v>
      </c>
      <c r="H1770" s="9" t="n">
        <v>1996</v>
      </c>
      <c r="I1770" s="9" t="inlineStr">
        <is>
          <t>Utility IF</t>
        </is>
      </c>
      <c r="J1770" s="16" t="inlineStr">
        <is>
          <t>Opening Day</t>
        </is>
      </c>
      <c r="K1770" s="11">
        <f>IFERROR(INDEX(Roles!$B$17:$B$20,MATCH(J1770,Roles!$A$17:$A$20,0)),1)</f>
        <v/>
      </c>
      <c r="L1770" s="17" t="n">
        <v>1</v>
      </c>
      <c r="M1770" s="11" t="n">
        <v>0.875459435538381</v>
      </c>
      <c r="N1770" s="17" t="n"/>
      <c r="O1770" s="17" t="n"/>
      <c r="P1770" s="17" t="n"/>
      <c r="Q1770" s="17" t="n"/>
      <c r="R1770" s="17" t="n"/>
      <c r="S1770" s="17" t="n"/>
      <c r="T1770" s="17" t="n"/>
      <c r="U1770" s="17" t="n">
        <v>0.7</v>
      </c>
      <c r="V1770" s="17" t="n"/>
      <c r="W1770" s="17" t="n">
        <v>0.3</v>
      </c>
      <c r="X1770" s="17" t="n"/>
      <c r="Y1770" s="17" t="n"/>
      <c r="Z1770" s="13">
        <f>SUMPRODUCT(N1770:Y1770,$N$2:$Y$2)*$K1770*$L1770*$M1770</f>
        <v/>
      </c>
      <c r="AA1770" s="14">
        <f>SUM(N1770:Y1770)</f>
        <v/>
      </c>
      <c r="AB1770" s="14">
        <f>IFERROR(IF(UPPER($E1770)="L",SUMPRODUCT(N1770:Y1770,$N$3:$Y$3,$N$2:$Y$2),SUMPRODUCT(N1770:Y1770,$N$4:$Y$4,$N$2:$Y$2))/(Z1770/($K1770*$L1770*$M1770)),"")</f>
        <v/>
      </c>
      <c r="AC1770" s="18" t="n"/>
    </row>
    <row r="1771">
      <c r="A1771" s="9" t="n">
        <v>808693</v>
      </c>
      <c r="B1771" s="9" t="inlineStr">
        <is>
          <t>Daniel Lopez</t>
        </is>
      </c>
      <c r="C1771" s="9" t="inlineStr">
        <is>
          <t>KC</t>
        </is>
      </c>
      <c r="D1771" s="9" t="n">
        <v>25</v>
      </c>
      <c r="E1771" s="16" t="inlineStr">
        <is>
          <t>L</t>
        </is>
      </c>
      <c r="F1771" s="16" t="n"/>
      <c r="G1771" s="9" t="n">
        <v>21.78461538461539</v>
      </c>
      <c r="H1771" s="9" t="n">
        <v>21.78461538461539</v>
      </c>
      <c r="I1771" s="9" t="inlineStr">
        <is>
          <t>Depth (no MLB PA)</t>
        </is>
      </c>
      <c r="J1771" s="16" t="inlineStr">
        <is>
          <t>Opening Day</t>
        </is>
      </c>
      <c r="K1771" s="11">
        <f>IFERROR(INDEX(Roles!$B$17:$B$20,MATCH(J1771,Roles!$A$17:$A$20,0)),1)</f>
        <v/>
      </c>
      <c r="L1771" s="17" t="n">
        <v>1</v>
      </c>
      <c r="M1771" s="11" t="n">
        <v>1</v>
      </c>
      <c r="N1771" s="17" t="n"/>
      <c r="O1771" s="17" t="n"/>
      <c r="P1771" s="17" t="n"/>
      <c r="Q1771" s="17" t="n"/>
      <c r="R1771" s="17" t="n"/>
      <c r="S1771" s="17" t="n"/>
      <c r="T1771" s="17" t="n"/>
      <c r="U1771" s="17" t="n"/>
      <c r="V1771" s="17" t="n"/>
      <c r="W1771" s="17" t="n"/>
      <c r="X1771" s="17" t="n"/>
      <c r="Y1771" s="17" t="n">
        <v>1</v>
      </c>
      <c r="Z1771" s="13">
        <f>SUMPRODUCT(N1771:Y1771,$N$2:$Y$2)*$K1771*$L1771*$M1771</f>
        <v/>
      </c>
      <c r="AA1771" s="14">
        <f>SUM(N1771:Y1771)</f>
        <v/>
      </c>
      <c r="AB1771" s="14">
        <f>IFERROR(IF(UPPER($E1771)="L",SUMPRODUCT(N1771:Y1771,$N$3:$Y$3,$N$2:$Y$2),SUMPRODUCT(N1771:Y1771,$N$4:$Y$4,$N$2:$Y$2))/(Z1771/($K1771*$L1771*$M1771)),"")</f>
        <v/>
      </c>
      <c r="AC1771" s="18" t="n"/>
    </row>
    <row r="1772">
      <c r="A1772" s="9" t="n">
        <v>692446</v>
      </c>
      <c r="B1772" s="9" t="inlineStr">
        <is>
          <t>Miguel Villarroel</t>
        </is>
      </c>
      <c r="C1772" s="9" t="inlineStr">
        <is>
          <t>STL</t>
        </is>
      </c>
      <c r="D1772" s="9" t="n">
        <v>25</v>
      </c>
      <c r="E1772" s="16" t="inlineStr">
        <is>
          <t>R</t>
        </is>
      </c>
      <c r="F1772" s="16" t="n"/>
      <c r="G1772" s="9" t="n">
        <v>19.17948717948718</v>
      </c>
      <c r="H1772" s="9" t="n">
        <v>19.17948717948718</v>
      </c>
      <c r="I1772" s="9" t="inlineStr">
        <is>
          <t>Depth (no MLB PA)</t>
        </is>
      </c>
      <c r="J1772" s="16" t="inlineStr">
        <is>
          <t>Opening Day</t>
        </is>
      </c>
      <c r="K1772" s="11">
        <f>IFERROR(INDEX(Roles!$B$17:$B$20,MATCH(J1772,Roles!$A$17:$A$20,0)),1)</f>
        <v/>
      </c>
      <c r="L1772" s="17" t="n">
        <v>1</v>
      </c>
      <c r="M1772" s="11" t="n">
        <v>1</v>
      </c>
      <c r="N1772" s="17" t="n"/>
      <c r="O1772" s="17" t="n"/>
      <c r="P1772" s="17" t="n"/>
      <c r="Q1772" s="17" t="n"/>
      <c r="R1772" s="17" t="n"/>
      <c r="S1772" s="17" t="n"/>
      <c r="T1772" s="17" t="n"/>
      <c r="U1772" s="17" t="n"/>
      <c r="V1772" s="17" t="n"/>
      <c r="W1772" s="17" t="n"/>
      <c r="X1772" s="17" t="n"/>
      <c r="Y1772" s="17" t="n">
        <v>1</v>
      </c>
      <c r="Z1772" s="13">
        <f>SUMPRODUCT(N1772:Y1772,$N$2:$Y$2)*$K1772*$L1772*$M1772</f>
        <v/>
      </c>
      <c r="AA1772" s="14">
        <f>SUM(N1772:Y1772)</f>
        <v/>
      </c>
      <c r="AB1772" s="14">
        <f>IFERROR(IF(UPPER($E1772)="L",SUMPRODUCT(N1772:Y1772,$N$3:$Y$3,$N$2:$Y$2),SUMPRODUCT(N1772:Y1772,$N$4:$Y$4,$N$2:$Y$2))/(Z1772/($K1772*$L1772*$M1772)),"")</f>
        <v/>
      </c>
      <c r="AC1772" s="18" t="n"/>
    </row>
    <row r="1773">
      <c r="A1773" s="9" t="n">
        <v>815818</v>
      </c>
      <c r="B1773" s="9" t="inlineStr">
        <is>
          <t>Gavin Fien</t>
        </is>
      </c>
      <c r="C1773" s="9" t="inlineStr">
        <is>
          <t>WSH</t>
        </is>
      </c>
      <c r="D1773" s="9" t="n">
        <v>25</v>
      </c>
      <c r="E1773" s="16" t="inlineStr">
        <is>
          <t>R</t>
        </is>
      </c>
      <c r="F1773" s="16" t="n"/>
      <c r="G1773" s="9" t="n">
        <v>41.96923076923076</v>
      </c>
      <c r="H1773" s="9" t="n">
        <v>41.96923076923076</v>
      </c>
      <c r="I1773" s="9" t="inlineStr">
        <is>
          <t>Depth (no MLB PA)</t>
        </is>
      </c>
      <c r="J1773" s="16" t="inlineStr">
        <is>
          <t>Opening Day</t>
        </is>
      </c>
      <c r="K1773" s="11">
        <f>IFERROR(INDEX(Roles!$B$17:$B$20,MATCH(J1773,Roles!$A$17:$A$20,0)),1)</f>
        <v/>
      </c>
      <c r="L1773" s="17" t="n">
        <v>1</v>
      </c>
      <c r="M1773" s="11" t="n">
        <v>1</v>
      </c>
      <c r="N1773" s="17" t="n"/>
      <c r="O1773" s="17" t="n"/>
      <c r="P1773" s="17" t="n"/>
      <c r="Q1773" s="17" t="n"/>
      <c r="R1773" s="17" t="n"/>
      <c r="S1773" s="17" t="n"/>
      <c r="T1773" s="17" t="n"/>
      <c r="U1773" s="17" t="n"/>
      <c r="V1773" s="17" t="n"/>
      <c r="W1773" s="17" t="n"/>
      <c r="X1773" s="17" t="n"/>
      <c r="Y1773" s="17" t="n">
        <v>1</v>
      </c>
      <c r="Z1773" s="13">
        <f>SUMPRODUCT(N1773:Y1773,$N$2:$Y$2)*$K1773*$L1773*$M1773</f>
        <v/>
      </c>
      <c r="AA1773" s="14">
        <f>SUM(N1773:Y1773)</f>
        <v/>
      </c>
      <c r="AB1773" s="14">
        <f>IFERROR(IF(UPPER($E1773)="L",SUMPRODUCT(N1773:Y1773,$N$3:$Y$3,$N$2:$Y$2),SUMPRODUCT(N1773:Y1773,$N$4:$Y$4,$N$2:$Y$2))/(Z1773/($K1773*$L1773*$M1773)),"")</f>
        <v/>
      </c>
      <c r="AC1773" s="18" t="n"/>
    </row>
    <row r="1774">
      <c r="A1774" s="9" t="n">
        <v>691922</v>
      </c>
      <c r="B1774" s="9" t="inlineStr">
        <is>
          <t>Javier Rivas</t>
        </is>
      </c>
      <c r="C1774" s="9" t="inlineStr">
        <is>
          <t>PIT</t>
        </is>
      </c>
      <c r="D1774" s="9" t="n">
        <v>25</v>
      </c>
      <c r="E1774" s="16" t="inlineStr">
        <is>
          <t>R</t>
        </is>
      </c>
      <c r="F1774" s="16" t="n"/>
      <c r="G1774" s="9" t="n">
        <v>110.5641025641026</v>
      </c>
      <c r="H1774" s="9" t="n">
        <v>110.5641025641026</v>
      </c>
      <c r="I1774" s="9" t="inlineStr">
        <is>
          <t>Depth (no MLB PA)</t>
        </is>
      </c>
      <c r="J1774" s="16" t="inlineStr">
        <is>
          <t>Opening Day</t>
        </is>
      </c>
      <c r="K1774" s="11">
        <f>IFERROR(INDEX(Roles!$B$17:$B$20,MATCH(J1774,Roles!$A$17:$A$20,0)),1)</f>
        <v/>
      </c>
      <c r="L1774" s="17" t="n">
        <v>1</v>
      </c>
      <c r="M1774" s="11" t="n">
        <v>1</v>
      </c>
      <c r="N1774" s="17" t="n"/>
      <c r="O1774" s="17" t="n"/>
      <c r="P1774" s="17" t="n"/>
      <c r="Q1774" s="17" t="n"/>
      <c r="R1774" s="17" t="n"/>
      <c r="S1774" s="17" t="n"/>
      <c r="T1774" s="17" t="n"/>
      <c r="U1774" s="17" t="n"/>
      <c r="V1774" s="17" t="n"/>
      <c r="W1774" s="17" t="n"/>
      <c r="X1774" s="17" t="n"/>
      <c r="Y1774" s="17" t="n">
        <v>1</v>
      </c>
      <c r="Z1774" s="13">
        <f>SUMPRODUCT(N1774:Y1774,$N$2:$Y$2)*$K1774*$L1774*$M1774</f>
        <v/>
      </c>
      <c r="AA1774" s="14">
        <f>SUM(N1774:Y1774)</f>
        <v/>
      </c>
      <c r="AB1774" s="14">
        <f>IFERROR(IF(UPPER($E1774)="L",SUMPRODUCT(N1774:Y1774,$N$3:$Y$3,$N$2:$Y$2),SUMPRODUCT(N1774:Y1774,$N$4:$Y$4,$N$2:$Y$2))/(Z1774/($K1774*$L1774*$M1774)),"")</f>
        <v/>
      </c>
      <c r="AC1774" s="18" t="n"/>
    </row>
    <row r="1775">
      <c r="A1775" s="9" t="n">
        <v>821075</v>
      </c>
      <c r="B1775" s="9" t="inlineStr">
        <is>
          <t>Merphy Hernandez</t>
        </is>
      </c>
      <c r="C1775" s="9" t="inlineStr">
        <is>
          <t>MIN</t>
        </is>
      </c>
      <c r="D1775" s="9" t="n">
        <v>25</v>
      </c>
      <c r="E1775" s="16" t="inlineStr">
        <is>
          <t>L</t>
        </is>
      </c>
      <c r="F1775" s="16" t="n"/>
      <c r="G1775" s="9" t="n">
        <v>28.92307692307692</v>
      </c>
      <c r="H1775" s="9" t="n">
        <v>28.92307692307692</v>
      </c>
      <c r="I1775" s="9" t="inlineStr">
        <is>
          <t>Depth (no MLB PA)</t>
        </is>
      </c>
      <c r="J1775" s="16" t="inlineStr">
        <is>
          <t>Opening Day</t>
        </is>
      </c>
      <c r="K1775" s="11">
        <f>IFERROR(INDEX(Roles!$B$17:$B$20,MATCH(J1775,Roles!$A$17:$A$20,0)),1)</f>
        <v/>
      </c>
      <c r="L1775" s="17" t="n">
        <v>1</v>
      </c>
      <c r="M1775" s="11" t="n">
        <v>1</v>
      </c>
      <c r="N1775" s="17" t="n"/>
      <c r="O1775" s="17" t="n"/>
      <c r="P1775" s="17" t="n"/>
      <c r="Q1775" s="17" t="n"/>
      <c r="R1775" s="17" t="n"/>
      <c r="S1775" s="17" t="n"/>
      <c r="T1775" s="17" t="n"/>
      <c r="U1775" s="17" t="n"/>
      <c r="V1775" s="17" t="n"/>
      <c r="W1775" s="17" t="n"/>
      <c r="X1775" s="17" t="n"/>
      <c r="Y1775" s="17" t="n">
        <v>1</v>
      </c>
      <c r="Z1775" s="13">
        <f>SUMPRODUCT(N1775:Y1775,$N$2:$Y$2)*$K1775*$L1775*$M1775</f>
        <v/>
      </c>
      <c r="AA1775" s="14">
        <f>SUM(N1775:Y1775)</f>
        <v/>
      </c>
      <c r="AB1775" s="14">
        <f>IFERROR(IF(UPPER($E1775)="L",SUMPRODUCT(N1775:Y1775,$N$3:$Y$3,$N$2:$Y$2),SUMPRODUCT(N1775:Y1775,$N$4:$Y$4,$N$2:$Y$2))/(Z1775/($K1775*$L1775*$M1775)),"")</f>
        <v/>
      </c>
      <c r="AC1775" s="18" t="n"/>
    </row>
    <row r="1776">
      <c r="A1776" s="9" t="n">
        <v>699130</v>
      </c>
      <c r="B1776" s="9" t="inlineStr">
        <is>
          <t>Jadher Areinamo</t>
        </is>
      </c>
      <c r="C1776" s="9" t="inlineStr">
        <is>
          <t>TB</t>
        </is>
      </c>
      <c r="D1776" s="9" t="n">
        <v>25</v>
      </c>
      <c r="E1776" s="16" t="inlineStr">
        <is>
          <t>R</t>
        </is>
      </c>
      <c r="F1776" s="16" t="n"/>
      <c r="G1776" s="9" t="n">
        <v>21.43589743589744</v>
      </c>
      <c r="H1776" s="9" t="n">
        <v>21.43589743589744</v>
      </c>
      <c r="I1776" s="9" t="inlineStr">
        <is>
          <t>Depth (no MLB PA)</t>
        </is>
      </c>
      <c r="J1776" s="16" t="inlineStr">
        <is>
          <t>Opening Day</t>
        </is>
      </c>
      <c r="K1776" s="11">
        <f>IFERROR(INDEX(Roles!$B$17:$B$20,MATCH(J1776,Roles!$A$17:$A$20,0)),1)</f>
        <v/>
      </c>
      <c r="L1776" s="17" t="n">
        <v>1</v>
      </c>
      <c r="M1776" s="11" t="n">
        <v>1</v>
      </c>
      <c r="N1776" s="17" t="n"/>
      <c r="O1776" s="17" t="n"/>
      <c r="P1776" s="17" t="n"/>
      <c r="Q1776" s="17" t="n"/>
      <c r="R1776" s="17" t="n"/>
      <c r="S1776" s="17" t="n"/>
      <c r="T1776" s="17" t="n"/>
      <c r="U1776" s="17" t="n"/>
      <c r="V1776" s="17" t="n"/>
      <c r="W1776" s="17" t="n"/>
      <c r="X1776" s="17" t="n"/>
      <c r="Y1776" s="17" t="n">
        <v>1</v>
      </c>
      <c r="Z1776" s="13">
        <f>SUMPRODUCT(N1776:Y1776,$N$2:$Y$2)*$K1776*$L1776*$M1776</f>
        <v/>
      </c>
      <c r="AA1776" s="14">
        <f>SUM(N1776:Y1776)</f>
        <v/>
      </c>
      <c r="AB1776" s="14">
        <f>IFERROR(IF(UPPER($E1776)="L",SUMPRODUCT(N1776:Y1776,$N$3:$Y$3,$N$2:$Y$2),SUMPRODUCT(N1776:Y1776,$N$4:$Y$4,$N$2:$Y$2))/(Z1776/($K1776*$L1776*$M1776)),"")</f>
        <v/>
      </c>
      <c r="AC1776" s="18" t="n"/>
    </row>
    <row r="1777">
      <c r="A1777" s="9" t="n">
        <v>800516</v>
      </c>
      <c r="B1777" s="9" t="inlineStr">
        <is>
          <t>Alberto Hernandez</t>
        </is>
      </c>
      <c r="C1777" s="9" t="inlineStr">
        <is>
          <t>HOU</t>
        </is>
      </c>
      <c r="D1777" s="9" t="n">
        <v>25</v>
      </c>
      <c r="E1777" s="16" t="inlineStr">
        <is>
          <t>R</t>
        </is>
      </c>
      <c r="F1777" s="16" t="n"/>
      <c r="G1777" s="9" t="n">
        <v>38.41025641025641</v>
      </c>
      <c r="H1777" s="9" t="n">
        <v>38.41025641025641</v>
      </c>
      <c r="I1777" s="9" t="inlineStr">
        <is>
          <t>Depth (no MLB PA)</t>
        </is>
      </c>
      <c r="J1777" s="16" t="inlineStr">
        <is>
          <t>Opening Day</t>
        </is>
      </c>
      <c r="K1777" s="11">
        <f>IFERROR(INDEX(Roles!$B$17:$B$20,MATCH(J1777,Roles!$A$17:$A$20,0)),1)</f>
        <v/>
      </c>
      <c r="L1777" s="17" t="n">
        <v>1</v>
      </c>
      <c r="M1777" s="11" t="n">
        <v>1</v>
      </c>
      <c r="N1777" s="17" t="n"/>
      <c r="O1777" s="17" t="n"/>
      <c r="P1777" s="17" t="n"/>
      <c r="Q1777" s="17" t="n"/>
      <c r="R1777" s="17" t="n"/>
      <c r="S1777" s="17" t="n"/>
      <c r="T1777" s="17" t="n"/>
      <c r="U1777" s="17" t="n"/>
      <c r="V1777" s="17" t="n"/>
      <c r="W1777" s="17" t="n"/>
      <c r="X1777" s="17" t="n"/>
      <c r="Y1777" s="17" t="n">
        <v>1</v>
      </c>
      <c r="Z1777" s="13">
        <f>SUMPRODUCT(N1777:Y1777,$N$2:$Y$2)*$K1777*$L1777*$M1777</f>
        <v/>
      </c>
      <c r="AA1777" s="14">
        <f>SUM(N1777:Y1777)</f>
        <v/>
      </c>
      <c r="AB1777" s="14">
        <f>IFERROR(IF(UPPER($E1777)="L",SUMPRODUCT(N1777:Y1777,$N$3:$Y$3,$N$2:$Y$2),SUMPRODUCT(N1777:Y1777,$N$4:$Y$4,$N$2:$Y$2))/(Z1777/($K1777*$L1777*$M1777)),"")</f>
        <v/>
      </c>
      <c r="AC1777" s="18" t="n"/>
    </row>
    <row r="1778">
      <c r="A1778" s="9" t="n">
        <v>820842</v>
      </c>
      <c r="B1778" s="9" t="inlineStr">
        <is>
          <t>Bryce Chance</t>
        </is>
      </c>
      <c r="C1778" s="9" t="inlineStr">
        <is>
          <t>TOR</t>
        </is>
      </c>
      <c r="D1778" s="9" t="n">
        <v>25</v>
      </c>
      <c r="E1778" s="16" t="inlineStr">
        <is>
          <t>R</t>
        </is>
      </c>
      <c r="F1778" s="16" t="n"/>
      <c r="G1778" s="9" t="n">
        <v>20.71794871794872</v>
      </c>
      <c r="H1778" s="9" t="n">
        <v>20.71794871794872</v>
      </c>
      <c r="I1778" s="9" t="inlineStr">
        <is>
          <t>Depth (no MLB PA)</t>
        </is>
      </c>
      <c r="J1778" s="16" t="inlineStr">
        <is>
          <t>Opening Day</t>
        </is>
      </c>
      <c r="K1778" s="11">
        <f>IFERROR(INDEX(Roles!$B$17:$B$20,MATCH(J1778,Roles!$A$17:$A$20,0)),1)</f>
        <v/>
      </c>
      <c r="L1778" s="17" t="n">
        <v>1</v>
      </c>
      <c r="M1778" s="11" t="n">
        <v>1</v>
      </c>
      <c r="N1778" s="17" t="n"/>
      <c r="O1778" s="17" t="n"/>
      <c r="P1778" s="17" t="n"/>
      <c r="Q1778" s="17" t="n"/>
      <c r="R1778" s="17" t="n"/>
      <c r="S1778" s="17" t="n"/>
      <c r="T1778" s="17" t="n"/>
      <c r="U1778" s="17" t="n"/>
      <c r="V1778" s="17" t="n"/>
      <c r="W1778" s="17" t="n"/>
      <c r="X1778" s="17" t="n"/>
      <c r="Y1778" s="17" t="n">
        <v>1</v>
      </c>
      <c r="Z1778" s="13">
        <f>SUMPRODUCT(N1778:Y1778,$N$2:$Y$2)*$K1778*$L1778*$M1778</f>
        <v/>
      </c>
      <c r="AA1778" s="14">
        <f>SUM(N1778:Y1778)</f>
        <v/>
      </c>
      <c r="AB1778" s="14">
        <f>IFERROR(IF(UPPER($E1778)="L",SUMPRODUCT(N1778:Y1778,$N$3:$Y$3,$N$2:$Y$2),SUMPRODUCT(N1778:Y1778,$N$4:$Y$4,$N$2:$Y$2))/(Z1778/($K1778*$L1778*$M1778)),"")</f>
        <v/>
      </c>
      <c r="AC1778" s="18" t="n"/>
    </row>
    <row r="1779">
      <c r="A1779" s="9" t="n">
        <v>703641</v>
      </c>
      <c r="B1779" s="9" t="inlineStr">
        <is>
          <t>Adrian Rodriguez</t>
        </is>
      </c>
      <c r="C1779" s="9" t="inlineStr">
        <is>
          <t>ARI</t>
        </is>
      </c>
      <c r="D1779" s="9" t="n">
        <v>25</v>
      </c>
      <c r="E1779" s="16" t="inlineStr">
        <is>
          <t>R</t>
        </is>
      </c>
      <c r="F1779" s="16" t="n"/>
      <c r="G1779" s="9" t="n">
        <v>29.33333333333333</v>
      </c>
      <c r="H1779" s="9" t="n">
        <v>29.33333333333333</v>
      </c>
      <c r="I1779" s="9" t="inlineStr">
        <is>
          <t>Depth (no MLB PA)</t>
        </is>
      </c>
      <c r="J1779" s="16" t="inlineStr">
        <is>
          <t>Opening Day</t>
        </is>
      </c>
      <c r="K1779" s="11">
        <f>IFERROR(INDEX(Roles!$B$17:$B$20,MATCH(J1779,Roles!$A$17:$A$20,0)),1)</f>
        <v/>
      </c>
      <c r="L1779" s="17" t="n">
        <v>1</v>
      </c>
      <c r="M1779" s="11" t="n">
        <v>1</v>
      </c>
      <c r="N1779" s="17" t="n"/>
      <c r="O1779" s="17" t="n"/>
      <c r="P1779" s="17" t="n"/>
      <c r="Q1779" s="17" t="n"/>
      <c r="R1779" s="17" t="n"/>
      <c r="S1779" s="17" t="n"/>
      <c r="T1779" s="17" t="n"/>
      <c r="U1779" s="17" t="n"/>
      <c r="V1779" s="17" t="n"/>
      <c r="W1779" s="17" t="n"/>
      <c r="X1779" s="17" t="n"/>
      <c r="Y1779" s="17" t="n">
        <v>1</v>
      </c>
      <c r="Z1779" s="13">
        <f>SUMPRODUCT(N1779:Y1779,$N$2:$Y$2)*$K1779*$L1779*$M1779</f>
        <v/>
      </c>
      <c r="AA1779" s="14">
        <f>SUM(N1779:Y1779)</f>
        <v/>
      </c>
      <c r="AB1779" s="14">
        <f>IFERROR(IF(UPPER($E1779)="L",SUMPRODUCT(N1779:Y1779,$N$3:$Y$3,$N$2:$Y$2),SUMPRODUCT(N1779:Y1779,$N$4:$Y$4,$N$2:$Y$2))/(Z1779/($K1779*$L1779*$M1779)),"")</f>
        <v/>
      </c>
      <c r="AC1779" s="18" t="n"/>
    </row>
    <row r="1780">
      <c r="A1780" s="9" t="n">
        <v>643393</v>
      </c>
      <c r="B1780" s="9" t="inlineStr">
        <is>
          <t>Tony Kemp</t>
        </is>
      </c>
      <c r="C1780" s="9" t="inlineStr">
        <is>
          <t>OAK</t>
        </is>
      </c>
      <c r="D1780" s="9" t="n">
        <v>35</v>
      </c>
      <c r="E1780" s="16" t="inlineStr">
        <is>
          <t>L</t>
        </is>
      </c>
      <c r="F1780" s="16" t="inlineStr">
        <is>
          <t>2B</t>
        </is>
      </c>
      <c r="G1780" s="9" t="n">
        <v>10</v>
      </c>
      <c r="H1780" s="9" t="n">
        <v>987</v>
      </c>
      <c r="I1780" s="9" t="inlineStr">
        <is>
          <t>Depth (no MLB PA)</t>
        </is>
      </c>
      <c r="J1780" s="16" t="inlineStr">
        <is>
          <t>Opening Day</t>
        </is>
      </c>
      <c r="K1780" s="11">
        <f>IFERROR(INDEX(Roles!$B$17:$B$20,MATCH(J1780,Roles!$A$17:$A$20,0)),1)</f>
        <v/>
      </c>
      <c r="L1780" s="17" t="n">
        <v>1</v>
      </c>
      <c r="M1780" s="11" t="n">
        <v>1</v>
      </c>
      <c r="N1780" s="17" t="n"/>
      <c r="O1780" s="17" t="n"/>
      <c r="P1780" s="17" t="n"/>
      <c r="Q1780" s="17" t="n"/>
      <c r="R1780" s="17" t="n"/>
      <c r="S1780" s="17" t="n"/>
      <c r="T1780" s="17" t="n"/>
      <c r="U1780" s="17" t="n"/>
      <c r="V1780" s="17" t="n"/>
      <c r="W1780" s="17" t="n"/>
      <c r="X1780" s="17" t="n"/>
      <c r="Y1780" s="17" t="n">
        <v>1</v>
      </c>
      <c r="Z1780" s="13">
        <f>SUMPRODUCT(N1780:Y1780,$N$2:$Y$2)*$K1780*$L1780*$M1780</f>
        <v/>
      </c>
      <c r="AA1780" s="14">
        <f>SUM(N1780:Y1780)</f>
        <v/>
      </c>
      <c r="AB1780" s="14">
        <f>IFERROR(IF(UPPER($E1780)="L",SUMPRODUCT(N1780:Y1780,$N$3:$Y$3,$N$2:$Y$2),SUMPRODUCT(N1780:Y1780,$N$4:$Y$4,$N$2:$Y$2))/(Z1780/($K1780*$L1780*$M1780)),"")</f>
        <v/>
      </c>
      <c r="AC1780" s="18" t="n"/>
    </row>
    <row r="1781">
      <c r="A1781" s="9" t="n">
        <v>547379</v>
      </c>
      <c r="B1781" s="9" t="inlineStr">
        <is>
          <t>Roberto Pérez</t>
        </is>
      </c>
      <c r="C1781" s="9" t="inlineStr">
        <is>
          <t>PIT</t>
        </is>
      </c>
      <c r="D1781" s="9" t="n">
        <v>38</v>
      </c>
      <c r="E1781" s="16" t="inlineStr">
        <is>
          <t>R</t>
        </is>
      </c>
      <c r="F1781" s="16" t="inlineStr">
        <is>
          <t>C</t>
        </is>
      </c>
      <c r="G1781" s="9" t="n">
        <v>17</v>
      </c>
      <c r="H1781" s="9" t="n">
        <v>86</v>
      </c>
      <c r="I1781" s="9" t="inlineStr">
        <is>
          <t>Depth (no MLB PA)</t>
        </is>
      </c>
      <c r="J1781" s="16" t="inlineStr">
        <is>
          <t>Opening Day</t>
        </is>
      </c>
      <c r="K1781" s="11">
        <f>IFERROR(INDEX(Roles!$B$17:$B$20,MATCH(J1781,Roles!$A$17:$A$20,0)),1)</f>
        <v/>
      </c>
      <c r="L1781" s="17" t="n">
        <v>1</v>
      </c>
      <c r="M1781" s="11" t="n">
        <v>1</v>
      </c>
      <c r="N1781" s="17" t="n"/>
      <c r="O1781" s="17" t="n"/>
      <c r="P1781" s="17" t="n"/>
      <c r="Q1781" s="17" t="n"/>
      <c r="R1781" s="17" t="n"/>
      <c r="S1781" s="17" t="n"/>
      <c r="T1781" s="17" t="n"/>
      <c r="U1781" s="17" t="n"/>
      <c r="V1781" s="17" t="n"/>
      <c r="W1781" s="17" t="n"/>
      <c r="X1781" s="17" t="n"/>
      <c r="Y1781" s="17" t="n">
        <v>1</v>
      </c>
      <c r="Z1781" s="13">
        <f>SUMPRODUCT(N1781:Y1781,$N$2:$Y$2)*$K1781*$L1781*$M1781</f>
        <v/>
      </c>
      <c r="AA1781" s="14">
        <f>SUM(N1781:Y1781)</f>
        <v/>
      </c>
      <c r="AB1781" s="14">
        <f>IFERROR(IF(UPPER($E1781)="L",SUMPRODUCT(N1781:Y1781,$N$3:$Y$3,$N$2:$Y$2),SUMPRODUCT(N1781:Y1781,$N$4:$Y$4,$N$2:$Y$2))/(Z1781/($K1781*$L1781*$M1781)),"")</f>
        <v/>
      </c>
      <c r="AC1781" s="18" t="n"/>
    </row>
    <row r="1782">
      <c r="A1782" s="9" t="n">
        <v>831918</v>
      </c>
      <c r="B1782" s="9" t="inlineStr">
        <is>
          <t>Marco Argudin</t>
        </is>
      </c>
      <c r="C1782" s="9" t="inlineStr">
        <is>
          <t>TEX</t>
        </is>
      </c>
      <c r="D1782" s="9" t="n">
        <v>25</v>
      </c>
      <c r="E1782" s="16" t="inlineStr">
        <is>
          <t>L</t>
        </is>
      </c>
      <c r="F1782" s="16" t="n"/>
      <c r="G1782" s="9" t="n">
        <v>33.6</v>
      </c>
      <c r="H1782" s="9" t="n">
        <v>33.6</v>
      </c>
      <c r="I1782" s="9" t="inlineStr">
        <is>
          <t>Depth (no MLB PA)</t>
        </is>
      </c>
      <c r="J1782" s="16" t="inlineStr">
        <is>
          <t>Opening Day</t>
        </is>
      </c>
      <c r="K1782" s="11">
        <f>IFERROR(INDEX(Roles!$B$17:$B$20,MATCH(J1782,Roles!$A$17:$A$20,0)),1)</f>
        <v/>
      </c>
      <c r="L1782" s="17" t="n">
        <v>1</v>
      </c>
      <c r="M1782" s="11" t="n">
        <v>1</v>
      </c>
      <c r="N1782" s="17" t="n"/>
      <c r="O1782" s="17" t="n"/>
      <c r="P1782" s="17" t="n"/>
      <c r="Q1782" s="17" t="n"/>
      <c r="R1782" s="17" t="n"/>
      <c r="S1782" s="17" t="n"/>
      <c r="T1782" s="17" t="n"/>
      <c r="U1782" s="17" t="n"/>
      <c r="V1782" s="17" t="n"/>
      <c r="W1782" s="17" t="n"/>
      <c r="X1782" s="17" t="n"/>
      <c r="Y1782" s="17" t="n">
        <v>1</v>
      </c>
      <c r="Z1782" s="13">
        <f>SUMPRODUCT(N1782:Y1782,$N$2:$Y$2)*$K1782*$L1782*$M1782</f>
        <v/>
      </c>
      <c r="AA1782" s="14">
        <f>SUM(N1782:Y1782)</f>
        <v/>
      </c>
      <c r="AB1782" s="14">
        <f>IFERROR(IF(UPPER($E1782)="L",SUMPRODUCT(N1782:Y1782,$N$3:$Y$3,$N$2:$Y$2),SUMPRODUCT(N1782:Y1782,$N$4:$Y$4,$N$2:$Y$2))/(Z1782/($K1782*$L1782*$M1782)),"")</f>
        <v/>
      </c>
      <c r="AC1782" s="18" t="n"/>
    </row>
    <row r="1783">
      <c r="A1783" s="9" t="n">
        <v>807461</v>
      </c>
      <c r="B1783" s="9" t="inlineStr">
        <is>
          <t>Kaleb Freeman</t>
        </is>
      </c>
      <c r="C1783" s="9" t="inlineStr">
        <is>
          <t>CWS</t>
        </is>
      </c>
      <c r="D1783" s="9" t="n">
        <v>25</v>
      </c>
      <c r="E1783" s="16" t="inlineStr">
        <is>
          <t>S</t>
        </is>
      </c>
      <c r="F1783" s="16" t="n"/>
      <c r="G1783" s="9" t="n">
        <v>61.53846153846154</v>
      </c>
      <c r="H1783" s="9" t="n">
        <v>61.53846153846154</v>
      </c>
      <c r="I1783" s="9" t="inlineStr">
        <is>
          <t>Depth (no MLB PA)</t>
        </is>
      </c>
      <c r="J1783" s="16" t="inlineStr">
        <is>
          <t>Opening Day</t>
        </is>
      </c>
      <c r="K1783" s="11">
        <f>IFERROR(INDEX(Roles!$B$17:$B$20,MATCH(J1783,Roles!$A$17:$A$20,0)),1)</f>
        <v/>
      </c>
      <c r="L1783" s="17" t="n">
        <v>1</v>
      </c>
      <c r="M1783" s="11" t="n">
        <v>1</v>
      </c>
      <c r="N1783" s="17" t="n"/>
      <c r="O1783" s="17" t="n"/>
      <c r="P1783" s="17" t="n"/>
      <c r="Q1783" s="17" t="n"/>
      <c r="R1783" s="17" t="n"/>
      <c r="S1783" s="17" t="n"/>
      <c r="T1783" s="17" t="n"/>
      <c r="U1783" s="17" t="n"/>
      <c r="V1783" s="17" t="n"/>
      <c r="W1783" s="17" t="n"/>
      <c r="X1783" s="17" t="n"/>
      <c r="Y1783" s="17" t="n">
        <v>1</v>
      </c>
      <c r="Z1783" s="13">
        <f>SUMPRODUCT(N1783:Y1783,$N$2:$Y$2)*$K1783*$L1783*$M1783</f>
        <v/>
      </c>
      <c r="AA1783" s="14">
        <f>SUM(N1783:Y1783)</f>
        <v/>
      </c>
      <c r="AB1783" s="14">
        <f>IFERROR(IF(UPPER($E1783)="L",SUMPRODUCT(N1783:Y1783,$N$3:$Y$3,$N$2:$Y$2),SUMPRODUCT(N1783:Y1783,$N$4:$Y$4,$N$2:$Y$2))/(Z1783/($K1783*$L1783*$M1783)),"")</f>
        <v/>
      </c>
      <c r="AC1783" s="18" t="n"/>
    </row>
    <row r="1784">
      <c r="A1784" s="9" t="n">
        <v>605141</v>
      </c>
      <c r="B1784" s="9" t="inlineStr">
        <is>
          <t>Mookie Betts</t>
        </is>
      </c>
      <c r="C1784" s="9" t="inlineStr">
        <is>
          <t>LAD</t>
        </is>
      </c>
      <c r="D1784" s="9" t="n">
        <v>34</v>
      </c>
      <c r="E1784" s="16" t="inlineStr">
        <is>
          <t>R</t>
        </is>
      </c>
      <c r="F1784" s="16" t="inlineStr">
        <is>
          <t>SS</t>
        </is>
      </c>
      <c r="G1784" s="9" t="n">
        <v>528</v>
      </c>
      <c r="H1784" s="9" t="n">
        <v>3039</v>
      </c>
      <c r="I1784" s="9" t="inlineStr">
        <is>
          <t>Full Time</t>
        </is>
      </c>
      <c r="J1784" s="16" t="inlineStr">
        <is>
          <t>Opening Day</t>
        </is>
      </c>
      <c r="K1784" s="11">
        <f>IFERROR(INDEX(Roles!$B$17:$B$20,MATCH(J1784,Roles!$A$17:$A$20,0)),1)</f>
        <v/>
      </c>
      <c r="L1784" s="17" t="n">
        <v>1</v>
      </c>
      <c r="M1784" s="11" t="n">
        <v>1.046896601564069</v>
      </c>
      <c r="N1784" s="17" t="n">
        <v>1</v>
      </c>
      <c r="O1784" s="17" t="n"/>
      <c r="P1784" s="17" t="n"/>
      <c r="Q1784" s="17" t="n"/>
      <c r="R1784" s="17" t="n"/>
      <c r="S1784" s="17" t="n"/>
      <c r="T1784" s="17" t="n"/>
      <c r="U1784" s="17" t="n"/>
      <c r="V1784" s="17" t="n"/>
      <c r="W1784" s="17" t="n"/>
      <c r="X1784" s="17" t="n"/>
      <c r="Y1784" s="17" t="n"/>
      <c r="Z1784" s="13">
        <f>SUMPRODUCT(N1784:Y1784,$N$2:$Y$2)*$K1784*$L1784*$M1784</f>
        <v/>
      </c>
      <c r="AA1784" s="14">
        <f>SUM(N1784:Y1784)</f>
        <v/>
      </c>
      <c r="AB1784" s="14">
        <f>IFERROR(IF(UPPER($E1784)="L",SUMPRODUCT(N1784:Y1784,$N$3:$Y$3,$N$2:$Y$2),SUMPRODUCT(N1784:Y1784,$N$4:$Y$4,$N$2:$Y$2))/(Z1784/($K1784*$L1784*$M1784)),"")</f>
        <v/>
      </c>
      <c r="AC1784" s="18" t="n"/>
    </row>
    <row r="1785">
      <c r="A1785" s="9" t="n">
        <v>690443</v>
      </c>
      <c r="B1785" s="9" t="inlineStr">
        <is>
          <t>Mike Antico</t>
        </is>
      </c>
      <c r="C1785" s="9" t="inlineStr">
        <is>
          <t>COL</t>
        </is>
      </c>
      <c r="D1785" s="9" t="n">
        <v>25</v>
      </c>
      <c r="E1785" s="16" t="inlineStr">
        <is>
          <t>L</t>
        </is>
      </c>
      <c r="F1785" s="16" t="n"/>
      <c r="G1785" s="9" t="n">
        <v>36.10256410256411</v>
      </c>
      <c r="H1785" s="9" t="n">
        <v>36.10256410256411</v>
      </c>
      <c r="I1785" s="9" t="inlineStr">
        <is>
          <t>Depth (no MLB PA)</t>
        </is>
      </c>
      <c r="J1785" s="16" t="inlineStr">
        <is>
          <t>Opening Day</t>
        </is>
      </c>
      <c r="K1785" s="11">
        <f>IFERROR(INDEX(Roles!$B$17:$B$20,MATCH(J1785,Roles!$A$17:$A$20,0)),1)</f>
        <v/>
      </c>
      <c r="L1785" s="17" t="n">
        <v>1</v>
      </c>
      <c r="M1785" s="11" t="n">
        <v>1</v>
      </c>
      <c r="N1785" s="17" t="n"/>
      <c r="O1785" s="17" t="n"/>
      <c r="P1785" s="17" t="n"/>
      <c r="Q1785" s="17" t="n"/>
      <c r="R1785" s="17" t="n"/>
      <c r="S1785" s="17" t="n"/>
      <c r="T1785" s="17" t="n"/>
      <c r="U1785" s="17" t="n"/>
      <c r="V1785" s="17" t="n"/>
      <c r="W1785" s="17" t="n"/>
      <c r="X1785" s="17" t="n"/>
      <c r="Y1785" s="17" t="n">
        <v>1</v>
      </c>
      <c r="Z1785" s="13">
        <f>SUMPRODUCT(N1785:Y1785,$N$2:$Y$2)*$K1785*$L1785*$M1785</f>
        <v/>
      </c>
      <c r="AA1785" s="14">
        <f>SUM(N1785:Y1785)</f>
        <v/>
      </c>
      <c r="AB1785" s="14">
        <f>IFERROR(IF(UPPER($E1785)="L",SUMPRODUCT(N1785:Y1785,$N$3:$Y$3,$N$2:$Y$2),SUMPRODUCT(N1785:Y1785,$N$4:$Y$4,$N$2:$Y$2))/(Z1785/($K1785*$L1785*$M1785)),"")</f>
        <v/>
      </c>
      <c r="AC1785" s="18" t="n"/>
    </row>
    <row r="1786">
      <c r="A1786" s="9" t="n">
        <v>806963</v>
      </c>
      <c r="B1786" s="9" t="inlineStr">
        <is>
          <t>Brando Mayea</t>
        </is>
      </c>
      <c r="C1786" s="9" t="inlineStr">
        <is>
          <t>NYY</t>
        </is>
      </c>
      <c r="D1786" s="9" t="n">
        <v>25</v>
      </c>
      <c r="E1786" s="16" t="inlineStr">
        <is>
          <t>R</t>
        </is>
      </c>
      <c r="F1786" s="16" t="n"/>
      <c r="G1786" s="9" t="n">
        <v>38.15384615384615</v>
      </c>
      <c r="H1786" s="9" t="n">
        <v>38.15384615384615</v>
      </c>
      <c r="I1786" s="9" t="inlineStr">
        <is>
          <t>Depth (no MLB PA)</t>
        </is>
      </c>
      <c r="J1786" s="16" t="inlineStr">
        <is>
          <t>Opening Day</t>
        </is>
      </c>
      <c r="K1786" s="11">
        <f>IFERROR(INDEX(Roles!$B$17:$B$20,MATCH(J1786,Roles!$A$17:$A$20,0)),1)</f>
        <v/>
      </c>
      <c r="L1786" s="17" t="n">
        <v>1</v>
      </c>
      <c r="M1786" s="11" t="n">
        <v>1</v>
      </c>
      <c r="N1786" s="17" t="n"/>
      <c r="O1786" s="17" t="n"/>
      <c r="P1786" s="17" t="n"/>
      <c r="Q1786" s="17" t="n"/>
      <c r="R1786" s="17" t="n"/>
      <c r="S1786" s="17" t="n"/>
      <c r="T1786" s="17" t="n"/>
      <c r="U1786" s="17" t="n"/>
      <c r="V1786" s="17" t="n"/>
      <c r="W1786" s="17" t="n"/>
      <c r="X1786" s="17" t="n"/>
      <c r="Y1786" s="17" t="n">
        <v>1</v>
      </c>
      <c r="Z1786" s="13">
        <f>SUMPRODUCT(N1786:Y1786,$N$2:$Y$2)*$K1786*$L1786*$M1786</f>
        <v/>
      </c>
      <c r="AA1786" s="14">
        <f>SUM(N1786:Y1786)</f>
        <v/>
      </c>
      <c r="AB1786" s="14">
        <f>IFERROR(IF(UPPER($E1786)="L",SUMPRODUCT(N1786:Y1786,$N$3:$Y$3,$N$2:$Y$2),SUMPRODUCT(N1786:Y1786,$N$4:$Y$4,$N$2:$Y$2))/(Z1786/($K1786*$L1786*$M1786)),"")</f>
        <v/>
      </c>
      <c r="AC1786" s="18" t="n"/>
    </row>
    <row r="1787">
      <c r="A1787" s="9" t="n">
        <v>675986</v>
      </c>
      <c r="B1787" s="9" t="inlineStr">
        <is>
          <t>Canaan Smith-Njigba</t>
        </is>
      </c>
      <c r="C1787" s="9" t="inlineStr">
        <is>
          <t>PIT</t>
        </is>
      </c>
      <c r="D1787" s="9" t="n">
        <v>28</v>
      </c>
      <c r="E1787" s="16" t="inlineStr">
        <is>
          <t>L</t>
        </is>
      </c>
      <c r="F1787" s="16" t="inlineStr">
        <is>
          <t>RF</t>
        </is>
      </c>
      <c r="G1787" s="9" t="n">
        <v>37</v>
      </c>
      <c r="H1787" s="9" t="n">
        <v>44</v>
      </c>
      <c r="I1787" s="9" t="inlineStr">
        <is>
          <t>Depth (no MLB PA)</t>
        </is>
      </c>
      <c r="J1787" s="16" t="inlineStr">
        <is>
          <t>Opening Day</t>
        </is>
      </c>
      <c r="K1787" s="11">
        <f>IFERROR(INDEX(Roles!$B$17:$B$20,MATCH(J1787,Roles!$A$17:$A$20,0)),1)</f>
        <v/>
      </c>
      <c r="L1787" s="17" t="n">
        <v>1</v>
      </c>
      <c r="M1787" s="11" t="n">
        <v>1</v>
      </c>
      <c r="N1787" s="17" t="n"/>
      <c r="O1787" s="17" t="n"/>
      <c r="P1787" s="17" t="n"/>
      <c r="Q1787" s="17" t="n"/>
      <c r="R1787" s="17" t="n"/>
      <c r="S1787" s="17" t="n"/>
      <c r="T1787" s="17" t="n"/>
      <c r="U1787" s="17" t="n"/>
      <c r="V1787" s="17" t="n"/>
      <c r="W1787" s="17" t="n"/>
      <c r="X1787" s="17" t="n"/>
      <c r="Y1787" s="17" t="n">
        <v>1</v>
      </c>
      <c r="Z1787" s="13">
        <f>SUMPRODUCT(N1787:Y1787,$N$2:$Y$2)*$K1787*$L1787*$M1787</f>
        <v/>
      </c>
      <c r="AA1787" s="14">
        <f>SUM(N1787:Y1787)</f>
        <v/>
      </c>
      <c r="AB1787" s="14">
        <f>IFERROR(IF(UPPER($E1787)="L",SUMPRODUCT(N1787:Y1787,$N$3:$Y$3,$N$2:$Y$2),SUMPRODUCT(N1787:Y1787,$N$4:$Y$4,$N$2:$Y$2))/(Z1787/($K1787*$L1787*$M1787)),"")</f>
        <v/>
      </c>
      <c r="AC1787" s="18" t="n"/>
    </row>
    <row r="1788">
      <c r="A1788" s="9" t="n">
        <v>664913</v>
      </c>
      <c r="B1788" s="9" t="inlineStr">
        <is>
          <t>Seth Brown</t>
        </is>
      </c>
      <c r="C1788" s="9" t="inlineStr">
        <is>
          <t>OAK</t>
        </is>
      </c>
      <c r="D1788" s="9" t="n">
        <v>34</v>
      </c>
      <c r="E1788" s="16" t="inlineStr">
        <is>
          <t>L</t>
        </is>
      </c>
      <c r="F1788" s="16" t="inlineStr">
        <is>
          <t>LF</t>
        </is>
      </c>
      <c r="G1788" s="9" t="n">
        <v>76</v>
      </c>
      <c r="H1788" s="9" t="n">
        <v>1409</v>
      </c>
      <c r="I1788" s="9" t="inlineStr">
        <is>
          <t>Bench Bat</t>
        </is>
      </c>
      <c r="J1788" s="16" t="inlineStr">
        <is>
          <t>Opening Day</t>
        </is>
      </c>
      <c r="K1788" s="11">
        <f>IFERROR(INDEX(Roles!$B$17:$B$20,MATCH(J1788,Roles!$A$17:$A$20,0)),1)</f>
        <v/>
      </c>
      <c r="L1788" s="17" t="n">
        <v>1</v>
      </c>
      <c r="M1788" s="11" t="n">
        <v>0.8639615690178983</v>
      </c>
      <c r="N1788" s="17" t="n"/>
      <c r="O1788" s="17" t="n"/>
      <c r="P1788" s="17" t="n"/>
      <c r="Q1788" s="17" t="n"/>
      <c r="R1788" s="17" t="n"/>
      <c r="S1788" s="17" t="n"/>
      <c r="T1788" s="17" t="n"/>
      <c r="U1788" s="17" t="n"/>
      <c r="V1788" s="17" t="n"/>
      <c r="W1788" s="17" t="n">
        <v>1</v>
      </c>
      <c r="X1788" s="17" t="n"/>
      <c r="Y1788" s="17" t="n"/>
      <c r="Z1788" s="13">
        <f>SUMPRODUCT(N1788:Y1788,$N$2:$Y$2)*$K1788*$L1788*$M1788</f>
        <v/>
      </c>
      <c r="AA1788" s="14">
        <f>SUM(N1788:Y1788)</f>
        <v/>
      </c>
      <c r="AB1788" s="14">
        <f>IFERROR(IF(UPPER($E1788)="L",SUMPRODUCT(N1788:Y1788,$N$3:$Y$3,$N$2:$Y$2),SUMPRODUCT(N1788:Y1788,$N$4:$Y$4,$N$2:$Y$2))/(Z1788/($K1788*$L1788*$M1788)),"")</f>
        <v/>
      </c>
      <c r="AC1788" s="18" t="n"/>
    </row>
    <row r="1789">
      <c r="A1789" s="9" t="n">
        <v>683734</v>
      </c>
      <c r="B1789" s="9" t="inlineStr">
        <is>
          <t>Andrew Vaughn</t>
        </is>
      </c>
      <c r="C1789" s="9" t="inlineStr">
        <is>
          <t>MIL</t>
        </is>
      </c>
      <c r="D1789" s="9" t="n">
        <v>29</v>
      </c>
      <c r="E1789" s="16" t="inlineStr">
        <is>
          <t>R</t>
        </is>
      </c>
      <c r="F1789" s="16" t="inlineStr">
        <is>
          <t>1B</t>
        </is>
      </c>
      <c r="G1789" s="9" t="n">
        <v>331</v>
      </c>
      <c r="H1789" s="9" t="n">
        <v>2567</v>
      </c>
      <c r="I1789" s="9" t="inlineStr">
        <is>
          <t>Full Time</t>
        </is>
      </c>
      <c r="J1789" s="16" t="inlineStr">
        <is>
          <t>Opening Day</t>
        </is>
      </c>
      <c r="K1789" s="11">
        <f>IFERROR(INDEX(Roles!$B$17:$B$20,MATCH(J1789,Roles!$A$17:$A$20,0)),1)</f>
        <v/>
      </c>
      <c r="L1789" s="17" t="n">
        <v>1</v>
      </c>
      <c r="M1789" s="11" t="n">
        <v>0.9296029154447516</v>
      </c>
      <c r="N1789" s="17" t="n">
        <v>1</v>
      </c>
      <c r="O1789" s="17" t="n"/>
      <c r="P1789" s="17" t="n"/>
      <c r="Q1789" s="17" t="n"/>
      <c r="R1789" s="17" t="n"/>
      <c r="S1789" s="17" t="n"/>
      <c r="T1789" s="17" t="n"/>
      <c r="U1789" s="17" t="n"/>
      <c r="V1789" s="17" t="n"/>
      <c r="W1789" s="17" t="n"/>
      <c r="X1789" s="17" t="n"/>
      <c r="Y1789" s="17" t="n"/>
      <c r="Z1789" s="13">
        <f>SUMPRODUCT(N1789:Y1789,$N$2:$Y$2)*$K1789*$L1789*$M1789</f>
        <v/>
      </c>
      <c r="AA1789" s="14">
        <f>SUM(N1789:Y1789)</f>
        <v/>
      </c>
      <c r="AB1789" s="14">
        <f>IFERROR(IF(UPPER($E1789)="L",SUMPRODUCT(N1789:Y1789,$N$3:$Y$3,$N$2:$Y$2),SUMPRODUCT(N1789:Y1789,$N$4:$Y$4,$N$2:$Y$2))/(Z1789/($K1789*$L1789*$M1789)),"")</f>
        <v/>
      </c>
      <c r="AC1789" s="18" t="n"/>
    </row>
    <row r="1790">
      <c r="A1790" s="9" t="n">
        <v>806956</v>
      </c>
      <c r="B1790" s="9" t="inlineStr">
        <is>
          <t>Ethan Salas</t>
        </is>
      </c>
      <c r="C1790" s="9" t="inlineStr">
        <is>
          <t>SD</t>
        </is>
      </c>
      <c r="D1790" s="9" t="n">
        <v>21</v>
      </c>
      <c r="E1790" s="16" t="inlineStr">
        <is>
          <t>L</t>
        </is>
      </c>
      <c r="F1790" s="16" t="inlineStr">
        <is>
          <t>C</t>
        </is>
      </c>
      <c r="G1790" s="9" t="n">
        <v>40</v>
      </c>
      <c r="H1790" s="9" t="n">
        <v>40</v>
      </c>
      <c r="I1790" s="9" t="inlineStr">
        <is>
          <t>Strong Side Platoon</t>
        </is>
      </c>
      <c r="J1790" s="16" t="inlineStr">
        <is>
          <t>Opening Day</t>
        </is>
      </c>
      <c r="K1790" s="11">
        <f>IFERROR(INDEX(Roles!$B$17:$B$20,MATCH(J1790,Roles!$A$17:$A$20,0)),1)</f>
        <v/>
      </c>
      <c r="L1790" s="17" t="n">
        <v>1</v>
      </c>
      <c r="M1790" s="11" t="n">
        <v>1</v>
      </c>
      <c r="N1790" s="17" t="n"/>
      <c r="O1790" s="17" t="n"/>
      <c r="P1790" s="17" t="n">
        <v>0.6</v>
      </c>
      <c r="Q1790" s="17" t="n"/>
      <c r="R1790" s="17" t="n">
        <v>0.4</v>
      </c>
      <c r="S1790" s="17" t="n"/>
      <c r="T1790" s="17" t="n"/>
      <c r="U1790" s="17" t="n"/>
      <c r="V1790" s="17" t="n"/>
      <c r="W1790" s="17" t="n"/>
      <c r="X1790" s="17" t="n"/>
      <c r="Y1790" s="17" t="n"/>
      <c r="Z1790" s="13">
        <f>SUMPRODUCT(N1790:Y1790,$N$2:$Y$2)*$K1790*$L1790*$M1790</f>
        <v/>
      </c>
      <c r="AA1790" s="14">
        <f>SUM(N1790:Y1790)</f>
        <v/>
      </c>
      <c r="AB1790" s="14">
        <f>IFERROR(IF(UPPER($E1790)="L",SUMPRODUCT(N1790:Y1790,$N$3:$Y$3,$N$2:$Y$2),SUMPRODUCT(N1790:Y1790,$N$4:$Y$4,$N$2:$Y$2))/(Z1790/($K1790*$L1790*$M1790)),"")</f>
        <v/>
      </c>
      <c r="AC1790" s="18" t="n"/>
    </row>
    <row r="1791">
      <c r="A1791" s="9" t="n">
        <v>805058</v>
      </c>
      <c r="B1791" s="9" t="inlineStr">
        <is>
          <t>Luis Marquez</t>
        </is>
      </c>
      <c r="C1791" s="9" t="inlineStr">
        <is>
          <t>TEX</t>
        </is>
      </c>
      <c r="D1791" s="9" t="n">
        <v>25</v>
      </c>
      <c r="E1791" s="16" t="inlineStr">
        <is>
          <t>R</t>
        </is>
      </c>
      <c r="F1791" s="16" t="n"/>
      <c r="G1791" s="9" t="n">
        <v>24.24615384615385</v>
      </c>
      <c r="H1791" s="9" t="n">
        <v>24.24615384615385</v>
      </c>
      <c r="I1791" s="9" t="inlineStr">
        <is>
          <t>Depth (no MLB PA)</t>
        </is>
      </c>
      <c r="J1791" s="16" t="inlineStr">
        <is>
          <t>Opening Day</t>
        </is>
      </c>
      <c r="K1791" s="11">
        <f>IFERROR(INDEX(Roles!$B$17:$B$20,MATCH(J1791,Roles!$A$17:$A$20,0)),1)</f>
        <v/>
      </c>
      <c r="L1791" s="17" t="n">
        <v>1</v>
      </c>
      <c r="M1791" s="11" t="n">
        <v>1</v>
      </c>
      <c r="N1791" s="17" t="n"/>
      <c r="O1791" s="17" t="n"/>
      <c r="P1791" s="17" t="n"/>
      <c r="Q1791" s="17" t="n"/>
      <c r="R1791" s="17" t="n"/>
      <c r="S1791" s="17" t="n"/>
      <c r="T1791" s="17" t="n"/>
      <c r="U1791" s="17" t="n"/>
      <c r="V1791" s="17" t="n"/>
      <c r="W1791" s="17" t="n"/>
      <c r="X1791" s="17" t="n"/>
      <c r="Y1791" s="17" t="n">
        <v>1</v>
      </c>
      <c r="Z1791" s="13">
        <f>SUMPRODUCT(N1791:Y1791,$N$2:$Y$2)*$K1791*$L1791*$M1791</f>
        <v/>
      </c>
      <c r="AA1791" s="14">
        <f>SUM(N1791:Y1791)</f>
        <v/>
      </c>
      <c r="AB1791" s="14">
        <f>IFERROR(IF(UPPER($E1791)="L",SUMPRODUCT(N1791:Y1791,$N$3:$Y$3,$N$2:$Y$2),SUMPRODUCT(N1791:Y1791,$N$4:$Y$4,$N$2:$Y$2))/(Z1791/($K1791*$L1791*$M1791)),"")</f>
        <v/>
      </c>
      <c r="AC1791" s="18" t="n"/>
    </row>
    <row r="1792">
      <c r="A1792" s="9" t="n">
        <v>821180</v>
      </c>
      <c r="B1792" s="9" t="inlineStr">
        <is>
          <t>Ilan Fernandez</t>
        </is>
      </c>
      <c r="C1792" s="9" t="inlineStr">
        <is>
          <t>BOS</t>
        </is>
      </c>
      <c r="D1792" s="9" t="n">
        <v>25</v>
      </c>
      <c r="E1792" s="16" t="inlineStr">
        <is>
          <t>R</t>
        </is>
      </c>
      <c r="F1792" s="16" t="n"/>
      <c r="G1792" s="9" t="n">
        <v>28.92307692307692</v>
      </c>
      <c r="H1792" s="9" t="n">
        <v>28.92307692307692</v>
      </c>
      <c r="I1792" s="9" t="inlineStr">
        <is>
          <t>Depth (no MLB PA)</t>
        </is>
      </c>
      <c r="J1792" s="16" t="inlineStr">
        <is>
          <t>Opening Day</t>
        </is>
      </c>
      <c r="K1792" s="11">
        <f>IFERROR(INDEX(Roles!$B$17:$B$20,MATCH(J1792,Roles!$A$17:$A$20,0)),1)</f>
        <v/>
      </c>
      <c r="L1792" s="17" t="n">
        <v>1</v>
      </c>
      <c r="M1792" s="11" t="n">
        <v>1</v>
      </c>
      <c r="N1792" s="17" t="n"/>
      <c r="O1792" s="17" t="n"/>
      <c r="P1792" s="17" t="n"/>
      <c r="Q1792" s="17" t="n"/>
      <c r="R1792" s="17" t="n"/>
      <c r="S1792" s="17" t="n"/>
      <c r="T1792" s="17" t="n"/>
      <c r="U1792" s="17" t="n"/>
      <c r="V1792" s="17" t="n"/>
      <c r="W1792" s="17" t="n"/>
      <c r="X1792" s="17" t="n"/>
      <c r="Y1792" s="17" t="n">
        <v>1</v>
      </c>
      <c r="Z1792" s="13">
        <f>SUMPRODUCT(N1792:Y1792,$N$2:$Y$2)*$K1792*$L1792*$M1792</f>
        <v/>
      </c>
      <c r="AA1792" s="14">
        <f>SUM(N1792:Y1792)</f>
        <v/>
      </c>
      <c r="AB1792" s="14">
        <f>IFERROR(IF(UPPER($E1792)="L",SUMPRODUCT(N1792:Y1792,$N$3:$Y$3,$N$2:$Y$2),SUMPRODUCT(N1792:Y1792,$N$4:$Y$4,$N$2:$Y$2))/(Z1792/($K1792*$L1792*$M1792)),"")</f>
        <v/>
      </c>
      <c r="AC1792" s="18" t="n"/>
    </row>
    <row r="1793">
      <c r="A1793" s="9" t="n">
        <v>800177</v>
      </c>
      <c r="B1793" s="9" t="inlineStr">
        <is>
          <t>Cesar Gonzalez</t>
        </is>
      </c>
      <c r="C1793" s="9" t="inlineStr">
        <is>
          <t>OAK</t>
        </is>
      </c>
      <c r="D1793" s="9" t="n">
        <v>25</v>
      </c>
      <c r="E1793" s="16" t="inlineStr">
        <is>
          <t>R</t>
        </is>
      </c>
      <c r="F1793" s="16" t="n"/>
      <c r="G1793" s="9" t="n">
        <v>28.67692307692308</v>
      </c>
      <c r="H1793" s="9" t="n">
        <v>28.67692307692308</v>
      </c>
      <c r="I1793" s="9" t="inlineStr">
        <is>
          <t>Depth (no MLB PA)</t>
        </is>
      </c>
      <c r="J1793" s="16" t="inlineStr">
        <is>
          <t>Opening Day</t>
        </is>
      </c>
      <c r="K1793" s="11">
        <f>IFERROR(INDEX(Roles!$B$17:$B$20,MATCH(J1793,Roles!$A$17:$A$20,0)),1)</f>
        <v/>
      </c>
      <c r="L1793" s="17" t="n">
        <v>1</v>
      </c>
      <c r="M1793" s="11" t="n">
        <v>1</v>
      </c>
      <c r="N1793" s="17" t="n"/>
      <c r="O1793" s="17" t="n"/>
      <c r="P1793" s="17" t="n"/>
      <c r="Q1793" s="17" t="n"/>
      <c r="R1793" s="17" t="n"/>
      <c r="S1793" s="17" t="n"/>
      <c r="T1793" s="17" t="n"/>
      <c r="U1793" s="17" t="n"/>
      <c r="V1793" s="17" t="n"/>
      <c r="W1793" s="17" t="n"/>
      <c r="X1793" s="17" t="n"/>
      <c r="Y1793" s="17" t="n">
        <v>1</v>
      </c>
      <c r="Z1793" s="13">
        <f>SUMPRODUCT(N1793:Y1793,$N$2:$Y$2)*$K1793*$L1793*$M1793</f>
        <v/>
      </c>
      <c r="AA1793" s="14">
        <f>SUM(N1793:Y1793)</f>
        <v/>
      </c>
      <c r="AB1793" s="14">
        <f>IFERROR(IF(UPPER($E1793)="L",SUMPRODUCT(N1793:Y1793,$N$3:$Y$3,$N$2:$Y$2),SUMPRODUCT(N1793:Y1793,$N$4:$Y$4,$N$2:$Y$2))/(Z1793/($K1793*$L1793*$M1793)),"")</f>
        <v/>
      </c>
      <c r="AC1793" s="18" t="n"/>
    </row>
    <row r="1794">
      <c r="A1794" s="9" t="n">
        <v>805931</v>
      </c>
      <c r="B1794" s="9" t="inlineStr">
        <is>
          <t>Caleb Hobson</t>
        </is>
      </c>
      <c r="C1794" s="9" t="inlineStr">
        <is>
          <t>COL</t>
        </is>
      </c>
      <c r="D1794" s="9" t="n">
        <v>25</v>
      </c>
      <c r="E1794" s="16" t="inlineStr">
        <is>
          <t>R</t>
        </is>
      </c>
      <c r="F1794" s="16" t="n"/>
      <c r="G1794" s="9" t="n">
        <v>19.28205128205128</v>
      </c>
      <c r="H1794" s="9" t="n">
        <v>19.28205128205128</v>
      </c>
      <c r="I1794" s="9" t="inlineStr">
        <is>
          <t>Depth (no MLB PA)</t>
        </is>
      </c>
      <c r="J1794" s="16" t="inlineStr">
        <is>
          <t>Opening Day</t>
        </is>
      </c>
      <c r="K1794" s="11">
        <f>IFERROR(INDEX(Roles!$B$17:$B$20,MATCH(J1794,Roles!$A$17:$A$20,0)),1)</f>
        <v/>
      </c>
      <c r="L1794" s="17" t="n">
        <v>1</v>
      </c>
      <c r="M1794" s="11" t="n">
        <v>1</v>
      </c>
      <c r="N1794" s="17" t="n"/>
      <c r="O1794" s="17" t="n"/>
      <c r="P1794" s="17" t="n"/>
      <c r="Q1794" s="17" t="n"/>
      <c r="R1794" s="17" t="n"/>
      <c r="S1794" s="17" t="n"/>
      <c r="T1794" s="17" t="n"/>
      <c r="U1794" s="17" t="n"/>
      <c r="V1794" s="17" t="n"/>
      <c r="W1794" s="17" t="n"/>
      <c r="X1794" s="17" t="n"/>
      <c r="Y1794" s="17" t="n">
        <v>1</v>
      </c>
      <c r="Z1794" s="13">
        <f>SUMPRODUCT(N1794:Y1794,$N$2:$Y$2)*$K1794*$L1794*$M1794</f>
        <v/>
      </c>
      <c r="AA1794" s="14">
        <f>SUM(N1794:Y1794)</f>
        <v/>
      </c>
      <c r="AB1794" s="14">
        <f>IFERROR(IF(UPPER($E1794)="L",SUMPRODUCT(N1794:Y1794,$N$3:$Y$3,$N$2:$Y$2),SUMPRODUCT(N1794:Y1794,$N$4:$Y$4,$N$2:$Y$2))/(Z1794/($K1794*$L1794*$M1794)),"")</f>
        <v/>
      </c>
      <c r="AC1794" s="18" t="n"/>
    </row>
    <row r="1795">
      <c r="A1795" s="9" t="n">
        <v>802001</v>
      </c>
      <c r="B1795" s="9" t="inlineStr">
        <is>
          <t>Henry Hunter</t>
        </is>
      </c>
      <c r="C1795" s="9" t="inlineStr">
        <is>
          <t>CIN</t>
        </is>
      </c>
      <c r="D1795" s="9" t="n">
        <v>25</v>
      </c>
      <c r="E1795" s="16" t="inlineStr">
        <is>
          <t>L</t>
        </is>
      </c>
      <c r="F1795" s="16" t="n"/>
      <c r="G1795" s="9" t="n">
        <v>27.81538461538462</v>
      </c>
      <c r="H1795" s="9" t="n">
        <v>27.81538461538462</v>
      </c>
      <c r="I1795" s="9" t="inlineStr">
        <is>
          <t>Depth (no MLB PA)</t>
        </is>
      </c>
      <c r="J1795" s="16" t="inlineStr">
        <is>
          <t>Opening Day</t>
        </is>
      </c>
      <c r="K1795" s="11">
        <f>IFERROR(INDEX(Roles!$B$17:$B$20,MATCH(J1795,Roles!$A$17:$A$20,0)),1)</f>
        <v/>
      </c>
      <c r="L1795" s="17" t="n">
        <v>1</v>
      </c>
      <c r="M1795" s="11" t="n">
        <v>1</v>
      </c>
      <c r="N1795" s="17" t="n"/>
      <c r="O1795" s="17" t="n"/>
      <c r="P1795" s="17" t="n"/>
      <c r="Q1795" s="17" t="n"/>
      <c r="R1795" s="17" t="n"/>
      <c r="S1795" s="17" t="n"/>
      <c r="T1795" s="17" t="n"/>
      <c r="U1795" s="17" t="n"/>
      <c r="V1795" s="17" t="n"/>
      <c r="W1795" s="17" t="n"/>
      <c r="X1795" s="17" t="n"/>
      <c r="Y1795" s="17" t="n">
        <v>1</v>
      </c>
      <c r="Z1795" s="13">
        <f>SUMPRODUCT(N1795:Y1795,$N$2:$Y$2)*$K1795*$L1795*$M1795</f>
        <v/>
      </c>
      <c r="AA1795" s="14">
        <f>SUM(N1795:Y1795)</f>
        <v/>
      </c>
      <c r="AB1795" s="14">
        <f>IFERROR(IF(UPPER($E1795)="L",SUMPRODUCT(N1795:Y1795,$N$3:$Y$3,$N$2:$Y$2),SUMPRODUCT(N1795:Y1795,$N$4:$Y$4,$N$2:$Y$2))/(Z1795/($K1795*$L1795*$M1795)),"")</f>
        <v/>
      </c>
      <c r="AC1795" s="18" t="n"/>
    </row>
    <row r="1796">
      <c r="A1796" s="9" t="n">
        <v>829643</v>
      </c>
      <c r="B1796" s="9" t="inlineStr">
        <is>
          <t>Jacob McCombs</t>
        </is>
      </c>
      <c r="C1796" s="9" t="inlineStr">
        <is>
          <t>MIN</t>
        </is>
      </c>
      <c r="D1796" s="9" t="n">
        <v>25</v>
      </c>
      <c r="E1796" s="16" t="inlineStr">
        <is>
          <t>L</t>
        </is>
      </c>
      <c r="F1796" s="16" t="n"/>
      <c r="G1796" s="9" t="n">
        <v>52.30769230769232</v>
      </c>
      <c r="H1796" s="9" t="n">
        <v>52.30769230769232</v>
      </c>
      <c r="I1796" s="9" t="inlineStr">
        <is>
          <t>Depth (no MLB PA)</t>
        </is>
      </c>
      <c r="J1796" s="16" t="inlineStr">
        <is>
          <t>Opening Day</t>
        </is>
      </c>
      <c r="K1796" s="11">
        <f>IFERROR(INDEX(Roles!$B$17:$B$20,MATCH(J1796,Roles!$A$17:$A$20,0)),1)</f>
        <v/>
      </c>
      <c r="L1796" s="17" t="n">
        <v>1</v>
      </c>
      <c r="M1796" s="11" t="n">
        <v>1</v>
      </c>
      <c r="N1796" s="17" t="n"/>
      <c r="O1796" s="17" t="n"/>
      <c r="P1796" s="17" t="n"/>
      <c r="Q1796" s="17" t="n"/>
      <c r="R1796" s="17" t="n"/>
      <c r="S1796" s="17" t="n"/>
      <c r="T1796" s="17" t="n"/>
      <c r="U1796" s="17" t="n"/>
      <c r="V1796" s="17" t="n"/>
      <c r="W1796" s="17" t="n"/>
      <c r="X1796" s="17" t="n"/>
      <c r="Y1796" s="17" t="n">
        <v>1</v>
      </c>
      <c r="Z1796" s="13">
        <f>SUMPRODUCT(N1796:Y1796,$N$2:$Y$2)*$K1796*$L1796*$M1796</f>
        <v/>
      </c>
      <c r="AA1796" s="14">
        <f>SUM(N1796:Y1796)</f>
        <v/>
      </c>
      <c r="AB1796" s="14">
        <f>IFERROR(IF(UPPER($E1796)="L",SUMPRODUCT(N1796:Y1796,$N$3:$Y$3,$N$2:$Y$2),SUMPRODUCT(N1796:Y1796,$N$4:$Y$4,$N$2:$Y$2))/(Z1796/($K1796*$L1796*$M1796)),"")</f>
        <v/>
      </c>
      <c r="AC1796" s="18" t="n"/>
    </row>
    <row r="1797">
      <c r="A1797" s="9" t="n">
        <v>806985</v>
      </c>
      <c r="B1797" s="9" t="inlineStr">
        <is>
          <t>Yoeilin Cespedes</t>
        </is>
      </c>
      <c r="C1797" s="9" t="inlineStr">
        <is>
          <t>BOS</t>
        </is>
      </c>
      <c r="D1797" s="9" t="n">
        <v>25</v>
      </c>
      <c r="E1797" s="16" t="inlineStr">
        <is>
          <t>R</t>
        </is>
      </c>
      <c r="F1797" s="16" t="n"/>
      <c r="G1797" s="9" t="n">
        <v>38.41025641025641</v>
      </c>
      <c r="H1797" s="9" t="n">
        <v>38.41025641025641</v>
      </c>
      <c r="I1797" s="9" t="inlineStr">
        <is>
          <t>Depth (no MLB PA)</t>
        </is>
      </c>
      <c r="J1797" s="16" t="inlineStr">
        <is>
          <t>Opening Day</t>
        </is>
      </c>
      <c r="K1797" s="11">
        <f>IFERROR(INDEX(Roles!$B$17:$B$20,MATCH(J1797,Roles!$A$17:$A$20,0)),1)</f>
        <v/>
      </c>
      <c r="L1797" s="17" t="n">
        <v>1</v>
      </c>
      <c r="M1797" s="11" t="n">
        <v>1</v>
      </c>
      <c r="N1797" s="17" t="n"/>
      <c r="O1797" s="17" t="n"/>
      <c r="P1797" s="17" t="n"/>
      <c r="Q1797" s="17" t="n"/>
      <c r="R1797" s="17" t="n"/>
      <c r="S1797" s="17" t="n"/>
      <c r="T1797" s="17" t="n"/>
      <c r="U1797" s="17" t="n"/>
      <c r="V1797" s="17" t="n"/>
      <c r="W1797" s="17" t="n"/>
      <c r="X1797" s="17" t="n"/>
      <c r="Y1797" s="17" t="n">
        <v>1</v>
      </c>
      <c r="Z1797" s="13">
        <f>SUMPRODUCT(N1797:Y1797,$N$2:$Y$2)*$K1797*$L1797*$M1797</f>
        <v/>
      </c>
      <c r="AA1797" s="14">
        <f>SUM(N1797:Y1797)</f>
        <v/>
      </c>
      <c r="AB1797" s="14">
        <f>IFERROR(IF(UPPER($E1797)="L",SUMPRODUCT(N1797:Y1797,$N$3:$Y$3,$N$2:$Y$2),SUMPRODUCT(N1797:Y1797,$N$4:$Y$4,$N$2:$Y$2))/(Z1797/($K1797*$L1797*$M1797)),"")</f>
        <v/>
      </c>
      <c r="AC1797" s="18" t="n"/>
    </row>
    <row r="1798">
      <c r="A1798" s="9" t="n">
        <v>827719</v>
      </c>
      <c r="B1798" s="9" t="inlineStr">
        <is>
          <t>Jake Munroe</t>
        </is>
      </c>
      <c r="C1798" s="9" t="inlineStr">
        <is>
          <t>LAA</t>
        </is>
      </c>
      <c r="D1798" s="9" t="n">
        <v>24</v>
      </c>
      <c r="E1798" s="16" t="inlineStr">
        <is>
          <t>R</t>
        </is>
      </c>
      <c r="F1798" s="16" t="n"/>
      <c r="G1798" s="9" t="n">
        <v>94.05128205128204</v>
      </c>
      <c r="H1798" s="9" t="n">
        <v>94.05128205128204</v>
      </c>
      <c r="I1798" s="9" t="inlineStr">
        <is>
          <t>Depth (no MLB PA)</t>
        </is>
      </c>
      <c r="J1798" s="16" t="inlineStr">
        <is>
          <t>Opening Day</t>
        </is>
      </c>
      <c r="K1798" s="11">
        <f>IFERROR(INDEX(Roles!$B$17:$B$20,MATCH(J1798,Roles!$A$17:$A$20,0)),1)</f>
        <v/>
      </c>
      <c r="L1798" s="17" t="n">
        <v>1</v>
      </c>
      <c r="M1798" s="11" t="n">
        <v>1</v>
      </c>
      <c r="N1798" s="17" t="n"/>
      <c r="O1798" s="17" t="n"/>
      <c r="P1798" s="17" t="n"/>
      <c r="Q1798" s="17" t="n"/>
      <c r="R1798" s="17" t="n"/>
      <c r="S1798" s="17" t="n"/>
      <c r="T1798" s="17" t="n"/>
      <c r="U1798" s="17" t="n"/>
      <c r="V1798" s="17" t="n"/>
      <c r="W1798" s="17" t="n"/>
      <c r="X1798" s="17" t="n"/>
      <c r="Y1798" s="17" t="n">
        <v>1</v>
      </c>
      <c r="Z1798" s="13">
        <f>SUMPRODUCT(N1798:Y1798,$N$2:$Y$2)*$K1798*$L1798*$M1798</f>
        <v/>
      </c>
      <c r="AA1798" s="14">
        <f>SUM(N1798:Y1798)</f>
        <v/>
      </c>
      <c r="AB1798" s="14">
        <f>IFERROR(IF(UPPER($E1798)="L",SUMPRODUCT(N1798:Y1798,$N$3:$Y$3,$N$2:$Y$2),SUMPRODUCT(N1798:Y1798,$N$4:$Y$4,$N$2:$Y$2))/(Z1798/($K1798*$L1798*$M1798)),"")</f>
        <v/>
      </c>
      <c r="AC1798" s="18" t="n"/>
    </row>
    <row r="1799">
      <c r="A1799" s="9" t="n">
        <v>815551</v>
      </c>
      <c r="B1799" s="9" t="inlineStr">
        <is>
          <t>Trey Snyder</t>
        </is>
      </c>
      <c r="C1799" s="9" t="inlineStr">
        <is>
          <t>NYM</t>
        </is>
      </c>
      <c r="D1799" s="9" t="n">
        <v>25</v>
      </c>
      <c r="E1799" s="16" t="inlineStr">
        <is>
          <t>R</t>
        </is>
      </c>
      <c r="F1799" s="16" t="n"/>
      <c r="G1799" s="9" t="n">
        <v>28.92307692307692</v>
      </c>
      <c r="H1799" s="9" t="n">
        <v>28.92307692307692</v>
      </c>
      <c r="I1799" s="9" t="inlineStr">
        <is>
          <t>Depth (no MLB PA)</t>
        </is>
      </c>
      <c r="J1799" s="16" t="inlineStr">
        <is>
          <t>Opening Day</t>
        </is>
      </c>
      <c r="K1799" s="11">
        <f>IFERROR(INDEX(Roles!$B$17:$B$20,MATCH(J1799,Roles!$A$17:$A$20,0)),1)</f>
        <v/>
      </c>
      <c r="L1799" s="17" t="n">
        <v>1</v>
      </c>
      <c r="M1799" s="11" t="n">
        <v>1</v>
      </c>
      <c r="N1799" s="17" t="n"/>
      <c r="O1799" s="17" t="n"/>
      <c r="P1799" s="17" t="n"/>
      <c r="Q1799" s="17" t="n"/>
      <c r="R1799" s="17" t="n"/>
      <c r="S1799" s="17" t="n"/>
      <c r="T1799" s="17" t="n"/>
      <c r="U1799" s="17" t="n"/>
      <c r="V1799" s="17" t="n"/>
      <c r="W1799" s="17" t="n"/>
      <c r="X1799" s="17" t="n"/>
      <c r="Y1799" s="17" t="n">
        <v>1</v>
      </c>
      <c r="Z1799" s="13">
        <f>SUMPRODUCT(N1799:Y1799,$N$2:$Y$2)*$K1799*$L1799*$M1799</f>
        <v/>
      </c>
      <c r="AA1799" s="14">
        <f>SUM(N1799:Y1799)</f>
        <v/>
      </c>
      <c r="AB1799" s="14">
        <f>IFERROR(IF(UPPER($E1799)="L",SUMPRODUCT(N1799:Y1799,$N$3:$Y$3,$N$2:$Y$2),SUMPRODUCT(N1799:Y1799,$N$4:$Y$4,$N$2:$Y$2))/(Z1799/($K1799*$L1799*$M1799)),"")</f>
        <v/>
      </c>
      <c r="AC1799" s="18" t="n"/>
    </row>
    <row r="1800">
      <c r="A1800" s="9" t="n">
        <v>695681</v>
      </c>
      <c r="B1800" s="9" t="inlineStr">
        <is>
          <t>Christian Moore</t>
        </is>
      </c>
      <c r="C1800" s="9" t="inlineStr">
        <is>
          <t>LAA</t>
        </is>
      </c>
      <c r="D1800" s="9" t="n">
        <v>24</v>
      </c>
      <c r="E1800" s="16" t="inlineStr">
        <is>
          <t>R</t>
        </is>
      </c>
      <c r="F1800" s="16" t="inlineStr">
        <is>
          <t>2B</t>
        </is>
      </c>
      <c r="G1800" s="9" t="n">
        <v>147</v>
      </c>
      <c r="H1800" s="9" t="n">
        <v>331</v>
      </c>
      <c r="I1800" s="9" t="inlineStr">
        <is>
          <t>Full Time</t>
        </is>
      </c>
      <c r="J1800" s="16" t="inlineStr">
        <is>
          <t>Opening Day</t>
        </is>
      </c>
      <c r="K1800" s="11">
        <f>IFERROR(INDEX(Roles!$B$17:$B$20,MATCH(J1800,Roles!$A$17:$A$20,0)),1)</f>
        <v/>
      </c>
      <c r="L1800" s="17" t="n">
        <v>1</v>
      </c>
      <c r="M1800" s="11" t="n">
        <v>1</v>
      </c>
      <c r="N1800" s="17" t="n">
        <v>0.7</v>
      </c>
      <c r="O1800" s="17" t="n"/>
      <c r="P1800" s="17" t="n">
        <v>0.3</v>
      </c>
      <c r="Q1800" s="17" t="n"/>
      <c r="R1800" s="17" t="n"/>
      <c r="S1800" s="17" t="n"/>
      <c r="T1800" s="17" t="n"/>
      <c r="U1800" s="17" t="n"/>
      <c r="V1800" s="17" t="n"/>
      <c r="W1800" s="17" t="n"/>
      <c r="X1800" s="17" t="n"/>
      <c r="Y1800" s="17" t="n"/>
      <c r="Z1800" s="13">
        <f>SUMPRODUCT(N1800:Y1800,$N$2:$Y$2)*$K1800*$L1800*$M1800</f>
        <v/>
      </c>
      <c r="AA1800" s="14">
        <f>SUM(N1800:Y1800)</f>
        <v/>
      </c>
      <c r="AB1800" s="14">
        <f>IFERROR(IF(UPPER($E1800)="L",SUMPRODUCT(N1800:Y1800,$N$3:$Y$3,$N$2:$Y$2),SUMPRODUCT(N1800:Y1800,$N$4:$Y$4,$N$2:$Y$2))/(Z1800/($K1800*$L1800*$M1800)),"")</f>
        <v/>
      </c>
      <c r="AC1800" s="18" t="n"/>
    </row>
    <row r="1801">
      <c r="A1801" s="9" t="n">
        <v>644374</v>
      </c>
      <c r="B1801" s="9" t="inlineStr">
        <is>
          <t>Yu Chang</t>
        </is>
      </c>
      <c r="C1801" s="9" t="inlineStr">
        <is>
          <t>BOS</t>
        </is>
      </c>
      <c r="D1801" s="9" t="n">
        <v>31</v>
      </c>
      <c r="E1801" s="16" t="inlineStr">
        <is>
          <t>R</t>
        </is>
      </c>
      <c r="F1801" s="16" t="inlineStr">
        <is>
          <t>SS</t>
        </is>
      </c>
      <c r="G1801" s="9" t="n">
        <v>112</v>
      </c>
      <c r="H1801" s="9" t="n">
        <v>302</v>
      </c>
      <c r="I1801" s="9" t="inlineStr">
        <is>
          <t>Depth (no MLB PA)</t>
        </is>
      </c>
      <c r="J1801" s="16" t="inlineStr">
        <is>
          <t>Opening Day</t>
        </is>
      </c>
      <c r="K1801" s="11">
        <f>IFERROR(INDEX(Roles!$B$17:$B$20,MATCH(J1801,Roles!$A$17:$A$20,0)),1)</f>
        <v/>
      </c>
      <c r="L1801" s="17" t="n">
        <v>1</v>
      </c>
      <c r="M1801" s="11" t="n">
        <v>1</v>
      </c>
      <c r="N1801" s="17" t="n"/>
      <c r="O1801" s="17" t="n"/>
      <c r="P1801" s="17" t="n"/>
      <c r="Q1801" s="17" t="n"/>
      <c r="R1801" s="17" t="n"/>
      <c r="S1801" s="17" t="n"/>
      <c r="T1801" s="17" t="n"/>
      <c r="U1801" s="17" t="n"/>
      <c r="V1801" s="17" t="n"/>
      <c r="W1801" s="17" t="n"/>
      <c r="X1801" s="17" t="n"/>
      <c r="Y1801" s="17" t="n">
        <v>1</v>
      </c>
      <c r="Z1801" s="13">
        <f>SUMPRODUCT(N1801:Y1801,$N$2:$Y$2)*$K1801*$L1801*$M1801</f>
        <v/>
      </c>
      <c r="AA1801" s="14">
        <f>SUM(N1801:Y1801)</f>
        <v/>
      </c>
      <c r="AB1801" s="14">
        <f>IFERROR(IF(UPPER($E1801)="L",SUMPRODUCT(N1801:Y1801,$N$3:$Y$3,$N$2:$Y$2),SUMPRODUCT(N1801:Y1801,$N$4:$Y$4,$N$2:$Y$2))/(Z1801/($K1801*$L1801*$M1801)),"")</f>
        <v/>
      </c>
      <c r="AC1801" s="18" t="n"/>
    </row>
    <row r="1802">
      <c r="A1802" s="9" t="n">
        <v>816384</v>
      </c>
      <c r="B1802" s="9" t="inlineStr">
        <is>
          <t>Sam Robertson</t>
        </is>
      </c>
      <c r="C1802" s="9" t="inlineStr">
        <is>
          <t>NYM</t>
        </is>
      </c>
      <c r="D1802" s="9" t="n">
        <v>25</v>
      </c>
      <c r="E1802" s="16" t="inlineStr">
        <is>
          <t>R</t>
        </is>
      </c>
      <c r="F1802" s="16" t="n"/>
      <c r="G1802" s="9" t="n">
        <v>19.93846153846154</v>
      </c>
      <c r="H1802" s="9" t="n">
        <v>19.93846153846154</v>
      </c>
      <c r="I1802" s="9" t="inlineStr">
        <is>
          <t>Depth (no MLB PA)</t>
        </is>
      </c>
      <c r="J1802" s="16" t="inlineStr">
        <is>
          <t>Opening Day</t>
        </is>
      </c>
      <c r="K1802" s="11">
        <f>IFERROR(INDEX(Roles!$B$17:$B$20,MATCH(J1802,Roles!$A$17:$A$20,0)),1)</f>
        <v/>
      </c>
      <c r="L1802" s="17" t="n">
        <v>1</v>
      </c>
      <c r="M1802" s="11" t="n">
        <v>1</v>
      </c>
      <c r="N1802" s="17" t="n"/>
      <c r="O1802" s="17" t="n"/>
      <c r="P1802" s="17" t="n"/>
      <c r="Q1802" s="17" t="n"/>
      <c r="R1802" s="17" t="n"/>
      <c r="S1802" s="17" t="n"/>
      <c r="T1802" s="17" t="n"/>
      <c r="U1802" s="17" t="n"/>
      <c r="V1802" s="17" t="n"/>
      <c r="W1802" s="17" t="n"/>
      <c r="X1802" s="17" t="n"/>
      <c r="Y1802" s="17" t="n">
        <v>1</v>
      </c>
      <c r="Z1802" s="13">
        <f>SUMPRODUCT(N1802:Y1802,$N$2:$Y$2)*$K1802*$L1802*$M1802</f>
        <v/>
      </c>
      <c r="AA1802" s="14">
        <f>SUM(N1802:Y1802)</f>
        <v/>
      </c>
      <c r="AB1802" s="14">
        <f>IFERROR(IF(UPPER($E1802)="L",SUMPRODUCT(N1802:Y1802,$N$3:$Y$3,$N$2:$Y$2),SUMPRODUCT(N1802:Y1802,$N$4:$Y$4,$N$2:$Y$2))/(Z1802/($K1802*$L1802*$M1802)),"")</f>
        <v/>
      </c>
      <c r="AC1802" s="18" t="n"/>
    </row>
    <row r="1803">
      <c r="A1803" s="9" t="n">
        <v>703676</v>
      </c>
      <c r="B1803" s="9" t="inlineStr">
        <is>
          <t>Ethan Frey</t>
        </is>
      </c>
      <c r="C1803" s="9" t="inlineStr">
        <is>
          <t>HOU</t>
        </is>
      </c>
      <c r="D1803" s="9" t="n">
        <v>23</v>
      </c>
      <c r="E1803" s="16" t="inlineStr">
        <is>
          <t>R</t>
        </is>
      </c>
      <c r="F1803" s="16" t="n"/>
      <c r="G1803" s="9" t="n">
        <v>58.87179487179488</v>
      </c>
      <c r="H1803" s="9" t="n">
        <v>58.87179487179488</v>
      </c>
      <c r="I1803" s="9" t="inlineStr">
        <is>
          <t>Depth (no MLB PA)</t>
        </is>
      </c>
      <c r="J1803" s="16" t="inlineStr">
        <is>
          <t>Opening Day</t>
        </is>
      </c>
      <c r="K1803" s="11">
        <f>IFERROR(INDEX(Roles!$B$17:$B$20,MATCH(J1803,Roles!$A$17:$A$20,0)),1)</f>
        <v/>
      </c>
      <c r="L1803" s="17" t="n">
        <v>1</v>
      </c>
      <c r="M1803" s="11" t="n">
        <v>1</v>
      </c>
      <c r="N1803" s="17" t="n"/>
      <c r="O1803" s="17" t="n"/>
      <c r="P1803" s="17" t="n"/>
      <c r="Q1803" s="17" t="n"/>
      <c r="R1803" s="17" t="n"/>
      <c r="S1803" s="17" t="n"/>
      <c r="T1803" s="17" t="n"/>
      <c r="U1803" s="17" t="n"/>
      <c r="V1803" s="17" t="n"/>
      <c r="W1803" s="17" t="n"/>
      <c r="X1803" s="17" t="n"/>
      <c r="Y1803" s="17" t="n">
        <v>1</v>
      </c>
      <c r="Z1803" s="13">
        <f>SUMPRODUCT(N1803:Y1803,$N$2:$Y$2)*$K1803*$L1803*$M1803</f>
        <v/>
      </c>
      <c r="AA1803" s="14">
        <f>SUM(N1803:Y1803)</f>
        <v/>
      </c>
      <c r="AB1803" s="14">
        <f>IFERROR(IF(UPPER($E1803)="L",SUMPRODUCT(N1803:Y1803,$N$3:$Y$3,$N$2:$Y$2),SUMPRODUCT(N1803:Y1803,$N$4:$Y$4,$N$2:$Y$2))/(Z1803/($K1803*$L1803*$M1803)),"")</f>
        <v/>
      </c>
      <c r="AC1803" s="18" t="n"/>
    </row>
    <row r="1804">
      <c r="A1804" s="9" t="n">
        <v>703195</v>
      </c>
      <c r="B1804" s="9" t="inlineStr">
        <is>
          <t>Bryan Acuña</t>
        </is>
      </c>
      <c r="C1804" s="9" t="inlineStr">
        <is>
          <t>MIN</t>
        </is>
      </c>
      <c r="D1804" s="9" t="n">
        <v>25</v>
      </c>
      <c r="E1804" s="16" t="inlineStr">
        <is>
          <t>R</t>
        </is>
      </c>
      <c r="F1804" s="16" t="n"/>
      <c r="G1804" s="9" t="n">
        <v>20.18461538461538</v>
      </c>
      <c r="H1804" s="9" t="n">
        <v>20.18461538461538</v>
      </c>
      <c r="I1804" s="9" t="inlineStr">
        <is>
          <t>Depth (no MLB PA)</t>
        </is>
      </c>
      <c r="J1804" s="16" t="inlineStr">
        <is>
          <t>Opening Day</t>
        </is>
      </c>
      <c r="K1804" s="11">
        <f>IFERROR(INDEX(Roles!$B$17:$B$20,MATCH(J1804,Roles!$A$17:$A$20,0)),1)</f>
        <v/>
      </c>
      <c r="L1804" s="17" t="n">
        <v>1</v>
      </c>
      <c r="M1804" s="11" t="n">
        <v>1</v>
      </c>
      <c r="N1804" s="17" t="n"/>
      <c r="O1804" s="17" t="n"/>
      <c r="P1804" s="17" t="n"/>
      <c r="Q1804" s="17" t="n"/>
      <c r="R1804" s="17" t="n"/>
      <c r="S1804" s="17" t="n"/>
      <c r="T1804" s="17" t="n"/>
      <c r="U1804" s="17" t="n"/>
      <c r="V1804" s="17" t="n"/>
      <c r="W1804" s="17" t="n"/>
      <c r="X1804" s="17" t="n"/>
      <c r="Y1804" s="17" t="n">
        <v>1</v>
      </c>
      <c r="Z1804" s="13">
        <f>SUMPRODUCT(N1804:Y1804,$N$2:$Y$2)*$K1804*$L1804*$M1804</f>
        <v/>
      </c>
      <c r="AA1804" s="14">
        <f>SUM(N1804:Y1804)</f>
        <v/>
      </c>
      <c r="AB1804" s="14">
        <f>IFERROR(IF(UPPER($E1804)="L",SUMPRODUCT(N1804:Y1804,$N$3:$Y$3,$N$2:$Y$2),SUMPRODUCT(N1804:Y1804,$N$4:$Y$4,$N$2:$Y$2))/(Z1804/($K1804*$L1804*$M1804)),"")</f>
        <v/>
      </c>
      <c r="AC1804" s="18" t="n"/>
    </row>
    <row r="1805">
      <c r="A1805" s="9" t="n">
        <v>812540</v>
      </c>
      <c r="B1805" s="9" t="inlineStr">
        <is>
          <t>Qrey Lott</t>
        </is>
      </c>
      <c r="C1805" s="9" t="inlineStr">
        <is>
          <t>SD</t>
        </is>
      </c>
      <c r="D1805" s="9" t="n">
        <v>25</v>
      </c>
      <c r="E1805" s="16" t="inlineStr">
        <is>
          <t>R</t>
        </is>
      </c>
      <c r="F1805" s="16" t="n"/>
      <c r="G1805" s="9" t="n">
        <v>38.4</v>
      </c>
      <c r="H1805" s="9" t="n">
        <v>38.4</v>
      </c>
      <c r="I1805" s="9" t="inlineStr">
        <is>
          <t>Depth (no MLB PA)</t>
        </is>
      </c>
      <c r="J1805" s="16" t="inlineStr">
        <is>
          <t>Opening Day</t>
        </is>
      </c>
      <c r="K1805" s="11">
        <f>IFERROR(INDEX(Roles!$B$17:$B$20,MATCH(J1805,Roles!$A$17:$A$20,0)),1)</f>
        <v/>
      </c>
      <c r="L1805" s="17" t="n">
        <v>1</v>
      </c>
      <c r="M1805" s="11" t="n">
        <v>1</v>
      </c>
      <c r="N1805" s="17" t="n"/>
      <c r="O1805" s="17" t="n"/>
      <c r="P1805" s="17" t="n"/>
      <c r="Q1805" s="17" t="n"/>
      <c r="R1805" s="17" t="n"/>
      <c r="S1805" s="17" t="n"/>
      <c r="T1805" s="17" t="n"/>
      <c r="U1805" s="17" t="n"/>
      <c r="V1805" s="17" t="n"/>
      <c r="W1805" s="17" t="n"/>
      <c r="X1805" s="17" t="n"/>
      <c r="Y1805" s="17" t="n">
        <v>1</v>
      </c>
      <c r="Z1805" s="13">
        <f>SUMPRODUCT(N1805:Y1805,$N$2:$Y$2)*$K1805*$L1805*$M1805</f>
        <v/>
      </c>
      <c r="AA1805" s="14">
        <f>SUM(N1805:Y1805)</f>
        <v/>
      </c>
      <c r="AB1805" s="14">
        <f>IFERROR(IF(UPPER($E1805)="L",SUMPRODUCT(N1805:Y1805,$N$3:$Y$3,$N$2:$Y$2),SUMPRODUCT(N1805:Y1805,$N$4:$Y$4,$N$2:$Y$2))/(Z1805/($K1805*$L1805*$M1805)),"")</f>
        <v/>
      </c>
      <c r="AC1805" s="18" t="n"/>
    </row>
    <row r="1806">
      <c r="A1806" s="9" t="n">
        <v>807256</v>
      </c>
      <c r="B1806" s="9" t="inlineStr">
        <is>
          <t>Josh Springer</t>
        </is>
      </c>
      <c r="C1806" s="9" t="inlineStr">
        <is>
          <t>TEX</t>
        </is>
      </c>
      <c r="D1806" s="9" t="n">
        <v>25</v>
      </c>
      <c r="E1806" s="16" t="inlineStr">
        <is>
          <t>R</t>
        </is>
      </c>
      <c r="F1806" s="16" t="n"/>
      <c r="G1806" s="9" t="n">
        <v>24.36923076923077</v>
      </c>
      <c r="H1806" s="9" t="n">
        <v>24.36923076923077</v>
      </c>
      <c r="I1806" s="9" t="inlineStr">
        <is>
          <t>Depth (no MLB PA)</t>
        </is>
      </c>
      <c r="J1806" s="16" t="inlineStr">
        <is>
          <t>Opening Day</t>
        </is>
      </c>
      <c r="K1806" s="11">
        <f>IFERROR(INDEX(Roles!$B$17:$B$20,MATCH(J1806,Roles!$A$17:$A$20,0)),1)</f>
        <v/>
      </c>
      <c r="L1806" s="17" t="n">
        <v>1</v>
      </c>
      <c r="M1806" s="11" t="n">
        <v>1</v>
      </c>
      <c r="N1806" s="17" t="n"/>
      <c r="O1806" s="17" t="n"/>
      <c r="P1806" s="17" t="n"/>
      <c r="Q1806" s="17" t="n"/>
      <c r="R1806" s="17" t="n"/>
      <c r="S1806" s="17" t="n"/>
      <c r="T1806" s="17" t="n"/>
      <c r="U1806" s="17" t="n"/>
      <c r="V1806" s="17" t="n"/>
      <c r="W1806" s="17" t="n"/>
      <c r="X1806" s="17" t="n"/>
      <c r="Y1806" s="17" t="n">
        <v>1</v>
      </c>
      <c r="Z1806" s="13">
        <f>SUMPRODUCT(N1806:Y1806,$N$2:$Y$2)*$K1806*$L1806*$M1806</f>
        <v/>
      </c>
      <c r="AA1806" s="14">
        <f>SUM(N1806:Y1806)</f>
        <v/>
      </c>
      <c r="AB1806" s="14">
        <f>IFERROR(IF(UPPER($E1806)="L",SUMPRODUCT(N1806:Y1806,$N$3:$Y$3,$N$2:$Y$2),SUMPRODUCT(N1806:Y1806,$N$4:$Y$4,$N$2:$Y$2))/(Z1806/($K1806*$L1806*$M1806)),"")</f>
        <v/>
      </c>
      <c r="AC1806" s="18" t="n"/>
    </row>
    <row r="1807">
      <c r="A1807" s="9" t="n">
        <v>683061</v>
      </c>
      <c r="B1807" s="9" t="inlineStr">
        <is>
          <t>Alexander Vargas</t>
        </is>
      </c>
      <c r="C1807" s="9" t="inlineStr">
        <is>
          <t>CIN</t>
        </is>
      </c>
      <c r="D1807" s="9" t="n">
        <v>25</v>
      </c>
      <c r="E1807" s="16" t="inlineStr">
        <is>
          <t>S</t>
        </is>
      </c>
      <c r="F1807" s="16" t="n"/>
      <c r="G1807" s="9" t="n">
        <v>21.53846153846154</v>
      </c>
      <c r="H1807" s="9" t="n">
        <v>21.53846153846154</v>
      </c>
      <c r="I1807" s="9" t="inlineStr">
        <is>
          <t>Depth (no MLB PA)</t>
        </is>
      </c>
      <c r="J1807" s="16" t="inlineStr">
        <is>
          <t>Opening Day</t>
        </is>
      </c>
      <c r="K1807" s="11">
        <f>IFERROR(INDEX(Roles!$B$17:$B$20,MATCH(J1807,Roles!$A$17:$A$20,0)),1)</f>
        <v/>
      </c>
      <c r="L1807" s="17" t="n">
        <v>1</v>
      </c>
      <c r="M1807" s="11" t="n">
        <v>1</v>
      </c>
      <c r="N1807" s="17" t="n"/>
      <c r="O1807" s="17" t="n"/>
      <c r="P1807" s="17" t="n"/>
      <c r="Q1807" s="17" t="n"/>
      <c r="R1807" s="17" t="n"/>
      <c r="S1807" s="17" t="n"/>
      <c r="T1807" s="17" t="n"/>
      <c r="U1807" s="17" t="n"/>
      <c r="V1807" s="17" t="n"/>
      <c r="W1807" s="17" t="n"/>
      <c r="X1807" s="17" t="n"/>
      <c r="Y1807" s="17" t="n">
        <v>1</v>
      </c>
      <c r="Z1807" s="13">
        <f>SUMPRODUCT(N1807:Y1807,$N$2:$Y$2)*$K1807*$L1807*$M1807</f>
        <v/>
      </c>
      <c r="AA1807" s="14">
        <f>SUM(N1807:Y1807)</f>
        <v/>
      </c>
      <c r="AB1807" s="14">
        <f>IFERROR(IF(UPPER($E1807)="L",SUMPRODUCT(N1807:Y1807,$N$3:$Y$3,$N$2:$Y$2),SUMPRODUCT(N1807:Y1807,$N$4:$Y$4,$N$2:$Y$2))/(Z1807/($K1807*$L1807*$M1807)),"")</f>
        <v/>
      </c>
      <c r="AC1807" s="18" t="n"/>
    </row>
    <row r="1808">
      <c r="A1808" s="9" t="n">
        <v>699305</v>
      </c>
      <c r="B1808" s="9" t="inlineStr">
        <is>
          <t>Diego Mosquera</t>
        </is>
      </c>
      <c r="C1808" s="9" t="inlineStr">
        <is>
          <t>NYM</t>
        </is>
      </c>
      <c r="D1808" s="9" t="n">
        <v>25</v>
      </c>
      <c r="E1808" s="16" t="inlineStr">
        <is>
          <t>R</t>
        </is>
      </c>
      <c r="F1808" s="16" t="n"/>
      <c r="G1808" s="9" t="n">
        <v>20.10256410256411</v>
      </c>
      <c r="H1808" s="9" t="n">
        <v>20.10256410256411</v>
      </c>
      <c r="I1808" s="9" t="inlineStr">
        <is>
          <t>Depth (no MLB PA)</t>
        </is>
      </c>
      <c r="J1808" s="16" t="inlineStr">
        <is>
          <t>Opening Day</t>
        </is>
      </c>
      <c r="K1808" s="11">
        <f>IFERROR(INDEX(Roles!$B$17:$B$20,MATCH(J1808,Roles!$A$17:$A$20,0)),1)</f>
        <v/>
      </c>
      <c r="L1808" s="17" t="n">
        <v>1</v>
      </c>
      <c r="M1808" s="11" t="n">
        <v>1</v>
      </c>
      <c r="N1808" s="17" t="n"/>
      <c r="O1808" s="17" t="n"/>
      <c r="P1808" s="17" t="n"/>
      <c r="Q1808" s="17" t="n"/>
      <c r="R1808" s="17" t="n"/>
      <c r="S1808" s="17" t="n"/>
      <c r="T1808" s="17" t="n"/>
      <c r="U1808" s="17" t="n"/>
      <c r="V1808" s="17" t="n"/>
      <c r="W1808" s="17" t="n"/>
      <c r="X1808" s="17" t="n"/>
      <c r="Y1808" s="17" t="n">
        <v>1</v>
      </c>
      <c r="Z1808" s="13">
        <f>SUMPRODUCT(N1808:Y1808,$N$2:$Y$2)*$K1808*$L1808*$M1808</f>
        <v/>
      </c>
      <c r="AA1808" s="14">
        <f>SUM(N1808:Y1808)</f>
        <v/>
      </c>
      <c r="AB1808" s="14">
        <f>IFERROR(IF(UPPER($E1808)="L",SUMPRODUCT(N1808:Y1808,$N$3:$Y$3,$N$2:$Y$2),SUMPRODUCT(N1808:Y1808,$N$4:$Y$4,$N$2:$Y$2))/(Z1808/($K1808*$L1808*$M1808)),"")</f>
        <v/>
      </c>
      <c r="AC1808" s="18" t="n"/>
    </row>
    <row r="1809">
      <c r="A1809" s="9" t="n">
        <v>694208</v>
      </c>
      <c r="B1809" s="9" t="inlineStr">
        <is>
          <t>Moisés Ballesteros</t>
        </is>
      </c>
      <c r="C1809" s="9" t="inlineStr">
        <is>
          <t>LAA</t>
        </is>
      </c>
      <c r="D1809" s="9" t="n">
        <v>23</v>
      </c>
      <c r="E1809" s="16" t="inlineStr">
        <is>
          <t>L</t>
        </is>
      </c>
      <c r="F1809" s="16" t="inlineStr">
        <is>
          <t>C</t>
        </is>
      </c>
      <c r="G1809" s="9" t="n">
        <v>352</v>
      </c>
      <c r="H1809" s="9" t="n">
        <v>418</v>
      </c>
      <c r="I1809" s="9" t="inlineStr">
        <is>
          <t>Catcher - Primary</t>
        </is>
      </c>
      <c r="J1809" s="16" t="inlineStr">
        <is>
          <t>Opening Day</t>
        </is>
      </c>
      <c r="K1809" s="11">
        <f>IFERROR(INDEX(Roles!$B$17:$B$20,MATCH(J1809,Roles!$A$17:$A$20,0)),1)</f>
        <v/>
      </c>
      <c r="L1809" s="17" t="n">
        <v>1</v>
      </c>
      <c r="M1809" s="11" t="n">
        <v>0.812572202906797</v>
      </c>
      <c r="N1809" s="17" t="n"/>
      <c r="O1809" s="17" t="n"/>
      <c r="P1809" s="17" t="n"/>
      <c r="Q1809" s="17" t="n"/>
      <c r="R1809" s="17" t="n">
        <v>0.7</v>
      </c>
      <c r="S1809" s="17" t="n">
        <v>0.3</v>
      </c>
      <c r="T1809" s="17" t="n"/>
      <c r="U1809" s="17" t="n"/>
      <c r="V1809" s="17" t="n"/>
      <c r="W1809" s="17" t="n"/>
      <c r="X1809" s="17" t="n"/>
      <c r="Y1809" s="17" t="n"/>
      <c r="Z1809" s="13">
        <f>SUMPRODUCT(N1809:Y1809,$N$2:$Y$2)*$K1809*$L1809*$M1809</f>
        <v/>
      </c>
      <c r="AA1809" s="14">
        <f>SUM(N1809:Y1809)</f>
        <v/>
      </c>
      <c r="AB1809" s="14">
        <f>IFERROR(IF(UPPER($E1809)="L",SUMPRODUCT(N1809:Y1809,$N$3:$Y$3,$N$2:$Y$2),SUMPRODUCT(N1809:Y1809,$N$4:$Y$4,$N$2:$Y$2))/(Z1809/($K1809*$L1809*$M1809)),"")</f>
        <v/>
      </c>
      <c r="AC1809" s="18" t="n"/>
    </row>
    <row r="1810">
      <c r="A1810" s="9" t="n">
        <v>682663</v>
      </c>
      <c r="B1810" s="9" t="inlineStr">
        <is>
          <t>Agustín Ramírez</t>
        </is>
      </c>
      <c r="C1810" s="9" t="inlineStr">
        <is>
          <t>MIA</t>
        </is>
      </c>
      <c r="D1810" s="9" t="n">
        <v>25</v>
      </c>
      <c r="E1810" s="16" t="inlineStr">
        <is>
          <t>R</t>
        </is>
      </c>
      <c r="F1810" s="16" t="inlineStr">
        <is>
          <t>C</t>
        </is>
      </c>
      <c r="G1810" s="9" t="n">
        <v>255</v>
      </c>
      <c r="H1810" s="9" t="n">
        <v>840</v>
      </c>
      <c r="I1810" s="9" t="inlineStr">
        <is>
          <t>Full Time</t>
        </is>
      </c>
      <c r="J1810" s="16" t="inlineStr">
        <is>
          <t>Opening Day</t>
        </is>
      </c>
      <c r="K1810" s="11">
        <f>IFERROR(INDEX(Roles!$B$17:$B$20,MATCH(J1810,Roles!$A$17:$A$20,0)),1)</f>
        <v/>
      </c>
      <c r="L1810" s="17" t="n">
        <v>1</v>
      </c>
      <c r="M1810" s="11" t="n">
        <v>0.8687694290076452</v>
      </c>
      <c r="N1810" s="17" t="n">
        <v>1</v>
      </c>
      <c r="O1810" s="17" t="n"/>
      <c r="P1810" s="17" t="n"/>
      <c r="Q1810" s="17" t="n"/>
      <c r="R1810" s="17" t="n"/>
      <c r="S1810" s="17" t="n"/>
      <c r="T1810" s="17" t="n"/>
      <c r="U1810" s="17" t="n"/>
      <c r="V1810" s="17" t="n"/>
      <c r="W1810" s="17" t="n"/>
      <c r="X1810" s="17" t="n"/>
      <c r="Y1810" s="17" t="n"/>
      <c r="Z1810" s="13">
        <f>SUMPRODUCT(N1810:Y1810,$N$2:$Y$2)*$K1810*$L1810*$M1810</f>
        <v/>
      </c>
      <c r="AA1810" s="14">
        <f>SUM(N1810:Y1810)</f>
        <v/>
      </c>
      <c r="AB1810" s="14">
        <f>IFERROR(IF(UPPER($E1810)="L",SUMPRODUCT(N1810:Y1810,$N$3:$Y$3,$N$2:$Y$2),SUMPRODUCT(N1810:Y1810,$N$4:$Y$4,$N$2:$Y$2))/(Z1810/($K1810*$L1810*$M1810)),"")</f>
        <v/>
      </c>
      <c r="AC1810" s="18" t="n"/>
    </row>
    <row r="1811">
      <c r="A1811" s="9" t="n">
        <v>695538</v>
      </c>
      <c r="B1811" s="9" t="inlineStr">
        <is>
          <t>Randal Diaz</t>
        </is>
      </c>
      <c r="C1811" s="9" t="inlineStr">
        <is>
          <t>BAL</t>
        </is>
      </c>
      <c r="D1811" s="9" t="n">
        <v>25</v>
      </c>
      <c r="E1811" s="16" t="inlineStr">
        <is>
          <t>R</t>
        </is>
      </c>
      <c r="F1811" s="16" t="n"/>
      <c r="G1811" s="9" t="n">
        <v>73.64102564102565</v>
      </c>
      <c r="H1811" s="9" t="n">
        <v>73.64102564102565</v>
      </c>
      <c r="I1811" s="9" t="inlineStr">
        <is>
          <t>Depth (no MLB PA)</t>
        </is>
      </c>
      <c r="J1811" s="16" t="inlineStr">
        <is>
          <t>Opening Day</t>
        </is>
      </c>
      <c r="K1811" s="11">
        <f>IFERROR(INDEX(Roles!$B$17:$B$20,MATCH(J1811,Roles!$A$17:$A$20,0)),1)</f>
        <v/>
      </c>
      <c r="L1811" s="17" t="n">
        <v>1</v>
      </c>
      <c r="M1811" s="11" t="n">
        <v>1</v>
      </c>
      <c r="N1811" s="17" t="n"/>
      <c r="O1811" s="17" t="n"/>
      <c r="P1811" s="17" t="n"/>
      <c r="Q1811" s="17" t="n"/>
      <c r="R1811" s="17" t="n"/>
      <c r="S1811" s="17" t="n"/>
      <c r="T1811" s="17" t="n"/>
      <c r="U1811" s="17" t="n"/>
      <c r="V1811" s="17" t="n"/>
      <c r="W1811" s="17" t="n"/>
      <c r="X1811" s="17" t="n"/>
      <c r="Y1811" s="17" t="n">
        <v>1</v>
      </c>
      <c r="Z1811" s="13">
        <f>SUMPRODUCT(N1811:Y1811,$N$2:$Y$2)*$K1811*$L1811*$M1811</f>
        <v/>
      </c>
      <c r="AA1811" s="14">
        <f>SUM(N1811:Y1811)</f>
        <v/>
      </c>
      <c r="AB1811" s="14">
        <f>IFERROR(IF(UPPER($E1811)="L",SUMPRODUCT(N1811:Y1811,$N$3:$Y$3,$N$2:$Y$2),SUMPRODUCT(N1811:Y1811,$N$4:$Y$4,$N$2:$Y$2))/(Z1811/($K1811*$L1811*$M1811)),"")</f>
        <v/>
      </c>
      <c r="AC1811" s="18" t="n"/>
    </row>
    <row r="1812">
      <c r="A1812" s="9" t="n">
        <v>684491</v>
      </c>
      <c r="B1812" s="9" t="inlineStr">
        <is>
          <t>Frank Rodriguez</t>
        </is>
      </c>
      <c r="C1812" s="9" t="inlineStr">
        <is>
          <t>LAD</t>
        </is>
      </c>
      <c r="D1812" s="9" t="n">
        <v>25</v>
      </c>
      <c r="E1812" s="16" t="inlineStr">
        <is>
          <t>R</t>
        </is>
      </c>
      <c r="F1812" s="16" t="n"/>
      <c r="G1812" s="9" t="n">
        <v>94.41025641025639</v>
      </c>
      <c r="H1812" s="9" t="n">
        <v>94.41025641025639</v>
      </c>
      <c r="I1812" s="9" t="inlineStr">
        <is>
          <t>Depth (no MLB PA)</t>
        </is>
      </c>
      <c r="J1812" s="16" t="inlineStr">
        <is>
          <t>Opening Day</t>
        </is>
      </c>
      <c r="K1812" s="11">
        <f>IFERROR(INDEX(Roles!$B$17:$B$20,MATCH(J1812,Roles!$A$17:$A$20,0)),1)</f>
        <v/>
      </c>
      <c r="L1812" s="17" t="n">
        <v>1</v>
      </c>
      <c r="M1812" s="11" t="n">
        <v>1</v>
      </c>
      <c r="N1812" s="17" t="n"/>
      <c r="O1812" s="17" t="n"/>
      <c r="P1812" s="17" t="n"/>
      <c r="Q1812" s="17" t="n"/>
      <c r="R1812" s="17" t="n"/>
      <c r="S1812" s="17" t="n"/>
      <c r="T1812" s="17" t="n"/>
      <c r="U1812" s="17" t="n"/>
      <c r="V1812" s="17" t="n"/>
      <c r="W1812" s="17" t="n"/>
      <c r="X1812" s="17" t="n"/>
      <c r="Y1812" s="17" t="n">
        <v>1</v>
      </c>
      <c r="Z1812" s="13">
        <f>SUMPRODUCT(N1812:Y1812,$N$2:$Y$2)*$K1812*$L1812*$M1812</f>
        <v/>
      </c>
      <c r="AA1812" s="14">
        <f>SUM(N1812:Y1812)</f>
        <v/>
      </c>
      <c r="AB1812" s="14">
        <f>IFERROR(IF(UPPER($E1812)="L",SUMPRODUCT(N1812:Y1812,$N$3:$Y$3,$N$2:$Y$2),SUMPRODUCT(N1812:Y1812,$N$4:$Y$4,$N$2:$Y$2))/(Z1812/($K1812*$L1812*$M1812)),"")</f>
        <v/>
      </c>
      <c r="AC1812" s="18" t="n"/>
    </row>
    <row r="1813">
      <c r="A1813" s="9" t="n">
        <v>815380</v>
      </c>
      <c r="B1813" s="9" t="inlineStr">
        <is>
          <t>Luke Dickerson</t>
        </is>
      </c>
      <c r="C1813" s="9" t="inlineStr">
        <is>
          <t>WSH</t>
        </is>
      </c>
      <c r="D1813" s="9" t="n">
        <v>25</v>
      </c>
      <c r="E1813" s="16" t="inlineStr">
        <is>
          <t>R</t>
        </is>
      </c>
      <c r="F1813" s="16" t="n"/>
      <c r="G1813" s="9" t="n">
        <v>19.69230769230769</v>
      </c>
      <c r="H1813" s="9" t="n">
        <v>19.69230769230769</v>
      </c>
      <c r="I1813" s="9" t="inlineStr">
        <is>
          <t>Depth (no MLB PA)</t>
        </is>
      </c>
      <c r="J1813" s="16" t="inlineStr">
        <is>
          <t>Opening Day</t>
        </is>
      </c>
      <c r="K1813" s="11">
        <f>IFERROR(INDEX(Roles!$B$17:$B$20,MATCH(J1813,Roles!$A$17:$A$20,0)),1)</f>
        <v/>
      </c>
      <c r="L1813" s="17" t="n">
        <v>1</v>
      </c>
      <c r="M1813" s="11" t="n">
        <v>1</v>
      </c>
      <c r="N1813" s="17" t="n"/>
      <c r="O1813" s="17" t="n"/>
      <c r="P1813" s="17" t="n"/>
      <c r="Q1813" s="17" t="n"/>
      <c r="R1813" s="17" t="n"/>
      <c r="S1813" s="17" t="n"/>
      <c r="T1813" s="17" t="n"/>
      <c r="U1813" s="17" t="n"/>
      <c r="V1813" s="17" t="n"/>
      <c r="W1813" s="17" t="n"/>
      <c r="X1813" s="17" t="n"/>
      <c r="Y1813" s="17" t="n">
        <v>1</v>
      </c>
      <c r="Z1813" s="13">
        <f>SUMPRODUCT(N1813:Y1813,$N$2:$Y$2)*$K1813*$L1813*$M1813</f>
        <v/>
      </c>
      <c r="AA1813" s="14">
        <f>SUM(N1813:Y1813)</f>
        <v/>
      </c>
      <c r="AB1813" s="14">
        <f>IFERROR(IF(UPPER($E1813)="L",SUMPRODUCT(N1813:Y1813,$N$3:$Y$3,$N$2:$Y$2),SUMPRODUCT(N1813:Y1813,$N$4:$Y$4,$N$2:$Y$2))/(Z1813/($K1813*$L1813*$M1813)),"")</f>
        <v/>
      </c>
      <c r="AC1813" s="18" t="n"/>
    </row>
    <row r="1814">
      <c r="A1814" s="9" t="n">
        <v>804119</v>
      </c>
      <c r="B1814" s="9" t="inlineStr">
        <is>
          <t>Bobby Boser</t>
        </is>
      </c>
      <c r="C1814" s="9" t="inlineStr">
        <is>
          <t>OAK</t>
        </is>
      </c>
      <c r="D1814" s="9" t="n">
        <v>25</v>
      </c>
      <c r="E1814" s="16" t="inlineStr">
        <is>
          <t>R</t>
        </is>
      </c>
      <c r="F1814" s="16" t="n"/>
      <c r="G1814" s="9" t="n">
        <v>116.3076923076923</v>
      </c>
      <c r="H1814" s="9" t="n">
        <v>116.3076923076923</v>
      </c>
      <c r="I1814" s="9" t="inlineStr">
        <is>
          <t>Depth (no MLB PA)</t>
        </is>
      </c>
      <c r="J1814" s="16" t="inlineStr">
        <is>
          <t>Opening Day</t>
        </is>
      </c>
      <c r="K1814" s="11">
        <f>IFERROR(INDEX(Roles!$B$17:$B$20,MATCH(J1814,Roles!$A$17:$A$20,0)),1)</f>
        <v/>
      </c>
      <c r="L1814" s="17" t="n">
        <v>1</v>
      </c>
      <c r="M1814" s="11" t="n">
        <v>1</v>
      </c>
      <c r="N1814" s="17" t="n"/>
      <c r="O1814" s="17" t="n"/>
      <c r="P1814" s="17" t="n"/>
      <c r="Q1814" s="17" t="n"/>
      <c r="R1814" s="17" t="n"/>
      <c r="S1814" s="17" t="n"/>
      <c r="T1814" s="17" t="n"/>
      <c r="U1814" s="17" t="n"/>
      <c r="V1814" s="17" t="n"/>
      <c r="W1814" s="17" t="n"/>
      <c r="X1814" s="17" t="n"/>
      <c r="Y1814" s="17" t="n">
        <v>1</v>
      </c>
      <c r="Z1814" s="13">
        <f>SUMPRODUCT(N1814:Y1814,$N$2:$Y$2)*$K1814*$L1814*$M1814</f>
        <v/>
      </c>
      <c r="AA1814" s="14">
        <f>SUM(N1814:Y1814)</f>
        <v/>
      </c>
      <c r="AB1814" s="14">
        <f>IFERROR(IF(UPPER($E1814)="L",SUMPRODUCT(N1814:Y1814,$N$3:$Y$3,$N$2:$Y$2),SUMPRODUCT(N1814:Y1814,$N$4:$Y$4,$N$2:$Y$2))/(Z1814/($K1814*$L1814*$M1814)),"")</f>
        <v/>
      </c>
      <c r="AC1814" s="18" t="n"/>
    </row>
    <row r="1815">
      <c r="A1815" s="9" t="n">
        <v>669023</v>
      </c>
      <c r="B1815" s="9" t="inlineStr">
        <is>
          <t>Jeter Downs</t>
        </is>
      </c>
      <c r="C1815" s="9" t="inlineStr">
        <is>
          <t>BOS</t>
        </is>
      </c>
      <c r="D1815" s="9" t="n">
        <v>28</v>
      </c>
      <c r="E1815" s="16" t="inlineStr">
        <is>
          <t>R</t>
        </is>
      </c>
      <c r="F1815" s="16" t="inlineStr">
        <is>
          <t>SS</t>
        </is>
      </c>
      <c r="G1815" s="9" t="n">
        <v>9</v>
      </c>
      <c r="H1815" s="9" t="n">
        <v>50</v>
      </c>
      <c r="I1815" s="9" t="inlineStr">
        <is>
          <t>Depth (no MLB PA)</t>
        </is>
      </c>
      <c r="J1815" s="16" t="inlineStr">
        <is>
          <t>Opening Day</t>
        </is>
      </c>
      <c r="K1815" s="11">
        <f>IFERROR(INDEX(Roles!$B$17:$B$20,MATCH(J1815,Roles!$A$17:$A$20,0)),1)</f>
        <v/>
      </c>
      <c r="L1815" s="17" t="n">
        <v>1</v>
      </c>
      <c r="M1815" s="11" t="n">
        <v>1</v>
      </c>
      <c r="N1815" s="17" t="n"/>
      <c r="O1815" s="17" t="n"/>
      <c r="P1815" s="17" t="n"/>
      <c r="Q1815" s="17" t="n"/>
      <c r="R1815" s="17" t="n"/>
      <c r="S1815" s="17" t="n"/>
      <c r="T1815" s="17" t="n"/>
      <c r="U1815" s="17" t="n"/>
      <c r="V1815" s="17" t="n"/>
      <c r="W1815" s="17" t="n"/>
      <c r="X1815" s="17" t="n"/>
      <c r="Y1815" s="17" t="n">
        <v>1</v>
      </c>
      <c r="Z1815" s="13">
        <f>SUMPRODUCT(N1815:Y1815,$N$2:$Y$2)*$K1815*$L1815*$M1815</f>
        <v/>
      </c>
      <c r="AA1815" s="14">
        <f>SUM(N1815:Y1815)</f>
        <v/>
      </c>
      <c r="AB1815" s="14">
        <f>IFERROR(IF(UPPER($E1815)="L",SUMPRODUCT(N1815:Y1815,$N$3:$Y$3,$N$2:$Y$2),SUMPRODUCT(N1815:Y1815,$N$4:$Y$4,$N$2:$Y$2))/(Z1815/($K1815*$L1815*$M1815)),"")</f>
        <v/>
      </c>
      <c r="AC1815" s="18" t="n"/>
    </row>
    <row r="1816">
      <c r="A1816" s="9" t="n">
        <v>808307</v>
      </c>
      <c r="B1816" s="9" t="inlineStr">
        <is>
          <t>Kleyver Salazar</t>
        </is>
      </c>
      <c r="C1816" s="9" t="inlineStr">
        <is>
          <t>BOS</t>
        </is>
      </c>
      <c r="D1816" s="9" t="n">
        <v>25</v>
      </c>
      <c r="E1816" s="16" t="inlineStr">
        <is>
          <t>R</t>
        </is>
      </c>
      <c r="F1816" s="16" t="n"/>
      <c r="G1816" s="9" t="n">
        <v>48.98461538461539</v>
      </c>
      <c r="H1816" s="9" t="n">
        <v>48.98461538461539</v>
      </c>
      <c r="I1816" s="9" t="inlineStr">
        <is>
          <t>Depth (no MLB PA)</t>
        </is>
      </c>
      <c r="J1816" s="16" t="inlineStr">
        <is>
          <t>Opening Day</t>
        </is>
      </c>
      <c r="K1816" s="11">
        <f>IFERROR(INDEX(Roles!$B$17:$B$20,MATCH(J1816,Roles!$A$17:$A$20,0)),1)</f>
        <v/>
      </c>
      <c r="L1816" s="17" t="n">
        <v>1</v>
      </c>
      <c r="M1816" s="11" t="n">
        <v>1</v>
      </c>
      <c r="N1816" s="17" t="n"/>
      <c r="O1816" s="17" t="n"/>
      <c r="P1816" s="17" t="n"/>
      <c r="Q1816" s="17" t="n"/>
      <c r="R1816" s="17" t="n"/>
      <c r="S1816" s="17" t="n"/>
      <c r="T1816" s="17" t="n"/>
      <c r="U1816" s="17" t="n"/>
      <c r="V1816" s="17" t="n"/>
      <c r="W1816" s="17" t="n"/>
      <c r="X1816" s="17" t="n"/>
      <c r="Y1816" s="17" t="n">
        <v>1</v>
      </c>
      <c r="Z1816" s="13">
        <f>SUMPRODUCT(N1816:Y1816,$N$2:$Y$2)*$K1816*$L1816*$M1816</f>
        <v/>
      </c>
      <c r="AA1816" s="14">
        <f>SUM(N1816:Y1816)</f>
        <v/>
      </c>
      <c r="AB1816" s="14">
        <f>IFERROR(IF(UPPER($E1816)="L",SUMPRODUCT(N1816:Y1816,$N$3:$Y$3,$N$2:$Y$2),SUMPRODUCT(N1816:Y1816,$N$4:$Y$4,$N$2:$Y$2))/(Z1816/($K1816*$L1816*$M1816)),"")</f>
        <v/>
      </c>
      <c r="AC1816" s="18" t="n"/>
    </row>
    <row r="1817">
      <c r="A1817" s="9" t="n">
        <v>832420</v>
      </c>
      <c r="B1817" s="9" t="inlineStr">
        <is>
          <t>Edian Espinal</t>
        </is>
      </c>
      <c r="C1817" s="9" t="inlineStr">
        <is>
          <t>DET</t>
        </is>
      </c>
      <c r="D1817" s="9" t="n">
        <v>25</v>
      </c>
      <c r="E1817" s="16" t="inlineStr">
        <is>
          <t>S</t>
        </is>
      </c>
      <c r="F1817" s="16" t="n"/>
      <c r="G1817" s="9" t="n">
        <v>21.94871794871795</v>
      </c>
      <c r="H1817" s="9" t="n">
        <v>21.94871794871795</v>
      </c>
      <c r="I1817" s="9" t="inlineStr">
        <is>
          <t>Depth (no MLB PA)</t>
        </is>
      </c>
      <c r="J1817" s="16" t="inlineStr">
        <is>
          <t>Opening Day</t>
        </is>
      </c>
      <c r="K1817" s="11">
        <f>IFERROR(INDEX(Roles!$B$17:$B$20,MATCH(J1817,Roles!$A$17:$A$20,0)),1)</f>
        <v/>
      </c>
      <c r="L1817" s="17" t="n">
        <v>1</v>
      </c>
      <c r="M1817" s="11" t="n">
        <v>1</v>
      </c>
      <c r="N1817" s="17" t="n"/>
      <c r="O1817" s="17" t="n"/>
      <c r="P1817" s="17" t="n"/>
      <c r="Q1817" s="17" t="n"/>
      <c r="R1817" s="17" t="n"/>
      <c r="S1817" s="17" t="n"/>
      <c r="T1817" s="17" t="n"/>
      <c r="U1817" s="17" t="n"/>
      <c r="V1817" s="17" t="n"/>
      <c r="W1817" s="17" t="n"/>
      <c r="X1817" s="17" t="n"/>
      <c r="Y1817" s="17" t="n">
        <v>1</v>
      </c>
      <c r="Z1817" s="13">
        <f>SUMPRODUCT(N1817:Y1817,$N$2:$Y$2)*$K1817*$L1817*$M1817</f>
        <v/>
      </c>
      <c r="AA1817" s="14">
        <f>SUM(N1817:Y1817)</f>
        <v/>
      </c>
      <c r="AB1817" s="14">
        <f>IFERROR(IF(UPPER($E1817)="L",SUMPRODUCT(N1817:Y1817,$N$3:$Y$3,$N$2:$Y$2),SUMPRODUCT(N1817:Y1817,$N$4:$Y$4,$N$2:$Y$2))/(Z1817/($K1817*$L1817*$M1817)),"")</f>
        <v/>
      </c>
      <c r="AC1817" s="18" t="n"/>
    </row>
    <row r="1818">
      <c r="A1818" s="9" t="n">
        <v>669016</v>
      </c>
      <c r="B1818" s="9" t="inlineStr">
        <is>
          <t>Brandon Marsh</t>
        </is>
      </c>
      <c r="C1818" s="9" t="inlineStr">
        <is>
          <t>PHI</t>
        </is>
      </c>
      <c r="D1818" s="9" t="n">
        <v>29</v>
      </c>
      <c r="E1818" s="16" t="inlineStr">
        <is>
          <t>L</t>
        </is>
      </c>
      <c r="F1818" s="16" t="inlineStr">
        <is>
          <t>LF</t>
        </is>
      </c>
      <c r="G1818" s="9" t="n">
        <v>568</v>
      </c>
      <c r="H1818" s="9" t="n">
        <v>2402</v>
      </c>
      <c r="I1818" s="9" t="inlineStr">
        <is>
          <t>Strong Side Platoon</t>
        </is>
      </c>
      <c r="J1818" s="16" t="inlineStr">
        <is>
          <t>Opening Day</t>
        </is>
      </c>
      <c r="K1818" s="11">
        <f>IFERROR(INDEX(Roles!$B$17:$B$20,MATCH(J1818,Roles!$A$17:$A$20,0)),1)</f>
        <v/>
      </c>
      <c r="L1818" s="17" t="n">
        <v>1</v>
      </c>
      <c r="M1818" s="11" t="n">
        <v>1.15</v>
      </c>
      <c r="N1818" s="17" t="n">
        <v>0.4</v>
      </c>
      <c r="O1818" s="17" t="n"/>
      <c r="P1818" s="17" t="n">
        <v>0.6</v>
      </c>
      <c r="Q1818" s="17" t="n"/>
      <c r="R1818" s="17" t="n"/>
      <c r="S1818" s="17" t="n"/>
      <c r="T1818" s="17" t="n"/>
      <c r="U1818" s="17" t="n"/>
      <c r="V1818" s="17" t="n"/>
      <c r="W1818" s="17" t="n"/>
      <c r="X1818" s="17" t="n"/>
      <c r="Y1818" s="17" t="n"/>
      <c r="Z1818" s="13">
        <f>SUMPRODUCT(N1818:Y1818,$N$2:$Y$2)*$K1818*$L1818*$M1818</f>
        <v/>
      </c>
      <c r="AA1818" s="14">
        <f>SUM(N1818:Y1818)</f>
        <v/>
      </c>
      <c r="AB1818" s="14">
        <f>IFERROR(IF(UPPER($E1818)="L",SUMPRODUCT(N1818:Y1818,$N$3:$Y$3,$N$2:$Y$2),SUMPRODUCT(N1818:Y1818,$N$4:$Y$4,$N$2:$Y$2))/(Z1818/($K1818*$L1818*$M1818)),"")</f>
        <v/>
      </c>
      <c r="AC1818" s="18" t="n"/>
    </row>
    <row r="1819">
      <c r="A1819" s="9" t="n">
        <v>641525</v>
      </c>
      <c r="B1819" s="9" t="inlineStr">
        <is>
          <t>Brandon Dixon</t>
        </is>
      </c>
      <c r="C1819" s="9" t="inlineStr">
        <is>
          <t>SD</t>
        </is>
      </c>
      <c r="D1819" s="9" t="n">
        <v>35</v>
      </c>
      <c r="E1819" s="16" t="inlineStr">
        <is>
          <t>R</t>
        </is>
      </c>
      <c r="F1819" s="16" t="inlineStr">
        <is>
          <t>1B</t>
        </is>
      </c>
      <c r="G1819" s="9" t="n">
        <v>86</v>
      </c>
      <c r="H1819" s="9" t="n">
        <v>100</v>
      </c>
      <c r="I1819" s="9" t="inlineStr">
        <is>
          <t>Depth (no MLB PA)</t>
        </is>
      </c>
      <c r="J1819" s="16" t="inlineStr">
        <is>
          <t>Opening Day</t>
        </is>
      </c>
      <c r="K1819" s="11">
        <f>IFERROR(INDEX(Roles!$B$17:$B$20,MATCH(J1819,Roles!$A$17:$A$20,0)),1)</f>
        <v/>
      </c>
      <c r="L1819" s="17" t="n">
        <v>1</v>
      </c>
      <c r="M1819" s="11" t="n">
        <v>1</v>
      </c>
      <c r="N1819" s="17" t="n"/>
      <c r="O1819" s="17" t="n"/>
      <c r="P1819" s="17" t="n"/>
      <c r="Q1819" s="17" t="n"/>
      <c r="R1819" s="17" t="n"/>
      <c r="S1819" s="17" t="n"/>
      <c r="T1819" s="17" t="n"/>
      <c r="U1819" s="17" t="n"/>
      <c r="V1819" s="17" t="n"/>
      <c r="W1819" s="17" t="n"/>
      <c r="X1819" s="17" t="n"/>
      <c r="Y1819" s="17" t="n">
        <v>1</v>
      </c>
      <c r="Z1819" s="13">
        <f>SUMPRODUCT(N1819:Y1819,$N$2:$Y$2)*$K1819*$L1819*$M1819</f>
        <v/>
      </c>
      <c r="AA1819" s="14">
        <f>SUM(N1819:Y1819)</f>
        <v/>
      </c>
      <c r="AB1819" s="14">
        <f>IFERROR(IF(UPPER($E1819)="L",SUMPRODUCT(N1819:Y1819,$N$3:$Y$3,$N$2:$Y$2),SUMPRODUCT(N1819:Y1819,$N$4:$Y$4,$N$2:$Y$2))/(Z1819/($K1819*$L1819*$M1819)),"")</f>
        <v/>
      </c>
      <c r="AC1819" s="18" t="n"/>
    </row>
    <row r="1820">
      <c r="A1820" s="9" t="n">
        <v>701592</v>
      </c>
      <c r="B1820" s="9" t="inlineStr">
        <is>
          <t>Luke Davis</t>
        </is>
      </c>
      <c r="C1820" s="9" t="inlineStr">
        <is>
          <t>PHI</t>
        </is>
      </c>
      <c r="D1820" s="9" t="n">
        <v>25</v>
      </c>
      <c r="E1820" s="16" t="inlineStr">
        <is>
          <t>S</t>
        </is>
      </c>
      <c r="F1820" s="16" t="n"/>
      <c r="G1820" s="9" t="n">
        <v>37.74358974358975</v>
      </c>
      <c r="H1820" s="9" t="n">
        <v>37.74358974358975</v>
      </c>
      <c r="I1820" s="9" t="inlineStr">
        <is>
          <t>Depth (no MLB PA)</t>
        </is>
      </c>
      <c r="J1820" s="16" t="inlineStr">
        <is>
          <t>Opening Day</t>
        </is>
      </c>
      <c r="K1820" s="11">
        <f>IFERROR(INDEX(Roles!$B$17:$B$20,MATCH(J1820,Roles!$A$17:$A$20,0)),1)</f>
        <v/>
      </c>
      <c r="L1820" s="17" t="n">
        <v>1</v>
      </c>
      <c r="M1820" s="11" t="n">
        <v>1</v>
      </c>
      <c r="N1820" s="17" t="n"/>
      <c r="O1820" s="17" t="n"/>
      <c r="P1820" s="17" t="n"/>
      <c r="Q1820" s="17" t="n"/>
      <c r="R1820" s="17" t="n"/>
      <c r="S1820" s="17" t="n"/>
      <c r="T1820" s="17" t="n"/>
      <c r="U1820" s="17" t="n"/>
      <c r="V1820" s="17" t="n"/>
      <c r="W1820" s="17" t="n"/>
      <c r="X1820" s="17" t="n"/>
      <c r="Y1820" s="17" t="n">
        <v>1</v>
      </c>
      <c r="Z1820" s="13">
        <f>SUMPRODUCT(N1820:Y1820,$N$2:$Y$2)*$K1820*$L1820*$M1820</f>
        <v/>
      </c>
      <c r="AA1820" s="14">
        <f>SUM(N1820:Y1820)</f>
        <v/>
      </c>
      <c r="AB1820" s="14">
        <f>IFERROR(IF(UPPER($E1820)="L",SUMPRODUCT(N1820:Y1820,$N$3:$Y$3,$N$2:$Y$2),SUMPRODUCT(N1820:Y1820,$N$4:$Y$4,$N$2:$Y$2))/(Z1820/($K1820*$L1820*$M1820)),"")</f>
        <v/>
      </c>
      <c r="AC1820" s="18" t="n"/>
    </row>
    <row r="1821">
      <c r="A1821" s="9" t="n">
        <v>666386</v>
      </c>
      <c r="B1821" s="9" t="inlineStr">
        <is>
          <t>Archer Brookman</t>
        </is>
      </c>
      <c r="C1821" s="9" t="inlineStr">
        <is>
          <t>ATL</t>
        </is>
      </c>
      <c r="D1821" s="9" t="n">
        <v>25</v>
      </c>
      <c r="E1821" s="16" t="inlineStr">
        <is>
          <t>R</t>
        </is>
      </c>
      <c r="F1821" s="16" t="n"/>
      <c r="G1821" s="9" t="n">
        <v>103.7435897435897</v>
      </c>
      <c r="H1821" s="9" t="n">
        <v>103.7435897435897</v>
      </c>
      <c r="I1821" s="9" t="inlineStr">
        <is>
          <t>Depth (no MLB PA)</t>
        </is>
      </c>
      <c r="J1821" s="16" t="inlineStr">
        <is>
          <t>Opening Day</t>
        </is>
      </c>
      <c r="K1821" s="11">
        <f>IFERROR(INDEX(Roles!$B$17:$B$20,MATCH(J1821,Roles!$A$17:$A$20,0)),1)</f>
        <v/>
      </c>
      <c r="L1821" s="17" t="n">
        <v>1</v>
      </c>
      <c r="M1821" s="11" t="n">
        <v>1</v>
      </c>
      <c r="N1821" s="17" t="n"/>
      <c r="O1821" s="17" t="n"/>
      <c r="P1821" s="17" t="n"/>
      <c r="Q1821" s="17" t="n"/>
      <c r="R1821" s="17" t="n"/>
      <c r="S1821" s="17" t="n"/>
      <c r="T1821" s="17" t="n"/>
      <c r="U1821" s="17" t="n"/>
      <c r="V1821" s="17" t="n"/>
      <c r="W1821" s="17" t="n"/>
      <c r="X1821" s="17" t="n"/>
      <c r="Y1821" s="17" t="n">
        <v>1</v>
      </c>
      <c r="Z1821" s="13">
        <f>SUMPRODUCT(N1821:Y1821,$N$2:$Y$2)*$K1821*$L1821*$M1821</f>
        <v/>
      </c>
      <c r="AA1821" s="14">
        <f>SUM(N1821:Y1821)</f>
        <v/>
      </c>
      <c r="AB1821" s="14">
        <f>IFERROR(IF(UPPER($E1821)="L",SUMPRODUCT(N1821:Y1821,$N$3:$Y$3,$N$2:$Y$2),SUMPRODUCT(N1821:Y1821,$N$4:$Y$4,$N$2:$Y$2))/(Z1821/($K1821*$L1821*$M1821)),"")</f>
        <v/>
      </c>
      <c r="AC1821" s="18" t="n"/>
    </row>
    <row r="1822">
      <c r="A1822" s="9" t="n">
        <v>641680</v>
      </c>
      <c r="B1822" s="9" t="inlineStr">
        <is>
          <t>Jonah Heim</t>
        </is>
      </c>
      <c r="C1822" s="9" t="inlineStr">
        <is>
          <t>OAK</t>
        </is>
      </c>
      <c r="D1822" s="9" t="n">
        <v>32</v>
      </c>
      <c r="E1822" s="16" t="inlineStr">
        <is>
          <t>S</t>
        </is>
      </c>
      <c r="F1822" s="16" t="inlineStr">
        <is>
          <t>C</t>
        </is>
      </c>
      <c r="G1822" s="9" t="n">
        <v>390</v>
      </c>
      <c r="H1822" s="9" t="n">
        <v>2265</v>
      </c>
      <c r="I1822" s="9" t="inlineStr">
        <is>
          <t>Catcher - Primary</t>
        </is>
      </c>
      <c r="J1822" s="16" t="inlineStr">
        <is>
          <t>Opening Day</t>
        </is>
      </c>
      <c r="K1822" s="11">
        <f>IFERROR(INDEX(Roles!$B$17:$B$20,MATCH(J1822,Roles!$A$17:$A$20,0)),1)</f>
        <v/>
      </c>
      <c r="L1822" s="17" t="n">
        <v>1</v>
      </c>
      <c r="M1822" s="11" t="n">
        <v>1.011447848293202</v>
      </c>
      <c r="N1822" s="17" t="n"/>
      <c r="O1822" s="17" t="n"/>
      <c r="P1822" s="17" t="n"/>
      <c r="Q1822" s="17" t="n"/>
      <c r="R1822" s="17" t="n">
        <v>0.62</v>
      </c>
      <c r="S1822" s="17" t="n">
        <v>0.38</v>
      </c>
      <c r="T1822" s="17" t="n"/>
      <c r="U1822" s="17" t="n"/>
      <c r="V1822" s="17" t="n"/>
      <c r="W1822" s="17" t="n"/>
      <c r="X1822" s="17" t="n"/>
      <c r="Y1822" s="17" t="n"/>
      <c r="Z1822" s="13">
        <f>SUMPRODUCT(N1822:Y1822,$N$2:$Y$2)*$K1822*$L1822*$M1822</f>
        <v/>
      </c>
      <c r="AA1822" s="14">
        <f>SUM(N1822:Y1822)</f>
        <v/>
      </c>
      <c r="AB1822" s="14">
        <f>IFERROR(IF(UPPER($E1822)="L",SUMPRODUCT(N1822:Y1822,$N$3:$Y$3,$N$2:$Y$2),SUMPRODUCT(N1822:Y1822,$N$4:$Y$4,$N$2:$Y$2))/(Z1822/($K1822*$L1822*$M1822)),"")</f>
        <v/>
      </c>
      <c r="AC1822" s="18" t="n"/>
    </row>
    <row r="1823">
      <c r="A1823" s="9" t="n">
        <v>670208</v>
      </c>
      <c r="B1823" s="9" t="inlineStr">
        <is>
          <t>Matt Fraizer</t>
        </is>
      </c>
      <c r="C1823" s="9" t="inlineStr">
        <is>
          <t>BOS</t>
        </is>
      </c>
      <c r="D1823" s="9" t="n">
        <v>25</v>
      </c>
      <c r="E1823" s="16" t="inlineStr">
        <is>
          <t>L</t>
        </is>
      </c>
      <c r="F1823" s="16" t="n"/>
      <c r="G1823" s="9" t="n">
        <v>30.51282051282051</v>
      </c>
      <c r="H1823" s="9" t="n">
        <v>30.51282051282051</v>
      </c>
      <c r="I1823" s="9" t="inlineStr">
        <is>
          <t>Depth (no MLB PA)</t>
        </is>
      </c>
      <c r="J1823" s="16" t="inlineStr">
        <is>
          <t>Opening Day</t>
        </is>
      </c>
      <c r="K1823" s="11">
        <f>IFERROR(INDEX(Roles!$B$17:$B$20,MATCH(J1823,Roles!$A$17:$A$20,0)),1)</f>
        <v/>
      </c>
      <c r="L1823" s="17" t="n">
        <v>1</v>
      </c>
      <c r="M1823" s="11" t="n">
        <v>1</v>
      </c>
      <c r="N1823" s="17" t="n"/>
      <c r="O1823" s="17" t="n"/>
      <c r="P1823" s="17" t="n"/>
      <c r="Q1823" s="17" t="n"/>
      <c r="R1823" s="17" t="n"/>
      <c r="S1823" s="17" t="n"/>
      <c r="T1823" s="17" t="n"/>
      <c r="U1823" s="17" t="n"/>
      <c r="V1823" s="17" t="n"/>
      <c r="W1823" s="17" t="n"/>
      <c r="X1823" s="17" t="n"/>
      <c r="Y1823" s="17" t="n">
        <v>1</v>
      </c>
      <c r="Z1823" s="13">
        <f>SUMPRODUCT(N1823:Y1823,$N$2:$Y$2)*$K1823*$L1823*$M1823</f>
        <v/>
      </c>
      <c r="AA1823" s="14">
        <f>SUM(N1823:Y1823)</f>
        <v/>
      </c>
      <c r="AB1823" s="14">
        <f>IFERROR(IF(UPPER($E1823)="L",SUMPRODUCT(N1823:Y1823,$N$3:$Y$3,$N$2:$Y$2),SUMPRODUCT(N1823:Y1823,$N$4:$Y$4,$N$2:$Y$2))/(Z1823/($K1823*$L1823*$M1823)),"")</f>
        <v/>
      </c>
      <c r="AC1823" s="18" t="n"/>
    </row>
    <row r="1824">
      <c r="A1824" s="9" t="n">
        <v>821009</v>
      </c>
      <c r="B1824" s="9" t="inlineStr">
        <is>
          <t>Cesar Hernandez</t>
        </is>
      </c>
      <c r="C1824" s="9" t="inlineStr">
        <is>
          <t>HOU</t>
        </is>
      </c>
      <c r="D1824" s="9" t="n">
        <v>25</v>
      </c>
      <c r="E1824" s="16" t="inlineStr">
        <is>
          <t>L</t>
        </is>
      </c>
      <c r="F1824" s="16" t="n"/>
      <c r="G1824" s="9" t="n">
        <v>29.94871794871795</v>
      </c>
      <c r="H1824" s="9" t="n">
        <v>29.94871794871795</v>
      </c>
      <c r="I1824" s="9" t="inlineStr">
        <is>
          <t>Depth (no MLB PA)</t>
        </is>
      </c>
      <c r="J1824" s="16" t="inlineStr">
        <is>
          <t>Opening Day</t>
        </is>
      </c>
      <c r="K1824" s="11">
        <f>IFERROR(INDEX(Roles!$B$17:$B$20,MATCH(J1824,Roles!$A$17:$A$20,0)),1)</f>
        <v/>
      </c>
      <c r="L1824" s="17" t="n">
        <v>1</v>
      </c>
      <c r="M1824" s="11" t="n">
        <v>1</v>
      </c>
      <c r="N1824" s="17" t="n"/>
      <c r="O1824" s="17" t="n"/>
      <c r="P1824" s="17" t="n"/>
      <c r="Q1824" s="17" t="n"/>
      <c r="R1824" s="17" t="n"/>
      <c r="S1824" s="17" t="n"/>
      <c r="T1824" s="17" t="n"/>
      <c r="U1824" s="17" t="n"/>
      <c r="V1824" s="17" t="n"/>
      <c r="W1824" s="17" t="n"/>
      <c r="X1824" s="17" t="n"/>
      <c r="Y1824" s="17" t="n">
        <v>1</v>
      </c>
      <c r="Z1824" s="13">
        <f>SUMPRODUCT(N1824:Y1824,$N$2:$Y$2)*$K1824*$L1824*$M1824</f>
        <v/>
      </c>
      <c r="AA1824" s="14">
        <f>SUM(N1824:Y1824)</f>
        <v/>
      </c>
      <c r="AB1824" s="14">
        <f>IFERROR(IF(UPPER($E1824)="L",SUMPRODUCT(N1824:Y1824,$N$3:$Y$3,$N$2:$Y$2),SUMPRODUCT(N1824:Y1824,$N$4:$Y$4,$N$2:$Y$2))/(Z1824/($K1824*$L1824*$M1824)),"")</f>
        <v/>
      </c>
      <c r="AC1824" s="18" t="n"/>
    </row>
    <row r="1825">
      <c r="A1825" s="9" t="n">
        <v>665489</v>
      </c>
      <c r="B1825" s="9" t="inlineStr">
        <is>
          <t>Vladimir Guerrero Jr.</t>
        </is>
      </c>
      <c r="C1825" s="9" t="inlineStr">
        <is>
          <t>TOR</t>
        </is>
      </c>
      <c r="D1825" s="9" t="n">
        <v>28</v>
      </c>
      <c r="E1825" s="16" t="inlineStr">
        <is>
          <t>R</t>
        </is>
      </c>
      <c r="F1825" s="16" t="inlineStr">
        <is>
          <t>1B</t>
        </is>
      </c>
      <c r="G1825" s="9" t="n">
        <v>609</v>
      </c>
      <c r="H1825" s="9" t="n">
        <v>3374</v>
      </c>
      <c r="I1825" s="9" t="inlineStr">
        <is>
          <t>Full Time</t>
        </is>
      </c>
      <c r="J1825" s="16" t="inlineStr">
        <is>
          <t>Opening Day</t>
        </is>
      </c>
      <c r="K1825" s="11">
        <f>IFERROR(INDEX(Roles!$B$17:$B$20,MATCH(J1825,Roles!$A$17:$A$20,0)),1)</f>
        <v/>
      </c>
      <c r="L1825" s="17" t="n">
        <v>1</v>
      </c>
      <c r="M1825" s="11" t="n">
        <v>1.147191202738558</v>
      </c>
      <c r="N1825" s="17" t="n">
        <v>1</v>
      </c>
      <c r="O1825" s="17" t="n"/>
      <c r="P1825" s="17" t="n"/>
      <c r="Q1825" s="17" t="n"/>
      <c r="R1825" s="17" t="n"/>
      <c r="S1825" s="17" t="n"/>
      <c r="T1825" s="17" t="n"/>
      <c r="U1825" s="17" t="n"/>
      <c r="V1825" s="17" t="n"/>
      <c r="W1825" s="17" t="n"/>
      <c r="X1825" s="17" t="n"/>
      <c r="Y1825" s="17" t="n"/>
      <c r="Z1825" s="13">
        <f>SUMPRODUCT(N1825:Y1825,$N$2:$Y$2)*$K1825*$L1825*$M1825</f>
        <v/>
      </c>
      <c r="AA1825" s="14">
        <f>SUM(N1825:Y1825)</f>
        <v/>
      </c>
      <c r="AB1825" s="14">
        <f>IFERROR(IF(UPPER($E1825)="L",SUMPRODUCT(N1825:Y1825,$N$3:$Y$3,$N$2:$Y$2),SUMPRODUCT(N1825:Y1825,$N$4:$Y$4,$N$2:$Y$2))/(Z1825/($K1825*$L1825*$M1825)),"")</f>
        <v/>
      </c>
      <c r="AC1825" s="18" t="n"/>
    </row>
    <row r="1826">
      <c r="A1826" s="9" t="n">
        <v>806957</v>
      </c>
      <c r="B1826" s="9" t="inlineStr">
        <is>
          <t>Alfredo Duno</t>
        </is>
      </c>
      <c r="C1826" s="9" t="inlineStr">
        <is>
          <t>CIN</t>
        </is>
      </c>
      <c r="D1826" s="9" t="n">
        <v>21</v>
      </c>
      <c r="E1826" s="16" t="inlineStr">
        <is>
          <t>R</t>
        </is>
      </c>
      <c r="F1826" s="16" t="n"/>
      <c r="G1826" s="9" t="n">
        <v>49.53846153846154</v>
      </c>
      <c r="H1826" s="9" t="n">
        <v>49.53846153846154</v>
      </c>
      <c r="I1826" s="9" t="inlineStr">
        <is>
          <t>Bench Bat</t>
        </is>
      </c>
      <c r="J1826" s="16" t="inlineStr">
        <is>
          <t>Mid Season (~July)</t>
        </is>
      </c>
      <c r="K1826" s="11">
        <f>IFERROR(INDEX(Roles!$B$17:$B$20,MATCH(J1826,Roles!$A$17:$A$20,0)),1)</f>
        <v/>
      </c>
      <c r="L1826" s="17" t="n">
        <v>1</v>
      </c>
      <c r="M1826" s="11" t="n">
        <v>1</v>
      </c>
      <c r="N1826" s="17" t="n">
        <v>0.34</v>
      </c>
      <c r="O1826" s="17" t="n"/>
      <c r="P1826" s="17" t="n">
        <v>0.3</v>
      </c>
      <c r="Q1826" s="17" t="n"/>
      <c r="R1826" s="17" t="n"/>
      <c r="S1826" s="17" t="n"/>
      <c r="T1826" s="17" t="n"/>
      <c r="U1826" s="17" t="n"/>
      <c r="V1826" s="17" t="n"/>
      <c r="W1826" s="17" t="n">
        <v>0.36</v>
      </c>
      <c r="X1826" s="17" t="n"/>
      <c r="Y1826" s="17" t="n"/>
      <c r="Z1826" s="13">
        <f>SUMPRODUCT(N1826:Y1826,$N$2:$Y$2)*$K1826*$L1826*$M1826</f>
        <v/>
      </c>
      <c r="AA1826" s="14">
        <f>SUM(N1826:Y1826)</f>
        <v/>
      </c>
      <c r="AB1826" s="14">
        <f>IFERROR(IF(UPPER($E1826)="L",SUMPRODUCT(N1826:Y1826,$N$3:$Y$3,$N$2:$Y$2),SUMPRODUCT(N1826:Y1826,$N$4:$Y$4,$N$2:$Y$2))/(Z1826/($K1826*$L1826*$M1826)),"")</f>
        <v/>
      </c>
      <c r="AC1826" s="18" t="n"/>
    </row>
    <row r="1827">
      <c r="A1827" s="9" t="n">
        <v>702068</v>
      </c>
      <c r="B1827" s="9" t="inlineStr">
        <is>
          <t>Cole Gabrielson</t>
        </is>
      </c>
      <c r="C1827" s="9" t="inlineStr">
        <is>
          <t>NYY</t>
        </is>
      </c>
      <c r="D1827" s="9" t="n">
        <v>25</v>
      </c>
      <c r="E1827" s="16" t="inlineStr">
        <is>
          <t>R</t>
        </is>
      </c>
      <c r="F1827" s="16" t="n"/>
      <c r="G1827" s="9" t="n">
        <v>22</v>
      </c>
      <c r="H1827" s="9" t="n">
        <v>22</v>
      </c>
      <c r="I1827" s="9" t="inlineStr">
        <is>
          <t>Depth (no MLB PA)</t>
        </is>
      </c>
      <c r="J1827" s="16" t="inlineStr">
        <is>
          <t>Opening Day</t>
        </is>
      </c>
      <c r="K1827" s="11">
        <f>IFERROR(INDEX(Roles!$B$17:$B$20,MATCH(J1827,Roles!$A$17:$A$20,0)),1)</f>
        <v/>
      </c>
      <c r="L1827" s="17" t="n">
        <v>1</v>
      </c>
      <c r="M1827" s="11" t="n">
        <v>1</v>
      </c>
      <c r="N1827" s="17" t="n"/>
      <c r="O1827" s="17" t="n"/>
      <c r="P1827" s="17" t="n"/>
      <c r="Q1827" s="17" t="n"/>
      <c r="R1827" s="17" t="n"/>
      <c r="S1827" s="17" t="n"/>
      <c r="T1827" s="17" t="n"/>
      <c r="U1827" s="17" t="n"/>
      <c r="V1827" s="17" t="n"/>
      <c r="W1827" s="17" t="n"/>
      <c r="X1827" s="17" t="n"/>
      <c r="Y1827" s="17" t="n">
        <v>1</v>
      </c>
      <c r="Z1827" s="13">
        <f>SUMPRODUCT(N1827:Y1827,$N$2:$Y$2)*$K1827*$L1827*$M1827</f>
        <v/>
      </c>
      <c r="AA1827" s="14">
        <f>SUM(N1827:Y1827)</f>
        <v/>
      </c>
      <c r="AB1827" s="14">
        <f>IFERROR(IF(UPPER($E1827)="L",SUMPRODUCT(N1827:Y1827,$N$3:$Y$3,$N$2:$Y$2),SUMPRODUCT(N1827:Y1827,$N$4:$Y$4,$N$2:$Y$2))/(Z1827/($K1827*$L1827*$M1827)),"")</f>
        <v/>
      </c>
      <c r="AC1827" s="18" t="n"/>
    </row>
    <row r="1828">
      <c r="A1828" s="9" t="n">
        <v>806958</v>
      </c>
      <c r="B1828" s="9" t="inlineStr">
        <is>
          <t>Felnin Celesten</t>
        </is>
      </c>
      <c r="C1828" s="9" t="inlineStr">
        <is>
          <t>SEA</t>
        </is>
      </c>
      <c r="D1828" s="9" t="n">
        <v>22</v>
      </c>
      <c r="E1828" s="16" t="inlineStr">
        <is>
          <t>S</t>
        </is>
      </c>
      <c r="F1828" s="16" t="n"/>
      <c r="G1828" s="9" t="n">
        <v>47.38461538461538</v>
      </c>
      <c r="H1828" s="9" t="n">
        <v>47.38461538461538</v>
      </c>
      <c r="I1828" s="9" t="inlineStr">
        <is>
          <t>Depth (no MLB PA)</t>
        </is>
      </c>
      <c r="J1828" s="16" t="inlineStr">
        <is>
          <t>Opening Day</t>
        </is>
      </c>
      <c r="K1828" s="11">
        <f>IFERROR(INDEX(Roles!$B$17:$B$20,MATCH(J1828,Roles!$A$17:$A$20,0)),1)</f>
        <v/>
      </c>
      <c r="L1828" s="17" t="n">
        <v>1</v>
      </c>
      <c r="M1828" s="11" t="n">
        <v>1</v>
      </c>
      <c r="N1828" s="17" t="n"/>
      <c r="O1828" s="17" t="n"/>
      <c r="P1828" s="17" t="n"/>
      <c r="Q1828" s="17" t="n"/>
      <c r="R1828" s="17" t="n"/>
      <c r="S1828" s="17" t="n"/>
      <c r="T1828" s="17" t="n"/>
      <c r="U1828" s="17" t="n"/>
      <c r="V1828" s="17" t="n"/>
      <c r="W1828" s="17" t="n"/>
      <c r="X1828" s="17" t="n"/>
      <c r="Y1828" s="17" t="n">
        <v>1</v>
      </c>
      <c r="Z1828" s="13">
        <f>SUMPRODUCT(N1828:Y1828,$N$2:$Y$2)*$K1828*$L1828*$M1828</f>
        <v/>
      </c>
      <c r="AA1828" s="14">
        <f>SUM(N1828:Y1828)</f>
        <v/>
      </c>
      <c r="AB1828" s="14">
        <f>IFERROR(IF(UPPER($E1828)="L",SUMPRODUCT(N1828:Y1828,$N$3:$Y$3,$N$2:$Y$2),SUMPRODUCT(N1828:Y1828,$N$4:$Y$4,$N$2:$Y$2))/(Z1828/($K1828*$L1828*$M1828)),"")</f>
        <v/>
      </c>
      <c r="AC1828" s="18" t="n"/>
    </row>
    <row r="1829">
      <c r="A1829" s="9" t="n">
        <v>701678</v>
      </c>
      <c r="B1829" s="9" t="inlineStr">
        <is>
          <t>Hao-Yu Lee</t>
        </is>
      </c>
      <c r="C1829" s="9" t="inlineStr">
        <is>
          <t>DET</t>
        </is>
      </c>
      <c r="D1829" s="9" t="n">
        <v>24</v>
      </c>
      <c r="E1829" s="16" t="inlineStr">
        <is>
          <t>R</t>
        </is>
      </c>
      <c r="F1829" s="16" t="inlineStr">
        <is>
          <t>2B</t>
        </is>
      </c>
      <c r="G1829" s="9" t="n">
        <v>364</v>
      </c>
      <c r="H1829" s="9" t="n">
        <v>364</v>
      </c>
      <c r="I1829" s="9" t="inlineStr">
        <is>
          <t>Full Time</t>
        </is>
      </c>
      <c r="J1829" s="16" t="inlineStr">
        <is>
          <t>Opening Day</t>
        </is>
      </c>
      <c r="K1829" s="11">
        <f>IFERROR(INDEX(Roles!$B$17:$B$20,MATCH(J1829,Roles!$A$17:$A$20,0)),1)</f>
        <v/>
      </c>
      <c r="L1829" s="17" t="n">
        <v>1</v>
      </c>
      <c r="M1829" s="11" t="n">
        <v>0.965702942635469</v>
      </c>
      <c r="N1829" s="17" t="n">
        <v>0.9</v>
      </c>
      <c r="O1829" s="17" t="n"/>
      <c r="P1829" s="17" t="n">
        <v>0.1</v>
      </c>
      <c r="Q1829" s="17" t="n"/>
      <c r="R1829" s="17" t="n"/>
      <c r="S1829" s="17" t="n"/>
      <c r="T1829" s="17" t="n"/>
      <c r="U1829" s="17" t="n"/>
      <c r="V1829" s="17" t="n"/>
      <c r="W1829" s="17" t="n"/>
      <c r="X1829" s="17" t="n"/>
      <c r="Y1829" s="17" t="n"/>
      <c r="Z1829" s="13">
        <f>SUMPRODUCT(N1829:Y1829,$N$2:$Y$2)*$K1829*$L1829*$M1829</f>
        <v/>
      </c>
      <c r="AA1829" s="14">
        <f>SUM(N1829:Y1829)</f>
        <v/>
      </c>
      <c r="AB1829" s="14">
        <f>IFERROR(IF(UPPER($E1829)="L",SUMPRODUCT(N1829:Y1829,$N$3:$Y$3,$N$2:$Y$2),SUMPRODUCT(N1829:Y1829,$N$4:$Y$4,$N$2:$Y$2))/(Z1829/($K1829*$L1829*$M1829)),"")</f>
        <v/>
      </c>
      <c r="AC1829" s="18" t="n"/>
    </row>
    <row r="1830">
      <c r="A1830" s="9" t="n">
        <v>815913</v>
      </c>
      <c r="B1830" s="9" t="inlineStr">
        <is>
          <t>Stiven Martinez</t>
        </is>
      </c>
      <c r="C1830" s="9" t="inlineStr">
        <is>
          <t>BAL</t>
        </is>
      </c>
      <c r="D1830" s="9" t="n">
        <v>25</v>
      </c>
      <c r="E1830" s="16" t="inlineStr">
        <is>
          <t>R</t>
        </is>
      </c>
      <c r="F1830" s="16" t="n"/>
      <c r="G1830" s="9" t="n">
        <v>52.18461538461538</v>
      </c>
      <c r="H1830" s="9" t="n">
        <v>52.18461538461538</v>
      </c>
      <c r="I1830" s="9" t="inlineStr">
        <is>
          <t>Depth (no MLB PA)</t>
        </is>
      </c>
      <c r="J1830" s="16" t="inlineStr">
        <is>
          <t>Opening Day</t>
        </is>
      </c>
      <c r="K1830" s="11">
        <f>IFERROR(INDEX(Roles!$B$17:$B$20,MATCH(J1830,Roles!$A$17:$A$20,0)),1)</f>
        <v/>
      </c>
      <c r="L1830" s="17" t="n">
        <v>1</v>
      </c>
      <c r="M1830" s="11" t="n">
        <v>1</v>
      </c>
      <c r="N1830" s="17" t="n"/>
      <c r="O1830" s="17" t="n"/>
      <c r="P1830" s="17" t="n"/>
      <c r="Q1830" s="17" t="n"/>
      <c r="R1830" s="17" t="n"/>
      <c r="S1830" s="17" t="n"/>
      <c r="T1830" s="17" t="n"/>
      <c r="U1830" s="17" t="n"/>
      <c r="V1830" s="17" t="n"/>
      <c r="W1830" s="17" t="n"/>
      <c r="X1830" s="17" t="n"/>
      <c r="Y1830" s="17" t="n">
        <v>1</v>
      </c>
      <c r="Z1830" s="13">
        <f>SUMPRODUCT(N1830:Y1830,$N$2:$Y$2)*$K1830*$L1830*$M1830</f>
        <v/>
      </c>
      <c r="AA1830" s="14">
        <f>SUM(N1830:Y1830)</f>
        <v/>
      </c>
      <c r="AB1830" s="14">
        <f>IFERROR(IF(UPPER($E1830)="L",SUMPRODUCT(N1830:Y1830,$N$3:$Y$3,$N$2:$Y$2),SUMPRODUCT(N1830:Y1830,$N$4:$Y$4,$N$2:$Y$2))/(Z1830/($K1830*$L1830*$M1830)),"")</f>
        <v/>
      </c>
      <c r="AC1830" s="18" t="n"/>
    </row>
    <row r="1831">
      <c r="A1831" s="9" t="n">
        <v>664954</v>
      </c>
      <c r="B1831" s="9" t="inlineStr">
        <is>
          <t>Brett Sullivan</t>
        </is>
      </c>
      <c r="C1831" s="9" t="inlineStr">
        <is>
          <t>COL</t>
        </is>
      </c>
      <c r="D1831" s="9" t="n">
        <v>33</v>
      </c>
      <c r="E1831" s="16" t="inlineStr">
        <is>
          <t>L</t>
        </is>
      </c>
      <c r="F1831" s="16" t="inlineStr">
        <is>
          <t>C</t>
        </is>
      </c>
      <c r="G1831" s="9" t="n">
        <v>237</v>
      </c>
      <c r="H1831" s="9" t="n">
        <v>349</v>
      </c>
      <c r="I1831" s="9" t="inlineStr">
        <is>
          <t>Bench Bat</t>
        </is>
      </c>
      <c r="J1831" s="16" t="inlineStr">
        <is>
          <t>Opening Day</t>
        </is>
      </c>
      <c r="K1831" s="11">
        <f>IFERROR(INDEX(Roles!$B$17:$B$20,MATCH(J1831,Roles!$A$17:$A$20,0)),1)</f>
        <v/>
      </c>
      <c r="L1831" s="17" t="n">
        <v>1</v>
      </c>
      <c r="M1831" s="11" t="n">
        <v>1</v>
      </c>
      <c r="N1831" s="17" t="n"/>
      <c r="O1831" s="17" t="n"/>
      <c r="P1831" s="17" t="n"/>
      <c r="Q1831" s="17" t="n"/>
      <c r="R1831" s="17" t="n"/>
      <c r="S1831" s="17" t="n"/>
      <c r="T1831" s="17" t="n">
        <v>0.4</v>
      </c>
      <c r="U1831" s="17" t="n"/>
      <c r="V1831" s="17" t="n"/>
      <c r="W1831" s="17" t="n">
        <v>0.6</v>
      </c>
      <c r="X1831" s="17" t="n"/>
      <c r="Y1831" s="17" t="n"/>
      <c r="Z1831" s="13">
        <f>SUMPRODUCT(N1831:Y1831,$N$2:$Y$2)*$K1831*$L1831*$M1831</f>
        <v/>
      </c>
      <c r="AA1831" s="14">
        <f>SUM(N1831:Y1831)</f>
        <v/>
      </c>
      <c r="AB1831" s="14">
        <f>IFERROR(IF(UPPER($E1831)="L",SUMPRODUCT(N1831:Y1831,$N$3:$Y$3,$N$2:$Y$2),SUMPRODUCT(N1831:Y1831,$N$4:$Y$4,$N$2:$Y$2))/(Z1831/($K1831*$L1831*$M1831)),"")</f>
        <v/>
      </c>
      <c r="AC1831" s="18" t="n"/>
    </row>
    <row r="1832">
      <c r="A1832" s="9" t="n">
        <v>823807</v>
      </c>
      <c r="B1832" s="9" t="inlineStr">
        <is>
          <t>Kane Kepley</t>
        </is>
      </c>
      <c r="C1832" s="9" t="inlineStr">
        <is>
          <t>CHC</t>
        </is>
      </c>
      <c r="D1832" s="9" t="n">
        <v>23</v>
      </c>
      <c r="E1832" s="16" t="inlineStr">
        <is>
          <t>L</t>
        </is>
      </c>
      <c r="F1832" s="16" t="n"/>
      <c r="G1832" s="9" t="n">
        <v>49.17948717948718</v>
      </c>
      <c r="H1832" s="9" t="n">
        <v>49.17948717948718</v>
      </c>
      <c r="I1832" s="9" t="inlineStr">
        <is>
          <t>Bench Bat</t>
        </is>
      </c>
      <c r="J1832" s="16" t="inlineStr">
        <is>
          <t>Mid Season (~July)</t>
        </is>
      </c>
      <c r="K1832" s="11">
        <f>IFERROR(INDEX(Roles!$B$17:$B$20,MATCH(J1832,Roles!$A$17:$A$20,0)),1)</f>
        <v/>
      </c>
      <c r="L1832" s="17" t="n">
        <v>1</v>
      </c>
      <c r="M1832" s="11" t="n">
        <v>1</v>
      </c>
      <c r="N1832" s="17" t="n"/>
      <c r="O1832" s="17" t="n"/>
      <c r="P1832" s="17" t="n">
        <v>0.26</v>
      </c>
      <c r="Q1832" s="17" t="n"/>
      <c r="R1832" s="17" t="n"/>
      <c r="S1832" s="17" t="n"/>
      <c r="T1832" s="17" t="n"/>
      <c r="U1832" s="17" t="n"/>
      <c r="V1832" s="17" t="n"/>
      <c r="W1832" s="17" t="n">
        <v>0.5</v>
      </c>
      <c r="X1832" s="17" t="n">
        <v>0.24</v>
      </c>
      <c r="Y1832" s="17" t="n"/>
      <c r="Z1832" s="13">
        <f>SUMPRODUCT(N1832:Y1832,$N$2:$Y$2)*$K1832*$L1832*$M1832</f>
        <v/>
      </c>
      <c r="AA1832" s="14">
        <f>SUM(N1832:Y1832)</f>
        <v/>
      </c>
      <c r="AB1832" s="14">
        <f>IFERROR(IF(UPPER($E1832)="L",SUMPRODUCT(N1832:Y1832,$N$3:$Y$3,$N$2:$Y$2),SUMPRODUCT(N1832:Y1832,$N$4:$Y$4,$N$2:$Y$2))/(Z1832/($K1832*$L1832*$M1832)),"")</f>
        <v/>
      </c>
      <c r="AC1832" s="18" t="n"/>
    </row>
    <row r="1833">
      <c r="A1833" s="9" t="n">
        <v>823918</v>
      </c>
      <c r="B1833" s="9" t="inlineStr">
        <is>
          <t>Kyle West</t>
        </is>
      </c>
      <c r="C1833" s="9" t="inlineStr">
        <is>
          <t>NYY</t>
        </is>
      </c>
      <c r="D1833" s="9" t="n">
        <v>25</v>
      </c>
      <c r="E1833" s="16" t="inlineStr">
        <is>
          <t>L</t>
        </is>
      </c>
      <c r="F1833" s="16" t="n"/>
      <c r="G1833" s="9" t="n">
        <v>108.3076923076923</v>
      </c>
      <c r="H1833" s="9" t="n">
        <v>108.3076923076923</v>
      </c>
      <c r="I1833" s="9" t="inlineStr">
        <is>
          <t>Depth (no MLB PA)</t>
        </is>
      </c>
      <c r="J1833" s="16" t="inlineStr">
        <is>
          <t>Opening Day</t>
        </is>
      </c>
      <c r="K1833" s="11">
        <f>IFERROR(INDEX(Roles!$B$17:$B$20,MATCH(J1833,Roles!$A$17:$A$20,0)),1)</f>
        <v/>
      </c>
      <c r="L1833" s="17" t="n">
        <v>1</v>
      </c>
      <c r="M1833" s="11" t="n">
        <v>1</v>
      </c>
      <c r="N1833" s="17" t="n"/>
      <c r="O1833" s="17" t="n"/>
      <c r="P1833" s="17" t="n"/>
      <c r="Q1833" s="17" t="n"/>
      <c r="R1833" s="17" t="n"/>
      <c r="S1833" s="17" t="n"/>
      <c r="T1833" s="17" t="n"/>
      <c r="U1833" s="17" t="n"/>
      <c r="V1833" s="17" t="n"/>
      <c r="W1833" s="17" t="n"/>
      <c r="X1833" s="17" t="n"/>
      <c r="Y1833" s="17" t="n">
        <v>1</v>
      </c>
      <c r="Z1833" s="13">
        <f>SUMPRODUCT(N1833:Y1833,$N$2:$Y$2)*$K1833*$L1833*$M1833</f>
        <v/>
      </c>
      <c r="AA1833" s="14">
        <f>SUM(N1833:Y1833)</f>
        <v/>
      </c>
      <c r="AB1833" s="14">
        <f>IFERROR(IF(UPPER($E1833)="L",SUMPRODUCT(N1833:Y1833,$N$3:$Y$3,$N$2:$Y$2),SUMPRODUCT(N1833:Y1833,$N$4:$Y$4,$N$2:$Y$2))/(Z1833/($K1833*$L1833*$M1833)),"")</f>
        <v/>
      </c>
      <c r="AC1833" s="18" t="n"/>
    </row>
    <row r="1834">
      <c r="A1834" s="9" t="n">
        <v>815839</v>
      </c>
      <c r="B1834" s="9" t="inlineStr">
        <is>
          <t>Quentin Young</t>
        </is>
      </c>
      <c r="C1834" s="9" t="inlineStr">
        <is>
          <t>MIN</t>
        </is>
      </c>
      <c r="D1834" s="9" t="n">
        <v>25</v>
      </c>
      <c r="E1834" s="16" t="inlineStr">
        <is>
          <t>R</t>
        </is>
      </c>
      <c r="F1834" s="16" t="n"/>
      <c r="G1834" s="9" t="n">
        <v>53.16923076923077</v>
      </c>
      <c r="H1834" s="9" t="n">
        <v>53.16923076923077</v>
      </c>
      <c r="I1834" s="9" t="inlineStr">
        <is>
          <t>Depth (no MLB PA)</t>
        </is>
      </c>
      <c r="J1834" s="16" t="inlineStr">
        <is>
          <t>Opening Day</t>
        </is>
      </c>
      <c r="K1834" s="11">
        <f>IFERROR(INDEX(Roles!$B$17:$B$20,MATCH(J1834,Roles!$A$17:$A$20,0)),1)</f>
        <v/>
      </c>
      <c r="L1834" s="17" t="n">
        <v>1</v>
      </c>
      <c r="M1834" s="11" t="n">
        <v>1</v>
      </c>
      <c r="N1834" s="17" t="n"/>
      <c r="O1834" s="17" t="n"/>
      <c r="P1834" s="17" t="n"/>
      <c r="Q1834" s="17" t="n"/>
      <c r="R1834" s="17" t="n"/>
      <c r="S1834" s="17" t="n"/>
      <c r="T1834" s="17" t="n"/>
      <c r="U1834" s="17" t="n"/>
      <c r="V1834" s="17" t="n"/>
      <c r="W1834" s="17" t="n"/>
      <c r="X1834" s="17" t="n"/>
      <c r="Y1834" s="17" t="n">
        <v>1</v>
      </c>
      <c r="Z1834" s="13">
        <f>SUMPRODUCT(N1834:Y1834,$N$2:$Y$2)*$K1834*$L1834*$M1834</f>
        <v/>
      </c>
      <c r="AA1834" s="14">
        <f>SUM(N1834:Y1834)</f>
        <v/>
      </c>
      <c r="AB1834" s="14">
        <f>IFERROR(IF(UPPER($E1834)="L",SUMPRODUCT(N1834:Y1834,$N$3:$Y$3,$N$2:$Y$2),SUMPRODUCT(N1834:Y1834,$N$4:$Y$4,$N$2:$Y$2))/(Z1834/($K1834*$L1834*$M1834)),"")</f>
        <v/>
      </c>
      <c r="AC1834" s="18" t="n"/>
    </row>
    <row r="1835">
      <c r="A1835" s="9" t="n">
        <v>808113</v>
      </c>
      <c r="B1835" s="9" t="inlineStr">
        <is>
          <t>Anyelo Marquez</t>
        </is>
      </c>
      <c r="C1835" s="9" t="inlineStr">
        <is>
          <t>LAA</t>
        </is>
      </c>
      <c r="D1835" s="9" t="n">
        <v>25</v>
      </c>
      <c r="E1835" s="16" t="inlineStr">
        <is>
          <t>L</t>
        </is>
      </c>
      <c r="F1835" s="16" t="n"/>
      <c r="G1835" s="9" t="n">
        <v>55.01538461538461</v>
      </c>
      <c r="H1835" s="9" t="n">
        <v>55.01538461538461</v>
      </c>
      <c r="I1835" s="9" t="inlineStr">
        <is>
          <t>Depth (no MLB PA)</t>
        </is>
      </c>
      <c r="J1835" s="16" t="inlineStr">
        <is>
          <t>Opening Day</t>
        </is>
      </c>
      <c r="K1835" s="11">
        <f>IFERROR(INDEX(Roles!$B$17:$B$20,MATCH(J1835,Roles!$A$17:$A$20,0)),1)</f>
        <v/>
      </c>
      <c r="L1835" s="17" t="n">
        <v>1</v>
      </c>
      <c r="M1835" s="11" t="n">
        <v>1</v>
      </c>
      <c r="N1835" s="17" t="n"/>
      <c r="O1835" s="17" t="n"/>
      <c r="P1835" s="17" t="n"/>
      <c r="Q1835" s="17" t="n"/>
      <c r="R1835" s="17" t="n"/>
      <c r="S1835" s="17" t="n"/>
      <c r="T1835" s="17" t="n"/>
      <c r="U1835" s="17" t="n"/>
      <c r="V1835" s="17" t="n"/>
      <c r="W1835" s="17" t="n"/>
      <c r="X1835" s="17" t="n"/>
      <c r="Y1835" s="17" t="n">
        <v>1</v>
      </c>
      <c r="Z1835" s="13">
        <f>SUMPRODUCT(N1835:Y1835,$N$2:$Y$2)*$K1835*$L1835*$M1835</f>
        <v/>
      </c>
      <c r="AA1835" s="14">
        <f>SUM(N1835:Y1835)</f>
        <v/>
      </c>
      <c r="AB1835" s="14">
        <f>IFERROR(IF(UPPER($E1835)="L",SUMPRODUCT(N1835:Y1835,$N$3:$Y$3,$N$2:$Y$2),SUMPRODUCT(N1835:Y1835,$N$4:$Y$4,$N$2:$Y$2))/(Z1835/($K1835*$L1835*$M1835)),"")</f>
        <v/>
      </c>
      <c r="AC1835" s="18" t="n"/>
    </row>
    <row r="1836">
      <c r="A1836" s="9" t="n">
        <v>805126</v>
      </c>
      <c r="B1836" s="9" t="inlineStr">
        <is>
          <t>Charlie Szykowny</t>
        </is>
      </c>
      <c r="C1836" s="9" t="inlineStr">
        <is>
          <t>SF</t>
        </is>
      </c>
      <c r="D1836" s="9" t="n">
        <v>25</v>
      </c>
      <c r="E1836" s="16" t="inlineStr">
        <is>
          <t>L</t>
        </is>
      </c>
      <c r="F1836" s="16" t="n"/>
      <c r="G1836" s="9" t="n">
        <v>40.05128205128205</v>
      </c>
      <c r="H1836" s="9" t="n">
        <v>40.05128205128205</v>
      </c>
      <c r="I1836" s="9" t="inlineStr">
        <is>
          <t>Depth (no MLB PA)</t>
        </is>
      </c>
      <c r="J1836" s="16" t="inlineStr">
        <is>
          <t>Opening Day</t>
        </is>
      </c>
      <c r="K1836" s="11">
        <f>IFERROR(INDEX(Roles!$B$17:$B$20,MATCH(J1836,Roles!$A$17:$A$20,0)),1)</f>
        <v/>
      </c>
      <c r="L1836" s="17" t="n">
        <v>1</v>
      </c>
      <c r="M1836" s="11" t="n">
        <v>1</v>
      </c>
      <c r="N1836" s="17" t="n"/>
      <c r="O1836" s="17" t="n"/>
      <c r="P1836" s="17" t="n"/>
      <c r="Q1836" s="17" t="n"/>
      <c r="R1836" s="17" t="n"/>
      <c r="S1836" s="17" t="n"/>
      <c r="T1836" s="17" t="n"/>
      <c r="U1836" s="17" t="n"/>
      <c r="V1836" s="17" t="n"/>
      <c r="W1836" s="17" t="n"/>
      <c r="X1836" s="17" t="n"/>
      <c r="Y1836" s="17" t="n">
        <v>1</v>
      </c>
      <c r="Z1836" s="13">
        <f>SUMPRODUCT(N1836:Y1836,$N$2:$Y$2)*$K1836*$L1836*$M1836</f>
        <v/>
      </c>
      <c r="AA1836" s="14">
        <f>SUM(N1836:Y1836)</f>
        <v/>
      </c>
      <c r="AB1836" s="14">
        <f>IFERROR(IF(UPPER($E1836)="L",SUMPRODUCT(N1836:Y1836,$N$3:$Y$3,$N$2:$Y$2),SUMPRODUCT(N1836:Y1836,$N$4:$Y$4,$N$2:$Y$2))/(Z1836/($K1836*$L1836*$M1836)),"")</f>
        <v/>
      </c>
      <c r="AC1836" s="18" t="n"/>
    </row>
    <row r="1837">
      <c r="A1837" s="9" t="n">
        <v>682983</v>
      </c>
      <c r="B1837" s="9" t="inlineStr">
        <is>
          <t>Jud Fabian</t>
        </is>
      </c>
      <c r="C1837" s="9" t="inlineStr">
        <is>
          <t>BAL</t>
        </is>
      </c>
      <c r="D1837" s="9" t="n">
        <v>25</v>
      </c>
      <c r="E1837" s="16" t="inlineStr">
        <is>
          <t>R</t>
        </is>
      </c>
      <c r="F1837" s="16" t="n"/>
      <c r="G1837" s="9" t="n">
        <v>246.5128205128205</v>
      </c>
      <c r="H1837" s="9" t="n">
        <v>246.5128205128205</v>
      </c>
      <c r="I1837" s="9" t="inlineStr">
        <is>
          <t>Depth (no MLB PA)</t>
        </is>
      </c>
      <c r="J1837" s="16" t="inlineStr">
        <is>
          <t>Opening Day</t>
        </is>
      </c>
      <c r="K1837" s="11">
        <f>IFERROR(INDEX(Roles!$B$17:$B$20,MATCH(J1837,Roles!$A$17:$A$20,0)),1)</f>
        <v/>
      </c>
      <c r="L1837" s="17" t="n">
        <v>1</v>
      </c>
      <c r="M1837" s="11" t="n">
        <v>1</v>
      </c>
      <c r="N1837" s="17" t="n"/>
      <c r="O1837" s="17" t="n"/>
      <c r="P1837" s="17" t="n"/>
      <c r="Q1837" s="17" t="n"/>
      <c r="R1837" s="17" t="n"/>
      <c r="S1837" s="17" t="n"/>
      <c r="T1837" s="17" t="n"/>
      <c r="U1837" s="17" t="n"/>
      <c r="V1837" s="17" t="n"/>
      <c r="W1837" s="17" t="n"/>
      <c r="X1837" s="17" t="n"/>
      <c r="Y1837" s="17" t="n">
        <v>1</v>
      </c>
      <c r="Z1837" s="13">
        <f>SUMPRODUCT(N1837:Y1837,$N$2:$Y$2)*$K1837*$L1837*$M1837</f>
        <v/>
      </c>
      <c r="AA1837" s="14">
        <f>SUM(N1837:Y1837)</f>
        <v/>
      </c>
      <c r="AB1837" s="14">
        <f>IFERROR(IF(UPPER($E1837)="L",SUMPRODUCT(N1837:Y1837,$N$3:$Y$3,$N$2:$Y$2),SUMPRODUCT(N1837:Y1837,$N$4:$Y$4,$N$2:$Y$2))/(Z1837/($K1837*$L1837*$M1837)),"")</f>
        <v/>
      </c>
      <c r="AC1837" s="18" t="n"/>
    </row>
    <row r="1838">
      <c r="A1838" s="9" t="n">
        <v>700369</v>
      </c>
      <c r="B1838" s="9" t="inlineStr">
        <is>
          <t>Adrian De Leon</t>
        </is>
      </c>
      <c r="C1838" s="9" t="inlineStr">
        <is>
          <t>ARI</t>
        </is>
      </c>
      <c r="D1838" s="9" t="n">
        <v>25</v>
      </c>
      <c r="E1838" s="16" t="inlineStr">
        <is>
          <t>R</t>
        </is>
      </c>
      <c r="F1838" s="16" t="n"/>
      <c r="G1838" s="9" t="n">
        <v>29.07692307692308</v>
      </c>
      <c r="H1838" s="9" t="n">
        <v>29.07692307692308</v>
      </c>
      <c r="I1838" s="9" t="inlineStr">
        <is>
          <t>Depth (no MLB PA)</t>
        </is>
      </c>
      <c r="J1838" s="16" t="inlineStr">
        <is>
          <t>Opening Day</t>
        </is>
      </c>
      <c r="K1838" s="11">
        <f>IFERROR(INDEX(Roles!$B$17:$B$20,MATCH(J1838,Roles!$A$17:$A$20,0)),1)</f>
        <v/>
      </c>
      <c r="L1838" s="17" t="n">
        <v>1</v>
      </c>
      <c r="M1838" s="11" t="n">
        <v>1</v>
      </c>
      <c r="N1838" s="17" t="n"/>
      <c r="O1838" s="17" t="n"/>
      <c r="P1838" s="17" t="n"/>
      <c r="Q1838" s="17" t="n"/>
      <c r="R1838" s="17" t="n"/>
      <c r="S1838" s="17" t="n"/>
      <c r="T1838" s="17" t="n"/>
      <c r="U1838" s="17" t="n"/>
      <c r="V1838" s="17" t="n"/>
      <c r="W1838" s="17" t="n"/>
      <c r="X1838" s="17" t="n"/>
      <c r="Y1838" s="17" t="n">
        <v>1</v>
      </c>
      <c r="Z1838" s="13">
        <f>SUMPRODUCT(N1838:Y1838,$N$2:$Y$2)*$K1838*$L1838*$M1838</f>
        <v/>
      </c>
      <c r="AA1838" s="14">
        <f>SUM(N1838:Y1838)</f>
        <v/>
      </c>
      <c r="AB1838" s="14">
        <f>IFERROR(IF(UPPER($E1838)="L",SUMPRODUCT(N1838:Y1838,$N$3:$Y$3,$N$2:$Y$2),SUMPRODUCT(N1838:Y1838,$N$4:$Y$4,$N$2:$Y$2))/(Z1838/($K1838*$L1838*$M1838)),"")</f>
        <v/>
      </c>
      <c r="AC1838" s="18" t="n"/>
    </row>
    <row r="1839">
      <c r="A1839" s="9" t="n">
        <v>806161</v>
      </c>
      <c r="B1839" s="9" t="inlineStr">
        <is>
          <t>Yahil Melendez</t>
        </is>
      </c>
      <c r="C1839" s="9" t="inlineStr">
        <is>
          <t>CHC</t>
        </is>
      </c>
      <c r="D1839" s="9" t="n">
        <v>25</v>
      </c>
      <c r="E1839" s="16" t="inlineStr">
        <is>
          <t>L</t>
        </is>
      </c>
      <c r="F1839" s="16" t="n"/>
      <c r="G1839" s="9" t="n">
        <v>24.86153846153847</v>
      </c>
      <c r="H1839" s="9" t="n">
        <v>24.86153846153847</v>
      </c>
      <c r="I1839" s="9" t="inlineStr">
        <is>
          <t>Depth (no MLB PA)</t>
        </is>
      </c>
      <c r="J1839" s="16" t="inlineStr">
        <is>
          <t>Opening Day</t>
        </is>
      </c>
      <c r="K1839" s="11">
        <f>IFERROR(INDEX(Roles!$B$17:$B$20,MATCH(J1839,Roles!$A$17:$A$20,0)),1)</f>
        <v/>
      </c>
      <c r="L1839" s="17" t="n">
        <v>1</v>
      </c>
      <c r="M1839" s="11" t="n">
        <v>1</v>
      </c>
      <c r="N1839" s="17" t="n"/>
      <c r="O1839" s="17" t="n"/>
      <c r="P1839" s="17" t="n"/>
      <c r="Q1839" s="17" t="n"/>
      <c r="R1839" s="17" t="n"/>
      <c r="S1839" s="17" t="n"/>
      <c r="T1839" s="17" t="n"/>
      <c r="U1839" s="17" t="n"/>
      <c r="V1839" s="17" t="n"/>
      <c r="W1839" s="17" t="n"/>
      <c r="X1839" s="17" t="n"/>
      <c r="Y1839" s="17" t="n">
        <v>1</v>
      </c>
      <c r="Z1839" s="13">
        <f>SUMPRODUCT(N1839:Y1839,$N$2:$Y$2)*$K1839*$L1839*$M1839</f>
        <v/>
      </c>
      <c r="AA1839" s="14">
        <f>SUM(N1839:Y1839)</f>
        <v/>
      </c>
      <c r="AB1839" s="14">
        <f>IFERROR(IF(UPPER($E1839)="L",SUMPRODUCT(N1839:Y1839,$N$3:$Y$3,$N$2:$Y$2),SUMPRODUCT(N1839:Y1839,$N$4:$Y$4,$N$2:$Y$2))/(Z1839/($K1839*$L1839*$M1839)),"")</f>
        <v/>
      </c>
      <c r="AC1839" s="18" t="n"/>
    </row>
    <row r="1840">
      <c r="A1840" s="9" t="n">
        <v>694385</v>
      </c>
      <c r="B1840" s="9" t="inlineStr">
        <is>
          <t>Brock Wilken</t>
        </is>
      </c>
      <c r="C1840" s="9" t="inlineStr">
        <is>
          <t>MIL</t>
        </is>
      </c>
      <c r="D1840" s="9" t="n">
        <v>25</v>
      </c>
      <c r="E1840" s="16" t="inlineStr">
        <is>
          <t>R</t>
        </is>
      </c>
      <c r="F1840" s="16" t="n"/>
      <c r="G1840" s="9" t="n">
        <v>297.2820512820513</v>
      </c>
      <c r="H1840" s="9" t="n">
        <v>297.2820512820513</v>
      </c>
      <c r="I1840" s="9" t="inlineStr">
        <is>
          <t>Depth (no MLB PA)</t>
        </is>
      </c>
      <c r="J1840" s="16" t="inlineStr">
        <is>
          <t>Opening Day</t>
        </is>
      </c>
      <c r="K1840" s="11">
        <f>IFERROR(INDEX(Roles!$B$17:$B$20,MATCH(J1840,Roles!$A$17:$A$20,0)),1)</f>
        <v/>
      </c>
      <c r="L1840" s="17" t="n">
        <v>1</v>
      </c>
      <c r="M1840" s="11" t="n">
        <v>1</v>
      </c>
      <c r="N1840" s="17" t="n"/>
      <c r="O1840" s="17" t="n"/>
      <c r="P1840" s="17" t="n"/>
      <c r="Q1840" s="17" t="n"/>
      <c r="R1840" s="17" t="n"/>
      <c r="S1840" s="17" t="n"/>
      <c r="T1840" s="17" t="n"/>
      <c r="U1840" s="17" t="n"/>
      <c r="V1840" s="17" t="n"/>
      <c r="W1840" s="17" t="n"/>
      <c r="X1840" s="17" t="n"/>
      <c r="Y1840" s="17" t="n">
        <v>1</v>
      </c>
      <c r="Z1840" s="13">
        <f>SUMPRODUCT(N1840:Y1840,$N$2:$Y$2)*$K1840*$L1840*$M1840</f>
        <v/>
      </c>
      <c r="AA1840" s="14">
        <f>SUM(N1840:Y1840)</f>
        <v/>
      </c>
      <c r="AB1840" s="14">
        <f>IFERROR(IF(UPPER($E1840)="L",SUMPRODUCT(N1840:Y1840,$N$3:$Y$3,$N$2:$Y$2),SUMPRODUCT(N1840:Y1840,$N$4:$Y$4,$N$2:$Y$2))/(Z1840/($K1840*$L1840*$M1840)),"")</f>
        <v/>
      </c>
      <c r="AC1840" s="18" t="n"/>
    </row>
    <row r="1841">
      <c r="A1841" s="9" t="n">
        <v>691252</v>
      </c>
      <c r="B1841" s="9" t="inlineStr">
        <is>
          <t>Jhon Diaz</t>
        </is>
      </c>
      <c r="C1841" s="9" t="inlineStr">
        <is>
          <t>TB</t>
        </is>
      </c>
      <c r="D1841" s="9" t="n">
        <v>25</v>
      </c>
      <c r="E1841" s="16" t="inlineStr">
        <is>
          <t>L</t>
        </is>
      </c>
      <c r="F1841" s="16" t="n"/>
      <c r="G1841" s="9" t="n">
        <v>56.71794871794871</v>
      </c>
      <c r="H1841" s="9" t="n">
        <v>56.71794871794871</v>
      </c>
      <c r="I1841" s="9" t="inlineStr">
        <is>
          <t>Depth (no MLB PA)</t>
        </is>
      </c>
      <c r="J1841" s="16" t="inlineStr">
        <is>
          <t>Opening Day</t>
        </is>
      </c>
      <c r="K1841" s="11">
        <f>IFERROR(INDEX(Roles!$B$17:$B$20,MATCH(J1841,Roles!$A$17:$A$20,0)),1)</f>
        <v/>
      </c>
      <c r="L1841" s="17" t="n">
        <v>1</v>
      </c>
      <c r="M1841" s="11" t="n">
        <v>1</v>
      </c>
      <c r="N1841" s="17" t="n"/>
      <c r="O1841" s="17" t="n"/>
      <c r="P1841" s="17" t="n"/>
      <c r="Q1841" s="17" t="n"/>
      <c r="R1841" s="17" t="n"/>
      <c r="S1841" s="17" t="n"/>
      <c r="T1841" s="17" t="n"/>
      <c r="U1841" s="17" t="n"/>
      <c r="V1841" s="17" t="n"/>
      <c r="W1841" s="17" t="n"/>
      <c r="X1841" s="17" t="n"/>
      <c r="Y1841" s="17" t="n">
        <v>1</v>
      </c>
      <c r="Z1841" s="13">
        <f>SUMPRODUCT(N1841:Y1841,$N$2:$Y$2)*$K1841*$L1841*$M1841</f>
        <v/>
      </c>
      <c r="AA1841" s="14">
        <f>SUM(N1841:Y1841)</f>
        <v/>
      </c>
      <c r="AB1841" s="14">
        <f>IFERROR(IF(UPPER($E1841)="L",SUMPRODUCT(N1841:Y1841,$N$3:$Y$3,$N$2:$Y$2),SUMPRODUCT(N1841:Y1841,$N$4:$Y$4,$N$2:$Y$2))/(Z1841/($K1841*$L1841*$M1841)),"")</f>
        <v/>
      </c>
      <c r="AC1841" s="18" t="n"/>
    </row>
    <row r="1842">
      <c r="A1842" s="9" t="n">
        <v>686744</v>
      </c>
      <c r="B1842" s="9" t="inlineStr">
        <is>
          <t>Jake Snider</t>
        </is>
      </c>
      <c r="C1842" s="9" t="inlineStr">
        <is>
          <t>TEX</t>
        </is>
      </c>
      <c r="D1842" s="9" t="n">
        <v>25</v>
      </c>
      <c r="E1842" s="16" t="inlineStr">
        <is>
          <t>L</t>
        </is>
      </c>
      <c r="F1842" s="16" t="n"/>
      <c r="G1842" s="9" t="n">
        <v>20.82051282051282</v>
      </c>
      <c r="H1842" s="9" t="n">
        <v>20.82051282051282</v>
      </c>
      <c r="I1842" s="9" t="inlineStr">
        <is>
          <t>Depth (no MLB PA)</t>
        </is>
      </c>
      <c r="J1842" s="16" t="inlineStr">
        <is>
          <t>Opening Day</t>
        </is>
      </c>
      <c r="K1842" s="11">
        <f>IFERROR(INDEX(Roles!$B$17:$B$20,MATCH(J1842,Roles!$A$17:$A$20,0)),1)</f>
        <v/>
      </c>
      <c r="L1842" s="17" t="n">
        <v>1</v>
      </c>
      <c r="M1842" s="11" t="n">
        <v>1</v>
      </c>
      <c r="N1842" s="17" t="n"/>
      <c r="O1842" s="17" t="n"/>
      <c r="P1842" s="17" t="n"/>
      <c r="Q1842" s="17" t="n"/>
      <c r="R1842" s="17" t="n"/>
      <c r="S1842" s="17" t="n"/>
      <c r="T1842" s="17" t="n"/>
      <c r="U1842" s="17" t="n"/>
      <c r="V1842" s="17" t="n"/>
      <c r="W1842" s="17" t="n"/>
      <c r="X1842" s="17" t="n"/>
      <c r="Y1842" s="17" t="n">
        <v>1</v>
      </c>
      <c r="Z1842" s="13">
        <f>SUMPRODUCT(N1842:Y1842,$N$2:$Y$2)*$K1842*$L1842*$M1842</f>
        <v/>
      </c>
      <c r="AA1842" s="14">
        <f>SUM(N1842:Y1842)</f>
        <v/>
      </c>
      <c r="AB1842" s="14">
        <f>IFERROR(IF(UPPER($E1842)="L",SUMPRODUCT(N1842:Y1842,$N$3:$Y$3,$N$2:$Y$2),SUMPRODUCT(N1842:Y1842,$N$4:$Y$4,$N$2:$Y$2))/(Z1842/($K1842*$L1842*$M1842)),"")</f>
        <v/>
      </c>
      <c r="AC1842" s="18" t="n"/>
    </row>
    <row r="1843">
      <c r="A1843" s="9" t="n">
        <v>703151</v>
      </c>
      <c r="B1843" s="9" t="inlineStr">
        <is>
          <t>William Bergolla Jr.</t>
        </is>
      </c>
      <c r="C1843" s="9" t="inlineStr">
        <is>
          <t>CWS</t>
        </is>
      </c>
      <c r="D1843" s="9" t="n">
        <v>25</v>
      </c>
      <c r="E1843" s="16" t="inlineStr">
        <is>
          <t>L</t>
        </is>
      </c>
      <c r="F1843" s="16" t="n"/>
      <c r="G1843" s="9" t="n">
        <v>22.56410256410257</v>
      </c>
      <c r="H1843" s="9" t="n">
        <v>22.56410256410257</v>
      </c>
      <c r="I1843" s="9" t="inlineStr">
        <is>
          <t>Depth (no MLB PA)</t>
        </is>
      </c>
      <c r="J1843" s="16" t="inlineStr">
        <is>
          <t>Opening Day</t>
        </is>
      </c>
      <c r="K1843" s="11">
        <f>IFERROR(INDEX(Roles!$B$17:$B$20,MATCH(J1843,Roles!$A$17:$A$20,0)),1)</f>
        <v/>
      </c>
      <c r="L1843" s="17" t="n">
        <v>1</v>
      </c>
      <c r="M1843" s="11" t="n">
        <v>1</v>
      </c>
      <c r="N1843" s="17" t="n"/>
      <c r="O1843" s="17" t="n"/>
      <c r="P1843" s="17" t="n"/>
      <c r="Q1843" s="17" t="n"/>
      <c r="R1843" s="17" t="n"/>
      <c r="S1843" s="17" t="n"/>
      <c r="T1843" s="17" t="n"/>
      <c r="U1843" s="17" t="n"/>
      <c r="V1843" s="17" t="n"/>
      <c r="W1843" s="17" t="n"/>
      <c r="X1843" s="17" t="n"/>
      <c r="Y1843" s="17" t="n">
        <v>1</v>
      </c>
      <c r="Z1843" s="13">
        <f>SUMPRODUCT(N1843:Y1843,$N$2:$Y$2)*$K1843*$L1843*$M1843</f>
        <v/>
      </c>
      <c r="AA1843" s="14">
        <f>SUM(N1843:Y1843)</f>
        <v/>
      </c>
      <c r="AB1843" s="14">
        <f>IFERROR(IF(UPPER($E1843)="L",SUMPRODUCT(N1843:Y1843,$N$3:$Y$3,$N$2:$Y$2),SUMPRODUCT(N1843:Y1843,$N$4:$Y$4,$N$2:$Y$2))/(Z1843/($K1843*$L1843*$M1843)),"")</f>
        <v/>
      </c>
      <c r="AC1843" s="18" t="n"/>
    </row>
    <row r="1844">
      <c r="A1844" s="9" t="n">
        <v>808166</v>
      </c>
      <c r="B1844" s="9" t="inlineStr">
        <is>
          <t>Junior Aybar</t>
        </is>
      </c>
      <c r="C1844" s="9" t="inlineStr">
        <is>
          <t>BAL</t>
        </is>
      </c>
      <c r="D1844" s="9" t="n">
        <v>25</v>
      </c>
      <c r="E1844" s="16" t="inlineStr">
        <is>
          <t>L</t>
        </is>
      </c>
      <c r="F1844" s="16" t="n"/>
      <c r="G1844" s="9" t="n">
        <v>25.35384615384616</v>
      </c>
      <c r="H1844" s="9" t="n">
        <v>25.35384615384616</v>
      </c>
      <c r="I1844" s="9" t="inlineStr">
        <is>
          <t>Depth (no MLB PA)</t>
        </is>
      </c>
      <c r="J1844" s="16" t="inlineStr">
        <is>
          <t>Opening Day</t>
        </is>
      </c>
      <c r="K1844" s="11">
        <f>IFERROR(INDEX(Roles!$B$17:$B$20,MATCH(J1844,Roles!$A$17:$A$20,0)),1)</f>
        <v/>
      </c>
      <c r="L1844" s="17" t="n">
        <v>1</v>
      </c>
      <c r="M1844" s="11" t="n">
        <v>1</v>
      </c>
      <c r="N1844" s="17" t="n"/>
      <c r="O1844" s="17" t="n"/>
      <c r="P1844" s="17" t="n"/>
      <c r="Q1844" s="17" t="n"/>
      <c r="R1844" s="17" t="n"/>
      <c r="S1844" s="17" t="n"/>
      <c r="T1844" s="17" t="n"/>
      <c r="U1844" s="17" t="n"/>
      <c r="V1844" s="17" t="n"/>
      <c r="W1844" s="17" t="n"/>
      <c r="X1844" s="17" t="n"/>
      <c r="Y1844" s="17" t="n">
        <v>1</v>
      </c>
      <c r="Z1844" s="13">
        <f>SUMPRODUCT(N1844:Y1844,$N$2:$Y$2)*$K1844*$L1844*$M1844</f>
        <v/>
      </c>
      <c r="AA1844" s="14">
        <f>SUM(N1844:Y1844)</f>
        <v/>
      </c>
      <c r="AB1844" s="14">
        <f>IFERROR(IF(UPPER($E1844)="L",SUMPRODUCT(N1844:Y1844,$N$3:$Y$3,$N$2:$Y$2),SUMPRODUCT(N1844:Y1844,$N$4:$Y$4,$N$2:$Y$2))/(Z1844/($K1844*$L1844*$M1844)),"")</f>
        <v/>
      </c>
      <c r="AC1844" s="18" t="n"/>
    </row>
    <row r="1845">
      <c r="A1845" s="9" t="n">
        <v>701394</v>
      </c>
      <c r="B1845" s="9" t="inlineStr">
        <is>
          <t>Zach Ehrhard</t>
        </is>
      </c>
      <c r="C1845" s="9" t="inlineStr">
        <is>
          <t>LAD</t>
        </is>
      </c>
      <c r="D1845" s="9" t="n">
        <v>24</v>
      </c>
      <c r="E1845" s="16" t="inlineStr">
        <is>
          <t>R</t>
        </is>
      </c>
      <c r="F1845" s="16" t="n"/>
      <c r="G1845" s="9" t="n">
        <v>353.1282051282052</v>
      </c>
      <c r="H1845" s="9" t="n">
        <v>353.1282051282052</v>
      </c>
      <c r="I1845" s="9" t="inlineStr">
        <is>
          <t>Bench Bat</t>
        </is>
      </c>
      <c r="J1845" s="16" t="inlineStr">
        <is>
          <t>Mid Season (~July)</t>
        </is>
      </c>
      <c r="K1845" s="11">
        <f>IFERROR(INDEX(Roles!$B$17:$B$20,MATCH(J1845,Roles!$A$17:$A$20,0)),1)</f>
        <v/>
      </c>
      <c r="L1845" s="17" t="n">
        <v>1</v>
      </c>
      <c r="M1845" s="11" t="n">
        <v>1</v>
      </c>
      <c r="N1845" s="17" t="n"/>
      <c r="O1845" s="17" t="n"/>
      <c r="P1845" s="17" t="n">
        <v>0.35</v>
      </c>
      <c r="Q1845" s="17" t="n"/>
      <c r="R1845" s="17" t="n"/>
      <c r="S1845" s="17" t="n"/>
      <c r="T1845" s="17" t="n"/>
      <c r="U1845" s="17" t="n"/>
      <c r="V1845" s="17" t="n"/>
      <c r="W1845" s="17" t="n">
        <v>0.45</v>
      </c>
      <c r="X1845" s="17" t="n">
        <v>0.2</v>
      </c>
      <c r="Y1845" s="17" t="n"/>
      <c r="Z1845" s="13">
        <f>SUMPRODUCT(N1845:Y1845,$N$2:$Y$2)*$K1845*$L1845*$M1845</f>
        <v/>
      </c>
      <c r="AA1845" s="14">
        <f>SUM(N1845:Y1845)</f>
        <v/>
      </c>
      <c r="AB1845" s="14">
        <f>IFERROR(IF(UPPER($E1845)="L",SUMPRODUCT(N1845:Y1845,$N$3:$Y$3,$N$2:$Y$2),SUMPRODUCT(N1845:Y1845,$N$4:$Y$4,$N$2:$Y$2))/(Z1845/($K1845*$L1845*$M1845)),"")</f>
        <v/>
      </c>
      <c r="AC1845" s="18" t="n"/>
    </row>
    <row r="1846">
      <c r="A1846" s="9" t="n">
        <v>702720</v>
      </c>
      <c r="B1846" s="9" t="inlineStr">
        <is>
          <t>RJ Austin</t>
        </is>
      </c>
      <c r="C1846" s="9" t="inlineStr">
        <is>
          <t>BAL</t>
        </is>
      </c>
      <c r="D1846" s="9" t="n">
        <v>25</v>
      </c>
      <c r="E1846" s="16" t="inlineStr">
        <is>
          <t>R</t>
        </is>
      </c>
      <c r="F1846" s="16" t="n"/>
      <c r="G1846" s="9" t="n">
        <v>53.74358974358975</v>
      </c>
      <c r="H1846" s="9" t="n">
        <v>53.74358974358975</v>
      </c>
      <c r="I1846" s="9" t="inlineStr">
        <is>
          <t>Depth (no MLB PA)</t>
        </is>
      </c>
      <c r="J1846" s="16" t="inlineStr">
        <is>
          <t>Opening Day</t>
        </is>
      </c>
      <c r="K1846" s="11">
        <f>IFERROR(INDEX(Roles!$B$17:$B$20,MATCH(J1846,Roles!$A$17:$A$20,0)),1)</f>
        <v/>
      </c>
      <c r="L1846" s="17" t="n">
        <v>1</v>
      </c>
      <c r="M1846" s="11" t="n">
        <v>1</v>
      </c>
      <c r="N1846" s="17" t="n"/>
      <c r="O1846" s="17" t="n"/>
      <c r="P1846" s="17" t="n"/>
      <c r="Q1846" s="17" t="n"/>
      <c r="R1846" s="17" t="n"/>
      <c r="S1846" s="17" t="n"/>
      <c r="T1846" s="17" t="n"/>
      <c r="U1846" s="17" t="n"/>
      <c r="V1846" s="17" t="n"/>
      <c r="W1846" s="17" t="n"/>
      <c r="X1846" s="17" t="n"/>
      <c r="Y1846" s="17" t="n">
        <v>1</v>
      </c>
      <c r="Z1846" s="13">
        <f>SUMPRODUCT(N1846:Y1846,$N$2:$Y$2)*$K1846*$L1846*$M1846</f>
        <v/>
      </c>
      <c r="AA1846" s="14">
        <f>SUM(N1846:Y1846)</f>
        <v/>
      </c>
      <c r="AB1846" s="14">
        <f>IFERROR(IF(UPPER($E1846)="L",SUMPRODUCT(N1846:Y1846,$N$3:$Y$3,$N$2:$Y$2),SUMPRODUCT(N1846:Y1846,$N$4:$Y$4,$N$2:$Y$2))/(Z1846/($K1846*$L1846*$M1846)),"")</f>
        <v/>
      </c>
      <c r="AC1846" s="18" t="n"/>
    </row>
    <row r="1847">
      <c r="A1847" s="9" t="n">
        <v>647304</v>
      </c>
      <c r="B1847" s="9" t="inlineStr">
        <is>
          <t>Josh Naylor</t>
        </is>
      </c>
      <c r="C1847" s="9" t="inlineStr">
        <is>
          <t>SEA</t>
        </is>
      </c>
      <c r="D1847" s="9" t="n">
        <v>30</v>
      </c>
      <c r="E1847" s="16" t="inlineStr">
        <is>
          <t>L</t>
        </is>
      </c>
      <c r="F1847" s="16" t="inlineStr">
        <is>
          <t>1B</t>
        </is>
      </c>
      <c r="G1847" s="9" t="n">
        <v>650</v>
      </c>
      <c r="H1847" s="9" t="n">
        <v>2880</v>
      </c>
      <c r="I1847" s="9" t="inlineStr">
        <is>
          <t>Full Time</t>
        </is>
      </c>
      <c r="J1847" s="16" t="inlineStr">
        <is>
          <t>Opening Day</t>
        </is>
      </c>
      <c r="K1847" s="11">
        <f>IFERROR(INDEX(Roles!$B$17:$B$20,MATCH(J1847,Roles!$A$17:$A$20,0)),1)</f>
        <v/>
      </c>
      <c r="L1847" s="17" t="n">
        <v>1</v>
      </c>
      <c r="M1847" s="11" t="n">
        <v>1.144641339996834</v>
      </c>
      <c r="N1847" s="17" t="n">
        <v>1</v>
      </c>
      <c r="O1847" s="17" t="n"/>
      <c r="P1847" s="17" t="n"/>
      <c r="Q1847" s="17" t="n"/>
      <c r="R1847" s="17" t="n"/>
      <c r="S1847" s="17" t="n"/>
      <c r="T1847" s="17" t="n"/>
      <c r="U1847" s="17" t="n"/>
      <c r="V1847" s="17" t="n"/>
      <c r="W1847" s="17" t="n"/>
      <c r="X1847" s="17" t="n"/>
      <c r="Y1847" s="17" t="n"/>
      <c r="Z1847" s="13">
        <f>SUMPRODUCT(N1847:Y1847,$N$2:$Y$2)*$K1847*$L1847*$M1847</f>
        <v/>
      </c>
      <c r="AA1847" s="14">
        <f>SUM(N1847:Y1847)</f>
        <v/>
      </c>
      <c r="AB1847" s="14">
        <f>IFERROR(IF(UPPER($E1847)="L",SUMPRODUCT(N1847:Y1847,$N$3:$Y$3,$N$2:$Y$2),SUMPRODUCT(N1847:Y1847,$N$4:$Y$4,$N$2:$Y$2))/(Z1847/($K1847*$L1847*$M1847)),"")</f>
        <v/>
      </c>
      <c r="AC1847" s="18" t="n"/>
    </row>
    <row r="1848">
      <c r="A1848" s="9" t="n">
        <v>808381</v>
      </c>
      <c r="B1848" s="9" t="inlineStr">
        <is>
          <t>Enyervert Perez</t>
        </is>
      </c>
      <c r="C1848" s="9" t="inlineStr">
        <is>
          <t>ARI</t>
        </is>
      </c>
      <c r="D1848" s="9" t="n">
        <v>25</v>
      </c>
      <c r="E1848" s="16" t="inlineStr">
        <is>
          <t>R</t>
        </is>
      </c>
      <c r="F1848" s="16" t="n"/>
      <c r="G1848" s="9" t="n">
        <v>45.90769230769231</v>
      </c>
      <c r="H1848" s="9" t="n">
        <v>45.90769230769231</v>
      </c>
      <c r="I1848" s="9" t="inlineStr">
        <is>
          <t>Depth (no MLB PA)</t>
        </is>
      </c>
      <c r="J1848" s="16" t="inlineStr">
        <is>
          <t>Opening Day</t>
        </is>
      </c>
      <c r="K1848" s="11">
        <f>IFERROR(INDEX(Roles!$B$17:$B$20,MATCH(J1848,Roles!$A$17:$A$20,0)),1)</f>
        <v/>
      </c>
      <c r="L1848" s="17" t="n">
        <v>1</v>
      </c>
      <c r="M1848" s="11" t="n">
        <v>1</v>
      </c>
      <c r="N1848" s="17" t="n"/>
      <c r="O1848" s="17" t="n"/>
      <c r="P1848" s="17" t="n"/>
      <c r="Q1848" s="17" t="n"/>
      <c r="R1848" s="17" t="n"/>
      <c r="S1848" s="17" t="n"/>
      <c r="T1848" s="17" t="n"/>
      <c r="U1848" s="17" t="n"/>
      <c r="V1848" s="17" t="n"/>
      <c r="W1848" s="17" t="n"/>
      <c r="X1848" s="17" t="n"/>
      <c r="Y1848" s="17" t="n">
        <v>1</v>
      </c>
      <c r="Z1848" s="13">
        <f>SUMPRODUCT(N1848:Y1848,$N$2:$Y$2)*$K1848*$L1848*$M1848</f>
        <v/>
      </c>
      <c r="AA1848" s="14">
        <f>SUM(N1848:Y1848)</f>
        <v/>
      </c>
      <c r="AB1848" s="14">
        <f>IFERROR(IF(UPPER($E1848)="L",SUMPRODUCT(N1848:Y1848,$N$3:$Y$3,$N$2:$Y$2),SUMPRODUCT(N1848:Y1848,$N$4:$Y$4,$N$2:$Y$2))/(Z1848/($K1848*$L1848*$M1848)),"")</f>
        <v/>
      </c>
      <c r="AC1848" s="18" t="n"/>
    </row>
    <row r="1849">
      <c r="A1849" s="9" t="n">
        <v>800957</v>
      </c>
      <c r="B1849" s="9" t="inlineStr">
        <is>
          <t>Brendan Jones</t>
        </is>
      </c>
      <c r="C1849" s="9" t="inlineStr">
        <is>
          <t>MIA</t>
        </is>
      </c>
      <c r="D1849" s="9" t="n">
        <v>25</v>
      </c>
      <c r="E1849" s="16" t="inlineStr">
        <is>
          <t>L</t>
        </is>
      </c>
      <c r="F1849" s="16" t="n"/>
      <c r="G1849" s="9" t="n">
        <v>53.5897435897436</v>
      </c>
      <c r="H1849" s="9" t="n">
        <v>53.5897435897436</v>
      </c>
      <c r="I1849" s="9" t="inlineStr">
        <is>
          <t>Depth (no MLB PA)</t>
        </is>
      </c>
      <c r="J1849" s="16" t="inlineStr">
        <is>
          <t>Opening Day</t>
        </is>
      </c>
      <c r="K1849" s="11">
        <f>IFERROR(INDEX(Roles!$B$17:$B$20,MATCH(J1849,Roles!$A$17:$A$20,0)),1)</f>
        <v/>
      </c>
      <c r="L1849" s="17" t="n">
        <v>1</v>
      </c>
      <c r="M1849" s="11" t="n">
        <v>1</v>
      </c>
      <c r="N1849" s="17" t="n"/>
      <c r="O1849" s="17" t="n"/>
      <c r="P1849" s="17" t="n"/>
      <c r="Q1849" s="17" t="n"/>
      <c r="R1849" s="17" t="n"/>
      <c r="S1849" s="17" t="n"/>
      <c r="T1849" s="17" t="n"/>
      <c r="U1849" s="17" t="n"/>
      <c r="V1849" s="17" t="n"/>
      <c r="W1849" s="17" t="n"/>
      <c r="X1849" s="17" t="n"/>
      <c r="Y1849" s="17" t="n">
        <v>1</v>
      </c>
      <c r="Z1849" s="13">
        <f>SUMPRODUCT(N1849:Y1849,$N$2:$Y$2)*$K1849*$L1849*$M1849</f>
        <v/>
      </c>
      <c r="AA1849" s="14">
        <f>SUM(N1849:Y1849)</f>
        <v/>
      </c>
      <c r="AB1849" s="14">
        <f>IFERROR(IF(UPPER($E1849)="L",SUMPRODUCT(N1849:Y1849,$N$3:$Y$3,$N$2:$Y$2),SUMPRODUCT(N1849:Y1849,$N$4:$Y$4,$N$2:$Y$2))/(Z1849/($K1849*$L1849*$M1849)),"")</f>
        <v/>
      </c>
      <c r="AC1849" s="18" t="n"/>
    </row>
    <row r="1850">
      <c r="A1850" s="9" t="n">
        <v>800354</v>
      </c>
      <c r="B1850" s="9" t="inlineStr">
        <is>
          <t>Esteban Mejia</t>
        </is>
      </c>
      <c r="C1850" s="9" t="inlineStr">
        <is>
          <t>TEX</t>
        </is>
      </c>
      <c r="D1850" s="9" t="n">
        <v>25</v>
      </c>
      <c r="E1850" s="16" t="inlineStr">
        <is>
          <t>R</t>
        </is>
      </c>
      <c r="F1850" s="16" t="n"/>
      <c r="G1850" s="9" t="n">
        <v>31.17948717948718</v>
      </c>
      <c r="H1850" s="9" t="n">
        <v>31.17948717948718</v>
      </c>
      <c r="I1850" s="9" t="inlineStr">
        <is>
          <t>Depth (no MLB PA)</t>
        </is>
      </c>
      <c r="J1850" s="16" t="inlineStr">
        <is>
          <t>Opening Day</t>
        </is>
      </c>
      <c r="K1850" s="11">
        <f>IFERROR(INDEX(Roles!$B$17:$B$20,MATCH(J1850,Roles!$A$17:$A$20,0)),1)</f>
        <v/>
      </c>
      <c r="L1850" s="17" t="n">
        <v>1</v>
      </c>
      <c r="M1850" s="11" t="n">
        <v>1</v>
      </c>
      <c r="N1850" s="17" t="n"/>
      <c r="O1850" s="17" t="n"/>
      <c r="P1850" s="17" t="n"/>
      <c r="Q1850" s="17" t="n"/>
      <c r="R1850" s="17" t="n"/>
      <c r="S1850" s="17" t="n"/>
      <c r="T1850" s="17" t="n"/>
      <c r="U1850" s="17" t="n"/>
      <c r="V1850" s="17" t="n"/>
      <c r="W1850" s="17" t="n"/>
      <c r="X1850" s="17" t="n"/>
      <c r="Y1850" s="17" t="n">
        <v>1</v>
      </c>
      <c r="Z1850" s="13">
        <f>SUMPRODUCT(N1850:Y1850,$N$2:$Y$2)*$K1850*$L1850*$M1850</f>
        <v/>
      </c>
      <c r="AA1850" s="14">
        <f>SUM(N1850:Y1850)</f>
        <v/>
      </c>
      <c r="AB1850" s="14">
        <f>IFERROR(IF(UPPER($E1850)="L",SUMPRODUCT(N1850:Y1850,$N$3:$Y$3,$N$2:$Y$2),SUMPRODUCT(N1850:Y1850,$N$4:$Y$4,$N$2:$Y$2))/(Z1850/($K1850*$L1850*$M1850)),"")</f>
        <v/>
      </c>
      <c r="AC1850" s="18" t="n"/>
    </row>
    <row r="1851">
      <c r="A1851" s="9" t="n">
        <v>699321</v>
      </c>
      <c r="B1851" s="9" t="inlineStr">
        <is>
          <t>Diego Guzman</t>
        </is>
      </c>
      <c r="C1851" s="9" t="inlineStr">
        <is>
          <t>KC</t>
        </is>
      </c>
      <c r="D1851" s="9" t="n">
        <v>25</v>
      </c>
      <c r="E1851" s="16" t="inlineStr">
        <is>
          <t>R</t>
        </is>
      </c>
      <c r="F1851" s="16" t="n"/>
      <c r="G1851" s="9" t="n">
        <v>20.92307692307692</v>
      </c>
      <c r="H1851" s="9" t="n">
        <v>20.92307692307692</v>
      </c>
      <c r="I1851" s="9" t="inlineStr">
        <is>
          <t>Depth (no MLB PA)</t>
        </is>
      </c>
      <c r="J1851" s="16" t="inlineStr">
        <is>
          <t>Opening Day</t>
        </is>
      </c>
      <c r="K1851" s="11">
        <f>IFERROR(INDEX(Roles!$B$17:$B$20,MATCH(J1851,Roles!$A$17:$A$20,0)),1)</f>
        <v/>
      </c>
      <c r="L1851" s="17" t="n">
        <v>1</v>
      </c>
      <c r="M1851" s="11" t="n">
        <v>1</v>
      </c>
      <c r="N1851" s="17" t="n"/>
      <c r="O1851" s="17" t="n"/>
      <c r="P1851" s="17" t="n"/>
      <c r="Q1851" s="17" t="n"/>
      <c r="R1851" s="17" t="n"/>
      <c r="S1851" s="17" t="n"/>
      <c r="T1851" s="17" t="n"/>
      <c r="U1851" s="17" t="n"/>
      <c r="V1851" s="17" t="n"/>
      <c r="W1851" s="17" t="n"/>
      <c r="X1851" s="17" t="n"/>
      <c r="Y1851" s="17" t="n">
        <v>1</v>
      </c>
      <c r="Z1851" s="13">
        <f>SUMPRODUCT(N1851:Y1851,$N$2:$Y$2)*$K1851*$L1851*$M1851</f>
        <v/>
      </c>
      <c r="AA1851" s="14">
        <f>SUM(N1851:Y1851)</f>
        <v/>
      </c>
      <c r="AB1851" s="14">
        <f>IFERROR(IF(UPPER($E1851)="L",SUMPRODUCT(N1851:Y1851,$N$3:$Y$3,$N$2:$Y$2),SUMPRODUCT(N1851:Y1851,$N$4:$Y$4,$N$2:$Y$2))/(Z1851/($K1851*$L1851*$M1851)),"")</f>
        <v/>
      </c>
      <c r="AC1851" s="18" t="n"/>
    </row>
    <row r="1852">
      <c r="A1852" s="9" t="n">
        <v>800253</v>
      </c>
      <c r="B1852" s="9" t="inlineStr">
        <is>
          <t>Jeffrey Mercedes</t>
        </is>
      </c>
      <c r="C1852" s="9" t="inlineStr">
        <is>
          <t>CLE</t>
        </is>
      </c>
      <c r="D1852" s="9" t="n">
        <v>25</v>
      </c>
      <c r="E1852" s="16" t="inlineStr">
        <is>
          <t>S</t>
        </is>
      </c>
      <c r="F1852" s="16" t="n"/>
      <c r="G1852" s="9" t="n">
        <v>72.20512820512822</v>
      </c>
      <c r="H1852" s="9" t="n">
        <v>72.20512820512822</v>
      </c>
      <c r="I1852" s="9" t="inlineStr">
        <is>
          <t>Depth (no MLB PA)</t>
        </is>
      </c>
      <c r="J1852" s="16" t="inlineStr">
        <is>
          <t>Opening Day</t>
        </is>
      </c>
      <c r="K1852" s="11">
        <f>IFERROR(INDEX(Roles!$B$17:$B$20,MATCH(J1852,Roles!$A$17:$A$20,0)),1)</f>
        <v/>
      </c>
      <c r="L1852" s="17" t="n">
        <v>1</v>
      </c>
      <c r="M1852" s="11" t="n">
        <v>1</v>
      </c>
      <c r="N1852" s="17" t="n"/>
      <c r="O1852" s="17" t="n"/>
      <c r="P1852" s="17" t="n"/>
      <c r="Q1852" s="17" t="n"/>
      <c r="R1852" s="17" t="n"/>
      <c r="S1852" s="17" t="n"/>
      <c r="T1852" s="17" t="n"/>
      <c r="U1852" s="17" t="n"/>
      <c r="V1852" s="17" t="n"/>
      <c r="W1852" s="17" t="n"/>
      <c r="X1852" s="17" t="n"/>
      <c r="Y1852" s="17" t="n">
        <v>1</v>
      </c>
      <c r="Z1852" s="13">
        <f>SUMPRODUCT(N1852:Y1852,$N$2:$Y$2)*$K1852*$L1852*$M1852</f>
        <v/>
      </c>
      <c r="AA1852" s="14">
        <f>SUM(N1852:Y1852)</f>
        <v/>
      </c>
      <c r="AB1852" s="14">
        <f>IFERROR(IF(UPPER($E1852)="L",SUMPRODUCT(N1852:Y1852,$N$3:$Y$3,$N$2:$Y$2),SUMPRODUCT(N1852:Y1852,$N$4:$Y$4,$N$2:$Y$2))/(Z1852/($K1852*$L1852*$M1852)),"")</f>
        <v/>
      </c>
      <c r="AC1852" s="18" t="n"/>
    </row>
    <row r="1853">
      <c r="A1853" s="9" t="n">
        <v>801507</v>
      </c>
      <c r="B1853" s="9" t="inlineStr">
        <is>
          <t>Jake Cunningham</t>
        </is>
      </c>
      <c r="C1853" s="9" t="inlineStr">
        <is>
          <t>SD</t>
        </is>
      </c>
      <c r="D1853" s="9" t="n">
        <v>25</v>
      </c>
      <c r="E1853" s="16" t="inlineStr">
        <is>
          <t>R</t>
        </is>
      </c>
      <c r="F1853" s="16" t="n"/>
      <c r="G1853" s="9" t="n">
        <v>57.7948717948718</v>
      </c>
      <c r="H1853" s="9" t="n">
        <v>57.7948717948718</v>
      </c>
      <c r="I1853" s="9" t="inlineStr">
        <is>
          <t>Depth (no MLB PA)</t>
        </is>
      </c>
      <c r="J1853" s="16" t="inlineStr">
        <is>
          <t>Opening Day</t>
        </is>
      </c>
      <c r="K1853" s="11">
        <f>IFERROR(INDEX(Roles!$B$17:$B$20,MATCH(J1853,Roles!$A$17:$A$20,0)),1)</f>
        <v/>
      </c>
      <c r="L1853" s="17" t="n">
        <v>1</v>
      </c>
      <c r="M1853" s="11" t="n">
        <v>1</v>
      </c>
      <c r="N1853" s="17" t="n"/>
      <c r="O1853" s="17" t="n"/>
      <c r="P1853" s="17" t="n"/>
      <c r="Q1853" s="17" t="n"/>
      <c r="R1853" s="17" t="n"/>
      <c r="S1853" s="17" t="n"/>
      <c r="T1853" s="17" t="n"/>
      <c r="U1853" s="17" t="n"/>
      <c r="V1853" s="17" t="n"/>
      <c r="W1853" s="17" t="n"/>
      <c r="X1853" s="17" t="n"/>
      <c r="Y1853" s="17" t="n">
        <v>1</v>
      </c>
      <c r="Z1853" s="13">
        <f>SUMPRODUCT(N1853:Y1853,$N$2:$Y$2)*$K1853*$L1853*$M1853</f>
        <v/>
      </c>
      <c r="AA1853" s="14">
        <f>SUM(N1853:Y1853)</f>
        <v/>
      </c>
      <c r="AB1853" s="14">
        <f>IFERROR(IF(UPPER($E1853)="L",SUMPRODUCT(N1853:Y1853,$N$3:$Y$3,$N$2:$Y$2),SUMPRODUCT(N1853:Y1853,$N$4:$Y$4,$N$2:$Y$2))/(Z1853/($K1853*$L1853*$M1853)),"")</f>
        <v/>
      </c>
      <c r="AC1853" s="18" t="n"/>
    </row>
    <row r="1854">
      <c r="A1854" s="9" t="n">
        <v>800246</v>
      </c>
      <c r="B1854" s="9" t="inlineStr">
        <is>
          <t>Engelth Urena</t>
        </is>
      </c>
      <c r="C1854" s="9" t="inlineStr">
        <is>
          <t>NYY</t>
        </is>
      </c>
      <c r="D1854" s="9" t="n">
        <v>25</v>
      </c>
      <c r="E1854" s="16" t="inlineStr">
        <is>
          <t>R</t>
        </is>
      </c>
      <c r="F1854" s="16" t="n"/>
      <c r="G1854" s="9" t="n">
        <v>37.66153846153846</v>
      </c>
      <c r="H1854" s="9" t="n">
        <v>37.66153846153846</v>
      </c>
      <c r="I1854" s="9" t="inlineStr">
        <is>
          <t>Depth (no MLB PA)</t>
        </is>
      </c>
      <c r="J1854" s="16" t="inlineStr">
        <is>
          <t>Opening Day</t>
        </is>
      </c>
      <c r="K1854" s="11">
        <f>IFERROR(INDEX(Roles!$B$17:$B$20,MATCH(J1854,Roles!$A$17:$A$20,0)),1)</f>
        <v/>
      </c>
      <c r="L1854" s="17" t="n">
        <v>1</v>
      </c>
      <c r="M1854" s="11" t="n">
        <v>1</v>
      </c>
      <c r="N1854" s="17" t="n"/>
      <c r="O1854" s="17" t="n"/>
      <c r="P1854" s="17" t="n"/>
      <c r="Q1854" s="17" t="n"/>
      <c r="R1854" s="17" t="n"/>
      <c r="S1854" s="17" t="n"/>
      <c r="T1854" s="17" t="n"/>
      <c r="U1854" s="17" t="n"/>
      <c r="V1854" s="17" t="n"/>
      <c r="W1854" s="17" t="n"/>
      <c r="X1854" s="17" t="n"/>
      <c r="Y1854" s="17" t="n">
        <v>1</v>
      </c>
      <c r="Z1854" s="13">
        <f>SUMPRODUCT(N1854:Y1854,$N$2:$Y$2)*$K1854*$L1854*$M1854</f>
        <v/>
      </c>
      <c r="AA1854" s="14">
        <f>SUM(N1854:Y1854)</f>
        <v/>
      </c>
      <c r="AB1854" s="14">
        <f>IFERROR(IF(UPPER($E1854)="L",SUMPRODUCT(N1854:Y1854,$N$3:$Y$3,$N$2:$Y$2),SUMPRODUCT(N1854:Y1854,$N$4:$Y$4,$N$2:$Y$2))/(Z1854/($K1854*$L1854*$M1854)),"")</f>
        <v/>
      </c>
      <c r="AC1854" s="18" t="n"/>
    </row>
    <row r="1855">
      <c r="A1855" s="9" t="n">
        <v>691006</v>
      </c>
      <c r="B1855" s="9" t="inlineStr">
        <is>
          <t>Kevin Parada</t>
        </is>
      </c>
      <c r="C1855" s="9" t="inlineStr">
        <is>
          <t>NYM</t>
        </is>
      </c>
      <c r="D1855" s="9" t="n">
        <v>25</v>
      </c>
      <c r="E1855" s="16" t="inlineStr">
        <is>
          <t>R</t>
        </is>
      </c>
      <c r="F1855" s="16" t="n"/>
      <c r="G1855" s="9" t="n">
        <v>55.28205128205128</v>
      </c>
      <c r="H1855" s="9" t="n">
        <v>55.28205128205128</v>
      </c>
      <c r="I1855" s="9" t="inlineStr">
        <is>
          <t>Depth (no MLB PA)</t>
        </is>
      </c>
      <c r="J1855" s="16" t="inlineStr">
        <is>
          <t>Opening Day</t>
        </is>
      </c>
      <c r="K1855" s="11">
        <f>IFERROR(INDEX(Roles!$B$17:$B$20,MATCH(J1855,Roles!$A$17:$A$20,0)),1)</f>
        <v/>
      </c>
      <c r="L1855" s="17" t="n">
        <v>1</v>
      </c>
      <c r="M1855" s="11" t="n">
        <v>1</v>
      </c>
      <c r="N1855" s="17" t="n"/>
      <c r="O1855" s="17" t="n"/>
      <c r="P1855" s="17" t="n"/>
      <c r="Q1855" s="17" t="n"/>
      <c r="R1855" s="17" t="n"/>
      <c r="S1855" s="17" t="n"/>
      <c r="T1855" s="17" t="n"/>
      <c r="U1855" s="17" t="n"/>
      <c r="V1855" s="17" t="n"/>
      <c r="W1855" s="17" t="n"/>
      <c r="X1855" s="17" t="n"/>
      <c r="Y1855" s="17" t="n">
        <v>1</v>
      </c>
      <c r="Z1855" s="13">
        <f>SUMPRODUCT(N1855:Y1855,$N$2:$Y$2)*$K1855*$L1855*$M1855</f>
        <v/>
      </c>
      <c r="AA1855" s="14">
        <f>SUM(N1855:Y1855)</f>
        <v/>
      </c>
      <c r="AB1855" s="14">
        <f>IFERROR(IF(UPPER($E1855)="L",SUMPRODUCT(N1855:Y1855,$N$3:$Y$3,$N$2:$Y$2),SUMPRODUCT(N1855:Y1855,$N$4:$Y$4,$N$2:$Y$2))/(Z1855/($K1855*$L1855*$M1855)),"")</f>
        <v/>
      </c>
      <c r="AC1855" s="18" t="n"/>
    </row>
    <row r="1856">
      <c r="A1856" s="9" t="n">
        <v>808119</v>
      </c>
      <c r="B1856" s="9" t="inlineStr">
        <is>
          <t>Yaikel Mijares</t>
        </is>
      </c>
      <c r="C1856" s="9" t="inlineStr">
        <is>
          <t>CLE</t>
        </is>
      </c>
      <c r="D1856" s="9" t="n">
        <v>25</v>
      </c>
      <c r="E1856" s="16" t="inlineStr">
        <is>
          <t>R</t>
        </is>
      </c>
      <c r="F1856" s="16" t="n"/>
      <c r="G1856" s="9" t="n">
        <v>23.26153846153846</v>
      </c>
      <c r="H1856" s="9" t="n">
        <v>23.26153846153846</v>
      </c>
      <c r="I1856" s="9" t="inlineStr">
        <is>
          <t>Depth (no MLB PA)</t>
        </is>
      </c>
      <c r="J1856" s="16" t="inlineStr">
        <is>
          <t>Opening Day</t>
        </is>
      </c>
      <c r="K1856" s="11">
        <f>IFERROR(INDEX(Roles!$B$17:$B$20,MATCH(J1856,Roles!$A$17:$A$20,0)),1)</f>
        <v/>
      </c>
      <c r="L1856" s="17" t="n">
        <v>1</v>
      </c>
      <c r="M1856" s="11" t="n">
        <v>1</v>
      </c>
      <c r="N1856" s="17" t="n"/>
      <c r="O1856" s="17" t="n"/>
      <c r="P1856" s="17" t="n"/>
      <c r="Q1856" s="17" t="n"/>
      <c r="R1856" s="17" t="n"/>
      <c r="S1856" s="17" t="n"/>
      <c r="T1856" s="17" t="n"/>
      <c r="U1856" s="17" t="n"/>
      <c r="V1856" s="17" t="n"/>
      <c r="W1856" s="17" t="n"/>
      <c r="X1856" s="17" t="n"/>
      <c r="Y1856" s="17" t="n">
        <v>1</v>
      </c>
      <c r="Z1856" s="13">
        <f>SUMPRODUCT(N1856:Y1856,$N$2:$Y$2)*$K1856*$L1856*$M1856</f>
        <v/>
      </c>
      <c r="AA1856" s="14">
        <f>SUM(N1856:Y1856)</f>
        <v/>
      </c>
      <c r="AB1856" s="14">
        <f>IFERROR(IF(UPPER($E1856)="L",SUMPRODUCT(N1856:Y1856,$N$3:$Y$3,$N$2:$Y$2),SUMPRODUCT(N1856:Y1856,$N$4:$Y$4,$N$2:$Y$2))/(Z1856/($K1856*$L1856*$M1856)),"")</f>
        <v/>
      </c>
      <c r="AC1856" s="18" t="n"/>
    </row>
    <row r="1857">
      <c r="A1857" s="9" t="n">
        <v>800306</v>
      </c>
      <c r="B1857" s="9" t="inlineStr">
        <is>
          <t>Jansel Luis</t>
        </is>
      </c>
      <c r="C1857" s="9" t="inlineStr">
        <is>
          <t>ARI</t>
        </is>
      </c>
      <c r="D1857" s="9" t="n">
        <v>25</v>
      </c>
      <c r="E1857" s="16" t="inlineStr">
        <is>
          <t>S</t>
        </is>
      </c>
      <c r="F1857" s="16" t="n"/>
      <c r="G1857" s="9" t="n">
        <v>169.4358974358974</v>
      </c>
      <c r="H1857" s="9" t="n">
        <v>169.4358974358974</v>
      </c>
      <c r="I1857" s="9" t="inlineStr">
        <is>
          <t>Depth (no MLB PA)</t>
        </is>
      </c>
      <c r="J1857" s="16" t="inlineStr">
        <is>
          <t>Opening Day</t>
        </is>
      </c>
      <c r="K1857" s="11">
        <f>IFERROR(INDEX(Roles!$B$17:$B$20,MATCH(J1857,Roles!$A$17:$A$20,0)),1)</f>
        <v/>
      </c>
      <c r="L1857" s="17" t="n">
        <v>1</v>
      </c>
      <c r="M1857" s="11" t="n">
        <v>1</v>
      </c>
      <c r="N1857" s="17" t="n"/>
      <c r="O1857" s="17" t="n"/>
      <c r="P1857" s="17" t="n"/>
      <c r="Q1857" s="17" t="n"/>
      <c r="R1857" s="17" t="n"/>
      <c r="S1857" s="17" t="n"/>
      <c r="T1857" s="17" t="n"/>
      <c r="U1857" s="17" t="n"/>
      <c r="V1857" s="17" t="n"/>
      <c r="W1857" s="17" t="n"/>
      <c r="X1857" s="17" t="n"/>
      <c r="Y1857" s="17" t="n">
        <v>1</v>
      </c>
      <c r="Z1857" s="13">
        <f>SUMPRODUCT(N1857:Y1857,$N$2:$Y$2)*$K1857*$L1857*$M1857</f>
        <v/>
      </c>
      <c r="AA1857" s="14">
        <f>SUM(N1857:Y1857)</f>
        <v/>
      </c>
      <c r="AB1857" s="14">
        <f>IFERROR(IF(UPPER($E1857)="L",SUMPRODUCT(N1857:Y1857,$N$3:$Y$3,$N$2:$Y$2),SUMPRODUCT(N1857:Y1857,$N$4:$Y$4,$N$2:$Y$2))/(Z1857/($K1857*$L1857*$M1857)),"")</f>
        <v/>
      </c>
      <c r="AC1857" s="18" t="n"/>
    </row>
    <row r="1858">
      <c r="A1858" s="9" t="n">
        <v>682633</v>
      </c>
      <c r="B1858" s="9" t="inlineStr">
        <is>
          <t>Eduardo Garcia</t>
        </is>
      </c>
      <c r="C1858" s="9" t="inlineStr">
        <is>
          <t>MIL</t>
        </is>
      </c>
      <c r="D1858" s="9" t="n">
        <v>25</v>
      </c>
      <c r="E1858" s="16" t="inlineStr">
        <is>
          <t>R</t>
        </is>
      </c>
      <c r="F1858" s="16" t="n"/>
      <c r="G1858" s="9" t="n">
        <v>117.8974358974359</v>
      </c>
      <c r="H1858" s="9" t="n">
        <v>117.8974358974359</v>
      </c>
      <c r="I1858" s="9" t="inlineStr">
        <is>
          <t>Depth (no MLB PA)</t>
        </is>
      </c>
      <c r="J1858" s="16" t="inlineStr">
        <is>
          <t>Opening Day</t>
        </is>
      </c>
      <c r="K1858" s="11">
        <f>IFERROR(INDEX(Roles!$B$17:$B$20,MATCH(J1858,Roles!$A$17:$A$20,0)),1)</f>
        <v/>
      </c>
      <c r="L1858" s="17" t="n">
        <v>1</v>
      </c>
      <c r="M1858" s="11" t="n">
        <v>1</v>
      </c>
      <c r="N1858" s="17" t="n"/>
      <c r="O1858" s="17" t="n"/>
      <c r="P1858" s="17" t="n"/>
      <c r="Q1858" s="17" t="n"/>
      <c r="R1858" s="17" t="n"/>
      <c r="S1858" s="17" t="n"/>
      <c r="T1858" s="17" t="n"/>
      <c r="U1858" s="17" t="n"/>
      <c r="V1858" s="17" t="n"/>
      <c r="W1858" s="17" t="n"/>
      <c r="X1858" s="17" t="n"/>
      <c r="Y1858" s="17" t="n">
        <v>1</v>
      </c>
      <c r="Z1858" s="13">
        <f>SUMPRODUCT(N1858:Y1858,$N$2:$Y$2)*$K1858*$L1858*$M1858</f>
        <v/>
      </c>
      <c r="AA1858" s="14">
        <f>SUM(N1858:Y1858)</f>
        <v/>
      </c>
      <c r="AB1858" s="14">
        <f>IFERROR(IF(UPPER($E1858)="L",SUMPRODUCT(N1858:Y1858,$N$3:$Y$3,$N$2:$Y$2),SUMPRODUCT(N1858:Y1858,$N$4:$Y$4,$N$2:$Y$2))/(Z1858/($K1858*$L1858*$M1858)),"")</f>
        <v/>
      </c>
      <c r="AC1858" s="18" t="n"/>
    </row>
    <row r="1859">
      <c r="A1859" s="9" t="n">
        <v>806534</v>
      </c>
      <c r="B1859" s="9" t="inlineStr">
        <is>
          <t>Ben Gobbel</t>
        </is>
      </c>
      <c r="C1859" s="9" t="inlineStr">
        <is>
          <t>LAA</t>
        </is>
      </c>
      <c r="D1859" s="9" t="n">
        <v>25</v>
      </c>
      <c r="E1859" s="16" t="inlineStr">
        <is>
          <t>R</t>
        </is>
      </c>
      <c r="F1859" s="16" t="n"/>
      <c r="G1859" s="9" t="n">
        <v>154.5641025641026</v>
      </c>
      <c r="H1859" s="9" t="n">
        <v>154.5641025641026</v>
      </c>
      <c r="I1859" s="9" t="inlineStr">
        <is>
          <t>Depth (no MLB PA)</t>
        </is>
      </c>
      <c r="J1859" s="16" t="inlineStr">
        <is>
          <t>Opening Day</t>
        </is>
      </c>
      <c r="K1859" s="11">
        <f>IFERROR(INDEX(Roles!$B$17:$B$20,MATCH(J1859,Roles!$A$17:$A$20,0)),1)</f>
        <v/>
      </c>
      <c r="L1859" s="17" t="n">
        <v>1</v>
      </c>
      <c r="M1859" s="11" t="n">
        <v>1</v>
      </c>
      <c r="N1859" s="17" t="n"/>
      <c r="O1859" s="17" t="n"/>
      <c r="P1859" s="17" t="n"/>
      <c r="Q1859" s="17" t="n"/>
      <c r="R1859" s="17" t="n"/>
      <c r="S1859" s="17" t="n"/>
      <c r="T1859" s="17" t="n"/>
      <c r="U1859" s="17" t="n"/>
      <c r="V1859" s="17" t="n"/>
      <c r="W1859" s="17" t="n"/>
      <c r="X1859" s="17" t="n"/>
      <c r="Y1859" s="17" t="n">
        <v>1</v>
      </c>
      <c r="Z1859" s="13">
        <f>SUMPRODUCT(N1859:Y1859,$N$2:$Y$2)*$K1859*$L1859*$M1859</f>
        <v/>
      </c>
      <c r="AA1859" s="14">
        <f>SUM(N1859:Y1859)</f>
        <v/>
      </c>
      <c r="AB1859" s="14">
        <f>IFERROR(IF(UPPER($E1859)="L",SUMPRODUCT(N1859:Y1859,$N$3:$Y$3,$N$2:$Y$2),SUMPRODUCT(N1859:Y1859,$N$4:$Y$4,$N$2:$Y$2))/(Z1859/($K1859*$L1859*$M1859)),"")</f>
        <v/>
      </c>
      <c r="AC1859" s="18" t="n"/>
    </row>
    <row r="1860">
      <c r="A1860" s="9" t="n">
        <v>702283</v>
      </c>
      <c r="B1860" s="9" t="inlineStr">
        <is>
          <t>Tucker Toman</t>
        </is>
      </c>
      <c r="C1860" s="9" t="inlineStr">
        <is>
          <t>TOR</t>
        </is>
      </c>
      <c r="D1860" s="9" t="n">
        <v>25</v>
      </c>
      <c r="E1860" s="16" t="inlineStr">
        <is>
          <t>L</t>
        </is>
      </c>
      <c r="F1860" s="16" t="n"/>
      <c r="G1860" s="9" t="n">
        <v>31.23076923076922</v>
      </c>
      <c r="H1860" s="9" t="n">
        <v>31.23076923076922</v>
      </c>
      <c r="I1860" s="9" t="inlineStr">
        <is>
          <t>Depth (no MLB PA)</t>
        </is>
      </c>
      <c r="J1860" s="16" t="inlineStr">
        <is>
          <t>Opening Day</t>
        </is>
      </c>
      <c r="K1860" s="11">
        <f>IFERROR(INDEX(Roles!$B$17:$B$20,MATCH(J1860,Roles!$A$17:$A$20,0)),1)</f>
        <v/>
      </c>
      <c r="L1860" s="17" t="n">
        <v>1</v>
      </c>
      <c r="M1860" s="11" t="n">
        <v>1</v>
      </c>
      <c r="N1860" s="17" t="n"/>
      <c r="O1860" s="17" t="n"/>
      <c r="P1860" s="17" t="n"/>
      <c r="Q1860" s="17" t="n"/>
      <c r="R1860" s="17" t="n"/>
      <c r="S1860" s="17" t="n"/>
      <c r="T1860" s="17" t="n"/>
      <c r="U1860" s="17" t="n"/>
      <c r="V1860" s="17" t="n"/>
      <c r="W1860" s="17" t="n"/>
      <c r="X1860" s="17" t="n"/>
      <c r="Y1860" s="17" t="n">
        <v>1</v>
      </c>
      <c r="Z1860" s="13">
        <f>SUMPRODUCT(N1860:Y1860,$N$2:$Y$2)*$K1860*$L1860*$M1860</f>
        <v/>
      </c>
      <c r="AA1860" s="14">
        <f>SUM(N1860:Y1860)</f>
        <v/>
      </c>
      <c r="AB1860" s="14">
        <f>IFERROR(IF(UPPER($E1860)="L",SUMPRODUCT(N1860:Y1860,$N$3:$Y$3,$N$2:$Y$2),SUMPRODUCT(N1860:Y1860,$N$4:$Y$4,$N$2:$Y$2))/(Z1860/($K1860*$L1860*$M1860)),"")</f>
        <v/>
      </c>
      <c r="AC1860" s="18" t="n"/>
    </row>
    <row r="1861">
      <c r="A1861" s="9" t="n">
        <v>703726</v>
      </c>
      <c r="B1861" s="9" t="inlineStr">
        <is>
          <t>Edward Vargas</t>
        </is>
      </c>
      <c r="C1861" s="9" t="inlineStr">
        <is>
          <t>CHC</t>
        </is>
      </c>
      <c r="D1861" s="9" t="n">
        <v>25</v>
      </c>
      <c r="E1861" s="16" t="inlineStr">
        <is>
          <t>R</t>
        </is>
      </c>
      <c r="F1861" s="16" t="n"/>
      <c r="G1861" s="9" t="n">
        <v>24.86153846153847</v>
      </c>
      <c r="H1861" s="9" t="n">
        <v>24.86153846153847</v>
      </c>
      <c r="I1861" s="9" t="inlineStr">
        <is>
          <t>Depth (no MLB PA)</t>
        </is>
      </c>
      <c r="J1861" s="16" t="inlineStr">
        <is>
          <t>Opening Day</t>
        </is>
      </c>
      <c r="K1861" s="11">
        <f>IFERROR(INDEX(Roles!$B$17:$B$20,MATCH(J1861,Roles!$A$17:$A$20,0)),1)</f>
        <v/>
      </c>
      <c r="L1861" s="17" t="n">
        <v>1</v>
      </c>
      <c r="M1861" s="11" t="n">
        <v>1</v>
      </c>
      <c r="N1861" s="17" t="n"/>
      <c r="O1861" s="17" t="n"/>
      <c r="P1861" s="17" t="n"/>
      <c r="Q1861" s="17" t="n"/>
      <c r="R1861" s="17" t="n"/>
      <c r="S1861" s="17" t="n"/>
      <c r="T1861" s="17" t="n"/>
      <c r="U1861" s="17" t="n"/>
      <c r="V1861" s="17" t="n"/>
      <c r="W1861" s="17" t="n"/>
      <c r="X1861" s="17" t="n"/>
      <c r="Y1861" s="17" t="n">
        <v>1</v>
      </c>
      <c r="Z1861" s="13">
        <f>SUMPRODUCT(N1861:Y1861,$N$2:$Y$2)*$K1861*$L1861*$M1861</f>
        <v/>
      </c>
      <c r="AA1861" s="14">
        <f>SUM(N1861:Y1861)</f>
        <v/>
      </c>
      <c r="AB1861" s="14">
        <f>IFERROR(IF(UPPER($E1861)="L",SUMPRODUCT(N1861:Y1861,$N$3:$Y$3,$N$2:$Y$2),SUMPRODUCT(N1861:Y1861,$N$4:$Y$4,$N$2:$Y$2))/(Z1861/($K1861*$L1861*$M1861)),"")</f>
        <v/>
      </c>
      <c r="AC1861" s="18" t="n"/>
    </row>
    <row r="1862">
      <c r="A1862" s="9" t="n">
        <v>808041</v>
      </c>
      <c r="B1862" s="9" t="inlineStr">
        <is>
          <t>Abraham Nunez</t>
        </is>
      </c>
      <c r="C1862" s="9" t="inlineStr">
        <is>
          <t>CWS</t>
        </is>
      </c>
      <c r="D1862" s="9" t="n">
        <v>25</v>
      </c>
      <c r="E1862" s="16" t="inlineStr">
        <is>
          <t>L</t>
        </is>
      </c>
      <c r="F1862" s="16" t="n"/>
      <c r="G1862" s="9" t="n">
        <v>34.09230769230769</v>
      </c>
      <c r="H1862" s="9" t="n">
        <v>34.09230769230769</v>
      </c>
      <c r="I1862" s="9" t="inlineStr">
        <is>
          <t>Depth (no MLB PA)</t>
        </is>
      </c>
      <c r="J1862" s="16" t="inlineStr">
        <is>
          <t>Opening Day</t>
        </is>
      </c>
      <c r="K1862" s="11">
        <f>IFERROR(INDEX(Roles!$B$17:$B$20,MATCH(J1862,Roles!$A$17:$A$20,0)),1)</f>
        <v/>
      </c>
      <c r="L1862" s="17" t="n">
        <v>1</v>
      </c>
      <c r="M1862" s="11" t="n">
        <v>1</v>
      </c>
      <c r="N1862" s="17" t="n"/>
      <c r="O1862" s="17" t="n"/>
      <c r="P1862" s="17" t="n"/>
      <c r="Q1862" s="17" t="n"/>
      <c r="R1862" s="17" t="n"/>
      <c r="S1862" s="17" t="n"/>
      <c r="T1862" s="17" t="n"/>
      <c r="U1862" s="17" t="n"/>
      <c r="V1862" s="17" t="n"/>
      <c r="W1862" s="17" t="n"/>
      <c r="X1862" s="17" t="n"/>
      <c r="Y1862" s="17" t="n">
        <v>1</v>
      </c>
      <c r="Z1862" s="13">
        <f>SUMPRODUCT(N1862:Y1862,$N$2:$Y$2)*$K1862*$L1862*$M1862</f>
        <v/>
      </c>
      <c r="AA1862" s="14">
        <f>SUM(N1862:Y1862)</f>
        <v/>
      </c>
      <c r="AB1862" s="14">
        <f>IFERROR(IF(UPPER($E1862)="L",SUMPRODUCT(N1862:Y1862,$N$3:$Y$3,$N$2:$Y$2),SUMPRODUCT(N1862:Y1862,$N$4:$Y$4,$N$2:$Y$2))/(Z1862/($K1862*$L1862*$M1862)),"")</f>
        <v/>
      </c>
      <c r="AC1862" s="18" t="n"/>
    </row>
    <row r="1863">
      <c r="A1863" s="9" t="n">
        <v>803015</v>
      </c>
      <c r="B1863" s="9" t="inlineStr">
        <is>
          <t>Ben Hartl</t>
        </is>
      </c>
      <c r="C1863" s="9" t="inlineStr">
        <is>
          <t>CWS</t>
        </is>
      </c>
      <c r="D1863" s="9" t="n">
        <v>25</v>
      </c>
      <c r="E1863" s="16" t="inlineStr">
        <is>
          <t>R</t>
        </is>
      </c>
      <c r="F1863" s="16" t="n"/>
      <c r="G1863" s="9" t="n">
        <v>35.07692307692308</v>
      </c>
      <c r="H1863" s="9" t="n">
        <v>35.07692307692308</v>
      </c>
      <c r="I1863" s="9" t="inlineStr">
        <is>
          <t>Depth (no MLB PA)</t>
        </is>
      </c>
      <c r="J1863" s="16" t="inlineStr">
        <is>
          <t>Opening Day</t>
        </is>
      </c>
      <c r="K1863" s="11">
        <f>IFERROR(INDEX(Roles!$B$17:$B$20,MATCH(J1863,Roles!$A$17:$A$20,0)),1)</f>
        <v/>
      </c>
      <c r="L1863" s="17" t="n">
        <v>1</v>
      </c>
      <c r="M1863" s="11" t="n">
        <v>1</v>
      </c>
      <c r="N1863" s="17" t="n"/>
      <c r="O1863" s="17" t="n"/>
      <c r="P1863" s="17" t="n"/>
      <c r="Q1863" s="17" t="n"/>
      <c r="R1863" s="17" t="n"/>
      <c r="S1863" s="17" t="n"/>
      <c r="T1863" s="17" t="n"/>
      <c r="U1863" s="17" t="n"/>
      <c r="V1863" s="17" t="n"/>
      <c r="W1863" s="17" t="n"/>
      <c r="X1863" s="17" t="n"/>
      <c r="Y1863" s="17" t="n">
        <v>1</v>
      </c>
      <c r="Z1863" s="13">
        <f>SUMPRODUCT(N1863:Y1863,$N$2:$Y$2)*$K1863*$L1863*$M1863</f>
        <v/>
      </c>
      <c r="AA1863" s="14">
        <f>SUM(N1863:Y1863)</f>
        <v/>
      </c>
      <c r="AB1863" s="14">
        <f>IFERROR(IF(UPPER($E1863)="L",SUMPRODUCT(N1863:Y1863,$N$3:$Y$3,$N$2:$Y$2),SUMPRODUCT(N1863:Y1863,$N$4:$Y$4,$N$2:$Y$2))/(Z1863/($K1863*$L1863*$M1863)),"")</f>
        <v/>
      </c>
      <c r="AC1863" s="18" t="n"/>
    </row>
    <row r="1864">
      <c r="A1864" s="9" t="n">
        <v>671956</v>
      </c>
      <c r="B1864" s="9" t="inlineStr">
        <is>
          <t>Noah Myers</t>
        </is>
      </c>
      <c r="C1864" s="9" t="inlineStr">
        <is>
          <t>TB</t>
        </is>
      </c>
      <c r="D1864" s="9" t="n">
        <v>25</v>
      </c>
      <c r="E1864" s="16" t="inlineStr">
        <is>
          <t>L</t>
        </is>
      </c>
      <c r="F1864" s="16" t="n"/>
      <c r="G1864" s="9" t="n">
        <v>30.51282051282051</v>
      </c>
      <c r="H1864" s="9" t="n">
        <v>30.51282051282051</v>
      </c>
      <c r="I1864" s="9" t="inlineStr">
        <is>
          <t>Depth (no MLB PA)</t>
        </is>
      </c>
      <c r="J1864" s="16" t="inlineStr">
        <is>
          <t>Opening Day</t>
        </is>
      </c>
      <c r="K1864" s="11">
        <f>IFERROR(INDEX(Roles!$B$17:$B$20,MATCH(J1864,Roles!$A$17:$A$20,0)),1)</f>
        <v/>
      </c>
      <c r="L1864" s="17" t="n">
        <v>1</v>
      </c>
      <c r="M1864" s="11" t="n">
        <v>1</v>
      </c>
      <c r="N1864" s="17" t="n"/>
      <c r="O1864" s="17" t="n"/>
      <c r="P1864" s="17" t="n"/>
      <c r="Q1864" s="17" t="n"/>
      <c r="R1864" s="17" t="n"/>
      <c r="S1864" s="17" t="n"/>
      <c r="T1864" s="17" t="n"/>
      <c r="U1864" s="17" t="n"/>
      <c r="V1864" s="17" t="n"/>
      <c r="W1864" s="17" t="n"/>
      <c r="X1864" s="17" t="n"/>
      <c r="Y1864" s="17" t="n">
        <v>1</v>
      </c>
      <c r="Z1864" s="13">
        <f>SUMPRODUCT(N1864:Y1864,$N$2:$Y$2)*$K1864*$L1864*$M1864</f>
        <v/>
      </c>
      <c r="AA1864" s="14">
        <f>SUM(N1864:Y1864)</f>
        <v/>
      </c>
      <c r="AB1864" s="14">
        <f>IFERROR(IF(UPPER($E1864)="L",SUMPRODUCT(N1864:Y1864,$N$3:$Y$3,$N$2:$Y$2),SUMPRODUCT(N1864:Y1864,$N$4:$Y$4,$N$2:$Y$2))/(Z1864/($K1864*$L1864*$M1864)),"")</f>
        <v/>
      </c>
      <c r="AC1864" s="18" t="n"/>
    </row>
    <row r="1865">
      <c r="A1865" s="9" t="n">
        <v>800029</v>
      </c>
      <c r="B1865" s="9" t="inlineStr">
        <is>
          <t>Modeifi Marte</t>
        </is>
      </c>
      <c r="C1865" s="9" t="inlineStr">
        <is>
          <t>ARI</t>
        </is>
      </c>
      <c r="D1865" s="9" t="n">
        <v>25</v>
      </c>
      <c r="E1865" s="16" t="inlineStr">
        <is>
          <t>R</t>
        </is>
      </c>
      <c r="F1865" s="16" t="n"/>
      <c r="G1865" s="9" t="n">
        <v>55.7948717948718</v>
      </c>
      <c r="H1865" s="9" t="n">
        <v>55.7948717948718</v>
      </c>
      <c r="I1865" s="9" t="inlineStr">
        <is>
          <t>Depth (no MLB PA)</t>
        </is>
      </c>
      <c r="J1865" s="16" t="inlineStr">
        <is>
          <t>Opening Day</t>
        </is>
      </c>
      <c r="K1865" s="11">
        <f>IFERROR(INDEX(Roles!$B$17:$B$20,MATCH(J1865,Roles!$A$17:$A$20,0)),1)</f>
        <v/>
      </c>
      <c r="L1865" s="17" t="n">
        <v>1</v>
      </c>
      <c r="M1865" s="11" t="n">
        <v>1</v>
      </c>
      <c r="N1865" s="17" t="n"/>
      <c r="O1865" s="17" t="n"/>
      <c r="P1865" s="17" t="n"/>
      <c r="Q1865" s="17" t="n"/>
      <c r="R1865" s="17" t="n"/>
      <c r="S1865" s="17" t="n"/>
      <c r="T1865" s="17" t="n"/>
      <c r="U1865" s="17" t="n"/>
      <c r="V1865" s="17" t="n"/>
      <c r="W1865" s="17" t="n"/>
      <c r="X1865" s="17" t="n"/>
      <c r="Y1865" s="17" t="n">
        <v>1</v>
      </c>
      <c r="Z1865" s="13">
        <f>SUMPRODUCT(N1865:Y1865,$N$2:$Y$2)*$K1865*$L1865*$M1865</f>
        <v/>
      </c>
      <c r="AA1865" s="14">
        <f>SUM(N1865:Y1865)</f>
        <v/>
      </c>
      <c r="AB1865" s="14">
        <f>IFERROR(IF(UPPER($E1865)="L",SUMPRODUCT(N1865:Y1865,$N$3:$Y$3,$N$2:$Y$2),SUMPRODUCT(N1865:Y1865,$N$4:$Y$4,$N$2:$Y$2))/(Z1865/($K1865*$L1865*$M1865)),"")</f>
        <v/>
      </c>
      <c r="AC1865" s="18" t="n"/>
    </row>
    <row r="1866">
      <c r="A1866" s="9" t="n">
        <v>624503</v>
      </c>
      <c r="B1866" s="9" t="inlineStr">
        <is>
          <t>Nick Gordon</t>
        </is>
      </c>
      <c r="C1866" s="9" t="inlineStr">
        <is>
          <t>MIA</t>
        </is>
      </c>
      <c r="D1866" s="9" t="n">
        <v>31</v>
      </c>
      <c r="E1866" s="16" t="inlineStr">
        <is>
          <t>L</t>
        </is>
      </c>
      <c r="F1866" s="16" t="inlineStr">
        <is>
          <t>LF</t>
        </is>
      </c>
      <c r="G1866" s="9" t="n">
        <v>275</v>
      </c>
      <c r="H1866" s="9" t="n">
        <v>811</v>
      </c>
      <c r="I1866" s="9" t="inlineStr">
        <is>
          <t>Depth (no MLB PA)</t>
        </is>
      </c>
      <c r="J1866" s="16" t="inlineStr">
        <is>
          <t>Opening Day</t>
        </is>
      </c>
      <c r="K1866" s="11">
        <f>IFERROR(INDEX(Roles!$B$17:$B$20,MATCH(J1866,Roles!$A$17:$A$20,0)),1)</f>
        <v/>
      </c>
      <c r="L1866" s="17" t="n">
        <v>1</v>
      </c>
      <c r="M1866" s="11" t="n">
        <v>1</v>
      </c>
      <c r="N1866" s="17" t="n"/>
      <c r="O1866" s="17" t="n"/>
      <c r="P1866" s="17" t="n"/>
      <c r="Q1866" s="17" t="n"/>
      <c r="R1866" s="17" t="n"/>
      <c r="S1866" s="17" t="n"/>
      <c r="T1866" s="17" t="n"/>
      <c r="U1866" s="17" t="n"/>
      <c r="V1866" s="17" t="n"/>
      <c r="W1866" s="17" t="n"/>
      <c r="X1866" s="17" t="n"/>
      <c r="Y1866" s="17" t="n">
        <v>1</v>
      </c>
      <c r="Z1866" s="13">
        <f>SUMPRODUCT(N1866:Y1866,$N$2:$Y$2)*$K1866*$L1866*$M1866</f>
        <v/>
      </c>
      <c r="AA1866" s="14">
        <f>SUM(N1866:Y1866)</f>
        <v/>
      </c>
      <c r="AB1866" s="14">
        <f>IFERROR(IF(UPPER($E1866)="L",SUMPRODUCT(N1866:Y1866,$N$3:$Y$3,$N$2:$Y$2),SUMPRODUCT(N1866:Y1866,$N$4:$Y$4,$N$2:$Y$2))/(Z1866/($K1866*$L1866*$M1866)),"")</f>
        <v/>
      </c>
      <c r="AC1866" s="18" t="n"/>
    </row>
    <row r="1867">
      <c r="A1867" s="9" t="n">
        <v>806984</v>
      </c>
      <c r="B1867" s="9" t="inlineStr">
        <is>
          <t>Arnaldo Lantigua</t>
        </is>
      </c>
      <c r="C1867" s="9" t="inlineStr">
        <is>
          <t>CIN</t>
        </is>
      </c>
      <c r="D1867" s="9" t="n">
        <v>25</v>
      </c>
      <c r="E1867" s="16" t="inlineStr">
        <is>
          <t>R</t>
        </is>
      </c>
      <c r="F1867" s="16" t="n"/>
      <c r="G1867" s="9" t="n">
        <v>49.84615384615385</v>
      </c>
      <c r="H1867" s="9" t="n">
        <v>49.84615384615385</v>
      </c>
      <c r="I1867" s="9" t="inlineStr">
        <is>
          <t>Depth (no MLB PA)</t>
        </is>
      </c>
      <c r="J1867" s="16" t="inlineStr">
        <is>
          <t>Opening Day</t>
        </is>
      </c>
      <c r="K1867" s="11">
        <f>IFERROR(INDEX(Roles!$B$17:$B$20,MATCH(J1867,Roles!$A$17:$A$20,0)),1)</f>
        <v/>
      </c>
      <c r="L1867" s="17" t="n">
        <v>1</v>
      </c>
      <c r="M1867" s="11" t="n">
        <v>1</v>
      </c>
      <c r="N1867" s="17" t="n"/>
      <c r="O1867" s="17" t="n"/>
      <c r="P1867" s="17" t="n"/>
      <c r="Q1867" s="17" t="n"/>
      <c r="R1867" s="17" t="n"/>
      <c r="S1867" s="17" t="n"/>
      <c r="T1867" s="17" t="n"/>
      <c r="U1867" s="17" t="n"/>
      <c r="V1867" s="17" t="n"/>
      <c r="W1867" s="17" t="n"/>
      <c r="X1867" s="17" t="n"/>
      <c r="Y1867" s="17" t="n">
        <v>1</v>
      </c>
      <c r="Z1867" s="13">
        <f>SUMPRODUCT(N1867:Y1867,$N$2:$Y$2)*$K1867*$L1867*$M1867</f>
        <v/>
      </c>
      <c r="AA1867" s="14">
        <f>SUM(N1867:Y1867)</f>
        <v/>
      </c>
      <c r="AB1867" s="14">
        <f>IFERROR(IF(UPPER($E1867)="L",SUMPRODUCT(N1867:Y1867,$N$3:$Y$3,$N$2:$Y$2),SUMPRODUCT(N1867:Y1867,$N$4:$Y$4,$N$2:$Y$2))/(Z1867/($K1867*$L1867*$M1867)),"")</f>
        <v/>
      </c>
      <c r="AC1867" s="18" t="n"/>
    </row>
    <row r="1868">
      <c r="A1868" s="9" t="n">
        <v>813896</v>
      </c>
      <c r="B1868" s="9" t="inlineStr">
        <is>
          <t>Joseph Sullivan</t>
        </is>
      </c>
      <c r="C1868" s="9" t="inlineStr">
        <is>
          <t>HOU</t>
        </is>
      </c>
      <c r="D1868" s="9" t="n">
        <v>25</v>
      </c>
      <c r="E1868" s="16" t="inlineStr">
        <is>
          <t>L</t>
        </is>
      </c>
      <c r="F1868" s="16" t="n"/>
      <c r="G1868" s="9" t="n">
        <v>120.2564102564102</v>
      </c>
      <c r="H1868" s="9" t="n">
        <v>120.2564102564102</v>
      </c>
      <c r="I1868" s="9" t="inlineStr">
        <is>
          <t>Depth (no MLB PA)</t>
        </is>
      </c>
      <c r="J1868" s="16" t="inlineStr">
        <is>
          <t>Opening Day</t>
        </is>
      </c>
      <c r="K1868" s="11">
        <f>IFERROR(INDEX(Roles!$B$17:$B$20,MATCH(J1868,Roles!$A$17:$A$20,0)),1)</f>
        <v/>
      </c>
      <c r="L1868" s="17" t="n">
        <v>1</v>
      </c>
      <c r="M1868" s="11" t="n">
        <v>1</v>
      </c>
      <c r="N1868" s="17" t="n"/>
      <c r="O1868" s="17" t="n"/>
      <c r="P1868" s="17" t="n"/>
      <c r="Q1868" s="17" t="n"/>
      <c r="R1868" s="17" t="n"/>
      <c r="S1868" s="17" t="n"/>
      <c r="T1868" s="17" t="n"/>
      <c r="U1868" s="17" t="n"/>
      <c r="V1868" s="17" t="n"/>
      <c r="W1868" s="17" t="n"/>
      <c r="X1868" s="17" t="n"/>
      <c r="Y1868" s="17" t="n">
        <v>1</v>
      </c>
      <c r="Z1868" s="13">
        <f>SUMPRODUCT(N1868:Y1868,$N$2:$Y$2)*$K1868*$L1868*$M1868</f>
        <v/>
      </c>
      <c r="AA1868" s="14">
        <f>SUM(N1868:Y1868)</f>
        <v/>
      </c>
      <c r="AB1868" s="14">
        <f>IFERROR(IF(UPPER($E1868)="L",SUMPRODUCT(N1868:Y1868,$N$3:$Y$3,$N$2:$Y$2),SUMPRODUCT(N1868:Y1868,$N$4:$Y$4,$N$2:$Y$2))/(Z1868/($K1868*$L1868*$M1868)),"")</f>
        <v/>
      </c>
      <c r="AC1868" s="18" t="n"/>
    </row>
    <row r="1869">
      <c r="A1869" s="9" t="n">
        <v>703602</v>
      </c>
      <c r="B1869" s="9" t="inlineStr">
        <is>
          <t>Jalin Flores</t>
        </is>
      </c>
      <c r="C1869" s="9" t="inlineStr">
        <is>
          <t>STL</t>
        </is>
      </c>
      <c r="D1869" s="9" t="n">
        <v>25</v>
      </c>
      <c r="E1869" s="16" t="inlineStr">
        <is>
          <t>R</t>
        </is>
      </c>
      <c r="F1869" s="16" t="n"/>
      <c r="G1869" s="9" t="n">
        <v>98.05128205128206</v>
      </c>
      <c r="H1869" s="9" t="n">
        <v>98.05128205128206</v>
      </c>
      <c r="I1869" s="9" t="inlineStr">
        <is>
          <t>Depth (no MLB PA)</t>
        </is>
      </c>
      <c r="J1869" s="16" t="inlineStr">
        <is>
          <t>Opening Day</t>
        </is>
      </c>
      <c r="K1869" s="11">
        <f>IFERROR(INDEX(Roles!$B$17:$B$20,MATCH(J1869,Roles!$A$17:$A$20,0)),1)</f>
        <v/>
      </c>
      <c r="L1869" s="17" t="n">
        <v>1</v>
      </c>
      <c r="M1869" s="11" t="n">
        <v>1</v>
      </c>
      <c r="N1869" s="17" t="n"/>
      <c r="O1869" s="17" t="n"/>
      <c r="P1869" s="17" t="n"/>
      <c r="Q1869" s="17" t="n"/>
      <c r="R1869" s="17" t="n"/>
      <c r="S1869" s="17" t="n"/>
      <c r="T1869" s="17" t="n"/>
      <c r="U1869" s="17" t="n"/>
      <c r="V1869" s="17" t="n"/>
      <c r="W1869" s="17" t="n"/>
      <c r="X1869" s="17" t="n"/>
      <c r="Y1869" s="17" t="n">
        <v>1</v>
      </c>
      <c r="Z1869" s="13">
        <f>SUMPRODUCT(N1869:Y1869,$N$2:$Y$2)*$K1869*$L1869*$M1869</f>
        <v/>
      </c>
      <c r="AA1869" s="14">
        <f>SUM(N1869:Y1869)</f>
        <v/>
      </c>
      <c r="AB1869" s="14">
        <f>IFERROR(IF(UPPER($E1869)="L",SUMPRODUCT(N1869:Y1869,$N$3:$Y$3,$N$2:$Y$2),SUMPRODUCT(N1869:Y1869,$N$4:$Y$4,$N$2:$Y$2))/(Z1869/($K1869*$L1869*$M1869)),"")</f>
        <v/>
      </c>
      <c r="AC1869" s="18" t="n"/>
    </row>
    <row r="1870">
      <c r="A1870" s="9" t="n">
        <v>692031</v>
      </c>
      <c r="B1870" s="9" t="inlineStr">
        <is>
          <t>George Feliz</t>
        </is>
      </c>
      <c r="C1870" s="9" t="inlineStr">
        <is>
          <t>SEA</t>
        </is>
      </c>
      <c r="D1870" s="9" t="n">
        <v>25</v>
      </c>
      <c r="E1870" s="16" t="inlineStr">
        <is>
          <t>R</t>
        </is>
      </c>
      <c r="F1870" s="16" t="n"/>
      <c r="G1870" s="9" t="n">
        <v>32.73846153846154</v>
      </c>
      <c r="H1870" s="9" t="n">
        <v>32.73846153846154</v>
      </c>
      <c r="I1870" s="9" t="inlineStr">
        <is>
          <t>Depth (no MLB PA)</t>
        </is>
      </c>
      <c r="J1870" s="16" t="inlineStr">
        <is>
          <t>Opening Day</t>
        </is>
      </c>
      <c r="K1870" s="11">
        <f>IFERROR(INDEX(Roles!$B$17:$B$20,MATCH(J1870,Roles!$A$17:$A$20,0)),1)</f>
        <v/>
      </c>
      <c r="L1870" s="17" t="n">
        <v>1</v>
      </c>
      <c r="M1870" s="11" t="n">
        <v>1</v>
      </c>
      <c r="N1870" s="17" t="n"/>
      <c r="O1870" s="17" t="n"/>
      <c r="P1870" s="17" t="n"/>
      <c r="Q1870" s="17" t="n"/>
      <c r="R1870" s="17" t="n"/>
      <c r="S1870" s="17" t="n"/>
      <c r="T1870" s="17" t="n"/>
      <c r="U1870" s="17" t="n"/>
      <c r="V1870" s="17" t="n"/>
      <c r="W1870" s="17" t="n"/>
      <c r="X1870" s="17" t="n"/>
      <c r="Y1870" s="17" t="n">
        <v>1</v>
      </c>
      <c r="Z1870" s="13">
        <f>SUMPRODUCT(N1870:Y1870,$N$2:$Y$2)*$K1870*$L1870*$M1870</f>
        <v/>
      </c>
      <c r="AA1870" s="14">
        <f>SUM(N1870:Y1870)</f>
        <v/>
      </c>
      <c r="AB1870" s="14">
        <f>IFERROR(IF(UPPER($E1870)="L",SUMPRODUCT(N1870:Y1870,$N$3:$Y$3,$N$2:$Y$2),SUMPRODUCT(N1870:Y1870,$N$4:$Y$4,$N$2:$Y$2))/(Z1870/($K1870*$L1870*$M1870)),"")</f>
        <v/>
      </c>
      <c r="AC1870" s="18" t="n"/>
    </row>
    <row r="1871">
      <c r="A1871" s="9" t="n">
        <v>836061</v>
      </c>
      <c r="B1871" s="9" t="inlineStr">
        <is>
          <t>George Bilecki</t>
        </is>
      </c>
      <c r="C1871" s="9" t="inlineStr">
        <is>
          <t>SD</t>
        </is>
      </c>
      <c r="D1871" s="9" t="n">
        <v>25</v>
      </c>
      <c r="E1871" s="16" t="inlineStr">
        <is>
          <t>L</t>
        </is>
      </c>
      <c r="F1871" s="16" t="n"/>
      <c r="G1871" s="9" t="n">
        <v>35.69230769230769</v>
      </c>
      <c r="H1871" s="9" t="n">
        <v>35.69230769230769</v>
      </c>
      <c r="I1871" s="9" t="inlineStr">
        <is>
          <t>Depth (no MLB PA)</t>
        </is>
      </c>
      <c r="J1871" s="16" t="inlineStr">
        <is>
          <t>Opening Day</t>
        </is>
      </c>
      <c r="K1871" s="11">
        <f>IFERROR(INDEX(Roles!$B$17:$B$20,MATCH(J1871,Roles!$A$17:$A$20,0)),1)</f>
        <v/>
      </c>
      <c r="L1871" s="17" t="n">
        <v>1</v>
      </c>
      <c r="M1871" s="11" t="n">
        <v>1</v>
      </c>
      <c r="N1871" s="17" t="n"/>
      <c r="O1871" s="17" t="n"/>
      <c r="P1871" s="17" t="n"/>
      <c r="Q1871" s="17" t="n"/>
      <c r="R1871" s="17" t="n"/>
      <c r="S1871" s="17" t="n"/>
      <c r="T1871" s="17" t="n"/>
      <c r="U1871" s="17" t="n"/>
      <c r="V1871" s="17" t="n"/>
      <c r="W1871" s="17" t="n"/>
      <c r="X1871" s="17" t="n"/>
      <c r="Y1871" s="17" t="n">
        <v>1</v>
      </c>
      <c r="Z1871" s="13">
        <f>SUMPRODUCT(N1871:Y1871,$N$2:$Y$2)*$K1871*$L1871*$M1871</f>
        <v/>
      </c>
      <c r="AA1871" s="14">
        <f>SUM(N1871:Y1871)</f>
        <v/>
      </c>
      <c r="AB1871" s="14">
        <f>IFERROR(IF(UPPER($E1871)="L",SUMPRODUCT(N1871:Y1871,$N$3:$Y$3,$N$2:$Y$2),SUMPRODUCT(N1871:Y1871,$N$4:$Y$4,$N$2:$Y$2))/(Z1871/($K1871*$L1871*$M1871)),"")</f>
        <v/>
      </c>
      <c r="AC1871" s="18" t="n"/>
    </row>
    <row r="1872">
      <c r="A1872" s="9" t="n">
        <v>702607</v>
      </c>
      <c r="B1872" s="9" t="inlineStr">
        <is>
          <t>Dakota Jordan</t>
        </is>
      </c>
      <c r="C1872" s="9" t="inlineStr">
        <is>
          <t>SF</t>
        </is>
      </c>
      <c r="D1872" s="9" t="n">
        <v>25</v>
      </c>
      <c r="E1872" s="16" t="inlineStr">
        <is>
          <t>R</t>
        </is>
      </c>
      <c r="F1872" s="16" t="n"/>
      <c r="G1872" s="9" t="n">
        <v>31.58974358974359</v>
      </c>
      <c r="H1872" s="9" t="n">
        <v>31.58974358974359</v>
      </c>
      <c r="I1872" s="9" t="inlineStr">
        <is>
          <t>Depth (no MLB PA)</t>
        </is>
      </c>
      <c r="J1872" s="16" t="inlineStr">
        <is>
          <t>Opening Day</t>
        </is>
      </c>
      <c r="K1872" s="11">
        <f>IFERROR(INDEX(Roles!$B$17:$B$20,MATCH(J1872,Roles!$A$17:$A$20,0)),1)</f>
        <v/>
      </c>
      <c r="L1872" s="17" t="n">
        <v>1</v>
      </c>
      <c r="M1872" s="11" t="n">
        <v>1</v>
      </c>
      <c r="N1872" s="17" t="n"/>
      <c r="O1872" s="17" t="n"/>
      <c r="P1872" s="17" t="n"/>
      <c r="Q1872" s="17" t="n"/>
      <c r="R1872" s="17" t="n"/>
      <c r="S1872" s="17" t="n"/>
      <c r="T1872" s="17" t="n"/>
      <c r="U1872" s="17" t="n"/>
      <c r="V1872" s="17" t="n"/>
      <c r="W1872" s="17" t="n"/>
      <c r="X1872" s="17" t="n"/>
      <c r="Y1872" s="17" t="n">
        <v>1</v>
      </c>
      <c r="Z1872" s="13">
        <f>SUMPRODUCT(N1872:Y1872,$N$2:$Y$2)*$K1872*$L1872*$M1872</f>
        <v/>
      </c>
      <c r="AA1872" s="14">
        <f>SUM(N1872:Y1872)</f>
        <v/>
      </c>
      <c r="AB1872" s="14">
        <f>IFERROR(IF(UPPER($E1872)="L",SUMPRODUCT(N1872:Y1872,$N$3:$Y$3,$N$2:$Y$2),SUMPRODUCT(N1872:Y1872,$N$4:$Y$4,$N$2:$Y$2))/(Z1872/($K1872*$L1872*$M1872)),"")</f>
        <v/>
      </c>
      <c r="AC1872" s="18" t="n"/>
    </row>
    <row r="1873">
      <c r="A1873" s="9" t="n">
        <v>666126</v>
      </c>
      <c r="B1873" s="9" t="inlineStr">
        <is>
          <t>Carlos Cortes</t>
        </is>
      </c>
      <c r="C1873" s="9" t="inlineStr">
        <is>
          <t>OAK</t>
        </is>
      </c>
      <c r="D1873" s="9" t="n">
        <v>30</v>
      </c>
      <c r="E1873" s="16" t="inlineStr">
        <is>
          <t>L</t>
        </is>
      </c>
      <c r="F1873" s="16" t="inlineStr">
        <is>
          <t>RF</t>
        </is>
      </c>
      <c r="G1873" s="9" t="n">
        <v>381</v>
      </c>
      <c r="H1873" s="9" t="n">
        <v>480</v>
      </c>
      <c r="I1873" s="9" t="inlineStr">
        <is>
          <t>Strong Side Platoon</t>
        </is>
      </c>
      <c r="J1873" s="16" t="inlineStr">
        <is>
          <t>Opening Day</t>
        </is>
      </c>
      <c r="K1873" s="11">
        <f>IFERROR(INDEX(Roles!$B$17:$B$20,MATCH(J1873,Roles!$A$17:$A$20,0)),1)</f>
        <v/>
      </c>
      <c r="L1873" s="17" t="n">
        <v>1</v>
      </c>
      <c r="M1873" s="11" t="n">
        <v>0.8711386631358964</v>
      </c>
      <c r="N1873" s="17" t="n">
        <v>0.4</v>
      </c>
      <c r="O1873" s="17" t="n"/>
      <c r="P1873" s="17" t="n">
        <v>0.6</v>
      </c>
      <c r="Q1873" s="17" t="n"/>
      <c r="R1873" s="17" t="n"/>
      <c r="S1873" s="17" t="n"/>
      <c r="T1873" s="17" t="n"/>
      <c r="U1873" s="17" t="n"/>
      <c r="V1873" s="17" t="n"/>
      <c r="W1873" s="17" t="n"/>
      <c r="X1873" s="17" t="n"/>
      <c r="Y1873" s="17" t="n"/>
      <c r="Z1873" s="13">
        <f>SUMPRODUCT(N1873:Y1873,$N$2:$Y$2)*$K1873*$L1873*$M1873</f>
        <v/>
      </c>
      <c r="AA1873" s="14">
        <f>SUM(N1873:Y1873)</f>
        <v/>
      </c>
      <c r="AB1873" s="14">
        <f>IFERROR(IF(UPPER($E1873)="L",SUMPRODUCT(N1873:Y1873,$N$3:$Y$3,$N$2:$Y$2),SUMPRODUCT(N1873:Y1873,$N$4:$Y$4,$N$2:$Y$2))/(Z1873/($K1873*$L1873*$M1873)),"")</f>
        <v/>
      </c>
      <c r="AC1873" s="18" t="n"/>
    </row>
    <row r="1874">
      <c r="A1874" s="9" t="n">
        <v>834681</v>
      </c>
      <c r="B1874" s="9" t="inlineStr">
        <is>
          <t>Matthew Miura</t>
        </is>
      </c>
      <c r="C1874" s="9" t="inlineStr">
        <is>
          <t>STL</t>
        </is>
      </c>
      <c r="D1874" s="9" t="n">
        <v>25</v>
      </c>
      <c r="E1874" s="16" t="inlineStr">
        <is>
          <t>R</t>
        </is>
      </c>
      <c r="F1874" s="16" t="n"/>
      <c r="G1874" s="9" t="n">
        <v>30.64615384615384</v>
      </c>
      <c r="H1874" s="9" t="n">
        <v>30.64615384615384</v>
      </c>
      <c r="I1874" s="9" t="inlineStr">
        <is>
          <t>Depth (no MLB PA)</t>
        </is>
      </c>
      <c r="J1874" s="16" t="inlineStr">
        <is>
          <t>Opening Day</t>
        </is>
      </c>
      <c r="K1874" s="11">
        <f>IFERROR(INDEX(Roles!$B$17:$B$20,MATCH(J1874,Roles!$A$17:$A$20,0)),1)</f>
        <v/>
      </c>
      <c r="L1874" s="17" t="n">
        <v>1</v>
      </c>
      <c r="M1874" s="11" t="n">
        <v>1</v>
      </c>
      <c r="N1874" s="17" t="n"/>
      <c r="O1874" s="17" t="n"/>
      <c r="P1874" s="17" t="n"/>
      <c r="Q1874" s="17" t="n"/>
      <c r="R1874" s="17" t="n"/>
      <c r="S1874" s="17" t="n"/>
      <c r="T1874" s="17" t="n"/>
      <c r="U1874" s="17" t="n"/>
      <c r="V1874" s="17" t="n"/>
      <c r="W1874" s="17" t="n"/>
      <c r="X1874" s="17" t="n"/>
      <c r="Y1874" s="17" t="n">
        <v>1</v>
      </c>
      <c r="Z1874" s="13">
        <f>SUMPRODUCT(N1874:Y1874,$N$2:$Y$2)*$K1874*$L1874*$M1874</f>
        <v/>
      </c>
      <c r="AA1874" s="14">
        <f>SUM(N1874:Y1874)</f>
        <v/>
      </c>
      <c r="AB1874" s="14">
        <f>IFERROR(IF(UPPER($E1874)="L",SUMPRODUCT(N1874:Y1874,$N$3:$Y$3,$N$2:$Y$2),SUMPRODUCT(N1874:Y1874,$N$4:$Y$4,$N$2:$Y$2))/(Z1874/($K1874*$L1874*$M1874)),"")</f>
        <v/>
      </c>
      <c r="AC1874" s="18" t="n"/>
    </row>
    <row r="1875">
      <c r="A1875" s="9" t="n">
        <v>815010</v>
      </c>
      <c r="B1875" s="9" t="inlineStr">
        <is>
          <t>Junior Garcia</t>
        </is>
      </c>
      <c r="C1875" s="9" t="inlineStr">
        <is>
          <t>ATL</t>
        </is>
      </c>
      <c r="D1875" s="9" t="n">
        <v>25</v>
      </c>
      <c r="E1875" s="16" t="inlineStr">
        <is>
          <t>L</t>
        </is>
      </c>
      <c r="F1875" s="16" t="n"/>
      <c r="G1875" s="9" t="n">
        <v>30.52307692307692</v>
      </c>
      <c r="H1875" s="9" t="n">
        <v>30.52307692307692</v>
      </c>
      <c r="I1875" s="9" t="inlineStr">
        <is>
          <t>Depth (no MLB PA)</t>
        </is>
      </c>
      <c r="J1875" s="16" t="inlineStr">
        <is>
          <t>Opening Day</t>
        </is>
      </c>
      <c r="K1875" s="11">
        <f>IFERROR(INDEX(Roles!$B$17:$B$20,MATCH(J1875,Roles!$A$17:$A$20,0)),1)</f>
        <v/>
      </c>
      <c r="L1875" s="17" t="n">
        <v>1</v>
      </c>
      <c r="M1875" s="11" t="n">
        <v>1</v>
      </c>
      <c r="N1875" s="17" t="n"/>
      <c r="O1875" s="17" t="n"/>
      <c r="P1875" s="17" t="n"/>
      <c r="Q1875" s="17" t="n"/>
      <c r="R1875" s="17" t="n"/>
      <c r="S1875" s="17" t="n"/>
      <c r="T1875" s="17" t="n"/>
      <c r="U1875" s="17" t="n"/>
      <c r="V1875" s="17" t="n"/>
      <c r="W1875" s="17" t="n"/>
      <c r="X1875" s="17" t="n"/>
      <c r="Y1875" s="17" t="n">
        <v>1</v>
      </c>
      <c r="Z1875" s="13">
        <f>SUMPRODUCT(N1875:Y1875,$N$2:$Y$2)*$K1875*$L1875*$M1875</f>
        <v/>
      </c>
      <c r="AA1875" s="14">
        <f>SUM(N1875:Y1875)</f>
        <v/>
      </c>
      <c r="AB1875" s="14">
        <f>IFERROR(IF(UPPER($E1875)="L",SUMPRODUCT(N1875:Y1875,$N$3:$Y$3,$N$2:$Y$2),SUMPRODUCT(N1875:Y1875,$N$4:$Y$4,$N$2:$Y$2))/(Z1875/($K1875*$L1875*$M1875)),"")</f>
        <v/>
      </c>
      <c r="AC1875" s="18" t="n"/>
    </row>
    <row r="1876">
      <c r="A1876" s="9" t="n">
        <v>826142</v>
      </c>
      <c r="B1876" s="9" t="inlineStr">
        <is>
          <t>JoJo Jackson</t>
        </is>
      </c>
      <c r="C1876" s="9" t="inlineStr">
        <is>
          <t>NYY</t>
        </is>
      </c>
      <c r="D1876" s="9" t="n">
        <v>25</v>
      </c>
      <c r="E1876" s="16" t="inlineStr">
        <is>
          <t>S</t>
        </is>
      </c>
      <c r="F1876" s="16" t="n"/>
      <c r="G1876" s="9" t="n">
        <v>27.44615384615385</v>
      </c>
      <c r="H1876" s="9" t="n">
        <v>27.44615384615385</v>
      </c>
      <c r="I1876" s="9" t="inlineStr">
        <is>
          <t>Depth (no MLB PA)</t>
        </is>
      </c>
      <c r="J1876" s="16" t="inlineStr">
        <is>
          <t>Opening Day</t>
        </is>
      </c>
      <c r="K1876" s="11">
        <f>IFERROR(INDEX(Roles!$B$17:$B$20,MATCH(J1876,Roles!$A$17:$A$20,0)),1)</f>
        <v/>
      </c>
      <c r="L1876" s="17" t="n">
        <v>1</v>
      </c>
      <c r="M1876" s="11" t="n">
        <v>1</v>
      </c>
      <c r="N1876" s="17" t="n"/>
      <c r="O1876" s="17" t="n"/>
      <c r="P1876" s="17" t="n"/>
      <c r="Q1876" s="17" t="n"/>
      <c r="R1876" s="17" t="n"/>
      <c r="S1876" s="17" t="n"/>
      <c r="T1876" s="17" t="n"/>
      <c r="U1876" s="17" t="n"/>
      <c r="V1876" s="17" t="n"/>
      <c r="W1876" s="17" t="n"/>
      <c r="X1876" s="17" t="n"/>
      <c r="Y1876" s="17" t="n">
        <v>1</v>
      </c>
      <c r="Z1876" s="13">
        <f>SUMPRODUCT(N1876:Y1876,$N$2:$Y$2)*$K1876*$L1876*$M1876</f>
        <v/>
      </c>
      <c r="AA1876" s="14">
        <f>SUM(N1876:Y1876)</f>
        <v/>
      </c>
      <c r="AB1876" s="14">
        <f>IFERROR(IF(UPPER($E1876)="L",SUMPRODUCT(N1876:Y1876,$N$3:$Y$3,$N$2:$Y$2),SUMPRODUCT(N1876:Y1876,$N$4:$Y$4,$N$2:$Y$2))/(Z1876/($K1876*$L1876*$M1876)),"")</f>
        <v/>
      </c>
      <c r="AC1876" s="18" t="n"/>
    </row>
    <row r="1877">
      <c r="A1877" s="9" t="n">
        <v>694351</v>
      </c>
      <c r="B1877" s="9" t="inlineStr">
        <is>
          <t>Jacob Berry</t>
        </is>
      </c>
      <c r="C1877" s="9" t="inlineStr">
        <is>
          <t>KC</t>
        </is>
      </c>
      <c r="D1877" s="9" t="n">
        <v>25</v>
      </c>
      <c r="E1877" s="16" t="inlineStr">
        <is>
          <t>S</t>
        </is>
      </c>
      <c r="F1877" s="16" t="n"/>
      <c r="G1877" s="9" t="n">
        <v>226.7692307692308</v>
      </c>
      <c r="H1877" s="9" t="n">
        <v>226.7692307692308</v>
      </c>
      <c r="I1877" s="9" t="inlineStr">
        <is>
          <t>Depth (no MLB PA)</t>
        </is>
      </c>
      <c r="J1877" s="16" t="inlineStr">
        <is>
          <t>Opening Day</t>
        </is>
      </c>
      <c r="K1877" s="11">
        <f>IFERROR(INDEX(Roles!$B$17:$B$20,MATCH(J1877,Roles!$A$17:$A$20,0)),1)</f>
        <v/>
      </c>
      <c r="L1877" s="17" t="n">
        <v>1</v>
      </c>
      <c r="M1877" s="11" t="n">
        <v>1</v>
      </c>
      <c r="N1877" s="17" t="n"/>
      <c r="O1877" s="17" t="n"/>
      <c r="P1877" s="17" t="n"/>
      <c r="Q1877" s="17" t="n"/>
      <c r="R1877" s="17" t="n"/>
      <c r="S1877" s="17" t="n"/>
      <c r="T1877" s="17" t="n"/>
      <c r="U1877" s="17" t="n"/>
      <c r="V1877" s="17" t="n"/>
      <c r="W1877" s="17" t="n"/>
      <c r="X1877" s="17" t="n"/>
      <c r="Y1877" s="17" t="n">
        <v>1</v>
      </c>
      <c r="Z1877" s="13">
        <f>SUMPRODUCT(N1877:Y1877,$N$2:$Y$2)*$K1877*$L1877*$M1877</f>
        <v/>
      </c>
      <c r="AA1877" s="14">
        <f>SUM(N1877:Y1877)</f>
        <v/>
      </c>
      <c r="AB1877" s="14">
        <f>IFERROR(IF(UPPER($E1877)="L",SUMPRODUCT(N1877:Y1877,$N$3:$Y$3,$N$2:$Y$2),SUMPRODUCT(N1877:Y1877,$N$4:$Y$4,$N$2:$Y$2))/(Z1877/($K1877*$L1877*$M1877)),"")</f>
        <v/>
      </c>
      <c r="AC1877" s="18" t="n"/>
    </row>
    <row r="1878">
      <c r="A1878" s="9" t="n">
        <v>802219</v>
      </c>
      <c r="B1878" s="9" t="inlineStr">
        <is>
          <t>Woody Hadeen</t>
        </is>
      </c>
      <c r="C1878" s="9" t="inlineStr">
        <is>
          <t>DET</t>
        </is>
      </c>
      <c r="D1878" s="9" t="n">
        <v>25</v>
      </c>
      <c r="E1878" s="16" t="inlineStr">
        <is>
          <t>S</t>
        </is>
      </c>
      <c r="F1878" s="16" t="n"/>
      <c r="G1878" s="9" t="n">
        <v>42</v>
      </c>
      <c r="H1878" s="9" t="n">
        <v>42</v>
      </c>
      <c r="I1878" s="9" t="inlineStr">
        <is>
          <t>Depth (no MLB PA)</t>
        </is>
      </c>
      <c r="J1878" s="16" t="inlineStr">
        <is>
          <t>Opening Day</t>
        </is>
      </c>
      <c r="K1878" s="11">
        <f>IFERROR(INDEX(Roles!$B$17:$B$20,MATCH(J1878,Roles!$A$17:$A$20,0)),1)</f>
        <v/>
      </c>
      <c r="L1878" s="17" t="n">
        <v>1</v>
      </c>
      <c r="M1878" s="11" t="n">
        <v>1</v>
      </c>
      <c r="N1878" s="17" t="n"/>
      <c r="O1878" s="17" t="n"/>
      <c r="P1878" s="17" t="n"/>
      <c r="Q1878" s="17" t="n"/>
      <c r="R1878" s="17" t="n"/>
      <c r="S1878" s="17" t="n"/>
      <c r="T1878" s="17" t="n"/>
      <c r="U1878" s="17" t="n"/>
      <c r="V1878" s="17" t="n"/>
      <c r="W1878" s="17" t="n"/>
      <c r="X1878" s="17" t="n"/>
      <c r="Y1878" s="17" t="n">
        <v>1</v>
      </c>
      <c r="Z1878" s="13">
        <f>SUMPRODUCT(N1878:Y1878,$N$2:$Y$2)*$K1878*$L1878*$M1878</f>
        <v/>
      </c>
      <c r="AA1878" s="14">
        <f>SUM(N1878:Y1878)</f>
        <v/>
      </c>
      <c r="AB1878" s="14">
        <f>IFERROR(IF(UPPER($E1878)="L",SUMPRODUCT(N1878:Y1878,$N$3:$Y$3,$N$2:$Y$2),SUMPRODUCT(N1878:Y1878,$N$4:$Y$4,$N$2:$Y$2))/(Z1878/($K1878*$L1878*$M1878)),"")</f>
        <v/>
      </c>
      <c r="AC1878" s="18" t="n"/>
    </row>
    <row r="1879">
      <c r="A1879" s="9" t="n">
        <v>840570</v>
      </c>
      <c r="B1879" s="9" t="inlineStr">
        <is>
          <t>Henry Kusiak</t>
        </is>
      </c>
      <c r="C1879" s="9" t="inlineStr">
        <is>
          <t>MIN</t>
        </is>
      </c>
      <c r="D1879" s="9" t="n">
        <v>25</v>
      </c>
      <c r="E1879" s="16" t="inlineStr">
        <is>
          <t>R</t>
        </is>
      </c>
      <c r="F1879" s="16" t="n"/>
      <c r="G1879" s="9" t="n">
        <v>23.12820512820513</v>
      </c>
      <c r="H1879" s="9" t="n">
        <v>23.12820512820513</v>
      </c>
      <c r="I1879" s="9" t="inlineStr">
        <is>
          <t>Depth (no MLB PA)</t>
        </is>
      </c>
      <c r="J1879" s="16" t="inlineStr">
        <is>
          <t>Opening Day</t>
        </is>
      </c>
      <c r="K1879" s="11">
        <f>IFERROR(INDEX(Roles!$B$17:$B$20,MATCH(J1879,Roles!$A$17:$A$20,0)),1)</f>
        <v/>
      </c>
      <c r="L1879" s="17" t="n">
        <v>1</v>
      </c>
      <c r="M1879" s="11" t="n">
        <v>1</v>
      </c>
      <c r="N1879" s="17" t="n"/>
      <c r="O1879" s="17" t="n"/>
      <c r="P1879" s="17" t="n"/>
      <c r="Q1879" s="17" t="n"/>
      <c r="R1879" s="17" t="n"/>
      <c r="S1879" s="17" t="n"/>
      <c r="T1879" s="17" t="n"/>
      <c r="U1879" s="17" t="n"/>
      <c r="V1879" s="17" t="n"/>
      <c r="W1879" s="17" t="n"/>
      <c r="X1879" s="17" t="n"/>
      <c r="Y1879" s="17" t="n">
        <v>1</v>
      </c>
      <c r="Z1879" s="13">
        <f>SUMPRODUCT(N1879:Y1879,$N$2:$Y$2)*$K1879*$L1879*$M1879</f>
        <v/>
      </c>
      <c r="AA1879" s="14">
        <f>SUM(N1879:Y1879)</f>
        <v/>
      </c>
      <c r="AB1879" s="14">
        <f>IFERROR(IF(UPPER($E1879)="L",SUMPRODUCT(N1879:Y1879,$N$3:$Y$3,$N$2:$Y$2),SUMPRODUCT(N1879:Y1879,$N$4:$Y$4,$N$2:$Y$2))/(Z1879/($K1879*$L1879*$M1879)),"")</f>
        <v/>
      </c>
      <c r="AC1879" s="18" t="n"/>
    </row>
    <row r="1880">
      <c r="A1880" s="9" t="n">
        <v>666464</v>
      </c>
      <c r="B1880" s="9" t="inlineStr">
        <is>
          <t>Jerar Encarnacion</t>
        </is>
      </c>
      <c r="C1880" s="9" t="inlineStr">
        <is>
          <t>SF</t>
        </is>
      </c>
      <c r="D1880" s="9" t="n">
        <v>29</v>
      </c>
      <c r="E1880" s="16" t="inlineStr">
        <is>
          <t>R</t>
        </is>
      </c>
      <c r="F1880" s="16" t="inlineStr">
        <is>
          <t>RF</t>
        </is>
      </c>
      <c r="G1880" s="9" t="n">
        <v>35</v>
      </c>
      <c r="H1880" s="9" t="n">
        <v>291</v>
      </c>
      <c r="I1880" s="9" t="inlineStr">
        <is>
          <t>Bench Bat</t>
        </is>
      </c>
      <c r="J1880" s="16" t="inlineStr">
        <is>
          <t>Opening Day</t>
        </is>
      </c>
      <c r="K1880" s="11">
        <f>IFERROR(INDEX(Roles!$B$17:$B$20,MATCH(J1880,Roles!$A$17:$A$20,0)),1)</f>
        <v/>
      </c>
      <c r="L1880" s="17" t="n">
        <v>1</v>
      </c>
      <c r="M1880" s="11" t="n">
        <v>1</v>
      </c>
      <c r="N1880" s="17" t="n"/>
      <c r="O1880" s="17" t="n"/>
      <c r="P1880" s="17" t="n"/>
      <c r="Q1880" s="17" t="n"/>
      <c r="R1880" s="17" t="n"/>
      <c r="S1880" s="17" t="n"/>
      <c r="T1880" s="17" t="n"/>
      <c r="U1880" s="17" t="n"/>
      <c r="V1880" s="17" t="n"/>
      <c r="W1880" s="17" t="n">
        <v>1</v>
      </c>
      <c r="X1880" s="17" t="n"/>
      <c r="Y1880" s="17" t="n"/>
      <c r="Z1880" s="13">
        <f>SUMPRODUCT(N1880:Y1880,$N$2:$Y$2)*$K1880*$L1880*$M1880</f>
        <v/>
      </c>
      <c r="AA1880" s="14">
        <f>SUM(N1880:Y1880)</f>
        <v/>
      </c>
      <c r="AB1880" s="14">
        <f>IFERROR(IF(UPPER($E1880)="L",SUMPRODUCT(N1880:Y1880,$N$3:$Y$3,$N$2:$Y$2),SUMPRODUCT(N1880:Y1880,$N$4:$Y$4,$N$2:$Y$2))/(Z1880/($K1880*$L1880*$M1880)),"")</f>
        <v/>
      </c>
      <c r="AC1880" s="18" t="n"/>
    </row>
    <row r="1881">
      <c r="A1881" s="9" t="n">
        <v>689070</v>
      </c>
      <c r="B1881" s="9" t="inlineStr">
        <is>
          <t>Spencer Packard</t>
        </is>
      </c>
      <c r="C1881" s="9" t="inlineStr">
        <is>
          <t>SEA</t>
        </is>
      </c>
      <c r="D1881" s="9" t="n">
        <v>25</v>
      </c>
      <c r="E1881" s="16" t="inlineStr">
        <is>
          <t>L</t>
        </is>
      </c>
      <c r="F1881" s="16" t="n"/>
      <c r="G1881" s="9" t="n">
        <v>108.3076923076923</v>
      </c>
      <c r="H1881" s="9" t="n">
        <v>108.3076923076923</v>
      </c>
      <c r="I1881" s="9" t="inlineStr">
        <is>
          <t>Depth (no MLB PA)</t>
        </is>
      </c>
      <c r="J1881" s="16" t="inlineStr">
        <is>
          <t>Opening Day</t>
        </is>
      </c>
      <c r="K1881" s="11">
        <f>IFERROR(INDEX(Roles!$B$17:$B$20,MATCH(J1881,Roles!$A$17:$A$20,0)),1)</f>
        <v/>
      </c>
      <c r="L1881" s="17" t="n">
        <v>1</v>
      </c>
      <c r="M1881" s="11" t="n">
        <v>1</v>
      </c>
      <c r="N1881" s="17" t="n"/>
      <c r="O1881" s="17" t="n"/>
      <c r="P1881" s="17" t="n"/>
      <c r="Q1881" s="17" t="n"/>
      <c r="R1881" s="17" t="n"/>
      <c r="S1881" s="17" t="n"/>
      <c r="T1881" s="17" t="n"/>
      <c r="U1881" s="17" t="n"/>
      <c r="V1881" s="17" t="n"/>
      <c r="W1881" s="17" t="n"/>
      <c r="X1881" s="17" t="n"/>
      <c r="Y1881" s="17" t="n">
        <v>1</v>
      </c>
      <c r="Z1881" s="13">
        <f>SUMPRODUCT(N1881:Y1881,$N$2:$Y$2)*$K1881*$L1881*$M1881</f>
        <v/>
      </c>
      <c r="AA1881" s="14">
        <f>SUM(N1881:Y1881)</f>
        <v/>
      </c>
      <c r="AB1881" s="14">
        <f>IFERROR(IF(UPPER($E1881)="L",SUMPRODUCT(N1881:Y1881,$N$3:$Y$3,$N$2:$Y$2),SUMPRODUCT(N1881:Y1881,$N$4:$Y$4,$N$2:$Y$2))/(Z1881/($K1881*$L1881*$M1881)),"")</f>
        <v/>
      </c>
      <c r="AC1881" s="18" t="n"/>
    </row>
    <row r="1882">
      <c r="A1882" s="9" t="n">
        <v>621043</v>
      </c>
      <c r="B1882" s="9" t="inlineStr">
        <is>
          <t>Carlos Correa</t>
        </is>
      </c>
      <c r="C1882" s="9" t="inlineStr">
        <is>
          <t>HOU</t>
        </is>
      </c>
      <c r="D1882" s="9" t="n">
        <v>32</v>
      </c>
      <c r="E1882" s="16" t="inlineStr">
        <is>
          <t>R</t>
        </is>
      </c>
      <c r="F1882" s="16" t="inlineStr">
        <is>
          <t>SS</t>
        </is>
      </c>
      <c r="G1882" s="9" t="n">
        <v>141</v>
      </c>
      <c r="H1882" s="9" t="n">
        <v>2262</v>
      </c>
      <c r="I1882" s="9" t="inlineStr">
        <is>
          <t>Full Time</t>
        </is>
      </c>
      <c r="J1882" s="16" t="inlineStr">
        <is>
          <t>Opening Day</t>
        </is>
      </c>
      <c r="K1882" s="11">
        <f>IFERROR(INDEX(Roles!$B$17:$B$20,MATCH(J1882,Roles!$A$17:$A$20,0)),1)</f>
        <v/>
      </c>
      <c r="L1882" s="17" t="n">
        <v>1</v>
      </c>
      <c r="M1882" s="11" t="n">
        <v>0.7885105104026737</v>
      </c>
      <c r="N1882" s="17" t="n">
        <v>1</v>
      </c>
      <c r="O1882" s="17" t="n"/>
      <c r="P1882" s="17" t="n"/>
      <c r="Q1882" s="17" t="n"/>
      <c r="R1882" s="17" t="n"/>
      <c r="S1882" s="17" t="n"/>
      <c r="T1882" s="17" t="n"/>
      <c r="U1882" s="17" t="n"/>
      <c r="V1882" s="17" t="n"/>
      <c r="W1882" s="17" t="n"/>
      <c r="X1882" s="17" t="n"/>
      <c r="Y1882" s="17" t="n"/>
      <c r="Z1882" s="13">
        <f>SUMPRODUCT(N1882:Y1882,$N$2:$Y$2)*$K1882*$L1882*$M1882</f>
        <v/>
      </c>
      <c r="AA1882" s="14">
        <f>SUM(N1882:Y1882)</f>
        <v/>
      </c>
      <c r="AB1882" s="14">
        <f>IFERROR(IF(UPPER($E1882)="L",SUMPRODUCT(N1882:Y1882,$N$3:$Y$3,$N$2:$Y$2),SUMPRODUCT(N1882:Y1882,$N$4:$Y$4,$N$2:$Y$2))/(Z1882/($K1882*$L1882*$M1882)),"")</f>
        <v/>
      </c>
      <c r="AC1882" s="18" t="n"/>
    </row>
    <row r="1883">
      <c r="A1883" s="9" t="n">
        <v>694186</v>
      </c>
      <c r="B1883" s="9" t="inlineStr">
        <is>
          <t>Shalin Polanco</t>
        </is>
      </c>
      <c r="C1883" s="9" t="inlineStr">
        <is>
          <t>PIT</t>
        </is>
      </c>
      <c r="D1883" s="9" t="n">
        <v>25</v>
      </c>
      <c r="E1883" s="16" t="inlineStr">
        <is>
          <t>L</t>
        </is>
      </c>
      <c r="F1883" s="16" t="n"/>
      <c r="G1883" s="9" t="n">
        <v>22.25641025641025</v>
      </c>
      <c r="H1883" s="9" t="n">
        <v>22.25641025641025</v>
      </c>
      <c r="I1883" s="9" t="inlineStr">
        <is>
          <t>Depth (no MLB PA)</t>
        </is>
      </c>
      <c r="J1883" s="16" t="inlineStr">
        <is>
          <t>Opening Day</t>
        </is>
      </c>
      <c r="K1883" s="11">
        <f>IFERROR(INDEX(Roles!$B$17:$B$20,MATCH(J1883,Roles!$A$17:$A$20,0)),1)</f>
        <v/>
      </c>
      <c r="L1883" s="17" t="n">
        <v>1</v>
      </c>
      <c r="M1883" s="11" t="n">
        <v>1</v>
      </c>
      <c r="N1883" s="17" t="n"/>
      <c r="O1883" s="17" t="n"/>
      <c r="P1883" s="17" t="n"/>
      <c r="Q1883" s="17" t="n"/>
      <c r="R1883" s="17" t="n"/>
      <c r="S1883" s="17" t="n"/>
      <c r="T1883" s="17" t="n"/>
      <c r="U1883" s="17" t="n"/>
      <c r="V1883" s="17" t="n"/>
      <c r="W1883" s="17" t="n"/>
      <c r="X1883" s="17" t="n"/>
      <c r="Y1883" s="17" t="n">
        <v>1</v>
      </c>
      <c r="Z1883" s="13">
        <f>SUMPRODUCT(N1883:Y1883,$N$2:$Y$2)*$K1883*$L1883*$M1883</f>
        <v/>
      </c>
      <c r="AA1883" s="14">
        <f>SUM(N1883:Y1883)</f>
        <v/>
      </c>
      <c r="AB1883" s="14">
        <f>IFERROR(IF(UPPER($E1883)="L",SUMPRODUCT(N1883:Y1883,$N$3:$Y$3,$N$2:$Y$2),SUMPRODUCT(N1883:Y1883,$N$4:$Y$4,$N$2:$Y$2))/(Z1883/($K1883*$L1883*$M1883)),"")</f>
        <v/>
      </c>
      <c r="AC1883" s="18" t="n"/>
    </row>
    <row r="1884">
      <c r="A1884" s="9" t="n">
        <v>803849</v>
      </c>
      <c r="B1884" s="9" t="inlineStr">
        <is>
          <t>Devin Fitz-Gerald</t>
        </is>
      </c>
      <c r="C1884" s="9" t="inlineStr">
        <is>
          <t>WSH</t>
        </is>
      </c>
      <c r="D1884" s="9" t="n">
        <v>22</v>
      </c>
      <c r="E1884" s="16" t="inlineStr">
        <is>
          <t>S</t>
        </is>
      </c>
      <c r="F1884" s="16" t="n"/>
      <c r="G1884" s="9" t="n">
        <v>96.56410256410255</v>
      </c>
      <c r="H1884" s="9" t="n">
        <v>96.56410256410255</v>
      </c>
      <c r="I1884" s="9" t="inlineStr">
        <is>
          <t>Depth (no MLB PA)</t>
        </is>
      </c>
      <c r="J1884" s="16" t="inlineStr">
        <is>
          <t>Opening Day</t>
        </is>
      </c>
      <c r="K1884" s="11">
        <f>IFERROR(INDEX(Roles!$B$17:$B$20,MATCH(J1884,Roles!$A$17:$A$20,0)),1)</f>
        <v/>
      </c>
      <c r="L1884" s="17" t="n">
        <v>1</v>
      </c>
      <c r="M1884" s="11" t="n">
        <v>1</v>
      </c>
      <c r="N1884" s="17" t="n"/>
      <c r="O1884" s="17" t="n"/>
      <c r="P1884" s="17" t="n"/>
      <c r="Q1884" s="17" t="n"/>
      <c r="R1884" s="17" t="n"/>
      <c r="S1884" s="17" t="n"/>
      <c r="T1884" s="17" t="n"/>
      <c r="U1884" s="17" t="n"/>
      <c r="V1884" s="17" t="n"/>
      <c r="W1884" s="17" t="n"/>
      <c r="X1884" s="17" t="n"/>
      <c r="Y1884" s="17" t="n">
        <v>1</v>
      </c>
      <c r="Z1884" s="13">
        <f>SUMPRODUCT(N1884:Y1884,$N$2:$Y$2)*$K1884*$L1884*$M1884</f>
        <v/>
      </c>
      <c r="AA1884" s="14">
        <f>SUM(N1884:Y1884)</f>
        <v/>
      </c>
      <c r="AB1884" s="14">
        <f>IFERROR(IF(UPPER($E1884)="L",SUMPRODUCT(N1884:Y1884,$N$3:$Y$3,$N$2:$Y$2),SUMPRODUCT(N1884:Y1884,$N$4:$Y$4,$N$2:$Y$2))/(Z1884/($K1884*$L1884*$M1884)),"")</f>
        <v/>
      </c>
      <c r="AC1884" s="18" t="n"/>
    </row>
    <row r="1885">
      <c r="A1885" s="9" t="n">
        <v>808277</v>
      </c>
      <c r="B1885" s="9" t="inlineStr">
        <is>
          <t>Miguel Rodríguez</t>
        </is>
      </c>
      <c r="C1885" s="9" t="inlineStr">
        <is>
          <t>BAL</t>
        </is>
      </c>
      <c r="D1885" s="9" t="n">
        <v>25</v>
      </c>
      <c r="E1885" s="16" t="inlineStr">
        <is>
          <t>R</t>
        </is>
      </c>
      <c r="F1885" s="16" t="n"/>
      <c r="G1885" s="9" t="n">
        <v>28.8</v>
      </c>
      <c r="H1885" s="9" t="n">
        <v>28.8</v>
      </c>
      <c r="I1885" s="9" t="inlineStr">
        <is>
          <t>Depth (no MLB PA)</t>
        </is>
      </c>
      <c r="J1885" s="16" t="inlineStr">
        <is>
          <t>Opening Day</t>
        </is>
      </c>
      <c r="K1885" s="11">
        <f>IFERROR(INDEX(Roles!$B$17:$B$20,MATCH(J1885,Roles!$A$17:$A$20,0)),1)</f>
        <v/>
      </c>
      <c r="L1885" s="17" t="n">
        <v>1</v>
      </c>
      <c r="M1885" s="11" t="n">
        <v>1</v>
      </c>
      <c r="N1885" s="17" t="n"/>
      <c r="O1885" s="17" t="n"/>
      <c r="P1885" s="17" t="n"/>
      <c r="Q1885" s="17" t="n"/>
      <c r="R1885" s="17" t="n"/>
      <c r="S1885" s="17" t="n"/>
      <c r="T1885" s="17" t="n"/>
      <c r="U1885" s="17" t="n"/>
      <c r="V1885" s="17" t="n"/>
      <c r="W1885" s="17" t="n"/>
      <c r="X1885" s="17" t="n"/>
      <c r="Y1885" s="17" t="n">
        <v>1</v>
      </c>
      <c r="Z1885" s="13">
        <f>SUMPRODUCT(N1885:Y1885,$N$2:$Y$2)*$K1885*$L1885*$M1885</f>
        <v/>
      </c>
      <c r="AA1885" s="14">
        <f>SUM(N1885:Y1885)</f>
        <v/>
      </c>
      <c r="AB1885" s="14">
        <f>IFERROR(IF(UPPER($E1885)="L",SUMPRODUCT(N1885:Y1885,$N$3:$Y$3,$N$2:$Y$2),SUMPRODUCT(N1885:Y1885,$N$4:$Y$4,$N$2:$Y$2))/(Z1885/($K1885*$L1885*$M1885)),"")</f>
        <v/>
      </c>
      <c r="AC1885" s="18" t="n"/>
    </row>
    <row r="1886">
      <c r="A1886" s="9" t="n">
        <v>678854</v>
      </c>
      <c r="B1886" s="9" t="inlineStr">
        <is>
          <t>Viandel Pena</t>
        </is>
      </c>
      <c r="C1886" s="9" t="inlineStr">
        <is>
          <t>DET</t>
        </is>
      </c>
      <c r="D1886" s="9" t="n">
        <v>25</v>
      </c>
      <c r="E1886" s="16" t="inlineStr">
        <is>
          <t>S</t>
        </is>
      </c>
      <c r="F1886" s="16" t="n"/>
      <c r="G1886" s="9" t="n">
        <v>41.28205128205128</v>
      </c>
      <c r="H1886" s="9" t="n">
        <v>41.28205128205128</v>
      </c>
      <c r="I1886" s="9" t="inlineStr">
        <is>
          <t>Depth (no MLB PA)</t>
        </is>
      </c>
      <c r="J1886" s="16" t="inlineStr">
        <is>
          <t>Opening Day</t>
        </is>
      </c>
      <c r="K1886" s="11">
        <f>IFERROR(INDEX(Roles!$B$17:$B$20,MATCH(J1886,Roles!$A$17:$A$20,0)),1)</f>
        <v/>
      </c>
      <c r="L1886" s="17" t="n">
        <v>1</v>
      </c>
      <c r="M1886" s="11" t="n">
        <v>1</v>
      </c>
      <c r="N1886" s="17" t="n"/>
      <c r="O1886" s="17" t="n"/>
      <c r="P1886" s="17" t="n"/>
      <c r="Q1886" s="17" t="n"/>
      <c r="R1886" s="17" t="n"/>
      <c r="S1886" s="17" t="n"/>
      <c r="T1886" s="17" t="n"/>
      <c r="U1886" s="17" t="n"/>
      <c r="V1886" s="17" t="n"/>
      <c r="W1886" s="17" t="n"/>
      <c r="X1886" s="17" t="n"/>
      <c r="Y1886" s="17" t="n">
        <v>1</v>
      </c>
      <c r="Z1886" s="13">
        <f>SUMPRODUCT(N1886:Y1886,$N$2:$Y$2)*$K1886*$L1886*$M1886</f>
        <v/>
      </c>
      <c r="AA1886" s="14">
        <f>SUM(N1886:Y1886)</f>
        <v/>
      </c>
      <c r="AB1886" s="14">
        <f>IFERROR(IF(UPPER($E1886)="L",SUMPRODUCT(N1886:Y1886,$N$3:$Y$3,$N$2:$Y$2),SUMPRODUCT(N1886:Y1886,$N$4:$Y$4,$N$2:$Y$2))/(Z1886/($K1886*$L1886*$M1886)),"")</f>
        <v/>
      </c>
      <c r="AC1886" s="18" t="n"/>
    </row>
    <row r="1887">
      <c r="A1887" s="9" t="n">
        <v>650619</v>
      </c>
      <c r="B1887" s="9" t="inlineStr">
        <is>
          <t>Meibrys Viloria</t>
        </is>
      </c>
      <c r="C1887" s="9" t="inlineStr">
        <is>
          <t>TEX</t>
        </is>
      </c>
      <c r="D1887" s="9" t="n">
        <v>30</v>
      </c>
      <c r="E1887" s="16" t="inlineStr">
        <is>
          <t>L</t>
        </is>
      </c>
      <c r="F1887" s="16" t="inlineStr">
        <is>
          <t>C</t>
        </is>
      </c>
      <c r="G1887" s="9" t="n">
        <v>4</v>
      </c>
      <c r="H1887" s="9" t="n">
        <v>79</v>
      </c>
      <c r="I1887" s="9" t="inlineStr">
        <is>
          <t>Depth (no MLB PA)</t>
        </is>
      </c>
      <c r="J1887" s="16" t="inlineStr">
        <is>
          <t>Opening Day</t>
        </is>
      </c>
      <c r="K1887" s="11">
        <f>IFERROR(INDEX(Roles!$B$17:$B$20,MATCH(J1887,Roles!$A$17:$A$20,0)),1)</f>
        <v/>
      </c>
      <c r="L1887" s="17" t="n">
        <v>1</v>
      </c>
      <c r="M1887" s="11" t="n">
        <v>1</v>
      </c>
      <c r="N1887" s="17" t="n"/>
      <c r="O1887" s="17" t="n"/>
      <c r="P1887" s="17" t="n"/>
      <c r="Q1887" s="17" t="n"/>
      <c r="R1887" s="17" t="n"/>
      <c r="S1887" s="17" t="n"/>
      <c r="T1887" s="17" t="n"/>
      <c r="U1887" s="17" t="n"/>
      <c r="V1887" s="17" t="n"/>
      <c r="W1887" s="17" t="n"/>
      <c r="X1887" s="17" t="n"/>
      <c r="Y1887" s="17" t="n">
        <v>1</v>
      </c>
      <c r="Z1887" s="13">
        <f>SUMPRODUCT(N1887:Y1887,$N$2:$Y$2)*$K1887*$L1887*$M1887</f>
        <v/>
      </c>
      <c r="AA1887" s="14">
        <f>SUM(N1887:Y1887)</f>
        <v/>
      </c>
      <c r="AB1887" s="14">
        <f>IFERROR(IF(UPPER($E1887)="L",SUMPRODUCT(N1887:Y1887,$N$3:$Y$3,$N$2:$Y$2),SUMPRODUCT(N1887:Y1887,$N$4:$Y$4,$N$2:$Y$2))/(Z1887/($K1887*$L1887*$M1887)),"")</f>
        <v/>
      </c>
      <c r="AC1887" s="18" t="n"/>
    </row>
    <row r="1888">
      <c r="A1888" s="9" t="n">
        <v>804710</v>
      </c>
      <c r="B1888" s="9" t="inlineStr">
        <is>
          <t>Brennan Orf</t>
        </is>
      </c>
      <c r="C1888" s="9" t="inlineStr">
        <is>
          <t>TOR</t>
        </is>
      </c>
      <c r="D1888" s="9" t="n">
        <v>25</v>
      </c>
      <c r="E1888" s="16" t="inlineStr">
        <is>
          <t>L</t>
        </is>
      </c>
      <c r="F1888" s="16" t="n"/>
      <c r="G1888" s="9" t="n">
        <v>26.66666666666667</v>
      </c>
      <c r="H1888" s="9" t="n">
        <v>26.66666666666667</v>
      </c>
      <c r="I1888" s="9" t="inlineStr">
        <is>
          <t>Depth (no MLB PA)</t>
        </is>
      </c>
      <c r="J1888" s="16" t="inlineStr">
        <is>
          <t>Opening Day</t>
        </is>
      </c>
      <c r="K1888" s="11">
        <f>IFERROR(INDEX(Roles!$B$17:$B$20,MATCH(J1888,Roles!$A$17:$A$20,0)),1)</f>
        <v/>
      </c>
      <c r="L1888" s="17" t="n">
        <v>1</v>
      </c>
      <c r="M1888" s="11" t="n">
        <v>1</v>
      </c>
      <c r="N1888" s="17" t="n"/>
      <c r="O1888" s="17" t="n"/>
      <c r="P1888" s="17" t="n"/>
      <c r="Q1888" s="17" t="n"/>
      <c r="R1888" s="17" t="n"/>
      <c r="S1888" s="17" t="n"/>
      <c r="T1888" s="17" t="n"/>
      <c r="U1888" s="17" t="n"/>
      <c r="V1888" s="17" t="n"/>
      <c r="W1888" s="17" t="n"/>
      <c r="X1888" s="17" t="n"/>
      <c r="Y1888" s="17" t="n">
        <v>1</v>
      </c>
      <c r="Z1888" s="13">
        <f>SUMPRODUCT(N1888:Y1888,$N$2:$Y$2)*$K1888*$L1888*$M1888</f>
        <v/>
      </c>
      <c r="AA1888" s="14">
        <f>SUM(N1888:Y1888)</f>
        <v/>
      </c>
      <c r="AB1888" s="14">
        <f>IFERROR(IF(UPPER($E1888)="L",SUMPRODUCT(N1888:Y1888,$N$3:$Y$3,$N$2:$Y$2),SUMPRODUCT(N1888:Y1888,$N$4:$Y$4,$N$2:$Y$2))/(Z1888/($K1888*$L1888*$M1888)),"")</f>
        <v/>
      </c>
      <c r="AC1888" s="18" t="n"/>
    </row>
    <row r="1889">
      <c r="A1889" s="9" t="n">
        <v>815830</v>
      </c>
      <c r="B1889" s="9" t="inlineStr">
        <is>
          <t>Dean Moss</t>
        </is>
      </c>
      <c r="C1889" s="9" t="inlineStr">
        <is>
          <t>TB</t>
        </is>
      </c>
      <c r="D1889" s="9" t="n">
        <v>25</v>
      </c>
      <c r="E1889" s="16" t="inlineStr">
        <is>
          <t>L</t>
        </is>
      </c>
      <c r="F1889" s="16" t="n"/>
      <c r="G1889" s="9" t="n">
        <v>35.81538461538462</v>
      </c>
      <c r="H1889" s="9" t="n">
        <v>35.81538461538462</v>
      </c>
      <c r="I1889" s="9" t="inlineStr">
        <is>
          <t>Depth (no MLB PA)</t>
        </is>
      </c>
      <c r="J1889" s="16" t="inlineStr">
        <is>
          <t>Opening Day</t>
        </is>
      </c>
      <c r="K1889" s="11">
        <f>IFERROR(INDEX(Roles!$B$17:$B$20,MATCH(J1889,Roles!$A$17:$A$20,0)),1)</f>
        <v/>
      </c>
      <c r="L1889" s="17" t="n">
        <v>1</v>
      </c>
      <c r="M1889" s="11" t="n">
        <v>1</v>
      </c>
      <c r="N1889" s="17" t="n"/>
      <c r="O1889" s="17" t="n"/>
      <c r="P1889" s="17" t="n"/>
      <c r="Q1889" s="17" t="n"/>
      <c r="R1889" s="17" t="n"/>
      <c r="S1889" s="17" t="n"/>
      <c r="T1889" s="17" t="n"/>
      <c r="U1889" s="17" t="n"/>
      <c r="V1889" s="17" t="n"/>
      <c r="W1889" s="17" t="n"/>
      <c r="X1889" s="17" t="n"/>
      <c r="Y1889" s="17" t="n">
        <v>1</v>
      </c>
      <c r="Z1889" s="13">
        <f>SUMPRODUCT(N1889:Y1889,$N$2:$Y$2)*$K1889*$L1889*$M1889</f>
        <v/>
      </c>
      <c r="AA1889" s="14">
        <f>SUM(N1889:Y1889)</f>
        <v/>
      </c>
      <c r="AB1889" s="14">
        <f>IFERROR(IF(UPPER($E1889)="L",SUMPRODUCT(N1889:Y1889,$N$3:$Y$3,$N$2:$Y$2),SUMPRODUCT(N1889:Y1889,$N$4:$Y$4,$N$2:$Y$2))/(Z1889/($K1889*$L1889*$M1889)),"")</f>
        <v/>
      </c>
      <c r="AC1889" s="18" t="n"/>
    </row>
    <row r="1890">
      <c r="A1890" s="9" t="n">
        <v>800254</v>
      </c>
      <c r="B1890" s="9" t="inlineStr">
        <is>
          <t>Abrahan Ramirez</t>
        </is>
      </c>
      <c r="C1890" s="9" t="inlineStr">
        <is>
          <t>MIA</t>
        </is>
      </c>
      <c r="D1890" s="9" t="n">
        <v>25</v>
      </c>
      <c r="E1890" s="16" t="inlineStr">
        <is>
          <t>L</t>
        </is>
      </c>
      <c r="F1890" s="16" t="n"/>
      <c r="G1890" s="9" t="n">
        <v>33.02564102564103</v>
      </c>
      <c r="H1890" s="9" t="n">
        <v>33.02564102564103</v>
      </c>
      <c r="I1890" s="9" t="inlineStr">
        <is>
          <t>Depth (no MLB PA)</t>
        </is>
      </c>
      <c r="J1890" s="16" t="inlineStr">
        <is>
          <t>Opening Day</t>
        </is>
      </c>
      <c r="K1890" s="11">
        <f>IFERROR(INDEX(Roles!$B$17:$B$20,MATCH(J1890,Roles!$A$17:$A$20,0)),1)</f>
        <v/>
      </c>
      <c r="L1890" s="17" t="n">
        <v>1</v>
      </c>
      <c r="M1890" s="11" t="n">
        <v>1</v>
      </c>
      <c r="N1890" s="17" t="n"/>
      <c r="O1890" s="17" t="n"/>
      <c r="P1890" s="17" t="n"/>
      <c r="Q1890" s="17" t="n"/>
      <c r="R1890" s="17" t="n"/>
      <c r="S1890" s="17" t="n"/>
      <c r="T1890" s="17" t="n"/>
      <c r="U1890" s="17" t="n"/>
      <c r="V1890" s="17" t="n"/>
      <c r="W1890" s="17" t="n"/>
      <c r="X1890" s="17" t="n"/>
      <c r="Y1890" s="17" t="n">
        <v>1</v>
      </c>
      <c r="Z1890" s="13">
        <f>SUMPRODUCT(N1890:Y1890,$N$2:$Y$2)*$K1890*$L1890*$M1890</f>
        <v/>
      </c>
      <c r="AA1890" s="14">
        <f>SUM(N1890:Y1890)</f>
        <v/>
      </c>
      <c r="AB1890" s="14">
        <f>IFERROR(IF(UPPER($E1890)="L",SUMPRODUCT(N1890:Y1890,$N$3:$Y$3,$N$2:$Y$2),SUMPRODUCT(N1890:Y1890,$N$4:$Y$4,$N$2:$Y$2))/(Z1890/($K1890*$L1890*$M1890)),"")</f>
        <v/>
      </c>
      <c r="AC1890" s="18" t="n"/>
    </row>
    <row r="1891">
      <c r="A1891" s="9" t="n">
        <v>571976</v>
      </c>
      <c r="B1891" s="9" t="inlineStr">
        <is>
          <t>Wil Myers</t>
        </is>
      </c>
      <c r="C1891" s="9" t="inlineStr">
        <is>
          <t>CIN</t>
        </is>
      </c>
      <c r="D1891" s="9" t="n">
        <v>36</v>
      </c>
      <c r="E1891" s="16" t="inlineStr">
        <is>
          <t>R</t>
        </is>
      </c>
      <c r="F1891" s="16" t="inlineStr">
        <is>
          <t>RF</t>
        </is>
      </c>
      <c r="G1891" s="9" t="n">
        <v>141</v>
      </c>
      <c r="H1891" s="9" t="n">
        <v>427</v>
      </c>
      <c r="I1891" s="9" t="inlineStr">
        <is>
          <t>Depth (no MLB PA)</t>
        </is>
      </c>
      <c r="J1891" s="16" t="inlineStr">
        <is>
          <t>Opening Day</t>
        </is>
      </c>
      <c r="K1891" s="11">
        <f>IFERROR(INDEX(Roles!$B$17:$B$20,MATCH(J1891,Roles!$A$17:$A$20,0)),1)</f>
        <v/>
      </c>
      <c r="L1891" s="17" t="n">
        <v>1</v>
      </c>
      <c r="M1891" s="11" t="n">
        <v>1</v>
      </c>
      <c r="N1891" s="17" t="n"/>
      <c r="O1891" s="17" t="n"/>
      <c r="P1891" s="17" t="n"/>
      <c r="Q1891" s="17" t="n"/>
      <c r="R1891" s="17" t="n"/>
      <c r="S1891" s="17" t="n"/>
      <c r="T1891" s="17" t="n"/>
      <c r="U1891" s="17" t="n"/>
      <c r="V1891" s="17" t="n"/>
      <c r="W1891" s="17" t="n"/>
      <c r="X1891" s="17" t="n"/>
      <c r="Y1891" s="17" t="n">
        <v>1</v>
      </c>
      <c r="Z1891" s="13">
        <f>SUMPRODUCT(N1891:Y1891,$N$2:$Y$2)*$K1891*$L1891*$M1891</f>
        <v/>
      </c>
      <c r="AA1891" s="14">
        <f>SUM(N1891:Y1891)</f>
        <v/>
      </c>
      <c r="AB1891" s="14">
        <f>IFERROR(IF(UPPER($E1891)="L",SUMPRODUCT(N1891:Y1891,$N$3:$Y$3,$N$2:$Y$2),SUMPRODUCT(N1891:Y1891,$N$4:$Y$4,$N$2:$Y$2))/(Z1891/($K1891*$L1891*$M1891)),"")</f>
        <v/>
      </c>
      <c r="AC1891" s="18" t="n"/>
    </row>
    <row r="1892">
      <c r="A1892" s="9" t="n">
        <v>518792</v>
      </c>
      <c r="B1892" s="9" t="inlineStr">
        <is>
          <t>Jason Heyward</t>
        </is>
      </c>
      <c r="C1892" s="9" t="inlineStr">
        <is>
          <t>SD</t>
        </is>
      </c>
      <c r="D1892" s="9" t="n">
        <v>37</v>
      </c>
      <c r="E1892" s="16" t="inlineStr">
        <is>
          <t>L</t>
        </is>
      </c>
      <c r="F1892" s="16" t="inlineStr">
        <is>
          <t>LF</t>
        </is>
      </c>
      <c r="G1892" s="9" t="n">
        <v>95</v>
      </c>
      <c r="H1892" s="9" t="n">
        <v>881</v>
      </c>
      <c r="I1892" s="9" t="inlineStr">
        <is>
          <t>Bench Bat</t>
        </is>
      </c>
      <c r="J1892" s="16" t="inlineStr">
        <is>
          <t>Opening Day</t>
        </is>
      </c>
      <c r="K1892" s="11">
        <f>IFERROR(INDEX(Roles!$B$17:$B$20,MATCH(J1892,Roles!$A$17:$A$20,0)),1)</f>
        <v/>
      </c>
      <c r="L1892" s="17" t="n">
        <v>1</v>
      </c>
      <c r="M1892" s="11" t="n">
        <v>1</v>
      </c>
      <c r="N1892" s="17" t="n"/>
      <c r="O1892" s="17" t="n"/>
      <c r="P1892" s="17" t="n"/>
      <c r="Q1892" s="17" t="n"/>
      <c r="R1892" s="17" t="n"/>
      <c r="S1892" s="17" t="n"/>
      <c r="T1892" s="17" t="n"/>
      <c r="U1892" s="17" t="n"/>
      <c r="V1892" s="17" t="n"/>
      <c r="W1892" s="17" t="n">
        <v>1</v>
      </c>
      <c r="X1892" s="17" t="n"/>
      <c r="Y1892" s="17" t="n"/>
      <c r="Z1892" s="13">
        <f>SUMPRODUCT(N1892:Y1892,$N$2:$Y$2)*$K1892*$L1892*$M1892</f>
        <v/>
      </c>
      <c r="AA1892" s="14">
        <f>SUM(N1892:Y1892)</f>
        <v/>
      </c>
      <c r="AB1892" s="14">
        <f>IFERROR(IF(UPPER($E1892)="L",SUMPRODUCT(N1892:Y1892,$N$3:$Y$3,$N$2:$Y$2),SUMPRODUCT(N1892:Y1892,$N$4:$Y$4,$N$2:$Y$2))/(Z1892/($K1892*$L1892*$M1892)),"")</f>
        <v/>
      </c>
      <c r="AC1892" s="18" t="n"/>
    </row>
    <row r="1893">
      <c r="A1893" s="9" t="n">
        <v>682868</v>
      </c>
      <c r="B1893" s="9" t="inlineStr">
        <is>
          <t>Bryan Ramos</t>
        </is>
      </c>
      <c r="C1893" s="9" t="inlineStr">
        <is>
          <t>CWS</t>
        </is>
      </c>
      <c r="D1893" s="9" t="n">
        <v>25</v>
      </c>
      <c r="E1893" s="16" t="inlineStr">
        <is>
          <t>R</t>
        </is>
      </c>
      <c r="F1893" s="16" t="inlineStr">
        <is>
          <t>3B</t>
        </is>
      </c>
      <c r="G1893" s="9" t="n">
        <v>12</v>
      </c>
      <c r="H1893" s="9" t="n">
        <v>120</v>
      </c>
      <c r="I1893" s="9" t="inlineStr">
        <is>
          <t>Depth (no MLB PA)</t>
        </is>
      </c>
      <c r="J1893" s="16" t="inlineStr">
        <is>
          <t>Opening Day</t>
        </is>
      </c>
      <c r="K1893" s="11">
        <f>IFERROR(INDEX(Roles!$B$17:$B$20,MATCH(J1893,Roles!$A$17:$A$20,0)),1)</f>
        <v/>
      </c>
      <c r="L1893" s="17" t="n">
        <v>1</v>
      </c>
      <c r="M1893" s="11" t="n">
        <v>1</v>
      </c>
      <c r="N1893" s="17" t="n"/>
      <c r="O1893" s="17" t="n"/>
      <c r="P1893" s="17" t="n"/>
      <c r="Q1893" s="17" t="n"/>
      <c r="R1893" s="17" t="n"/>
      <c r="S1893" s="17" t="n"/>
      <c r="T1893" s="17" t="n"/>
      <c r="U1893" s="17" t="n"/>
      <c r="V1893" s="17" t="n"/>
      <c r="W1893" s="17" t="n"/>
      <c r="X1893" s="17" t="n"/>
      <c r="Y1893" s="17" t="n">
        <v>1</v>
      </c>
      <c r="Z1893" s="13">
        <f>SUMPRODUCT(N1893:Y1893,$N$2:$Y$2)*$K1893*$L1893*$M1893</f>
        <v/>
      </c>
      <c r="AA1893" s="14">
        <f>SUM(N1893:Y1893)</f>
        <v/>
      </c>
      <c r="AB1893" s="14">
        <f>IFERROR(IF(UPPER($E1893)="L",SUMPRODUCT(N1893:Y1893,$N$3:$Y$3,$N$2:$Y$2),SUMPRODUCT(N1893:Y1893,$N$4:$Y$4,$N$2:$Y$2))/(Z1893/($K1893*$L1893*$M1893)),"")</f>
        <v/>
      </c>
      <c r="AC1893" s="18" t="n"/>
    </row>
    <row r="1894">
      <c r="A1894" s="9" t="n">
        <v>572008</v>
      </c>
      <c r="B1894" s="9" t="inlineStr">
        <is>
          <t>Chris Owings</t>
        </is>
      </c>
      <c r="C1894" s="9" t="inlineStr">
        <is>
          <t>PIT</t>
        </is>
      </c>
      <c r="D1894" s="9" t="n">
        <v>35</v>
      </c>
      <c r="E1894" s="16" t="inlineStr">
        <is>
          <t>R</t>
        </is>
      </c>
      <c r="F1894" s="16" t="inlineStr">
        <is>
          <t>SS</t>
        </is>
      </c>
      <c r="G1894" s="9" t="n">
        <v>25</v>
      </c>
      <c r="H1894" s="9" t="n">
        <v>93</v>
      </c>
      <c r="I1894" s="9" t="inlineStr">
        <is>
          <t>Depth (no MLB PA)</t>
        </is>
      </c>
      <c r="J1894" s="16" t="inlineStr">
        <is>
          <t>Opening Day</t>
        </is>
      </c>
      <c r="K1894" s="11">
        <f>IFERROR(INDEX(Roles!$B$17:$B$20,MATCH(J1894,Roles!$A$17:$A$20,0)),1)</f>
        <v/>
      </c>
      <c r="L1894" s="17" t="n">
        <v>1</v>
      </c>
      <c r="M1894" s="11" t="n">
        <v>1</v>
      </c>
      <c r="N1894" s="17" t="n"/>
      <c r="O1894" s="17" t="n"/>
      <c r="P1894" s="17" t="n"/>
      <c r="Q1894" s="17" t="n"/>
      <c r="R1894" s="17" t="n"/>
      <c r="S1894" s="17" t="n"/>
      <c r="T1894" s="17" t="n"/>
      <c r="U1894" s="17" t="n"/>
      <c r="V1894" s="17" t="n"/>
      <c r="W1894" s="17" t="n"/>
      <c r="X1894" s="17" t="n"/>
      <c r="Y1894" s="17" t="n">
        <v>1</v>
      </c>
      <c r="Z1894" s="13">
        <f>SUMPRODUCT(N1894:Y1894,$N$2:$Y$2)*$K1894*$L1894*$M1894</f>
        <v/>
      </c>
      <c r="AA1894" s="14">
        <f>SUM(N1894:Y1894)</f>
        <v/>
      </c>
      <c r="AB1894" s="14">
        <f>IFERROR(IF(UPPER($E1894)="L",SUMPRODUCT(N1894:Y1894,$N$3:$Y$3,$N$2:$Y$2),SUMPRODUCT(N1894:Y1894,$N$4:$Y$4,$N$2:$Y$2))/(Z1894/($K1894*$L1894*$M1894)),"")</f>
        <v/>
      </c>
      <c r="AC1894" s="18" t="n"/>
    </row>
    <row r="1895">
      <c r="A1895" s="9" t="n">
        <v>669002</v>
      </c>
      <c r="B1895" s="9" t="inlineStr">
        <is>
          <t>Connor Scott</t>
        </is>
      </c>
      <c r="C1895" s="9" t="inlineStr">
        <is>
          <t>KC</t>
        </is>
      </c>
      <c r="D1895" s="9" t="n">
        <v>25</v>
      </c>
      <c r="E1895" s="16" t="inlineStr">
        <is>
          <t>L</t>
        </is>
      </c>
      <c r="F1895" s="16" t="n"/>
      <c r="G1895" s="9" t="n">
        <v>123.8461538461538</v>
      </c>
      <c r="H1895" s="9" t="n">
        <v>123.8461538461538</v>
      </c>
      <c r="I1895" s="9" t="inlineStr">
        <is>
          <t>Depth (no MLB PA)</t>
        </is>
      </c>
      <c r="J1895" s="16" t="inlineStr">
        <is>
          <t>Opening Day</t>
        </is>
      </c>
      <c r="K1895" s="11">
        <f>IFERROR(INDEX(Roles!$B$17:$B$20,MATCH(J1895,Roles!$A$17:$A$20,0)),1)</f>
        <v/>
      </c>
      <c r="L1895" s="17" t="n">
        <v>1</v>
      </c>
      <c r="M1895" s="11" t="n">
        <v>1</v>
      </c>
      <c r="N1895" s="17" t="n"/>
      <c r="O1895" s="17" t="n"/>
      <c r="P1895" s="17" t="n"/>
      <c r="Q1895" s="17" t="n"/>
      <c r="R1895" s="17" t="n"/>
      <c r="S1895" s="17" t="n"/>
      <c r="T1895" s="17" t="n"/>
      <c r="U1895" s="17" t="n"/>
      <c r="V1895" s="17" t="n"/>
      <c r="W1895" s="17" t="n"/>
      <c r="X1895" s="17" t="n"/>
      <c r="Y1895" s="17" t="n">
        <v>1</v>
      </c>
      <c r="Z1895" s="13">
        <f>SUMPRODUCT(N1895:Y1895,$N$2:$Y$2)*$K1895*$L1895*$M1895</f>
        <v/>
      </c>
      <c r="AA1895" s="14">
        <f>SUM(N1895:Y1895)</f>
        <v/>
      </c>
      <c r="AB1895" s="14">
        <f>IFERROR(IF(UPPER($E1895)="L",SUMPRODUCT(N1895:Y1895,$N$3:$Y$3,$N$2:$Y$2),SUMPRODUCT(N1895:Y1895,$N$4:$Y$4,$N$2:$Y$2))/(Z1895/($K1895*$L1895*$M1895)),"")</f>
        <v/>
      </c>
      <c r="AC1895" s="18" t="n"/>
    </row>
    <row r="1896">
      <c r="A1896" s="9" t="n">
        <v>681371</v>
      </c>
      <c r="B1896" s="9" t="inlineStr">
        <is>
          <t>Dom Keegan</t>
        </is>
      </c>
      <c r="C1896" s="9" t="inlineStr">
        <is>
          <t>TB</t>
        </is>
      </c>
      <c r="D1896" s="9" t="n">
        <v>25</v>
      </c>
      <c r="E1896" s="16" t="inlineStr">
        <is>
          <t>R</t>
        </is>
      </c>
      <c r="F1896" s="16" t="n"/>
      <c r="G1896" s="9" t="n">
        <v>117.8974358974359</v>
      </c>
      <c r="H1896" s="9" t="n">
        <v>117.8974358974359</v>
      </c>
      <c r="I1896" s="9" t="inlineStr">
        <is>
          <t>Depth (no MLB PA)</t>
        </is>
      </c>
      <c r="J1896" s="16" t="inlineStr">
        <is>
          <t>Opening Day</t>
        </is>
      </c>
      <c r="K1896" s="11">
        <f>IFERROR(INDEX(Roles!$B$17:$B$20,MATCH(J1896,Roles!$A$17:$A$20,0)),1)</f>
        <v/>
      </c>
      <c r="L1896" s="17" t="n">
        <v>1</v>
      </c>
      <c r="M1896" s="11" t="n">
        <v>1</v>
      </c>
      <c r="N1896" s="17" t="n"/>
      <c r="O1896" s="17" t="n"/>
      <c r="P1896" s="17" t="n"/>
      <c r="Q1896" s="17" t="n"/>
      <c r="R1896" s="17" t="n"/>
      <c r="S1896" s="17" t="n"/>
      <c r="T1896" s="17" t="n"/>
      <c r="U1896" s="17" t="n"/>
      <c r="V1896" s="17" t="n"/>
      <c r="W1896" s="17" t="n"/>
      <c r="X1896" s="17" t="n"/>
      <c r="Y1896" s="17" t="n">
        <v>1</v>
      </c>
      <c r="Z1896" s="13">
        <f>SUMPRODUCT(N1896:Y1896,$N$2:$Y$2)*$K1896*$L1896*$M1896</f>
        <v/>
      </c>
      <c r="AA1896" s="14">
        <f>SUM(N1896:Y1896)</f>
        <v/>
      </c>
      <c r="AB1896" s="14">
        <f>IFERROR(IF(UPPER($E1896)="L",SUMPRODUCT(N1896:Y1896,$N$3:$Y$3,$N$2:$Y$2),SUMPRODUCT(N1896:Y1896,$N$4:$Y$4,$N$2:$Y$2))/(Z1896/($K1896*$L1896*$M1896)),"")</f>
        <v/>
      </c>
      <c r="AC1896" s="18" t="n"/>
    </row>
    <row r="1897">
      <c r="A1897" s="9" t="n">
        <v>650489</v>
      </c>
      <c r="B1897" s="9" t="inlineStr">
        <is>
          <t>Willi Castro</t>
        </is>
      </c>
      <c r="C1897" s="9" t="inlineStr">
        <is>
          <t>COL</t>
        </is>
      </c>
      <c r="D1897" s="9" t="n">
        <v>30</v>
      </c>
      <c r="E1897" s="16" t="inlineStr">
        <is>
          <t>S</t>
        </is>
      </c>
      <c r="F1897" s="16" t="inlineStr">
        <is>
          <t>2B</t>
        </is>
      </c>
      <c r="G1897" s="9" t="n">
        <v>477</v>
      </c>
      <c r="H1897" s="9" t="n">
        <v>2367</v>
      </c>
      <c r="I1897" s="9" t="inlineStr">
        <is>
          <t>Bench Bat</t>
        </is>
      </c>
      <c r="J1897" s="16" t="inlineStr">
        <is>
          <t>Opening Day</t>
        </is>
      </c>
      <c r="K1897" s="11">
        <f>IFERROR(INDEX(Roles!$B$17:$B$20,MATCH(J1897,Roles!$A$17:$A$20,0)),1)</f>
        <v/>
      </c>
      <c r="L1897" s="17" t="n">
        <v>1</v>
      </c>
      <c r="M1897" s="11" t="n">
        <v>1.15</v>
      </c>
      <c r="N1897" s="17" t="n"/>
      <c r="O1897" s="17" t="n"/>
      <c r="P1897" s="17" t="n"/>
      <c r="Q1897" s="17" t="n"/>
      <c r="R1897" s="17" t="n"/>
      <c r="S1897" s="17" t="n"/>
      <c r="T1897" s="17" t="n"/>
      <c r="U1897" s="17" t="n">
        <v>0.4</v>
      </c>
      <c r="V1897" s="17" t="n"/>
      <c r="W1897" s="17" t="n">
        <v>0.6</v>
      </c>
      <c r="X1897" s="17" t="n"/>
      <c r="Y1897" s="17" t="n"/>
      <c r="Z1897" s="13">
        <f>SUMPRODUCT(N1897:Y1897,$N$2:$Y$2)*$K1897*$L1897*$M1897</f>
        <v/>
      </c>
      <c r="AA1897" s="14">
        <f>SUM(N1897:Y1897)</f>
        <v/>
      </c>
      <c r="AB1897" s="14">
        <f>IFERROR(IF(UPPER($E1897)="L",SUMPRODUCT(N1897:Y1897,$N$3:$Y$3,$N$2:$Y$2),SUMPRODUCT(N1897:Y1897,$N$4:$Y$4,$N$2:$Y$2))/(Z1897/($K1897*$L1897*$M1897)),"")</f>
        <v/>
      </c>
      <c r="AC1897" s="18" t="n"/>
    </row>
    <row r="1898">
      <c r="A1898" s="9" t="n">
        <v>669352</v>
      </c>
      <c r="B1898" s="9" t="inlineStr">
        <is>
          <t>Bubba Thompson</t>
        </is>
      </c>
      <c r="C1898" s="9" t="inlineStr">
        <is>
          <t>TEX</t>
        </is>
      </c>
      <c r="D1898" s="9" t="n">
        <v>29</v>
      </c>
      <c r="E1898" s="16" t="inlineStr">
        <is>
          <t>R</t>
        </is>
      </c>
      <c r="F1898" s="16" t="inlineStr">
        <is>
          <t>CF</t>
        </is>
      </c>
      <c r="G1898" s="9" t="n">
        <v>18</v>
      </c>
      <c r="H1898" s="9" t="n">
        <v>259</v>
      </c>
      <c r="I1898" s="9" t="inlineStr">
        <is>
          <t>Depth (no MLB PA)</t>
        </is>
      </c>
      <c r="J1898" s="16" t="inlineStr">
        <is>
          <t>Opening Day</t>
        </is>
      </c>
      <c r="K1898" s="11">
        <f>IFERROR(INDEX(Roles!$B$17:$B$20,MATCH(J1898,Roles!$A$17:$A$20,0)),1)</f>
        <v/>
      </c>
      <c r="L1898" s="17" t="n">
        <v>1</v>
      </c>
      <c r="M1898" s="11" t="n">
        <v>1</v>
      </c>
      <c r="N1898" s="17" t="n"/>
      <c r="O1898" s="17" t="n"/>
      <c r="P1898" s="17" t="n"/>
      <c r="Q1898" s="17" t="n"/>
      <c r="R1898" s="17" t="n"/>
      <c r="S1898" s="17" t="n"/>
      <c r="T1898" s="17" t="n"/>
      <c r="U1898" s="17" t="n"/>
      <c r="V1898" s="17" t="n"/>
      <c r="W1898" s="17" t="n"/>
      <c r="X1898" s="17" t="n"/>
      <c r="Y1898" s="17" t="n">
        <v>1</v>
      </c>
      <c r="Z1898" s="13">
        <f>SUMPRODUCT(N1898:Y1898,$N$2:$Y$2)*$K1898*$L1898*$M1898</f>
        <v/>
      </c>
      <c r="AA1898" s="14">
        <f>SUM(N1898:Y1898)</f>
        <v/>
      </c>
      <c r="AB1898" s="14">
        <f>IFERROR(IF(UPPER($E1898)="L",SUMPRODUCT(N1898:Y1898,$N$3:$Y$3,$N$2:$Y$2),SUMPRODUCT(N1898:Y1898,$N$4:$Y$4,$N$2:$Y$2))/(Z1898/($K1898*$L1898*$M1898)),"")</f>
        <v/>
      </c>
      <c r="AC1898" s="18" t="n"/>
    </row>
    <row r="1899">
      <c r="A1899" s="9" t="n">
        <v>678882</v>
      </c>
      <c r="B1899" s="9" t="inlineStr">
        <is>
          <t>Ceddanne Rafaela</t>
        </is>
      </c>
      <c r="C1899" s="9" t="inlineStr">
        <is>
          <t>BOS</t>
        </is>
      </c>
      <c r="D1899" s="9" t="n">
        <v>26</v>
      </c>
      <c r="E1899" s="16" t="inlineStr">
        <is>
          <t>R</t>
        </is>
      </c>
      <c r="F1899" s="16" t="inlineStr">
        <is>
          <t>CF</t>
        </is>
      </c>
      <c r="G1899" s="9" t="n">
        <v>576</v>
      </c>
      <c r="H1899" s="9" t="n">
        <v>1823</v>
      </c>
      <c r="I1899" s="9" t="inlineStr">
        <is>
          <t>Full Time</t>
        </is>
      </c>
      <c r="J1899" s="16" t="inlineStr">
        <is>
          <t>Opening Day</t>
        </is>
      </c>
      <c r="K1899" s="11">
        <f>IFERROR(INDEX(Roles!$B$17:$B$20,MATCH(J1899,Roles!$A$17:$A$20,0)),1)</f>
        <v/>
      </c>
      <c r="L1899" s="17" t="n">
        <v>1</v>
      </c>
      <c r="M1899" s="11" t="n">
        <v>1.137841706018902</v>
      </c>
      <c r="N1899" s="17" t="n">
        <v>0.8</v>
      </c>
      <c r="O1899" s="17" t="n"/>
      <c r="P1899" s="17" t="n">
        <v>0.2</v>
      </c>
      <c r="Q1899" s="17" t="n"/>
      <c r="R1899" s="17" t="n"/>
      <c r="S1899" s="17" t="n"/>
      <c r="T1899" s="17" t="n"/>
      <c r="U1899" s="17" t="n"/>
      <c r="V1899" s="17" t="n"/>
      <c r="W1899" s="17" t="n"/>
      <c r="X1899" s="17" t="n"/>
      <c r="Y1899" s="17" t="n"/>
      <c r="Z1899" s="13">
        <f>SUMPRODUCT(N1899:Y1899,$N$2:$Y$2)*$K1899*$L1899*$M1899</f>
        <v/>
      </c>
      <c r="AA1899" s="14">
        <f>SUM(N1899:Y1899)</f>
        <v/>
      </c>
      <c r="AB1899" s="14">
        <f>IFERROR(IF(UPPER($E1899)="L",SUMPRODUCT(N1899:Y1899,$N$3:$Y$3,$N$2:$Y$2),SUMPRODUCT(N1899:Y1899,$N$4:$Y$4,$N$2:$Y$2))/(Z1899/($K1899*$L1899*$M1899)),"")</f>
        <v/>
      </c>
      <c r="AC1899" s="18" t="n"/>
    </row>
    <row r="1900">
      <c r="A1900" s="9" t="n">
        <v>701696</v>
      </c>
      <c r="B1900" s="9" t="inlineStr">
        <is>
          <t>Ryan Stafford</t>
        </is>
      </c>
      <c r="C1900" s="9" t="inlineStr">
        <is>
          <t>BAL</t>
        </is>
      </c>
      <c r="D1900" s="9" t="n">
        <v>25</v>
      </c>
      <c r="E1900" s="16" t="inlineStr">
        <is>
          <t>R</t>
        </is>
      </c>
      <c r="F1900" s="16" t="n"/>
      <c r="G1900" s="9" t="n">
        <v>32.82051282051282</v>
      </c>
      <c r="H1900" s="9" t="n">
        <v>32.82051282051282</v>
      </c>
      <c r="I1900" s="9" t="inlineStr">
        <is>
          <t>Depth (no MLB PA)</t>
        </is>
      </c>
      <c r="J1900" s="16" t="inlineStr">
        <is>
          <t>Opening Day</t>
        </is>
      </c>
      <c r="K1900" s="11">
        <f>IFERROR(INDEX(Roles!$B$17:$B$20,MATCH(J1900,Roles!$A$17:$A$20,0)),1)</f>
        <v/>
      </c>
      <c r="L1900" s="17" t="n">
        <v>1</v>
      </c>
      <c r="M1900" s="11" t="n">
        <v>1</v>
      </c>
      <c r="N1900" s="17" t="n"/>
      <c r="O1900" s="17" t="n"/>
      <c r="P1900" s="17" t="n"/>
      <c r="Q1900" s="17" t="n"/>
      <c r="R1900" s="17" t="n"/>
      <c r="S1900" s="17" t="n"/>
      <c r="T1900" s="17" t="n"/>
      <c r="U1900" s="17" t="n"/>
      <c r="V1900" s="17" t="n"/>
      <c r="W1900" s="17" t="n"/>
      <c r="X1900" s="17" t="n"/>
      <c r="Y1900" s="17" t="n">
        <v>1</v>
      </c>
      <c r="Z1900" s="13">
        <f>SUMPRODUCT(N1900:Y1900,$N$2:$Y$2)*$K1900*$L1900*$M1900</f>
        <v/>
      </c>
      <c r="AA1900" s="14">
        <f>SUM(N1900:Y1900)</f>
        <v/>
      </c>
      <c r="AB1900" s="14">
        <f>IFERROR(IF(UPPER($E1900)="L",SUMPRODUCT(N1900:Y1900,$N$3:$Y$3,$N$2:$Y$2),SUMPRODUCT(N1900:Y1900,$N$4:$Y$4,$N$2:$Y$2))/(Z1900/($K1900*$L1900*$M1900)),"")</f>
        <v/>
      </c>
      <c r="AC1900" s="18" t="n"/>
    </row>
    <row r="1901">
      <c r="A1901" s="9" t="n">
        <v>703178</v>
      </c>
      <c r="B1901" s="9" t="inlineStr">
        <is>
          <t>Braylin Tavera</t>
        </is>
      </c>
      <c r="C1901" s="9" t="inlineStr">
        <is>
          <t>BAL</t>
        </is>
      </c>
      <c r="D1901" s="9" t="n">
        <v>25</v>
      </c>
      <c r="E1901" s="16" t="inlineStr">
        <is>
          <t>R</t>
        </is>
      </c>
      <c r="F1901" s="16" t="n"/>
      <c r="G1901" s="9" t="n">
        <v>83.4871794871795</v>
      </c>
      <c r="H1901" s="9" t="n">
        <v>83.4871794871795</v>
      </c>
      <c r="I1901" s="9" t="inlineStr">
        <is>
          <t>Depth (no MLB PA)</t>
        </is>
      </c>
      <c r="J1901" s="16" t="inlineStr">
        <is>
          <t>Opening Day</t>
        </is>
      </c>
      <c r="K1901" s="11">
        <f>IFERROR(INDEX(Roles!$B$17:$B$20,MATCH(J1901,Roles!$A$17:$A$20,0)),1)</f>
        <v/>
      </c>
      <c r="L1901" s="17" t="n">
        <v>1</v>
      </c>
      <c r="M1901" s="11" t="n">
        <v>1</v>
      </c>
      <c r="N1901" s="17" t="n"/>
      <c r="O1901" s="17" t="n"/>
      <c r="P1901" s="17" t="n"/>
      <c r="Q1901" s="17" t="n"/>
      <c r="R1901" s="17" t="n"/>
      <c r="S1901" s="17" t="n"/>
      <c r="T1901" s="17" t="n"/>
      <c r="U1901" s="17" t="n"/>
      <c r="V1901" s="17" t="n"/>
      <c r="W1901" s="17" t="n"/>
      <c r="X1901" s="17" t="n"/>
      <c r="Y1901" s="17" t="n">
        <v>1</v>
      </c>
      <c r="Z1901" s="13">
        <f>SUMPRODUCT(N1901:Y1901,$N$2:$Y$2)*$K1901*$L1901*$M1901</f>
        <v/>
      </c>
      <c r="AA1901" s="14">
        <f>SUM(N1901:Y1901)</f>
        <v/>
      </c>
      <c r="AB1901" s="14">
        <f>IFERROR(IF(UPPER($E1901)="L",SUMPRODUCT(N1901:Y1901,$N$3:$Y$3,$N$2:$Y$2),SUMPRODUCT(N1901:Y1901,$N$4:$Y$4,$N$2:$Y$2))/(Z1901/($K1901*$L1901*$M1901)),"")</f>
        <v/>
      </c>
      <c r="AC1901" s="18" t="n"/>
    </row>
    <row r="1902">
      <c r="A1902" s="9" t="n">
        <v>702889</v>
      </c>
      <c r="B1902" s="9" t="inlineStr">
        <is>
          <t>Andy Lugo</t>
        </is>
      </c>
      <c r="C1902" s="9" t="inlineStr">
        <is>
          <t>MIN</t>
        </is>
      </c>
      <c r="D1902" s="9" t="n">
        <v>25</v>
      </c>
      <c r="E1902" s="16" t="inlineStr">
        <is>
          <t>R</t>
        </is>
      </c>
      <c r="F1902" s="16" t="n"/>
      <c r="G1902" s="9" t="n">
        <v>44.92307692307693</v>
      </c>
      <c r="H1902" s="9" t="n">
        <v>44.92307692307693</v>
      </c>
      <c r="I1902" s="9" t="inlineStr">
        <is>
          <t>Depth (no MLB PA)</t>
        </is>
      </c>
      <c r="J1902" s="16" t="inlineStr">
        <is>
          <t>Opening Day</t>
        </is>
      </c>
      <c r="K1902" s="11">
        <f>IFERROR(INDEX(Roles!$B$17:$B$20,MATCH(J1902,Roles!$A$17:$A$20,0)),1)</f>
        <v/>
      </c>
      <c r="L1902" s="17" t="n">
        <v>1</v>
      </c>
      <c r="M1902" s="11" t="n">
        <v>1</v>
      </c>
      <c r="N1902" s="17" t="n"/>
      <c r="O1902" s="17" t="n"/>
      <c r="P1902" s="17" t="n"/>
      <c r="Q1902" s="17" t="n"/>
      <c r="R1902" s="17" t="n"/>
      <c r="S1902" s="17" t="n"/>
      <c r="T1902" s="17" t="n"/>
      <c r="U1902" s="17" t="n"/>
      <c r="V1902" s="17" t="n"/>
      <c r="W1902" s="17" t="n"/>
      <c r="X1902" s="17" t="n"/>
      <c r="Y1902" s="17" t="n">
        <v>1</v>
      </c>
      <c r="Z1902" s="13">
        <f>SUMPRODUCT(N1902:Y1902,$N$2:$Y$2)*$K1902*$L1902*$M1902</f>
        <v/>
      </c>
      <c r="AA1902" s="14">
        <f>SUM(N1902:Y1902)</f>
        <v/>
      </c>
      <c r="AB1902" s="14">
        <f>IFERROR(IF(UPPER($E1902)="L",SUMPRODUCT(N1902:Y1902,$N$3:$Y$3,$N$2:$Y$2),SUMPRODUCT(N1902:Y1902,$N$4:$Y$4,$N$2:$Y$2))/(Z1902/($K1902*$L1902*$M1902)),"")</f>
        <v/>
      </c>
      <c r="AC1902" s="18" t="n"/>
    </row>
    <row r="1903">
      <c r="A1903" s="9" t="n">
        <v>815632</v>
      </c>
      <c r="B1903" s="9" t="inlineStr">
        <is>
          <t>Tytus Cissell</t>
        </is>
      </c>
      <c r="C1903" s="9" t="inlineStr">
        <is>
          <t>ARI</t>
        </is>
      </c>
      <c r="D1903" s="9" t="n">
        <v>25</v>
      </c>
      <c r="E1903" s="16" t="inlineStr">
        <is>
          <t>S</t>
        </is>
      </c>
      <c r="F1903" s="16" t="n"/>
      <c r="G1903" s="9" t="n">
        <v>25.84615384615385</v>
      </c>
      <c r="H1903" s="9" t="n">
        <v>25.84615384615385</v>
      </c>
      <c r="I1903" s="9" t="inlineStr">
        <is>
          <t>Depth (no MLB PA)</t>
        </is>
      </c>
      <c r="J1903" s="16" t="inlineStr">
        <is>
          <t>Opening Day</t>
        </is>
      </c>
      <c r="K1903" s="11">
        <f>IFERROR(INDEX(Roles!$B$17:$B$20,MATCH(J1903,Roles!$A$17:$A$20,0)),1)</f>
        <v/>
      </c>
      <c r="L1903" s="17" t="n">
        <v>1</v>
      </c>
      <c r="M1903" s="11" t="n">
        <v>1</v>
      </c>
      <c r="N1903" s="17" t="n"/>
      <c r="O1903" s="17" t="n"/>
      <c r="P1903" s="17" t="n"/>
      <c r="Q1903" s="17" t="n"/>
      <c r="R1903" s="17" t="n"/>
      <c r="S1903" s="17" t="n"/>
      <c r="T1903" s="17" t="n"/>
      <c r="U1903" s="17" t="n"/>
      <c r="V1903" s="17" t="n"/>
      <c r="W1903" s="17" t="n"/>
      <c r="X1903" s="17" t="n"/>
      <c r="Y1903" s="17" t="n">
        <v>1</v>
      </c>
      <c r="Z1903" s="13">
        <f>SUMPRODUCT(N1903:Y1903,$N$2:$Y$2)*$K1903*$L1903*$M1903</f>
        <v/>
      </c>
      <c r="AA1903" s="14">
        <f>SUM(N1903:Y1903)</f>
        <v/>
      </c>
      <c r="AB1903" s="14">
        <f>IFERROR(IF(UPPER($E1903)="L",SUMPRODUCT(N1903:Y1903,$N$3:$Y$3,$N$2:$Y$2),SUMPRODUCT(N1903:Y1903,$N$4:$Y$4,$N$2:$Y$2))/(Z1903/($K1903*$L1903*$M1903)),"")</f>
        <v/>
      </c>
      <c r="AC1903" s="18" t="n"/>
    </row>
    <row r="1904">
      <c r="A1904" s="9" t="n">
        <v>808129</v>
      </c>
      <c r="B1904" s="9" t="inlineStr">
        <is>
          <t>Juan Flores</t>
        </is>
      </c>
      <c r="C1904" s="9" t="inlineStr">
        <is>
          <t>LAA</t>
        </is>
      </c>
      <c r="D1904" s="9" t="n">
        <v>25</v>
      </c>
      <c r="E1904" s="16" t="inlineStr">
        <is>
          <t>R</t>
        </is>
      </c>
      <c r="F1904" s="16" t="n"/>
      <c r="G1904" s="9" t="n">
        <v>69.28205128205128</v>
      </c>
      <c r="H1904" s="9" t="n">
        <v>69.28205128205128</v>
      </c>
      <c r="I1904" s="9" t="inlineStr">
        <is>
          <t>Depth (no MLB PA)</t>
        </is>
      </c>
      <c r="J1904" s="16" t="inlineStr">
        <is>
          <t>Opening Day</t>
        </is>
      </c>
      <c r="K1904" s="11">
        <f>IFERROR(INDEX(Roles!$B$17:$B$20,MATCH(J1904,Roles!$A$17:$A$20,0)),1)</f>
        <v/>
      </c>
      <c r="L1904" s="17" t="n">
        <v>1</v>
      </c>
      <c r="M1904" s="11" t="n">
        <v>1</v>
      </c>
      <c r="N1904" s="17" t="n"/>
      <c r="O1904" s="17" t="n"/>
      <c r="P1904" s="17" t="n"/>
      <c r="Q1904" s="17" t="n"/>
      <c r="R1904" s="17" t="n"/>
      <c r="S1904" s="17" t="n"/>
      <c r="T1904" s="17" t="n"/>
      <c r="U1904" s="17" t="n"/>
      <c r="V1904" s="17" t="n"/>
      <c r="W1904" s="17" t="n"/>
      <c r="X1904" s="17" t="n"/>
      <c r="Y1904" s="17" t="n">
        <v>1</v>
      </c>
      <c r="Z1904" s="13">
        <f>SUMPRODUCT(N1904:Y1904,$N$2:$Y$2)*$K1904*$L1904*$M1904</f>
        <v/>
      </c>
      <c r="AA1904" s="14">
        <f>SUM(N1904:Y1904)</f>
        <v/>
      </c>
      <c r="AB1904" s="14">
        <f>IFERROR(IF(UPPER($E1904)="L",SUMPRODUCT(N1904:Y1904,$N$3:$Y$3,$N$2:$Y$2),SUMPRODUCT(N1904:Y1904,$N$4:$Y$4,$N$2:$Y$2))/(Z1904/($K1904*$L1904*$M1904)),"")</f>
        <v/>
      </c>
      <c r="AC1904" s="18" t="n"/>
    </row>
    <row r="1905">
      <c r="A1905" s="9" t="n">
        <v>703198</v>
      </c>
      <c r="B1905" s="9" t="inlineStr">
        <is>
          <t>Kenni Gomez</t>
        </is>
      </c>
      <c r="C1905" s="9" t="inlineStr">
        <is>
          <t>HOU</t>
        </is>
      </c>
      <c r="D1905" s="9" t="n">
        <v>25</v>
      </c>
      <c r="E1905" s="16" t="inlineStr">
        <is>
          <t>L</t>
        </is>
      </c>
      <c r="F1905" s="16" t="n"/>
      <c r="G1905" s="9" t="n">
        <v>23.69230769230769</v>
      </c>
      <c r="H1905" s="9" t="n">
        <v>23.69230769230769</v>
      </c>
      <c r="I1905" s="9" t="inlineStr">
        <is>
          <t>Depth (no MLB PA)</t>
        </is>
      </c>
      <c r="J1905" s="16" t="inlineStr">
        <is>
          <t>Opening Day</t>
        </is>
      </c>
      <c r="K1905" s="11">
        <f>IFERROR(INDEX(Roles!$B$17:$B$20,MATCH(J1905,Roles!$A$17:$A$20,0)),1)</f>
        <v/>
      </c>
      <c r="L1905" s="17" t="n">
        <v>1</v>
      </c>
      <c r="M1905" s="11" t="n">
        <v>1</v>
      </c>
      <c r="N1905" s="17" t="n"/>
      <c r="O1905" s="17" t="n"/>
      <c r="P1905" s="17" t="n"/>
      <c r="Q1905" s="17" t="n"/>
      <c r="R1905" s="17" t="n"/>
      <c r="S1905" s="17" t="n"/>
      <c r="T1905" s="17" t="n"/>
      <c r="U1905" s="17" t="n"/>
      <c r="V1905" s="17" t="n"/>
      <c r="W1905" s="17" t="n"/>
      <c r="X1905" s="17" t="n"/>
      <c r="Y1905" s="17" t="n">
        <v>1</v>
      </c>
      <c r="Z1905" s="13">
        <f>SUMPRODUCT(N1905:Y1905,$N$2:$Y$2)*$K1905*$L1905*$M1905</f>
        <v/>
      </c>
      <c r="AA1905" s="14">
        <f>SUM(N1905:Y1905)</f>
        <v/>
      </c>
      <c r="AB1905" s="14">
        <f>IFERROR(IF(UPPER($E1905)="L",SUMPRODUCT(N1905:Y1905,$N$3:$Y$3,$N$2:$Y$2),SUMPRODUCT(N1905:Y1905,$N$4:$Y$4,$N$2:$Y$2))/(Z1905/($K1905*$L1905*$M1905)),"")</f>
        <v/>
      </c>
      <c r="AC1905" s="18" t="n"/>
    </row>
    <row r="1906">
      <c r="A1906" s="9" t="n">
        <v>692585</v>
      </c>
      <c r="B1906" s="9" t="inlineStr">
        <is>
          <t>Yanquiel Fernández</t>
        </is>
      </c>
      <c r="C1906" s="9" t="inlineStr">
        <is>
          <t>COL</t>
        </is>
      </c>
      <c r="D1906" s="9" t="n">
        <v>24</v>
      </c>
      <c r="E1906" s="16" t="inlineStr">
        <is>
          <t>L</t>
        </is>
      </c>
      <c r="F1906" s="16" t="inlineStr">
        <is>
          <t>RF</t>
        </is>
      </c>
      <c r="G1906" s="9" t="n">
        <v>147</v>
      </c>
      <c r="H1906" s="9" t="n">
        <v>147</v>
      </c>
      <c r="I1906" s="9" t="inlineStr">
        <is>
          <t>Bench Bat</t>
        </is>
      </c>
      <c r="J1906" s="16" t="inlineStr">
        <is>
          <t>Opening Day</t>
        </is>
      </c>
      <c r="K1906" s="11">
        <f>IFERROR(INDEX(Roles!$B$17:$B$20,MATCH(J1906,Roles!$A$17:$A$20,0)),1)</f>
        <v/>
      </c>
      <c r="L1906" s="17" t="n">
        <v>1</v>
      </c>
      <c r="M1906" s="11" t="n">
        <v>1</v>
      </c>
      <c r="N1906" s="17" t="n"/>
      <c r="O1906" s="17" t="n"/>
      <c r="P1906" s="17" t="n"/>
      <c r="Q1906" s="17" t="n"/>
      <c r="R1906" s="17" t="n"/>
      <c r="S1906" s="17" t="n"/>
      <c r="T1906" s="17" t="n"/>
      <c r="U1906" s="17" t="n"/>
      <c r="V1906" s="17" t="n"/>
      <c r="W1906" s="17" t="n">
        <v>1</v>
      </c>
      <c r="X1906" s="17" t="n"/>
      <c r="Y1906" s="17" t="n"/>
      <c r="Z1906" s="13">
        <f>SUMPRODUCT(N1906:Y1906,$N$2:$Y$2)*$K1906*$L1906*$M1906</f>
        <v/>
      </c>
      <c r="AA1906" s="14">
        <f>SUM(N1906:Y1906)</f>
        <v/>
      </c>
      <c r="AB1906" s="14">
        <f>IFERROR(IF(UPPER($E1906)="L",SUMPRODUCT(N1906:Y1906,$N$3:$Y$3,$N$2:$Y$2),SUMPRODUCT(N1906:Y1906,$N$4:$Y$4,$N$2:$Y$2))/(Z1906/($K1906*$L1906*$M1906)),"")</f>
        <v/>
      </c>
      <c r="AC1906" s="18" t="n"/>
    </row>
    <row r="1907">
      <c r="A1907" s="9" t="n">
        <v>802353</v>
      </c>
      <c r="B1907" s="9" t="inlineStr">
        <is>
          <t>Christian Martin</t>
        </is>
      </c>
      <c r="C1907" s="9" t="inlineStr">
        <is>
          <t>STL</t>
        </is>
      </c>
      <c r="D1907" s="9" t="n">
        <v>25</v>
      </c>
      <c r="E1907" s="16" t="inlineStr">
        <is>
          <t>L</t>
        </is>
      </c>
      <c r="F1907" s="16" t="n"/>
      <c r="G1907" s="9" t="n">
        <v>23.38461538461539</v>
      </c>
      <c r="H1907" s="9" t="n">
        <v>23.38461538461539</v>
      </c>
      <c r="I1907" s="9" t="inlineStr">
        <is>
          <t>Depth (no MLB PA)</t>
        </is>
      </c>
      <c r="J1907" s="16" t="inlineStr">
        <is>
          <t>Opening Day</t>
        </is>
      </c>
      <c r="K1907" s="11">
        <f>IFERROR(INDEX(Roles!$B$17:$B$20,MATCH(J1907,Roles!$A$17:$A$20,0)),1)</f>
        <v/>
      </c>
      <c r="L1907" s="17" t="n">
        <v>1</v>
      </c>
      <c r="M1907" s="11" t="n">
        <v>1</v>
      </c>
      <c r="N1907" s="17" t="n"/>
      <c r="O1907" s="17" t="n"/>
      <c r="P1907" s="17" t="n"/>
      <c r="Q1907" s="17" t="n"/>
      <c r="R1907" s="17" t="n"/>
      <c r="S1907" s="17" t="n"/>
      <c r="T1907" s="17" t="n"/>
      <c r="U1907" s="17" t="n"/>
      <c r="V1907" s="17" t="n"/>
      <c r="W1907" s="17" t="n"/>
      <c r="X1907" s="17" t="n"/>
      <c r="Y1907" s="17" t="n">
        <v>1</v>
      </c>
      <c r="Z1907" s="13">
        <f>SUMPRODUCT(N1907:Y1907,$N$2:$Y$2)*$K1907*$L1907*$M1907</f>
        <v/>
      </c>
      <c r="AA1907" s="14">
        <f>SUM(N1907:Y1907)</f>
        <v/>
      </c>
      <c r="AB1907" s="14">
        <f>IFERROR(IF(UPPER($E1907)="L",SUMPRODUCT(N1907:Y1907,$N$3:$Y$3,$N$2:$Y$2),SUMPRODUCT(N1907:Y1907,$N$4:$Y$4,$N$2:$Y$2))/(Z1907/($K1907*$L1907*$M1907)),"")</f>
        <v/>
      </c>
      <c r="AC1907" s="18" t="n"/>
    </row>
    <row r="1908">
      <c r="A1908" s="9" t="n">
        <v>815923</v>
      </c>
      <c r="B1908" s="9" t="inlineStr">
        <is>
          <t>Bralyn Brazoban</t>
        </is>
      </c>
      <c r="C1908" s="9" t="inlineStr">
        <is>
          <t>PIT</t>
        </is>
      </c>
      <c r="D1908" s="9" t="n">
        <v>25</v>
      </c>
      <c r="E1908" s="16" t="inlineStr">
        <is>
          <t>L</t>
        </is>
      </c>
      <c r="F1908" s="16" t="n"/>
      <c r="G1908" s="9" t="n">
        <v>29.41538461538461</v>
      </c>
      <c r="H1908" s="9" t="n">
        <v>29.41538461538461</v>
      </c>
      <c r="I1908" s="9" t="inlineStr">
        <is>
          <t>Depth (no MLB PA)</t>
        </is>
      </c>
      <c r="J1908" s="16" t="inlineStr">
        <is>
          <t>Opening Day</t>
        </is>
      </c>
      <c r="K1908" s="11">
        <f>IFERROR(INDEX(Roles!$B$17:$B$20,MATCH(J1908,Roles!$A$17:$A$20,0)),1)</f>
        <v/>
      </c>
      <c r="L1908" s="17" t="n">
        <v>1</v>
      </c>
      <c r="M1908" s="11" t="n">
        <v>1</v>
      </c>
      <c r="N1908" s="17" t="n"/>
      <c r="O1908" s="17" t="n"/>
      <c r="P1908" s="17" t="n"/>
      <c r="Q1908" s="17" t="n"/>
      <c r="R1908" s="17" t="n"/>
      <c r="S1908" s="17" t="n"/>
      <c r="T1908" s="17" t="n"/>
      <c r="U1908" s="17" t="n"/>
      <c r="V1908" s="17" t="n"/>
      <c r="W1908" s="17" t="n"/>
      <c r="X1908" s="17" t="n"/>
      <c r="Y1908" s="17" t="n">
        <v>1</v>
      </c>
      <c r="Z1908" s="13">
        <f>SUMPRODUCT(N1908:Y1908,$N$2:$Y$2)*$K1908*$L1908*$M1908</f>
        <v/>
      </c>
      <c r="AA1908" s="14">
        <f>SUM(N1908:Y1908)</f>
        <v/>
      </c>
      <c r="AB1908" s="14">
        <f>IFERROR(IF(UPPER($E1908)="L",SUMPRODUCT(N1908:Y1908,$N$3:$Y$3,$N$2:$Y$2),SUMPRODUCT(N1908:Y1908,$N$4:$Y$4,$N$2:$Y$2))/(Z1908/($K1908*$L1908*$M1908)),"")</f>
        <v/>
      </c>
      <c r="AC1908" s="18" t="n"/>
    </row>
    <row r="1909">
      <c r="A1909" s="9" t="n">
        <v>518626</v>
      </c>
      <c r="B1909" s="9" t="inlineStr">
        <is>
          <t>Josh Donaldson</t>
        </is>
      </c>
      <c r="C1909" s="9" t="inlineStr">
        <is>
          <t>MIL</t>
        </is>
      </c>
      <c r="D1909" s="9" t="n">
        <v>41</v>
      </c>
      <c r="E1909" s="16" t="inlineStr">
        <is>
          <t>R</t>
        </is>
      </c>
      <c r="F1909" s="16" t="inlineStr">
        <is>
          <t>3B</t>
        </is>
      </c>
      <c r="G1909" s="9" t="n">
        <v>189</v>
      </c>
      <c r="H1909" s="9" t="n">
        <v>735</v>
      </c>
      <c r="I1909" s="9" t="inlineStr">
        <is>
          <t>Depth (no MLB PA)</t>
        </is>
      </c>
      <c r="J1909" s="16" t="inlineStr">
        <is>
          <t>Opening Day</t>
        </is>
      </c>
      <c r="K1909" s="11">
        <f>IFERROR(INDEX(Roles!$B$17:$B$20,MATCH(J1909,Roles!$A$17:$A$20,0)),1)</f>
        <v/>
      </c>
      <c r="L1909" s="17" t="n">
        <v>1</v>
      </c>
      <c r="M1909" s="11" t="n">
        <v>1</v>
      </c>
      <c r="N1909" s="17" t="n"/>
      <c r="O1909" s="17" t="n"/>
      <c r="P1909" s="17" t="n"/>
      <c r="Q1909" s="17" t="n"/>
      <c r="R1909" s="17" t="n"/>
      <c r="S1909" s="17" t="n"/>
      <c r="T1909" s="17" t="n"/>
      <c r="U1909" s="17" t="n"/>
      <c r="V1909" s="17" t="n"/>
      <c r="W1909" s="17" t="n"/>
      <c r="X1909" s="17" t="n"/>
      <c r="Y1909" s="17" t="n">
        <v>1</v>
      </c>
      <c r="Z1909" s="13">
        <f>SUMPRODUCT(N1909:Y1909,$N$2:$Y$2)*$K1909*$L1909*$M1909</f>
        <v/>
      </c>
      <c r="AA1909" s="14">
        <f>SUM(N1909:Y1909)</f>
        <v/>
      </c>
      <c r="AB1909" s="14">
        <f>IFERROR(IF(UPPER($E1909)="L",SUMPRODUCT(N1909:Y1909,$N$3:$Y$3,$N$2:$Y$2),SUMPRODUCT(N1909:Y1909,$N$4:$Y$4,$N$2:$Y$2))/(Z1909/($K1909*$L1909*$M1909)),"")</f>
        <v/>
      </c>
      <c r="AC1909" s="18" t="n"/>
    </row>
    <row r="1910">
      <c r="A1910" s="9" t="n">
        <v>815909</v>
      </c>
      <c r="B1910" s="9" t="inlineStr">
        <is>
          <t>Luis Cova</t>
        </is>
      </c>
      <c r="C1910" s="9" t="inlineStr">
        <is>
          <t>MIA</t>
        </is>
      </c>
      <c r="D1910" s="9" t="n">
        <v>25</v>
      </c>
      <c r="E1910" s="16" t="inlineStr">
        <is>
          <t>R</t>
        </is>
      </c>
      <c r="F1910" s="16" t="n"/>
      <c r="G1910" s="9" t="n">
        <v>30.64615384615384</v>
      </c>
      <c r="H1910" s="9" t="n">
        <v>30.64615384615384</v>
      </c>
      <c r="I1910" s="9" t="inlineStr">
        <is>
          <t>Depth (no MLB PA)</t>
        </is>
      </c>
      <c r="J1910" s="16" t="inlineStr">
        <is>
          <t>Opening Day</t>
        </is>
      </c>
      <c r="K1910" s="11">
        <f>IFERROR(INDEX(Roles!$B$17:$B$20,MATCH(J1910,Roles!$A$17:$A$20,0)),1)</f>
        <v/>
      </c>
      <c r="L1910" s="17" t="n">
        <v>1</v>
      </c>
      <c r="M1910" s="11" t="n">
        <v>1</v>
      </c>
      <c r="N1910" s="17" t="n"/>
      <c r="O1910" s="17" t="n"/>
      <c r="P1910" s="17" t="n"/>
      <c r="Q1910" s="17" t="n"/>
      <c r="R1910" s="17" t="n"/>
      <c r="S1910" s="17" t="n"/>
      <c r="T1910" s="17" t="n"/>
      <c r="U1910" s="17" t="n"/>
      <c r="V1910" s="17" t="n"/>
      <c r="W1910" s="17" t="n"/>
      <c r="X1910" s="17" t="n"/>
      <c r="Y1910" s="17" t="n">
        <v>1</v>
      </c>
      <c r="Z1910" s="13">
        <f>SUMPRODUCT(N1910:Y1910,$N$2:$Y$2)*$K1910*$L1910*$M1910</f>
        <v/>
      </c>
      <c r="AA1910" s="14">
        <f>SUM(N1910:Y1910)</f>
        <v/>
      </c>
      <c r="AB1910" s="14">
        <f>IFERROR(IF(UPPER($E1910)="L",SUMPRODUCT(N1910:Y1910,$N$3:$Y$3,$N$2:$Y$2),SUMPRODUCT(N1910:Y1910,$N$4:$Y$4,$N$2:$Y$2))/(Z1910/($K1910*$L1910*$M1910)),"")</f>
        <v/>
      </c>
      <c r="AC1910" s="18" t="n"/>
    </row>
    <row r="1911">
      <c r="A1911" s="9" t="n">
        <v>700731</v>
      </c>
      <c r="B1911" s="9" t="inlineStr">
        <is>
          <t>Keiner Delgado</t>
        </is>
      </c>
      <c r="C1911" s="9" t="inlineStr">
        <is>
          <t>PIT</t>
        </is>
      </c>
      <c r="D1911" s="9" t="n">
        <v>25</v>
      </c>
      <c r="E1911" s="16" t="inlineStr">
        <is>
          <t>S</t>
        </is>
      </c>
      <c r="F1911" s="16" t="n"/>
      <c r="G1911" s="9" t="n">
        <v>41.17948717948718</v>
      </c>
      <c r="H1911" s="9" t="n">
        <v>41.17948717948718</v>
      </c>
      <c r="I1911" s="9" t="inlineStr">
        <is>
          <t>Depth (no MLB PA)</t>
        </is>
      </c>
      <c r="J1911" s="16" t="inlineStr">
        <is>
          <t>Opening Day</t>
        </is>
      </c>
      <c r="K1911" s="11">
        <f>IFERROR(INDEX(Roles!$B$17:$B$20,MATCH(J1911,Roles!$A$17:$A$20,0)),1)</f>
        <v/>
      </c>
      <c r="L1911" s="17" t="n">
        <v>1</v>
      </c>
      <c r="M1911" s="11" t="n">
        <v>1</v>
      </c>
      <c r="N1911" s="17" t="n"/>
      <c r="O1911" s="17" t="n"/>
      <c r="P1911" s="17" t="n"/>
      <c r="Q1911" s="17" t="n"/>
      <c r="R1911" s="17" t="n"/>
      <c r="S1911" s="17" t="n"/>
      <c r="T1911" s="17" t="n"/>
      <c r="U1911" s="17" t="n"/>
      <c r="V1911" s="17" t="n"/>
      <c r="W1911" s="17" t="n"/>
      <c r="X1911" s="17" t="n"/>
      <c r="Y1911" s="17" t="n">
        <v>1</v>
      </c>
      <c r="Z1911" s="13">
        <f>SUMPRODUCT(N1911:Y1911,$N$2:$Y$2)*$K1911*$L1911*$M1911</f>
        <v/>
      </c>
      <c r="AA1911" s="14">
        <f>SUM(N1911:Y1911)</f>
        <v/>
      </c>
      <c r="AB1911" s="14">
        <f>IFERROR(IF(UPPER($E1911)="L",SUMPRODUCT(N1911:Y1911,$N$3:$Y$3,$N$2:$Y$2),SUMPRODUCT(N1911:Y1911,$N$4:$Y$4,$N$2:$Y$2))/(Z1911/($K1911*$L1911*$M1911)),"")</f>
        <v/>
      </c>
      <c r="AC1911" s="18" t="n"/>
    </row>
    <row r="1912">
      <c r="A1912" s="9" t="n">
        <v>665856</v>
      </c>
      <c r="B1912" s="9" t="inlineStr">
        <is>
          <t>Jair Camargo</t>
        </is>
      </c>
      <c r="C1912" s="9" t="inlineStr">
        <is>
          <t>ATL</t>
        </is>
      </c>
      <c r="D1912" s="9" t="n">
        <v>27</v>
      </c>
      <c r="E1912" s="16" t="inlineStr">
        <is>
          <t>R</t>
        </is>
      </c>
      <c r="F1912" s="16" t="inlineStr">
        <is>
          <t>C</t>
        </is>
      </c>
      <c r="G1912" s="9" t="n">
        <v>2</v>
      </c>
      <c r="H1912" s="9" t="n">
        <v>9</v>
      </c>
      <c r="I1912" s="9" t="inlineStr">
        <is>
          <t>Depth (no MLB PA)</t>
        </is>
      </c>
      <c r="J1912" s="16" t="inlineStr">
        <is>
          <t>Opening Day</t>
        </is>
      </c>
      <c r="K1912" s="11">
        <f>IFERROR(INDEX(Roles!$B$17:$B$20,MATCH(J1912,Roles!$A$17:$A$20,0)),1)</f>
        <v/>
      </c>
      <c r="L1912" s="17" t="n">
        <v>1</v>
      </c>
      <c r="M1912" s="11" t="n">
        <v>1</v>
      </c>
      <c r="N1912" s="17" t="n"/>
      <c r="O1912" s="17" t="n"/>
      <c r="P1912" s="17" t="n"/>
      <c r="Q1912" s="17" t="n"/>
      <c r="R1912" s="17" t="n"/>
      <c r="S1912" s="17" t="n"/>
      <c r="T1912" s="17" t="n"/>
      <c r="U1912" s="17" t="n"/>
      <c r="V1912" s="17" t="n"/>
      <c r="W1912" s="17" t="n"/>
      <c r="X1912" s="17" t="n"/>
      <c r="Y1912" s="17" t="n">
        <v>1</v>
      </c>
      <c r="Z1912" s="13">
        <f>SUMPRODUCT(N1912:Y1912,$N$2:$Y$2)*$K1912*$L1912*$M1912</f>
        <v/>
      </c>
      <c r="AA1912" s="14">
        <f>SUM(N1912:Y1912)</f>
        <v/>
      </c>
      <c r="AB1912" s="14">
        <f>IFERROR(IF(UPPER($E1912)="L",SUMPRODUCT(N1912:Y1912,$N$3:$Y$3,$N$2:$Y$2),SUMPRODUCT(N1912:Y1912,$N$4:$Y$4,$N$2:$Y$2))/(Z1912/($K1912*$L1912*$M1912)),"")</f>
        <v/>
      </c>
      <c r="AC1912" s="18" t="n"/>
    </row>
    <row r="1913">
      <c r="A1913" s="9" t="n">
        <v>572228</v>
      </c>
      <c r="B1913" s="9" t="inlineStr">
        <is>
          <t>Luke Voit</t>
        </is>
      </c>
      <c r="C1913" s="9" t="inlineStr">
        <is>
          <t>MIL</t>
        </is>
      </c>
      <c r="D1913" s="9" t="n">
        <v>36</v>
      </c>
      <c r="E1913" s="16" t="inlineStr">
        <is>
          <t>R</t>
        </is>
      </c>
      <c r="F1913" s="16" t="inlineStr">
        <is>
          <t>1B</t>
        </is>
      </c>
      <c r="G1913" s="9" t="n">
        <v>74</v>
      </c>
      <c r="H1913" s="9" t="n">
        <v>642</v>
      </c>
      <c r="I1913" s="9" t="inlineStr">
        <is>
          <t>Depth (no MLB PA)</t>
        </is>
      </c>
      <c r="J1913" s="16" t="inlineStr">
        <is>
          <t>Opening Day</t>
        </is>
      </c>
      <c r="K1913" s="11">
        <f>IFERROR(INDEX(Roles!$B$17:$B$20,MATCH(J1913,Roles!$A$17:$A$20,0)),1)</f>
        <v/>
      </c>
      <c r="L1913" s="17" t="n">
        <v>1</v>
      </c>
      <c r="M1913" s="11" t="n">
        <v>1</v>
      </c>
      <c r="N1913" s="17" t="n"/>
      <c r="O1913" s="17" t="n"/>
      <c r="P1913" s="17" t="n"/>
      <c r="Q1913" s="17" t="n"/>
      <c r="R1913" s="17" t="n"/>
      <c r="S1913" s="17" t="n"/>
      <c r="T1913" s="17" t="n"/>
      <c r="U1913" s="17" t="n"/>
      <c r="V1913" s="17" t="n"/>
      <c r="W1913" s="17" t="n"/>
      <c r="X1913" s="17" t="n"/>
      <c r="Y1913" s="17" t="n">
        <v>1</v>
      </c>
      <c r="Z1913" s="13">
        <f>SUMPRODUCT(N1913:Y1913,$N$2:$Y$2)*$K1913*$L1913*$M1913</f>
        <v/>
      </c>
      <c r="AA1913" s="14">
        <f>SUM(N1913:Y1913)</f>
        <v/>
      </c>
      <c r="AB1913" s="14">
        <f>IFERROR(IF(UPPER($E1913)="L",SUMPRODUCT(N1913:Y1913,$N$3:$Y$3,$N$2:$Y$2),SUMPRODUCT(N1913:Y1913,$N$4:$Y$4,$N$2:$Y$2))/(Z1913/($K1913*$L1913*$M1913)),"")</f>
        <v/>
      </c>
      <c r="AC1913" s="18" t="n"/>
    </row>
    <row r="1914">
      <c r="A1914" s="9" t="n">
        <v>809331</v>
      </c>
      <c r="B1914" s="9" t="inlineStr">
        <is>
          <t>Brian Sanchez</t>
        </is>
      </c>
      <c r="C1914" s="9" t="inlineStr">
        <is>
          <t>MIA</t>
        </is>
      </c>
      <c r="D1914" s="9" t="n">
        <v>25</v>
      </c>
      <c r="E1914" s="16" t="inlineStr">
        <is>
          <t>L</t>
        </is>
      </c>
      <c r="F1914" s="16" t="n"/>
      <c r="G1914" s="9" t="n">
        <v>82.05128205128206</v>
      </c>
      <c r="H1914" s="9" t="n">
        <v>82.05128205128206</v>
      </c>
      <c r="I1914" s="9" t="inlineStr">
        <is>
          <t>Depth (no MLB PA)</t>
        </is>
      </c>
      <c r="J1914" s="16" t="inlineStr">
        <is>
          <t>Opening Day</t>
        </is>
      </c>
      <c r="K1914" s="11">
        <f>IFERROR(INDEX(Roles!$B$17:$B$20,MATCH(J1914,Roles!$A$17:$A$20,0)),1)</f>
        <v/>
      </c>
      <c r="L1914" s="17" t="n">
        <v>1</v>
      </c>
      <c r="M1914" s="11" t="n">
        <v>1</v>
      </c>
      <c r="N1914" s="17" t="n"/>
      <c r="O1914" s="17" t="n"/>
      <c r="P1914" s="17" t="n"/>
      <c r="Q1914" s="17" t="n"/>
      <c r="R1914" s="17" t="n"/>
      <c r="S1914" s="17" t="n"/>
      <c r="T1914" s="17" t="n"/>
      <c r="U1914" s="17" t="n"/>
      <c r="V1914" s="17" t="n"/>
      <c r="W1914" s="17" t="n"/>
      <c r="X1914" s="17" t="n"/>
      <c r="Y1914" s="17" t="n">
        <v>1</v>
      </c>
      <c r="Z1914" s="13">
        <f>SUMPRODUCT(N1914:Y1914,$N$2:$Y$2)*$K1914*$L1914*$M1914</f>
        <v/>
      </c>
      <c r="AA1914" s="14">
        <f>SUM(N1914:Y1914)</f>
        <v/>
      </c>
      <c r="AB1914" s="14">
        <f>IFERROR(IF(UPPER($E1914)="L",SUMPRODUCT(N1914:Y1914,$N$3:$Y$3,$N$2:$Y$2),SUMPRODUCT(N1914:Y1914,$N$4:$Y$4,$N$2:$Y$2))/(Z1914/($K1914*$L1914*$M1914)),"")</f>
        <v/>
      </c>
      <c r="AC1914" s="18" t="n"/>
    </row>
    <row r="1915">
      <c r="A1915" s="9" t="n">
        <v>801075</v>
      </c>
      <c r="B1915" s="9" t="inlineStr">
        <is>
          <t>Walker Janek</t>
        </is>
      </c>
      <c r="C1915" s="9" t="inlineStr">
        <is>
          <t>HOU</t>
        </is>
      </c>
      <c r="D1915" s="9" t="n">
        <v>25</v>
      </c>
      <c r="E1915" s="16" t="inlineStr">
        <is>
          <t>R</t>
        </is>
      </c>
      <c r="F1915" s="16" t="n"/>
      <c r="G1915" s="9" t="n">
        <v>86.51282051282051</v>
      </c>
      <c r="H1915" s="9" t="n">
        <v>86.51282051282051</v>
      </c>
      <c r="I1915" s="9" t="inlineStr">
        <is>
          <t>Depth (no MLB PA)</t>
        </is>
      </c>
      <c r="J1915" s="16" t="inlineStr">
        <is>
          <t>Opening Day</t>
        </is>
      </c>
      <c r="K1915" s="11">
        <f>IFERROR(INDEX(Roles!$B$17:$B$20,MATCH(J1915,Roles!$A$17:$A$20,0)),1)</f>
        <v/>
      </c>
      <c r="L1915" s="17" t="n">
        <v>1</v>
      </c>
      <c r="M1915" s="11" t="n">
        <v>1</v>
      </c>
      <c r="N1915" s="17" t="n"/>
      <c r="O1915" s="17" t="n"/>
      <c r="P1915" s="17" t="n"/>
      <c r="Q1915" s="17" t="n"/>
      <c r="R1915" s="17" t="n"/>
      <c r="S1915" s="17" t="n"/>
      <c r="T1915" s="17" t="n"/>
      <c r="U1915" s="17" t="n"/>
      <c r="V1915" s="17" t="n"/>
      <c r="W1915" s="17" t="n"/>
      <c r="X1915" s="17" t="n"/>
      <c r="Y1915" s="17" t="n">
        <v>1</v>
      </c>
      <c r="Z1915" s="13">
        <f>SUMPRODUCT(N1915:Y1915,$N$2:$Y$2)*$K1915*$L1915*$M1915</f>
        <v/>
      </c>
      <c r="AA1915" s="14">
        <f>SUM(N1915:Y1915)</f>
        <v/>
      </c>
      <c r="AB1915" s="14">
        <f>IFERROR(IF(UPPER($E1915)="L",SUMPRODUCT(N1915:Y1915,$N$3:$Y$3,$N$2:$Y$2),SUMPRODUCT(N1915:Y1915,$N$4:$Y$4,$N$2:$Y$2))/(Z1915/($K1915*$L1915*$M1915)),"")</f>
        <v/>
      </c>
      <c r="AC1915" s="18" t="n"/>
    </row>
    <row r="1916">
      <c r="A1916" s="9" t="n">
        <v>679734</v>
      </c>
      <c r="B1916" s="9" t="inlineStr">
        <is>
          <t>Julio Carreras</t>
        </is>
      </c>
      <c r="C1916" s="9" t="inlineStr">
        <is>
          <t>CIN</t>
        </is>
      </c>
      <c r="D1916" s="9" t="n">
        <v>25</v>
      </c>
      <c r="E1916" s="16" t="inlineStr">
        <is>
          <t>R</t>
        </is>
      </c>
      <c r="F1916" s="16" t="n"/>
      <c r="G1916" s="9" t="n">
        <v>50.61538461538461</v>
      </c>
      <c r="H1916" s="9" t="n">
        <v>50.61538461538461</v>
      </c>
      <c r="I1916" s="9" t="inlineStr">
        <is>
          <t>Depth (no MLB PA)</t>
        </is>
      </c>
      <c r="J1916" s="16" t="inlineStr">
        <is>
          <t>Opening Day</t>
        </is>
      </c>
      <c r="K1916" s="11">
        <f>IFERROR(INDEX(Roles!$B$17:$B$20,MATCH(J1916,Roles!$A$17:$A$20,0)),1)</f>
        <v/>
      </c>
      <c r="L1916" s="17" t="n">
        <v>1</v>
      </c>
      <c r="M1916" s="11" t="n">
        <v>1</v>
      </c>
      <c r="N1916" s="17" t="n"/>
      <c r="O1916" s="17" t="n"/>
      <c r="P1916" s="17" t="n"/>
      <c r="Q1916" s="17" t="n"/>
      <c r="R1916" s="17" t="n"/>
      <c r="S1916" s="17" t="n"/>
      <c r="T1916" s="17" t="n"/>
      <c r="U1916" s="17" t="n"/>
      <c r="V1916" s="17" t="n"/>
      <c r="W1916" s="17" t="n"/>
      <c r="X1916" s="17" t="n"/>
      <c r="Y1916" s="17" t="n">
        <v>1</v>
      </c>
      <c r="Z1916" s="13">
        <f>SUMPRODUCT(N1916:Y1916,$N$2:$Y$2)*$K1916*$L1916*$M1916</f>
        <v/>
      </c>
      <c r="AA1916" s="14">
        <f>SUM(N1916:Y1916)</f>
        <v/>
      </c>
      <c r="AB1916" s="14">
        <f>IFERROR(IF(UPPER($E1916)="L",SUMPRODUCT(N1916:Y1916,$N$3:$Y$3,$N$2:$Y$2),SUMPRODUCT(N1916:Y1916,$N$4:$Y$4,$N$2:$Y$2))/(Z1916/($K1916*$L1916*$M1916)),"")</f>
        <v/>
      </c>
      <c r="AC1916" s="18" t="n"/>
    </row>
    <row r="1917">
      <c r="A1917" s="9" t="n">
        <v>802139</v>
      </c>
      <c r="B1917" s="9" t="inlineStr">
        <is>
          <t>JJ Wetherholt</t>
        </is>
      </c>
      <c r="C1917" s="9" t="inlineStr">
        <is>
          <t>STL</t>
        </is>
      </c>
      <c r="D1917" s="9" t="n">
        <v>24</v>
      </c>
      <c r="E1917" s="16" t="inlineStr">
        <is>
          <t>L</t>
        </is>
      </c>
      <c r="F1917" s="16" t="inlineStr">
        <is>
          <t>2B</t>
        </is>
      </c>
      <c r="G1917" s="9" t="n">
        <v>619</v>
      </c>
      <c r="H1917" s="9" t="n">
        <v>619</v>
      </c>
      <c r="I1917" s="9" t="inlineStr">
        <is>
          <t>Full Time</t>
        </is>
      </c>
      <c r="J1917" s="16" t="inlineStr">
        <is>
          <t>Opening Day</t>
        </is>
      </c>
      <c r="K1917" s="11">
        <f>IFERROR(INDEX(Roles!$B$17:$B$20,MATCH(J1917,Roles!$A$17:$A$20,0)),1)</f>
        <v/>
      </c>
      <c r="L1917" s="17" t="n">
        <v>1</v>
      </c>
      <c r="M1917" s="11" t="n">
        <v>1.030866101590646</v>
      </c>
      <c r="N1917" s="17" t="n">
        <v>1</v>
      </c>
      <c r="O1917" s="17" t="n"/>
      <c r="P1917" s="17" t="n"/>
      <c r="Q1917" s="17" t="n"/>
      <c r="R1917" s="17" t="n"/>
      <c r="S1917" s="17" t="n"/>
      <c r="T1917" s="17" t="n"/>
      <c r="U1917" s="17" t="n"/>
      <c r="V1917" s="17" t="n"/>
      <c r="W1917" s="17" t="n"/>
      <c r="X1917" s="17" t="n"/>
      <c r="Y1917" s="17" t="n"/>
      <c r="Z1917" s="13">
        <f>SUMPRODUCT(N1917:Y1917,$N$2:$Y$2)*$K1917*$L1917*$M1917</f>
        <v/>
      </c>
      <c r="AA1917" s="14">
        <f>SUM(N1917:Y1917)</f>
        <v/>
      </c>
      <c r="AB1917" s="14">
        <f>IFERROR(IF(UPPER($E1917)="L",SUMPRODUCT(N1917:Y1917,$N$3:$Y$3,$N$2:$Y$2),SUMPRODUCT(N1917:Y1917,$N$4:$Y$4,$N$2:$Y$2))/(Z1917/($K1917*$L1917*$M1917)),"")</f>
        <v/>
      </c>
      <c r="AC1917" s="18" t="n"/>
    </row>
    <row r="1918">
      <c r="A1918" s="9" t="n">
        <v>446334</v>
      </c>
      <c r="B1918" s="9" t="inlineStr">
        <is>
          <t>Evan Longoria</t>
        </is>
      </c>
      <c r="C1918" s="9" t="inlineStr">
        <is>
          <t>ARI</t>
        </is>
      </c>
      <c r="D1918" s="9" t="n">
        <v>41</v>
      </c>
      <c r="E1918" s="16" t="inlineStr">
        <is>
          <t>R</t>
        </is>
      </c>
      <c r="F1918" s="16" t="inlineStr">
        <is>
          <t>3B</t>
        </is>
      </c>
      <c r="G1918" s="9" t="n">
        <v>237</v>
      </c>
      <c r="H1918" s="9" t="n">
        <v>535</v>
      </c>
      <c r="I1918" s="9" t="inlineStr">
        <is>
          <t>Depth (no MLB PA)</t>
        </is>
      </c>
      <c r="J1918" s="16" t="inlineStr">
        <is>
          <t>Opening Day</t>
        </is>
      </c>
      <c r="K1918" s="11">
        <f>IFERROR(INDEX(Roles!$B$17:$B$20,MATCH(J1918,Roles!$A$17:$A$20,0)),1)</f>
        <v/>
      </c>
      <c r="L1918" s="17" t="n">
        <v>1</v>
      </c>
      <c r="M1918" s="11" t="n">
        <v>1</v>
      </c>
      <c r="N1918" s="17" t="n"/>
      <c r="O1918" s="17" t="n"/>
      <c r="P1918" s="17" t="n"/>
      <c r="Q1918" s="17" t="n"/>
      <c r="R1918" s="17" t="n"/>
      <c r="S1918" s="17" t="n"/>
      <c r="T1918" s="17" t="n"/>
      <c r="U1918" s="17" t="n"/>
      <c r="V1918" s="17" t="n"/>
      <c r="W1918" s="17" t="n"/>
      <c r="X1918" s="17" t="n"/>
      <c r="Y1918" s="17" t="n">
        <v>1</v>
      </c>
      <c r="Z1918" s="13">
        <f>SUMPRODUCT(N1918:Y1918,$N$2:$Y$2)*$K1918*$L1918*$M1918</f>
        <v/>
      </c>
      <c r="AA1918" s="14">
        <f>SUM(N1918:Y1918)</f>
        <v/>
      </c>
      <c r="AB1918" s="14">
        <f>IFERROR(IF(UPPER($E1918)="L",SUMPRODUCT(N1918:Y1918,$N$3:$Y$3,$N$2:$Y$2),SUMPRODUCT(N1918:Y1918,$N$4:$Y$4,$N$2:$Y$2))/(Z1918/($K1918*$L1918*$M1918)),"")</f>
        <v/>
      </c>
      <c r="AC1918" s="18" t="n"/>
    </row>
    <row r="1919">
      <c r="A1919" s="9" t="n">
        <v>800387</v>
      </c>
      <c r="B1919" s="9" t="inlineStr">
        <is>
          <t>Fernando Peguero</t>
        </is>
      </c>
      <c r="C1919" s="9" t="inlineStr">
        <is>
          <t>BAL</t>
        </is>
      </c>
      <c r="D1919" s="9" t="n">
        <v>25</v>
      </c>
      <c r="E1919" s="16" t="inlineStr">
        <is>
          <t>S</t>
        </is>
      </c>
      <c r="F1919" s="16" t="n"/>
      <c r="G1919" s="9" t="n">
        <v>56.97435897435898</v>
      </c>
      <c r="H1919" s="9" t="n">
        <v>56.97435897435898</v>
      </c>
      <c r="I1919" s="9" t="inlineStr">
        <is>
          <t>Depth (no MLB PA)</t>
        </is>
      </c>
      <c r="J1919" s="16" t="inlineStr">
        <is>
          <t>Opening Day</t>
        </is>
      </c>
      <c r="K1919" s="11">
        <f>IFERROR(INDEX(Roles!$B$17:$B$20,MATCH(J1919,Roles!$A$17:$A$20,0)),1)</f>
        <v/>
      </c>
      <c r="L1919" s="17" t="n">
        <v>1</v>
      </c>
      <c r="M1919" s="11" t="n">
        <v>1</v>
      </c>
      <c r="N1919" s="17" t="n"/>
      <c r="O1919" s="17" t="n"/>
      <c r="P1919" s="17" t="n"/>
      <c r="Q1919" s="17" t="n"/>
      <c r="R1919" s="17" t="n"/>
      <c r="S1919" s="17" t="n"/>
      <c r="T1919" s="17" t="n"/>
      <c r="U1919" s="17" t="n"/>
      <c r="V1919" s="17" t="n"/>
      <c r="W1919" s="17" t="n"/>
      <c r="X1919" s="17" t="n"/>
      <c r="Y1919" s="17" t="n">
        <v>1</v>
      </c>
      <c r="Z1919" s="13">
        <f>SUMPRODUCT(N1919:Y1919,$N$2:$Y$2)*$K1919*$L1919*$M1919</f>
        <v/>
      </c>
      <c r="AA1919" s="14">
        <f>SUM(N1919:Y1919)</f>
        <v/>
      </c>
      <c r="AB1919" s="14">
        <f>IFERROR(IF(UPPER($E1919)="L",SUMPRODUCT(N1919:Y1919,$N$3:$Y$3,$N$2:$Y$2),SUMPRODUCT(N1919:Y1919,$N$4:$Y$4,$N$2:$Y$2))/(Z1919/($K1919*$L1919*$M1919)),"")</f>
        <v/>
      </c>
      <c r="AC1919" s="18" t="n"/>
    </row>
    <row r="1920">
      <c r="A1920" s="9" t="n">
        <v>677356</v>
      </c>
      <c r="B1920" s="9" t="inlineStr">
        <is>
          <t>Carter Young</t>
        </is>
      </c>
      <c r="C1920" s="9" t="inlineStr">
        <is>
          <t>BAL</t>
        </is>
      </c>
      <c r="D1920" s="9" t="n">
        <v>25</v>
      </c>
      <c r="E1920" s="16" t="inlineStr">
        <is>
          <t>L</t>
        </is>
      </c>
      <c r="F1920" s="16" t="n"/>
      <c r="G1920" s="9" t="n">
        <v>23.12820512820513</v>
      </c>
      <c r="H1920" s="9" t="n">
        <v>23.12820512820513</v>
      </c>
      <c r="I1920" s="9" t="inlineStr">
        <is>
          <t>Depth (no MLB PA)</t>
        </is>
      </c>
      <c r="J1920" s="16" t="inlineStr">
        <is>
          <t>Opening Day</t>
        </is>
      </c>
      <c r="K1920" s="11">
        <f>IFERROR(INDEX(Roles!$B$17:$B$20,MATCH(J1920,Roles!$A$17:$A$20,0)),1)</f>
        <v/>
      </c>
      <c r="L1920" s="17" t="n">
        <v>1</v>
      </c>
      <c r="M1920" s="11" t="n">
        <v>1</v>
      </c>
      <c r="N1920" s="17" t="n"/>
      <c r="O1920" s="17" t="n"/>
      <c r="P1920" s="17" t="n"/>
      <c r="Q1920" s="17" t="n"/>
      <c r="R1920" s="17" t="n"/>
      <c r="S1920" s="17" t="n"/>
      <c r="T1920" s="17" t="n"/>
      <c r="U1920" s="17" t="n"/>
      <c r="V1920" s="17" t="n"/>
      <c r="W1920" s="17" t="n"/>
      <c r="X1920" s="17" t="n"/>
      <c r="Y1920" s="17" t="n">
        <v>1</v>
      </c>
      <c r="Z1920" s="13">
        <f>SUMPRODUCT(N1920:Y1920,$N$2:$Y$2)*$K1920*$L1920*$M1920</f>
        <v/>
      </c>
      <c r="AA1920" s="14">
        <f>SUM(N1920:Y1920)</f>
        <v/>
      </c>
      <c r="AB1920" s="14">
        <f>IFERROR(IF(UPPER($E1920)="L",SUMPRODUCT(N1920:Y1920,$N$3:$Y$3,$N$2:$Y$2),SUMPRODUCT(N1920:Y1920,$N$4:$Y$4,$N$2:$Y$2))/(Z1920/($K1920*$L1920*$M1920)),"")</f>
        <v/>
      </c>
      <c r="AC1920" s="18" t="n"/>
    </row>
    <row r="1921">
      <c r="A1921" s="9" t="n">
        <v>816120</v>
      </c>
      <c r="B1921" s="9" t="inlineStr">
        <is>
          <t>Griffin Burkholder</t>
        </is>
      </c>
      <c r="C1921" s="9" t="inlineStr">
        <is>
          <t>PHI</t>
        </is>
      </c>
      <c r="D1921" s="9" t="n">
        <v>25</v>
      </c>
      <c r="E1921" s="16" t="inlineStr">
        <is>
          <t>R</t>
        </is>
      </c>
      <c r="F1921" s="16" t="n"/>
      <c r="G1921" s="9" t="n">
        <v>24</v>
      </c>
      <c r="H1921" s="9" t="n">
        <v>24</v>
      </c>
      <c r="I1921" s="9" t="inlineStr">
        <is>
          <t>Depth (no MLB PA)</t>
        </is>
      </c>
      <c r="J1921" s="16" t="inlineStr">
        <is>
          <t>Opening Day</t>
        </is>
      </c>
      <c r="K1921" s="11">
        <f>IFERROR(INDEX(Roles!$B$17:$B$20,MATCH(J1921,Roles!$A$17:$A$20,0)),1)</f>
        <v/>
      </c>
      <c r="L1921" s="17" t="n">
        <v>1</v>
      </c>
      <c r="M1921" s="11" t="n">
        <v>1</v>
      </c>
      <c r="N1921" s="17" t="n"/>
      <c r="O1921" s="17" t="n"/>
      <c r="P1921" s="17" t="n"/>
      <c r="Q1921" s="17" t="n"/>
      <c r="R1921" s="17" t="n"/>
      <c r="S1921" s="17" t="n"/>
      <c r="T1921" s="17" t="n"/>
      <c r="U1921" s="17" t="n"/>
      <c r="V1921" s="17" t="n"/>
      <c r="W1921" s="17" t="n"/>
      <c r="X1921" s="17" t="n"/>
      <c r="Y1921" s="17" t="n">
        <v>1</v>
      </c>
      <c r="Z1921" s="13">
        <f>SUMPRODUCT(N1921:Y1921,$N$2:$Y$2)*$K1921*$L1921*$M1921</f>
        <v/>
      </c>
      <c r="AA1921" s="14">
        <f>SUM(N1921:Y1921)</f>
        <v/>
      </c>
      <c r="AB1921" s="14">
        <f>IFERROR(IF(UPPER($E1921)="L",SUMPRODUCT(N1921:Y1921,$N$3:$Y$3,$N$2:$Y$2),SUMPRODUCT(N1921:Y1921,$N$4:$Y$4,$N$2:$Y$2))/(Z1921/($K1921*$L1921*$M1921)),"")</f>
        <v/>
      </c>
      <c r="AC1921" s="18" t="n"/>
    </row>
    <row r="1922">
      <c r="A1922" s="9" t="n">
        <v>666971</v>
      </c>
      <c r="B1922" s="9" t="inlineStr">
        <is>
          <t>Lourdes Gurriel Jr.</t>
        </is>
      </c>
      <c r="C1922" s="9" t="inlineStr">
        <is>
          <t>ARI</t>
        </is>
      </c>
      <c r="D1922" s="9" t="n">
        <v>33</v>
      </c>
      <c r="E1922" s="16" t="inlineStr">
        <is>
          <t>R</t>
        </is>
      </c>
      <c r="F1922" s="16" t="inlineStr">
        <is>
          <t>LF</t>
        </is>
      </c>
      <c r="G1922" s="9" t="n">
        <v>201</v>
      </c>
      <c r="H1922" s="9" t="n">
        <v>2385</v>
      </c>
      <c r="I1922" s="9" t="inlineStr">
        <is>
          <t>Full Time</t>
        </is>
      </c>
      <c r="J1922" s="16" t="inlineStr">
        <is>
          <t>Opening Day</t>
        </is>
      </c>
      <c r="K1922" s="11">
        <f>IFERROR(INDEX(Roles!$B$17:$B$20,MATCH(J1922,Roles!$A$17:$A$20,0)),1)</f>
        <v/>
      </c>
      <c r="L1922" s="17" t="n">
        <v>1</v>
      </c>
      <c r="M1922" s="11" t="n">
        <v>0.8386578109899183</v>
      </c>
      <c r="N1922" s="17" t="n">
        <v>1</v>
      </c>
      <c r="O1922" s="17" t="n"/>
      <c r="P1922" s="17" t="n"/>
      <c r="Q1922" s="17" t="n"/>
      <c r="R1922" s="17" t="n"/>
      <c r="S1922" s="17" t="n"/>
      <c r="T1922" s="17" t="n"/>
      <c r="U1922" s="17" t="n"/>
      <c r="V1922" s="17" t="n"/>
      <c r="W1922" s="17" t="n"/>
      <c r="X1922" s="17" t="n"/>
      <c r="Y1922" s="17" t="n"/>
      <c r="Z1922" s="13">
        <f>SUMPRODUCT(N1922:Y1922,$N$2:$Y$2)*$K1922*$L1922*$M1922</f>
        <v/>
      </c>
      <c r="AA1922" s="14">
        <f>SUM(N1922:Y1922)</f>
        <v/>
      </c>
      <c r="AB1922" s="14">
        <f>IFERROR(IF(UPPER($E1922)="L",SUMPRODUCT(N1922:Y1922,$N$3:$Y$3,$N$2:$Y$2),SUMPRODUCT(N1922:Y1922,$N$4:$Y$4,$N$2:$Y$2))/(Z1922/($K1922*$L1922*$M1922)),"")</f>
        <v/>
      </c>
      <c r="AC1922" s="18" t="n"/>
    </row>
    <row r="1923">
      <c r="A1923" s="9" t="n">
        <v>663550</v>
      </c>
      <c r="B1923" s="9" t="inlineStr">
        <is>
          <t>Trey Cabbage</t>
        </is>
      </c>
      <c r="C1923" s="9" t="inlineStr">
        <is>
          <t>HOU</t>
        </is>
      </c>
      <c r="D1923" s="9" t="n">
        <v>30</v>
      </c>
      <c r="E1923" s="16" t="inlineStr">
        <is>
          <t>L</t>
        </is>
      </c>
      <c r="F1923" s="16" t="inlineStr">
        <is>
          <t>RF</t>
        </is>
      </c>
      <c r="G1923" s="9" t="n">
        <v>91</v>
      </c>
      <c r="H1923" s="9" t="n">
        <v>147</v>
      </c>
      <c r="I1923" s="9" t="inlineStr">
        <is>
          <t>Depth (no MLB PA)</t>
        </is>
      </c>
      <c r="J1923" s="16" t="inlineStr">
        <is>
          <t>Opening Day</t>
        </is>
      </c>
      <c r="K1923" s="11">
        <f>IFERROR(INDEX(Roles!$B$17:$B$20,MATCH(J1923,Roles!$A$17:$A$20,0)),1)</f>
        <v/>
      </c>
      <c r="L1923" s="17" t="n">
        <v>1</v>
      </c>
      <c r="M1923" s="11" t="n">
        <v>1</v>
      </c>
      <c r="N1923" s="17" t="n"/>
      <c r="O1923" s="17" t="n"/>
      <c r="P1923" s="17" t="n"/>
      <c r="Q1923" s="17" t="n"/>
      <c r="R1923" s="17" t="n"/>
      <c r="S1923" s="17" t="n"/>
      <c r="T1923" s="17" t="n"/>
      <c r="U1923" s="17" t="n"/>
      <c r="V1923" s="17" t="n"/>
      <c r="W1923" s="17" t="n"/>
      <c r="X1923" s="17" t="n"/>
      <c r="Y1923" s="17" t="n">
        <v>1</v>
      </c>
      <c r="Z1923" s="13">
        <f>SUMPRODUCT(N1923:Y1923,$N$2:$Y$2)*$K1923*$L1923*$M1923</f>
        <v/>
      </c>
      <c r="AA1923" s="14">
        <f>SUM(N1923:Y1923)</f>
        <v/>
      </c>
      <c r="AB1923" s="14">
        <f>IFERROR(IF(UPPER($E1923)="L",SUMPRODUCT(N1923:Y1923,$N$3:$Y$3,$N$2:$Y$2),SUMPRODUCT(N1923:Y1923,$N$4:$Y$4,$N$2:$Y$2))/(Z1923/($K1923*$L1923*$M1923)),"")</f>
        <v/>
      </c>
      <c r="AC1923" s="18" t="n"/>
    </row>
    <row r="1924">
      <c r="A1924" s="9" t="n">
        <v>808286</v>
      </c>
      <c r="B1924" s="9" t="inlineStr">
        <is>
          <t>Cristian Jauregui</t>
        </is>
      </c>
      <c r="C1924" s="9" t="inlineStr">
        <is>
          <t>PIT</t>
        </is>
      </c>
      <c r="D1924" s="9" t="n">
        <v>25</v>
      </c>
      <c r="E1924" s="16" t="inlineStr">
        <is>
          <t>L</t>
        </is>
      </c>
      <c r="F1924" s="16" t="n"/>
      <c r="G1924" s="9" t="n">
        <v>37.90769230769231</v>
      </c>
      <c r="H1924" s="9" t="n">
        <v>37.90769230769231</v>
      </c>
      <c r="I1924" s="9" t="inlineStr">
        <is>
          <t>Depth (no MLB PA)</t>
        </is>
      </c>
      <c r="J1924" s="16" t="inlineStr">
        <is>
          <t>Opening Day</t>
        </is>
      </c>
      <c r="K1924" s="11">
        <f>IFERROR(INDEX(Roles!$B$17:$B$20,MATCH(J1924,Roles!$A$17:$A$20,0)),1)</f>
        <v/>
      </c>
      <c r="L1924" s="17" t="n">
        <v>1</v>
      </c>
      <c r="M1924" s="11" t="n">
        <v>1</v>
      </c>
      <c r="N1924" s="17" t="n"/>
      <c r="O1924" s="17" t="n"/>
      <c r="P1924" s="17" t="n"/>
      <c r="Q1924" s="17" t="n"/>
      <c r="R1924" s="17" t="n"/>
      <c r="S1924" s="17" t="n"/>
      <c r="T1924" s="17" t="n"/>
      <c r="U1924" s="17" t="n"/>
      <c r="V1924" s="17" t="n"/>
      <c r="W1924" s="17" t="n"/>
      <c r="X1924" s="17" t="n"/>
      <c r="Y1924" s="17" t="n">
        <v>1</v>
      </c>
      <c r="Z1924" s="13">
        <f>SUMPRODUCT(N1924:Y1924,$N$2:$Y$2)*$K1924*$L1924*$M1924</f>
        <v/>
      </c>
      <c r="AA1924" s="14">
        <f>SUM(N1924:Y1924)</f>
        <v/>
      </c>
      <c r="AB1924" s="14">
        <f>IFERROR(IF(UPPER($E1924)="L",SUMPRODUCT(N1924:Y1924,$N$3:$Y$3,$N$2:$Y$2),SUMPRODUCT(N1924:Y1924,$N$4:$Y$4,$N$2:$Y$2))/(Z1924/($K1924*$L1924*$M1924)),"")</f>
        <v/>
      </c>
      <c r="AC1924" s="18" t="n"/>
    </row>
    <row r="1925">
      <c r="A1925" s="9" t="n">
        <v>675394</v>
      </c>
      <c r="B1925" s="9" t="inlineStr">
        <is>
          <t>Johnny Olmstead</t>
        </is>
      </c>
      <c r="C1925" s="9" t="inlineStr">
        <is>
          <t>MIA</t>
        </is>
      </c>
      <c r="D1925" s="9" t="n">
        <v>25</v>
      </c>
      <c r="E1925" s="16" t="inlineStr">
        <is>
          <t>R</t>
        </is>
      </c>
      <c r="F1925" s="16" t="n"/>
      <c r="G1925" s="9" t="n">
        <v>173.7435897435898</v>
      </c>
      <c r="H1925" s="9" t="n">
        <v>173.7435897435898</v>
      </c>
      <c r="I1925" s="9" t="inlineStr">
        <is>
          <t>Depth (no MLB PA)</t>
        </is>
      </c>
      <c r="J1925" s="16" t="inlineStr">
        <is>
          <t>Opening Day</t>
        </is>
      </c>
      <c r="K1925" s="11">
        <f>IFERROR(INDEX(Roles!$B$17:$B$20,MATCH(J1925,Roles!$A$17:$A$20,0)),1)</f>
        <v/>
      </c>
      <c r="L1925" s="17" t="n">
        <v>1</v>
      </c>
      <c r="M1925" s="11" t="n">
        <v>1</v>
      </c>
      <c r="N1925" s="17" t="n"/>
      <c r="O1925" s="17" t="n"/>
      <c r="P1925" s="17" t="n"/>
      <c r="Q1925" s="17" t="n"/>
      <c r="R1925" s="17" t="n"/>
      <c r="S1925" s="17" t="n"/>
      <c r="T1925" s="17" t="n"/>
      <c r="U1925" s="17" t="n"/>
      <c r="V1925" s="17" t="n"/>
      <c r="W1925" s="17" t="n"/>
      <c r="X1925" s="17" t="n"/>
      <c r="Y1925" s="17" t="n">
        <v>1</v>
      </c>
      <c r="Z1925" s="13">
        <f>SUMPRODUCT(N1925:Y1925,$N$2:$Y$2)*$K1925*$L1925*$M1925</f>
        <v/>
      </c>
      <c r="AA1925" s="14">
        <f>SUM(N1925:Y1925)</f>
        <v/>
      </c>
      <c r="AB1925" s="14">
        <f>IFERROR(IF(UPPER($E1925)="L",SUMPRODUCT(N1925:Y1925,$N$3:$Y$3,$N$2:$Y$2),SUMPRODUCT(N1925:Y1925,$N$4:$Y$4,$N$2:$Y$2))/(Z1925/($K1925*$L1925*$M1925)),"")</f>
        <v/>
      </c>
      <c r="AC1925" s="18" t="n"/>
    </row>
    <row r="1926">
      <c r="A1926" s="9" t="n">
        <v>808245</v>
      </c>
      <c r="B1926" s="9" t="inlineStr">
        <is>
          <t>Starlyn Nunez</t>
        </is>
      </c>
      <c r="C1926" s="9" t="inlineStr">
        <is>
          <t>BOS</t>
        </is>
      </c>
      <c r="D1926" s="9" t="n">
        <v>25</v>
      </c>
      <c r="E1926" s="16" t="inlineStr">
        <is>
          <t>S</t>
        </is>
      </c>
      <c r="F1926" s="16" t="n"/>
      <c r="G1926" s="9" t="n">
        <v>52.06153846153846</v>
      </c>
      <c r="H1926" s="9" t="n">
        <v>52.06153846153846</v>
      </c>
      <c r="I1926" s="9" t="inlineStr">
        <is>
          <t>Depth (no MLB PA)</t>
        </is>
      </c>
      <c r="J1926" s="16" t="inlineStr">
        <is>
          <t>Opening Day</t>
        </is>
      </c>
      <c r="K1926" s="11">
        <f>IFERROR(INDEX(Roles!$B$17:$B$20,MATCH(J1926,Roles!$A$17:$A$20,0)),1)</f>
        <v/>
      </c>
      <c r="L1926" s="17" t="n">
        <v>1</v>
      </c>
      <c r="M1926" s="11" t="n">
        <v>1</v>
      </c>
      <c r="N1926" s="17" t="n"/>
      <c r="O1926" s="17" t="n"/>
      <c r="P1926" s="17" t="n"/>
      <c r="Q1926" s="17" t="n"/>
      <c r="R1926" s="17" t="n"/>
      <c r="S1926" s="17" t="n"/>
      <c r="T1926" s="17" t="n"/>
      <c r="U1926" s="17" t="n"/>
      <c r="V1926" s="17" t="n"/>
      <c r="W1926" s="17" t="n"/>
      <c r="X1926" s="17" t="n"/>
      <c r="Y1926" s="17" t="n">
        <v>1</v>
      </c>
      <c r="Z1926" s="13">
        <f>SUMPRODUCT(N1926:Y1926,$N$2:$Y$2)*$K1926*$L1926*$M1926</f>
        <v/>
      </c>
      <c r="AA1926" s="14">
        <f>SUM(N1926:Y1926)</f>
        <v/>
      </c>
      <c r="AB1926" s="14">
        <f>IFERROR(IF(UPPER($E1926)="L",SUMPRODUCT(N1926:Y1926,$N$3:$Y$3,$N$2:$Y$2),SUMPRODUCT(N1926:Y1926,$N$4:$Y$4,$N$2:$Y$2))/(Z1926/($K1926*$L1926*$M1926)),"")</f>
        <v/>
      </c>
      <c r="AC1926" s="18" t="n"/>
    </row>
    <row r="1927">
      <c r="A1927" s="9" t="n">
        <v>687069</v>
      </c>
      <c r="B1927" s="9" t="inlineStr">
        <is>
          <t>Josh Rivera</t>
        </is>
      </c>
      <c r="C1927" s="9" t="inlineStr">
        <is>
          <t>TOR</t>
        </is>
      </c>
      <c r="D1927" s="9" t="n">
        <v>25</v>
      </c>
      <c r="E1927" s="16" t="inlineStr">
        <is>
          <t>R</t>
        </is>
      </c>
      <c r="F1927" s="16" t="n"/>
      <c r="G1927" s="9" t="n">
        <v>204.2051282051282</v>
      </c>
      <c r="H1927" s="9" t="n">
        <v>204.2051282051282</v>
      </c>
      <c r="I1927" s="9" t="inlineStr">
        <is>
          <t>Depth (no MLB PA)</t>
        </is>
      </c>
      <c r="J1927" s="16" t="inlineStr">
        <is>
          <t>Opening Day</t>
        </is>
      </c>
      <c r="K1927" s="11">
        <f>IFERROR(INDEX(Roles!$B$17:$B$20,MATCH(J1927,Roles!$A$17:$A$20,0)),1)</f>
        <v/>
      </c>
      <c r="L1927" s="17" t="n">
        <v>1</v>
      </c>
      <c r="M1927" s="11" t="n">
        <v>1</v>
      </c>
      <c r="N1927" s="17" t="n"/>
      <c r="O1927" s="17" t="n"/>
      <c r="P1927" s="17" t="n"/>
      <c r="Q1927" s="17" t="n"/>
      <c r="R1927" s="17" t="n"/>
      <c r="S1927" s="17" t="n"/>
      <c r="T1927" s="17" t="n"/>
      <c r="U1927" s="17" t="n"/>
      <c r="V1927" s="17" t="n"/>
      <c r="W1927" s="17" t="n"/>
      <c r="X1927" s="17" t="n"/>
      <c r="Y1927" s="17" t="n">
        <v>1</v>
      </c>
      <c r="Z1927" s="13">
        <f>SUMPRODUCT(N1927:Y1927,$N$2:$Y$2)*$K1927*$L1927*$M1927</f>
        <v/>
      </c>
      <c r="AA1927" s="14">
        <f>SUM(N1927:Y1927)</f>
        <v/>
      </c>
      <c r="AB1927" s="14">
        <f>IFERROR(IF(UPPER($E1927)="L",SUMPRODUCT(N1927:Y1927,$N$3:$Y$3,$N$2:$Y$2),SUMPRODUCT(N1927:Y1927,$N$4:$Y$4,$N$2:$Y$2))/(Z1927/($K1927*$L1927*$M1927)),"")</f>
        <v/>
      </c>
      <c r="AC1927" s="18" t="n"/>
    </row>
    <row r="1928">
      <c r="A1928" s="9" t="n">
        <v>458015</v>
      </c>
      <c r="B1928" s="9" t="inlineStr">
        <is>
          <t>Joey Votto</t>
        </is>
      </c>
      <c r="C1928" s="9" t="inlineStr">
        <is>
          <t>CIN</t>
        </is>
      </c>
      <c r="D1928" s="9" t="n">
        <v>43</v>
      </c>
      <c r="E1928" s="16" t="inlineStr">
        <is>
          <t>L</t>
        </is>
      </c>
      <c r="F1928" s="16" t="inlineStr">
        <is>
          <t>1B</t>
        </is>
      </c>
      <c r="G1928" s="9" t="n">
        <v>242</v>
      </c>
      <c r="H1928" s="9" t="n">
        <v>618</v>
      </c>
      <c r="I1928" s="9" t="inlineStr">
        <is>
          <t>Depth (no MLB PA)</t>
        </is>
      </c>
      <c r="J1928" s="16" t="inlineStr">
        <is>
          <t>Opening Day</t>
        </is>
      </c>
      <c r="K1928" s="11">
        <f>IFERROR(INDEX(Roles!$B$17:$B$20,MATCH(J1928,Roles!$A$17:$A$20,0)),1)</f>
        <v/>
      </c>
      <c r="L1928" s="17" t="n">
        <v>1</v>
      </c>
      <c r="M1928" s="11" t="n">
        <v>1</v>
      </c>
      <c r="N1928" s="17" t="n"/>
      <c r="O1928" s="17" t="n"/>
      <c r="P1928" s="17" t="n"/>
      <c r="Q1928" s="17" t="n"/>
      <c r="R1928" s="17" t="n"/>
      <c r="S1928" s="17" t="n"/>
      <c r="T1928" s="17" t="n"/>
      <c r="U1928" s="17" t="n"/>
      <c r="V1928" s="17" t="n"/>
      <c r="W1928" s="17" t="n"/>
      <c r="X1928" s="17" t="n"/>
      <c r="Y1928" s="17" t="n">
        <v>1</v>
      </c>
      <c r="Z1928" s="13">
        <f>SUMPRODUCT(N1928:Y1928,$N$2:$Y$2)*$K1928*$L1928*$M1928</f>
        <v/>
      </c>
      <c r="AA1928" s="14">
        <f>SUM(N1928:Y1928)</f>
        <v/>
      </c>
      <c r="AB1928" s="14">
        <f>IFERROR(IF(UPPER($E1928)="L",SUMPRODUCT(N1928:Y1928,$N$3:$Y$3,$N$2:$Y$2),SUMPRODUCT(N1928:Y1928,$N$4:$Y$4,$N$2:$Y$2))/(Z1928/($K1928*$L1928*$M1928)),"")</f>
        <v/>
      </c>
      <c r="AC1928" s="18" t="n"/>
    </row>
    <row r="1929">
      <c r="A1929" s="9" t="n">
        <v>807643</v>
      </c>
      <c r="B1929" s="9" t="inlineStr">
        <is>
          <t>Alfredo Alcantara</t>
        </is>
      </c>
      <c r="C1929" s="9" t="inlineStr">
        <is>
          <t>CIN</t>
        </is>
      </c>
      <c r="D1929" s="9" t="n">
        <v>25</v>
      </c>
      <c r="E1929" s="16" t="inlineStr">
        <is>
          <t>R</t>
        </is>
      </c>
      <c r="F1929" s="16" t="n"/>
      <c r="G1929" s="9" t="n">
        <v>86.76923076923077</v>
      </c>
      <c r="H1929" s="9" t="n">
        <v>86.76923076923077</v>
      </c>
      <c r="I1929" s="9" t="inlineStr">
        <is>
          <t>Depth (no MLB PA)</t>
        </is>
      </c>
      <c r="J1929" s="16" t="inlineStr">
        <is>
          <t>Opening Day</t>
        </is>
      </c>
      <c r="K1929" s="11">
        <f>IFERROR(INDEX(Roles!$B$17:$B$20,MATCH(J1929,Roles!$A$17:$A$20,0)),1)</f>
        <v/>
      </c>
      <c r="L1929" s="17" t="n">
        <v>1</v>
      </c>
      <c r="M1929" s="11" t="n">
        <v>1</v>
      </c>
      <c r="N1929" s="17" t="n"/>
      <c r="O1929" s="17" t="n"/>
      <c r="P1929" s="17" t="n"/>
      <c r="Q1929" s="17" t="n"/>
      <c r="R1929" s="17" t="n"/>
      <c r="S1929" s="17" t="n"/>
      <c r="T1929" s="17" t="n"/>
      <c r="U1929" s="17" t="n"/>
      <c r="V1929" s="17" t="n"/>
      <c r="W1929" s="17" t="n"/>
      <c r="X1929" s="17" t="n"/>
      <c r="Y1929" s="17" t="n">
        <v>1</v>
      </c>
      <c r="Z1929" s="13">
        <f>SUMPRODUCT(N1929:Y1929,$N$2:$Y$2)*$K1929*$L1929*$M1929</f>
        <v/>
      </c>
      <c r="AA1929" s="14">
        <f>SUM(N1929:Y1929)</f>
        <v/>
      </c>
      <c r="AB1929" s="14">
        <f>IFERROR(IF(UPPER($E1929)="L",SUMPRODUCT(N1929:Y1929,$N$3:$Y$3,$N$2:$Y$2),SUMPRODUCT(N1929:Y1929,$N$4:$Y$4,$N$2:$Y$2))/(Z1929/($K1929*$L1929*$M1929)),"")</f>
        <v/>
      </c>
      <c r="AC1929" s="18" t="n"/>
    </row>
    <row r="1930">
      <c r="A1930" s="9" t="n">
        <v>685091</v>
      </c>
      <c r="B1930" s="9" t="inlineStr">
        <is>
          <t>Parker Chavers</t>
        </is>
      </c>
      <c r="C1930" s="9" t="inlineStr">
        <is>
          <t>HOU</t>
        </is>
      </c>
      <c r="D1930" s="9" t="n">
        <v>25</v>
      </c>
      <c r="E1930" s="16" t="inlineStr">
        <is>
          <t>L</t>
        </is>
      </c>
      <c r="F1930" s="16" t="n"/>
      <c r="G1930" s="9" t="n">
        <v>23.6923076923077</v>
      </c>
      <c r="H1930" s="9" t="n">
        <v>23.6923076923077</v>
      </c>
      <c r="I1930" s="9" t="inlineStr">
        <is>
          <t>Depth (no MLB PA)</t>
        </is>
      </c>
      <c r="J1930" s="16" t="inlineStr">
        <is>
          <t>Opening Day</t>
        </is>
      </c>
      <c r="K1930" s="11">
        <f>IFERROR(INDEX(Roles!$B$17:$B$20,MATCH(J1930,Roles!$A$17:$A$20,0)),1)</f>
        <v/>
      </c>
      <c r="L1930" s="17" t="n">
        <v>1</v>
      </c>
      <c r="M1930" s="11" t="n">
        <v>1</v>
      </c>
      <c r="N1930" s="17" t="n"/>
      <c r="O1930" s="17" t="n"/>
      <c r="P1930" s="17" t="n"/>
      <c r="Q1930" s="17" t="n"/>
      <c r="R1930" s="17" t="n"/>
      <c r="S1930" s="17" t="n"/>
      <c r="T1930" s="17" t="n"/>
      <c r="U1930" s="17" t="n"/>
      <c r="V1930" s="17" t="n"/>
      <c r="W1930" s="17" t="n"/>
      <c r="X1930" s="17" t="n"/>
      <c r="Y1930" s="17" t="n">
        <v>1</v>
      </c>
      <c r="Z1930" s="13">
        <f>SUMPRODUCT(N1930:Y1930,$N$2:$Y$2)*$K1930*$L1930*$M1930</f>
        <v/>
      </c>
      <c r="AA1930" s="14">
        <f>SUM(N1930:Y1930)</f>
        <v/>
      </c>
      <c r="AB1930" s="14">
        <f>IFERROR(IF(UPPER($E1930)="L",SUMPRODUCT(N1930:Y1930,$N$3:$Y$3,$N$2:$Y$2),SUMPRODUCT(N1930:Y1930,$N$4:$Y$4,$N$2:$Y$2))/(Z1930/($K1930*$L1930*$M1930)),"")</f>
        <v/>
      </c>
      <c r="AC1930" s="18" t="n"/>
    </row>
    <row r="1931">
      <c r="A1931" s="9" t="n">
        <v>681132</v>
      </c>
      <c r="B1931" s="9" t="inlineStr">
        <is>
          <t>Max Ferguson</t>
        </is>
      </c>
      <c r="C1931" s="9" t="inlineStr">
        <is>
          <t>BOS</t>
        </is>
      </c>
      <c r="D1931" s="9" t="n">
        <v>25</v>
      </c>
      <c r="E1931" s="16" t="inlineStr">
        <is>
          <t>L</t>
        </is>
      </c>
      <c r="F1931" s="16" t="n"/>
      <c r="G1931" s="9" t="n">
        <v>74.46153846153847</v>
      </c>
      <c r="H1931" s="9" t="n">
        <v>74.46153846153847</v>
      </c>
      <c r="I1931" s="9" t="inlineStr">
        <is>
          <t>Depth (no MLB PA)</t>
        </is>
      </c>
      <c r="J1931" s="16" t="inlineStr">
        <is>
          <t>Opening Day</t>
        </is>
      </c>
      <c r="K1931" s="11">
        <f>IFERROR(INDEX(Roles!$B$17:$B$20,MATCH(J1931,Roles!$A$17:$A$20,0)),1)</f>
        <v/>
      </c>
      <c r="L1931" s="17" t="n">
        <v>1</v>
      </c>
      <c r="M1931" s="11" t="n">
        <v>1</v>
      </c>
      <c r="N1931" s="17" t="n"/>
      <c r="O1931" s="17" t="n"/>
      <c r="P1931" s="17" t="n"/>
      <c r="Q1931" s="17" t="n"/>
      <c r="R1931" s="17" t="n"/>
      <c r="S1931" s="17" t="n"/>
      <c r="T1931" s="17" t="n"/>
      <c r="U1931" s="17" t="n"/>
      <c r="V1931" s="17" t="n"/>
      <c r="W1931" s="17" t="n"/>
      <c r="X1931" s="17" t="n"/>
      <c r="Y1931" s="17" t="n">
        <v>1</v>
      </c>
      <c r="Z1931" s="13">
        <f>SUMPRODUCT(N1931:Y1931,$N$2:$Y$2)*$K1931*$L1931*$M1931</f>
        <v/>
      </c>
      <c r="AA1931" s="14">
        <f>SUM(N1931:Y1931)</f>
        <v/>
      </c>
      <c r="AB1931" s="14">
        <f>IFERROR(IF(UPPER($E1931)="L",SUMPRODUCT(N1931:Y1931,$N$3:$Y$3,$N$2:$Y$2),SUMPRODUCT(N1931:Y1931,$N$4:$Y$4,$N$2:$Y$2))/(Z1931/($K1931*$L1931*$M1931)),"")</f>
        <v/>
      </c>
      <c r="AC1931" s="18" t="n"/>
    </row>
    <row r="1932">
      <c r="A1932" s="9" t="n">
        <v>702619</v>
      </c>
      <c r="B1932" s="9" t="inlineStr">
        <is>
          <t>Luke Hill</t>
        </is>
      </c>
      <c r="C1932" s="9" t="inlineStr">
        <is>
          <t>CLE</t>
        </is>
      </c>
      <c r="D1932" s="9" t="n">
        <v>25</v>
      </c>
      <c r="E1932" s="16" t="inlineStr">
        <is>
          <t>R</t>
        </is>
      </c>
      <c r="F1932" s="16" t="n"/>
      <c r="G1932" s="9" t="n">
        <v>52.76923076923077</v>
      </c>
      <c r="H1932" s="9" t="n">
        <v>52.76923076923077</v>
      </c>
      <c r="I1932" s="9" t="inlineStr">
        <is>
          <t>Depth (no MLB PA)</t>
        </is>
      </c>
      <c r="J1932" s="16" t="inlineStr">
        <is>
          <t>Opening Day</t>
        </is>
      </c>
      <c r="K1932" s="11">
        <f>IFERROR(INDEX(Roles!$B$17:$B$20,MATCH(J1932,Roles!$A$17:$A$20,0)),1)</f>
        <v/>
      </c>
      <c r="L1932" s="17" t="n">
        <v>1</v>
      </c>
      <c r="M1932" s="11" t="n">
        <v>1</v>
      </c>
      <c r="N1932" s="17" t="n"/>
      <c r="O1932" s="17" t="n"/>
      <c r="P1932" s="17" t="n"/>
      <c r="Q1932" s="17" t="n"/>
      <c r="R1932" s="17" t="n"/>
      <c r="S1932" s="17" t="n"/>
      <c r="T1932" s="17" t="n"/>
      <c r="U1932" s="17" t="n"/>
      <c r="V1932" s="17" t="n"/>
      <c r="W1932" s="17" t="n"/>
      <c r="X1932" s="17" t="n"/>
      <c r="Y1932" s="17" t="n">
        <v>1</v>
      </c>
      <c r="Z1932" s="13">
        <f>SUMPRODUCT(N1932:Y1932,$N$2:$Y$2)*$K1932*$L1932*$M1932</f>
        <v/>
      </c>
      <c r="AA1932" s="14">
        <f>SUM(N1932:Y1932)</f>
        <v/>
      </c>
      <c r="AB1932" s="14">
        <f>IFERROR(IF(UPPER($E1932)="L",SUMPRODUCT(N1932:Y1932,$N$3:$Y$3,$N$2:$Y$2),SUMPRODUCT(N1932:Y1932,$N$4:$Y$4,$N$2:$Y$2))/(Z1932/($K1932*$L1932*$M1932)),"")</f>
        <v/>
      </c>
      <c r="AC1932" s="18" t="n"/>
    </row>
    <row r="1933">
      <c r="A1933" s="9" t="n">
        <v>701734</v>
      </c>
      <c r="B1933" s="9" t="inlineStr">
        <is>
          <t>Ryan McCrystal</t>
        </is>
      </c>
      <c r="C1933" s="9" t="inlineStr">
        <is>
          <t>CIN</t>
        </is>
      </c>
      <c r="D1933" s="9" t="n">
        <v>25</v>
      </c>
      <c r="E1933" s="16" t="inlineStr">
        <is>
          <t>L</t>
        </is>
      </c>
      <c r="F1933" s="16" t="n"/>
      <c r="G1933" s="9" t="n">
        <v>43.79487179487179</v>
      </c>
      <c r="H1933" s="9" t="n">
        <v>43.79487179487179</v>
      </c>
      <c r="I1933" s="9" t="inlineStr">
        <is>
          <t>Depth (no MLB PA)</t>
        </is>
      </c>
      <c r="J1933" s="16" t="inlineStr">
        <is>
          <t>Opening Day</t>
        </is>
      </c>
      <c r="K1933" s="11">
        <f>IFERROR(INDEX(Roles!$B$17:$B$20,MATCH(J1933,Roles!$A$17:$A$20,0)),1)</f>
        <v/>
      </c>
      <c r="L1933" s="17" t="n">
        <v>1</v>
      </c>
      <c r="M1933" s="11" t="n">
        <v>1</v>
      </c>
      <c r="N1933" s="17" t="n"/>
      <c r="O1933" s="17" t="n"/>
      <c r="P1933" s="17" t="n"/>
      <c r="Q1933" s="17" t="n"/>
      <c r="R1933" s="17" t="n"/>
      <c r="S1933" s="17" t="n"/>
      <c r="T1933" s="17" t="n"/>
      <c r="U1933" s="17" t="n"/>
      <c r="V1933" s="17" t="n"/>
      <c r="W1933" s="17" t="n"/>
      <c r="X1933" s="17" t="n"/>
      <c r="Y1933" s="17" t="n">
        <v>1</v>
      </c>
      <c r="Z1933" s="13">
        <f>SUMPRODUCT(N1933:Y1933,$N$2:$Y$2)*$K1933*$L1933*$M1933</f>
        <v/>
      </c>
      <c r="AA1933" s="14">
        <f>SUM(N1933:Y1933)</f>
        <v/>
      </c>
      <c r="AB1933" s="14">
        <f>IFERROR(IF(UPPER($E1933)="L",SUMPRODUCT(N1933:Y1933,$N$3:$Y$3,$N$2:$Y$2),SUMPRODUCT(N1933:Y1933,$N$4:$Y$4,$N$2:$Y$2))/(Z1933/($K1933*$L1933*$M1933)),"")</f>
        <v/>
      </c>
      <c r="AC1933" s="18" t="n"/>
    </row>
    <row r="1934">
      <c r="A1934" s="9" t="n">
        <v>821238</v>
      </c>
      <c r="B1934" s="9" t="inlineStr">
        <is>
          <t>Marlon Quintero</t>
        </is>
      </c>
      <c r="C1934" s="9" t="inlineStr">
        <is>
          <t>LAA</t>
        </is>
      </c>
      <c r="D1934" s="9" t="n">
        <v>25</v>
      </c>
      <c r="E1934" s="16" t="inlineStr">
        <is>
          <t>R</t>
        </is>
      </c>
      <c r="F1934" s="16" t="n"/>
      <c r="G1934" s="9" t="n">
        <v>44.92307692307692</v>
      </c>
      <c r="H1934" s="9" t="n">
        <v>44.92307692307692</v>
      </c>
      <c r="I1934" s="9" t="inlineStr">
        <is>
          <t>Depth (no MLB PA)</t>
        </is>
      </c>
      <c r="J1934" s="16" t="inlineStr">
        <is>
          <t>Opening Day</t>
        </is>
      </c>
      <c r="K1934" s="11">
        <f>IFERROR(INDEX(Roles!$B$17:$B$20,MATCH(J1934,Roles!$A$17:$A$20,0)),1)</f>
        <v/>
      </c>
      <c r="L1934" s="17" t="n">
        <v>1</v>
      </c>
      <c r="M1934" s="11" t="n">
        <v>1</v>
      </c>
      <c r="N1934" s="17" t="n"/>
      <c r="O1934" s="17" t="n"/>
      <c r="P1934" s="17" t="n"/>
      <c r="Q1934" s="17" t="n"/>
      <c r="R1934" s="17" t="n"/>
      <c r="S1934" s="17" t="n"/>
      <c r="T1934" s="17" t="n"/>
      <c r="U1934" s="17" t="n"/>
      <c r="V1934" s="17" t="n"/>
      <c r="W1934" s="17" t="n"/>
      <c r="X1934" s="17" t="n"/>
      <c r="Y1934" s="17" t="n">
        <v>1</v>
      </c>
      <c r="Z1934" s="13">
        <f>SUMPRODUCT(N1934:Y1934,$N$2:$Y$2)*$K1934*$L1934*$M1934</f>
        <v/>
      </c>
      <c r="AA1934" s="14">
        <f>SUM(N1934:Y1934)</f>
        <v/>
      </c>
      <c r="AB1934" s="14">
        <f>IFERROR(IF(UPPER($E1934)="L",SUMPRODUCT(N1934:Y1934,$N$3:$Y$3,$N$2:$Y$2),SUMPRODUCT(N1934:Y1934,$N$4:$Y$4,$N$2:$Y$2))/(Z1934/($K1934*$L1934*$M1934)),"")</f>
        <v/>
      </c>
      <c r="AC1934" s="18" t="n"/>
    </row>
    <row r="1935">
      <c r="A1935" s="9" t="n">
        <v>808291</v>
      </c>
      <c r="B1935" s="9" t="inlineStr">
        <is>
          <t>Tyler Rodriguez</t>
        </is>
      </c>
      <c r="C1935" s="9" t="inlineStr">
        <is>
          <t>MIL</t>
        </is>
      </c>
      <c r="D1935" s="9" t="n">
        <v>25</v>
      </c>
      <c r="E1935" s="16" t="inlineStr">
        <is>
          <t>R</t>
        </is>
      </c>
      <c r="F1935" s="16" t="n"/>
      <c r="G1935" s="9" t="n">
        <v>33.84615384615385</v>
      </c>
      <c r="H1935" s="9" t="n">
        <v>33.84615384615385</v>
      </c>
      <c r="I1935" s="9" t="inlineStr">
        <is>
          <t>Depth (no MLB PA)</t>
        </is>
      </c>
      <c r="J1935" s="16" t="inlineStr">
        <is>
          <t>Opening Day</t>
        </is>
      </c>
      <c r="K1935" s="11">
        <f>IFERROR(INDEX(Roles!$B$17:$B$20,MATCH(J1935,Roles!$A$17:$A$20,0)),1)</f>
        <v/>
      </c>
      <c r="L1935" s="17" t="n">
        <v>1</v>
      </c>
      <c r="M1935" s="11" t="n">
        <v>1</v>
      </c>
      <c r="N1935" s="17" t="n"/>
      <c r="O1935" s="17" t="n"/>
      <c r="P1935" s="17" t="n"/>
      <c r="Q1935" s="17" t="n"/>
      <c r="R1935" s="17" t="n"/>
      <c r="S1935" s="17" t="n"/>
      <c r="T1935" s="17" t="n"/>
      <c r="U1935" s="17" t="n"/>
      <c r="V1935" s="17" t="n"/>
      <c r="W1935" s="17" t="n"/>
      <c r="X1935" s="17" t="n"/>
      <c r="Y1935" s="17" t="n">
        <v>1</v>
      </c>
      <c r="Z1935" s="13">
        <f>SUMPRODUCT(N1935:Y1935,$N$2:$Y$2)*$K1935*$L1935*$M1935</f>
        <v/>
      </c>
      <c r="AA1935" s="14">
        <f>SUM(N1935:Y1935)</f>
        <v/>
      </c>
      <c r="AB1935" s="14">
        <f>IFERROR(IF(UPPER($E1935)="L",SUMPRODUCT(N1935:Y1935,$N$3:$Y$3,$N$2:$Y$2),SUMPRODUCT(N1935:Y1935,$N$4:$Y$4,$N$2:$Y$2))/(Z1935/($K1935*$L1935*$M1935)),"")</f>
        <v/>
      </c>
      <c r="AC1935" s="18" t="n"/>
    </row>
    <row r="1936">
      <c r="A1936" s="9" t="n">
        <v>808365</v>
      </c>
      <c r="B1936" s="9" t="inlineStr">
        <is>
          <t>Dameury Pena</t>
        </is>
      </c>
      <c r="C1936" s="9" t="inlineStr">
        <is>
          <t>TOR</t>
        </is>
      </c>
      <c r="D1936" s="9" t="n">
        <v>25</v>
      </c>
      <c r="E1936" s="16" t="inlineStr">
        <is>
          <t>R</t>
        </is>
      </c>
      <c r="F1936" s="16" t="n"/>
      <c r="G1936" s="9" t="n">
        <v>31.38461538461539</v>
      </c>
      <c r="H1936" s="9" t="n">
        <v>31.38461538461539</v>
      </c>
      <c r="I1936" s="9" t="inlineStr">
        <is>
          <t>Depth (no MLB PA)</t>
        </is>
      </c>
      <c r="J1936" s="16" t="inlineStr">
        <is>
          <t>Opening Day</t>
        </is>
      </c>
      <c r="K1936" s="11">
        <f>IFERROR(INDEX(Roles!$B$17:$B$20,MATCH(J1936,Roles!$A$17:$A$20,0)),1)</f>
        <v/>
      </c>
      <c r="L1936" s="17" t="n">
        <v>1</v>
      </c>
      <c r="M1936" s="11" t="n">
        <v>1</v>
      </c>
      <c r="N1936" s="17" t="n"/>
      <c r="O1936" s="17" t="n"/>
      <c r="P1936" s="17" t="n"/>
      <c r="Q1936" s="17" t="n"/>
      <c r="R1936" s="17" t="n"/>
      <c r="S1936" s="17" t="n"/>
      <c r="T1936" s="17" t="n"/>
      <c r="U1936" s="17" t="n"/>
      <c r="V1936" s="17" t="n"/>
      <c r="W1936" s="17" t="n"/>
      <c r="X1936" s="17" t="n"/>
      <c r="Y1936" s="17" t="n">
        <v>1</v>
      </c>
      <c r="Z1936" s="13">
        <f>SUMPRODUCT(N1936:Y1936,$N$2:$Y$2)*$K1936*$L1936*$M1936</f>
        <v/>
      </c>
      <c r="AA1936" s="14">
        <f>SUM(N1936:Y1936)</f>
        <v/>
      </c>
      <c r="AB1936" s="14">
        <f>IFERROR(IF(UPPER($E1936)="L",SUMPRODUCT(N1936:Y1936,$N$3:$Y$3,$N$2:$Y$2),SUMPRODUCT(N1936:Y1936,$N$4:$Y$4,$N$2:$Y$2))/(Z1936/($K1936*$L1936*$M1936)),"")</f>
        <v/>
      </c>
      <c r="AC1936" s="18" t="n"/>
    </row>
    <row r="1937">
      <c r="A1937" s="9" t="n">
        <v>821751</v>
      </c>
      <c r="B1937" s="9" t="inlineStr">
        <is>
          <t>Elvin Garcia</t>
        </is>
      </c>
      <c r="C1937" s="9" t="inlineStr">
        <is>
          <t>BAL</t>
        </is>
      </c>
      <c r="D1937" s="9" t="n">
        <v>25</v>
      </c>
      <c r="E1937" s="16" t="inlineStr">
        <is>
          <t>L</t>
        </is>
      </c>
      <c r="F1937" s="16" t="n"/>
      <c r="G1937" s="9" t="n">
        <v>30.27692307692308</v>
      </c>
      <c r="H1937" s="9" t="n">
        <v>30.27692307692308</v>
      </c>
      <c r="I1937" s="9" t="inlineStr">
        <is>
          <t>Depth (no MLB PA)</t>
        </is>
      </c>
      <c r="J1937" s="16" t="inlineStr">
        <is>
          <t>Opening Day</t>
        </is>
      </c>
      <c r="K1937" s="11">
        <f>IFERROR(INDEX(Roles!$B$17:$B$20,MATCH(J1937,Roles!$A$17:$A$20,0)),1)</f>
        <v/>
      </c>
      <c r="L1937" s="17" t="n">
        <v>1</v>
      </c>
      <c r="M1937" s="11" t="n">
        <v>1</v>
      </c>
      <c r="N1937" s="17" t="n"/>
      <c r="O1937" s="17" t="n"/>
      <c r="P1937" s="17" t="n"/>
      <c r="Q1937" s="17" t="n"/>
      <c r="R1937" s="17" t="n"/>
      <c r="S1937" s="17" t="n"/>
      <c r="T1937" s="17" t="n"/>
      <c r="U1937" s="17" t="n"/>
      <c r="V1937" s="17" t="n"/>
      <c r="W1937" s="17" t="n"/>
      <c r="X1937" s="17" t="n"/>
      <c r="Y1937" s="17" t="n">
        <v>1</v>
      </c>
      <c r="Z1937" s="13">
        <f>SUMPRODUCT(N1937:Y1937,$N$2:$Y$2)*$K1937*$L1937*$M1937</f>
        <v/>
      </c>
      <c r="AA1937" s="14">
        <f>SUM(N1937:Y1937)</f>
        <v/>
      </c>
      <c r="AB1937" s="14">
        <f>IFERROR(IF(UPPER($E1937)="L",SUMPRODUCT(N1937:Y1937,$N$3:$Y$3,$N$2:$Y$2),SUMPRODUCT(N1937:Y1937,$N$4:$Y$4,$N$2:$Y$2))/(Z1937/($K1937*$L1937*$M1937)),"")</f>
        <v/>
      </c>
      <c r="AC1937" s="18" t="n"/>
    </row>
    <row r="1938">
      <c r="A1938" s="9" t="n">
        <v>691369</v>
      </c>
      <c r="B1938" s="9" t="inlineStr">
        <is>
          <t>Allan Castro</t>
        </is>
      </c>
      <c r="C1938" s="9" t="inlineStr">
        <is>
          <t>BOS</t>
        </is>
      </c>
      <c r="D1938" s="9" t="n">
        <v>25</v>
      </c>
      <c r="E1938" s="16" t="inlineStr">
        <is>
          <t>S</t>
        </is>
      </c>
      <c r="F1938" s="16" t="n"/>
      <c r="G1938" s="9" t="n">
        <v>281.4871794871795</v>
      </c>
      <c r="H1938" s="9" t="n">
        <v>281.4871794871795</v>
      </c>
      <c r="I1938" s="9" t="inlineStr">
        <is>
          <t>Depth (no MLB PA)</t>
        </is>
      </c>
      <c r="J1938" s="16" t="inlineStr">
        <is>
          <t>Opening Day</t>
        </is>
      </c>
      <c r="K1938" s="11">
        <f>IFERROR(INDEX(Roles!$B$17:$B$20,MATCH(J1938,Roles!$A$17:$A$20,0)),1)</f>
        <v/>
      </c>
      <c r="L1938" s="17" t="n">
        <v>1</v>
      </c>
      <c r="M1938" s="11" t="n">
        <v>1</v>
      </c>
      <c r="N1938" s="17" t="n"/>
      <c r="O1938" s="17" t="n"/>
      <c r="P1938" s="17" t="n"/>
      <c r="Q1938" s="17" t="n"/>
      <c r="R1938" s="17" t="n"/>
      <c r="S1938" s="17" t="n"/>
      <c r="T1938" s="17" t="n"/>
      <c r="U1938" s="17" t="n"/>
      <c r="V1938" s="17" t="n"/>
      <c r="W1938" s="17" t="n"/>
      <c r="X1938" s="17" t="n"/>
      <c r="Y1938" s="17" t="n">
        <v>1</v>
      </c>
      <c r="Z1938" s="13">
        <f>SUMPRODUCT(N1938:Y1938,$N$2:$Y$2)*$K1938*$L1938*$M1938</f>
        <v/>
      </c>
      <c r="AA1938" s="14">
        <f>SUM(N1938:Y1938)</f>
        <v/>
      </c>
      <c r="AB1938" s="14">
        <f>IFERROR(IF(UPPER($E1938)="L",SUMPRODUCT(N1938:Y1938,$N$3:$Y$3,$N$2:$Y$2),SUMPRODUCT(N1938:Y1938,$N$4:$Y$4,$N$2:$Y$2))/(Z1938/($K1938*$L1938*$M1938)),"")</f>
        <v/>
      </c>
      <c r="AC1938" s="18" t="n"/>
    </row>
    <row r="1939">
      <c r="A1939" s="9" t="n">
        <v>690841</v>
      </c>
      <c r="B1939" s="9" t="inlineStr">
        <is>
          <t>Matt O'Neill</t>
        </is>
      </c>
      <c r="C1939" s="9" t="inlineStr">
        <is>
          <t>ARI</t>
        </is>
      </c>
      <c r="D1939" s="9" t="n">
        <v>25</v>
      </c>
      <c r="E1939" s="16" t="inlineStr">
        <is>
          <t>R</t>
        </is>
      </c>
      <c r="F1939" s="16" t="n"/>
      <c r="G1939" s="9" t="n">
        <v>90.82051282051285</v>
      </c>
      <c r="H1939" s="9" t="n">
        <v>90.82051282051285</v>
      </c>
      <c r="I1939" s="9" t="inlineStr">
        <is>
          <t>Depth (no MLB PA)</t>
        </is>
      </c>
      <c r="J1939" s="16" t="inlineStr">
        <is>
          <t>Opening Day</t>
        </is>
      </c>
      <c r="K1939" s="11">
        <f>IFERROR(INDEX(Roles!$B$17:$B$20,MATCH(J1939,Roles!$A$17:$A$20,0)),1)</f>
        <v/>
      </c>
      <c r="L1939" s="17" t="n">
        <v>1</v>
      </c>
      <c r="M1939" s="11" t="n">
        <v>1</v>
      </c>
      <c r="N1939" s="17" t="n"/>
      <c r="O1939" s="17" t="n"/>
      <c r="P1939" s="17" t="n"/>
      <c r="Q1939" s="17" t="n"/>
      <c r="R1939" s="17" t="n"/>
      <c r="S1939" s="17" t="n"/>
      <c r="T1939" s="17" t="n"/>
      <c r="U1939" s="17" t="n"/>
      <c r="V1939" s="17" t="n"/>
      <c r="W1939" s="17" t="n"/>
      <c r="X1939" s="17" t="n"/>
      <c r="Y1939" s="17" t="n">
        <v>1</v>
      </c>
      <c r="Z1939" s="13">
        <f>SUMPRODUCT(N1939:Y1939,$N$2:$Y$2)*$K1939*$L1939*$M1939</f>
        <v/>
      </c>
      <c r="AA1939" s="14">
        <f>SUM(N1939:Y1939)</f>
        <v/>
      </c>
      <c r="AB1939" s="14">
        <f>IFERROR(IF(UPPER($E1939)="L",SUMPRODUCT(N1939:Y1939,$N$3:$Y$3,$N$2:$Y$2),SUMPRODUCT(N1939:Y1939,$N$4:$Y$4,$N$2:$Y$2))/(Z1939/($K1939*$L1939*$M1939)),"")</f>
        <v/>
      </c>
      <c r="AC1939" s="18" t="n"/>
    </row>
    <row r="1940">
      <c r="A1940" s="9" t="n">
        <v>641470</v>
      </c>
      <c r="B1940" s="9" t="inlineStr">
        <is>
          <t>Zack Collins</t>
        </is>
      </c>
      <c r="C1940" s="9" t="inlineStr">
        <is>
          <t>PIT</t>
        </is>
      </c>
      <c r="D1940" s="9" t="n">
        <v>32</v>
      </c>
      <c r="E1940" s="16" t="inlineStr">
        <is>
          <t>L</t>
        </is>
      </c>
      <c r="F1940" s="16" t="inlineStr">
        <is>
          <t>C</t>
        </is>
      </c>
      <c r="G1940" s="9" t="n">
        <v>6</v>
      </c>
      <c r="H1940" s="9" t="n">
        <v>114</v>
      </c>
      <c r="I1940" s="9" t="inlineStr">
        <is>
          <t>Depth (no MLB PA)</t>
        </is>
      </c>
      <c r="J1940" s="16" t="inlineStr">
        <is>
          <t>Opening Day</t>
        </is>
      </c>
      <c r="K1940" s="11">
        <f>IFERROR(INDEX(Roles!$B$17:$B$20,MATCH(J1940,Roles!$A$17:$A$20,0)),1)</f>
        <v/>
      </c>
      <c r="L1940" s="17" t="n">
        <v>1</v>
      </c>
      <c r="M1940" s="11" t="n">
        <v>1</v>
      </c>
      <c r="N1940" s="17" t="n"/>
      <c r="O1940" s="17" t="n"/>
      <c r="P1940" s="17" t="n"/>
      <c r="Q1940" s="17" t="n"/>
      <c r="R1940" s="17" t="n"/>
      <c r="S1940" s="17" t="n"/>
      <c r="T1940" s="17" t="n"/>
      <c r="U1940" s="17" t="n"/>
      <c r="V1940" s="17" t="n"/>
      <c r="W1940" s="17" t="n"/>
      <c r="X1940" s="17" t="n"/>
      <c r="Y1940" s="17" t="n">
        <v>1</v>
      </c>
      <c r="Z1940" s="13">
        <f>SUMPRODUCT(N1940:Y1940,$N$2:$Y$2)*$K1940*$L1940*$M1940</f>
        <v/>
      </c>
      <c r="AA1940" s="14">
        <f>SUM(N1940:Y1940)</f>
        <v/>
      </c>
      <c r="AB1940" s="14">
        <f>IFERROR(IF(UPPER($E1940)="L",SUMPRODUCT(N1940:Y1940,$N$3:$Y$3,$N$2:$Y$2),SUMPRODUCT(N1940:Y1940,$N$4:$Y$4,$N$2:$Y$2))/(Z1940/($K1940*$L1940*$M1940)),"")</f>
        <v/>
      </c>
      <c r="AC1940" s="18" t="n"/>
    </row>
    <row r="1941">
      <c r="A1941" s="9" t="n">
        <v>822165</v>
      </c>
      <c r="B1941" s="9" t="inlineStr">
        <is>
          <t>Canon Reeder</t>
        </is>
      </c>
      <c r="C1941" s="9" t="inlineStr">
        <is>
          <t>PIT</t>
        </is>
      </c>
      <c r="D1941" s="9" t="n">
        <v>25</v>
      </c>
      <c r="E1941" s="16" t="inlineStr">
        <is>
          <t>R</t>
        </is>
      </c>
      <c r="F1941" s="16" t="n"/>
      <c r="G1941" s="9" t="n">
        <v>24.12307692307692</v>
      </c>
      <c r="H1941" s="9" t="n">
        <v>24.12307692307692</v>
      </c>
      <c r="I1941" s="9" t="inlineStr">
        <is>
          <t>Depth (no MLB PA)</t>
        </is>
      </c>
      <c r="J1941" s="16" t="inlineStr">
        <is>
          <t>Opening Day</t>
        </is>
      </c>
      <c r="K1941" s="11">
        <f>IFERROR(INDEX(Roles!$B$17:$B$20,MATCH(J1941,Roles!$A$17:$A$20,0)),1)</f>
        <v/>
      </c>
      <c r="L1941" s="17" t="n">
        <v>1</v>
      </c>
      <c r="M1941" s="11" t="n">
        <v>1</v>
      </c>
      <c r="N1941" s="17" t="n"/>
      <c r="O1941" s="17" t="n"/>
      <c r="P1941" s="17" t="n"/>
      <c r="Q1941" s="17" t="n"/>
      <c r="R1941" s="17" t="n"/>
      <c r="S1941" s="17" t="n"/>
      <c r="T1941" s="17" t="n"/>
      <c r="U1941" s="17" t="n"/>
      <c r="V1941" s="17" t="n"/>
      <c r="W1941" s="17" t="n"/>
      <c r="X1941" s="17" t="n"/>
      <c r="Y1941" s="17" t="n">
        <v>1</v>
      </c>
      <c r="Z1941" s="13">
        <f>SUMPRODUCT(N1941:Y1941,$N$2:$Y$2)*$K1941*$L1941*$M1941</f>
        <v/>
      </c>
      <c r="AA1941" s="14">
        <f>SUM(N1941:Y1941)</f>
        <v/>
      </c>
      <c r="AB1941" s="14">
        <f>IFERROR(IF(UPPER($E1941)="L",SUMPRODUCT(N1941:Y1941,$N$3:$Y$3,$N$2:$Y$2),SUMPRODUCT(N1941:Y1941,$N$4:$Y$4,$N$2:$Y$2))/(Z1941/($K1941*$L1941*$M1941)),"")</f>
        <v/>
      </c>
      <c r="AC1941" s="18" t="n"/>
    </row>
    <row r="1942">
      <c r="A1942" s="9" t="n">
        <v>807010</v>
      </c>
      <c r="B1942" s="9" t="inlineStr">
        <is>
          <t>Anibal Salas</t>
        </is>
      </c>
      <c r="C1942" s="9" t="inlineStr">
        <is>
          <t>DET</t>
        </is>
      </c>
      <c r="D1942" s="9" t="n">
        <v>25</v>
      </c>
      <c r="E1942" s="16" t="inlineStr">
        <is>
          <t>S</t>
        </is>
      </c>
      <c r="F1942" s="16" t="n"/>
      <c r="G1942" s="9" t="n">
        <v>43.2</v>
      </c>
      <c r="H1942" s="9" t="n">
        <v>43.2</v>
      </c>
      <c r="I1942" s="9" t="inlineStr">
        <is>
          <t>Depth (no MLB PA)</t>
        </is>
      </c>
      <c r="J1942" s="16" t="inlineStr">
        <is>
          <t>Opening Day</t>
        </is>
      </c>
      <c r="K1942" s="11">
        <f>IFERROR(INDEX(Roles!$B$17:$B$20,MATCH(J1942,Roles!$A$17:$A$20,0)),1)</f>
        <v/>
      </c>
      <c r="L1942" s="17" t="n">
        <v>1</v>
      </c>
      <c r="M1942" s="11" t="n">
        <v>1</v>
      </c>
      <c r="N1942" s="17" t="n"/>
      <c r="O1942" s="17" t="n"/>
      <c r="P1942" s="17" t="n"/>
      <c r="Q1942" s="17" t="n"/>
      <c r="R1942" s="17" t="n"/>
      <c r="S1942" s="17" t="n"/>
      <c r="T1942" s="17" t="n"/>
      <c r="U1942" s="17" t="n"/>
      <c r="V1942" s="17" t="n"/>
      <c r="W1942" s="17" t="n"/>
      <c r="X1942" s="17" t="n"/>
      <c r="Y1942" s="17" t="n">
        <v>1</v>
      </c>
      <c r="Z1942" s="13">
        <f>SUMPRODUCT(N1942:Y1942,$N$2:$Y$2)*$K1942*$L1942*$M1942</f>
        <v/>
      </c>
      <c r="AA1942" s="14">
        <f>SUM(N1942:Y1942)</f>
        <v/>
      </c>
      <c r="AB1942" s="14">
        <f>IFERROR(IF(UPPER($E1942)="L",SUMPRODUCT(N1942:Y1942,$N$3:$Y$3,$N$2:$Y$2),SUMPRODUCT(N1942:Y1942,$N$4:$Y$4,$N$2:$Y$2))/(Z1942/($K1942*$L1942*$M1942)),"")</f>
        <v/>
      </c>
      <c r="AC1942" s="18" t="n"/>
    </row>
    <row r="1943">
      <c r="A1943" s="9" t="n">
        <v>815039</v>
      </c>
      <c r="B1943" s="9" t="inlineStr">
        <is>
          <t>Dustin Dickerson</t>
        </is>
      </c>
      <c r="C1943" s="9" t="inlineStr">
        <is>
          <t>KC</t>
        </is>
      </c>
      <c r="D1943" s="9" t="n">
        <v>25</v>
      </c>
      <c r="E1943" s="16" t="inlineStr">
        <is>
          <t>R</t>
        </is>
      </c>
      <c r="F1943" s="16" t="n"/>
      <c r="G1943" s="9" t="n">
        <v>40.61538461538462</v>
      </c>
      <c r="H1943" s="9" t="n">
        <v>40.61538461538462</v>
      </c>
      <c r="I1943" s="9" t="inlineStr">
        <is>
          <t>Depth (no MLB PA)</t>
        </is>
      </c>
      <c r="J1943" s="16" t="inlineStr">
        <is>
          <t>Opening Day</t>
        </is>
      </c>
      <c r="K1943" s="11">
        <f>IFERROR(INDEX(Roles!$B$17:$B$20,MATCH(J1943,Roles!$A$17:$A$20,0)),1)</f>
        <v/>
      </c>
      <c r="L1943" s="17" t="n">
        <v>1</v>
      </c>
      <c r="M1943" s="11" t="n">
        <v>1</v>
      </c>
      <c r="N1943" s="17" t="n"/>
      <c r="O1943" s="17" t="n"/>
      <c r="P1943" s="17" t="n"/>
      <c r="Q1943" s="17" t="n"/>
      <c r="R1943" s="17" t="n"/>
      <c r="S1943" s="17" t="n"/>
      <c r="T1943" s="17" t="n"/>
      <c r="U1943" s="17" t="n"/>
      <c r="V1943" s="17" t="n"/>
      <c r="W1943" s="17" t="n"/>
      <c r="X1943" s="17" t="n"/>
      <c r="Y1943" s="17" t="n">
        <v>1</v>
      </c>
      <c r="Z1943" s="13">
        <f>SUMPRODUCT(N1943:Y1943,$N$2:$Y$2)*$K1943*$L1943*$M1943</f>
        <v/>
      </c>
      <c r="AA1943" s="14">
        <f>SUM(N1943:Y1943)</f>
        <v/>
      </c>
      <c r="AB1943" s="14">
        <f>IFERROR(IF(UPPER($E1943)="L",SUMPRODUCT(N1943:Y1943,$N$3:$Y$3,$N$2:$Y$2),SUMPRODUCT(N1943:Y1943,$N$4:$Y$4,$N$2:$Y$2))/(Z1943/($K1943*$L1943*$M1943)),"")</f>
        <v/>
      </c>
      <c r="AC1943" s="18" t="n"/>
    </row>
    <row r="1944">
      <c r="A1944" s="9" t="n">
        <v>643348</v>
      </c>
      <c r="B1944" s="9" t="inlineStr">
        <is>
          <t>Caleb Hamilton</t>
        </is>
      </c>
      <c r="C1944" s="9" t="inlineStr">
        <is>
          <t>BOS</t>
        </is>
      </c>
      <c r="D1944" s="9" t="n">
        <v>32</v>
      </c>
      <c r="E1944" s="16" t="inlineStr">
        <is>
          <t>R</t>
        </is>
      </c>
      <c r="F1944" s="16" t="inlineStr">
        <is>
          <t>C</t>
        </is>
      </c>
      <c r="G1944" s="9" t="n">
        <v>6</v>
      </c>
      <c r="H1944" s="9" t="n">
        <v>29</v>
      </c>
      <c r="I1944" s="9" t="inlineStr">
        <is>
          <t>Depth (no MLB PA)</t>
        </is>
      </c>
      <c r="J1944" s="16" t="inlineStr">
        <is>
          <t>Opening Day</t>
        </is>
      </c>
      <c r="K1944" s="11">
        <f>IFERROR(INDEX(Roles!$B$17:$B$20,MATCH(J1944,Roles!$A$17:$A$20,0)),1)</f>
        <v/>
      </c>
      <c r="L1944" s="17" t="n">
        <v>1</v>
      </c>
      <c r="M1944" s="11" t="n">
        <v>1</v>
      </c>
      <c r="N1944" s="17" t="n"/>
      <c r="O1944" s="17" t="n"/>
      <c r="P1944" s="17" t="n"/>
      <c r="Q1944" s="17" t="n"/>
      <c r="R1944" s="17" t="n"/>
      <c r="S1944" s="17" t="n"/>
      <c r="T1944" s="17" t="n"/>
      <c r="U1944" s="17" t="n"/>
      <c r="V1944" s="17" t="n"/>
      <c r="W1944" s="17" t="n"/>
      <c r="X1944" s="17" t="n"/>
      <c r="Y1944" s="17" t="n">
        <v>1</v>
      </c>
      <c r="Z1944" s="13">
        <f>SUMPRODUCT(N1944:Y1944,$N$2:$Y$2)*$K1944*$L1944*$M1944</f>
        <v/>
      </c>
      <c r="AA1944" s="14">
        <f>SUM(N1944:Y1944)</f>
        <v/>
      </c>
      <c r="AB1944" s="14">
        <f>IFERROR(IF(UPPER($E1944)="L",SUMPRODUCT(N1944:Y1944,$N$3:$Y$3,$N$2:$Y$2),SUMPRODUCT(N1944:Y1944,$N$4:$Y$4,$N$2:$Y$2))/(Z1944/($K1944*$L1944*$M1944)),"")</f>
        <v/>
      </c>
      <c r="AC1944" s="18" t="n"/>
    </row>
    <row r="1945">
      <c r="A1945" s="9" t="n">
        <v>829058</v>
      </c>
      <c r="B1945" s="9" t="inlineStr">
        <is>
          <t>Gabriel Davalillo</t>
        </is>
      </c>
      <c r="C1945" s="9" t="inlineStr">
        <is>
          <t>LAA</t>
        </is>
      </c>
      <c r="D1945" s="9" t="n">
        <v>25</v>
      </c>
      <c r="E1945" s="16" t="inlineStr">
        <is>
          <t>R</t>
        </is>
      </c>
      <c r="F1945" s="16" t="n"/>
      <c r="G1945" s="9" t="n">
        <v>54.52307692307692</v>
      </c>
      <c r="H1945" s="9" t="n">
        <v>54.52307692307692</v>
      </c>
      <c r="I1945" s="9" t="inlineStr">
        <is>
          <t>Depth (no MLB PA)</t>
        </is>
      </c>
      <c r="J1945" s="16" t="inlineStr">
        <is>
          <t>Opening Day</t>
        </is>
      </c>
      <c r="K1945" s="11">
        <f>IFERROR(INDEX(Roles!$B$17:$B$20,MATCH(J1945,Roles!$A$17:$A$20,0)),1)</f>
        <v/>
      </c>
      <c r="L1945" s="17" t="n">
        <v>1</v>
      </c>
      <c r="M1945" s="11" t="n">
        <v>1</v>
      </c>
      <c r="N1945" s="17" t="n"/>
      <c r="O1945" s="17" t="n"/>
      <c r="P1945" s="17" t="n"/>
      <c r="Q1945" s="17" t="n"/>
      <c r="R1945" s="17" t="n"/>
      <c r="S1945" s="17" t="n"/>
      <c r="T1945" s="17" t="n"/>
      <c r="U1945" s="17" t="n"/>
      <c r="V1945" s="17" t="n"/>
      <c r="W1945" s="17" t="n"/>
      <c r="X1945" s="17" t="n"/>
      <c r="Y1945" s="17" t="n">
        <v>1</v>
      </c>
      <c r="Z1945" s="13">
        <f>SUMPRODUCT(N1945:Y1945,$N$2:$Y$2)*$K1945*$L1945*$M1945</f>
        <v/>
      </c>
      <c r="AA1945" s="14">
        <f>SUM(N1945:Y1945)</f>
        <v/>
      </c>
      <c r="AB1945" s="14">
        <f>IFERROR(IF(UPPER($E1945)="L",SUMPRODUCT(N1945:Y1945,$N$3:$Y$3,$N$2:$Y$2),SUMPRODUCT(N1945:Y1945,$N$4:$Y$4,$N$2:$Y$2))/(Z1945/($K1945*$L1945*$M1945)),"")</f>
        <v/>
      </c>
      <c r="AC1945" s="18" t="n"/>
    </row>
    <row r="1946">
      <c r="A1946" s="9" t="n">
        <v>808159</v>
      </c>
      <c r="B1946" s="9" t="inlineStr">
        <is>
          <t>Jonathan Martinez</t>
        </is>
      </c>
      <c r="C1946" s="9" t="inlineStr">
        <is>
          <t>CLE</t>
        </is>
      </c>
      <c r="D1946" s="9" t="n">
        <v>25</v>
      </c>
      <c r="E1946" s="16" t="inlineStr">
        <is>
          <t>S</t>
        </is>
      </c>
      <c r="F1946" s="16" t="n"/>
      <c r="G1946" s="9" t="n">
        <v>30.64615384615384</v>
      </c>
      <c r="H1946" s="9" t="n">
        <v>30.64615384615384</v>
      </c>
      <c r="I1946" s="9" t="inlineStr">
        <is>
          <t>Depth (no MLB PA)</t>
        </is>
      </c>
      <c r="J1946" s="16" t="inlineStr">
        <is>
          <t>Opening Day</t>
        </is>
      </c>
      <c r="K1946" s="11">
        <f>IFERROR(INDEX(Roles!$B$17:$B$20,MATCH(J1946,Roles!$A$17:$A$20,0)),1)</f>
        <v/>
      </c>
      <c r="L1946" s="17" t="n">
        <v>1</v>
      </c>
      <c r="M1946" s="11" t="n">
        <v>1</v>
      </c>
      <c r="N1946" s="17" t="n"/>
      <c r="O1946" s="17" t="n"/>
      <c r="P1946" s="17" t="n"/>
      <c r="Q1946" s="17" t="n"/>
      <c r="R1946" s="17" t="n"/>
      <c r="S1946" s="17" t="n"/>
      <c r="T1946" s="17" t="n"/>
      <c r="U1946" s="17" t="n"/>
      <c r="V1946" s="17" t="n"/>
      <c r="W1946" s="17" t="n"/>
      <c r="X1946" s="17" t="n"/>
      <c r="Y1946" s="17" t="n">
        <v>1</v>
      </c>
      <c r="Z1946" s="13">
        <f>SUMPRODUCT(N1946:Y1946,$N$2:$Y$2)*$K1946*$L1946*$M1946</f>
        <v/>
      </c>
      <c r="AA1946" s="14">
        <f>SUM(N1946:Y1946)</f>
        <v/>
      </c>
      <c r="AB1946" s="14">
        <f>IFERROR(IF(UPPER($E1946)="L",SUMPRODUCT(N1946:Y1946,$N$3:$Y$3,$N$2:$Y$2),SUMPRODUCT(N1946:Y1946,$N$4:$Y$4,$N$2:$Y$2))/(Z1946/($K1946*$L1946*$M1946)),"")</f>
        <v/>
      </c>
      <c r="AC1946" s="18" t="n"/>
    </row>
    <row r="1947">
      <c r="A1947" s="9" t="n">
        <v>608385</v>
      </c>
      <c r="B1947" s="9" t="inlineStr">
        <is>
          <t>Jesse Winker</t>
        </is>
      </c>
      <c r="C1947" s="9" t="inlineStr">
        <is>
          <t>NYM</t>
        </is>
      </c>
      <c r="D1947" s="9" t="n">
        <v>33</v>
      </c>
      <c r="E1947" s="16" t="inlineStr">
        <is>
          <t>L</t>
        </is>
      </c>
      <c r="F1947" s="16" t="inlineStr">
        <is>
          <t>LF</t>
        </is>
      </c>
      <c r="G1947" s="9" t="n">
        <v>81</v>
      </c>
      <c r="H1947" s="9" t="n">
        <v>1333</v>
      </c>
      <c r="I1947" s="9" t="inlineStr">
        <is>
          <t>Bench Bat</t>
        </is>
      </c>
      <c r="J1947" s="16" t="inlineStr">
        <is>
          <t>Opening Day</t>
        </is>
      </c>
      <c r="K1947" s="11">
        <f>IFERROR(INDEX(Roles!$B$17:$B$20,MATCH(J1947,Roles!$A$17:$A$20,0)),1)</f>
        <v/>
      </c>
      <c r="L1947" s="17" t="n">
        <v>1</v>
      </c>
      <c r="M1947" s="11" t="n">
        <v>0.8775064173277538</v>
      </c>
      <c r="N1947" s="17" t="n"/>
      <c r="O1947" s="17" t="n"/>
      <c r="P1947" s="17" t="n"/>
      <c r="Q1947" s="17" t="n"/>
      <c r="R1947" s="17" t="n"/>
      <c r="S1947" s="17" t="n"/>
      <c r="T1947" s="17" t="n"/>
      <c r="U1947" s="17" t="n"/>
      <c r="V1947" s="17" t="n"/>
      <c r="W1947" s="17" t="n">
        <v>1</v>
      </c>
      <c r="X1947" s="17" t="n"/>
      <c r="Y1947" s="17" t="n"/>
      <c r="Z1947" s="13">
        <f>SUMPRODUCT(N1947:Y1947,$N$2:$Y$2)*$K1947*$L1947*$M1947</f>
        <v/>
      </c>
      <c r="AA1947" s="14">
        <f>SUM(N1947:Y1947)</f>
        <v/>
      </c>
      <c r="AB1947" s="14">
        <f>IFERROR(IF(UPPER($E1947)="L",SUMPRODUCT(N1947:Y1947,$N$3:$Y$3,$N$2:$Y$2),SUMPRODUCT(N1947:Y1947,$N$4:$Y$4,$N$2:$Y$2))/(Z1947/($K1947*$L1947*$M1947)),"")</f>
        <v/>
      </c>
      <c r="AC1947" s="18" t="n"/>
    </row>
    <row r="1948">
      <c r="A1948" s="9" t="n">
        <v>821657</v>
      </c>
      <c r="B1948" s="9" t="inlineStr">
        <is>
          <t>Gabriel Rodriguez</t>
        </is>
      </c>
      <c r="C1948" s="9" t="inlineStr">
        <is>
          <t>CLE</t>
        </is>
      </c>
      <c r="D1948" s="9" t="n">
        <v>25</v>
      </c>
      <c r="E1948" s="16" t="inlineStr">
        <is>
          <t>L</t>
        </is>
      </c>
      <c r="F1948" s="16" t="n"/>
      <c r="G1948" s="9" t="n">
        <v>32.49230769230769</v>
      </c>
      <c r="H1948" s="9" t="n">
        <v>32.49230769230769</v>
      </c>
      <c r="I1948" s="9" t="inlineStr">
        <is>
          <t>Depth (no MLB PA)</t>
        </is>
      </c>
      <c r="J1948" s="16" t="inlineStr">
        <is>
          <t>Opening Day</t>
        </is>
      </c>
      <c r="K1948" s="11">
        <f>IFERROR(INDEX(Roles!$B$17:$B$20,MATCH(J1948,Roles!$A$17:$A$20,0)),1)</f>
        <v/>
      </c>
      <c r="L1948" s="17" t="n">
        <v>1</v>
      </c>
      <c r="M1948" s="11" t="n">
        <v>1</v>
      </c>
      <c r="N1948" s="17" t="n"/>
      <c r="O1948" s="17" t="n"/>
      <c r="P1948" s="17" t="n"/>
      <c r="Q1948" s="17" t="n"/>
      <c r="R1948" s="17" t="n"/>
      <c r="S1948" s="17" t="n"/>
      <c r="T1948" s="17" t="n"/>
      <c r="U1948" s="17" t="n"/>
      <c r="V1948" s="17" t="n"/>
      <c r="W1948" s="17" t="n"/>
      <c r="X1948" s="17" t="n"/>
      <c r="Y1948" s="17" t="n">
        <v>1</v>
      </c>
      <c r="Z1948" s="13">
        <f>SUMPRODUCT(N1948:Y1948,$N$2:$Y$2)*$K1948*$L1948*$M1948</f>
        <v/>
      </c>
      <c r="AA1948" s="14">
        <f>SUM(N1948:Y1948)</f>
        <v/>
      </c>
      <c r="AB1948" s="14">
        <f>IFERROR(IF(UPPER($E1948)="L",SUMPRODUCT(N1948:Y1948,$N$3:$Y$3,$N$2:$Y$2),SUMPRODUCT(N1948:Y1948,$N$4:$Y$4,$N$2:$Y$2))/(Z1948/($K1948*$L1948*$M1948)),"")</f>
        <v/>
      </c>
      <c r="AC1948" s="18" t="n"/>
    </row>
    <row r="1949">
      <c r="A1949" s="9" t="n">
        <v>808282</v>
      </c>
      <c r="B1949" s="9" t="inlineStr">
        <is>
          <t>Victor Cardoza</t>
        </is>
      </c>
      <c r="C1949" s="9" t="inlineStr">
        <is>
          <t>PHI</t>
        </is>
      </c>
      <c r="D1949" s="9" t="n">
        <v>25</v>
      </c>
      <c r="E1949" s="16" t="inlineStr">
        <is>
          <t>R</t>
        </is>
      </c>
      <c r="F1949" s="16" t="n"/>
      <c r="G1949" s="9" t="n">
        <v>26.95384615384616</v>
      </c>
      <c r="H1949" s="9" t="n">
        <v>26.95384615384616</v>
      </c>
      <c r="I1949" s="9" t="inlineStr">
        <is>
          <t>Depth (no MLB PA)</t>
        </is>
      </c>
      <c r="J1949" s="16" t="inlineStr">
        <is>
          <t>Opening Day</t>
        </is>
      </c>
      <c r="K1949" s="11">
        <f>IFERROR(INDEX(Roles!$B$17:$B$20,MATCH(J1949,Roles!$A$17:$A$20,0)),1)</f>
        <v/>
      </c>
      <c r="L1949" s="17" t="n">
        <v>1</v>
      </c>
      <c r="M1949" s="11" t="n">
        <v>1</v>
      </c>
      <c r="N1949" s="17" t="n"/>
      <c r="O1949" s="17" t="n"/>
      <c r="P1949" s="17" t="n"/>
      <c r="Q1949" s="17" t="n"/>
      <c r="R1949" s="17" t="n"/>
      <c r="S1949" s="17" t="n"/>
      <c r="T1949" s="17" t="n"/>
      <c r="U1949" s="17" t="n"/>
      <c r="V1949" s="17" t="n"/>
      <c r="W1949" s="17" t="n"/>
      <c r="X1949" s="17" t="n"/>
      <c r="Y1949" s="17" t="n">
        <v>1</v>
      </c>
      <c r="Z1949" s="13">
        <f>SUMPRODUCT(N1949:Y1949,$N$2:$Y$2)*$K1949*$L1949*$M1949</f>
        <v/>
      </c>
      <c r="AA1949" s="14">
        <f>SUM(N1949:Y1949)</f>
        <v/>
      </c>
      <c r="AB1949" s="14">
        <f>IFERROR(IF(UPPER($E1949)="L",SUMPRODUCT(N1949:Y1949,$N$3:$Y$3,$N$2:$Y$2),SUMPRODUCT(N1949:Y1949,$N$4:$Y$4,$N$2:$Y$2))/(Z1949/($K1949*$L1949*$M1949)),"")</f>
        <v/>
      </c>
      <c r="AC1949" s="18" t="n"/>
    </row>
    <row r="1950">
      <c r="A1950" s="9" t="n">
        <v>573131</v>
      </c>
      <c r="B1950" s="9" t="inlineStr">
        <is>
          <t>Darin Ruf</t>
        </is>
      </c>
      <c r="C1950" s="9" t="inlineStr">
        <is>
          <t>MIL</t>
        </is>
      </c>
      <c r="D1950" s="9" t="n">
        <v>40</v>
      </c>
      <c r="E1950" s="16" t="inlineStr">
        <is>
          <t>R</t>
        </is>
      </c>
      <c r="F1950" s="16" t="inlineStr">
        <is>
          <t>1B</t>
        </is>
      </c>
      <c r="G1950" s="9" t="n">
        <v>57</v>
      </c>
      <c r="H1950" s="9" t="n">
        <v>445</v>
      </c>
      <c r="I1950" s="9" t="inlineStr">
        <is>
          <t>Depth (no MLB PA)</t>
        </is>
      </c>
      <c r="J1950" s="16" t="inlineStr">
        <is>
          <t>Opening Day</t>
        </is>
      </c>
      <c r="K1950" s="11">
        <f>IFERROR(INDEX(Roles!$B$17:$B$20,MATCH(J1950,Roles!$A$17:$A$20,0)),1)</f>
        <v/>
      </c>
      <c r="L1950" s="17" t="n">
        <v>1</v>
      </c>
      <c r="M1950" s="11" t="n">
        <v>1</v>
      </c>
      <c r="N1950" s="17" t="n"/>
      <c r="O1950" s="17" t="n"/>
      <c r="P1950" s="17" t="n"/>
      <c r="Q1950" s="17" t="n"/>
      <c r="R1950" s="17" t="n"/>
      <c r="S1950" s="17" t="n"/>
      <c r="T1950" s="17" t="n"/>
      <c r="U1950" s="17" t="n"/>
      <c r="V1950" s="17" t="n"/>
      <c r="W1950" s="17" t="n"/>
      <c r="X1950" s="17" t="n"/>
      <c r="Y1950" s="17" t="n">
        <v>1</v>
      </c>
      <c r="Z1950" s="13">
        <f>SUMPRODUCT(N1950:Y1950,$N$2:$Y$2)*$K1950*$L1950*$M1950</f>
        <v/>
      </c>
      <c r="AA1950" s="14">
        <f>SUM(N1950:Y1950)</f>
        <v/>
      </c>
      <c r="AB1950" s="14">
        <f>IFERROR(IF(UPPER($E1950)="L",SUMPRODUCT(N1950:Y1950,$N$3:$Y$3,$N$2:$Y$2),SUMPRODUCT(N1950:Y1950,$N$4:$Y$4,$N$2:$Y$2))/(Z1950/($K1950*$L1950*$M1950)),"")</f>
        <v/>
      </c>
      <c r="AC1950" s="18" t="n"/>
    </row>
    <row r="1951">
      <c r="A1951" s="9" t="n">
        <v>692562</v>
      </c>
      <c r="B1951" s="9" t="inlineStr">
        <is>
          <t>Alexis Hernandez</t>
        </is>
      </c>
      <c r="C1951" s="9" t="inlineStr">
        <is>
          <t>TOR</t>
        </is>
      </c>
      <c r="D1951" s="9" t="n">
        <v>25</v>
      </c>
      <c r="E1951" s="16" t="inlineStr">
        <is>
          <t>R</t>
        </is>
      </c>
      <c r="F1951" s="16" t="n"/>
      <c r="G1951" s="9" t="n">
        <v>35.8974358974359</v>
      </c>
      <c r="H1951" s="9" t="n">
        <v>35.8974358974359</v>
      </c>
      <c r="I1951" s="9" t="inlineStr">
        <is>
          <t>Depth (no MLB PA)</t>
        </is>
      </c>
      <c r="J1951" s="16" t="inlineStr">
        <is>
          <t>Opening Day</t>
        </is>
      </c>
      <c r="K1951" s="11">
        <f>IFERROR(INDEX(Roles!$B$17:$B$20,MATCH(J1951,Roles!$A$17:$A$20,0)),1)</f>
        <v/>
      </c>
      <c r="L1951" s="17" t="n">
        <v>1</v>
      </c>
      <c r="M1951" s="11" t="n">
        <v>1</v>
      </c>
      <c r="N1951" s="17" t="n"/>
      <c r="O1951" s="17" t="n"/>
      <c r="P1951" s="17" t="n"/>
      <c r="Q1951" s="17" t="n"/>
      <c r="R1951" s="17" t="n"/>
      <c r="S1951" s="17" t="n"/>
      <c r="T1951" s="17" t="n"/>
      <c r="U1951" s="17" t="n"/>
      <c r="V1951" s="17" t="n"/>
      <c r="W1951" s="17" t="n"/>
      <c r="X1951" s="17" t="n"/>
      <c r="Y1951" s="17" t="n">
        <v>1</v>
      </c>
      <c r="Z1951" s="13">
        <f>SUMPRODUCT(N1951:Y1951,$N$2:$Y$2)*$K1951*$L1951*$M1951</f>
        <v/>
      </c>
      <c r="AA1951" s="14">
        <f>SUM(N1951:Y1951)</f>
        <v/>
      </c>
      <c r="AB1951" s="14">
        <f>IFERROR(IF(UPPER($E1951)="L",SUMPRODUCT(N1951:Y1951,$N$3:$Y$3,$N$2:$Y$2),SUMPRODUCT(N1951:Y1951,$N$4:$Y$4,$N$2:$Y$2))/(Z1951/($K1951*$L1951*$M1951)),"")</f>
        <v/>
      </c>
      <c r="AC1951" s="18" t="n"/>
    </row>
    <row r="1952">
      <c r="A1952" s="9" t="n">
        <v>691411</v>
      </c>
      <c r="B1952" s="9" t="inlineStr">
        <is>
          <t>Luis Durango</t>
        </is>
      </c>
      <c r="C1952" s="9" t="inlineStr">
        <is>
          <t>NYY</t>
        </is>
      </c>
      <c r="D1952" s="9" t="n">
        <v>25</v>
      </c>
      <c r="E1952" s="16" t="inlineStr">
        <is>
          <t>L</t>
        </is>
      </c>
      <c r="F1952" s="16" t="n"/>
      <c r="G1952" s="9" t="n">
        <v>26.56410256410256</v>
      </c>
      <c r="H1952" s="9" t="n">
        <v>26.56410256410256</v>
      </c>
      <c r="I1952" s="9" t="inlineStr">
        <is>
          <t>Depth (no MLB PA)</t>
        </is>
      </c>
      <c r="J1952" s="16" t="inlineStr">
        <is>
          <t>Opening Day</t>
        </is>
      </c>
      <c r="K1952" s="11">
        <f>IFERROR(INDEX(Roles!$B$17:$B$20,MATCH(J1952,Roles!$A$17:$A$20,0)),1)</f>
        <v/>
      </c>
      <c r="L1952" s="17" t="n">
        <v>1</v>
      </c>
      <c r="M1952" s="11" t="n">
        <v>1</v>
      </c>
      <c r="N1952" s="17" t="n"/>
      <c r="O1952" s="17" t="n"/>
      <c r="P1952" s="17" t="n"/>
      <c r="Q1952" s="17" t="n"/>
      <c r="R1952" s="17" t="n"/>
      <c r="S1952" s="17" t="n"/>
      <c r="T1952" s="17" t="n"/>
      <c r="U1952" s="17" t="n"/>
      <c r="V1952" s="17" t="n"/>
      <c r="W1952" s="17" t="n"/>
      <c r="X1952" s="17" t="n"/>
      <c r="Y1952" s="17" t="n">
        <v>1</v>
      </c>
      <c r="Z1952" s="13">
        <f>SUMPRODUCT(N1952:Y1952,$N$2:$Y$2)*$K1952*$L1952*$M1952</f>
        <v/>
      </c>
      <c r="AA1952" s="14">
        <f>SUM(N1952:Y1952)</f>
        <v/>
      </c>
      <c r="AB1952" s="14">
        <f>IFERROR(IF(UPPER($E1952)="L",SUMPRODUCT(N1952:Y1952,$N$3:$Y$3,$N$2:$Y$2),SUMPRODUCT(N1952:Y1952,$N$4:$Y$4,$N$2:$Y$2))/(Z1952/($K1952*$L1952*$M1952)),"")</f>
        <v/>
      </c>
      <c r="AC1952" s="18" t="n"/>
    </row>
    <row r="1953">
      <c r="A1953" s="9" t="n">
        <v>687210</v>
      </c>
      <c r="B1953" s="9" t="inlineStr">
        <is>
          <t>Nathan Martorella</t>
        </is>
      </c>
      <c r="C1953" s="9" t="inlineStr">
        <is>
          <t>MIA</t>
        </is>
      </c>
      <c r="D1953" s="9" t="n">
        <v>25</v>
      </c>
      <c r="E1953" s="16" t="inlineStr">
        <is>
          <t>L</t>
        </is>
      </c>
      <c r="F1953" s="16" t="n"/>
      <c r="G1953" s="9" t="n">
        <v>58.10256410256411</v>
      </c>
      <c r="H1953" s="9" t="n">
        <v>58.10256410256411</v>
      </c>
      <c r="I1953" s="9" t="inlineStr">
        <is>
          <t>Depth (no MLB PA)</t>
        </is>
      </c>
      <c r="J1953" s="16" t="inlineStr">
        <is>
          <t>Opening Day</t>
        </is>
      </c>
      <c r="K1953" s="11">
        <f>IFERROR(INDEX(Roles!$B$17:$B$20,MATCH(J1953,Roles!$A$17:$A$20,0)),1)</f>
        <v/>
      </c>
      <c r="L1953" s="17" t="n">
        <v>1</v>
      </c>
      <c r="M1953" s="11" t="n">
        <v>1</v>
      </c>
      <c r="N1953" s="17" t="n"/>
      <c r="O1953" s="17" t="n"/>
      <c r="P1953" s="17" t="n"/>
      <c r="Q1953" s="17" t="n"/>
      <c r="R1953" s="17" t="n"/>
      <c r="S1953" s="17" t="n"/>
      <c r="T1953" s="17" t="n"/>
      <c r="U1953" s="17" t="n"/>
      <c r="V1953" s="17" t="n"/>
      <c r="W1953" s="17" t="n"/>
      <c r="X1953" s="17" t="n"/>
      <c r="Y1953" s="17" t="n">
        <v>1</v>
      </c>
      <c r="Z1953" s="13">
        <f>SUMPRODUCT(N1953:Y1953,$N$2:$Y$2)*$K1953*$L1953*$M1953</f>
        <v/>
      </c>
      <c r="AA1953" s="14">
        <f>SUM(N1953:Y1953)</f>
        <v/>
      </c>
      <c r="AB1953" s="14">
        <f>IFERROR(IF(UPPER($E1953)="L",SUMPRODUCT(N1953:Y1953,$N$3:$Y$3,$N$2:$Y$2),SUMPRODUCT(N1953:Y1953,$N$4:$Y$4,$N$2:$Y$2))/(Z1953/($K1953*$L1953*$M1953)),"")</f>
        <v/>
      </c>
      <c r="AC1953" s="18" t="n"/>
    </row>
    <row r="1954">
      <c r="A1954" s="9" t="n">
        <v>680273</v>
      </c>
      <c r="B1954" s="9" t="inlineStr">
        <is>
          <t>Chris Meyers</t>
        </is>
      </c>
      <c r="C1954" s="9" t="inlineStr">
        <is>
          <t>DET</t>
        </is>
      </c>
      <c r="D1954" s="9" t="n">
        <v>25</v>
      </c>
      <c r="E1954" s="16" t="inlineStr">
        <is>
          <t>L</t>
        </is>
      </c>
      <c r="F1954" s="16" t="n"/>
      <c r="G1954" s="9" t="n">
        <v>24.82051282051282</v>
      </c>
      <c r="H1954" s="9" t="n">
        <v>24.82051282051282</v>
      </c>
      <c r="I1954" s="9" t="inlineStr">
        <is>
          <t>Depth (no MLB PA)</t>
        </is>
      </c>
      <c r="J1954" s="16" t="inlineStr">
        <is>
          <t>Opening Day</t>
        </is>
      </c>
      <c r="K1954" s="11">
        <f>IFERROR(INDEX(Roles!$B$17:$B$20,MATCH(J1954,Roles!$A$17:$A$20,0)),1)</f>
        <v/>
      </c>
      <c r="L1954" s="17" t="n">
        <v>1</v>
      </c>
      <c r="M1954" s="11" t="n">
        <v>1</v>
      </c>
      <c r="N1954" s="17" t="n"/>
      <c r="O1954" s="17" t="n"/>
      <c r="P1954" s="17" t="n"/>
      <c r="Q1954" s="17" t="n"/>
      <c r="R1954" s="17" t="n"/>
      <c r="S1954" s="17" t="n"/>
      <c r="T1954" s="17" t="n"/>
      <c r="U1954" s="17" t="n"/>
      <c r="V1954" s="17" t="n"/>
      <c r="W1954" s="17" t="n"/>
      <c r="X1954" s="17" t="n"/>
      <c r="Y1954" s="17" t="n">
        <v>1</v>
      </c>
      <c r="Z1954" s="13">
        <f>SUMPRODUCT(N1954:Y1954,$N$2:$Y$2)*$K1954*$L1954*$M1954</f>
        <v/>
      </c>
      <c r="AA1954" s="14">
        <f>SUM(N1954:Y1954)</f>
        <v/>
      </c>
      <c r="AB1954" s="14">
        <f>IFERROR(IF(UPPER($E1954)="L",SUMPRODUCT(N1954:Y1954,$N$3:$Y$3,$N$2:$Y$2),SUMPRODUCT(N1954:Y1954,$N$4:$Y$4,$N$2:$Y$2))/(Z1954/($K1954*$L1954*$M1954)),"")</f>
        <v/>
      </c>
      <c r="AC1954" s="18" t="n"/>
    </row>
    <row r="1955">
      <c r="A1955" s="9" t="n">
        <v>814445</v>
      </c>
      <c r="B1955" s="9" t="inlineStr">
        <is>
          <t>Jared Sprague-Lott</t>
        </is>
      </c>
      <c r="C1955" s="9" t="inlineStr">
        <is>
          <t>OAK</t>
        </is>
      </c>
      <c r="D1955" s="9" t="n">
        <v>25</v>
      </c>
      <c r="E1955" s="16" t="inlineStr">
        <is>
          <t>R</t>
        </is>
      </c>
      <c r="F1955" s="16" t="n"/>
      <c r="G1955" s="9" t="n">
        <v>35.17948717948718</v>
      </c>
      <c r="H1955" s="9" t="n">
        <v>35.17948717948718</v>
      </c>
      <c r="I1955" s="9" t="inlineStr">
        <is>
          <t>Depth (no MLB PA)</t>
        </is>
      </c>
      <c r="J1955" s="16" t="inlineStr">
        <is>
          <t>Opening Day</t>
        </is>
      </c>
      <c r="K1955" s="11">
        <f>IFERROR(INDEX(Roles!$B$17:$B$20,MATCH(J1955,Roles!$A$17:$A$20,0)),1)</f>
        <v/>
      </c>
      <c r="L1955" s="17" t="n">
        <v>1</v>
      </c>
      <c r="M1955" s="11" t="n">
        <v>1</v>
      </c>
      <c r="N1955" s="17" t="n"/>
      <c r="O1955" s="17" t="n"/>
      <c r="P1955" s="17" t="n"/>
      <c r="Q1955" s="17" t="n"/>
      <c r="R1955" s="17" t="n"/>
      <c r="S1955" s="17" t="n"/>
      <c r="T1955" s="17" t="n"/>
      <c r="U1955" s="17" t="n"/>
      <c r="V1955" s="17" t="n"/>
      <c r="W1955" s="17" t="n"/>
      <c r="X1955" s="17" t="n"/>
      <c r="Y1955" s="17" t="n">
        <v>1</v>
      </c>
      <c r="Z1955" s="13">
        <f>SUMPRODUCT(N1955:Y1955,$N$2:$Y$2)*$K1955*$L1955*$M1955</f>
        <v/>
      </c>
      <c r="AA1955" s="14">
        <f>SUM(N1955:Y1955)</f>
        <v/>
      </c>
      <c r="AB1955" s="14">
        <f>IFERROR(IF(UPPER($E1955)="L",SUMPRODUCT(N1955:Y1955,$N$3:$Y$3,$N$2:$Y$2),SUMPRODUCT(N1955:Y1955,$N$4:$Y$4,$N$2:$Y$2))/(Z1955/($K1955*$L1955*$M1955)),"")</f>
        <v/>
      </c>
      <c r="AC1955" s="18" t="n"/>
    </row>
    <row r="1956">
      <c r="A1956" s="9" t="n">
        <v>812158</v>
      </c>
      <c r="B1956" s="9" t="inlineStr">
        <is>
          <t>Dashyll Tejeda</t>
        </is>
      </c>
      <c r="C1956" s="9" t="inlineStr">
        <is>
          <t>WSH</t>
        </is>
      </c>
      <c r="D1956" s="9" t="n">
        <v>25</v>
      </c>
      <c r="E1956" s="16" t="inlineStr">
        <is>
          <t>R</t>
        </is>
      </c>
      <c r="F1956" s="16" t="n"/>
      <c r="G1956" s="9" t="n">
        <v>36.43076923076923</v>
      </c>
      <c r="H1956" s="9" t="n">
        <v>36.43076923076923</v>
      </c>
      <c r="I1956" s="9" t="inlineStr">
        <is>
          <t>Depth (no MLB PA)</t>
        </is>
      </c>
      <c r="J1956" s="16" t="inlineStr">
        <is>
          <t>Opening Day</t>
        </is>
      </c>
      <c r="K1956" s="11">
        <f>IFERROR(INDEX(Roles!$B$17:$B$20,MATCH(J1956,Roles!$A$17:$A$20,0)),1)</f>
        <v/>
      </c>
      <c r="L1956" s="17" t="n">
        <v>1</v>
      </c>
      <c r="M1956" s="11" t="n">
        <v>1</v>
      </c>
      <c r="N1956" s="17" t="n"/>
      <c r="O1956" s="17" t="n"/>
      <c r="P1956" s="17" t="n"/>
      <c r="Q1956" s="17" t="n"/>
      <c r="R1956" s="17" t="n"/>
      <c r="S1956" s="17" t="n"/>
      <c r="T1956" s="17" t="n"/>
      <c r="U1956" s="17" t="n"/>
      <c r="V1956" s="17" t="n"/>
      <c r="W1956" s="17" t="n"/>
      <c r="X1956" s="17" t="n"/>
      <c r="Y1956" s="17" t="n">
        <v>1</v>
      </c>
      <c r="Z1956" s="13">
        <f>SUMPRODUCT(N1956:Y1956,$N$2:$Y$2)*$K1956*$L1956*$M1956</f>
        <v/>
      </c>
      <c r="AA1956" s="14">
        <f>SUM(N1956:Y1956)</f>
        <v/>
      </c>
      <c r="AB1956" s="14">
        <f>IFERROR(IF(UPPER($E1956)="L",SUMPRODUCT(N1956:Y1956,$N$3:$Y$3,$N$2:$Y$2),SUMPRODUCT(N1956:Y1956,$N$4:$Y$4,$N$2:$Y$2))/(Z1956/($K1956*$L1956*$M1956)),"")</f>
        <v/>
      </c>
      <c r="AC1956" s="18" t="n"/>
    </row>
    <row r="1957">
      <c r="A1957" s="9" t="n">
        <v>687462</v>
      </c>
      <c r="B1957" s="9" t="inlineStr">
        <is>
          <t>Spencer Horwitz</t>
        </is>
      </c>
      <c r="C1957" s="9" t="inlineStr">
        <is>
          <t>PIT</t>
        </is>
      </c>
      <c r="D1957" s="9" t="n">
        <v>29</v>
      </c>
      <c r="E1957" s="16" t="inlineStr">
        <is>
          <t>L</t>
        </is>
      </c>
      <c r="F1957" s="16" t="inlineStr">
        <is>
          <t>1B</t>
        </is>
      </c>
      <c r="G1957" s="9" t="n">
        <v>451</v>
      </c>
      <c r="H1957" s="9" t="n">
        <v>1287</v>
      </c>
      <c r="I1957" s="9" t="inlineStr">
        <is>
          <t>Strong Side Platoon</t>
        </is>
      </c>
      <c r="J1957" s="16" t="inlineStr">
        <is>
          <t>Opening Day</t>
        </is>
      </c>
      <c r="K1957" s="11">
        <f>IFERROR(INDEX(Roles!$B$17:$B$20,MATCH(J1957,Roles!$A$17:$A$20,0)),1)</f>
        <v/>
      </c>
      <c r="L1957" s="17" t="n">
        <v>1</v>
      </c>
      <c r="M1957" s="11" t="n">
        <v>0.9599098596807004</v>
      </c>
      <c r="N1957" s="17" t="n">
        <v>0.4</v>
      </c>
      <c r="O1957" s="17" t="n"/>
      <c r="P1957" s="17" t="n">
        <v>0.6</v>
      </c>
      <c r="Q1957" s="17" t="n"/>
      <c r="R1957" s="17" t="n"/>
      <c r="S1957" s="17" t="n"/>
      <c r="T1957" s="17" t="n"/>
      <c r="U1957" s="17" t="n"/>
      <c r="V1957" s="17" t="n"/>
      <c r="W1957" s="17" t="n"/>
      <c r="X1957" s="17" t="n"/>
      <c r="Y1957" s="17" t="n"/>
      <c r="Z1957" s="13">
        <f>SUMPRODUCT(N1957:Y1957,$N$2:$Y$2)*$K1957*$L1957*$M1957</f>
        <v/>
      </c>
      <c r="AA1957" s="14">
        <f>SUM(N1957:Y1957)</f>
        <v/>
      </c>
      <c r="AB1957" s="14">
        <f>IFERROR(IF(UPPER($E1957)="L",SUMPRODUCT(N1957:Y1957,$N$3:$Y$3,$N$2:$Y$2),SUMPRODUCT(N1957:Y1957,$N$4:$Y$4,$N$2:$Y$2))/(Z1957/($K1957*$L1957*$M1957)),"")</f>
        <v/>
      </c>
      <c r="AC1957" s="18" t="n"/>
    </row>
    <row r="1958">
      <c r="A1958" s="9" t="n">
        <v>684081</v>
      </c>
      <c r="B1958" s="9" t="inlineStr">
        <is>
          <t>Erick Brito</t>
        </is>
      </c>
      <c r="C1958" s="9" t="inlineStr">
        <is>
          <t>PHI</t>
        </is>
      </c>
      <c r="D1958" s="9" t="n">
        <v>25</v>
      </c>
      <c r="E1958" s="16" t="inlineStr">
        <is>
          <t>R</t>
        </is>
      </c>
      <c r="F1958" s="16" t="n"/>
      <c r="G1958" s="9" t="n">
        <v>35.17948717948718</v>
      </c>
      <c r="H1958" s="9" t="n">
        <v>35.17948717948718</v>
      </c>
      <c r="I1958" s="9" t="inlineStr">
        <is>
          <t>Depth (no MLB PA)</t>
        </is>
      </c>
      <c r="J1958" s="16" t="inlineStr">
        <is>
          <t>Opening Day</t>
        </is>
      </c>
      <c r="K1958" s="11">
        <f>IFERROR(INDEX(Roles!$B$17:$B$20,MATCH(J1958,Roles!$A$17:$A$20,0)),1)</f>
        <v/>
      </c>
      <c r="L1958" s="17" t="n">
        <v>1</v>
      </c>
      <c r="M1958" s="11" t="n">
        <v>1</v>
      </c>
      <c r="N1958" s="17" t="n"/>
      <c r="O1958" s="17" t="n"/>
      <c r="P1958" s="17" t="n"/>
      <c r="Q1958" s="17" t="n"/>
      <c r="R1958" s="17" t="n"/>
      <c r="S1958" s="17" t="n"/>
      <c r="T1958" s="17" t="n"/>
      <c r="U1958" s="17" t="n"/>
      <c r="V1958" s="17" t="n"/>
      <c r="W1958" s="17" t="n"/>
      <c r="X1958" s="17" t="n"/>
      <c r="Y1958" s="17" t="n">
        <v>1</v>
      </c>
      <c r="Z1958" s="13">
        <f>SUMPRODUCT(N1958:Y1958,$N$2:$Y$2)*$K1958*$L1958*$M1958</f>
        <v/>
      </c>
      <c r="AA1958" s="14">
        <f>SUM(N1958:Y1958)</f>
        <v/>
      </c>
      <c r="AB1958" s="14">
        <f>IFERROR(IF(UPPER($E1958)="L",SUMPRODUCT(N1958:Y1958,$N$3:$Y$3,$N$2:$Y$2),SUMPRODUCT(N1958:Y1958,$N$4:$Y$4,$N$2:$Y$2))/(Z1958/($K1958*$L1958*$M1958)),"")</f>
        <v/>
      </c>
      <c r="AC1958" s="18" t="n"/>
    </row>
    <row r="1959">
      <c r="A1959" s="9" t="n">
        <v>808289</v>
      </c>
      <c r="B1959" s="9" t="inlineStr">
        <is>
          <t>Julio Zayas</t>
        </is>
      </c>
      <c r="C1959" s="9" t="inlineStr">
        <is>
          <t>NYM</t>
        </is>
      </c>
      <c r="D1959" s="9" t="n">
        <v>25</v>
      </c>
      <c r="E1959" s="16" t="inlineStr">
        <is>
          <t>R</t>
        </is>
      </c>
      <c r="F1959" s="16" t="n"/>
      <c r="G1959" s="9" t="n">
        <v>50.58461538461538</v>
      </c>
      <c r="H1959" s="9" t="n">
        <v>50.58461538461538</v>
      </c>
      <c r="I1959" s="9" t="inlineStr">
        <is>
          <t>Depth (no MLB PA)</t>
        </is>
      </c>
      <c r="J1959" s="16" t="inlineStr">
        <is>
          <t>Opening Day</t>
        </is>
      </c>
      <c r="K1959" s="11">
        <f>IFERROR(INDEX(Roles!$B$17:$B$20,MATCH(J1959,Roles!$A$17:$A$20,0)),1)</f>
        <v/>
      </c>
      <c r="L1959" s="17" t="n">
        <v>1</v>
      </c>
      <c r="M1959" s="11" t="n">
        <v>1</v>
      </c>
      <c r="N1959" s="17" t="n"/>
      <c r="O1959" s="17" t="n"/>
      <c r="P1959" s="17" t="n"/>
      <c r="Q1959" s="17" t="n"/>
      <c r="R1959" s="17" t="n"/>
      <c r="S1959" s="17" t="n"/>
      <c r="T1959" s="17" t="n"/>
      <c r="U1959" s="17" t="n"/>
      <c r="V1959" s="17" t="n"/>
      <c r="W1959" s="17" t="n"/>
      <c r="X1959" s="17" t="n"/>
      <c r="Y1959" s="17" t="n">
        <v>1</v>
      </c>
      <c r="Z1959" s="13">
        <f>SUMPRODUCT(N1959:Y1959,$N$2:$Y$2)*$K1959*$L1959*$M1959</f>
        <v/>
      </c>
      <c r="AA1959" s="14">
        <f>SUM(N1959:Y1959)</f>
        <v/>
      </c>
      <c r="AB1959" s="14">
        <f>IFERROR(IF(UPPER($E1959)="L",SUMPRODUCT(N1959:Y1959,$N$3:$Y$3,$N$2:$Y$2),SUMPRODUCT(N1959:Y1959,$N$4:$Y$4,$N$2:$Y$2))/(Z1959/($K1959*$L1959*$M1959)),"")</f>
        <v/>
      </c>
      <c r="AC1959" s="18" t="n"/>
    </row>
    <row r="1960">
      <c r="A1960" s="9" t="n">
        <v>800276</v>
      </c>
      <c r="B1960" s="9" t="inlineStr">
        <is>
          <t>Juan Villavicencio</t>
        </is>
      </c>
      <c r="C1960" s="9" t="inlineStr">
        <is>
          <t>PHI</t>
        </is>
      </c>
      <c r="D1960" s="9" t="n">
        <v>25</v>
      </c>
      <c r="E1960" s="16" t="inlineStr">
        <is>
          <t>L</t>
        </is>
      </c>
      <c r="F1960" s="16" t="n"/>
      <c r="G1960" s="9" t="n">
        <v>29.74358974358975</v>
      </c>
      <c r="H1960" s="9" t="n">
        <v>29.74358974358975</v>
      </c>
      <c r="I1960" s="9" t="inlineStr">
        <is>
          <t>Depth (no MLB PA)</t>
        </is>
      </c>
      <c r="J1960" s="16" t="inlineStr">
        <is>
          <t>Opening Day</t>
        </is>
      </c>
      <c r="K1960" s="11">
        <f>IFERROR(INDEX(Roles!$B$17:$B$20,MATCH(J1960,Roles!$A$17:$A$20,0)),1)</f>
        <v/>
      </c>
      <c r="L1960" s="17" t="n">
        <v>1</v>
      </c>
      <c r="M1960" s="11" t="n">
        <v>1</v>
      </c>
      <c r="N1960" s="17" t="n"/>
      <c r="O1960" s="17" t="n"/>
      <c r="P1960" s="17" t="n"/>
      <c r="Q1960" s="17" t="n"/>
      <c r="R1960" s="17" t="n"/>
      <c r="S1960" s="17" t="n"/>
      <c r="T1960" s="17" t="n"/>
      <c r="U1960" s="17" t="n"/>
      <c r="V1960" s="17" t="n"/>
      <c r="W1960" s="17" t="n"/>
      <c r="X1960" s="17" t="n"/>
      <c r="Y1960" s="17" t="n">
        <v>1</v>
      </c>
      <c r="Z1960" s="13">
        <f>SUMPRODUCT(N1960:Y1960,$N$2:$Y$2)*$K1960*$L1960*$M1960</f>
        <v/>
      </c>
      <c r="AA1960" s="14">
        <f>SUM(N1960:Y1960)</f>
        <v/>
      </c>
      <c r="AB1960" s="14">
        <f>IFERROR(IF(UPPER($E1960)="L",SUMPRODUCT(N1960:Y1960,$N$3:$Y$3,$N$2:$Y$2),SUMPRODUCT(N1960:Y1960,$N$4:$Y$4,$N$2:$Y$2))/(Z1960/($K1960*$L1960*$M1960)),"")</f>
        <v/>
      </c>
      <c r="AC1960" s="18" t="n"/>
    </row>
    <row r="1961">
      <c r="A1961" s="9" t="n">
        <v>700648</v>
      </c>
      <c r="B1961" s="9" t="inlineStr">
        <is>
          <t>Josue Gonzalez</t>
        </is>
      </c>
      <c r="C1961" s="9" t="inlineStr">
        <is>
          <t>NYY</t>
        </is>
      </c>
      <c r="D1961" s="9" t="n">
        <v>25</v>
      </c>
      <c r="E1961" s="16" t="inlineStr">
        <is>
          <t>R</t>
        </is>
      </c>
      <c r="F1961" s="16" t="n"/>
      <c r="G1961" s="9" t="n">
        <v>52.1025641025641</v>
      </c>
      <c r="H1961" s="9" t="n">
        <v>52.1025641025641</v>
      </c>
      <c r="I1961" s="9" t="inlineStr">
        <is>
          <t>Depth (no MLB PA)</t>
        </is>
      </c>
      <c r="J1961" s="16" t="inlineStr">
        <is>
          <t>Opening Day</t>
        </is>
      </c>
      <c r="K1961" s="11">
        <f>IFERROR(INDEX(Roles!$B$17:$B$20,MATCH(J1961,Roles!$A$17:$A$20,0)),1)</f>
        <v/>
      </c>
      <c r="L1961" s="17" t="n">
        <v>1</v>
      </c>
      <c r="M1961" s="11" t="n">
        <v>1</v>
      </c>
      <c r="N1961" s="17" t="n"/>
      <c r="O1961" s="17" t="n"/>
      <c r="P1961" s="17" t="n"/>
      <c r="Q1961" s="17" t="n"/>
      <c r="R1961" s="17" t="n"/>
      <c r="S1961" s="17" t="n"/>
      <c r="T1961" s="17" t="n"/>
      <c r="U1961" s="17" t="n"/>
      <c r="V1961" s="17" t="n"/>
      <c r="W1961" s="17" t="n"/>
      <c r="X1961" s="17" t="n"/>
      <c r="Y1961" s="17" t="n">
        <v>1</v>
      </c>
      <c r="Z1961" s="13">
        <f>SUMPRODUCT(N1961:Y1961,$N$2:$Y$2)*$K1961*$L1961*$M1961</f>
        <v/>
      </c>
      <c r="AA1961" s="14">
        <f>SUM(N1961:Y1961)</f>
        <v/>
      </c>
      <c r="AB1961" s="14">
        <f>IFERROR(IF(UPPER($E1961)="L",SUMPRODUCT(N1961:Y1961,$N$3:$Y$3,$N$2:$Y$2),SUMPRODUCT(N1961:Y1961,$N$4:$Y$4,$N$2:$Y$2))/(Z1961/($K1961*$L1961*$M1961)),"")</f>
        <v/>
      </c>
      <c r="AC1961" s="18" t="n"/>
    </row>
    <row r="1962">
      <c r="A1962" s="9" t="n">
        <v>806401</v>
      </c>
      <c r="B1962" s="9" t="inlineStr">
        <is>
          <t>Dayson Croes</t>
        </is>
      </c>
      <c r="C1962" s="9" t="inlineStr">
        <is>
          <t>SF</t>
        </is>
      </c>
      <c r="D1962" s="9" t="n">
        <v>25</v>
      </c>
      <c r="E1962" s="16" t="inlineStr">
        <is>
          <t>L</t>
        </is>
      </c>
      <c r="F1962" s="16" t="n"/>
      <c r="G1962" s="9" t="n">
        <v>45.12820512820514</v>
      </c>
      <c r="H1962" s="9" t="n">
        <v>45.12820512820514</v>
      </c>
      <c r="I1962" s="9" t="inlineStr">
        <is>
          <t>Depth (no MLB PA)</t>
        </is>
      </c>
      <c r="J1962" s="16" t="inlineStr">
        <is>
          <t>Opening Day</t>
        </is>
      </c>
      <c r="K1962" s="11">
        <f>IFERROR(INDEX(Roles!$B$17:$B$20,MATCH(J1962,Roles!$A$17:$A$20,0)),1)</f>
        <v/>
      </c>
      <c r="L1962" s="17" t="n">
        <v>1</v>
      </c>
      <c r="M1962" s="11" t="n">
        <v>1</v>
      </c>
      <c r="N1962" s="17" t="n"/>
      <c r="O1962" s="17" t="n"/>
      <c r="P1962" s="17" t="n"/>
      <c r="Q1962" s="17" t="n"/>
      <c r="R1962" s="17" t="n"/>
      <c r="S1962" s="17" t="n"/>
      <c r="T1962" s="17" t="n"/>
      <c r="U1962" s="17" t="n"/>
      <c r="V1962" s="17" t="n"/>
      <c r="W1962" s="17" t="n"/>
      <c r="X1962" s="17" t="n"/>
      <c r="Y1962" s="17" t="n">
        <v>1</v>
      </c>
      <c r="Z1962" s="13">
        <f>SUMPRODUCT(N1962:Y1962,$N$2:$Y$2)*$K1962*$L1962*$M1962</f>
        <v/>
      </c>
      <c r="AA1962" s="14">
        <f>SUM(N1962:Y1962)</f>
        <v/>
      </c>
      <c r="AB1962" s="14">
        <f>IFERROR(IF(UPPER($E1962)="L",SUMPRODUCT(N1962:Y1962,$N$3:$Y$3,$N$2:$Y$2),SUMPRODUCT(N1962:Y1962,$N$4:$Y$4,$N$2:$Y$2))/(Z1962/($K1962*$L1962*$M1962)),"")</f>
        <v/>
      </c>
      <c r="AC1962" s="18" t="n"/>
    </row>
    <row r="1963">
      <c r="A1963" s="9" t="n">
        <v>815104</v>
      </c>
      <c r="B1963" s="9" t="inlineStr">
        <is>
          <t>Graysen Tarlow</t>
        </is>
      </c>
      <c r="C1963" s="9" t="inlineStr">
        <is>
          <t>STL</t>
        </is>
      </c>
      <c r="D1963" s="9" t="n">
        <v>25</v>
      </c>
      <c r="E1963" s="16" t="inlineStr">
        <is>
          <t>R</t>
        </is>
      </c>
      <c r="F1963" s="16" t="n"/>
      <c r="G1963" s="9" t="n">
        <v>27.07692307692308</v>
      </c>
      <c r="H1963" s="9" t="n">
        <v>27.07692307692308</v>
      </c>
      <c r="I1963" s="9" t="inlineStr">
        <is>
          <t>Depth (no MLB PA)</t>
        </is>
      </c>
      <c r="J1963" s="16" t="inlineStr">
        <is>
          <t>Opening Day</t>
        </is>
      </c>
      <c r="K1963" s="11">
        <f>IFERROR(INDEX(Roles!$B$17:$B$20,MATCH(J1963,Roles!$A$17:$A$20,0)),1)</f>
        <v/>
      </c>
      <c r="L1963" s="17" t="n">
        <v>1</v>
      </c>
      <c r="M1963" s="11" t="n">
        <v>1</v>
      </c>
      <c r="N1963" s="17" t="n"/>
      <c r="O1963" s="17" t="n"/>
      <c r="P1963" s="17" t="n"/>
      <c r="Q1963" s="17" t="n"/>
      <c r="R1963" s="17" t="n"/>
      <c r="S1963" s="17" t="n"/>
      <c r="T1963" s="17" t="n"/>
      <c r="U1963" s="17" t="n"/>
      <c r="V1963" s="17" t="n"/>
      <c r="W1963" s="17" t="n"/>
      <c r="X1963" s="17" t="n"/>
      <c r="Y1963" s="17" t="n">
        <v>1</v>
      </c>
      <c r="Z1963" s="13">
        <f>SUMPRODUCT(N1963:Y1963,$N$2:$Y$2)*$K1963*$L1963*$M1963</f>
        <v/>
      </c>
      <c r="AA1963" s="14">
        <f>SUM(N1963:Y1963)</f>
        <v/>
      </c>
      <c r="AB1963" s="14">
        <f>IFERROR(IF(UPPER($E1963)="L",SUMPRODUCT(N1963:Y1963,$N$3:$Y$3,$N$2:$Y$2),SUMPRODUCT(N1963:Y1963,$N$4:$Y$4,$N$2:$Y$2))/(Z1963/($K1963*$L1963*$M1963)),"")</f>
        <v/>
      </c>
      <c r="AC1963" s="18" t="n"/>
    </row>
    <row r="1964">
      <c r="A1964" s="9" t="n">
        <v>701327</v>
      </c>
      <c r="B1964" s="9" t="inlineStr">
        <is>
          <t>Elijah Green</t>
        </is>
      </c>
      <c r="C1964" s="9" t="inlineStr">
        <is>
          <t>WSH</t>
        </is>
      </c>
      <c r="D1964" s="9" t="n">
        <v>25</v>
      </c>
      <c r="E1964" s="16" t="inlineStr">
        <is>
          <t>R</t>
        </is>
      </c>
      <c r="F1964" s="16" t="n"/>
      <c r="G1964" s="9" t="n">
        <v>42</v>
      </c>
      <c r="H1964" s="9" t="n">
        <v>42</v>
      </c>
      <c r="I1964" s="9" t="inlineStr">
        <is>
          <t>Depth (no MLB PA)</t>
        </is>
      </c>
      <c r="J1964" s="16" t="inlineStr">
        <is>
          <t>Opening Day</t>
        </is>
      </c>
      <c r="K1964" s="11">
        <f>IFERROR(INDEX(Roles!$B$17:$B$20,MATCH(J1964,Roles!$A$17:$A$20,0)),1)</f>
        <v/>
      </c>
      <c r="L1964" s="17" t="n">
        <v>1</v>
      </c>
      <c r="M1964" s="11" t="n">
        <v>1</v>
      </c>
      <c r="N1964" s="17" t="n"/>
      <c r="O1964" s="17" t="n"/>
      <c r="P1964" s="17" t="n"/>
      <c r="Q1964" s="17" t="n"/>
      <c r="R1964" s="17" t="n"/>
      <c r="S1964" s="17" t="n"/>
      <c r="T1964" s="17" t="n"/>
      <c r="U1964" s="17" t="n"/>
      <c r="V1964" s="17" t="n"/>
      <c r="W1964" s="17" t="n"/>
      <c r="X1964" s="17" t="n"/>
      <c r="Y1964" s="17" t="n">
        <v>1</v>
      </c>
      <c r="Z1964" s="13">
        <f>SUMPRODUCT(N1964:Y1964,$N$2:$Y$2)*$K1964*$L1964*$M1964</f>
        <v/>
      </c>
      <c r="AA1964" s="14">
        <f>SUM(N1964:Y1964)</f>
        <v/>
      </c>
      <c r="AB1964" s="14">
        <f>IFERROR(IF(UPPER($E1964)="L",SUMPRODUCT(N1964:Y1964,$N$3:$Y$3,$N$2:$Y$2),SUMPRODUCT(N1964:Y1964,$N$4:$Y$4,$N$2:$Y$2))/(Z1964/($K1964*$L1964*$M1964)),"")</f>
        <v/>
      </c>
      <c r="AC1964" s="18" t="n"/>
    </row>
    <row r="1965">
      <c r="A1965" s="9" t="n">
        <v>683103</v>
      </c>
      <c r="B1965" s="9" t="inlineStr">
        <is>
          <t>Cade Doughty</t>
        </is>
      </c>
      <c r="C1965" s="9" t="inlineStr">
        <is>
          <t>TOR</t>
        </is>
      </c>
      <c r="D1965" s="9" t="n">
        <v>25</v>
      </c>
      <c r="E1965" s="16" t="inlineStr">
        <is>
          <t>R</t>
        </is>
      </c>
      <c r="F1965" s="16" t="n"/>
      <c r="G1965" s="9" t="n">
        <v>44.15384615384615</v>
      </c>
      <c r="H1965" s="9" t="n">
        <v>44.15384615384615</v>
      </c>
      <c r="I1965" s="9" t="inlineStr">
        <is>
          <t>Depth (no MLB PA)</t>
        </is>
      </c>
      <c r="J1965" s="16" t="inlineStr">
        <is>
          <t>Opening Day</t>
        </is>
      </c>
      <c r="K1965" s="11">
        <f>IFERROR(INDEX(Roles!$B$17:$B$20,MATCH(J1965,Roles!$A$17:$A$20,0)),1)</f>
        <v/>
      </c>
      <c r="L1965" s="17" t="n">
        <v>1</v>
      </c>
      <c r="M1965" s="11" t="n">
        <v>1</v>
      </c>
      <c r="N1965" s="17" t="n"/>
      <c r="O1965" s="17" t="n"/>
      <c r="P1965" s="17" t="n"/>
      <c r="Q1965" s="17" t="n"/>
      <c r="R1965" s="17" t="n"/>
      <c r="S1965" s="17" t="n"/>
      <c r="T1965" s="17" t="n"/>
      <c r="U1965" s="17" t="n"/>
      <c r="V1965" s="17" t="n"/>
      <c r="W1965" s="17" t="n"/>
      <c r="X1965" s="17" t="n"/>
      <c r="Y1965" s="17" t="n">
        <v>1</v>
      </c>
      <c r="Z1965" s="13">
        <f>SUMPRODUCT(N1965:Y1965,$N$2:$Y$2)*$K1965*$L1965*$M1965</f>
        <v/>
      </c>
      <c r="AA1965" s="14">
        <f>SUM(N1965:Y1965)</f>
        <v/>
      </c>
      <c r="AB1965" s="14">
        <f>IFERROR(IF(UPPER($E1965)="L",SUMPRODUCT(N1965:Y1965,$N$3:$Y$3,$N$2:$Y$2),SUMPRODUCT(N1965:Y1965,$N$4:$Y$4,$N$2:$Y$2))/(Z1965/($K1965*$L1965*$M1965)),"")</f>
        <v/>
      </c>
      <c r="AC1965" s="18" t="n"/>
    </row>
    <row r="1966">
      <c r="A1966" s="9" t="n">
        <v>663527</v>
      </c>
      <c r="B1966" s="9" t="inlineStr">
        <is>
          <t>Tyler Nevin</t>
        </is>
      </c>
      <c r="C1966" s="9" t="inlineStr">
        <is>
          <t>OAK</t>
        </is>
      </c>
      <c r="D1966" s="9" t="n">
        <v>30</v>
      </c>
      <c r="E1966" s="16" t="inlineStr">
        <is>
          <t>R</t>
        </is>
      </c>
      <c r="F1966" s="16" t="inlineStr">
        <is>
          <t>1B</t>
        </is>
      </c>
      <c r="G1966" s="9" t="n">
        <v>278</v>
      </c>
      <c r="H1966" s="9" t="n">
        <v>573</v>
      </c>
      <c r="I1966" s="9" t="inlineStr">
        <is>
          <t>Depth (no MLB PA)</t>
        </is>
      </c>
      <c r="J1966" s="16" t="inlineStr">
        <is>
          <t>Opening Day</t>
        </is>
      </c>
      <c r="K1966" s="11">
        <f>IFERROR(INDEX(Roles!$B$17:$B$20,MATCH(J1966,Roles!$A$17:$A$20,0)),1)</f>
        <v/>
      </c>
      <c r="L1966" s="17" t="n">
        <v>1</v>
      </c>
      <c r="M1966" s="11" t="n">
        <v>1</v>
      </c>
      <c r="N1966" s="17" t="n"/>
      <c r="O1966" s="17" t="n"/>
      <c r="P1966" s="17" t="n"/>
      <c r="Q1966" s="17" t="n"/>
      <c r="R1966" s="17" t="n"/>
      <c r="S1966" s="17" t="n"/>
      <c r="T1966" s="17" t="n"/>
      <c r="U1966" s="17" t="n"/>
      <c r="V1966" s="17" t="n"/>
      <c r="W1966" s="17" t="n"/>
      <c r="X1966" s="17" t="n"/>
      <c r="Y1966" s="17" t="n">
        <v>1</v>
      </c>
      <c r="Z1966" s="13">
        <f>SUMPRODUCT(N1966:Y1966,$N$2:$Y$2)*$K1966*$L1966*$M1966</f>
        <v/>
      </c>
      <c r="AA1966" s="14">
        <f>SUM(N1966:Y1966)</f>
        <v/>
      </c>
      <c r="AB1966" s="14">
        <f>IFERROR(IF(UPPER($E1966)="L",SUMPRODUCT(N1966:Y1966,$N$3:$Y$3,$N$2:$Y$2),SUMPRODUCT(N1966:Y1966,$N$4:$Y$4,$N$2:$Y$2))/(Z1966/($K1966*$L1966*$M1966)),"")</f>
        <v/>
      </c>
      <c r="AC1966" s="18" t="n"/>
    </row>
    <row r="1967">
      <c r="A1967" s="9" t="n">
        <v>693459</v>
      </c>
      <c r="B1967" s="9" t="inlineStr">
        <is>
          <t>Kyler Fedko</t>
        </is>
      </c>
      <c r="C1967" s="9" t="inlineStr">
        <is>
          <t>MIN</t>
        </is>
      </c>
      <c r="D1967" s="9" t="n">
        <v>27</v>
      </c>
      <c r="E1967" s="16" t="inlineStr">
        <is>
          <t>R</t>
        </is>
      </c>
      <c r="F1967" s="16" t="inlineStr">
        <is>
          <t>CF</t>
        </is>
      </c>
      <c r="G1967" s="9" t="n">
        <v>19</v>
      </c>
      <c r="H1967" s="9" t="n">
        <v>19</v>
      </c>
      <c r="I1967" s="9" t="inlineStr">
        <is>
          <t>Depth (no MLB PA)</t>
        </is>
      </c>
      <c r="J1967" s="16" t="inlineStr">
        <is>
          <t>Opening Day</t>
        </is>
      </c>
      <c r="K1967" s="11">
        <f>IFERROR(INDEX(Roles!$B$17:$B$20,MATCH(J1967,Roles!$A$17:$A$20,0)),1)</f>
        <v/>
      </c>
      <c r="L1967" s="17" t="n">
        <v>1</v>
      </c>
      <c r="M1967" s="11" t="n">
        <v>1</v>
      </c>
      <c r="N1967" s="17" t="n"/>
      <c r="O1967" s="17" t="n"/>
      <c r="P1967" s="17" t="n"/>
      <c r="Q1967" s="17" t="n"/>
      <c r="R1967" s="17" t="n"/>
      <c r="S1967" s="17" t="n"/>
      <c r="T1967" s="17" t="n"/>
      <c r="U1967" s="17" t="n"/>
      <c r="V1967" s="17" t="n"/>
      <c r="W1967" s="17" t="n"/>
      <c r="X1967" s="17" t="n"/>
      <c r="Y1967" s="17" t="n">
        <v>1</v>
      </c>
      <c r="Z1967" s="13">
        <f>SUMPRODUCT(N1967:Y1967,$N$2:$Y$2)*$K1967*$L1967*$M1967</f>
        <v/>
      </c>
      <c r="AA1967" s="14">
        <f>SUM(N1967:Y1967)</f>
        <v/>
      </c>
      <c r="AB1967" s="14">
        <f>IFERROR(IF(UPPER($E1967)="L",SUMPRODUCT(N1967:Y1967,$N$3:$Y$3,$N$2:$Y$2),SUMPRODUCT(N1967:Y1967,$N$4:$Y$4,$N$2:$Y$2))/(Z1967/($K1967*$L1967*$M1967)),"")</f>
        <v/>
      </c>
      <c r="AC1967" s="18" t="n"/>
    </row>
    <row r="1968">
      <c r="A1968" s="9" t="n">
        <v>803385</v>
      </c>
      <c r="B1968" s="9" t="inlineStr">
        <is>
          <t>Jay Harry</t>
        </is>
      </c>
      <c r="C1968" s="9" t="inlineStr">
        <is>
          <t>TOR</t>
        </is>
      </c>
      <c r="D1968" s="9" t="n">
        <v>25</v>
      </c>
      <c r="E1968" s="16" t="inlineStr">
        <is>
          <t>L</t>
        </is>
      </c>
      <c r="F1968" s="16" t="n"/>
      <c r="G1968" s="9" t="n">
        <v>131.4358974358975</v>
      </c>
      <c r="H1968" s="9" t="n">
        <v>131.4358974358975</v>
      </c>
      <c r="I1968" s="9" t="inlineStr">
        <is>
          <t>Depth (no MLB PA)</t>
        </is>
      </c>
      <c r="J1968" s="16" t="inlineStr">
        <is>
          <t>Opening Day</t>
        </is>
      </c>
      <c r="K1968" s="11">
        <f>IFERROR(INDEX(Roles!$B$17:$B$20,MATCH(J1968,Roles!$A$17:$A$20,0)),1)</f>
        <v/>
      </c>
      <c r="L1968" s="17" t="n">
        <v>1</v>
      </c>
      <c r="M1968" s="11" t="n">
        <v>1</v>
      </c>
      <c r="N1968" s="17" t="n"/>
      <c r="O1968" s="17" t="n"/>
      <c r="P1968" s="17" t="n"/>
      <c r="Q1968" s="17" t="n"/>
      <c r="R1968" s="17" t="n"/>
      <c r="S1968" s="17" t="n"/>
      <c r="T1968" s="17" t="n"/>
      <c r="U1968" s="17" t="n"/>
      <c r="V1968" s="17" t="n"/>
      <c r="W1968" s="17" t="n"/>
      <c r="X1968" s="17" t="n"/>
      <c r="Y1968" s="17" t="n">
        <v>1</v>
      </c>
      <c r="Z1968" s="13">
        <f>SUMPRODUCT(N1968:Y1968,$N$2:$Y$2)*$K1968*$L1968*$M1968</f>
        <v/>
      </c>
      <c r="AA1968" s="14">
        <f>SUM(N1968:Y1968)</f>
        <v/>
      </c>
      <c r="AB1968" s="14">
        <f>IFERROR(IF(UPPER($E1968)="L",SUMPRODUCT(N1968:Y1968,$N$3:$Y$3,$N$2:$Y$2),SUMPRODUCT(N1968:Y1968,$N$4:$Y$4,$N$2:$Y$2))/(Z1968/($K1968*$L1968*$M1968)),"")</f>
        <v/>
      </c>
      <c r="AC1968" s="18" t="n"/>
    </row>
    <row r="1969">
      <c r="A1969" s="9" t="n">
        <v>806128</v>
      </c>
      <c r="B1969" s="9" t="inlineStr">
        <is>
          <t>Antonio Jimenez</t>
        </is>
      </c>
      <c r="C1969" s="9" t="inlineStr">
        <is>
          <t>NYM</t>
        </is>
      </c>
      <c r="D1969" s="9" t="n">
        <v>25</v>
      </c>
      <c r="E1969" s="16" t="inlineStr">
        <is>
          <t>R</t>
        </is>
      </c>
      <c r="F1969" s="16" t="n"/>
      <c r="G1969" s="9" t="n">
        <v>43.28205128205128</v>
      </c>
      <c r="H1969" s="9" t="n">
        <v>43.28205128205128</v>
      </c>
      <c r="I1969" s="9" t="inlineStr">
        <is>
          <t>Depth (no MLB PA)</t>
        </is>
      </c>
      <c r="J1969" s="16" t="inlineStr">
        <is>
          <t>Opening Day</t>
        </is>
      </c>
      <c r="K1969" s="11">
        <f>IFERROR(INDEX(Roles!$B$17:$B$20,MATCH(J1969,Roles!$A$17:$A$20,0)),1)</f>
        <v/>
      </c>
      <c r="L1969" s="17" t="n">
        <v>1</v>
      </c>
      <c r="M1969" s="11" t="n">
        <v>1</v>
      </c>
      <c r="N1969" s="17" t="n"/>
      <c r="O1969" s="17" t="n"/>
      <c r="P1969" s="17" t="n"/>
      <c r="Q1969" s="17" t="n"/>
      <c r="R1969" s="17" t="n"/>
      <c r="S1969" s="17" t="n"/>
      <c r="T1969" s="17" t="n"/>
      <c r="U1969" s="17" t="n"/>
      <c r="V1969" s="17" t="n"/>
      <c r="W1969" s="17" t="n"/>
      <c r="X1969" s="17" t="n"/>
      <c r="Y1969" s="17" t="n">
        <v>1</v>
      </c>
      <c r="Z1969" s="13">
        <f>SUMPRODUCT(N1969:Y1969,$N$2:$Y$2)*$K1969*$L1969*$M1969</f>
        <v/>
      </c>
      <c r="AA1969" s="14">
        <f>SUM(N1969:Y1969)</f>
        <v/>
      </c>
      <c r="AB1969" s="14">
        <f>IFERROR(IF(UPPER($E1969)="L",SUMPRODUCT(N1969:Y1969,$N$3:$Y$3,$N$2:$Y$2),SUMPRODUCT(N1969:Y1969,$N$4:$Y$4,$N$2:$Y$2))/(Z1969/($K1969*$L1969*$M1969)),"")</f>
        <v/>
      </c>
      <c r="AC1969" s="18" t="n"/>
    </row>
    <row r="1970">
      <c r="A1970" s="9" t="n">
        <v>703160</v>
      </c>
      <c r="B1970" s="9" t="inlineStr">
        <is>
          <t>Yasser Mercedes</t>
        </is>
      </c>
      <c r="C1970" s="9" t="inlineStr">
        <is>
          <t>MIN</t>
        </is>
      </c>
      <c r="D1970" s="9" t="n">
        <v>23</v>
      </c>
      <c r="E1970" s="16" t="inlineStr">
        <is>
          <t>R</t>
        </is>
      </c>
      <c r="F1970" s="16" t="n"/>
      <c r="G1970" s="9" t="n">
        <v>78.76923076923077</v>
      </c>
      <c r="H1970" s="9" t="n">
        <v>78.76923076923077</v>
      </c>
      <c r="I1970" s="9" t="inlineStr">
        <is>
          <t>Depth (no MLB PA)</t>
        </is>
      </c>
      <c r="J1970" s="16" t="inlineStr">
        <is>
          <t>Opening Day</t>
        </is>
      </c>
      <c r="K1970" s="11">
        <f>IFERROR(INDEX(Roles!$B$17:$B$20,MATCH(J1970,Roles!$A$17:$A$20,0)),1)</f>
        <v/>
      </c>
      <c r="L1970" s="17" t="n">
        <v>1</v>
      </c>
      <c r="M1970" s="11" t="n">
        <v>1</v>
      </c>
      <c r="N1970" s="17" t="n"/>
      <c r="O1970" s="17" t="n"/>
      <c r="P1970" s="17" t="n"/>
      <c r="Q1970" s="17" t="n"/>
      <c r="R1970" s="17" t="n"/>
      <c r="S1970" s="17" t="n"/>
      <c r="T1970" s="17" t="n"/>
      <c r="U1970" s="17" t="n"/>
      <c r="V1970" s="17" t="n"/>
      <c r="W1970" s="17" t="n"/>
      <c r="X1970" s="17" t="n"/>
      <c r="Y1970" s="17" t="n">
        <v>1</v>
      </c>
      <c r="Z1970" s="13">
        <f>SUMPRODUCT(N1970:Y1970,$N$2:$Y$2)*$K1970*$L1970*$M1970</f>
        <v/>
      </c>
      <c r="AA1970" s="14">
        <f>SUM(N1970:Y1970)</f>
        <v/>
      </c>
      <c r="AB1970" s="14">
        <f>IFERROR(IF(UPPER($E1970)="L",SUMPRODUCT(N1970:Y1970,$N$3:$Y$3,$N$2:$Y$2),SUMPRODUCT(N1970:Y1970,$N$4:$Y$4,$N$2:$Y$2))/(Z1970/($K1970*$L1970*$M1970)),"")</f>
        <v/>
      </c>
      <c r="AC1970" s="18" t="n"/>
    </row>
    <row r="1971">
      <c r="A1971" s="9" t="n">
        <v>800140</v>
      </c>
      <c r="B1971" s="9" t="inlineStr">
        <is>
          <t>Kendry Chirinos</t>
        </is>
      </c>
      <c r="C1971" s="9" t="inlineStr">
        <is>
          <t>TOR</t>
        </is>
      </c>
      <c r="D1971" s="9" t="n">
        <v>25</v>
      </c>
      <c r="E1971" s="16" t="inlineStr">
        <is>
          <t>R</t>
        </is>
      </c>
      <c r="F1971" s="16" t="n"/>
      <c r="G1971" s="9" t="n">
        <v>38.76923076923077</v>
      </c>
      <c r="H1971" s="9" t="n">
        <v>38.76923076923077</v>
      </c>
      <c r="I1971" s="9" t="inlineStr">
        <is>
          <t>Depth (no MLB PA)</t>
        </is>
      </c>
      <c r="J1971" s="16" t="inlineStr">
        <is>
          <t>Opening Day</t>
        </is>
      </c>
      <c r="K1971" s="11">
        <f>IFERROR(INDEX(Roles!$B$17:$B$20,MATCH(J1971,Roles!$A$17:$A$20,0)),1)</f>
        <v/>
      </c>
      <c r="L1971" s="17" t="n">
        <v>1</v>
      </c>
      <c r="M1971" s="11" t="n">
        <v>1</v>
      </c>
      <c r="N1971" s="17" t="n"/>
      <c r="O1971" s="17" t="n"/>
      <c r="P1971" s="17" t="n"/>
      <c r="Q1971" s="17" t="n"/>
      <c r="R1971" s="17" t="n"/>
      <c r="S1971" s="17" t="n"/>
      <c r="T1971" s="17" t="n"/>
      <c r="U1971" s="17" t="n"/>
      <c r="V1971" s="17" t="n"/>
      <c r="W1971" s="17" t="n"/>
      <c r="X1971" s="17" t="n"/>
      <c r="Y1971" s="17" t="n">
        <v>1</v>
      </c>
      <c r="Z1971" s="13">
        <f>SUMPRODUCT(N1971:Y1971,$N$2:$Y$2)*$K1971*$L1971*$M1971</f>
        <v/>
      </c>
      <c r="AA1971" s="14">
        <f>SUM(N1971:Y1971)</f>
        <v/>
      </c>
      <c r="AB1971" s="14">
        <f>IFERROR(IF(UPPER($E1971)="L",SUMPRODUCT(N1971:Y1971,$N$3:$Y$3,$N$2:$Y$2),SUMPRODUCT(N1971:Y1971,$N$4:$Y$4,$N$2:$Y$2))/(Z1971/($K1971*$L1971*$M1971)),"")</f>
        <v/>
      </c>
      <c r="AC1971" s="18" t="n"/>
    </row>
    <row r="1972">
      <c r="A1972" s="9" t="n">
        <v>806997</v>
      </c>
      <c r="B1972" s="9" t="inlineStr">
        <is>
          <t>Yerlin Luis</t>
        </is>
      </c>
      <c r="C1972" s="9" t="inlineStr">
        <is>
          <t>CLE</t>
        </is>
      </c>
      <c r="D1972" s="9" t="n">
        <v>25</v>
      </c>
      <c r="E1972" s="16" t="inlineStr">
        <is>
          <t>S</t>
        </is>
      </c>
      <c r="F1972" s="16" t="n"/>
      <c r="G1972" s="9" t="n">
        <v>26.58461538461538</v>
      </c>
      <c r="H1972" s="9" t="n">
        <v>26.58461538461538</v>
      </c>
      <c r="I1972" s="9" t="inlineStr">
        <is>
          <t>Depth (no MLB PA)</t>
        </is>
      </c>
      <c r="J1972" s="16" t="inlineStr">
        <is>
          <t>Opening Day</t>
        </is>
      </c>
      <c r="K1972" s="11">
        <f>IFERROR(INDEX(Roles!$B$17:$B$20,MATCH(J1972,Roles!$A$17:$A$20,0)),1)</f>
        <v/>
      </c>
      <c r="L1972" s="17" t="n">
        <v>1</v>
      </c>
      <c r="M1972" s="11" t="n">
        <v>1</v>
      </c>
      <c r="N1972" s="17" t="n"/>
      <c r="O1972" s="17" t="n"/>
      <c r="P1972" s="17" t="n"/>
      <c r="Q1972" s="17" t="n"/>
      <c r="R1972" s="17" t="n"/>
      <c r="S1972" s="17" t="n"/>
      <c r="T1972" s="17" t="n"/>
      <c r="U1972" s="17" t="n"/>
      <c r="V1972" s="17" t="n"/>
      <c r="W1972" s="17" t="n"/>
      <c r="X1972" s="17" t="n"/>
      <c r="Y1972" s="17" t="n">
        <v>1</v>
      </c>
      <c r="Z1972" s="13">
        <f>SUMPRODUCT(N1972:Y1972,$N$2:$Y$2)*$K1972*$L1972*$M1972</f>
        <v/>
      </c>
      <c r="AA1972" s="14">
        <f>SUM(N1972:Y1972)</f>
        <v/>
      </c>
      <c r="AB1972" s="14">
        <f>IFERROR(IF(UPPER($E1972)="L",SUMPRODUCT(N1972:Y1972,$N$3:$Y$3,$N$2:$Y$2),SUMPRODUCT(N1972:Y1972,$N$4:$Y$4,$N$2:$Y$2))/(Z1972/($K1972*$L1972*$M1972)),"")</f>
        <v/>
      </c>
      <c r="AC1972" s="18" t="n"/>
    </row>
    <row r="1973">
      <c r="A1973" s="9" t="n">
        <v>827759</v>
      </c>
      <c r="B1973" s="9" t="inlineStr">
        <is>
          <t>Daniel Bucciero</t>
        </is>
      </c>
      <c r="C1973" s="9" t="inlineStr">
        <is>
          <t>OAK</t>
        </is>
      </c>
      <c r="D1973" s="9" t="n">
        <v>25</v>
      </c>
      <c r="E1973" s="16" t="inlineStr">
        <is>
          <t>R</t>
        </is>
      </c>
      <c r="F1973" s="16" t="n"/>
      <c r="G1973" s="9" t="n">
        <v>38.97435897435898</v>
      </c>
      <c r="H1973" s="9" t="n">
        <v>38.97435897435898</v>
      </c>
      <c r="I1973" s="9" t="inlineStr">
        <is>
          <t>Depth (no MLB PA)</t>
        </is>
      </c>
      <c r="J1973" s="16" t="inlineStr">
        <is>
          <t>Opening Day</t>
        </is>
      </c>
      <c r="K1973" s="11">
        <f>IFERROR(INDEX(Roles!$B$17:$B$20,MATCH(J1973,Roles!$A$17:$A$20,0)),1)</f>
        <v/>
      </c>
      <c r="L1973" s="17" t="n">
        <v>1</v>
      </c>
      <c r="M1973" s="11" t="n">
        <v>1</v>
      </c>
      <c r="N1973" s="17" t="n"/>
      <c r="O1973" s="17" t="n"/>
      <c r="P1973" s="17" t="n"/>
      <c r="Q1973" s="17" t="n"/>
      <c r="R1973" s="17" t="n"/>
      <c r="S1973" s="17" t="n"/>
      <c r="T1973" s="17" t="n"/>
      <c r="U1973" s="17" t="n"/>
      <c r="V1973" s="17" t="n"/>
      <c r="W1973" s="17" t="n"/>
      <c r="X1973" s="17" t="n"/>
      <c r="Y1973" s="17" t="n">
        <v>1</v>
      </c>
      <c r="Z1973" s="13">
        <f>SUMPRODUCT(N1973:Y1973,$N$2:$Y$2)*$K1973*$L1973*$M1973</f>
        <v/>
      </c>
      <c r="AA1973" s="14">
        <f>SUM(N1973:Y1973)</f>
        <v/>
      </c>
      <c r="AB1973" s="14">
        <f>IFERROR(IF(UPPER($E1973)="L",SUMPRODUCT(N1973:Y1973,$N$3:$Y$3,$N$2:$Y$2),SUMPRODUCT(N1973:Y1973,$N$4:$Y$4,$N$2:$Y$2))/(Z1973/($K1973*$L1973*$M1973)),"")</f>
        <v/>
      </c>
      <c r="AC1973" s="18" t="n"/>
    </row>
    <row r="1974">
      <c r="A1974" s="9" t="n">
        <v>829037</v>
      </c>
      <c r="B1974" s="9" t="inlineStr">
        <is>
          <t>Kevin Alvarez</t>
        </is>
      </c>
      <c r="C1974" s="9" t="inlineStr">
        <is>
          <t>HOU</t>
        </is>
      </c>
      <c r="D1974" s="9" t="n">
        <v>19</v>
      </c>
      <c r="E1974" s="16" t="inlineStr">
        <is>
          <t>L</t>
        </is>
      </c>
      <c r="F1974" s="16" t="n"/>
      <c r="G1974" s="9" t="n">
        <v>53.04615384615384</v>
      </c>
      <c r="H1974" s="9" t="n">
        <v>53.04615384615384</v>
      </c>
      <c r="I1974" s="9" t="inlineStr">
        <is>
          <t>Depth (no MLB PA)</t>
        </is>
      </c>
      <c r="J1974" s="16" t="inlineStr">
        <is>
          <t>Opening Day</t>
        </is>
      </c>
      <c r="K1974" s="11">
        <f>IFERROR(INDEX(Roles!$B$17:$B$20,MATCH(J1974,Roles!$A$17:$A$20,0)),1)</f>
        <v/>
      </c>
      <c r="L1974" s="17" t="n">
        <v>1</v>
      </c>
      <c r="M1974" s="11" t="n">
        <v>1</v>
      </c>
      <c r="N1974" s="17" t="n"/>
      <c r="O1974" s="17" t="n"/>
      <c r="P1974" s="17" t="n"/>
      <c r="Q1974" s="17" t="n"/>
      <c r="R1974" s="17" t="n"/>
      <c r="S1974" s="17" t="n"/>
      <c r="T1974" s="17" t="n"/>
      <c r="U1974" s="17" t="n"/>
      <c r="V1974" s="17" t="n"/>
      <c r="W1974" s="17" t="n"/>
      <c r="X1974" s="17" t="n"/>
      <c r="Y1974" s="17" t="n">
        <v>1</v>
      </c>
      <c r="Z1974" s="13">
        <f>SUMPRODUCT(N1974:Y1974,$N$2:$Y$2)*$K1974*$L1974*$M1974</f>
        <v/>
      </c>
      <c r="AA1974" s="14">
        <f>SUM(N1974:Y1974)</f>
        <v/>
      </c>
      <c r="AB1974" s="14">
        <f>IFERROR(IF(UPPER($E1974)="L",SUMPRODUCT(N1974:Y1974,$N$3:$Y$3,$N$2:$Y$2),SUMPRODUCT(N1974:Y1974,$N$4:$Y$4,$N$2:$Y$2))/(Z1974/($K1974*$L1974*$M1974)),"")</f>
        <v/>
      </c>
      <c r="AC1974" s="18" t="n"/>
    </row>
    <row r="1975">
      <c r="A1975" s="9" t="n">
        <v>663845</v>
      </c>
      <c r="B1975" s="9" t="inlineStr">
        <is>
          <t>Alfonso Rivas III</t>
        </is>
      </c>
      <c r="C1975" s="9" t="inlineStr">
        <is>
          <t>PIT</t>
        </is>
      </c>
      <c r="D1975" s="9" t="n">
        <v>30</v>
      </c>
      <c r="E1975" s="16" t="inlineStr">
        <is>
          <t>L</t>
        </is>
      </c>
      <c r="F1975" s="16" t="inlineStr">
        <is>
          <t>1B</t>
        </is>
      </c>
      <c r="G1975" s="9" t="n">
        <v>123</v>
      </c>
      <c r="H1975" s="9" t="n">
        <v>410</v>
      </c>
      <c r="I1975" s="9" t="inlineStr">
        <is>
          <t>Depth (no MLB PA)</t>
        </is>
      </c>
      <c r="J1975" s="16" t="inlineStr">
        <is>
          <t>Opening Day</t>
        </is>
      </c>
      <c r="K1975" s="11">
        <f>IFERROR(INDEX(Roles!$B$17:$B$20,MATCH(J1975,Roles!$A$17:$A$20,0)),1)</f>
        <v/>
      </c>
      <c r="L1975" s="17" t="n">
        <v>1</v>
      </c>
      <c r="M1975" s="11" t="n">
        <v>1</v>
      </c>
      <c r="N1975" s="17" t="n"/>
      <c r="O1975" s="17" t="n"/>
      <c r="P1975" s="17" t="n"/>
      <c r="Q1975" s="17" t="n"/>
      <c r="R1975" s="17" t="n"/>
      <c r="S1975" s="17" t="n"/>
      <c r="T1975" s="17" t="n"/>
      <c r="U1975" s="17" t="n"/>
      <c r="V1975" s="17" t="n"/>
      <c r="W1975" s="17" t="n"/>
      <c r="X1975" s="17" t="n"/>
      <c r="Y1975" s="17" t="n">
        <v>1</v>
      </c>
      <c r="Z1975" s="13">
        <f>SUMPRODUCT(N1975:Y1975,$N$2:$Y$2)*$K1975*$L1975*$M1975</f>
        <v/>
      </c>
      <c r="AA1975" s="14">
        <f>SUM(N1975:Y1975)</f>
        <v/>
      </c>
      <c r="AB1975" s="14">
        <f>IFERROR(IF(UPPER($E1975)="L",SUMPRODUCT(N1975:Y1975,$N$3:$Y$3,$N$2:$Y$2),SUMPRODUCT(N1975:Y1975,$N$4:$Y$4,$N$2:$Y$2))/(Z1975/($K1975*$L1975*$M1975)),"")</f>
        <v/>
      </c>
      <c r="AC1975" s="18" t="n"/>
    </row>
    <row r="1976">
      <c r="A1976" s="9" t="n">
        <v>808223</v>
      </c>
      <c r="B1976" s="9" t="inlineStr">
        <is>
          <t>Javier Herrera</t>
        </is>
      </c>
      <c r="C1976" s="9" t="inlineStr">
        <is>
          <t>LAD</t>
        </is>
      </c>
      <c r="D1976" s="9" t="n">
        <v>25</v>
      </c>
      <c r="E1976" s="16" t="inlineStr">
        <is>
          <t>S</t>
        </is>
      </c>
      <c r="F1976" s="16" t="n"/>
      <c r="G1976" s="9" t="n">
        <v>33.10769230769231</v>
      </c>
      <c r="H1976" s="9" t="n">
        <v>33.10769230769231</v>
      </c>
      <c r="I1976" s="9" t="inlineStr">
        <is>
          <t>Depth (no MLB PA)</t>
        </is>
      </c>
      <c r="J1976" s="16" t="inlineStr">
        <is>
          <t>Opening Day</t>
        </is>
      </c>
      <c r="K1976" s="11">
        <f>IFERROR(INDEX(Roles!$B$17:$B$20,MATCH(J1976,Roles!$A$17:$A$20,0)),1)</f>
        <v/>
      </c>
      <c r="L1976" s="17" t="n">
        <v>1</v>
      </c>
      <c r="M1976" s="11" t="n">
        <v>1</v>
      </c>
      <c r="N1976" s="17" t="n"/>
      <c r="O1976" s="17" t="n"/>
      <c r="P1976" s="17" t="n"/>
      <c r="Q1976" s="17" t="n"/>
      <c r="R1976" s="17" t="n"/>
      <c r="S1976" s="17" t="n"/>
      <c r="T1976" s="17" t="n"/>
      <c r="U1976" s="17" t="n"/>
      <c r="V1976" s="17" t="n"/>
      <c r="W1976" s="17" t="n"/>
      <c r="X1976" s="17" t="n"/>
      <c r="Y1976" s="17" t="n">
        <v>1</v>
      </c>
      <c r="Z1976" s="13">
        <f>SUMPRODUCT(N1976:Y1976,$N$2:$Y$2)*$K1976*$L1976*$M1976</f>
        <v/>
      </c>
      <c r="AA1976" s="14">
        <f>SUM(N1976:Y1976)</f>
        <v/>
      </c>
      <c r="AB1976" s="14">
        <f>IFERROR(IF(UPPER($E1976)="L",SUMPRODUCT(N1976:Y1976,$N$3:$Y$3,$N$2:$Y$2),SUMPRODUCT(N1976:Y1976,$N$4:$Y$4,$N$2:$Y$2))/(Z1976/($K1976*$L1976*$M1976)),"")</f>
        <v/>
      </c>
      <c r="AC1976" s="18" t="n"/>
    </row>
    <row r="1977">
      <c r="A1977" s="9" t="n">
        <v>808903</v>
      </c>
      <c r="B1977" s="9" t="inlineStr">
        <is>
          <t>Emilio Barreras</t>
        </is>
      </c>
      <c r="C1977" s="9" t="inlineStr">
        <is>
          <t>MIA</t>
        </is>
      </c>
      <c r="D1977" s="9" t="n">
        <v>25</v>
      </c>
      <c r="E1977" s="16" t="inlineStr">
        <is>
          <t>L</t>
        </is>
      </c>
      <c r="F1977" s="16" t="n"/>
      <c r="G1977" s="9" t="n">
        <v>45.94871794871796</v>
      </c>
      <c r="H1977" s="9" t="n">
        <v>45.94871794871796</v>
      </c>
      <c r="I1977" s="9" t="inlineStr">
        <is>
          <t>Depth (no MLB PA)</t>
        </is>
      </c>
      <c r="J1977" s="16" t="inlineStr">
        <is>
          <t>Opening Day</t>
        </is>
      </c>
      <c r="K1977" s="11">
        <f>IFERROR(INDEX(Roles!$B$17:$B$20,MATCH(J1977,Roles!$A$17:$A$20,0)),1)</f>
        <v/>
      </c>
      <c r="L1977" s="17" t="n">
        <v>1</v>
      </c>
      <c r="M1977" s="11" t="n">
        <v>1</v>
      </c>
      <c r="N1977" s="17" t="n"/>
      <c r="O1977" s="17" t="n"/>
      <c r="P1977" s="17" t="n"/>
      <c r="Q1977" s="17" t="n"/>
      <c r="R1977" s="17" t="n"/>
      <c r="S1977" s="17" t="n"/>
      <c r="T1977" s="17" t="n"/>
      <c r="U1977" s="17" t="n"/>
      <c r="V1977" s="17" t="n"/>
      <c r="W1977" s="17" t="n"/>
      <c r="X1977" s="17" t="n"/>
      <c r="Y1977" s="17" t="n">
        <v>1</v>
      </c>
      <c r="Z1977" s="13">
        <f>SUMPRODUCT(N1977:Y1977,$N$2:$Y$2)*$K1977*$L1977*$M1977</f>
        <v/>
      </c>
      <c r="AA1977" s="14">
        <f>SUM(N1977:Y1977)</f>
        <v/>
      </c>
      <c r="AB1977" s="14">
        <f>IFERROR(IF(UPPER($E1977)="L",SUMPRODUCT(N1977:Y1977,$N$3:$Y$3,$N$2:$Y$2),SUMPRODUCT(N1977:Y1977,$N$4:$Y$4,$N$2:$Y$2))/(Z1977/($K1977*$L1977*$M1977)),"")</f>
        <v/>
      </c>
      <c r="AC1977" s="18" t="n"/>
    </row>
    <row r="1978">
      <c r="A1978" s="9" t="n">
        <v>821041</v>
      </c>
      <c r="B1978" s="9" t="inlineStr">
        <is>
          <t>Roldy Brito</t>
        </is>
      </c>
      <c r="C1978" s="9" t="inlineStr">
        <is>
          <t>COL</t>
        </is>
      </c>
      <c r="D1978" s="9" t="n">
        <v>20</v>
      </c>
      <c r="E1978" s="16" t="inlineStr">
        <is>
          <t>S</t>
        </is>
      </c>
      <c r="F1978" s="16" t="n"/>
      <c r="G1978" s="9" t="n">
        <v>35.69230769230769</v>
      </c>
      <c r="H1978" s="9" t="n">
        <v>35.69230769230769</v>
      </c>
      <c r="I1978" s="9" t="inlineStr">
        <is>
          <t>Depth (no MLB PA)</t>
        </is>
      </c>
      <c r="J1978" s="16" t="inlineStr">
        <is>
          <t>Opening Day</t>
        </is>
      </c>
      <c r="K1978" s="11">
        <f>IFERROR(INDEX(Roles!$B$17:$B$20,MATCH(J1978,Roles!$A$17:$A$20,0)),1)</f>
        <v/>
      </c>
      <c r="L1978" s="17" t="n">
        <v>1</v>
      </c>
      <c r="M1978" s="11" t="n">
        <v>1</v>
      </c>
      <c r="N1978" s="17" t="n"/>
      <c r="O1978" s="17" t="n"/>
      <c r="P1978" s="17" t="n"/>
      <c r="Q1978" s="17" t="n"/>
      <c r="R1978" s="17" t="n"/>
      <c r="S1978" s="17" t="n"/>
      <c r="T1978" s="17" t="n"/>
      <c r="U1978" s="17" t="n"/>
      <c r="V1978" s="17" t="n"/>
      <c r="W1978" s="17" t="n"/>
      <c r="X1978" s="17" t="n"/>
      <c r="Y1978" s="17" t="n">
        <v>1</v>
      </c>
      <c r="Z1978" s="13">
        <f>SUMPRODUCT(N1978:Y1978,$N$2:$Y$2)*$K1978*$L1978*$M1978</f>
        <v/>
      </c>
      <c r="AA1978" s="14">
        <f>SUM(N1978:Y1978)</f>
        <v/>
      </c>
      <c r="AB1978" s="14">
        <f>IFERROR(IF(UPPER($E1978)="L",SUMPRODUCT(N1978:Y1978,$N$3:$Y$3,$N$2:$Y$2),SUMPRODUCT(N1978:Y1978,$N$4:$Y$4,$N$2:$Y$2))/(Z1978/($K1978*$L1978*$M1978)),"")</f>
        <v/>
      </c>
      <c r="AC1978" s="18" t="n"/>
    </row>
    <row r="1979">
      <c r="A1979" s="9" t="n">
        <v>703563</v>
      </c>
      <c r="B1979" s="9" t="inlineStr">
        <is>
          <t>PJ Morlando</t>
        </is>
      </c>
      <c r="C1979" s="9" t="inlineStr">
        <is>
          <t>MIA</t>
        </is>
      </c>
      <c r="D1979" s="9" t="n">
        <v>25</v>
      </c>
      <c r="E1979" s="16" t="inlineStr">
        <is>
          <t>L</t>
        </is>
      </c>
      <c r="F1979" s="16" t="n"/>
      <c r="G1979" s="9" t="n">
        <v>46.03076923076923</v>
      </c>
      <c r="H1979" s="9" t="n">
        <v>46.03076923076923</v>
      </c>
      <c r="I1979" s="9" t="inlineStr">
        <is>
          <t>Depth (no MLB PA)</t>
        </is>
      </c>
      <c r="J1979" s="16" t="inlineStr">
        <is>
          <t>Opening Day</t>
        </is>
      </c>
      <c r="K1979" s="11">
        <f>IFERROR(INDEX(Roles!$B$17:$B$20,MATCH(J1979,Roles!$A$17:$A$20,0)),1)</f>
        <v/>
      </c>
      <c r="L1979" s="17" t="n">
        <v>1</v>
      </c>
      <c r="M1979" s="11" t="n">
        <v>1</v>
      </c>
      <c r="N1979" s="17" t="n"/>
      <c r="O1979" s="17" t="n"/>
      <c r="P1979" s="17" t="n"/>
      <c r="Q1979" s="17" t="n"/>
      <c r="R1979" s="17" t="n"/>
      <c r="S1979" s="17" t="n"/>
      <c r="T1979" s="17" t="n"/>
      <c r="U1979" s="17" t="n"/>
      <c r="V1979" s="17" t="n"/>
      <c r="W1979" s="17" t="n"/>
      <c r="X1979" s="17" t="n"/>
      <c r="Y1979" s="17" t="n">
        <v>1</v>
      </c>
      <c r="Z1979" s="13">
        <f>SUMPRODUCT(N1979:Y1979,$N$2:$Y$2)*$K1979*$L1979*$M1979</f>
        <v/>
      </c>
      <c r="AA1979" s="14">
        <f>SUM(N1979:Y1979)</f>
        <v/>
      </c>
      <c r="AB1979" s="14">
        <f>IFERROR(IF(UPPER($E1979)="L",SUMPRODUCT(N1979:Y1979,$N$3:$Y$3,$N$2:$Y$2),SUMPRODUCT(N1979:Y1979,$N$4:$Y$4,$N$2:$Y$2))/(Z1979/($K1979*$L1979*$M1979)),"")</f>
        <v/>
      </c>
      <c r="AC1979" s="18" t="n"/>
    </row>
    <row r="1980">
      <c r="A1980" s="9" t="n">
        <v>701805</v>
      </c>
      <c r="B1980" s="9" t="inlineStr">
        <is>
          <t>Josh Caron</t>
        </is>
      </c>
      <c r="C1980" s="9" t="inlineStr">
        <is>
          <t>SEA</t>
        </is>
      </c>
      <c r="D1980" s="9" t="n">
        <v>25</v>
      </c>
      <c r="E1980" s="16" t="inlineStr">
        <is>
          <t>R</t>
        </is>
      </c>
      <c r="F1980" s="16" t="n"/>
      <c r="G1980" s="9" t="n">
        <v>53.12820512820512</v>
      </c>
      <c r="H1980" s="9" t="n">
        <v>53.12820512820512</v>
      </c>
      <c r="I1980" s="9" t="inlineStr">
        <is>
          <t>Depth (no MLB PA)</t>
        </is>
      </c>
      <c r="J1980" s="16" t="inlineStr">
        <is>
          <t>Opening Day</t>
        </is>
      </c>
      <c r="K1980" s="11">
        <f>IFERROR(INDEX(Roles!$B$17:$B$20,MATCH(J1980,Roles!$A$17:$A$20,0)),1)</f>
        <v/>
      </c>
      <c r="L1980" s="17" t="n">
        <v>1</v>
      </c>
      <c r="M1980" s="11" t="n">
        <v>1</v>
      </c>
      <c r="N1980" s="17" t="n"/>
      <c r="O1980" s="17" t="n"/>
      <c r="P1980" s="17" t="n"/>
      <c r="Q1980" s="17" t="n"/>
      <c r="R1980" s="17" t="n"/>
      <c r="S1980" s="17" t="n"/>
      <c r="T1980" s="17" t="n"/>
      <c r="U1980" s="17" t="n"/>
      <c r="V1980" s="17" t="n"/>
      <c r="W1980" s="17" t="n"/>
      <c r="X1980" s="17" t="n"/>
      <c r="Y1980" s="17" t="n">
        <v>1</v>
      </c>
      <c r="Z1980" s="13">
        <f>SUMPRODUCT(N1980:Y1980,$N$2:$Y$2)*$K1980*$L1980*$M1980</f>
        <v/>
      </c>
      <c r="AA1980" s="14">
        <f>SUM(N1980:Y1980)</f>
        <v/>
      </c>
      <c r="AB1980" s="14">
        <f>IFERROR(IF(UPPER($E1980)="L",SUMPRODUCT(N1980:Y1980,$N$3:$Y$3,$N$2:$Y$2),SUMPRODUCT(N1980:Y1980,$N$4:$Y$4,$N$2:$Y$2))/(Z1980/($K1980*$L1980*$M1980)),"")</f>
        <v/>
      </c>
      <c r="AC1980" s="18" t="n"/>
    </row>
    <row r="1981">
      <c r="A1981" s="9" t="n">
        <v>671286</v>
      </c>
      <c r="B1981" s="9" t="inlineStr">
        <is>
          <t>Johnathan Rodríguez</t>
        </is>
      </c>
      <c r="C1981" s="9" t="inlineStr">
        <is>
          <t>CLE</t>
        </is>
      </c>
      <c r="D1981" s="9" t="n">
        <v>27</v>
      </c>
      <c r="E1981" s="16" t="inlineStr">
        <is>
          <t>R</t>
        </is>
      </c>
      <c r="F1981" s="16" t="inlineStr">
        <is>
          <t>RF</t>
        </is>
      </c>
      <c r="G1981" s="9" t="n">
        <v>15</v>
      </c>
      <c r="H1981" s="9" t="n">
        <v>132</v>
      </c>
      <c r="I1981" s="9" t="inlineStr">
        <is>
          <t>Weak Side Platoon</t>
        </is>
      </c>
      <c r="J1981" s="16" t="inlineStr">
        <is>
          <t>Opening Day</t>
        </is>
      </c>
      <c r="K1981" s="11">
        <f>IFERROR(INDEX(Roles!$B$17:$B$20,MATCH(J1981,Roles!$A$17:$A$20,0)),1)</f>
        <v/>
      </c>
      <c r="L1981" s="17" t="n">
        <v>1</v>
      </c>
      <c r="M1981" s="11" t="n">
        <v>1</v>
      </c>
      <c r="N1981" s="17" t="n"/>
      <c r="O1981" s="17" t="n"/>
      <c r="P1981" s="17" t="n"/>
      <c r="Q1981" s="17" t="n">
        <v>1</v>
      </c>
      <c r="R1981" s="17" t="n"/>
      <c r="S1981" s="17" t="n"/>
      <c r="T1981" s="17" t="n"/>
      <c r="U1981" s="17" t="n"/>
      <c r="V1981" s="17" t="n"/>
      <c r="W1981" s="17" t="n"/>
      <c r="X1981" s="17" t="n"/>
      <c r="Y1981" s="17" t="n"/>
      <c r="Z1981" s="13">
        <f>SUMPRODUCT(N1981:Y1981,$N$2:$Y$2)*$K1981*$L1981*$M1981</f>
        <v/>
      </c>
      <c r="AA1981" s="14">
        <f>SUM(N1981:Y1981)</f>
        <v/>
      </c>
      <c r="AB1981" s="14">
        <f>IFERROR(IF(UPPER($E1981)="L",SUMPRODUCT(N1981:Y1981,$N$3:$Y$3,$N$2:$Y$2),SUMPRODUCT(N1981:Y1981,$N$4:$Y$4,$N$2:$Y$2))/(Z1981/($K1981*$L1981*$M1981)),"")</f>
        <v/>
      </c>
      <c r="AC1981" s="18" t="n"/>
    </row>
    <row r="1982">
      <c r="A1982" s="9" t="n">
        <v>814172</v>
      </c>
      <c r="B1982" s="9" t="inlineStr">
        <is>
          <t>Chase Jaworsky</t>
        </is>
      </c>
      <c r="C1982" s="9" t="inlineStr">
        <is>
          <t>MIA</t>
        </is>
      </c>
      <c r="D1982" s="9" t="n">
        <v>25</v>
      </c>
      <c r="E1982" s="16" t="inlineStr">
        <is>
          <t>L</t>
        </is>
      </c>
      <c r="F1982" s="16" t="n"/>
      <c r="G1982" s="9" t="n">
        <v>54.15384615384616</v>
      </c>
      <c r="H1982" s="9" t="n">
        <v>54.15384615384616</v>
      </c>
      <c r="I1982" s="9" t="inlineStr">
        <is>
          <t>Depth (no MLB PA)</t>
        </is>
      </c>
      <c r="J1982" s="16" t="inlineStr">
        <is>
          <t>Opening Day</t>
        </is>
      </c>
      <c r="K1982" s="11">
        <f>IFERROR(INDEX(Roles!$B$17:$B$20,MATCH(J1982,Roles!$A$17:$A$20,0)),1)</f>
        <v/>
      </c>
      <c r="L1982" s="17" t="n">
        <v>1</v>
      </c>
      <c r="M1982" s="11" t="n">
        <v>1</v>
      </c>
      <c r="N1982" s="17" t="n"/>
      <c r="O1982" s="17" t="n"/>
      <c r="P1982" s="17" t="n"/>
      <c r="Q1982" s="17" t="n"/>
      <c r="R1982" s="17" t="n"/>
      <c r="S1982" s="17" t="n"/>
      <c r="T1982" s="17" t="n"/>
      <c r="U1982" s="17" t="n"/>
      <c r="V1982" s="17" t="n"/>
      <c r="W1982" s="17" t="n"/>
      <c r="X1982" s="17" t="n"/>
      <c r="Y1982" s="17" t="n">
        <v>1</v>
      </c>
      <c r="Z1982" s="13">
        <f>SUMPRODUCT(N1982:Y1982,$N$2:$Y$2)*$K1982*$L1982*$M1982</f>
        <v/>
      </c>
      <c r="AA1982" s="14">
        <f>SUM(N1982:Y1982)</f>
        <v/>
      </c>
      <c r="AB1982" s="14">
        <f>IFERROR(IF(UPPER($E1982)="L",SUMPRODUCT(N1982:Y1982,$N$3:$Y$3,$N$2:$Y$2),SUMPRODUCT(N1982:Y1982,$N$4:$Y$4,$N$2:$Y$2))/(Z1982/($K1982*$L1982*$M1982)),"")</f>
        <v/>
      </c>
      <c r="AC1982" s="18" t="n"/>
    </row>
    <row r="1983">
      <c r="A1983" s="9" t="n">
        <v>692591</v>
      </c>
      <c r="B1983" s="9" t="inlineStr">
        <is>
          <t>Luis Mendez</t>
        </is>
      </c>
      <c r="C1983" s="9" t="inlineStr">
        <is>
          <t>COL</t>
        </is>
      </c>
      <c r="D1983" s="9" t="n">
        <v>25</v>
      </c>
      <c r="E1983" s="16" t="inlineStr">
        <is>
          <t>L</t>
        </is>
      </c>
      <c r="F1983" s="16" t="n"/>
      <c r="G1983" s="9" t="n">
        <v>31.38461538461538</v>
      </c>
      <c r="H1983" s="9" t="n">
        <v>31.38461538461538</v>
      </c>
      <c r="I1983" s="9" t="inlineStr">
        <is>
          <t>Depth (no MLB PA)</t>
        </is>
      </c>
      <c r="J1983" s="16" t="inlineStr">
        <is>
          <t>Opening Day</t>
        </is>
      </c>
      <c r="K1983" s="11">
        <f>IFERROR(INDEX(Roles!$B$17:$B$20,MATCH(J1983,Roles!$A$17:$A$20,0)),1)</f>
        <v/>
      </c>
      <c r="L1983" s="17" t="n">
        <v>1</v>
      </c>
      <c r="M1983" s="11" t="n">
        <v>1</v>
      </c>
      <c r="N1983" s="17" t="n"/>
      <c r="O1983" s="17" t="n"/>
      <c r="P1983" s="17" t="n"/>
      <c r="Q1983" s="17" t="n"/>
      <c r="R1983" s="17" t="n"/>
      <c r="S1983" s="17" t="n"/>
      <c r="T1983" s="17" t="n"/>
      <c r="U1983" s="17" t="n"/>
      <c r="V1983" s="17" t="n"/>
      <c r="W1983" s="17" t="n"/>
      <c r="X1983" s="17" t="n"/>
      <c r="Y1983" s="17" t="n">
        <v>1</v>
      </c>
      <c r="Z1983" s="13">
        <f>SUMPRODUCT(N1983:Y1983,$N$2:$Y$2)*$K1983*$L1983*$M1983</f>
        <v/>
      </c>
      <c r="AA1983" s="14">
        <f>SUM(N1983:Y1983)</f>
        <v/>
      </c>
      <c r="AB1983" s="14">
        <f>IFERROR(IF(UPPER($E1983)="L",SUMPRODUCT(N1983:Y1983,$N$3:$Y$3,$N$2:$Y$2),SUMPRODUCT(N1983:Y1983,$N$4:$Y$4,$N$2:$Y$2))/(Z1983/($K1983*$L1983*$M1983)),"")</f>
        <v/>
      </c>
      <c r="AC1983" s="18" t="n"/>
    </row>
    <row r="1984">
      <c r="A1984" s="9" t="n">
        <v>690993</v>
      </c>
      <c r="B1984" s="9" t="inlineStr">
        <is>
          <t>Colt Keith</t>
        </is>
      </c>
      <c r="C1984" s="9" t="inlineStr">
        <is>
          <t>DET</t>
        </is>
      </c>
      <c r="D1984" s="9" t="n">
        <v>25</v>
      </c>
      <c r="E1984" s="16" t="inlineStr">
        <is>
          <t>L</t>
        </is>
      </c>
      <c r="F1984" s="16" t="inlineStr">
        <is>
          <t>3B</t>
        </is>
      </c>
      <c r="G1984" s="9" t="n">
        <v>423</v>
      </c>
      <c r="H1984" s="9" t="n">
        <v>1447</v>
      </c>
      <c r="I1984" s="9" t="inlineStr">
        <is>
          <t>Bench Bat</t>
        </is>
      </c>
      <c r="J1984" s="16" t="inlineStr">
        <is>
          <t>Opening Day</t>
        </is>
      </c>
      <c r="K1984" s="11">
        <f>IFERROR(INDEX(Roles!$B$17:$B$20,MATCH(J1984,Roles!$A$17:$A$20,0)),1)</f>
        <v/>
      </c>
      <c r="L1984" s="17" t="n">
        <v>1</v>
      </c>
      <c r="M1984" s="11" t="n">
        <v>1.15</v>
      </c>
      <c r="N1984" s="17" t="n"/>
      <c r="O1984" s="17" t="n"/>
      <c r="P1984" s="17" t="n"/>
      <c r="Q1984" s="17" t="n"/>
      <c r="R1984" s="17" t="n"/>
      <c r="S1984" s="17" t="n"/>
      <c r="T1984" s="17" t="n"/>
      <c r="U1984" s="17" t="n">
        <v>0.4</v>
      </c>
      <c r="V1984" s="17" t="n"/>
      <c r="W1984" s="17" t="n">
        <v>0.6</v>
      </c>
      <c r="X1984" s="17" t="n"/>
      <c r="Y1984" s="17" t="n"/>
      <c r="Z1984" s="13">
        <f>SUMPRODUCT(N1984:Y1984,$N$2:$Y$2)*$K1984*$L1984*$M1984</f>
        <v/>
      </c>
      <c r="AA1984" s="14">
        <f>SUM(N1984:Y1984)</f>
        <v/>
      </c>
      <c r="AB1984" s="14">
        <f>IFERROR(IF(UPPER($E1984)="L",SUMPRODUCT(N1984:Y1984,$N$3:$Y$3,$N$2:$Y$2),SUMPRODUCT(N1984:Y1984,$N$4:$Y$4,$N$2:$Y$2))/(Z1984/($K1984*$L1984*$M1984)),"")</f>
        <v/>
      </c>
      <c r="AC1984" s="18" t="n"/>
    </row>
    <row r="1985">
      <c r="A1985" s="9" t="n">
        <v>800492</v>
      </c>
      <c r="B1985" s="9" t="inlineStr">
        <is>
          <t>Roni Cabrera</t>
        </is>
      </c>
      <c r="C1985" s="9" t="inlineStr">
        <is>
          <t>KC</t>
        </is>
      </c>
      <c r="D1985" s="9" t="n">
        <v>25</v>
      </c>
      <c r="E1985" s="16" t="inlineStr">
        <is>
          <t>R</t>
        </is>
      </c>
      <c r="F1985" s="16" t="n"/>
      <c r="G1985" s="9" t="n">
        <v>46.4</v>
      </c>
      <c r="H1985" s="9" t="n">
        <v>46.4</v>
      </c>
      <c r="I1985" s="9" t="inlineStr">
        <is>
          <t>Depth (no MLB PA)</t>
        </is>
      </c>
      <c r="J1985" s="16" t="inlineStr">
        <is>
          <t>Opening Day</t>
        </is>
      </c>
      <c r="K1985" s="11">
        <f>IFERROR(INDEX(Roles!$B$17:$B$20,MATCH(J1985,Roles!$A$17:$A$20,0)),1)</f>
        <v/>
      </c>
      <c r="L1985" s="17" t="n">
        <v>1</v>
      </c>
      <c r="M1985" s="11" t="n">
        <v>1</v>
      </c>
      <c r="N1985" s="17" t="n"/>
      <c r="O1985" s="17" t="n"/>
      <c r="P1985" s="17" t="n"/>
      <c r="Q1985" s="17" t="n"/>
      <c r="R1985" s="17" t="n"/>
      <c r="S1985" s="17" t="n"/>
      <c r="T1985" s="17" t="n"/>
      <c r="U1985" s="17" t="n"/>
      <c r="V1985" s="17" t="n"/>
      <c r="W1985" s="17" t="n"/>
      <c r="X1985" s="17" t="n"/>
      <c r="Y1985" s="17" t="n">
        <v>1</v>
      </c>
      <c r="Z1985" s="13">
        <f>SUMPRODUCT(N1985:Y1985,$N$2:$Y$2)*$K1985*$L1985*$M1985</f>
        <v/>
      </c>
      <c r="AA1985" s="14">
        <f>SUM(N1985:Y1985)</f>
        <v/>
      </c>
      <c r="AB1985" s="14">
        <f>IFERROR(IF(UPPER($E1985)="L",SUMPRODUCT(N1985:Y1985,$N$3:$Y$3,$N$2:$Y$2),SUMPRODUCT(N1985:Y1985,$N$4:$Y$4,$N$2:$Y$2))/(Z1985/($K1985*$L1985*$M1985)),"")</f>
        <v/>
      </c>
      <c r="AC1985" s="18" t="n"/>
    </row>
    <row r="1986">
      <c r="A1986" s="9" t="n">
        <v>800683</v>
      </c>
      <c r="B1986" s="9" t="inlineStr">
        <is>
          <t>Blake Rambusch</t>
        </is>
      </c>
      <c r="C1986" s="9" t="inlineStr">
        <is>
          <t>SEA</t>
        </is>
      </c>
      <c r="D1986" s="9" t="n">
        <v>25</v>
      </c>
      <c r="E1986" s="16" t="inlineStr">
        <is>
          <t>R</t>
        </is>
      </c>
      <c r="F1986" s="16" t="n"/>
      <c r="G1986" s="9" t="n">
        <v>45.12820512820514</v>
      </c>
      <c r="H1986" s="9" t="n">
        <v>45.12820512820514</v>
      </c>
      <c r="I1986" s="9" t="inlineStr">
        <is>
          <t>Depth (no MLB PA)</t>
        </is>
      </c>
      <c r="J1986" s="16" t="inlineStr">
        <is>
          <t>Opening Day</t>
        </is>
      </c>
      <c r="K1986" s="11">
        <f>IFERROR(INDEX(Roles!$B$17:$B$20,MATCH(J1986,Roles!$A$17:$A$20,0)),1)</f>
        <v/>
      </c>
      <c r="L1986" s="17" t="n">
        <v>1</v>
      </c>
      <c r="M1986" s="11" t="n">
        <v>1</v>
      </c>
      <c r="N1986" s="17" t="n"/>
      <c r="O1986" s="17" t="n"/>
      <c r="P1986" s="17" t="n"/>
      <c r="Q1986" s="17" t="n"/>
      <c r="R1986" s="17" t="n"/>
      <c r="S1986" s="17" t="n"/>
      <c r="T1986" s="17" t="n"/>
      <c r="U1986" s="17" t="n"/>
      <c r="V1986" s="17" t="n"/>
      <c r="W1986" s="17" t="n"/>
      <c r="X1986" s="17" t="n"/>
      <c r="Y1986" s="17" t="n">
        <v>1</v>
      </c>
      <c r="Z1986" s="13">
        <f>SUMPRODUCT(N1986:Y1986,$N$2:$Y$2)*$K1986*$L1986*$M1986</f>
        <v/>
      </c>
      <c r="AA1986" s="14">
        <f>SUM(N1986:Y1986)</f>
        <v/>
      </c>
      <c r="AB1986" s="14">
        <f>IFERROR(IF(UPPER($E1986)="L",SUMPRODUCT(N1986:Y1986,$N$3:$Y$3,$N$2:$Y$2),SUMPRODUCT(N1986:Y1986,$N$4:$Y$4,$N$2:$Y$2))/(Z1986/($K1986*$L1986*$M1986)),"")</f>
        <v/>
      </c>
      <c r="AC1986" s="18" t="n"/>
    </row>
    <row r="1987">
      <c r="A1987" s="9" t="n">
        <v>802469</v>
      </c>
      <c r="B1987" s="9" t="inlineStr">
        <is>
          <t>Travis Honeyman</t>
        </is>
      </c>
      <c r="C1987" s="9" t="inlineStr">
        <is>
          <t>STL</t>
        </is>
      </c>
      <c r="D1987" s="9" t="n">
        <v>25</v>
      </c>
      <c r="E1987" s="16" t="inlineStr">
        <is>
          <t>R</t>
        </is>
      </c>
      <c r="F1987" s="16" t="n"/>
      <c r="G1987" s="9" t="n">
        <v>103.7435897435897</v>
      </c>
      <c r="H1987" s="9" t="n">
        <v>103.7435897435897</v>
      </c>
      <c r="I1987" s="9" t="inlineStr">
        <is>
          <t>Depth (no MLB PA)</t>
        </is>
      </c>
      <c r="J1987" s="16" t="inlineStr">
        <is>
          <t>Opening Day</t>
        </is>
      </c>
      <c r="K1987" s="11">
        <f>IFERROR(INDEX(Roles!$B$17:$B$20,MATCH(J1987,Roles!$A$17:$A$20,0)),1)</f>
        <v/>
      </c>
      <c r="L1987" s="17" t="n">
        <v>1</v>
      </c>
      <c r="M1987" s="11" t="n">
        <v>1</v>
      </c>
      <c r="N1987" s="17" t="n"/>
      <c r="O1987" s="17" t="n"/>
      <c r="P1987" s="17" t="n"/>
      <c r="Q1987" s="17" t="n"/>
      <c r="R1987" s="17" t="n"/>
      <c r="S1987" s="17" t="n"/>
      <c r="T1987" s="17" t="n"/>
      <c r="U1987" s="17" t="n"/>
      <c r="V1987" s="17" t="n"/>
      <c r="W1987" s="17" t="n"/>
      <c r="X1987" s="17" t="n"/>
      <c r="Y1987" s="17" t="n">
        <v>1</v>
      </c>
      <c r="Z1987" s="13">
        <f>SUMPRODUCT(N1987:Y1987,$N$2:$Y$2)*$K1987*$L1987*$M1987</f>
        <v/>
      </c>
      <c r="AA1987" s="14">
        <f>SUM(N1987:Y1987)</f>
        <v/>
      </c>
      <c r="AB1987" s="14">
        <f>IFERROR(IF(UPPER($E1987)="L",SUMPRODUCT(N1987:Y1987,$N$3:$Y$3,$N$2:$Y$2),SUMPRODUCT(N1987:Y1987,$N$4:$Y$4,$N$2:$Y$2))/(Z1987/($K1987*$L1987*$M1987)),"")</f>
        <v/>
      </c>
      <c r="AC1987" s="18" t="n"/>
    </row>
    <row r="1988">
      <c r="A1988" s="9" t="n">
        <v>592663</v>
      </c>
      <c r="B1988" s="9" t="inlineStr">
        <is>
          <t>J.T. Realmuto</t>
        </is>
      </c>
      <c r="C1988" s="9" t="inlineStr">
        <is>
          <t>PHI</t>
        </is>
      </c>
      <c r="D1988" s="9" t="n">
        <v>36</v>
      </c>
      <c r="E1988" s="16" t="inlineStr">
        <is>
          <t>R</t>
        </is>
      </c>
      <c r="F1988" s="16" t="inlineStr">
        <is>
          <t>C</t>
        </is>
      </c>
      <c r="G1988" s="9" t="n">
        <v>467</v>
      </c>
      <c r="H1988" s="9" t="n">
        <v>2532</v>
      </c>
      <c r="I1988" s="9" t="inlineStr">
        <is>
          <t>Catcher - Primary</t>
        </is>
      </c>
      <c r="J1988" s="16" t="inlineStr">
        <is>
          <t>Opening Day</t>
        </is>
      </c>
      <c r="K1988" s="11">
        <f>IFERROR(INDEX(Roles!$B$17:$B$20,MATCH(J1988,Roles!$A$17:$A$20,0)),1)</f>
        <v/>
      </c>
      <c r="L1988" s="17" t="n">
        <v>1</v>
      </c>
      <c r="M1988" s="11" t="n">
        <v>1.064886482559112</v>
      </c>
      <c r="N1988" s="17" t="n"/>
      <c r="O1988" s="17" t="n"/>
      <c r="P1988" s="17" t="n"/>
      <c r="Q1988" s="17" t="n"/>
      <c r="R1988" s="17" t="n">
        <v>1</v>
      </c>
      <c r="S1988" s="17" t="n"/>
      <c r="T1988" s="17" t="n"/>
      <c r="U1988" s="17" t="n"/>
      <c r="V1988" s="17" t="n"/>
      <c r="W1988" s="17" t="n"/>
      <c r="X1988" s="17" t="n"/>
      <c r="Y1988" s="17" t="n"/>
      <c r="Z1988" s="13">
        <f>SUMPRODUCT(N1988:Y1988,$N$2:$Y$2)*$K1988*$L1988*$M1988</f>
        <v/>
      </c>
      <c r="AA1988" s="14">
        <f>SUM(N1988:Y1988)</f>
        <v/>
      </c>
      <c r="AB1988" s="14">
        <f>IFERROR(IF(UPPER($E1988)="L",SUMPRODUCT(N1988:Y1988,$N$3:$Y$3,$N$2:$Y$2),SUMPRODUCT(N1988:Y1988,$N$4:$Y$4,$N$2:$Y$2))/(Z1988/($K1988*$L1988*$M1988)),"")</f>
        <v/>
      </c>
      <c r="AC1988" s="18" t="n"/>
    </row>
    <row r="1989">
      <c r="A1989" s="9" t="n">
        <v>695930</v>
      </c>
      <c r="B1989" s="9" t="inlineStr">
        <is>
          <t>Frederick Bencosme</t>
        </is>
      </c>
      <c r="C1989" s="9" t="inlineStr">
        <is>
          <t>BAL</t>
        </is>
      </c>
      <c r="D1989" s="9" t="n">
        <v>25</v>
      </c>
      <c r="E1989" s="16" t="inlineStr">
        <is>
          <t>L</t>
        </is>
      </c>
      <c r="F1989" s="16" t="n"/>
      <c r="G1989" s="9" t="n">
        <v>151.1282051282051</v>
      </c>
      <c r="H1989" s="9" t="n">
        <v>151.1282051282051</v>
      </c>
      <c r="I1989" s="9" t="inlineStr">
        <is>
          <t>Depth (no MLB PA)</t>
        </is>
      </c>
      <c r="J1989" s="16" t="inlineStr">
        <is>
          <t>Opening Day</t>
        </is>
      </c>
      <c r="K1989" s="11">
        <f>IFERROR(INDEX(Roles!$B$17:$B$20,MATCH(J1989,Roles!$A$17:$A$20,0)),1)</f>
        <v/>
      </c>
      <c r="L1989" s="17" t="n">
        <v>1</v>
      </c>
      <c r="M1989" s="11" t="n">
        <v>1</v>
      </c>
      <c r="N1989" s="17" t="n"/>
      <c r="O1989" s="17" t="n"/>
      <c r="P1989" s="17" t="n"/>
      <c r="Q1989" s="17" t="n"/>
      <c r="R1989" s="17" t="n"/>
      <c r="S1989" s="17" t="n"/>
      <c r="T1989" s="17" t="n"/>
      <c r="U1989" s="17" t="n"/>
      <c r="V1989" s="17" t="n"/>
      <c r="W1989" s="17" t="n"/>
      <c r="X1989" s="17" t="n"/>
      <c r="Y1989" s="17" t="n">
        <v>1</v>
      </c>
      <c r="Z1989" s="13">
        <f>SUMPRODUCT(N1989:Y1989,$N$2:$Y$2)*$K1989*$L1989*$M1989</f>
        <v/>
      </c>
      <c r="AA1989" s="14">
        <f>SUM(N1989:Y1989)</f>
        <v/>
      </c>
      <c r="AB1989" s="14">
        <f>IFERROR(IF(UPPER($E1989)="L",SUMPRODUCT(N1989:Y1989,$N$3:$Y$3,$N$2:$Y$2),SUMPRODUCT(N1989:Y1989,$N$4:$Y$4,$N$2:$Y$2))/(Z1989/($K1989*$L1989*$M1989)),"")</f>
        <v/>
      </c>
      <c r="AC1989" s="18" t="n"/>
    </row>
    <row r="1990">
      <c r="A1990" s="9" t="n">
        <v>677565</v>
      </c>
      <c r="B1990" s="9" t="inlineStr">
        <is>
          <t>Kristian Robinson</t>
        </is>
      </c>
      <c r="C1990" s="9" t="inlineStr">
        <is>
          <t>ARI</t>
        </is>
      </c>
      <c r="D1990" s="9" t="n">
        <v>25</v>
      </c>
      <c r="E1990" s="16" t="inlineStr">
        <is>
          <t>R</t>
        </is>
      </c>
      <c r="F1990" s="16" t="n"/>
      <c r="G1990" s="9" t="n">
        <v>275.2820512820513</v>
      </c>
      <c r="H1990" s="9" t="n">
        <v>275.2820512820513</v>
      </c>
      <c r="I1990" s="9" t="inlineStr">
        <is>
          <t>Depth (no MLB PA)</t>
        </is>
      </c>
      <c r="J1990" s="16" t="inlineStr">
        <is>
          <t>Opening Day</t>
        </is>
      </c>
      <c r="K1990" s="11">
        <f>IFERROR(INDEX(Roles!$B$17:$B$20,MATCH(J1990,Roles!$A$17:$A$20,0)),1)</f>
        <v/>
      </c>
      <c r="L1990" s="17" t="n">
        <v>1</v>
      </c>
      <c r="M1990" s="11" t="n">
        <v>1</v>
      </c>
      <c r="N1990" s="17" t="n"/>
      <c r="O1990" s="17" t="n"/>
      <c r="P1990" s="17" t="n"/>
      <c r="Q1990" s="17" t="n"/>
      <c r="R1990" s="17" t="n"/>
      <c r="S1990" s="17" t="n"/>
      <c r="T1990" s="17" t="n"/>
      <c r="U1990" s="17" t="n"/>
      <c r="V1990" s="17" t="n"/>
      <c r="W1990" s="17" t="n"/>
      <c r="X1990" s="17" t="n"/>
      <c r="Y1990" s="17" t="n">
        <v>1</v>
      </c>
      <c r="Z1990" s="13">
        <f>SUMPRODUCT(N1990:Y1990,$N$2:$Y$2)*$K1990*$L1990*$M1990</f>
        <v/>
      </c>
      <c r="AA1990" s="14">
        <f>SUM(N1990:Y1990)</f>
        <v/>
      </c>
      <c r="AB1990" s="14">
        <f>IFERROR(IF(UPPER($E1990)="L",SUMPRODUCT(N1990:Y1990,$N$3:$Y$3,$N$2:$Y$2),SUMPRODUCT(N1990:Y1990,$N$4:$Y$4,$N$2:$Y$2))/(Z1990/($K1990*$L1990*$M1990)),"")</f>
        <v/>
      </c>
      <c r="AC1990" s="18" t="n"/>
    </row>
    <row r="1991">
      <c r="A1991" s="9" t="n">
        <v>666194</v>
      </c>
      <c r="B1991" s="9" t="inlineStr">
        <is>
          <t>Cooper Johnson</t>
        </is>
      </c>
      <c r="C1991" s="9" t="inlineStr">
        <is>
          <t>TEX</t>
        </is>
      </c>
      <c r="D1991" s="9" t="n">
        <v>25</v>
      </c>
      <c r="E1991" s="16" t="inlineStr">
        <is>
          <t>R</t>
        </is>
      </c>
      <c r="F1991" s="16" t="n"/>
      <c r="G1991" s="9" t="n">
        <v>194.0512820512821</v>
      </c>
      <c r="H1991" s="9" t="n">
        <v>194.0512820512821</v>
      </c>
      <c r="I1991" s="9" t="inlineStr">
        <is>
          <t>Depth (no MLB PA)</t>
        </is>
      </c>
      <c r="J1991" s="16" t="inlineStr">
        <is>
          <t>Opening Day</t>
        </is>
      </c>
      <c r="K1991" s="11">
        <f>IFERROR(INDEX(Roles!$B$17:$B$20,MATCH(J1991,Roles!$A$17:$A$20,0)),1)</f>
        <v/>
      </c>
      <c r="L1991" s="17" t="n">
        <v>1</v>
      </c>
      <c r="M1991" s="11" t="n">
        <v>1</v>
      </c>
      <c r="N1991" s="17" t="n"/>
      <c r="O1991" s="17" t="n"/>
      <c r="P1991" s="17" t="n"/>
      <c r="Q1991" s="17" t="n"/>
      <c r="R1991" s="17" t="n"/>
      <c r="S1991" s="17" t="n"/>
      <c r="T1991" s="17" t="n"/>
      <c r="U1991" s="17" t="n"/>
      <c r="V1991" s="17" t="n"/>
      <c r="W1991" s="17" t="n"/>
      <c r="X1991" s="17" t="n"/>
      <c r="Y1991" s="17" t="n">
        <v>1</v>
      </c>
      <c r="Z1991" s="13">
        <f>SUMPRODUCT(N1991:Y1991,$N$2:$Y$2)*$K1991*$L1991*$M1991</f>
        <v/>
      </c>
      <c r="AA1991" s="14">
        <f>SUM(N1991:Y1991)</f>
        <v/>
      </c>
      <c r="AB1991" s="14">
        <f>IFERROR(IF(UPPER($E1991)="L",SUMPRODUCT(N1991:Y1991,$N$3:$Y$3,$N$2:$Y$2),SUMPRODUCT(N1991:Y1991,$N$4:$Y$4,$N$2:$Y$2))/(Z1991/($K1991*$L1991*$M1991)),"")</f>
        <v/>
      </c>
      <c r="AC1991" s="18" t="n"/>
    </row>
    <row r="1992">
      <c r="A1992" s="9" t="n">
        <v>695048</v>
      </c>
      <c r="B1992" s="9" t="inlineStr">
        <is>
          <t>Garret Guillemette</t>
        </is>
      </c>
      <c r="C1992" s="9" t="inlineStr">
        <is>
          <t>HOU</t>
        </is>
      </c>
      <c r="D1992" s="9" t="n">
        <v>25</v>
      </c>
      <c r="E1992" s="16" t="inlineStr">
        <is>
          <t>R</t>
        </is>
      </c>
      <c r="F1992" s="16" t="n"/>
      <c r="G1992" s="9" t="n">
        <v>42.87179487179488</v>
      </c>
      <c r="H1992" s="9" t="n">
        <v>42.87179487179488</v>
      </c>
      <c r="I1992" s="9" t="inlineStr">
        <is>
          <t>Depth (no MLB PA)</t>
        </is>
      </c>
      <c r="J1992" s="16" t="inlineStr">
        <is>
          <t>Opening Day</t>
        </is>
      </c>
      <c r="K1992" s="11">
        <f>IFERROR(INDEX(Roles!$B$17:$B$20,MATCH(J1992,Roles!$A$17:$A$20,0)),1)</f>
        <v/>
      </c>
      <c r="L1992" s="17" t="n">
        <v>1</v>
      </c>
      <c r="M1992" s="11" t="n">
        <v>1</v>
      </c>
      <c r="N1992" s="17" t="n"/>
      <c r="O1992" s="17" t="n"/>
      <c r="P1992" s="17" t="n"/>
      <c r="Q1992" s="17" t="n"/>
      <c r="R1992" s="17" t="n"/>
      <c r="S1992" s="17" t="n"/>
      <c r="T1992" s="17" t="n"/>
      <c r="U1992" s="17" t="n"/>
      <c r="V1992" s="17" t="n"/>
      <c r="W1992" s="17" t="n"/>
      <c r="X1992" s="17" t="n"/>
      <c r="Y1992" s="17" t="n">
        <v>1</v>
      </c>
      <c r="Z1992" s="13">
        <f>SUMPRODUCT(N1992:Y1992,$N$2:$Y$2)*$K1992*$L1992*$M1992</f>
        <v/>
      </c>
      <c r="AA1992" s="14">
        <f>SUM(N1992:Y1992)</f>
        <v/>
      </c>
      <c r="AB1992" s="14">
        <f>IFERROR(IF(UPPER($E1992)="L",SUMPRODUCT(N1992:Y1992,$N$3:$Y$3,$N$2:$Y$2),SUMPRODUCT(N1992:Y1992,$N$4:$Y$4,$N$2:$Y$2))/(Z1992/($K1992*$L1992*$M1992)),"")</f>
        <v/>
      </c>
      <c r="AC1992" s="18" t="n"/>
    </row>
    <row r="1993">
      <c r="A1993" s="9" t="n">
        <v>700795</v>
      </c>
      <c r="B1993" s="9" t="inlineStr">
        <is>
          <t>Mathieu Vallee</t>
        </is>
      </c>
      <c r="C1993" s="9" t="inlineStr">
        <is>
          <t>TOR</t>
        </is>
      </c>
      <c r="D1993" s="9" t="n">
        <v>25</v>
      </c>
      <c r="E1993" s="16" t="inlineStr">
        <is>
          <t>L</t>
        </is>
      </c>
      <c r="F1993" s="16" t="n"/>
      <c r="G1993" s="9" t="n">
        <v>27.64102564102564</v>
      </c>
      <c r="H1993" s="9" t="n">
        <v>27.64102564102564</v>
      </c>
      <c r="I1993" s="9" t="inlineStr">
        <is>
          <t>Depth (no MLB PA)</t>
        </is>
      </c>
      <c r="J1993" s="16" t="inlineStr">
        <is>
          <t>Opening Day</t>
        </is>
      </c>
      <c r="K1993" s="11">
        <f>IFERROR(INDEX(Roles!$B$17:$B$20,MATCH(J1993,Roles!$A$17:$A$20,0)),1)</f>
        <v/>
      </c>
      <c r="L1993" s="17" t="n">
        <v>1</v>
      </c>
      <c r="M1993" s="11" t="n">
        <v>1</v>
      </c>
      <c r="N1993" s="17" t="n"/>
      <c r="O1993" s="17" t="n"/>
      <c r="P1993" s="17" t="n"/>
      <c r="Q1993" s="17" t="n"/>
      <c r="R1993" s="17" t="n"/>
      <c r="S1993" s="17" t="n"/>
      <c r="T1993" s="17" t="n"/>
      <c r="U1993" s="17" t="n"/>
      <c r="V1993" s="17" t="n"/>
      <c r="W1993" s="17" t="n"/>
      <c r="X1993" s="17" t="n"/>
      <c r="Y1993" s="17" t="n">
        <v>1</v>
      </c>
      <c r="Z1993" s="13">
        <f>SUMPRODUCT(N1993:Y1993,$N$2:$Y$2)*$K1993*$L1993*$M1993</f>
        <v/>
      </c>
      <c r="AA1993" s="14">
        <f>SUM(N1993:Y1993)</f>
        <v/>
      </c>
      <c r="AB1993" s="14">
        <f>IFERROR(IF(UPPER($E1993)="L",SUMPRODUCT(N1993:Y1993,$N$3:$Y$3,$N$2:$Y$2),SUMPRODUCT(N1993:Y1993,$N$4:$Y$4,$N$2:$Y$2))/(Z1993/($K1993*$L1993*$M1993)),"")</f>
        <v/>
      </c>
      <c r="AC1993" s="18" t="n"/>
    </row>
    <row r="1994">
      <c r="A1994" s="9" t="n">
        <v>657675</v>
      </c>
      <c r="B1994" s="9" t="inlineStr">
        <is>
          <t>Rudy Martin Jr.</t>
        </is>
      </c>
      <c r="C1994" s="9" t="inlineStr">
        <is>
          <t>TOR</t>
        </is>
      </c>
      <c r="D1994" s="9" t="n">
        <v>31</v>
      </c>
      <c r="E1994" s="16" t="inlineStr">
        <is>
          <t>L</t>
        </is>
      </c>
      <c r="F1994" s="16" t="inlineStr">
        <is>
          <t>LF</t>
        </is>
      </c>
      <c r="G1994" s="9" t="n">
        <v>3</v>
      </c>
      <c r="H1994" s="9" t="n">
        <v>3</v>
      </c>
      <c r="I1994" s="9" t="inlineStr">
        <is>
          <t>Bench Bat</t>
        </is>
      </c>
      <c r="J1994" s="16" t="inlineStr">
        <is>
          <t>Opening Day</t>
        </is>
      </c>
      <c r="K1994" s="11">
        <f>IFERROR(INDEX(Roles!$B$17:$B$20,MATCH(J1994,Roles!$A$17:$A$20,0)),1)</f>
        <v/>
      </c>
      <c r="L1994" s="17" t="n">
        <v>1</v>
      </c>
      <c r="M1994" s="11" t="n">
        <v>1</v>
      </c>
      <c r="N1994" s="17" t="n"/>
      <c r="O1994" s="17" t="n"/>
      <c r="P1994" s="17" t="n"/>
      <c r="Q1994" s="17" t="n"/>
      <c r="R1994" s="17" t="n"/>
      <c r="S1994" s="17" t="n"/>
      <c r="T1994" s="17" t="n"/>
      <c r="U1994" s="17" t="n"/>
      <c r="V1994" s="17" t="n">
        <v>0.4</v>
      </c>
      <c r="W1994" s="17" t="n">
        <v>0.6</v>
      </c>
      <c r="X1994" s="17" t="n"/>
      <c r="Y1994" s="17" t="n"/>
      <c r="Z1994" s="13">
        <f>SUMPRODUCT(N1994:Y1994,$N$2:$Y$2)*$K1994*$L1994*$M1994</f>
        <v/>
      </c>
      <c r="AA1994" s="14">
        <f>SUM(N1994:Y1994)</f>
        <v/>
      </c>
      <c r="AB1994" s="14">
        <f>IFERROR(IF(UPPER($E1994)="L",SUMPRODUCT(N1994:Y1994,$N$3:$Y$3,$N$2:$Y$2),SUMPRODUCT(N1994:Y1994,$N$4:$Y$4,$N$2:$Y$2))/(Z1994/($K1994*$L1994*$M1994)),"")</f>
        <v/>
      </c>
      <c r="AC1994" s="18" t="n"/>
    </row>
    <row r="1995">
      <c r="A1995" s="9" t="n">
        <v>800316</v>
      </c>
      <c r="B1995" s="9" t="inlineStr">
        <is>
          <t>Alexander Albertus</t>
        </is>
      </c>
      <c r="C1995" s="9" t="inlineStr">
        <is>
          <t>CWS</t>
        </is>
      </c>
      <c r="D1995" s="9" t="n">
        <v>25</v>
      </c>
      <c r="E1995" s="16" t="inlineStr">
        <is>
          <t>R</t>
        </is>
      </c>
      <c r="F1995" s="16" t="n"/>
      <c r="G1995" s="9" t="n">
        <v>41.47692307692307</v>
      </c>
      <c r="H1995" s="9" t="n">
        <v>41.47692307692307</v>
      </c>
      <c r="I1995" s="9" t="inlineStr">
        <is>
          <t>Depth (no MLB PA)</t>
        </is>
      </c>
      <c r="J1995" s="16" t="inlineStr">
        <is>
          <t>Opening Day</t>
        </is>
      </c>
      <c r="K1995" s="11">
        <f>IFERROR(INDEX(Roles!$B$17:$B$20,MATCH(J1995,Roles!$A$17:$A$20,0)),1)</f>
        <v/>
      </c>
      <c r="L1995" s="17" t="n">
        <v>1</v>
      </c>
      <c r="M1995" s="11" t="n">
        <v>1</v>
      </c>
      <c r="N1995" s="17" t="n"/>
      <c r="O1995" s="17" t="n"/>
      <c r="P1995" s="17" t="n"/>
      <c r="Q1995" s="17" t="n"/>
      <c r="R1995" s="17" t="n"/>
      <c r="S1995" s="17" t="n"/>
      <c r="T1995" s="17" t="n"/>
      <c r="U1995" s="17" t="n"/>
      <c r="V1995" s="17" t="n"/>
      <c r="W1995" s="17" t="n"/>
      <c r="X1995" s="17" t="n"/>
      <c r="Y1995" s="17" t="n">
        <v>1</v>
      </c>
      <c r="Z1995" s="13">
        <f>SUMPRODUCT(N1995:Y1995,$N$2:$Y$2)*$K1995*$L1995*$M1995</f>
        <v/>
      </c>
      <c r="AA1995" s="14">
        <f>SUM(N1995:Y1995)</f>
        <v/>
      </c>
      <c r="AB1995" s="14">
        <f>IFERROR(IF(UPPER($E1995)="L",SUMPRODUCT(N1995:Y1995,$N$3:$Y$3,$N$2:$Y$2),SUMPRODUCT(N1995:Y1995,$N$4:$Y$4,$N$2:$Y$2))/(Z1995/($K1995*$L1995*$M1995)),"")</f>
        <v/>
      </c>
      <c r="AC1995" s="18" t="n"/>
    </row>
    <row r="1996">
      <c r="A1996" s="9" t="n">
        <v>614177</v>
      </c>
      <c r="B1996" s="9" t="inlineStr">
        <is>
          <t>Franmil Reyes</t>
        </is>
      </c>
      <c r="C1996" s="9" t="inlineStr">
        <is>
          <t>KC</t>
        </is>
      </c>
      <c r="D1996" s="9" t="n">
        <v>31</v>
      </c>
      <c r="E1996" s="16" t="inlineStr">
        <is>
          <t>R</t>
        </is>
      </c>
      <c r="F1996" s="16" t="inlineStr">
        <is>
          <t>LF</t>
        </is>
      </c>
      <c r="G1996" s="9" t="n">
        <v>65</v>
      </c>
      <c r="H1996" s="9" t="n">
        <v>538</v>
      </c>
      <c r="I1996" s="9" t="inlineStr">
        <is>
          <t>Depth (no MLB PA)</t>
        </is>
      </c>
      <c r="J1996" s="16" t="inlineStr">
        <is>
          <t>Opening Day</t>
        </is>
      </c>
      <c r="K1996" s="11">
        <f>IFERROR(INDEX(Roles!$B$17:$B$20,MATCH(J1996,Roles!$A$17:$A$20,0)),1)</f>
        <v/>
      </c>
      <c r="L1996" s="17" t="n">
        <v>1</v>
      </c>
      <c r="M1996" s="11" t="n">
        <v>1</v>
      </c>
      <c r="N1996" s="17" t="n"/>
      <c r="O1996" s="17" t="n"/>
      <c r="P1996" s="17" t="n"/>
      <c r="Q1996" s="17" t="n"/>
      <c r="R1996" s="17" t="n"/>
      <c r="S1996" s="17" t="n"/>
      <c r="T1996" s="17" t="n"/>
      <c r="U1996" s="17" t="n"/>
      <c r="V1996" s="17" t="n"/>
      <c r="W1996" s="17" t="n"/>
      <c r="X1996" s="17" t="n"/>
      <c r="Y1996" s="17" t="n">
        <v>1</v>
      </c>
      <c r="Z1996" s="13">
        <f>SUMPRODUCT(N1996:Y1996,$N$2:$Y$2)*$K1996*$L1996*$M1996</f>
        <v/>
      </c>
      <c r="AA1996" s="14">
        <f>SUM(N1996:Y1996)</f>
        <v/>
      </c>
      <c r="AB1996" s="14">
        <f>IFERROR(IF(UPPER($E1996)="L",SUMPRODUCT(N1996:Y1996,$N$3:$Y$3,$N$2:$Y$2),SUMPRODUCT(N1996:Y1996,$N$4:$Y$4,$N$2:$Y$2))/(Z1996/($K1996*$L1996*$M1996)),"")</f>
        <v/>
      </c>
      <c r="AC1996" s="18" t="n"/>
    </row>
    <row r="1997">
      <c r="A1997" s="9" t="n">
        <v>805865</v>
      </c>
      <c r="B1997" s="9" t="inlineStr">
        <is>
          <t>Guy Lipscomb</t>
        </is>
      </c>
      <c r="C1997" s="9" t="inlineStr">
        <is>
          <t>CLE</t>
        </is>
      </c>
      <c r="D1997" s="9" t="n">
        <v>25</v>
      </c>
      <c r="E1997" s="16" t="inlineStr">
        <is>
          <t>L</t>
        </is>
      </c>
      <c r="F1997" s="16" t="n"/>
      <c r="G1997" s="9" t="n">
        <v>27.64102564102564</v>
      </c>
      <c r="H1997" s="9" t="n">
        <v>27.64102564102564</v>
      </c>
      <c r="I1997" s="9" t="inlineStr">
        <is>
          <t>Depth (no MLB PA)</t>
        </is>
      </c>
      <c r="J1997" s="16" t="inlineStr">
        <is>
          <t>Opening Day</t>
        </is>
      </c>
      <c r="K1997" s="11">
        <f>IFERROR(INDEX(Roles!$B$17:$B$20,MATCH(J1997,Roles!$A$17:$A$20,0)),1)</f>
        <v/>
      </c>
      <c r="L1997" s="17" t="n">
        <v>1</v>
      </c>
      <c r="M1997" s="11" t="n">
        <v>1</v>
      </c>
      <c r="N1997" s="17" t="n"/>
      <c r="O1997" s="17" t="n"/>
      <c r="P1997" s="17" t="n"/>
      <c r="Q1997" s="17" t="n"/>
      <c r="R1997" s="17" t="n"/>
      <c r="S1997" s="17" t="n"/>
      <c r="T1997" s="17" t="n"/>
      <c r="U1997" s="17" t="n"/>
      <c r="V1997" s="17" t="n"/>
      <c r="W1997" s="17" t="n"/>
      <c r="X1997" s="17" t="n"/>
      <c r="Y1997" s="17" t="n">
        <v>1</v>
      </c>
      <c r="Z1997" s="13">
        <f>SUMPRODUCT(N1997:Y1997,$N$2:$Y$2)*$K1997*$L1997*$M1997</f>
        <v/>
      </c>
      <c r="AA1997" s="14">
        <f>SUM(N1997:Y1997)</f>
        <v/>
      </c>
      <c r="AB1997" s="14">
        <f>IFERROR(IF(UPPER($E1997)="L",SUMPRODUCT(N1997:Y1997,$N$3:$Y$3,$N$2:$Y$2),SUMPRODUCT(N1997:Y1997,$N$4:$Y$4,$N$2:$Y$2))/(Z1997/($K1997*$L1997*$M1997)),"")</f>
        <v/>
      </c>
      <c r="AC1997" s="18" t="n"/>
    </row>
    <row r="1998">
      <c r="A1998" s="9" t="n">
        <v>800449</v>
      </c>
      <c r="B1998" s="9" t="inlineStr">
        <is>
          <t>Thomas Sosa</t>
        </is>
      </c>
      <c r="C1998" s="9" t="inlineStr">
        <is>
          <t>BAL</t>
        </is>
      </c>
      <c r="D1998" s="9" t="n">
        <v>25</v>
      </c>
      <c r="E1998" s="16" t="inlineStr">
        <is>
          <t>L</t>
        </is>
      </c>
      <c r="F1998" s="16" t="n"/>
      <c r="G1998" s="9" t="n">
        <v>156.8717948717949</v>
      </c>
      <c r="H1998" s="9" t="n">
        <v>156.8717948717949</v>
      </c>
      <c r="I1998" s="9" t="inlineStr">
        <is>
          <t>Depth (no MLB PA)</t>
        </is>
      </c>
      <c r="J1998" s="16" t="inlineStr">
        <is>
          <t>Opening Day</t>
        </is>
      </c>
      <c r="K1998" s="11">
        <f>IFERROR(INDEX(Roles!$B$17:$B$20,MATCH(J1998,Roles!$A$17:$A$20,0)),1)</f>
        <v/>
      </c>
      <c r="L1998" s="17" t="n">
        <v>1</v>
      </c>
      <c r="M1998" s="11" t="n">
        <v>1</v>
      </c>
      <c r="N1998" s="17" t="n"/>
      <c r="O1998" s="17" t="n"/>
      <c r="P1998" s="17" t="n"/>
      <c r="Q1998" s="17" t="n"/>
      <c r="R1998" s="17" t="n"/>
      <c r="S1998" s="17" t="n"/>
      <c r="T1998" s="17" t="n"/>
      <c r="U1998" s="17" t="n"/>
      <c r="V1998" s="17" t="n"/>
      <c r="W1998" s="17" t="n"/>
      <c r="X1998" s="17" t="n"/>
      <c r="Y1998" s="17" t="n">
        <v>1</v>
      </c>
      <c r="Z1998" s="13">
        <f>SUMPRODUCT(N1998:Y1998,$N$2:$Y$2)*$K1998*$L1998*$M1998</f>
        <v/>
      </c>
      <c r="AA1998" s="14">
        <f>SUM(N1998:Y1998)</f>
        <v/>
      </c>
      <c r="AB1998" s="14">
        <f>IFERROR(IF(UPPER($E1998)="L",SUMPRODUCT(N1998:Y1998,$N$3:$Y$3,$N$2:$Y$2),SUMPRODUCT(N1998:Y1998,$N$4:$Y$4,$N$2:$Y$2))/(Z1998/($K1998*$L1998*$M1998)),"")</f>
        <v/>
      </c>
      <c r="AC1998" s="18" t="n"/>
    </row>
    <row r="1999">
      <c r="A1999" s="9" t="n">
        <v>688871</v>
      </c>
      <c r="B1999" s="9" t="inlineStr">
        <is>
          <t>Jacob Hinderleider</t>
        </is>
      </c>
      <c r="C1999" s="9" t="inlineStr">
        <is>
          <t>COL</t>
        </is>
      </c>
      <c r="D1999" s="9" t="n">
        <v>25</v>
      </c>
      <c r="E1999" s="16" t="inlineStr">
        <is>
          <t>R</t>
        </is>
      </c>
      <c r="F1999" s="16" t="n"/>
      <c r="G1999" s="9" t="n">
        <v>56.20512820512821</v>
      </c>
      <c r="H1999" s="9" t="n">
        <v>56.20512820512821</v>
      </c>
      <c r="I1999" s="9" t="inlineStr">
        <is>
          <t>Depth (no MLB PA)</t>
        </is>
      </c>
      <c r="J1999" s="16" t="inlineStr">
        <is>
          <t>Opening Day</t>
        </is>
      </c>
      <c r="K1999" s="11">
        <f>IFERROR(INDEX(Roles!$B$17:$B$20,MATCH(J1999,Roles!$A$17:$A$20,0)),1)</f>
        <v/>
      </c>
      <c r="L1999" s="17" t="n">
        <v>1</v>
      </c>
      <c r="M1999" s="11" t="n">
        <v>1</v>
      </c>
      <c r="N1999" s="17" t="n"/>
      <c r="O1999" s="17" t="n"/>
      <c r="P1999" s="17" t="n"/>
      <c r="Q1999" s="17" t="n"/>
      <c r="R1999" s="17" t="n"/>
      <c r="S1999" s="17" t="n"/>
      <c r="T1999" s="17" t="n"/>
      <c r="U1999" s="17" t="n"/>
      <c r="V1999" s="17" t="n"/>
      <c r="W1999" s="17" t="n"/>
      <c r="X1999" s="17" t="n"/>
      <c r="Y1999" s="17" t="n">
        <v>1</v>
      </c>
      <c r="Z1999" s="13">
        <f>SUMPRODUCT(N1999:Y1999,$N$2:$Y$2)*$K1999*$L1999*$M1999</f>
        <v/>
      </c>
      <c r="AA1999" s="14">
        <f>SUM(N1999:Y1999)</f>
        <v/>
      </c>
      <c r="AB1999" s="14">
        <f>IFERROR(IF(UPPER($E1999)="L",SUMPRODUCT(N1999:Y1999,$N$3:$Y$3,$N$2:$Y$2),SUMPRODUCT(N1999:Y1999,$N$4:$Y$4,$N$2:$Y$2))/(Z1999/($K1999*$L1999*$M1999)),"")</f>
        <v/>
      </c>
      <c r="AC1999" s="18" t="n"/>
    </row>
    <row r="2000">
      <c r="A2000" s="9" t="n">
        <v>687567</v>
      </c>
      <c r="B2000" s="9" t="inlineStr">
        <is>
          <t>Jorel Ortega</t>
        </is>
      </c>
      <c r="C2000" s="9" t="inlineStr">
        <is>
          <t>MIN</t>
        </is>
      </c>
      <c r="D2000" s="9" t="n">
        <v>25</v>
      </c>
      <c r="E2000" s="16" t="inlineStr">
        <is>
          <t>R</t>
        </is>
      </c>
      <c r="F2000" s="16" t="n"/>
      <c r="G2000" s="9" t="n">
        <v>62.1025641025641</v>
      </c>
      <c r="H2000" s="9" t="n">
        <v>62.1025641025641</v>
      </c>
      <c r="I2000" s="9" t="inlineStr">
        <is>
          <t>Depth (no MLB PA)</t>
        </is>
      </c>
      <c r="J2000" s="16" t="inlineStr">
        <is>
          <t>Opening Day</t>
        </is>
      </c>
      <c r="K2000" s="11">
        <f>IFERROR(INDEX(Roles!$B$17:$B$20,MATCH(J2000,Roles!$A$17:$A$20,0)),1)</f>
        <v/>
      </c>
      <c r="L2000" s="17" t="n">
        <v>1</v>
      </c>
      <c r="M2000" s="11" t="n">
        <v>1</v>
      </c>
      <c r="N2000" s="17" t="n"/>
      <c r="O2000" s="17" t="n"/>
      <c r="P2000" s="17" t="n"/>
      <c r="Q2000" s="17" t="n"/>
      <c r="R2000" s="17" t="n"/>
      <c r="S2000" s="17" t="n"/>
      <c r="T2000" s="17" t="n"/>
      <c r="U2000" s="17" t="n"/>
      <c r="V2000" s="17" t="n"/>
      <c r="W2000" s="17" t="n"/>
      <c r="X2000" s="17" t="n"/>
      <c r="Y2000" s="17" t="n">
        <v>1</v>
      </c>
      <c r="Z2000" s="13">
        <f>SUMPRODUCT(N2000:Y2000,$N$2:$Y$2)*$K2000*$L2000*$M2000</f>
        <v/>
      </c>
      <c r="AA2000" s="14">
        <f>SUM(N2000:Y2000)</f>
        <v/>
      </c>
      <c r="AB2000" s="14">
        <f>IFERROR(IF(UPPER($E2000)="L",SUMPRODUCT(N2000:Y2000,$N$3:$Y$3,$N$2:$Y$2),SUMPRODUCT(N2000:Y2000,$N$4:$Y$4,$N$2:$Y$2))/(Z2000/($K2000*$L2000*$M2000)),"")</f>
        <v/>
      </c>
      <c r="AC2000" s="18" t="n"/>
    </row>
    <row r="2001">
      <c r="A2001" s="9" t="n">
        <v>696083</v>
      </c>
      <c r="B2001" s="9" t="inlineStr">
        <is>
          <t>Leonel Espinoza</t>
        </is>
      </c>
      <c r="C2001" s="9" t="inlineStr">
        <is>
          <t>CHC</t>
        </is>
      </c>
      <c r="D2001" s="9" t="n">
        <v>25</v>
      </c>
      <c r="E2001" s="16" t="inlineStr">
        <is>
          <t>R</t>
        </is>
      </c>
      <c r="F2001" s="16" t="n"/>
      <c r="G2001" s="9" t="n">
        <v>41.23076923076923</v>
      </c>
      <c r="H2001" s="9" t="n">
        <v>41.23076923076923</v>
      </c>
      <c r="I2001" s="9" t="inlineStr">
        <is>
          <t>Depth (no MLB PA)</t>
        </is>
      </c>
      <c r="J2001" s="16" t="inlineStr">
        <is>
          <t>Opening Day</t>
        </is>
      </c>
      <c r="K2001" s="11">
        <f>IFERROR(INDEX(Roles!$B$17:$B$20,MATCH(J2001,Roles!$A$17:$A$20,0)),1)</f>
        <v/>
      </c>
      <c r="L2001" s="17" t="n">
        <v>1</v>
      </c>
      <c r="M2001" s="11" t="n">
        <v>1</v>
      </c>
      <c r="N2001" s="17" t="n"/>
      <c r="O2001" s="17" t="n"/>
      <c r="P2001" s="17" t="n"/>
      <c r="Q2001" s="17" t="n"/>
      <c r="R2001" s="17" t="n"/>
      <c r="S2001" s="17" t="n"/>
      <c r="T2001" s="17" t="n"/>
      <c r="U2001" s="17" t="n"/>
      <c r="V2001" s="17" t="n"/>
      <c r="W2001" s="17" t="n"/>
      <c r="X2001" s="17" t="n"/>
      <c r="Y2001" s="17" t="n">
        <v>1</v>
      </c>
      <c r="Z2001" s="13">
        <f>SUMPRODUCT(N2001:Y2001,$N$2:$Y$2)*$K2001*$L2001*$M2001</f>
        <v/>
      </c>
      <c r="AA2001" s="14">
        <f>SUM(N2001:Y2001)</f>
        <v/>
      </c>
      <c r="AB2001" s="14">
        <f>IFERROR(IF(UPPER($E2001)="L",SUMPRODUCT(N2001:Y2001,$N$3:$Y$3,$N$2:$Y$2),SUMPRODUCT(N2001:Y2001,$N$4:$Y$4,$N$2:$Y$2))/(Z2001/($K2001*$L2001*$M2001)),"")</f>
        <v/>
      </c>
      <c r="AC2001" s="18" t="n"/>
    </row>
    <row r="2002">
      <c r="A2002" s="9" t="n">
        <v>702995</v>
      </c>
      <c r="B2002" s="9" t="inlineStr">
        <is>
          <t>Antonio Anderson</t>
        </is>
      </c>
      <c r="C2002" s="9" t="inlineStr">
        <is>
          <t>BOS</t>
        </is>
      </c>
      <c r="D2002" s="9" t="n">
        <v>25</v>
      </c>
      <c r="E2002" s="16" t="inlineStr">
        <is>
          <t>S</t>
        </is>
      </c>
      <c r="F2002" s="16" t="n"/>
      <c r="G2002" s="9" t="n">
        <v>68.1025641025641</v>
      </c>
      <c r="H2002" s="9" t="n">
        <v>68.1025641025641</v>
      </c>
      <c r="I2002" s="9" t="inlineStr">
        <is>
          <t>Depth (no MLB PA)</t>
        </is>
      </c>
      <c r="J2002" s="16" t="inlineStr">
        <is>
          <t>Opening Day</t>
        </is>
      </c>
      <c r="K2002" s="11">
        <f>IFERROR(INDEX(Roles!$B$17:$B$20,MATCH(J2002,Roles!$A$17:$A$20,0)),1)</f>
        <v/>
      </c>
      <c r="L2002" s="17" t="n">
        <v>1</v>
      </c>
      <c r="M2002" s="11" t="n">
        <v>1</v>
      </c>
      <c r="N2002" s="17" t="n"/>
      <c r="O2002" s="17" t="n"/>
      <c r="P2002" s="17" t="n"/>
      <c r="Q2002" s="17" t="n"/>
      <c r="R2002" s="17" t="n"/>
      <c r="S2002" s="17" t="n"/>
      <c r="T2002" s="17" t="n"/>
      <c r="U2002" s="17" t="n"/>
      <c r="V2002" s="17" t="n"/>
      <c r="W2002" s="17" t="n"/>
      <c r="X2002" s="17" t="n"/>
      <c r="Y2002" s="17" t="n">
        <v>1</v>
      </c>
      <c r="Z2002" s="13">
        <f>SUMPRODUCT(N2002:Y2002,$N$2:$Y$2)*$K2002*$L2002*$M2002</f>
        <v/>
      </c>
      <c r="AA2002" s="14">
        <f>SUM(N2002:Y2002)</f>
        <v/>
      </c>
      <c r="AB2002" s="14">
        <f>IFERROR(IF(UPPER($E2002)="L",SUMPRODUCT(N2002:Y2002,$N$3:$Y$3,$N$2:$Y$2),SUMPRODUCT(N2002:Y2002,$N$4:$Y$4,$N$2:$Y$2))/(Z2002/($K2002*$L2002*$M2002)),"")</f>
        <v/>
      </c>
      <c r="AC2002" s="18" t="n"/>
    </row>
    <row r="2003">
      <c r="A2003" s="9" t="n">
        <v>815888</v>
      </c>
      <c r="B2003" s="9" t="inlineStr">
        <is>
          <t>Leo De Vries</t>
        </is>
      </c>
      <c r="C2003" s="9" t="inlineStr">
        <is>
          <t>OAK</t>
        </is>
      </c>
      <c r="D2003" s="9" t="n">
        <v>21</v>
      </c>
      <c r="E2003" s="16" t="inlineStr">
        <is>
          <t>S</t>
        </is>
      </c>
      <c r="F2003" s="16" t="n"/>
      <c r="G2003" s="9" t="n">
        <v>150.051282051282</v>
      </c>
      <c r="H2003" s="9" t="n">
        <v>150.051282051282</v>
      </c>
      <c r="I2003" s="9" t="inlineStr">
        <is>
          <t>Bench Bat</t>
        </is>
      </c>
      <c r="J2003" s="16" t="inlineStr">
        <is>
          <t>Mid Season (~July)</t>
        </is>
      </c>
      <c r="K2003" s="11">
        <f>IFERROR(INDEX(Roles!$B$17:$B$20,MATCH(J2003,Roles!$A$17:$A$20,0)),1)</f>
        <v/>
      </c>
      <c r="L2003" s="17" t="n">
        <v>1</v>
      </c>
      <c r="M2003" s="11" t="n">
        <v>1</v>
      </c>
      <c r="N2003" s="17" t="n">
        <v>0.34</v>
      </c>
      <c r="O2003" s="17" t="n"/>
      <c r="P2003" s="17" t="n">
        <v>0.3</v>
      </c>
      <c r="Q2003" s="17" t="n"/>
      <c r="R2003" s="17" t="n"/>
      <c r="S2003" s="17" t="n"/>
      <c r="T2003" s="17" t="n"/>
      <c r="U2003" s="17" t="n"/>
      <c r="V2003" s="17" t="n"/>
      <c r="W2003" s="17" t="n">
        <v>0.36</v>
      </c>
      <c r="X2003" s="17" t="n"/>
      <c r="Y2003" s="17" t="n"/>
      <c r="Z2003" s="13">
        <f>SUMPRODUCT(N2003:Y2003,$N$2:$Y$2)*$K2003*$L2003*$M2003</f>
        <v/>
      </c>
      <c r="AA2003" s="14">
        <f>SUM(N2003:Y2003)</f>
        <v/>
      </c>
      <c r="AB2003" s="14">
        <f>IFERROR(IF(UPPER($E2003)="L",SUMPRODUCT(N2003:Y2003,$N$3:$Y$3,$N$2:$Y$2),SUMPRODUCT(N2003:Y2003,$N$4:$Y$4,$N$2:$Y$2))/(Z2003/($K2003*$L2003*$M2003)),"")</f>
        <v/>
      </c>
      <c r="AC2003" s="18" t="n"/>
    </row>
    <row r="2004">
      <c r="A2004" s="9" t="n">
        <v>800959</v>
      </c>
      <c r="B2004" s="9" t="inlineStr">
        <is>
          <t>Nick Goodwin</t>
        </is>
      </c>
      <c r="C2004" s="9" t="inlineStr">
        <is>
          <t>TOR</t>
        </is>
      </c>
      <c r="D2004" s="9" t="n">
        <v>25</v>
      </c>
      <c r="E2004" s="16" t="inlineStr">
        <is>
          <t>R</t>
        </is>
      </c>
      <c r="F2004" s="16" t="n"/>
      <c r="G2004" s="9" t="n">
        <v>61.48717948717949</v>
      </c>
      <c r="H2004" s="9" t="n">
        <v>61.48717948717949</v>
      </c>
      <c r="I2004" s="9" t="inlineStr">
        <is>
          <t>Depth (no MLB PA)</t>
        </is>
      </c>
      <c r="J2004" s="16" t="inlineStr">
        <is>
          <t>Opening Day</t>
        </is>
      </c>
      <c r="K2004" s="11">
        <f>IFERROR(INDEX(Roles!$B$17:$B$20,MATCH(J2004,Roles!$A$17:$A$20,0)),1)</f>
        <v/>
      </c>
      <c r="L2004" s="17" t="n">
        <v>1</v>
      </c>
      <c r="M2004" s="11" t="n">
        <v>1</v>
      </c>
      <c r="N2004" s="17" t="n"/>
      <c r="O2004" s="17" t="n"/>
      <c r="P2004" s="17" t="n"/>
      <c r="Q2004" s="17" t="n"/>
      <c r="R2004" s="17" t="n"/>
      <c r="S2004" s="17" t="n"/>
      <c r="T2004" s="17" t="n"/>
      <c r="U2004" s="17" t="n"/>
      <c r="V2004" s="17" t="n"/>
      <c r="W2004" s="17" t="n"/>
      <c r="X2004" s="17" t="n"/>
      <c r="Y2004" s="17" t="n">
        <v>1</v>
      </c>
      <c r="Z2004" s="13">
        <f>SUMPRODUCT(N2004:Y2004,$N$2:$Y$2)*$K2004*$L2004*$M2004</f>
        <v/>
      </c>
      <c r="AA2004" s="14">
        <f>SUM(N2004:Y2004)</f>
        <v/>
      </c>
      <c r="AB2004" s="14">
        <f>IFERROR(IF(UPPER($E2004)="L",SUMPRODUCT(N2004:Y2004,$N$3:$Y$3,$N$2:$Y$2),SUMPRODUCT(N2004:Y2004,$N$4:$Y$4,$N$2:$Y$2))/(Z2004/($K2004*$L2004*$M2004)),"")</f>
        <v/>
      </c>
      <c r="AC2004" s="18" t="n"/>
    </row>
    <row r="2005">
      <c r="A2005" s="9" t="n">
        <v>701548</v>
      </c>
      <c r="B2005" s="9" t="inlineStr">
        <is>
          <t>Ali Camarillo</t>
        </is>
      </c>
      <c r="C2005" s="9" t="inlineStr">
        <is>
          <t>OAK</t>
        </is>
      </c>
      <c r="D2005" s="9" t="n">
        <v>25</v>
      </c>
      <c r="E2005" s="16" t="inlineStr">
        <is>
          <t>R</t>
        </is>
      </c>
      <c r="F2005" s="16" t="n"/>
      <c r="G2005" s="9" t="n">
        <v>38.05128205128205</v>
      </c>
      <c r="H2005" s="9" t="n">
        <v>38.05128205128205</v>
      </c>
      <c r="I2005" s="9" t="inlineStr">
        <is>
          <t>Depth (no MLB PA)</t>
        </is>
      </c>
      <c r="J2005" s="16" t="inlineStr">
        <is>
          <t>Opening Day</t>
        </is>
      </c>
      <c r="K2005" s="11">
        <f>IFERROR(INDEX(Roles!$B$17:$B$20,MATCH(J2005,Roles!$A$17:$A$20,0)),1)</f>
        <v/>
      </c>
      <c r="L2005" s="17" t="n">
        <v>1</v>
      </c>
      <c r="M2005" s="11" t="n">
        <v>1</v>
      </c>
      <c r="N2005" s="17" t="n"/>
      <c r="O2005" s="17" t="n"/>
      <c r="P2005" s="17" t="n"/>
      <c r="Q2005" s="17" t="n"/>
      <c r="R2005" s="17" t="n"/>
      <c r="S2005" s="17" t="n"/>
      <c r="T2005" s="17" t="n"/>
      <c r="U2005" s="17" t="n"/>
      <c r="V2005" s="17" t="n"/>
      <c r="W2005" s="17" t="n"/>
      <c r="X2005" s="17" t="n"/>
      <c r="Y2005" s="17" t="n">
        <v>1</v>
      </c>
      <c r="Z2005" s="13">
        <f>SUMPRODUCT(N2005:Y2005,$N$2:$Y$2)*$K2005*$L2005*$M2005</f>
        <v/>
      </c>
      <c r="AA2005" s="14">
        <f>SUM(N2005:Y2005)</f>
        <v/>
      </c>
      <c r="AB2005" s="14">
        <f>IFERROR(IF(UPPER($E2005)="L",SUMPRODUCT(N2005:Y2005,$N$3:$Y$3,$N$2:$Y$2),SUMPRODUCT(N2005:Y2005,$N$4:$Y$4,$N$2:$Y$2))/(Z2005/($K2005*$L2005*$M2005)),"")</f>
        <v/>
      </c>
      <c r="AC2005" s="18" t="n"/>
    </row>
    <row r="2006">
      <c r="A2006" s="9" t="n">
        <v>702435</v>
      </c>
      <c r="B2006" s="9" t="inlineStr">
        <is>
          <t>Jhosmmel Zue</t>
        </is>
      </c>
      <c r="C2006" s="9" t="inlineStr">
        <is>
          <t>KC</t>
        </is>
      </c>
      <c r="D2006" s="9" t="n">
        <v>25</v>
      </c>
      <c r="E2006" s="16" t="inlineStr">
        <is>
          <t>R</t>
        </is>
      </c>
      <c r="F2006" s="16" t="n"/>
      <c r="G2006" s="9" t="n">
        <v>33.84615384615385</v>
      </c>
      <c r="H2006" s="9" t="n">
        <v>33.84615384615385</v>
      </c>
      <c r="I2006" s="9" t="inlineStr">
        <is>
          <t>Depth (no MLB PA)</t>
        </is>
      </c>
      <c r="J2006" s="16" t="inlineStr">
        <is>
          <t>Opening Day</t>
        </is>
      </c>
      <c r="K2006" s="11">
        <f>IFERROR(INDEX(Roles!$B$17:$B$20,MATCH(J2006,Roles!$A$17:$A$20,0)),1)</f>
        <v/>
      </c>
      <c r="L2006" s="17" t="n">
        <v>1</v>
      </c>
      <c r="M2006" s="11" t="n">
        <v>1</v>
      </c>
      <c r="N2006" s="17" t="n"/>
      <c r="O2006" s="17" t="n"/>
      <c r="P2006" s="17" t="n"/>
      <c r="Q2006" s="17" t="n"/>
      <c r="R2006" s="17" t="n"/>
      <c r="S2006" s="17" t="n"/>
      <c r="T2006" s="17" t="n"/>
      <c r="U2006" s="17" t="n"/>
      <c r="V2006" s="17" t="n"/>
      <c r="W2006" s="17" t="n"/>
      <c r="X2006" s="17" t="n"/>
      <c r="Y2006" s="17" t="n">
        <v>1</v>
      </c>
      <c r="Z2006" s="13">
        <f>SUMPRODUCT(N2006:Y2006,$N$2:$Y$2)*$K2006*$L2006*$M2006</f>
        <v/>
      </c>
      <c r="AA2006" s="14">
        <f>SUM(N2006:Y2006)</f>
        <v/>
      </c>
      <c r="AB2006" s="14">
        <f>IFERROR(IF(UPPER($E2006)="L",SUMPRODUCT(N2006:Y2006,$N$3:$Y$3,$N$2:$Y$2),SUMPRODUCT(N2006:Y2006,$N$4:$Y$4,$N$2:$Y$2))/(Z2006/($K2006*$L2006*$M2006)),"")</f>
        <v/>
      </c>
      <c r="AC2006" s="18" t="n"/>
    </row>
    <row r="2007">
      <c r="A2007" s="9" t="n">
        <v>669413</v>
      </c>
      <c r="B2007" s="9" t="inlineStr">
        <is>
          <t>Frainyer Chavez</t>
        </is>
      </c>
      <c r="C2007" s="9" t="inlineStr">
        <is>
          <t>TEX</t>
        </is>
      </c>
      <c r="D2007" s="9" t="n">
        <v>25</v>
      </c>
      <c r="E2007" s="16" t="inlineStr">
        <is>
          <t>S</t>
        </is>
      </c>
      <c r="F2007" s="16" t="n"/>
      <c r="G2007" s="9" t="n">
        <v>28.20512820512821</v>
      </c>
      <c r="H2007" s="9" t="n">
        <v>28.20512820512821</v>
      </c>
      <c r="I2007" s="9" t="inlineStr">
        <is>
          <t>Depth (no MLB PA)</t>
        </is>
      </c>
      <c r="J2007" s="16" t="inlineStr">
        <is>
          <t>Opening Day</t>
        </is>
      </c>
      <c r="K2007" s="11">
        <f>IFERROR(INDEX(Roles!$B$17:$B$20,MATCH(J2007,Roles!$A$17:$A$20,0)),1)</f>
        <v/>
      </c>
      <c r="L2007" s="17" t="n">
        <v>1</v>
      </c>
      <c r="M2007" s="11" t="n">
        <v>1</v>
      </c>
      <c r="N2007" s="17" t="n"/>
      <c r="O2007" s="17" t="n"/>
      <c r="P2007" s="17" t="n"/>
      <c r="Q2007" s="17" t="n"/>
      <c r="R2007" s="17" t="n"/>
      <c r="S2007" s="17" t="n"/>
      <c r="T2007" s="17" t="n"/>
      <c r="U2007" s="17" t="n"/>
      <c r="V2007" s="17" t="n"/>
      <c r="W2007" s="17" t="n"/>
      <c r="X2007" s="17" t="n"/>
      <c r="Y2007" s="17" t="n">
        <v>1</v>
      </c>
      <c r="Z2007" s="13">
        <f>SUMPRODUCT(N2007:Y2007,$N$2:$Y$2)*$K2007*$L2007*$M2007</f>
        <v/>
      </c>
      <c r="AA2007" s="14">
        <f>SUM(N2007:Y2007)</f>
        <v/>
      </c>
      <c r="AB2007" s="14">
        <f>IFERROR(IF(UPPER($E2007)="L",SUMPRODUCT(N2007:Y2007,$N$3:$Y$3,$N$2:$Y$2),SUMPRODUCT(N2007:Y2007,$N$4:$Y$4,$N$2:$Y$2))/(Z2007/($K2007*$L2007*$M2007)),"")</f>
        <v/>
      </c>
      <c r="AC2007" s="18" t="n"/>
    </row>
    <row r="2008">
      <c r="A2008" s="9" t="n">
        <v>702491</v>
      </c>
      <c r="B2008" s="9" t="inlineStr">
        <is>
          <t>Mitch Voit</t>
        </is>
      </c>
      <c r="C2008" s="9" t="inlineStr">
        <is>
          <t>NYM</t>
        </is>
      </c>
      <c r="D2008" s="9" t="n">
        <v>23</v>
      </c>
      <c r="E2008" s="16" t="inlineStr">
        <is>
          <t>R</t>
        </is>
      </c>
      <c r="F2008" s="16" t="n"/>
      <c r="G2008" s="9" t="n">
        <v>47.38461538461538</v>
      </c>
      <c r="H2008" s="9" t="n">
        <v>47.38461538461538</v>
      </c>
      <c r="I2008" s="9" t="inlineStr">
        <is>
          <t>Bench Bat</t>
        </is>
      </c>
      <c r="J2008" s="16" t="inlineStr">
        <is>
          <t>Mid Season (~July)</t>
        </is>
      </c>
      <c r="K2008" s="11">
        <f>IFERROR(INDEX(Roles!$B$17:$B$20,MATCH(J2008,Roles!$A$17:$A$20,0)),1)</f>
        <v/>
      </c>
      <c r="L2008" s="17" t="n">
        <v>1</v>
      </c>
      <c r="M2008" s="11" t="n">
        <v>1</v>
      </c>
      <c r="N2008" s="17" t="n"/>
      <c r="O2008" s="17" t="n"/>
      <c r="P2008" s="17" t="n">
        <v>0.26</v>
      </c>
      <c r="Q2008" s="17" t="n"/>
      <c r="R2008" s="17" t="n"/>
      <c r="S2008" s="17" t="n"/>
      <c r="T2008" s="17" t="n"/>
      <c r="U2008" s="17" t="n"/>
      <c r="V2008" s="17" t="n"/>
      <c r="W2008" s="17" t="n">
        <v>0.5</v>
      </c>
      <c r="X2008" s="17" t="n">
        <v>0.24</v>
      </c>
      <c r="Y2008" s="17" t="n"/>
      <c r="Z2008" s="13">
        <f>SUMPRODUCT(N2008:Y2008,$N$2:$Y$2)*$K2008*$L2008*$M2008</f>
        <v/>
      </c>
      <c r="AA2008" s="14">
        <f>SUM(N2008:Y2008)</f>
        <v/>
      </c>
      <c r="AB2008" s="14">
        <f>IFERROR(IF(UPPER($E2008)="L",SUMPRODUCT(N2008:Y2008,$N$3:$Y$3,$N$2:$Y$2),SUMPRODUCT(N2008:Y2008,$N$4:$Y$4,$N$2:$Y$2))/(Z2008/($K2008*$L2008*$M2008)),"")</f>
        <v/>
      </c>
      <c r="AC2008" s="18" t="n"/>
    </row>
    <row r="2009">
      <c r="A2009" s="9" t="n">
        <v>683494</v>
      </c>
      <c r="B2009" s="9" t="inlineStr">
        <is>
          <t>Euribiel Angeles</t>
        </is>
      </c>
      <c r="C2009" s="9" t="inlineStr">
        <is>
          <t>OAK</t>
        </is>
      </c>
      <c r="D2009" s="9" t="n">
        <v>25</v>
      </c>
      <c r="E2009" s="16" t="inlineStr">
        <is>
          <t>R</t>
        </is>
      </c>
      <c r="F2009" s="16" t="n"/>
      <c r="G2009" s="9" t="n">
        <v>47.38461538461539</v>
      </c>
      <c r="H2009" s="9" t="n">
        <v>47.38461538461539</v>
      </c>
      <c r="I2009" s="9" t="inlineStr">
        <is>
          <t>Depth (no MLB PA)</t>
        </is>
      </c>
      <c r="J2009" s="16" t="inlineStr">
        <is>
          <t>Opening Day</t>
        </is>
      </c>
      <c r="K2009" s="11">
        <f>IFERROR(INDEX(Roles!$B$17:$B$20,MATCH(J2009,Roles!$A$17:$A$20,0)),1)</f>
        <v/>
      </c>
      <c r="L2009" s="17" t="n">
        <v>1</v>
      </c>
      <c r="M2009" s="11" t="n">
        <v>1</v>
      </c>
      <c r="N2009" s="17" t="n"/>
      <c r="O2009" s="17" t="n"/>
      <c r="P2009" s="17" t="n"/>
      <c r="Q2009" s="17" t="n"/>
      <c r="R2009" s="17" t="n"/>
      <c r="S2009" s="17" t="n"/>
      <c r="T2009" s="17" t="n"/>
      <c r="U2009" s="17" t="n"/>
      <c r="V2009" s="17" t="n"/>
      <c r="W2009" s="17" t="n"/>
      <c r="X2009" s="17" t="n"/>
      <c r="Y2009" s="17" t="n">
        <v>1</v>
      </c>
      <c r="Z2009" s="13">
        <f>SUMPRODUCT(N2009:Y2009,$N$2:$Y$2)*$K2009*$L2009*$M2009</f>
        <v/>
      </c>
      <c r="AA2009" s="14">
        <f>SUM(N2009:Y2009)</f>
        <v/>
      </c>
      <c r="AB2009" s="14">
        <f>IFERROR(IF(UPPER($E2009)="L",SUMPRODUCT(N2009:Y2009,$N$3:$Y$3,$N$2:$Y$2),SUMPRODUCT(N2009:Y2009,$N$4:$Y$4,$N$2:$Y$2))/(Z2009/($K2009*$L2009*$M2009)),"")</f>
        <v/>
      </c>
      <c r="AC2009" s="18" t="n"/>
    </row>
    <row r="2010">
      <c r="A2010" s="9" t="n">
        <v>806611</v>
      </c>
      <c r="B2010" s="9" t="inlineStr">
        <is>
          <t>Jancel Villarroel</t>
        </is>
      </c>
      <c r="C2010" s="9" t="inlineStr">
        <is>
          <t>SF</t>
        </is>
      </c>
      <c r="D2010" s="9" t="n">
        <v>25</v>
      </c>
      <c r="E2010" s="16" t="inlineStr">
        <is>
          <t>R</t>
        </is>
      </c>
      <c r="F2010" s="16" t="n"/>
      <c r="G2010" s="9" t="n">
        <v>47.38461538461538</v>
      </c>
      <c r="H2010" s="9" t="n">
        <v>47.38461538461538</v>
      </c>
      <c r="I2010" s="9" t="inlineStr">
        <is>
          <t>Depth (no MLB PA)</t>
        </is>
      </c>
      <c r="J2010" s="16" t="inlineStr">
        <is>
          <t>Opening Day</t>
        </is>
      </c>
      <c r="K2010" s="11">
        <f>IFERROR(INDEX(Roles!$B$17:$B$20,MATCH(J2010,Roles!$A$17:$A$20,0)),1)</f>
        <v/>
      </c>
      <c r="L2010" s="17" t="n">
        <v>1</v>
      </c>
      <c r="M2010" s="11" t="n">
        <v>1</v>
      </c>
      <c r="N2010" s="17" t="n"/>
      <c r="O2010" s="17" t="n"/>
      <c r="P2010" s="17" t="n"/>
      <c r="Q2010" s="17" t="n"/>
      <c r="R2010" s="17" t="n"/>
      <c r="S2010" s="17" t="n"/>
      <c r="T2010" s="17" t="n"/>
      <c r="U2010" s="17" t="n"/>
      <c r="V2010" s="17" t="n"/>
      <c r="W2010" s="17" t="n"/>
      <c r="X2010" s="17" t="n"/>
      <c r="Y2010" s="17" t="n">
        <v>1</v>
      </c>
      <c r="Z2010" s="13">
        <f>SUMPRODUCT(N2010:Y2010,$N$2:$Y$2)*$K2010*$L2010*$M2010</f>
        <v/>
      </c>
      <c r="AA2010" s="14">
        <f>SUM(N2010:Y2010)</f>
        <v/>
      </c>
      <c r="AB2010" s="14">
        <f>IFERROR(IF(UPPER($E2010)="L",SUMPRODUCT(N2010:Y2010,$N$3:$Y$3,$N$2:$Y$2),SUMPRODUCT(N2010:Y2010,$N$4:$Y$4,$N$2:$Y$2))/(Z2010/($K2010*$L2010*$M2010)),"")</f>
        <v/>
      </c>
      <c r="AC2010" s="18" t="n"/>
    </row>
    <row r="2011">
      <c r="A2011" s="9" t="n">
        <v>681047</v>
      </c>
      <c r="B2011" s="9" t="inlineStr">
        <is>
          <t>Christian Franklin</t>
        </is>
      </c>
      <c r="C2011" s="9" t="inlineStr">
        <is>
          <t>BAL</t>
        </is>
      </c>
      <c r="D2011" s="9" t="n">
        <v>27</v>
      </c>
      <c r="E2011" s="16" t="inlineStr">
        <is>
          <t>R</t>
        </is>
      </c>
      <c r="F2011" s="16" t="inlineStr">
        <is>
          <t>LF</t>
        </is>
      </c>
      <c r="G2011" s="9" t="n">
        <v>59</v>
      </c>
      <c r="H2011" s="9" t="n">
        <v>59</v>
      </c>
      <c r="I2011" s="9" t="inlineStr">
        <is>
          <t>Bench Bat</t>
        </is>
      </c>
      <c r="J2011" s="16" t="inlineStr">
        <is>
          <t>Opening Day</t>
        </is>
      </c>
      <c r="K2011" s="11">
        <f>IFERROR(INDEX(Roles!$B$17:$B$20,MATCH(J2011,Roles!$A$17:$A$20,0)),1)</f>
        <v/>
      </c>
      <c r="L2011" s="17" t="n">
        <v>1</v>
      </c>
      <c r="M2011" s="11" t="n">
        <v>1</v>
      </c>
      <c r="N2011" s="17" t="n"/>
      <c r="O2011" s="17" t="n"/>
      <c r="P2011" s="17" t="n"/>
      <c r="Q2011" s="17" t="n"/>
      <c r="R2011" s="17" t="n"/>
      <c r="S2011" s="17" t="n"/>
      <c r="T2011" s="17" t="n"/>
      <c r="U2011" s="17" t="n"/>
      <c r="V2011" s="17" t="n">
        <v>0.4</v>
      </c>
      <c r="W2011" s="17" t="n">
        <v>0.6</v>
      </c>
      <c r="X2011" s="17" t="n"/>
      <c r="Y2011" s="17" t="n"/>
      <c r="Z2011" s="13">
        <f>SUMPRODUCT(N2011:Y2011,$N$2:$Y$2)*$K2011*$L2011*$M2011</f>
        <v/>
      </c>
      <c r="AA2011" s="14">
        <f>SUM(N2011:Y2011)</f>
        <v/>
      </c>
      <c r="AB2011" s="14">
        <f>IFERROR(IF(UPPER($E2011)="L",SUMPRODUCT(N2011:Y2011,$N$3:$Y$3,$N$2:$Y$2),SUMPRODUCT(N2011:Y2011,$N$4:$Y$4,$N$2:$Y$2))/(Z2011/($K2011*$L2011*$M2011)),"")</f>
        <v/>
      </c>
      <c r="AC2011" s="18" t="n"/>
    </row>
    <row r="2012">
      <c r="A2012" s="9" t="n">
        <v>807239</v>
      </c>
      <c r="B2012" s="9" t="inlineStr">
        <is>
          <t>Bernard Moon</t>
        </is>
      </c>
      <c r="C2012" s="9" t="inlineStr">
        <is>
          <t>CIN</t>
        </is>
      </c>
      <c r="D2012" s="9" t="n">
        <v>25</v>
      </c>
      <c r="E2012" s="16" t="inlineStr">
        <is>
          <t>R</t>
        </is>
      </c>
      <c r="F2012" s="16" t="n"/>
      <c r="G2012" s="9" t="n">
        <v>51.07692307692307</v>
      </c>
      <c r="H2012" s="9" t="n">
        <v>51.07692307692307</v>
      </c>
      <c r="I2012" s="9" t="inlineStr">
        <is>
          <t>Depth (no MLB PA)</t>
        </is>
      </c>
      <c r="J2012" s="16" t="inlineStr">
        <is>
          <t>Opening Day</t>
        </is>
      </c>
      <c r="K2012" s="11">
        <f>IFERROR(INDEX(Roles!$B$17:$B$20,MATCH(J2012,Roles!$A$17:$A$20,0)),1)</f>
        <v/>
      </c>
      <c r="L2012" s="17" t="n">
        <v>1</v>
      </c>
      <c r="M2012" s="11" t="n">
        <v>1</v>
      </c>
      <c r="N2012" s="17" t="n"/>
      <c r="O2012" s="17" t="n"/>
      <c r="P2012" s="17" t="n"/>
      <c r="Q2012" s="17" t="n"/>
      <c r="R2012" s="17" t="n"/>
      <c r="S2012" s="17" t="n"/>
      <c r="T2012" s="17" t="n"/>
      <c r="U2012" s="17" t="n"/>
      <c r="V2012" s="17" t="n"/>
      <c r="W2012" s="17" t="n"/>
      <c r="X2012" s="17" t="n"/>
      <c r="Y2012" s="17" t="n">
        <v>1</v>
      </c>
      <c r="Z2012" s="13">
        <f>SUMPRODUCT(N2012:Y2012,$N$2:$Y$2)*$K2012*$L2012*$M2012</f>
        <v/>
      </c>
      <c r="AA2012" s="14">
        <f>SUM(N2012:Y2012)</f>
        <v/>
      </c>
      <c r="AB2012" s="14">
        <f>IFERROR(IF(UPPER($E2012)="L",SUMPRODUCT(N2012:Y2012,$N$3:$Y$3,$N$2:$Y$2),SUMPRODUCT(N2012:Y2012,$N$4:$Y$4,$N$2:$Y$2))/(Z2012/($K2012*$L2012*$M2012)),"")</f>
        <v/>
      </c>
      <c r="AC2012" s="18" t="n"/>
    </row>
    <row r="2013">
      <c r="A2013" s="9" t="n">
        <v>680814</v>
      </c>
      <c r="B2013" s="9" t="inlineStr">
        <is>
          <t>Peyton Burdick</t>
        </is>
      </c>
      <c r="C2013" s="9" t="inlineStr">
        <is>
          <t>MIA</t>
        </is>
      </c>
      <c r="D2013" s="9" t="n">
        <v>30</v>
      </c>
      <c r="E2013" s="16" t="inlineStr">
        <is>
          <t>R</t>
        </is>
      </c>
      <c r="F2013" s="16" t="inlineStr">
        <is>
          <t>RF</t>
        </is>
      </c>
      <c r="G2013" s="9" t="n">
        <v>37</v>
      </c>
      <c r="H2013" s="9" t="n">
        <v>139</v>
      </c>
      <c r="I2013" s="9" t="inlineStr">
        <is>
          <t>Depth (no MLB PA)</t>
        </is>
      </c>
      <c r="J2013" s="16" t="inlineStr">
        <is>
          <t>Opening Day</t>
        </is>
      </c>
      <c r="K2013" s="11">
        <f>IFERROR(INDEX(Roles!$B$17:$B$20,MATCH(J2013,Roles!$A$17:$A$20,0)),1)</f>
        <v/>
      </c>
      <c r="L2013" s="17" t="n">
        <v>1</v>
      </c>
      <c r="M2013" s="11" t="n">
        <v>1</v>
      </c>
      <c r="N2013" s="17" t="n"/>
      <c r="O2013" s="17" t="n"/>
      <c r="P2013" s="17" t="n"/>
      <c r="Q2013" s="17" t="n"/>
      <c r="R2013" s="17" t="n"/>
      <c r="S2013" s="17" t="n"/>
      <c r="T2013" s="17" t="n"/>
      <c r="U2013" s="17" t="n"/>
      <c r="V2013" s="17" t="n"/>
      <c r="W2013" s="17" t="n"/>
      <c r="X2013" s="17" t="n"/>
      <c r="Y2013" s="17" t="n">
        <v>1</v>
      </c>
      <c r="Z2013" s="13">
        <f>SUMPRODUCT(N2013:Y2013,$N$2:$Y$2)*$K2013*$L2013*$M2013</f>
        <v/>
      </c>
      <c r="AA2013" s="14">
        <f>SUM(N2013:Y2013)</f>
        <v/>
      </c>
      <c r="AB2013" s="14">
        <f>IFERROR(IF(UPPER($E2013)="L",SUMPRODUCT(N2013:Y2013,$N$3:$Y$3,$N$2:$Y$2),SUMPRODUCT(N2013:Y2013,$N$4:$Y$4,$N$2:$Y$2))/(Z2013/($K2013*$L2013*$M2013)),"")</f>
        <v/>
      </c>
      <c r="AC2013" s="18" t="n"/>
    </row>
    <row r="2014">
      <c r="A2014" s="9" t="n">
        <v>688449</v>
      </c>
      <c r="B2014" s="9" t="inlineStr">
        <is>
          <t>TT Bowens</t>
        </is>
      </c>
      <c r="C2014" s="9" t="inlineStr">
        <is>
          <t>NYM</t>
        </is>
      </c>
      <c r="D2014" s="9" t="n">
        <v>25</v>
      </c>
      <c r="E2014" s="16" t="inlineStr">
        <is>
          <t>R</t>
        </is>
      </c>
      <c r="F2014" s="16" t="n"/>
      <c r="G2014" s="9" t="n">
        <v>35.53846153846154</v>
      </c>
      <c r="H2014" s="9" t="n">
        <v>35.53846153846154</v>
      </c>
      <c r="I2014" s="9" t="inlineStr">
        <is>
          <t>Depth (no MLB PA)</t>
        </is>
      </c>
      <c r="J2014" s="16" t="inlineStr">
        <is>
          <t>Opening Day</t>
        </is>
      </c>
      <c r="K2014" s="11">
        <f>IFERROR(INDEX(Roles!$B$17:$B$20,MATCH(J2014,Roles!$A$17:$A$20,0)),1)</f>
        <v/>
      </c>
      <c r="L2014" s="17" t="n">
        <v>1</v>
      </c>
      <c r="M2014" s="11" t="n">
        <v>1</v>
      </c>
      <c r="N2014" s="17" t="n"/>
      <c r="O2014" s="17" t="n"/>
      <c r="P2014" s="17" t="n"/>
      <c r="Q2014" s="17" t="n"/>
      <c r="R2014" s="17" t="n"/>
      <c r="S2014" s="17" t="n"/>
      <c r="T2014" s="17" t="n"/>
      <c r="U2014" s="17" t="n"/>
      <c r="V2014" s="17" t="n"/>
      <c r="W2014" s="17" t="n"/>
      <c r="X2014" s="17" t="n"/>
      <c r="Y2014" s="17" t="n">
        <v>1</v>
      </c>
      <c r="Z2014" s="13">
        <f>SUMPRODUCT(N2014:Y2014,$N$2:$Y$2)*$K2014*$L2014*$M2014</f>
        <v/>
      </c>
      <c r="AA2014" s="14">
        <f>SUM(N2014:Y2014)</f>
        <v/>
      </c>
      <c r="AB2014" s="14">
        <f>IFERROR(IF(UPPER($E2014)="L",SUMPRODUCT(N2014:Y2014,$N$3:$Y$3,$N$2:$Y$2),SUMPRODUCT(N2014:Y2014,$N$4:$Y$4,$N$2:$Y$2))/(Z2014/($K2014*$L2014*$M2014)),"")</f>
        <v/>
      </c>
      <c r="AC2014" s="18" t="n"/>
    </row>
    <row r="2015">
      <c r="A2015" s="9" t="n">
        <v>814410</v>
      </c>
      <c r="B2015" s="9" t="inlineStr">
        <is>
          <t>Jacob Humphrey</t>
        </is>
      </c>
      <c r="C2015" s="9" t="inlineStr">
        <is>
          <t>COL</t>
        </is>
      </c>
      <c r="D2015" s="9" t="n">
        <v>25</v>
      </c>
      <c r="E2015" s="16" t="inlineStr">
        <is>
          <t>R</t>
        </is>
      </c>
      <c r="F2015" s="16" t="n"/>
      <c r="G2015" s="9" t="n">
        <v>28.35897435897436</v>
      </c>
      <c r="H2015" s="9" t="n">
        <v>28.35897435897436</v>
      </c>
      <c r="I2015" s="9" t="inlineStr">
        <is>
          <t>Depth (no MLB PA)</t>
        </is>
      </c>
      <c r="J2015" s="16" t="inlineStr">
        <is>
          <t>Opening Day</t>
        </is>
      </c>
      <c r="K2015" s="11">
        <f>IFERROR(INDEX(Roles!$B$17:$B$20,MATCH(J2015,Roles!$A$17:$A$20,0)),1)</f>
        <v/>
      </c>
      <c r="L2015" s="17" t="n">
        <v>1</v>
      </c>
      <c r="M2015" s="11" t="n">
        <v>1</v>
      </c>
      <c r="N2015" s="17" t="n"/>
      <c r="O2015" s="17" t="n"/>
      <c r="P2015" s="17" t="n"/>
      <c r="Q2015" s="17" t="n"/>
      <c r="R2015" s="17" t="n"/>
      <c r="S2015" s="17" t="n"/>
      <c r="T2015" s="17" t="n"/>
      <c r="U2015" s="17" t="n"/>
      <c r="V2015" s="17" t="n"/>
      <c r="W2015" s="17" t="n"/>
      <c r="X2015" s="17" t="n"/>
      <c r="Y2015" s="17" t="n">
        <v>1</v>
      </c>
      <c r="Z2015" s="13">
        <f>SUMPRODUCT(N2015:Y2015,$N$2:$Y$2)*$K2015*$L2015*$M2015</f>
        <v/>
      </c>
      <c r="AA2015" s="14">
        <f>SUM(N2015:Y2015)</f>
        <v/>
      </c>
      <c r="AB2015" s="14">
        <f>IFERROR(IF(UPPER($E2015)="L",SUMPRODUCT(N2015:Y2015,$N$3:$Y$3,$N$2:$Y$2),SUMPRODUCT(N2015:Y2015,$N$4:$Y$4,$N$2:$Y$2))/(Z2015/($K2015*$L2015*$M2015)),"")</f>
        <v/>
      </c>
      <c r="AC2015" s="18" t="n"/>
    </row>
    <row r="2016">
      <c r="A2016" s="9" t="n">
        <v>807994</v>
      </c>
      <c r="B2016" s="9" t="inlineStr">
        <is>
          <t>Jeremy Ciriaco</t>
        </is>
      </c>
      <c r="C2016" s="9" t="inlineStr">
        <is>
          <t>COL</t>
        </is>
      </c>
      <c r="D2016" s="9" t="n">
        <v>25</v>
      </c>
      <c r="E2016" s="16" t="inlineStr">
        <is>
          <t>R</t>
        </is>
      </c>
      <c r="F2016" s="16" t="n"/>
      <c r="G2016" s="9" t="n">
        <v>32.12307692307692</v>
      </c>
      <c r="H2016" s="9" t="n">
        <v>32.12307692307692</v>
      </c>
      <c r="I2016" s="9" t="inlineStr">
        <is>
          <t>Depth (no MLB PA)</t>
        </is>
      </c>
      <c r="J2016" s="16" t="inlineStr">
        <is>
          <t>Opening Day</t>
        </is>
      </c>
      <c r="K2016" s="11">
        <f>IFERROR(INDEX(Roles!$B$17:$B$20,MATCH(J2016,Roles!$A$17:$A$20,0)),1)</f>
        <v/>
      </c>
      <c r="L2016" s="17" t="n">
        <v>1</v>
      </c>
      <c r="M2016" s="11" t="n">
        <v>1</v>
      </c>
      <c r="N2016" s="17" t="n"/>
      <c r="O2016" s="17" t="n"/>
      <c r="P2016" s="17" t="n"/>
      <c r="Q2016" s="17" t="n"/>
      <c r="R2016" s="17" t="n"/>
      <c r="S2016" s="17" t="n"/>
      <c r="T2016" s="17" t="n"/>
      <c r="U2016" s="17" t="n"/>
      <c r="V2016" s="17" t="n"/>
      <c r="W2016" s="17" t="n"/>
      <c r="X2016" s="17" t="n"/>
      <c r="Y2016" s="17" t="n">
        <v>1</v>
      </c>
      <c r="Z2016" s="13">
        <f>SUMPRODUCT(N2016:Y2016,$N$2:$Y$2)*$K2016*$L2016*$M2016</f>
        <v/>
      </c>
      <c r="AA2016" s="14">
        <f>SUM(N2016:Y2016)</f>
        <v/>
      </c>
      <c r="AB2016" s="14">
        <f>IFERROR(IF(UPPER($E2016)="L",SUMPRODUCT(N2016:Y2016,$N$3:$Y$3,$N$2:$Y$2),SUMPRODUCT(N2016:Y2016,$N$4:$Y$4,$N$2:$Y$2))/(Z2016/($K2016*$L2016*$M2016)),"")</f>
        <v/>
      </c>
      <c r="AC2016" s="18" t="n"/>
    </row>
    <row r="2017">
      <c r="A2017" s="9" t="n">
        <v>806961</v>
      </c>
      <c r="B2017" s="9" t="inlineStr">
        <is>
          <t>Derniche Valdez</t>
        </is>
      </c>
      <c r="C2017" s="9" t="inlineStr">
        <is>
          <t>CHC</t>
        </is>
      </c>
      <c r="D2017" s="9" t="n">
        <v>25</v>
      </c>
      <c r="E2017" s="16" t="inlineStr">
        <is>
          <t>R</t>
        </is>
      </c>
      <c r="F2017" s="16" t="n"/>
      <c r="G2017" s="9" t="n">
        <v>50.83076923076923</v>
      </c>
      <c r="H2017" s="9" t="n">
        <v>50.83076923076923</v>
      </c>
      <c r="I2017" s="9" t="inlineStr">
        <is>
          <t>Depth (no MLB PA)</t>
        </is>
      </c>
      <c r="J2017" s="16" t="inlineStr">
        <is>
          <t>Opening Day</t>
        </is>
      </c>
      <c r="K2017" s="11">
        <f>IFERROR(INDEX(Roles!$B$17:$B$20,MATCH(J2017,Roles!$A$17:$A$20,0)),1)</f>
        <v/>
      </c>
      <c r="L2017" s="17" t="n">
        <v>1</v>
      </c>
      <c r="M2017" s="11" t="n">
        <v>1</v>
      </c>
      <c r="N2017" s="17" t="n"/>
      <c r="O2017" s="17" t="n"/>
      <c r="P2017" s="17" t="n"/>
      <c r="Q2017" s="17" t="n"/>
      <c r="R2017" s="17" t="n"/>
      <c r="S2017" s="17" t="n"/>
      <c r="T2017" s="17" t="n"/>
      <c r="U2017" s="17" t="n"/>
      <c r="V2017" s="17" t="n"/>
      <c r="W2017" s="17" t="n"/>
      <c r="X2017" s="17" t="n"/>
      <c r="Y2017" s="17" t="n">
        <v>1</v>
      </c>
      <c r="Z2017" s="13">
        <f>SUMPRODUCT(N2017:Y2017,$N$2:$Y$2)*$K2017*$L2017*$M2017</f>
        <v/>
      </c>
      <c r="AA2017" s="14">
        <f>SUM(N2017:Y2017)</f>
        <v/>
      </c>
      <c r="AB2017" s="14">
        <f>IFERROR(IF(UPPER($E2017)="L",SUMPRODUCT(N2017:Y2017,$N$3:$Y$3,$N$2:$Y$2),SUMPRODUCT(N2017:Y2017,$N$4:$Y$4,$N$2:$Y$2))/(Z2017/($K2017*$L2017*$M2017)),"")</f>
        <v/>
      </c>
      <c r="AC2017" s="18" t="n"/>
    </row>
    <row r="2018">
      <c r="A2018" s="9" t="n">
        <v>807007</v>
      </c>
      <c r="B2018" s="9" t="inlineStr">
        <is>
          <t>Jeremy Rodriguez</t>
        </is>
      </c>
      <c r="C2018" s="9" t="inlineStr">
        <is>
          <t>NYM</t>
        </is>
      </c>
      <c r="D2018" s="9" t="n">
        <v>25</v>
      </c>
      <c r="E2018" s="16" t="inlineStr">
        <is>
          <t>L</t>
        </is>
      </c>
      <c r="F2018" s="16" t="n"/>
      <c r="G2018" s="9" t="n">
        <v>27.81538461538462</v>
      </c>
      <c r="H2018" s="9" t="n">
        <v>27.81538461538462</v>
      </c>
      <c r="I2018" s="9" t="inlineStr">
        <is>
          <t>Depth (no MLB PA)</t>
        </is>
      </c>
      <c r="J2018" s="16" t="inlineStr">
        <is>
          <t>Opening Day</t>
        </is>
      </c>
      <c r="K2018" s="11">
        <f>IFERROR(INDEX(Roles!$B$17:$B$20,MATCH(J2018,Roles!$A$17:$A$20,0)),1)</f>
        <v/>
      </c>
      <c r="L2018" s="17" t="n">
        <v>1</v>
      </c>
      <c r="M2018" s="11" t="n">
        <v>1</v>
      </c>
      <c r="N2018" s="17" t="n"/>
      <c r="O2018" s="17" t="n"/>
      <c r="P2018" s="17" t="n"/>
      <c r="Q2018" s="17" t="n"/>
      <c r="R2018" s="17" t="n"/>
      <c r="S2018" s="17" t="n"/>
      <c r="T2018" s="17" t="n"/>
      <c r="U2018" s="17" t="n"/>
      <c r="V2018" s="17" t="n"/>
      <c r="W2018" s="17" t="n"/>
      <c r="X2018" s="17" t="n"/>
      <c r="Y2018" s="17" t="n">
        <v>1</v>
      </c>
      <c r="Z2018" s="13">
        <f>SUMPRODUCT(N2018:Y2018,$N$2:$Y$2)*$K2018*$L2018*$M2018</f>
        <v/>
      </c>
      <c r="AA2018" s="14">
        <f>SUM(N2018:Y2018)</f>
        <v/>
      </c>
      <c r="AB2018" s="14">
        <f>IFERROR(IF(UPPER($E2018)="L",SUMPRODUCT(N2018:Y2018,$N$3:$Y$3,$N$2:$Y$2),SUMPRODUCT(N2018:Y2018,$N$4:$Y$4,$N$2:$Y$2))/(Z2018/($K2018*$L2018*$M2018)),"")</f>
        <v/>
      </c>
      <c r="AC2018" s="18" t="n"/>
    </row>
    <row r="2019">
      <c r="A2019" s="9" t="n">
        <v>800176</v>
      </c>
      <c r="B2019" s="9" t="inlineStr">
        <is>
          <t>Carlos Sanchez</t>
        </is>
      </c>
      <c r="C2019" s="9" t="inlineStr">
        <is>
          <t>CIN</t>
        </is>
      </c>
      <c r="D2019" s="9" t="n">
        <v>25</v>
      </c>
      <c r="E2019" s="16" t="inlineStr">
        <is>
          <t>L</t>
        </is>
      </c>
      <c r="F2019" s="16" t="n"/>
      <c r="G2019" s="9" t="n">
        <v>91.17948717948715</v>
      </c>
      <c r="H2019" s="9" t="n">
        <v>91.17948717948715</v>
      </c>
      <c r="I2019" s="9" t="inlineStr">
        <is>
          <t>Depth (no MLB PA)</t>
        </is>
      </c>
      <c r="J2019" s="16" t="inlineStr">
        <is>
          <t>Opening Day</t>
        </is>
      </c>
      <c r="K2019" s="11">
        <f>IFERROR(INDEX(Roles!$B$17:$B$20,MATCH(J2019,Roles!$A$17:$A$20,0)),1)</f>
        <v/>
      </c>
      <c r="L2019" s="17" t="n">
        <v>1</v>
      </c>
      <c r="M2019" s="11" t="n">
        <v>1</v>
      </c>
      <c r="N2019" s="17" t="n"/>
      <c r="O2019" s="17" t="n"/>
      <c r="P2019" s="17" t="n"/>
      <c r="Q2019" s="17" t="n"/>
      <c r="R2019" s="17" t="n"/>
      <c r="S2019" s="17" t="n"/>
      <c r="T2019" s="17" t="n"/>
      <c r="U2019" s="17" t="n"/>
      <c r="V2019" s="17" t="n"/>
      <c r="W2019" s="17" t="n"/>
      <c r="X2019" s="17" t="n"/>
      <c r="Y2019" s="17" t="n">
        <v>1</v>
      </c>
      <c r="Z2019" s="13">
        <f>SUMPRODUCT(N2019:Y2019,$N$2:$Y$2)*$K2019*$L2019*$M2019</f>
        <v/>
      </c>
      <c r="AA2019" s="14">
        <f>SUM(N2019:Y2019)</f>
        <v/>
      </c>
      <c r="AB2019" s="14">
        <f>IFERROR(IF(UPPER($E2019)="L",SUMPRODUCT(N2019:Y2019,$N$3:$Y$3,$N$2:$Y$2),SUMPRODUCT(N2019:Y2019,$N$4:$Y$4,$N$2:$Y$2))/(Z2019/($K2019*$L2019*$M2019)),"")</f>
        <v/>
      </c>
      <c r="AC2019" s="18" t="n"/>
    </row>
    <row r="2020">
      <c r="A2020" s="9" t="n">
        <v>700083</v>
      </c>
      <c r="B2020" s="9" t="inlineStr">
        <is>
          <t>John Bay</t>
        </is>
      </c>
      <c r="C2020" s="9" t="inlineStr">
        <is>
          <t>NYM</t>
        </is>
      </c>
      <c r="D2020" s="9" t="n">
        <v>25</v>
      </c>
      <c r="E2020" s="16" t="inlineStr">
        <is>
          <t>R</t>
        </is>
      </c>
      <c r="F2020" s="16" t="n"/>
      <c r="G2020" s="9" t="n">
        <v>54.2051282051282</v>
      </c>
      <c r="H2020" s="9" t="n">
        <v>54.2051282051282</v>
      </c>
      <c r="I2020" s="9" t="inlineStr">
        <is>
          <t>Depth (no MLB PA)</t>
        </is>
      </c>
      <c r="J2020" s="16" t="inlineStr">
        <is>
          <t>Opening Day</t>
        </is>
      </c>
      <c r="K2020" s="11">
        <f>IFERROR(INDEX(Roles!$B$17:$B$20,MATCH(J2020,Roles!$A$17:$A$20,0)),1)</f>
        <v/>
      </c>
      <c r="L2020" s="17" t="n">
        <v>1</v>
      </c>
      <c r="M2020" s="11" t="n">
        <v>1</v>
      </c>
      <c r="N2020" s="17" t="n"/>
      <c r="O2020" s="17" t="n"/>
      <c r="P2020" s="17" t="n"/>
      <c r="Q2020" s="17" t="n"/>
      <c r="R2020" s="17" t="n"/>
      <c r="S2020" s="17" t="n"/>
      <c r="T2020" s="17" t="n"/>
      <c r="U2020" s="17" t="n"/>
      <c r="V2020" s="17" t="n"/>
      <c r="W2020" s="17" t="n"/>
      <c r="X2020" s="17" t="n"/>
      <c r="Y2020" s="17" t="n">
        <v>1</v>
      </c>
      <c r="Z2020" s="13">
        <f>SUMPRODUCT(N2020:Y2020,$N$2:$Y$2)*$K2020*$L2020*$M2020</f>
        <v/>
      </c>
      <c r="AA2020" s="14">
        <f>SUM(N2020:Y2020)</f>
        <v/>
      </c>
      <c r="AB2020" s="14">
        <f>IFERROR(IF(UPPER($E2020)="L",SUMPRODUCT(N2020:Y2020,$N$3:$Y$3,$N$2:$Y$2),SUMPRODUCT(N2020:Y2020,$N$4:$Y$4,$N$2:$Y$2))/(Z2020/($K2020*$L2020*$M2020)),"")</f>
        <v/>
      </c>
      <c r="AC2020" s="18" t="n"/>
    </row>
    <row r="2021">
      <c r="A2021" s="9" t="n">
        <v>690962</v>
      </c>
      <c r="B2021" s="9" t="inlineStr">
        <is>
          <t>Michael Brooks</t>
        </is>
      </c>
      <c r="C2021" s="9" t="inlineStr">
        <is>
          <t>OAK</t>
        </is>
      </c>
      <c r="D2021" s="9" t="n">
        <v>25</v>
      </c>
      <c r="E2021" s="16" t="inlineStr">
        <is>
          <t>R</t>
        </is>
      </c>
      <c r="F2021" s="16" t="n"/>
      <c r="G2021" s="9" t="n">
        <v>49.6</v>
      </c>
      <c r="H2021" s="9" t="n">
        <v>49.6</v>
      </c>
      <c r="I2021" s="9" t="inlineStr">
        <is>
          <t>Depth (no MLB PA)</t>
        </is>
      </c>
      <c r="J2021" s="16" t="inlineStr">
        <is>
          <t>Opening Day</t>
        </is>
      </c>
      <c r="K2021" s="11">
        <f>IFERROR(INDEX(Roles!$B$17:$B$20,MATCH(J2021,Roles!$A$17:$A$20,0)),1)</f>
        <v/>
      </c>
      <c r="L2021" s="17" t="n">
        <v>1</v>
      </c>
      <c r="M2021" s="11" t="n">
        <v>1</v>
      </c>
      <c r="N2021" s="17" t="n"/>
      <c r="O2021" s="17" t="n"/>
      <c r="P2021" s="17" t="n"/>
      <c r="Q2021" s="17" t="n"/>
      <c r="R2021" s="17" t="n"/>
      <c r="S2021" s="17" t="n"/>
      <c r="T2021" s="17" t="n"/>
      <c r="U2021" s="17" t="n"/>
      <c r="V2021" s="17" t="n"/>
      <c r="W2021" s="17" t="n"/>
      <c r="X2021" s="17" t="n"/>
      <c r="Y2021" s="17" t="n">
        <v>1</v>
      </c>
      <c r="Z2021" s="13">
        <f>SUMPRODUCT(N2021:Y2021,$N$2:$Y$2)*$K2021*$L2021*$M2021</f>
        <v/>
      </c>
      <c r="AA2021" s="14">
        <f>SUM(N2021:Y2021)</f>
        <v/>
      </c>
      <c r="AB2021" s="14">
        <f>IFERROR(IF(UPPER($E2021)="L",SUMPRODUCT(N2021:Y2021,$N$3:$Y$3,$N$2:$Y$2),SUMPRODUCT(N2021:Y2021,$N$4:$Y$4,$N$2:$Y$2))/(Z2021/($K2021*$L2021*$M2021)),"")</f>
        <v/>
      </c>
      <c r="AC2021" s="18" t="n"/>
    </row>
    <row r="2022">
      <c r="A2022" s="9" t="n">
        <v>692150</v>
      </c>
      <c r="B2022" s="9" t="inlineStr">
        <is>
          <t>Émilien Pitre</t>
        </is>
      </c>
      <c r="C2022" s="9" t="inlineStr">
        <is>
          <t>NYM</t>
        </is>
      </c>
      <c r="D2022" s="9" t="n">
        <v>25</v>
      </c>
      <c r="E2022" s="16" t="inlineStr">
        <is>
          <t>L</t>
        </is>
      </c>
      <c r="F2022" s="16" t="n"/>
      <c r="G2022" s="9" t="n">
        <v>46.25641025641026</v>
      </c>
      <c r="H2022" s="9" t="n">
        <v>46.25641025641026</v>
      </c>
      <c r="I2022" s="9" t="inlineStr">
        <is>
          <t>Depth (no MLB PA)</t>
        </is>
      </c>
      <c r="J2022" s="16" t="inlineStr">
        <is>
          <t>Opening Day</t>
        </is>
      </c>
      <c r="K2022" s="11">
        <f>IFERROR(INDEX(Roles!$B$17:$B$20,MATCH(J2022,Roles!$A$17:$A$20,0)),1)</f>
        <v/>
      </c>
      <c r="L2022" s="17" t="n">
        <v>1</v>
      </c>
      <c r="M2022" s="11" t="n">
        <v>1</v>
      </c>
      <c r="N2022" s="17" t="n"/>
      <c r="O2022" s="17" t="n"/>
      <c r="P2022" s="17" t="n"/>
      <c r="Q2022" s="17" t="n"/>
      <c r="R2022" s="17" t="n"/>
      <c r="S2022" s="17" t="n"/>
      <c r="T2022" s="17" t="n"/>
      <c r="U2022" s="17" t="n"/>
      <c r="V2022" s="17" t="n"/>
      <c r="W2022" s="17" t="n"/>
      <c r="X2022" s="17" t="n"/>
      <c r="Y2022" s="17" t="n">
        <v>1</v>
      </c>
      <c r="Z2022" s="13">
        <f>SUMPRODUCT(N2022:Y2022,$N$2:$Y$2)*$K2022*$L2022*$M2022</f>
        <v/>
      </c>
      <c r="AA2022" s="14">
        <f>SUM(N2022:Y2022)</f>
        <v/>
      </c>
      <c r="AB2022" s="14">
        <f>IFERROR(IF(UPPER($E2022)="L",SUMPRODUCT(N2022:Y2022,$N$3:$Y$3,$N$2:$Y$2),SUMPRODUCT(N2022:Y2022,$N$4:$Y$4,$N$2:$Y$2))/(Z2022/($K2022*$L2022*$M2022)),"")</f>
        <v/>
      </c>
      <c r="AC2022" s="18" t="n"/>
    </row>
    <row r="2023">
      <c r="A2023" s="9" t="n">
        <v>820835</v>
      </c>
      <c r="B2023" s="9" t="inlineStr">
        <is>
          <t>Kade Snell</t>
        </is>
      </c>
      <c r="C2023" s="9" t="inlineStr">
        <is>
          <t>CHC</t>
        </is>
      </c>
      <c r="D2023" s="9" t="n">
        <v>25</v>
      </c>
      <c r="E2023" s="16" t="inlineStr">
        <is>
          <t>L</t>
        </is>
      </c>
      <c r="F2023" s="16" t="n"/>
      <c r="G2023" s="9" t="n">
        <v>69.74358974358975</v>
      </c>
      <c r="H2023" s="9" t="n">
        <v>69.74358974358975</v>
      </c>
      <c r="I2023" s="9" t="inlineStr">
        <is>
          <t>Depth (no MLB PA)</t>
        </is>
      </c>
      <c r="J2023" s="16" t="inlineStr">
        <is>
          <t>Opening Day</t>
        </is>
      </c>
      <c r="K2023" s="11">
        <f>IFERROR(INDEX(Roles!$B$17:$B$20,MATCH(J2023,Roles!$A$17:$A$20,0)),1)</f>
        <v/>
      </c>
      <c r="L2023" s="17" t="n">
        <v>1</v>
      </c>
      <c r="M2023" s="11" t="n">
        <v>1</v>
      </c>
      <c r="N2023" s="17" t="n"/>
      <c r="O2023" s="17" t="n"/>
      <c r="P2023" s="17" t="n"/>
      <c r="Q2023" s="17" t="n"/>
      <c r="R2023" s="17" t="n"/>
      <c r="S2023" s="17" t="n"/>
      <c r="T2023" s="17" t="n"/>
      <c r="U2023" s="17" t="n"/>
      <c r="V2023" s="17" t="n"/>
      <c r="W2023" s="17" t="n"/>
      <c r="X2023" s="17" t="n"/>
      <c r="Y2023" s="17" t="n">
        <v>1</v>
      </c>
      <c r="Z2023" s="13">
        <f>SUMPRODUCT(N2023:Y2023,$N$2:$Y$2)*$K2023*$L2023*$M2023</f>
        <v/>
      </c>
      <c r="AA2023" s="14">
        <f>SUM(N2023:Y2023)</f>
        <v/>
      </c>
      <c r="AB2023" s="14">
        <f>IFERROR(IF(UPPER($E2023)="L",SUMPRODUCT(N2023:Y2023,$N$3:$Y$3,$N$2:$Y$2),SUMPRODUCT(N2023:Y2023,$N$4:$Y$4,$N$2:$Y$2))/(Z2023/($K2023*$L2023*$M2023)),"")</f>
        <v/>
      </c>
      <c r="AC2023" s="18" t="n"/>
    </row>
    <row r="2024">
      <c r="A2024" s="9" t="n">
        <v>815929</v>
      </c>
      <c r="B2024" s="9" t="inlineStr">
        <is>
          <t>Jhonny Level</t>
        </is>
      </c>
      <c r="C2024" s="9" t="inlineStr">
        <is>
          <t>SF</t>
        </is>
      </c>
      <c r="D2024" s="9" t="n">
        <v>20</v>
      </c>
      <c r="E2024" s="16" t="inlineStr">
        <is>
          <t>S</t>
        </is>
      </c>
      <c r="F2024" s="16" t="n"/>
      <c r="G2024" s="9" t="n">
        <v>66.46153846153847</v>
      </c>
      <c r="H2024" s="9" t="n">
        <v>66.46153846153847</v>
      </c>
      <c r="I2024" s="9" t="inlineStr">
        <is>
          <t>Depth (no MLB PA)</t>
        </is>
      </c>
      <c r="J2024" s="16" t="inlineStr">
        <is>
          <t>Opening Day</t>
        </is>
      </c>
      <c r="K2024" s="11">
        <f>IFERROR(INDEX(Roles!$B$17:$B$20,MATCH(J2024,Roles!$A$17:$A$20,0)),1)</f>
        <v/>
      </c>
      <c r="L2024" s="17" t="n">
        <v>1</v>
      </c>
      <c r="M2024" s="11" t="n">
        <v>1</v>
      </c>
      <c r="N2024" s="17" t="n"/>
      <c r="O2024" s="17" t="n"/>
      <c r="P2024" s="17" t="n"/>
      <c r="Q2024" s="17" t="n"/>
      <c r="R2024" s="17" t="n"/>
      <c r="S2024" s="17" t="n"/>
      <c r="T2024" s="17" t="n"/>
      <c r="U2024" s="17" t="n"/>
      <c r="V2024" s="17" t="n"/>
      <c r="W2024" s="17" t="n"/>
      <c r="X2024" s="17" t="n"/>
      <c r="Y2024" s="17" t="n">
        <v>1</v>
      </c>
      <c r="Z2024" s="13">
        <f>SUMPRODUCT(N2024:Y2024,$N$2:$Y$2)*$K2024*$L2024*$M2024</f>
        <v/>
      </c>
      <c r="AA2024" s="14">
        <f>SUM(N2024:Y2024)</f>
        <v/>
      </c>
      <c r="AB2024" s="14">
        <f>IFERROR(IF(UPPER($E2024)="L",SUMPRODUCT(N2024:Y2024,$N$3:$Y$3,$N$2:$Y$2),SUMPRODUCT(N2024:Y2024,$N$4:$Y$4,$N$2:$Y$2))/(Z2024/($K2024*$L2024*$M2024)),"")</f>
        <v/>
      </c>
      <c r="AC2024" s="18" t="n"/>
    </row>
    <row r="2025">
      <c r="A2025" s="9" t="n">
        <v>809101</v>
      </c>
      <c r="B2025" s="9" t="inlineStr">
        <is>
          <t>Tommy Hopfe</t>
        </is>
      </c>
      <c r="C2025" s="9" t="inlineStr">
        <is>
          <t>COL</t>
        </is>
      </c>
      <c r="D2025" s="9" t="n">
        <v>25</v>
      </c>
      <c r="E2025" s="16" t="inlineStr">
        <is>
          <t>S</t>
        </is>
      </c>
      <c r="F2025" s="16" t="n"/>
      <c r="G2025" s="9" t="n">
        <v>90.46153846153848</v>
      </c>
      <c r="H2025" s="9" t="n">
        <v>90.46153846153848</v>
      </c>
      <c r="I2025" s="9" t="inlineStr">
        <is>
          <t>Depth (no MLB PA)</t>
        </is>
      </c>
      <c r="J2025" s="16" t="inlineStr">
        <is>
          <t>Opening Day</t>
        </is>
      </c>
      <c r="K2025" s="11">
        <f>IFERROR(INDEX(Roles!$B$17:$B$20,MATCH(J2025,Roles!$A$17:$A$20,0)),1)</f>
        <v/>
      </c>
      <c r="L2025" s="17" t="n">
        <v>1</v>
      </c>
      <c r="M2025" s="11" t="n">
        <v>1</v>
      </c>
      <c r="N2025" s="17" t="n"/>
      <c r="O2025" s="17" t="n"/>
      <c r="P2025" s="17" t="n"/>
      <c r="Q2025" s="17" t="n"/>
      <c r="R2025" s="17" t="n"/>
      <c r="S2025" s="17" t="n"/>
      <c r="T2025" s="17" t="n"/>
      <c r="U2025" s="17" t="n"/>
      <c r="V2025" s="17" t="n"/>
      <c r="W2025" s="17" t="n"/>
      <c r="X2025" s="17" t="n"/>
      <c r="Y2025" s="17" t="n">
        <v>1</v>
      </c>
      <c r="Z2025" s="13">
        <f>SUMPRODUCT(N2025:Y2025,$N$2:$Y$2)*$K2025*$L2025*$M2025</f>
        <v/>
      </c>
      <c r="AA2025" s="14">
        <f>SUM(N2025:Y2025)</f>
        <v/>
      </c>
      <c r="AB2025" s="14">
        <f>IFERROR(IF(UPPER($E2025)="L",SUMPRODUCT(N2025:Y2025,$N$3:$Y$3,$N$2:$Y$2),SUMPRODUCT(N2025:Y2025,$N$4:$Y$4,$N$2:$Y$2))/(Z2025/($K2025*$L2025*$M2025)),"")</f>
        <v/>
      </c>
      <c r="AC2025" s="18" t="n"/>
    </row>
    <row r="2026">
      <c r="A2026" s="9" t="n">
        <v>702495</v>
      </c>
      <c r="B2026" s="9" t="inlineStr">
        <is>
          <t>Josh Tate</t>
        </is>
      </c>
      <c r="C2026" s="9" t="inlineStr">
        <is>
          <t>PIT</t>
        </is>
      </c>
      <c r="D2026" s="9" t="n">
        <v>25</v>
      </c>
      <c r="E2026" s="16" t="inlineStr">
        <is>
          <t>R</t>
        </is>
      </c>
      <c r="F2026" s="16" t="n"/>
      <c r="G2026" s="9" t="n">
        <v>46.56410256410257</v>
      </c>
      <c r="H2026" s="9" t="n">
        <v>46.56410256410257</v>
      </c>
      <c r="I2026" s="9" t="inlineStr">
        <is>
          <t>Depth (no MLB PA)</t>
        </is>
      </c>
      <c r="J2026" s="16" t="inlineStr">
        <is>
          <t>Opening Day</t>
        </is>
      </c>
      <c r="K2026" s="11">
        <f>IFERROR(INDEX(Roles!$B$17:$B$20,MATCH(J2026,Roles!$A$17:$A$20,0)),1)</f>
        <v/>
      </c>
      <c r="L2026" s="17" t="n">
        <v>1</v>
      </c>
      <c r="M2026" s="11" t="n">
        <v>1</v>
      </c>
      <c r="N2026" s="17" t="n"/>
      <c r="O2026" s="17" t="n"/>
      <c r="P2026" s="17" t="n"/>
      <c r="Q2026" s="17" t="n"/>
      <c r="R2026" s="17" t="n"/>
      <c r="S2026" s="17" t="n"/>
      <c r="T2026" s="17" t="n"/>
      <c r="U2026" s="17" t="n"/>
      <c r="V2026" s="17" t="n"/>
      <c r="W2026" s="17" t="n"/>
      <c r="X2026" s="17" t="n"/>
      <c r="Y2026" s="17" t="n">
        <v>1</v>
      </c>
      <c r="Z2026" s="13">
        <f>SUMPRODUCT(N2026:Y2026,$N$2:$Y$2)*$K2026*$L2026*$M2026</f>
        <v/>
      </c>
      <c r="AA2026" s="14">
        <f>SUM(N2026:Y2026)</f>
        <v/>
      </c>
      <c r="AB2026" s="14">
        <f>IFERROR(IF(UPPER($E2026)="L",SUMPRODUCT(N2026:Y2026,$N$3:$Y$3,$N$2:$Y$2),SUMPRODUCT(N2026:Y2026,$N$4:$Y$4,$N$2:$Y$2))/(Z2026/($K2026*$L2026*$M2026)),"")</f>
        <v/>
      </c>
      <c r="AC2026" s="18" t="n"/>
    </row>
    <row r="2027">
      <c r="A2027" s="9" t="n">
        <v>805168</v>
      </c>
      <c r="B2027" s="9" t="inlineStr">
        <is>
          <t>Alejandro Nuñez</t>
        </is>
      </c>
      <c r="C2027" s="9" t="inlineStr">
        <is>
          <t>HOU</t>
        </is>
      </c>
      <c r="D2027" s="9" t="n">
        <v>25</v>
      </c>
      <c r="E2027" s="16" t="inlineStr">
        <is>
          <t>L</t>
        </is>
      </c>
      <c r="F2027" s="16" t="n"/>
      <c r="G2027" s="9" t="n">
        <v>47.74358974358974</v>
      </c>
      <c r="H2027" s="9" t="n">
        <v>47.74358974358974</v>
      </c>
      <c r="I2027" s="9" t="inlineStr">
        <is>
          <t>Depth (no MLB PA)</t>
        </is>
      </c>
      <c r="J2027" s="16" t="inlineStr">
        <is>
          <t>Opening Day</t>
        </is>
      </c>
      <c r="K2027" s="11">
        <f>IFERROR(INDEX(Roles!$B$17:$B$20,MATCH(J2027,Roles!$A$17:$A$20,0)),1)</f>
        <v/>
      </c>
      <c r="L2027" s="17" t="n">
        <v>1</v>
      </c>
      <c r="M2027" s="11" t="n">
        <v>1</v>
      </c>
      <c r="N2027" s="17" t="n"/>
      <c r="O2027" s="17" t="n"/>
      <c r="P2027" s="17" t="n"/>
      <c r="Q2027" s="17" t="n"/>
      <c r="R2027" s="17" t="n"/>
      <c r="S2027" s="17" t="n"/>
      <c r="T2027" s="17" t="n"/>
      <c r="U2027" s="17" t="n"/>
      <c r="V2027" s="17" t="n"/>
      <c r="W2027" s="17" t="n"/>
      <c r="X2027" s="17" t="n"/>
      <c r="Y2027" s="17" t="n">
        <v>1</v>
      </c>
      <c r="Z2027" s="13">
        <f>SUMPRODUCT(N2027:Y2027,$N$2:$Y$2)*$K2027*$L2027*$M2027</f>
        <v/>
      </c>
      <c r="AA2027" s="14">
        <f>SUM(N2027:Y2027)</f>
        <v/>
      </c>
      <c r="AB2027" s="14">
        <f>IFERROR(IF(UPPER($E2027)="L",SUMPRODUCT(N2027:Y2027,$N$3:$Y$3,$N$2:$Y$2),SUMPRODUCT(N2027:Y2027,$N$4:$Y$4,$N$2:$Y$2))/(Z2027/($K2027*$L2027*$M2027)),"")</f>
        <v/>
      </c>
      <c r="AC2027" s="18" t="n"/>
    </row>
    <row r="2028">
      <c r="A2028" s="9" t="n">
        <v>811718</v>
      </c>
      <c r="B2028" s="9" t="inlineStr">
        <is>
          <t>Josh Wakefield</t>
        </is>
      </c>
      <c r="C2028" s="9" t="inlineStr">
        <is>
          <t>HOU</t>
        </is>
      </c>
      <c r="D2028" s="9" t="n">
        <v>25</v>
      </c>
      <c r="E2028" s="16" t="inlineStr">
        <is>
          <t>L</t>
        </is>
      </c>
      <c r="F2028" s="16" t="n"/>
      <c r="G2028" s="9" t="n">
        <v>38.03076923076923</v>
      </c>
      <c r="H2028" s="9" t="n">
        <v>38.03076923076923</v>
      </c>
      <c r="I2028" s="9" t="inlineStr">
        <is>
          <t>Depth (no MLB PA)</t>
        </is>
      </c>
      <c r="J2028" s="16" t="inlineStr">
        <is>
          <t>Opening Day</t>
        </is>
      </c>
      <c r="K2028" s="11">
        <f>IFERROR(INDEX(Roles!$B$17:$B$20,MATCH(J2028,Roles!$A$17:$A$20,0)),1)</f>
        <v/>
      </c>
      <c r="L2028" s="17" t="n">
        <v>1</v>
      </c>
      <c r="M2028" s="11" t="n">
        <v>1</v>
      </c>
      <c r="N2028" s="17" t="n"/>
      <c r="O2028" s="17" t="n"/>
      <c r="P2028" s="17" t="n"/>
      <c r="Q2028" s="17" t="n"/>
      <c r="R2028" s="17" t="n"/>
      <c r="S2028" s="17" t="n"/>
      <c r="T2028" s="17" t="n"/>
      <c r="U2028" s="17" t="n"/>
      <c r="V2028" s="17" t="n"/>
      <c r="W2028" s="17" t="n"/>
      <c r="X2028" s="17" t="n"/>
      <c r="Y2028" s="17" t="n">
        <v>1</v>
      </c>
      <c r="Z2028" s="13">
        <f>SUMPRODUCT(N2028:Y2028,$N$2:$Y$2)*$K2028*$L2028*$M2028</f>
        <v/>
      </c>
      <c r="AA2028" s="14">
        <f>SUM(N2028:Y2028)</f>
        <v/>
      </c>
      <c r="AB2028" s="14">
        <f>IFERROR(IF(UPPER($E2028)="L",SUMPRODUCT(N2028:Y2028,$N$3:$Y$3,$N$2:$Y$2),SUMPRODUCT(N2028:Y2028,$N$4:$Y$4,$N$2:$Y$2))/(Z2028/($K2028*$L2028*$M2028)),"")</f>
        <v/>
      </c>
      <c r="AC2028" s="18" t="n"/>
    </row>
    <row r="2029">
      <c r="A2029" s="9" t="n">
        <v>823759</v>
      </c>
      <c r="B2029" s="9" t="inlineStr">
        <is>
          <t>Eric Genther</t>
        </is>
      </c>
      <c r="C2029" s="9" t="inlineStr">
        <is>
          <t>NYY</t>
        </is>
      </c>
      <c r="D2029" s="9" t="n">
        <v>25</v>
      </c>
      <c r="E2029" s="16" t="inlineStr">
        <is>
          <t>L</t>
        </is>
      </c>
      <c r="F2029" s="16" t="n"/>
      <c r="G2029" s="9" t="n">
        <v>93.33333333333334</v>
      </c>
      <c r="H2029" s="9" t="n">
        <v>93.33333333333334</v>
      </c>
      <c r="I2029" s="9" t="inlineStr">
        <is>
          <t>Depth (no MLB PA)</t>
        </is>
      </c>
      <c r="J2029" s="16" t="inlineStr">
        <is>
          <t>Opening Day</t>
        </is>
      </c>
      <c r="K2029" s="11">
        <f>IFERROR(INDEX(Roles!$B$17:$B$20,MATCH(J2029,Roles!$A$17:$A$20,0)),1)</f>
        <v/>
      </c>
      <c r="L2029" s="17" t="n">
        <v>1</v>
      </c>
      <c r="M2029" s="11" t="n">
        <v>1</v>
      </c>
      <c r="N2029" s="17" t="n"/>
      <c r="O2029" s="17" t="n"/>
      <c r="P2029" s="17" t="n"/>
      <c r="Q2029" s="17" t="n"/>
      <c r="R2029" s="17" t="n"/>
      <c r="S2029" s="17" t="n"/>
      <c r="T2029" s="17" t="n"/>
      <c r="U2029" s="17" t="n"/>
      <c r="V2029" s="17" t="n"/>
      <c r="W2029" s="17" t="n"/>
      <c r="X2029" s="17" t="n"/>
      <c r="Y2029" s="17" t="n">
        <v>1</v>
      </c>
      <c r="Z2029" s="13">
        <f>SUMPRODUCT(N2029:Y2029,$N$2:$Y$2)*$K2029*$L2029*$M2029</f>
        <v/>
      </c>
      <c r="AA2029" s="14">
        <f>SUM(N2029:Y2029)</f>
        <v/>
      </c>
      <c r="AB2029" s="14">
        <f>IFERROR(IF(UPPER($E2029)="L",SUMPRODUCT(N2029:Y2029,$N$3:$Y$3,$N$2:$Y$2),SUMPRODUCT(N2029:Y2029,$N$4:$Y$4,$N$2:$Y$2))/(Z2029/($K2029*$L2029*$M2029)),"")</f>
        <v/>
      </c>
      <c r="AC2029" s="18" t="n"/>
    </row>
    <row r="2030">
      <c r="A2030" s="9" t="n">
        <v>814696</v>
      </c>
      <c r="B2030" s="9" t="inlineStr">
        <is>
          <t>Jaron Elkins</t>
        </is>
      </c>
      <c r="C2030" s="9" t="inlineStr">
        <is>
          <t>LAD</t>
        </is>
      </c>
      <c r="D2030" s="9" t="n">
        <v>25</v>
      </c>
      <c r="E2030" s="16" t="inlineStr">
        <is>
          <t>R</t>
        </is>
      </c>
      <c r="F2030" s="16" t="n"/>
      <c r="G2030" s="9" t="n">
        <v>28.30769230769231</v>
      </c>
      <c r="H2030" s="9" t="n">
        <v>28.30769230769231</v>
      </c>
      <c r="I2030" s="9" t="inlineStr">
        <is>
          <t>Depth (no MLB PA)</t>
        </is>
      </c>
      <c r="J2030" s="16" t="inlineStr">
        <is>
          <t>Opening Day</t>
        </is>
      </c>
      <c r="K2030" s="11">
        <f>IFERROR(INDEX(Roles!$B$17:$B$20,MATCH(J2030,Roles!$A$17:$A$20,0)),1)</f>
        <v/>
      </c>
      <c r="L2030" s="17" t="n">
        <v>1</v>
      </c>
      <c r="M2030" s="11" t="n">
        <v>1</v>
      </c>
      <c r="N2030" s="17" t="n"/>
      <c r="O2030" s="17" t="n"/>
      <c r="P2030" s="17" t="n"/>
      <c r="Q2030" s="17" t="n"/>
      <c r="R2030" s="17" t="n"/>
      <c r="S2030" s="17" t="n"/>
      <c r="T2030" s="17" t="n"/>
      <c r="U2030" s="17" t="n"/>
      <c r="V2030" s="17" t="n"/>
      <c r="W2030" s="17" t="n"/>
      <c r="X2030" s="17" t="n"/>
      <c r="Y2030" s="17" t="n">
        <v>1</v>
      </c>
      <c r="Z2030" s="13">
        <f>SUMPRODUCT(N2030:Y2030,$N$2:$Y$2)*$K2030*$L2030*$M2030</f>
        <v/>
      </c>
      <c r="AA2030" s="14">
        <f>SUM(N2030:Y2030)</f>
        <v/>
      </c>
      <c r="AB2030" s="14">
        <f>IFERROR(IF(UPPER($E2030)="L",SUMPRODUCT(N2030:Y2030,$N$3:$Y$3,$N$2:$Y$2),SUMPRODUCT(N2030:Y2030,$N$4:$Y$4,$N$2:$Y$2))/(Z2030/($K2030*$L2030*$M2030)),"")</f>
        <v/>
      </c>
      <c r="AC2030" s="18" t="n"/>
    </row>
    <row r="2031">
      <c r="A2031" s="9" t="n">
        <v>834404</v>
      </c>
      <c r="B2031" s="9" t="inlineStr">
        <is>
          <t>Jake Cook</t>
        </is>
      </c>
      <c r="C2031" s="9" t="inlineStr">
        <is>
          <t>TOR</t>
        </is>
      </c>
      <c r="D2031" s="9" t="n">
        <v>25</v>
      </c>
      <c r="E2031" s="16" t="inlineStr">
        <is>
          <t>L</t>
        </is>
      </c>
      <c r="F2031" s="16" t="n"/>
      <c r="G2031" s="9" t="n">
        <v>39.26153846153846</v>
      </c>
      <c r="H2031" s="9" t="n">
        <v>39.26153846153846</v>
      </c>
      <c r="I2031" s="9" t="inlineStr">
        <is>
          <t>Depth (no MLB PA)</t>
        </is>
      </c>
      <c r="J2031" s="16" t="inlineStr">
        <is>
          <t>Opening Day</t>
        </is>
      </c>
      <c r="K2031" s="11">
        <f>IFERROR(INDEX(Roles!$B$17:$B$20,MATCH(J2031,Roles!$A$17:$A$20,0)),1)</f>
        <v/>
      </c>
      <c r="L2031" s="17" t="n">
        <v>1</v>
      </c>
      <c r="M2031" s="11" t="n">
        <v>1</v>
      </c>
      <c r="N2031" s="17" t="n"/>
      <c r="O2031" s="17" t="n"/>
      <c r="P2031" s="17" t="n"/>
      <c r="Q2031" s="17" t="n"/>
      <c r="R2031" s="17" t="n"/>
      <c r="S2031" s="17" t="n"/>
      <c r="T2031" s="17" t="n"/>
      <c r="U2031" s="17" t="n"/>
      <c r="V2031" s="17" t="n"/>
      <c r="W2031" s="17" t="n"/>
      <c r="X2031" s="17" t="n"/>
      <c r="Y2031" s="17" t="n">
        <v>1</v>
      </c>
      <c r="Z2031" s="13">
        <f>SUMPRODUCT(N2031:Y2031,$N$2:$Y$2)*$K2031*$L2031*$M2031</f>
        <v/>
      </c>
      <c r="AA2031" s="14">
        <f>SUM(N2031:Y2031)</f>
        <v/>
      </c>
      <c r="AB2031" s="14">
        <f>IFERROR(IF(UPPER($E2031)="L",SUMPRODUCT(N2031:Y2031,$N$3:$Y$3,$N$2:$Y$2),SUMPRODUCT(N2031:Y2031,$N$4:$Y$4,$N$2:$Y$2))/(Z2031/($K2031*$L2031*$M2031)),"")</f>
        <v/>
      </c>
      <c r="AC2031" s="18" t="n"/>
    </row>
    <row r="2032">
      <c r="A2032" s="9" t="n">
        <v>808338</v>
      </c>
      <c r="B2032" s="9" t="inlineStr">
        <is>
          <t>Pedro Ibarguen</t>
        </is>
      </c>
      <c r="C2032" s="9" t="inlineStr">
        <is>
          <t>MIL</t>
        </is>
      </c>
      <c r="D2032" s="9" t="n">
        <v>25</v>
      </c>
      <c r="E2032" s="16" t="inlineStr">
        <is>
          <t>R</t>
        </is>
      </c>
      <c r="F2032" s="16" t="n"/>
      <c r="G2032" s="9" t="n">
        <v>39.99999999999999</v>
      </c>
      <c r="H2032" s="9" t="n">
        <v>39.99999999999999</v>
      </c>
      <c r="I2032" s="9" t="inlineStr">
        <is>
          <t>Depth (no MLB PA)</t>
        </is>
      </c>
      <c r="J2032" s="16" t="inlineStr">
        <is>
          <t>Opening Day</t>
        </is>
      </c>
      <c r="K2032" s="11">
        <f>IFERROR(INDEX(Roles!$B$17:$B$20,MATCH(J2032,Roles!$A$17:$A$20,0)),1)</f>
        <v/>
      </c>
      <c r="L2032" s="17" t="n">
        <v>1</v>
      </c>
      <c r="M2032" s="11" t="n">
        <v>1</v>
      </c>
      <c r="N2032" s="17" t="n"/>
      <c r="O2032" s="17" t="n"/>
      <c r="P2032" s="17" t="n"/>
      <c r="Q2032" s="17" t="n"/>
      <c r="R2032" s="17" t="n"/>
      <c r="S2032" s="17" t="n"/>
      <c r="T2032" s="17" t="n"/>
      <c r="U2032" s="17" t="n"/>
      <c r="V2032" s="17" t="n"/>
      <c r="W2032" s="17" t="n"/>
      <c r="X2032" s="17" t="n"/>
      <c r="Y2032" s="17" t="n">
        <v>1</v>
      </c>
      <c r="Z2032" s="13">
        <f>SUMPRODUCT(N2032:Y2032,$N$2:$Y$2)*$K2032*$L2032*$M2032</f>
        <v/>
      </c>
      <c r="AA2032" s="14">
        <f>SUM(N2032:Y2032)</f>
        <v/>
      </c>
      <c r="AB2032" s="14">
        <f>IFERROR(IF(UPPER($E2032)="L",SUMPRODUCT(N2032:Y2032,$N$3:$Y$3,$N$2:$Y$2),SUMPRODUCT(N2032:Y2032,$N$4:$Y$4,$N$2:$Y$2))/(Z2032/($K2032*$L2032*$M2032)),"")</f>
        <v/>
      </c>
      <c r="AC2032" s="18" t="n"/>
    </row>
    <row r="2033">
      <c r="A2033" s="9" t="n">
        <v>621512</v>
      </c>
      <c r="B2033" s="9" t="inlineStr">
        <is>
          <t>Tomás Nido</t>
        </is>
      </c>
      <c r="C2033" s="9" t="inlineStr">
        <is>
          <t>DET</t>
        </is>
      </c>
      <c r="D2033" s="9" t="n">
        <v>33</v>
      </c>
      <c r="E2033" s="16" t="inlineStr">
        <is>
          <t>R</t>
        </is>
      </c>
      <c r="F2033" s="16" t="inlineStr">
        <is>
          <t>C</t>
        </is>
      </c>
      <c r="G2033" s="9" t="n">
        <v>37</v>
      </c>
      <c r="H2033" s="9" t="n">
        <v>551</v>
      </c>
      <c r="I2033" s="9" t="inlineStr">
        <is>
          <t>Catcher - Backup</t>
        </is>
      </c>
      <c r="J2033" s="16" t="inlineStr">
        <is>
          <t>Opening Day</t>
        </is>
      </c>
      <c r="K2033" s="11">
        <f>IFERROR(INDEX(Roles!$B$17:$B$20,MATCH(J2033,Roles!$A$17:$A$20,0)),1)</f>
        <v/>
      </c>
      <c r="L2033" s="17" t="n">
        <v>1</v>
      </c>
      <c r="M2033" s="11" t="n">
        <v>1</v>
      </c>
      <c r="N2033" s="17" t="n"/>
      <c r="O2033" s="17" t="n"/>
      <c r="P2033" s="17" t="n"/>
      <c r="Q2033" s="17" t="n"/>
      <c r="R2033" s="17" t="n"/>
      <c r="S2033" s="17" t="n"/>
      <c r="T2033" s="17" t="n">
        <v>1</v>
      </c>
      <c r="U2033" s="17" t="n"/>
      <c r="V2033" s="17" t="n"/>
      <c r="W2033" s="17" t="n"/>
      <c r="X2033" s="17" t="n"/>
      <c r="Y2033" s="17" t="n"/>
      <c r="Z2033" s="13">
        <f>SUMPRODUCT(N2033:Y2033,$N$2:$Y$2)*$K2033*$L2033*$M2033</f>
        <v/>
      </c>
      <c r="AA2033" s="14">
        <f>SUM(N2033:Y2033)</f>
        <v/>
      </c>
      <c r="AB2033" s="14">
        <f>IFERROR(IF(UPPER($E2033)="L",SUMPRODUCT(N2033:Y2033,$N$3:$Y$3,$N$2:$Y$2),SUMPRODUCT(N2033:Y2033,$N$4:$Y$4,$N$2:$Y$2))/(Z2033/($K2033*$L2033*$M2033)),"")</f>
        <v/>
      </c>
      <c r="AC2033" s="18" t="n"/>
    </row>
    <row r="2034">
      <c r="A2034" s="9" t="n">
        <v>829854</v>
      </c>
      <c r="B2034" s="9" t="inlineStr">
        <is>
          <t>Luis Arana</t>
        </is>
      </c>
      <c r="C2034" s="9" t="inlineStr">
        <is>
          <t>MIA</t>
        </is>
      </c>
      <c r="D2034" s="9" t="n">
        <v>25</v>
      </c>
      <c r="E2034" s="16" t="inlineStr">
        <is>
          <t>R</t>
        </is>
      </c>
      <c r="F2034" s="16" t="n"/>
      <c r="G2034" s="9" t="n">
        <v>33.84615384615385</v>
      </c>
      <c r="H2034" s="9" t="n">
        <v>33.84615384615385</v>
      </c>
      <c r="I2034" s="9" t="inlineStr">
        <is>
          <t>Depth (no MLB PA)</t>
        </is>
      </c>
      <c r="J2034" s="16" t="inlineStr">
        <is>
          <t>Opening Day</t>
        </is>
      </c>
      <c r="K2034" s="11">
        <f>IFERROR(INDEX(Roles!$B$17:$B$20,MATCH(J2034,Roles!$A$17:$A$20,0)),1)</f>
        <v/>
      </c>
      <c r="L2034" s="17" t="n">
        <v>1</v>
      </c>
      <c r="M2034" s="11" t="n">
        <v>1</v>
      </c>
      <c r="N2034" s="17" t="n"/>
      <c r="O2034" s="17" t="n"/>
      <c r="P2034" s="17" t="n"/>
      <c r="Q2034" s="17" t="n"/>
      <c r="R2034" s="17" t="n"/>
      <c r="S2034" s="17" t="n"/>
      <c r="T2034" s="17" t="n"/>
      <c r="U2034" s="17" t="n"/>
      <c r="V2034" s="17" t="n"/>
      <c r="W2034" s="17" t="n"/>
      <c r="X2034" s="17" t="n"/>
      <c r="Y2034" s="17" t="n">
        <v>1</v>
      </c>
      <c r="Z2034" s="13">
        <f>SUMPRODUCT(N2034:Y2034,$N$2:$Y$2)*$K2034*$L2034*$M2034</f>
        <v/>
      </c>
      <c r="AA2034" s="14">
        <f>SUM(N2034:Y2034)</f>
        <v/>
      </c>
      <c r="AB2034" s="14">
        <f>IFERROR(IF(UPPER($E2034)="L",SUMPRODUCT(N2034:Y2034,$N$3:$Y$3,$N$2:$Y$2),SUMPRODUCT(N2034:Y2034,$N$4:$Y$4,$N$2:$Y$2))/(Z2034/($K2034*$L2034*$M2034)),"")</f>
        <v/>
      </c>
      <c r="AC2034" s="18" t="n"/>
    </row>
    <row r="2035">
      <c r="A2035" s="9" t="n">
        <v>596103</v>
      </c>
      <c r="B2035" s="9" t="inlineStr">
        <is>
          <t>Austin Slater</t>
        </is>
      </c>
      <c r="C2035" s="9" t="inlineStr">
        <is>
          <t>TB</t>
        </is>
      </c>
      <c r="D2035" s="9" t="n">
        <v>34</v>
      </c>
      <c r="E2035" s="16" t="inlineStr">
        <is>
          <t>R</t>
        </is>
      </c>
      <c r="F2035" s="16" t="inlineStr">
        <is>
          <t>RF</t>
        </is>
      </c>
      <c r="G2035" s="9" t="n">
        <v>74</v>
      </c>
      <c r="H2035" s="9" t="n">
        <v>978</v>
      </c>
      <c r="I2035" s="9" t="inlineStr">
        <is>
          <t>Weak Side Platoon</t>
        </is>
      </c>
      <c r="J2035" s="16" t="inlineStr">
        <is>
          <t>Opening Day</t>
        </is>
      </c>
      <c r="K2035" s="11">
        <f>IFERROR(INDEX(Roles!$B$17:$B$20,MATCH(J2035,Roles!$A$17:$A$20,0)),1)</f>
        <v/>
      </c>
      <c r="L2035" s="17" t="n">
        <v>1</v>
      </c>
      <c r="M2035" s="11" t="n">
        <v>1</v>
      </c>
      <c r="N2035" s="17" t="n"/>
      <c r="O2035" s="17" t="n"/>
      <c r="P2035" s="17" t="n"/>
      <c r="Q2035" s="17" t="n">
        <v>1</v>
      </c>
      <c r="R2035" s="17" t="n"/>
      <c r="S2035" s="17" t="n"/>
      <c r="T2035" s="17" t="n"/>
      <c r="U2035" s="17" t="n"/>
      <c r="V2035" s="17" t="n"/>
      <c r="W2035" s="17" t="n"/>
      <c r="X2035" s="17" t="n"/>
      <c r="Y2035" s="17" t="n"/>
      <c r="Z2035" s="13">
        <f>SUMPRODUCT(N2035:Y2035,$N$2:$Y$2)*$K2035*$L2035*$M2035</f>
        <v/>
      </c>
      <c r="AA2035" s="14">
        <f>SUM(N2035:Y2035)</f>
        <v/>
      </c>
      <c r="AB2035" s="14">
        <f>IFERROR(IF(UPPER($E2035)="L",SUMPRODUCT(N2035:Y2035,$N$3:$Y$3,$N$2:$Y$2),SUMPRODUCT(N2035:Y2035,$N$4:$Y$4,$N$2:$Y$2))/(Z2035/($K2035*$L2035*$M2035)),"")</f>
        <v/>
      </c>
      <c r="AC2035" s="18" t="n"/>
    </row>
    <row r="2036">
      <c r="A2036" s="9" t="n">
        <v>815133</v>
      </c>
      <c r="B2036" s="9" t="inlineStr">
        <is>
          <t>Cameron Sisneros</t>
        </is>
      </c>
      <c r="C2036" s="9" t="inlineStr">
        <is>
          <t>HOU</t>
        </is>
      </c>
      <c r="D2036" s="9" t="n">
        <v>25</v>
      </c>
      <c r="E2036" s="16" t="inlineStr">
        <is>
          <t>L</t>
        </is>
      </c>
      <c r="F2036" s="16" t="n"/>
      <c r="G2036" s="9" t="n">
        <v>66.05128205128206</v>
      </c>
      <c r="H2036" s="9" t="n">
        <v>66.05128205128206</v>
      </c>
      <c r="I2036" s="9" t="inlineStr">
        <is>
          <t>Depth (no MLB PA)</t>
        </is>
      </c>
      <c r="J2036" s="16" t="inlineStr">
        <is>
          <t>Opening Day</t>
        </is>
      </c>
      <c r="K2036" s="11">
        <f>IFERROR(INDEX(Roles!$B$17:$B$20,MATCH(J2036,Roles!$A$17:$A$20,0)),1)</f>
        <v/>
      </c>
      <c r="L2036" s="17" t="n">
        <v>1</v>
      </c>
      <c r="M2036" s="11" t="n">
        <v>1</v>
      </c>
      <c r="N2036" s="17" t="n"/>
      <c r="O2036" s="17" t="n"/>
      <c r="P2036" s="17" t="n"/>
      <c r="Q2036" s="17" t="n"/>
      <c r="R2036" s="17" t="n"/>
      <c r="S2036" s="17" t="n"/>
      <c r="T2036" s="17" t="n"/>
      <c r="U2036" s="17" t="n"/>
      <c r="V2036" s="17" t="n"/>
      <c r="W2036" s="17" t="n"/>
      <c r="X2036" s="17" t="n"/>
      <c r="Y2036" s="17" t="n">
        <v>1</v>
      </c>
      <c r="Z2036" s="13">
        <f>SUMPRODUCT(N2036:Y2036,$N$2:$Y$2)*$K2036*$L2036*$M2036</f>
        <v/>
      </c>
      <c r="AA2036" s="14">
        <f>SUM(N2036:Y2036)</f>
        <v/>
      </c>
      <c r="AB2036" s="14">
        <f>IFERROR(IF(UPPER($E2036)="L",SUMPRODUCT(N2036:Y2036,$N$3:$Y$3,$N$2:$Y$2),SUMPRODUCT(N2036:Y2036,$N$4:$Y$4,$N$2:$Y$2))/(Z2036/($K2036*$L2036*$M2036)),"")</f>
        <v/>
      </c>
      <c r="AC2036" s="18" t="n"/>
    </row>
    <row r="2037">
      <c r="A2037" s="9" t="n">
        <v>815911</v>
      </c>
      <c r="B2037" s="9" t="inlineStr">
        <is>
          <t>Edgar Montero</t>
        </is>
      </c>
      <c r="C2037" s="9" t="inlineStr">
        <is>
          <t>OAK</t>
        </is>
      </c>
      <c r="D2037" s="9" t="n">
        <v>25</v>
      </c>
      <c r="E2037" s="16" t="inlineStr">
        <is>
          <t>S</t>
        </is>
      </c>
      <c r="F2037" s="16" t="n"/>
      <c r="G2037" s="9" t="n">
        <v>53.90769230769231</v>
      </c>
      <c r="H2037" s="9" t="n">
        <v>53.90769230769231</v>
      </c>
      <c r="I2037" s="9" t="inlineStr">
        <is>
          <t>Depth (no MLB PA)</t>
        </is>
      </c>
      <c r="J2037" s="16" t="inlineStr">
        <is>
          <t>Opening Day</t>
        </is>
      </c>
      <c r="K2037" s="11">
        <f>IFERROR(INDEX(Roles!$B$17:$B$20,MATCH(J2037,Roles!$A$17:$A$20,0)),1)</f>
        <v/>
      </c>
      <c r="L2037" s="17" t="n">
        <v>1</v>
      </c>
      <c r="M2037" s="11" t="n">
        <v>1</v>
      </c>
      <c r="N2037" s="17" t="n"/>
      <c r="O2037" s="17" t="n"/>
      <c r="P2037" s="17" t="n"/>
      <c r="Q2037" s="17" t="n"/>
      <c r="R2037" s="17" t="n"/>
      <c r="S2037" s="17" t="n"/>
      <c r="T2037" s="17" t="n"/>
      <c r="U2037" s="17" t="n"/>
      <c r="V2037" s="17" t="n"/>
      <c r="W2037" s="17" t="n"/>
      <c r="X2037" s="17" t="n"/>
      <c r="Y2037" s="17" t="n">
        <v>1</v>
      </c>
      <c r="Z2037" s="13">
        <f>SUMPRODUCT(N2037:Y2037,$N$2:$Y$2)*$K2037*$L2037*$M2037</f>
        <v/>
      </c>
      <c r="AA2037" s="14">
        <f>SUM(N2037:Y2037)</f>
        <v/>
      </c>
      <c r="AB2037" s="14">
        <f>IFERROR(IF(UPPER($E2037)="L",SUMPRODUCT(N2037:Y2037,$N$3:$Y$3,$N$2:$Y$2),SUMPRODUCT(N2037:Y2037,$N$4:$Y$4,$N$2:$Y$2))/(Z2037/($K2037*$L2037*$M2037)),"")</f>
        <v/>
      </c>
      <c r="AC2037" s="18" t="n"/>
    </row>
    <row r="2038">
      <c r="A2038" s="9" t="n">
        <v>663457</v>
      </c>
      <c r="B2038" s="9" t="inlineStr">
        <is>
          <t>Lars Nootbaar</t>
        </is>
      </c>
      <c r="C2038" s="9" t="inlineStr">
        <is>
          <t>ARI</t>
        </is>
      </c>
      <c r="D2038" s="9" t="n">
        <v>29</v>
      </c>
      <c r="E2038" s="16" t="inlineStr">
        <is>
          <t>L</t>
        </is>
      </c>
      <c r="F2038" s="16" t="inlineStr">
        <is>
          <t>LF</t>
        </is>
      </c>
      <c r="G2038" s="9" t="n">
        <v>334</v>
      </c>
      <c r="H2038" s="9" t="n">
        <v>2172</v>
      </c>
      <c r="I2038" s="9" t="inlineStr">
        <is>
          <t>Full Time</t>
        </is>
      </c>
      <c r="J2038" s="16" t="inlineStr">
        <is>
          <t>Opening Day</t>
        </is>
      </c>
      <c r="K2038" s="11">
        <f>IFERROR(INDEX(Roles!$B$17:$B$20,MATCH(J2038,Roles!$A$17:$A$20,0)),1)</f>
        <v/>
      </c>
      <c r="L2038" s="17" t="n">
        <v>1</v>
      </c>
      <c r="M2038" s="11" t="n">
        <v>0.9661509480761332</v>
      </c>
      <c r="N2038" s="17" t="n">
        <v>1</v>
      </c>
      <c r="O2038" s="17" t="n"/>
      <c r="P2038" s="17" t="n"/>
      <c r="Q2038" s="17" t="n"/>
      <c r="R2038" s="17" t="n"/>
      <c r="S2038" s="17" t="n"/>
      <c r="T2038" s="17" t="n"/>
      <c r="U2038" s="17" t="n"/>
      <c r="V2038" s="17" t="n"/>
      <c r="W2038" s="17" t="n"/>
      <c r="X2038" s="17" t="n"/>
      <c r="Y2038" s="17" t="n"/>
      <c r="Z2038" s="13">
        <f>SUMPRODUCT(N2038:Y2038,$N$2:$Y$2)*$K2038*$L2038*$M2038</f>
        <v/>
      </c>
      <c r="AA2038" s="14">
        <f>SUM(N2038:Y2038)</f>
        <v/>
      </c>
      <c r="AB2038" s="14">
        <f>IFERROR(IF(UPPER($E2038)="L",SUMPRODUCT(N2038:Y2038,$N$3:$Y$3,$N$2:$Y$2),SUMPRODUCT(N2038:Y2038,$N$4:$Y$4,$N$2:$Y$2))/(Z2038/($K2038*$L2038*$M2038)),"")</f>
        <v/>
      </c>
      <c r="AC2038" s="18" t="n"/>
    </row>
    <row r="2039">
      <c r="A2039" s="9" t="n">
        <v>801464</v>
      </c>
      <c r="B2039" s="9" t="inlineStr">
        <is>
          <t>Andrew Pintar</t>
        </is>
      </c>
      <c r="C2039" s="9" t="inlineStr">
        <is>
          <t>MIA</t>
        </is>
      </c>
      <c r="D2039" s="9" t="n">
        <v>25</v>
      </c>
      <c r="E2039" s="16" t="inlineStr">
        <is>
          <t>R</t>
        </is>
      </c>
      <c r="F2039" s="16" t="n"/>
      <c r="G2039" s="9" t="n">
        <v>199.1282051282052</v>
      </c>
      <c r="H2039" s="9" t="n">
        <v>199.1282051282052</v>
      </c>
      <c r="I2039" s="9" t="inlineStr">
        <is>
          <t>Depth (no MLB PA)</t>
        </is>
      </c>
      <c r="J2039" s="16" t="inlineStr">
        <is>
          <t>Opening Day</t>
        </is>
      </c>
      <c r="K2039" s="11">
        <f>IFERROR(INDEX(Roles!$B$17:$B$20,MATCH(J2039,Roles!$A$17:$A$20,0)),1)</f>
        <v/>
      </c>
      <c r="L2039" s="17" t="n">
        <v>1</v>
      </c>
      <c r="M2039" s="11" t="n">
        <v>1</v>
      </c>
      <c r="N2039" s="17" t="n"/>
      <c r="O2039" s="17" t="n"/>
      <c r="P2039" s="17" t="n"/>
      <c r="Q2039" s="17" t="n"/>
      <c r="R2039" s="17" t="n"/>
      <c r="S2039" s="17" t="n"/>
      <c r="T2039" s="17" t="n"/>
      <c r="U2039" s="17" t="n"/>
      <c r="V2039" s="17" t="n"/>
      <c r="W2039" s="17" t="n"/>
      <c r="X2039" s="17" t="n"/>
      <c r="Y2039" s="17" t="n">
        <v>1</v>
      </c>
      <c r="Z2039" s="13">
        <f>SUMPRODUCT(N2039:Y2039,$N$2:$Y$2)*$K2039*$L2039*$M2039</f>
        <v/>
      </c>
      <c r="AA2039" s="14">
        <f>SUM(N2039:Y2039)</f>
        <v/>
      </c>
      <c r="AB2039" s="14">
        <f>IFERROR(IF(UPPER($E2039)="L",SUMPRODUCT(N2039:Y2039,$N$3:$Y$3,$N$2:$Y$2),SUMPRODUCT(N2039:Y2039,$N$4:$Y$4,$N$2:$Y$2))/(Z2039/($K2039*$L2039*$M2039)),"")</f>
        <v/>
      </c>
      <c r="AC2039" s="18" t="n"/>
    </row>
    <row r="2040">
      <c r="A2040" s="9" t="n">
        <v>822743</v>
      </c>
      <c r="B2040" s="9" t="inlineStr">
        <is>
          <t>Tyriq Kemp</t>
        </is>
      </c>
      <c r="C2040" s="9" t="inlineStr">
        <is>
          <t>KC</t>
        </is>
      </c>
      <c r="D2040" s="9" t="n">
        <v>25</v>
      </c>
      <c r="E2040" s="16" t="inlineStr">
        <is>
          <t>L</t>
        </is>
      </c>
      <c r="F2040" s="16" t="n"/>
      <c r="G2040" s="9" t="n">
        <v>89.43589743589745</v>
      </c>
      <c r="H2040" s="9" t="n">
        <v>89.43589743589745</v>
      </c>
      <c r="I2040" s="9" t="inlineStr">
        <is>
          <t>Depth (no MLB PA)</t>
        </is>
      </c>
      <c r="J2040" s="16" t="inlineStr">
        <is>
          <t>Opening Day</t>
        </is>
      </c>
      <c r="K2040" s="11">
        <f>IFERROR(INDEX(Roles!$B$17:$B$20,MATCH(J2040,Roles!$A$17:$A$20,0)),1)</f>
        <v/>
      </c>
      <c r="L2040" s="17" t="n">
        <v>1</v>
      </c>
      <c r="M2040" s="11" t="n">
        <v>1</v>
      </c>
      <c r="N2040" s="17" t="n"/>
      <c r="O2040" s="17" t="n"/>
      <c r="P2040" s="17" t="n"/>
      <c r="Q2040" s="17" t="n"/>
      <c r="R2040" s="17" t="n"/>
      <c r="S2040" s="17" t="n"/>
      <c r="T2040" s="17" t="n"/>
      <c r="U2040" s="17" t="n"/>
      <c r="V2040" s="17" t="n"/>
      <c r="W2040" s="17" t="n"/>
      <c r="X2040" s="17" t="n"/>
      <c r="Y2040" s="17" t="n">
        <v>1</v>
      </c>
      <c r="Z2040" s="13">
        <f>SUMPRODUCT(N2040:Y2040,$N$2:$Y$2)*$K2040*$L2040*$M2040</f>
        <v/>
      </c>
      <c r="AA2040" s="14">
        <f>SUM(N2040:Y2040)</f>
        <v/>
      </c>
      <c r="AB2040" s="14">
        <f>IFERROR(IF(UPPER($E2040)="L",SUMPRODUCT(N2040:Y2040,$N$3:$Y$3,$N$2:$Y$2),SUMPRODUCT(N2040:Y2040,$N$4:$Y$4,$N$2:$Y$2))/(Z2040/($K2040*$L2040*$M2040)),"")</f>
        <v/>
      </c>
      <c r="AC2040" s="18" t="n"/>
    </row>
    <row r="2041">
      <c r="A2041" s="9" t="n">
        <v>701750</v>
      </c>
      <c r="B2041" s="9" t="inlineStr">
        <is>
          <t>Bennett Thompson</t>
        </is>
      </c>
      <c r="C2041" s="9" t="inlineStr">
        <is>
          <t>CLE</t>
        </is>
      </c>
      <c r="D2041" s="9" t="n">
        <v>25</v>
      </c>
      <c r="E2041" s="16" t="inlineStr">
        <is>
          <t>R</t>
        </is>
      </c>
      <c r="F2041" s="16" t="n"/>
      <c r="G2041" s="9" t="n">
        <v>77.17948717948718</v>
      </c>
      <c r="H2041" s="9" t="n">
        <v>77.17948717948718</v>
      </c>
      <c r="I2041" s="9" t="inlineStr">
        <is>
          <t>Depth (no MLB PA)</t>
        </is>
      </c>
      <c r="J2041" s="16" t="inlineStr">
        <is>
          <t>Opening Day</t>
        </is>
      </c>
      <c r="K2041" s="11">
        <f>IFERROR(INDEX(Roles!$B$17:$B$20,MATCH(J2041,Roles!$A$17:$A$20,0)),1)</f>
        <v/>
      </c>
      <c r="L2041" s="17" t="n">
        <v>1</v>
      </c>
      <c r="M2041" s="11" t="n">
        <v>1</v>
      </c>
      <c r="N2041" s="17" t="n"/>
      <c r="O2041" s="17" t="n"/>
      <c r="P2041" s="17" t="n"/>
      <c r="Q2041" s="17" t="n"/>
      <c r="R2041" s="17" t="n"/>
      <c r="S2041" s="17" t="n"/>
      <c r="T2041" s="17" t="n"/>
      <c r="U2041" s="17" t="n"/>
      <c r="V2041" s="17" t="n"/>
      <c r="W2041" s="17" t="n"/>
      <c r="X2041" s="17" t="n"/>
      <c r="Y2041" s="17" t="n">
        <v>1</v>
      </c>
      <c r="Z2041" s="13">
        <f>SUMPRODUCT(N2041:Y2041,$N$2:$Y$2)*$K2041*$L2041*$M2041</f>
        <v/>
      </c>
      <c r="AA2041" s="14">
        <f>SUM(N2041:Y2041)</f>
        <v/>
      </c>
      <c r="AB2041" s="14">
        <f>IFERROR(IF(UPPER($E2041)="L",SUMPRODUCT(N2041:Y2041,$N$3:$Y$3,$N$2:$Y$2),SUMPRODUCT(N2041:Y2041,$N$4:$Y$4,$N$2:$Y$2))/(Z2041/($K2041*$L2041*$M2041)),"")</f>
        <v/>
      </c>
      <c r="AC2041" s="18" t="n"/>
    </row>
    <row r="2042">
      <c r="A2042" s="9" t="n">
        <v>702264</v>
      </c>
      <c r="B2042" s="9" t="inlineStr">
        <is>
          <t>Gavin Kilen</t>
        </is>
      </c>
      <c r="C2042" s="9" t="inlineStr">
        <is>
          <t>SF</t>
        </is>
      </c>
      <c r="D2042" s="9" t="n">
        <v>23</v>
      </c>
      <c r="E2042" s="16" t="inlineStr">
        <is>
          <t>L</t>
        </is>
      </c>
      <c r="F2042" s="16" t="n"/>
      <c r="G2042" s="9" t="n">
        <v>49.8974358974359</v>
      </c>
      <c r="H2042" s="9" t="n">
        <v>49.8974358974359</v>
      </c>
      <c r="I2042" s="9" t="inlineStr">
        <is>
          <t>Depth (no MLB PA)</t>
        </is>
      </c>
      <c r="J2042" s="16" t="inlineStr">
        <is>
          <t>Opening Day</t>
        </is>
      </c>
      <c r="K2042" s="11">
        <f>IFERROR(INDEX(Roles!$B$17:$B$20,MATCH(J2042,Roles!$A$17:$A$20,0)),1)</f>
        <v/>
      </c>
      <c r="L2042" s="17" t="n">
        <v>1</v>
      </c>
      <c r="M2042" s="11" t="n">
        <v>1</v>
      </c>
      <c r="N2042" s="17" t="n"/>
      <c r="O2042" s="17" t="n"/>
      <c r="P2042" s="17" t="n"/>
      <c r="Q2042" s="17" t="n"/>
      <c r="R2042" s="17" t="n"/>
      <c r="S2042" s="17" t="n"/>
      <c r="T2042" s="17" t="n"/>
      <c r="U2042" s="17" t="n"/>
      <c r="V2042" s="17" t="n"/>
      <c r="W2042" s="17" t="n"/>
      <c r="X2042" s="17" t="n"/>
      <c r="Y2042" s="17" t="n">
        <v>1</v>
      </c>
      <c r="Z2042" s="13">
        <f>SUMPRODUCT(N2042:Y2042,$N$2:$Y$2)*$K2042*$L2042*$M2042</f>
        <v/>
      </c>
      <c r="AA2042" s="14">
        <f>SUM(N2042:Y2042)</f>
        <v/>
      </c>
      <c r="AB2042" s="14">
        <f>IFERROR(IF(UPPER($E2042)="L",SUMPRODUCT(N2042:Y2042,$N$3:$Y$3,$N$2:$Y$2),SUMPRODUCT(N2042:Y2042,$N$4:$Y$4,$N$2:$Y$2))/(Z2042/($K2042*$L2042*$M2042)),"")</f>
        <v/>
      </c>
      <c r="AC2042" s="18" t="n"/>
    </row>
    <row r="2043">
      <c r="A2043" s="9" t="n">
        <v>681080</v>
      </c>
      <c r="B2043" s="9" t="inlineStr">
        <is>
          <t>Caleb Ricketts</t>
        </is>
      </c>
      <c r="C2043" s="9" t="inlineStr">
        <is>
          <t>PHI</t>
        </is>
      </c>
      <c r="D2043" s="9" t="n">
        <v>25</v>
      </c>
      <c r="E2043" s="16" t="inlineStr">
        <is>
          <t>L</t>
        </is>
      </c>
      <c r="F2043" s="16" t="n"/>
      <c r="G2043" s="9" t="n">
        <v>98.15384615384616</v>
      </c>
      <c r="H2043" s="9" t="n">
        <v>98.15384615384616</v>
      </c>
      <c r="I2043" s="9" t="inlineStr">
        <is>
          <t>Depth (no MLB PA)</t>
        </is>
      </c>
      <c r="J2043" s="16" t="inlineStr">
        <is>
          <t>Opening Day</t>
        </is>
      </c>
      <c r="K2043" s="11">
        <f>IFERROR(INDEX(Roles!$B$17:$B$20,MATCH(J2043,Roles!$A$17:$A$20,0)),1)</f>
        <v/>
      </c>
      <c r="L2043" s="17" t="n">
        <v>1</v>
      </c>
      <c r="M2043" s="11" t="n">
        <v>1</v>
      </c>
      <c r="N2043" s="17" t="n"/>
      <c r="O2043" s="17" t="n"/>
      <c r="P2043" s="17" t="n"/>
      <c r="Q2043" s="17" t="n"/>
      <c r="R2043" s="17" t="n"/>
      <c r="S2043" s="17" t="n"/>
      <c r="T2043" s="17" t="n"/>
      <c r="U2043" s="17" t="n"/>
      <c r="V2043" s="17" t="n"/>
      <c r="W2043" s="17" t="n"/>
      <c r="X2043" s="17" t="n"/>
      <c r="Y2043" s="17" t="n">
        <v>1</v>
      </c>
      <c r="Z2043" s="13">
        <f>SUMPRODUCT(N2043:Y2043,$N$2:$Y$2)*$K2043*$L2043*$M2043</f>
        <v/>
      </c>
      <c r="AA2043" s="14">
        <f>SUM(N2043:Y2043)</f>
        <v/>
      </c>
      <c r="AB2043" s="14">
        <f>IFERROR(IF(UPPER($E2043)="L",SUMPRODUCT(N2043:Y2043,$N$3:$Y$3,$N$2:$Y$2),SUMPRODUCT(N2043:Y2043,$N$4:$Y$4,$N$2:$Y$2))/(Z2043/($K2043*$L2043*$M2043)),"")</f>
        <v/>
      </c>
      <c r="AC2043" s="18" t="n"/>
    </row>
    <row r="2044">
      <c r="A2044" s="9" t="n">
        <v>700164</v>
      </c>
      <c r="B2044" s="9" t="inlineStr">
        <is>
          <t>Bryant Betancourt</t>
        </is>
      </c>
      <c r="C2044" s="9" t="inlineStr">
        <is>
          <t>COL</t>
        </is>
      </c>
      <c r="D2044" s="9" t="n">
        <v>25</v>
      </c>
      <c r="E2044" s="16" t="inlineStr">
        <is>
          <t>L</t>
        </is>
      </c>
      <c r="F2044" s="16" t="n"/>
      <c r="G2044" s="9" t="n">
        <v>84.61538461538461</v>
      </c>
      <c r="H2044" s="9" t="n">
        <v>84.61538461538461</v>
      </c>
      <c r="I2044" s="9" t="inlineStr">
        <is>
          <t>Depth (no MLB PA)</t>
        </is>
      </c>
      <c r="J2044" s="16" t="inlineStr">
        <is>
          <t>Opening Day</t>
        </is>
      </c>
      <c r="K2044" s="11">
        <f>IFERROR(INDEX(Roles!$B$17:$B$20,MATCH(J2044,Roles!$A$17:$A$20,0)),1)</f>
        <v/>
      </c>
      <c r="L2044" s="17" t="n">
        <v>1</v>
      </c>
      <c r="M2044" s="11" t="n">
        <v>1</v>
      </c>
      <c r="N2044" s="17" t="n"/>
      <c r="O2044" s="17" t="n"/>
      <c r="P2044" s="17" t="n"/>
      <c r="Q2044" s="17" t="n"/>
      <c r="R2044" s="17" t="n"/>
      <c r="S2044" s="17" t="n"/>
      <c r="T2044" s="17" t="n"/>
      <c r="U2044" s="17" t="n"/>
      <c r="V2044" s="17" t="n"/>
      <c r="W2044" s="17" t="n"/>
      <c r="X2044" s="17" t="n"/>
      <c r="Y2044" s="17" t="n">
        <v>1</v>
      </c>
      <c r="Z2044" s="13">
        <f>SUMPRODUCT(N2044:Y2044,$N$2:$Y$2)*$K2044*$L2044*$M2044</f>
        <v/>
      </c>
      <c r="AA2044" s="14">
        <f>SUM(N2044:Y2044)</f>
        <v/>
      </c>
      <c r="AB2044" s="14">
        <f>IFERROR(IF(UPPER($E2044)="L",SUMPRODUCT(N2044:Y2044,$N$3:$Y$3,$N$2:$Y$2),SUMPRODUCT(N2044:Y2044,$N$4:$Y$4,$N$2:$Y$2))/(Z2044/($K2044*$L2044*$M2044)),"")</f>
        <v/>
      </c>
      <c r="AC2044" s="18" t="n"/>
    </row>
    <row r="2045">
      <c r="A2045" s="9" t="n">
        <v>836168</v>
      </c>
      <c r="B2045" s="9" t="inlineStr">
        <is>
          <t>Andrews Opata</t>
        </is>
      </c>
      <c r="C2045" s="9" t="inlineStr">
        <is>
          <t>BOS</t>
        </is>
      </c>
      <c r="D2045" s="9" t="n">
        <v>25</v>
      </c>
      <c r="E2045" s="16" t="inlineStr">
        <is>
          <t>R</t>
        </is>
      </c>
      <c r="F2045" s="16" t="n"/>
      <c r="G2045" s="9" t="n">
        <v>53.41538461538462</v>
      </c>
      <c r="H2045" s="9" t="n">
        <v>53.41538461538462</v>
      </c>
      <c r="I2045" s="9" t="inlineStr">
        <is>
          <t>Depth (no MLB PA)</t>
        </is>
      </c>
      <c r="J2045" s="16" t="inlineStr">
        <is>
          <t>Opening Day</t>
        </is>
      </c>
      <c r="K2045" s="11">
        <f>IFERROR(INDEX(Roles!$B$17:$B$20,MATCH(J2045,Roles!$A$17:$A$20,0)),1)</f>
        <v/>
      </c>
      <c r="L2045" s="17" t="n">
        <v>1</v>
      </c>
      <c r="M2045" s="11" t="n">
        <v>1</v>
      </c>
      <c r="N2045" s="17" t="n"/>
      <c r="O2045" s="17" t="n"/>
      <c r="P2045" s="17" t="n"/>
      <c r="Q2045" s="17" t="n"/>
      <c r="R2045" s="17" t="n"/>
      <c r="S2045" s="17" t="n"/>
      <c r="T2045" s="17" t="n"/>
      <c r="U2045" s="17" t="n"/>
      <c r="V2045" s="17" t="n"/>
      <c r="W2045" s="17" t="n"/>
      <c r="X2045" s="17" t="n"/>
      <c r="Y2045" s="17" t="n">
        <v>1</v>
      </c>
      <c r="Z2045" s="13">
        <f>SUMPRODUCT(N2045:Y2045,$N$2:$Y$2)*$K2045*$L2045*$M2045</f>
        <v/>
      </c>
      <c r="AA2045" s="14">
        <f>SUM(N2045:Y2045)</f>
        <v/>
      </c>
      <c r="AB2045" s="14">
        <f>IFERROR(IF(UPPER($E2045)="L",SUMPRODUCT(N2045:Y2045,$N$3:$Y$3,$N$2:$Y$2),SUMPRODUCT(N2045:Y2045,$N$4:$Y$4,$N$2:$Y$2))/(Z2045/($K2045*$L2045*$M2045)),"")</f>
        <v/>
      </c>
      <c r="AC2045" s="18" t="n"/>
    </row>
    <row r="2046">
      <c r="A2046" s="9" t="n">
        <v>835614</v>
      </c>
      <c r="B2046" s="9" t="inlineStr">
        <is>
          <t>Brady O'Brien</t>
        </is>
      </c>
      <c r="C2046" s="9" t="inlineStr">
        <is>
          <t>SEA</t>
        </is>
      </c>
      <c r="D2046" s="9" t="n">
        <v>25</v>
      </c>
      <c r="E2046" s="16" t="inlineStr">
        <is>
          <t>R</t>
        </is>
      </c>
      <c r="F2046" s="16" t="n"/>
      <c r="G2046" s="9" t="n">
        <v>30.76923076923077</v>
      </c>
      <c r="H2046" s="9" t="n">
        <v>30.76923076923077</v>
      </c>
      <c r="I2046" s="9" t="inlineStr">
        <is>
          <t>Depth (no MLB PA)</t>
        </is>
      </c>
      <c r="J2046" s="16" t="inlineStr">
        <is>
          <t>Opening Day</t>
        </is>
      </c>
      <c r="K2046" s="11">
        <f>IFERROR(INDEX(Roles!$B$17:$B$20,MATCH(J2046,Roles!$A$17:$A$20,0)),1)</f>
        <v/>
      </c>
      <c r="L2046" s="17" t="n">
        <v>1</v>
      </c>
      <c r="M2046" s="11" t="n">
        <v>1</v>
      </c>
      <c r="N2046" s="17" t="n"/>
      <c r="O2046" s="17" t="n"/>
      <c r="P2046" s="17" t="n"/>
      <c r="Q2046" s="17" t="n"/>
      <c r="R2046" s="17" t="n"/>
      <c r="S2046" s="17" t="n"/>
      <c r="T2046" s="17" t="n"/>
      <c r="U2046" s="17" t="n"/>
      <c r="V2046" s="17" t="n"/>
      <c r="W2046" s="17" t="n"/>
      <c r="X2046" s="17" t="n"/>
      <c r="Y2046" s="17" t="n">
        <v>1</v>
      </c>
      <c r="Z2046" s="13">
        <f>SUMPRODUCT(N2046:Y2046,$N$2:$Y$2)*$K2046*$L2046*$M2046</f>
        <v/>
      </c>
      <c r="AA2046" s="14">
        <f>SUM(N2046:Y2046)</f>
        <v/>
      </c>
      <c r="AB2046" s="14">
        <f>IFERROR(IF(UPPER($E2046)="L",SUMPRODUCT(N2046:Y2046,$N$3:$Y$3,$N$2:$Y$2),SUMPRODUCT(N2046:Y2046,$N$4:$Y$4,$N$2:$Y$2))/(Z2046/($K2046*$L2046*$M2046)),"")</f>
        <v/>
      </c>
      <c r="AC2046" s="18" t="n"/>
    </row>
    <row r="2047">
      <c r="A2047" s="9" t="n">
        <v>804558</v>
      </c>
      <c r="B2047" s="9" t="inlineStr">
        <is>
          <t>Raudi Rodriguez</t>
        </is>
      </c>
      <c r="C2047" s="9" t="inlineStr">
        <is>
          <t>LAA</t>
        </is>
      </c>
      <c r="D2047" s="9" t="n">
        <v>24</v>
      </c>
      <c r="E2047" s="16" t="inlineStr">
        <is>
          <t>R</t>
        </is>
      </c>
      <c r="F2047" s="16" t="n"/>
      <c r="G2047" s="9" t="n">
        <v>98.15384615384616</v>
      </c>
      <c r="H2047" s="9" t="n">
        <v>98.15384615384616</v>
      </c>
      <c r="I2047" s="9" t="inlineStr">
        <is>
          <t>Bench Bat</t>
        </is>
      </c>
      <c r="J2047" s="16" t="inlineStr">
        <is>
          <t>Mid Season (~July)</t>
        </is>
      </c>
      <c r="K2047" s="11">
        <f>IFERROR(INDEX(Roles!$B$17:$B$20,MATCH(J2047,Roles!$A$17:$A$20,0)),1)</f>
        <v/>
      </c>
      <c r="L2047" s="17" t="n">
        <v>1</v>
      </c>
      <c r="M2047" s="11" t="n">
        <v>1</v>
      </c>
      <c r="N2047" s="17" t="n"/>
      <c r="O2047" s="17" t="n"/>
      <c r="P2047" s="17" t="n">
        <v>0.35</v>
      </c>
      <c r="Q2047" s="17" t="n"/>
      <c r="R2047" s="17" t="n"/>
      <c r="S2047" s="17" t="n"/>
      <c r="T2047" s="17" t="n"/>
      <c r="U2047" s="17" t="n"/>
      <c r="V2047" s="17" t="n"/>
      <c r="W2047" s="17" t="n">
        <v>0.45</v>
      </c>
      <c r="X2047" s="17" t="n">
        <v>0.2</v>
      </c>
      <c r="Y2047" s="17" t="n"/>
      <c r="Z2047" s="13">
        <f>SUMPRODUCT(N2047:Y2047,$N$2:$Y$2)*$K2047*$L2047*$M2047</f>
        <v/>
      </c>
      <c r="AA2047" s="14">
        <f>SUM(N2047:Y2047)</f>
        <v/>
      </c>
      <c r="AB2047" s="14">
        <f>IFERROR(IF(UPPER($E2047)="L",SUMPRODUCT(N2047:Y2047,$N$3:$Y$3,$N$2:$Y$2),SUMPRODUCT(N2047:Y2047,$N$4:$Y$4,$N$2:$Y$2))/(Z2047/($K2047*$L2047*$M2047)),"")</f>
        <v/>
      </c>
      <c r="AC2047" s="18" t="n"/>
    </row>
    <row r="2048">
      <c r="A2048" s="9" t="n">
        <v>453568</v>
      </c>
      <c r="B2048" s="9" t="inlineStr">
        <is>
          <t>Charlie Blackmon</t>
        </is>
      </c>
      <c r="C2048" s="9" t="inlineStr">
        <is>
          <t>COL</t>
        </is>
      </c>
      <c r="D2048" s="9" t="n">
        <v>40</v>
      </c>
      <c r="E2048" s="16" t="inlineStr">
        <is>
          <t>L</t>
        </is>
      </c>
      <c r="F2048" s="16" t="inlineStr">
        <is>
          <t>RF</t>
        </is>
      </c>
      <c r="G2048" s="9" t="n">
        <v>499</v>
      </c>
      <c r="H2048" s="9" t="n">
        <v>1489</v>
      </c>
      <c r="I2048" s="9" t="inlineStr">
        <is>
          <t>Depth (no MLB PA)</t>
        </is>
      </c>
      <c r="J2048" s="16" t="inlineStr">
        <is>
          <t>Opening Day</t>
        </is>
      </c>
      <c r="K2048" s="11">
        <f>IFERROR(INDEX(Roles!$B$17:$B$20,MATCH(J2048,Roles!$A$17:$A$20,0)),1)</f>
        <v/>
      </c>
      <c r="L2048" s="17" t="n">
        <v>1</v>
      </c>
      <c r="M2048" s="11" t="n">
        <v>1.15</v>
      </c>
      <c r="N2048" s="17" t="n"/>
      <c r="O2048" s="17" t="n"/>
      <c r="P2048" s="17" t="n"/>
      <c r="Q2048" s="17" t="n"/>
      <c r="R2048" s="17" t="n"/>
      <c r="S2048" s="17" t="n"/>
      <c r="T2048" s="17" t="n"/>
      <c r="U2048" s="17" t="n"/>
      <c r="V2048" s="17" t="n"/>
      <c r="W2048" s="17" t="n"/>
      <c r="X2048" s="17" t="n"/>
      <c r="Y2048" s="17" t="n">
        <v>1</v>
      </c>
      <c r="Z2048" s="13">
        <f>SUMPRODUCT(N2048:Y2048,$N$2:$Y$2)*$K2048*$L2048*$M2048</f>
        <v/>
      </c>
      <c r="AA2048" s="14">
        <f>SUM(N2048:Y2048)</f>
        <v/>
      </c>
      <c r="AB2048" s="14">
        <f>IFERROR(IF(UPPER($E2048)="L",SUMPRODUCT(N2048:Y2048,$N$3:$Y$3,$N$2:$Y$2),SUMPRODUCT(N2048:Y2048,$N$4:$Y$4,$N$2:$Y$2))/(Z2048/($K2048*$L2048*$M2048)),"")</f>
        <v/>
      </c>
      <c r="AC2048" s="18" t="n"/>
    </row>
    <row r="2049">
      <c r="A2049" s="9" t="n">
        <v>692478</v>
      </c>
      <c r="B2049" s="9" t="inlineStr">
        <is>
          <t>Victor Arias</t>
        </is>
      </c>
      <c r="C2049" s="9" t="inlineStr">
        <is>
          <t>TOR</t>
        </is>
      </c>
      <c r="D2049" s="9" t="n">
        <v>25</v>
      </c>
      <c r="E2049" s="16" t="inlineStr">
        <is>
          <t>L</t>
        </is>
      </c>
      <c r="F2049" s="16" t="n"/>
      <c r="G2049" s="9" t="n">
        <v>124.9230769230769</v>
      </c>
      <c r="H2049" s="9" t="n">
        <v>124.9230769230769</v>
      </c>
      <c r="I2049" s="9" t="inlineStr">
        <is>
          <t>Depth (no MLB PA)</t>
        </is>
      </c>
      <c r="J2049" s="16" t="inlineStr">
        <is>
          <t>Opening Day</t>
        </is>
      </c>
      <c r="K2049" s="11">
        <f>IFERROR(INDEX(Roles!$B$17:$B$20,MATCH(J2049,Roles!$A$17:$A$20,0)),1)</f>
        <v/>
      </c>
      <c r="L2049" s="17" t="n">
        <v>1</v>
      </c>
      <c r="M2049" s="11" t="n">
        <v>1</v>
      </c>
      <c r="N2049" s="17" t="n"/>
      <c r="O2049" s="17" t="n"/>
      <c r="P2049" s="17" t="n"/>
      <c r="Q2049" s="17" t="n"/>
      <c r="R2049" s="17" t="n"/>
      <c r="S2049" s="17" t="n"/>
      <c r="T2049" s="17" t="n"/>
      <c r="U2049" s="17" t="n"/>
      <c r="V2049" s="17" t="n"/>
      <c r="W2049" s="17" t="n"/>
      <c r="X2049" s="17" t="n"/>
      <c r="Y2049" s="17" t="n">
        <v>1</v>
      </c>
      <c r="Z2049" s="13">
        <f>SUMPRODUCT(N2049:Y2049,$N$2:$Y$2)*$K2049*$L2049*$M2049</f>
        <v/>
      </c>
      <c r="AA2049" s="14">
        <f>SUM(N2049:Y2049)</f>
        <v/>
      </c>
      <c r="AB2049" s="14">
        <f>IFERROR(IF(UPPER($E2049)="L",SUMPRODUCT(N2049:Y2049,$N$3:$Y$3,$N$2:$Y$2),SUMPRODUCT(N2049:Y2049,$N$4:$Y$4,$N$2:$Y$2))/(Z2049/($K2049*$L2049*$M2049)),"")</f>
        <v/>
      </c>
      <c r="AC2049" s="18" t="n"/>
    </row>
    <row r="2050">
      <c r="A2050" s="9" t="n">
        <v>698929</v>
      </c>
      <c r="B2050" s="9" t="inlineStr">
        <is>
          <t>Jesus Hernandez</t>
        </is>
      </c>
      <c r="C2050" s="9" t="inlineStr">
        <is>
          <t>MIA</t>
        </is>
      </c>
      <c r="D2050" s="9" t="n">
        <v>25</v>
      </c>
      <c r="E2050" s="16" t="inlineStr">
        <is>
          <t>R</t>
        </is>
      </c>
      <c r="F2050" s="16" t="n"/>
      <c r="G2050" s="9" t="n">
        <v>52.92307692307693</v>
      </c>
      <c r="H2050" s="9" t="n">
        <v>52.92307692307693</v>
      </c>
      <c r="I2050" s="9" t="inlineStr">
        <is>
          <t>Depth (no MLB PA)</t>
        </is>
      </c>
      <c r="J2050" s="16" t="inlineStr">
        <is>
          <t>Opening Day</t>
        </is>
      </c>
      <c r="K2050" s="11">
        <f>IFERROR(INDEX(Roles!$B$17:$B$20,MATCH(J2050,Roles!$A$17:$A$20,0)),1)</f>
        <v/>
      </c>
      <c r="L2050" s="17" t="n">
        <v>1</v>
      </c>
      <c r="M2050" s="11" t="n">
        <v>1</v>
      </c>
      <c r="N2050" s="17" t="n"/>
      <c r="O2050" s="17" t="n"/>
      <c r="P2050" s="17" t="n"/>
      <c r="Q2050" s="17" t="n"/>
      <c r="R2050" s="17" t="n"/>
      <c r="S2050" s="17" t="n"/>
      <c r="T2050" s="17" t="n"/>
      <c r="U2050" s="17" t="n"/>
      <c r="V2050" s="17" t="n"/>
      <c r="W2050" s="17" t="n"/>
      <c r="X2050" s="17" t="n"/>
      <c r="Y2050" s="17" t="n">
        <v>1</v>
      </c>
      <c r="Z2050" s="13">
        <f>SUMPRODUCT(N2050:Y2050,$N$2:$Y$2)*$K2050*$L2050*$M2050</f>
        <v/>
      </c>
      <c r="AA2050" s="14">
        <f>SUM(N2050:Y2050)</f>
        <v/>
      </c>
      <c r="AB2050" s="14">
        <f>IFERROR(IF(UPPER($E2050)="L",SUMPRODUCT(N2050:Y2050,$N$3:$Y$3,$N$2:$Y$2),SUMPRODUCT(N2050:Y2050,$N$4:$Y$4,$N$2:$Y$2))/(Z2050/($K2050*$L2050*$M2050)),"")</f>
        <v/>
      </c>
      <c r="AC2050" s="18" t="n"/>
    </row>
    <row r="2051">
      <c r="A2051" s="9" t="n">
        <v>701777</v>
      </c>
      <c r="B2051" s="9" t="inlineStr">
        <is>
          <t>Wilson Weber</t>
        </is>
      </c>
      <c r="C2051" s="9" t="inlineStr">
        <is>
          <t>MIA</t>
        </is>
      </c>
      <c r="D2051" s="9" t="n">
        <v>25</v>
      </c>
      <c r="E2051" s="16" t="inlineStr">
        <is>
          <t>R</t>
        </is>
      </c>
      <c r="F2051" s="16" t="n"/>
      <c r="G2051" s="9" t="n">
        <v>54.15384615384616</v>
      </c>
      <c r="H2051" s="9" t="n">
        <v>54.15384615384616</v>
      </c>
      <c r="I2051" s="9" t="inlineStr">
        <is>
          <t>Depth (no MLB PA)</t>
        </is>
      </c>
      <c r="J2051" s="16" t="inlineStr">
        <is>
          <t>Opening Day</t>
        </is>
      </c>
      <c r="K2051" s="11">
        <f>IFERROR(INDEX(Roles!$B$17:$B$20,MATCH(J2051,Roles!$A$17:$A$20,0)),1)</f>
        <v/>
      </c>
      <c r="L2051" s="17" t="n">
        <v>1</v>
      </c>
      <c r="M2051" s="11" t="n">
        <v>1</v>
      </c>
      <c r="N2051" s="17" t="n"/>
      <c r="O2051" s="17" t="n"/>
      <c r="P2051" s="17" t="n"/>
      <c r="Q2051" s="17" t="n"/>
      <c r="R2051" s="17" t="n"/>
      <c r="S2051" s="17" t="n"/>
      <c r="T2051" s="17" t="n"/>
      <c r="U2051" s="17" t="n"/>
      <c r="V2051" s="17" t="n"/>
      <c r="W2051" s="17" t="n"/>
      <c r="X2051" s="17" t="n"/>
      <c r="Y2051" s="17" t="n">
        <v>1</v>
      </c>
      <c r="Z2051" s="13">
        <f>SUMPRODUCT(N2051:Y2051,$N$2:$Y$2)*$K2051*$L2051*$M2051</f>
        <v/>
      </c>
      <c r="AA2051" s="14">
        <f>SUM(N2051:Y2051)</f>
        <v/>
      </c>
      <c r="AB2051" s="14">
        <f>IFERROR(IF(UPPER($E2051)="L",SUMPRODUCT(N2051:Y2051,$N$3:$Y$3,$N$2:$Y$2),SUMPRODUCT(N2051:Y2051,$N$4:$Y$4,$N$2:$Y$2))/(Z2051/($K2051*$L2051*$M2051)),"")</f>
        <v/>
      </c>
      <c r="AC2051" s="18" t="n"/>
    </row>
    <row r="2052">
      <c r="A2052" s="9" t="n">
        <v>808240</v>
      </c>
      <c r="B2052" s="9" t="inlineStr">
        <is>
          <t>Antonio Pimentel</t>
        </is>
      </c>
      <c r="C2052" s="9" t="inlineStr">
        <is>
          <t>PIT</t>
        </is>
      </c>
      <c r="D2052" s="9" t="n">
        <v>25</v>
      </c>
      <c r="E2052" s="16" t="inlineStr">
        <is>
          <t>L</t>
        </is>
      </c>
      <c r="F2052" s="16" t="n"/>
      <c r="G2052" s="9" t="n">
        <v>50.70769230769231</v>
      </c>
      <c r="H2052" s="9" t="n">
        <v>50.70769230769231</v>
      </c>
      <c r="I2052" s="9" t="inlineStr">
        <is>
          <t>Depth (no MLB PA)</t>
        </is>
      </c>
      <c r="J2052" s="16" t="inlineStr">
        <is>
          <t>Opening Day</t>
        </is>
      </c>
      <c r="K2052" s="11">
        <f>IFERROR(INDEX(Roles!$B$17:$B$20,MATCH(J2052,Roles!$A$17:$A$20,0)),1)</f>
        <v/>
      </c>
      <c r="L2052" s="17" t="n">
        <v>1</v>
      </c>
      <c r="M2052" s="11" t="n">
        <v>1</v>
      </c>
      <c r="N2052" s="17" t="n"/>
      <c r="O2052" s="17" t="n"/>
      <c r="P2052" s="17" t="n"/>
      <c r="Q2052" s="17" t="n"/>
      <c r="R2052" s="17" t="n"/>
      <c r="S2052" s="17" t="n"/>
      <c r="T2052" s="17" t="n"/>
      <c r="U2052" s="17" t="n"/>
      <c r="V2052" s="17" t="n"/>
      <c r="W2052" s="17" t="n"/>
      <c r="X2052" s="17" t="n"/>
      <c r="Y2052" s="17" t="n">
        <v>1</v>
      </c>
      <c r="Z2052" s="13">
        <f>SUMPRODUCT(N2052:Y2052,$N$2:$Y$2)*$K2052*$L2052*$M2052</f>
        <v/>
      </c>
      <c r="AA2052" s="14">
        <f>SUM(N2052:Y2052)</f>
        <v/>
      </c>
      <c r="AB2052" s="14">
        <f>IFERROR(IF(UPPER($E2052)="L",SUMPRODUCT(N2052:Y2052,$N$3:$Y$3,$N$2:$Y$2),SUMPRODUCT(N2052:Y2052,$N$4:$Y$4,$N$2:$Y$2))/(Z2052/($K2052*$L2052*$M2052)),"")</f>
        <v/>
      </c>
      <c r="AC2052" s="18" t="n"/>
    </row>
    <row r="2053">
      <c r="A2053" s="9" t="n">
        <v>807957</v>
      </c>
      <c r="B2053" s="9" t="inlineStr">
        <is>
          <t>Yassel Soler</t>
        </is>
      </c>
      <c r="C2053" s="9" t="inlineStr">
        <is>
          <t>ARI</t>
        </is>
      </c>
      <c r="D2053" s="9" t="n">
        <v>25</v>
      </c>
      <c r="E2053" s="16" t="inlineStr">
        <is>
          <t>R</t>
        </is>
      </c>
      <c r="F2053" s="16" t="n"/>
      <c r="G2053" s="9" t="n">
        <v>90.05128205128206</v>
      </c>
      <c r="H2053" s="9" t="n">
        <v>90.05128205128206</v>
      </c>
      <c r="I2053" s="9" t="inlineStr">
        <is>
          <t>Depth (no MLB PA)</t>
        </is>
      </c>
      <c r="J2053" s="16" t="inlineStr">
        <is>
          <t>Opening Day</t>
        </is>
      </c>
      <c r="K2053" s="11">
        <f>IFERROR(INDEX(Roles!$B$17:$B$20,MATCH(J2053,Roles!$A$17:$A$20,0)),1)</f>
        <v/>
      </c>
      <c r="L2053" s="17" t="n">
        <v>1</v>
      </c>
      <c r="M2053" s="11" t="n">
        <v>1</v>
      </c>
      <c r="N2053" s="17" t="n"/>
      <c r="O2053" s="17" t="n"/>
      <c r="P2053" s="17" t="n"/>
      <c r="Q2053" s="17" t="n"/>
      <c r="R2053" s="17" t="n"/>
      <c r="S2053" s="17" t="n"/>
      <c r="T2053" s="17" t="n"/>
      <c r="U2053" s="17" t="n"/>
      <c r="V2053" s="17" t="n"/>
      <c r="W2053" s="17" t="n"/>
      <c r="X2053" s="17" t="n"/>
      <c r="Y2053" s="17" t="n">
        <v>1</v>
      </c>
      <c r="Z2053" s="13">
        <f>SUMPRODUCT(N2053:Y2053,$N$2:$Y$2)*$K2053*$L2053*$M2053</f>
        <v/>
      </c>
      <c r="AA2053" s="14">
        <f>SUM(N2053:Y2053)</f>
        <v/>
      </c>
      <c r="AB2053" s="14">
        <f>IFERROR(IF(UPPER($E2053)="L",SUMPRODUCT(N2053:Y2053,$N$3:$Y$3,$N$2:$Y$2),SUMPRODUCT(N2053:Y2053,$N$4:$Y$4,$N$2:$Y$2))/(Z2053/($K2053*$L2053*$M2053)),"")</f>
        <v/>
      </c>
      <c r="AC2053" s="18" t="n"/>
    </row>
    <row r="2054">
      <c r="A2054" s="9" t="n">
        <v>664314</v>
      </c>
      <c r="B2054" s="9" t="inlineStr">
        <is>
          <t>Estevan Florial</t>
        </is>
      </c>
      <c r="C2054" s="9" t="inlineStr">
        <is>
          <t>CLE</t>
        </is>
      </c>
      <c r="D2054" s="9" t="n">
        <v>29</v>
      </c>
      <c r="E2054" s="16" t="inlineStr">
        <is>
          <t>L</t>
        </is>
      </c>
      <c r="F2054" s="16" t="inlineStr">
        <is>
          <t>LF</t>
        </is>
      </c>
      <c r="G2054" s="9" t="n">
        <v>111</v>
      </c>
      <c r="H2054" s="9" t="n">
        <v>217</v>
      </c>
      <c r="I2054" s="9" t="inlineStr">
        <is>
          <t>Depth (no MLB PA)</t>
        </is>
      </c>
      <c r="J2054" s="16" t="inlineStr">
        <is>
          <t>Opening Day</t>
        </is>
      </c>
      <c r="K2054" s="11">
        <f>IFERROR(INDEX(Roles!$B$17:$B$20,MATCH(J2054,Roles!$A$17:$A$20,0)),1)</f>
        <v/>
      </c>
      <c r="L2054" s="17" t="n">
        <v>1</v>
      </c>
      <c r="M2054" s="11" t="n">
        <v>1</v>
      </c>
      <c r="N2054" s="17" t="n"/>
      <c r="O2054" s="17" t="n"/>
      <c r="P2054" s="17" t="n"/>
      <c r="Q2054" s="17" t="n"/>
      <c r="R2054" s="17" t="n"/>
      <c r="S2054" s="17" t="n"/>
      <c r="T2054" s="17" t="n"/>
      <c r="U2054" s="17" t="n"/>
      <c r="V2054" s="17" t="n"/>
      <c r="W2054" s="17" t="n"/>
      <c r="X2054" s="17" t="n"/>
      <c r="Y2054" s="17" t="n">
        <v>1</v>
      </c>
      <c r="Z2054" s="13">
        <f>SUMPRODUCT(N2054:Y2054,$N$2:$Y$2)*$K2054*$L2054*$M2054</f>
        <v/>
      </c>
      <c r="AA2054" s="14">
        <f>SUM(N2054:Y2054)</f>
        <v/>
      </c>
      <c r="AB2054" s="14">
        <f>IFERROR(IF(UPPER($E2054)="L",SUMPRODUCT(N2054:Y2054,$N$3:$Y$3,$N$2:$Y$2),SUMPRODUCT(N2054:Y2054,$N$4:$Y$4,$N$2:$Y$2))/(Z2054/($K2054*$L2054*$M2054)),"")</f>
        <v/>
      </c>
      <c r="AC2054" s="18" t="n"/>
    </row>
    <row r="2055">
      <c r="A2055" s="9" t="n">
        <v>694478</v>
      </c>
      <c r="B2055" s="9" t="inlineStr">
        <is>
          <t>Michael Turner</t>
        </is>
      </c>
      <c r="C2055" s="9" t="inlineStr">
        <is>
          <t>CWS</t>
        </is>
      </c>
      <c r="D2055" s="9" t="n">
        <v>25</v>
      </c>
      <c r="E2055" s="16" t="inlineStr">
        <is>
          <t>L</t>
        </is>
      </c>
      <c r="F2055" s="16" t="n"/>
      <c r="G2055" s="9" t="n">
        <v>165.8461538461539</v>
      </c>
      <c r="H2055" s="9" t="n">
        <v>165.8461538461539</v>
      </c>
      <c r="I2055" s="9" t="inlineStr">
        <is>
          <t>Depth (no MLB PA)</t>
        </is>
      </c>
      <c r="J2055" s="16" t="inlineStr">
        <is>
          <t>Opening Day</t>
        </is>
      </c>
      <c r="K2055" s="11">
        <f>IFERROR(INDEX(Roles!$B$17:$B$20,MATCH(J2055,Roles!$A$17:$A$20,0)),1)</f>
        <v/>
      </c>
      <c r="L2055" s="17" t="n">
        <v>1</v>
      </c>
      <c r="M2055" s="11" t="n">
        <v>1</v>
      </c>
      <c r="N2055" s="17" t="n"/>
      <c r="O2055" s="17" t="n"/>
      <c r="P2055" s="17" t="n"/>
      <c r="Q2055" s="17" t="n"/>
      <c r="R2055" s="17" t="n"/>
      <c r="S2055" s="17" t="n"/>
      <c r="T2055" s="17" t="n"/>
      <c r="U2055" s="17" t="n"/>
      <c r="V2055" s="17" t="n"/>
      <c r="W2055" s="17" t="n"/>
      <c r="X2055" s="17" t="n"/>
      <c r="Y2055" s="17" t="n">
        <v>1</v>
      </c>
      <c r="Z2055" s="13">
        <f>SUMPRODUCT(N2055:Y2055,$N$2:$Y$2)*$K2055*$L2055*$M2055</f>
        <v/>
      </c>
      <c r="AA2055" s="14">
        <f>SUM(N2055:Y2055)</f>
        <v/>
      </c>
      <c r="AB2055" s="14">
        <f>IFERROR(IF(UPPER($E2055)="L",SUMPRODUCT(N2055:Y2055,$N$3:$Y$3,$N$2:$Y$2),SUMPRODUCT(N2055:Y2055,$N$4:$Y$4,$N$2:$Y$2))/(Z2055/($K2055*$L2055*$M2055)),"")</f>
        <v/>
      </c>
      <c r="AC2055" s="18" t="n"/>
    </row>
    <row r="2056">
      <c r="A2056" s="9" t="n">
        <v>686960</v>
      </c>
      <c r="B2056" s="9" t="inlineStr">
        <is>
          <t>Nate Baez</t>
        </is>
      </c>
      <c r="C2056" s="9" t="inlineStr">
        <is>
          <t>BOS</t>
        </is>
      </c>
      <c r="D2056" s="9" t="n">
        <v>25</v>
      </c>
      <c r="E2056" s="16" t="inlineStr">
        <is>
          <t>R</t>
        </is>
      </c>
      <c r="F2056" s="16" t="n"/>
      <c r="G2056" s="9" t="n">
        <v>30.46153846153846</v>
      </c>
      <c r="H2056" s="9" t="n">
        <v>30.46153846153846</v>
      </c>
      <c r="I2056" s="9" t="inlineStr">
        <is>
          <t>Depth (no MLB PA)</t>
        </is>
      </c>
      <c r="J2056" s="16" t="inlineStr">
        <is>
          <t>Opening Day</t>
        </is>
      </c>
      <c r="K2056" s="11">
        <f>IFERROR(INDEX(Roles!$B$17:$B$20,MATCH(J2056,Roles!$A$17:$A$20,0)),1)</f>
        <v/>
      </c>
      <c r="L2056" s="17" t="n">
        <v>1</v>
      </c>
      <c r="M2056" s="11" t="n">
        <v>1</v>
      </c>
      <c r="N2056" s="17" t="n"/>
      <c r="O2056" s="17" t="n"/>
      <c r="P2056" s="17" t="n"/>
      <c r="Q2056" s="17" t="n"/>
      <c r="R2056" s="17" t="n"/>
      <c r="S2056" s="17" t="n"/>
      <c r="T2056" s="17" t="n"/>
      <c r="U2056" s="17" t="n"/>
      <c r="V2056" s="17" t="n"/>
      <c r="W2056" s="17" t="n"/>
      <c r="X2056" s="17" t="n"/>
      <c r="Y2056" s="17" t="n">
        <v>1</v>
      </c>
      <c r="Z2056" s="13">
        <f>SUMPRODUCT(N2056:Y2056,$N$2:$Y$2)*$K2056*$L2056*$M2056</f>
        <v/>
      </c>
      <c r="AA2056" s="14">
        <f>SUM(N2056:Y2056)</f>
        <v/>
      </c>
      <c r="AB2056" s="14">
        <f>IFERROR(IF(UPPER($E2056)="L",SUMPRODUCT(N2056:Y2056,$N$3:$Y$3,$N$2:$Y$2),SUMPRODUCT(N2056:Y2056,$N$4:$Y$4,$N$2:$Y$2))/(Z2056/($K2056*$L2056*$M2056)),"")</f>
        <v/>
      </c>
      <c r="AC2056" s="18" t="n"/>
    </row>
    <row r="2057">
      <c r="A2057" s="9" t="n">
        <v>699115</v>
      </c>
      <c r="B2057" s="9" t="inlineStr">
        <is>
          <t>Carlos Jorge</t>
        </is>
      </c>
      <c r="C2057" s="9" t="inlineStr">
        <is>
          <t>CIN</t>
        </is>
      </c>
      <c r="D2057" s="9" t="n">
        <v>23</v>
      </c>
      <c r="E2057" s="16" t="inlineStr">
        <is>
          <t>L</t>
        </is>
      </c>
      <c r="F2057" s="16" t="inlineStr">
        <is>
          <t>CF</t>
        </is>
      </c>
      <c r="G2057" s="9" t="n">
        <v>50</v>
      </c>
      <c r="H2057" s="9" t="n">
        <v>50</v>
      </c>
      <c r="I2057" s="9" t="inlineStr">
        <is>
          <t>Strong Side Platoon</t>
        </is>
      </c>
      <c r="J2057" s="16" t="inlineStr">
        <is>
          <t>Opening Day</t>
        </is>
      </c>
      <c r="K2057" s="11">
        <f>IFERROR(INDEX(Roles!$B$17:$B$20,MATCH(J2057,Roles!$A$17:$A$20,0)),1)</f>
        <v/>
      </c>
      <c r="L2057" s="17" t="n">
        <v>1</v>
      </c>
      <c r="M2057" s="11" t="n">
        <v>1</v>
      </c>
      <c r="N2057" s="17" t="n">
        <v>0.4</v>
      </c>
      <c r="O2057" s="17" t="n"/>
      <c r="P2057" s="17" t="n">
        <v>0.6</v>
      </c>
      <c r="Q2057" s="17" t="n"/>
      <c r="R2057" s="17" t="n"/>
      <c r="S2057" s="17" t="n"/>
      <c r="T2057" s="17" t="n"/>
      <c r="U2057" s="17" t="n"/>
      <c r="V2057" s="17" t="n"/>
      <c r="W2057" s="17" t="n"/>
      <c r="X2057" s="17" t="n"/>
      <c r="Y2057" s="17" t="n"/>
      <c r="Z2057" s="13">
        <f>SUMPRODUCT(N2057:Y2057,$N$2:$Y$2)*$K2057*$L2057*$M2057</f>
        <v/>
      </c>
      <c r="AA2057" s="14">
        <f>SUM(N2057:Y2057)</f>
        <v/>
      </c>
      <c r="AB2057" s="14">
        <f>IFERROR(IF(UPPER($E2057)="L",SUMPRODUCT(N2057:Y2057,$N$3:$Y$3,$N$2:$Y$2),SUMPRODUCT(N2057:Y2057,$N$4:$Y$4,$N$2:$Y$2))/(Z2057/($K2057*$L2057*$M2057)),"")</f>
        <v/>
      </c>
      <c r="AC2057" s="18" t="n"/>
    </row>
    <row r="2058">
      <c r="A2058" s="9" t="n">
        <v>686944</v>
      </c>
      <c r="B2058" s="9" t="inlineStr">
        <is>
          <t>Grant Magill</t>
        </is>
      </c>
      <c r="C2058" s="9" t="inlineStr">
        <is>
          <t>CWS</t>
        </is>
      </c>
      <c r="D2058" s="9" t="n">
        <v>25</v>
      </c>
      <c r="E2058" s="16" t="inlineStr">
        <is>
          <t>R</t>
        </is>
      </c>
      <c r="F2058" s="16" t="n"/>
      <c r="G2058" s="9" t="n">
        <v>55.64102564102564</v>
      </c>
      <c r="H2058" s="9" t="n">
        <v>55.64102564102564</v>
      </c>
      <c r="I2058" s="9" t="inlineStr">
        <is>
          <t>Depth (no MLB PA)</t>
        </is>
      </c>
      <c r="J2058" s="16" t="inlineStr">
        <is>
          <t>Opening Day</t>
        </is>
      </c>
      <c r="K2058" s="11">
        <f>IFERROR(INDEX(Roles!$B$17:$B$20,MATCH(J2058,Roles!$A$17:$A$20,0)),1)</f>
        <v/>
      </c>
      <c r="L2058" s="17" t="n">
        <v>1</v>
      </c>
      <c r="M2058" s="11" t="n">
        <v>1</v>
      </c>
      <c r="N2058" s="17" t="n"/>
      <c r="O2058" s="17" t="n"/>
      <c r="P2058" s="17" t="n"/>
      <c r="Q2058" s="17" t="n"/>
      <c r="R2058" s="17" t="n"/>
      <c r="S2058" s="17" t="n"/>
      <c r="T2058" s="17" t="n"/>
      <c r="U2058" s="17" t="n"/>
      <c r="V2058" s="17" t="n"/>
      <c r="W2058" s="17" t="n"/>
      <c r="X2058" s="17" t="n"/>
      <c r="Y2058" s="17" t="n">
        <v>1</v>
      </c>
      <c r="Z2058" s="13">
        <f>SUMPRODUCT(N2058:Y2058,$N$2:$Y$2)*$K2058*$L2058*$M2058</f>
        <v/>
      </c>
      <c r="AA2058" s="14">
        <f>SUM(N2058:Y2058)</f>
        <v/>
      </c>
      <c r="AB2058" s="14">
        <f>IFERROR(IF(UPPER($E2058)="L",SUMPRODUCT(N2058:Y2058,$N$3:$Y$3,$N$2:$Y$2),SUMPRODUCT(N2058:Y2058,$N$4:$Y$4,$N$2:$Y$2))/(Z2058/($K2058*$L2058*$M2058)),"")</f>
        <v/>
      </c>
      <c r="AC2058" s="18" t="n"/>
    </row>
    <row r="2059">
      <c r="A2059" s="9" t="n">
        <v>823768</v>
      </c>
      <c r="B2059" s="9" t="inlineStr">
        <is>
          <t>Lorenzo Meola</t>
        </is>
      </c>
      <c r="C2059" s="9" t="inlineStr">
        <is>
          <t>SF</t>
        </is>
      </c>
      <c r="D2059" s="9" t="n">
        <v>25</v>
      </c>
      <c r="E2059" s="16" t="inlineStr">
        <is>
          <t>R</t>
        </is>
      </c>
      <c r="F2059" s="16" t="n"/>
      <c r="G2059" s="9" t="n">
        <v>64.98461538461538</v>
      </c>
      <c r="H2059" s="9" t="n">
        <v>64.98461538461538</v>
      </c>
      <c r="I2059" s="9" t="inlineStr">
        <is>
          <t>Depth (no MLB PA)</t>
        </is>
      </c>
      <c r="J2059" s="16" t="inlineStr">
        <is>
          <t>Opening Day</t>
        </is>
      </c>
      <c r="K2059" s="11">
        <f>IFERROR(INDEX(Roles!$B$17:$B$20,MATCH(J2059,Roles!$A$17:$A$20,0)),1)</f>
        <v/>
      </c>
      <c r="L2059" s="17" t="n">
        <v>1</v>
      </c>
      <c r="M2059" s="11" t="n">
        <v>1</v>
      </c>
      <c r="N2059" s="17" t="n"/>
      <c r="O2059" s="17" t="n"/>
      <c r="P2059" s="17" t="n"/>
      <c r="Q2059" s="17" t="n"/>
      <c r="R2059" s="17" t="n"/>
      <c r="S2059" s="17" t="n"/>
      <c r="T2059" s="17" t="n"/>
      <c r="U2059" s="17" t="n"/>
      <c r="V2059" s="17" t="n"/>
      <c r="W2059" s="17" t="n"/>
      <c r="X2059" s="17" t="n"/>
      <c r="Y2059" s="17" t="n">
        <v>1</v>
      </c>
      <c r="Z2059" s="13">
        <f>SUMPRODUCT(N2059:Y2059,$N$2:$Y$2)*$K2059*$L2059*$M2059</f>
        <v/>
      </c>
      <c r="AA2059" s="14">
        <f>SUM(N2059:Y2059)</f>
        <v/>
      </c>
      <c r="AB2059" s="14">
        <f>IFERROR(IF(UPPER($E2059)="L",SUMPRODUCT(N2059:Y2059,$N$3:$Y$3,$N$2:$Y$2),SUMPRODUCT(N2059:Y2059,$N$4:$Y$4,$N$2:$Y$2))/(Z2059/($K2059*$L2059*$M2059)),"")</f>
        <v/>
      </c>
      <c r="AC2059" s="18" t="n"/>
    </row>
    <row r="2060">
      <c r="A2060" s="9" t="n">
        <v>807720</v>
      </c>
      <c r="B2060" s="9" t="inlineStr">
        <is>
          <t>Garret Forrester</t>
        </is>
      </c>
      <c r="C2060" s="9" t="inlineStr">
        <is>
          <t>MIA</t>
        </is>
      </c>
      <c r="D2060" s="9" t="n">
        <v>25</v>
      </c>
      <c r="E2060" s="16" t="inlineStr">
        <is>
          <t>R</t>
        </is>
      </c>
      <c r="F2060" s="16" t="n"/>
      <c r="G2060" s="9" t="n">
        <v>59.7948717948718</v>
      </c>
      <c r="H2060" s="9" t="n">
        <v>59.7948717948718</v>
      </c>
      <c r="I2060" s="9" t="inlineStr">
        <is>
          <t>Depth (no MLB PA)</t>
        </is>
      </c>
      <c r="J2060" s="16" t="inlineStr">
        <is>
          <t>Opening Day</t>
        </is>
      </c>
      <c r="K2060" s="11">
        <f>IFERROR(INDEX(Roles!$B$17:$B$20,MATCH(J2060,Roles!$A$17:$A$20,0)),1)</f>
        <v/>
      </c>
      <c r="L2060" s="17" t="n">
        <v>1</v>
      </c>
      <c r="M2060" s="11" t="n">
        <v>1</v>
      </c>
      <c r="N2060" s="17" t="n"/>
      <c r="O2060" s="17" t="n"/>
      <c r="P2060" s="17" t="n"/>
      <c r="Q2060" s="17" t="n"/>
      <c r="R2060" s="17" t="n"/>
      <c r="S2060" s="17" t="n"/>
      <c r="T2060" s="17" t="n"/>
      <c r="U2060" s="17" t="n"/>
      <c r="V2060" s="17" t="n"/>
      <c r="W2060" s="17" t="n"/>
      <c r="X2060" s="17" t="n"/>
      <c r="Y2060" s="17" t="n">
        <v>1</v>
      </c>
      <c r="Z2060" s="13">
        <f>SUMPRODUCT(N2060:Y2060,$N$2:$Y$2)*$K2060*$L2060*$M2060</f>
        <v/>
      </c>
      <c r="AA2060" s="14">
        <f>SUM(N2060:Y2060)</f>
        <v/>
      </c>
      <c r="AB2060" s="14">
        <f>IFERROR(IF(UPPER($E2060)="L",SUMPRODUCT(N2060:Y2060,$N$3:$Y$3,$N$2:$Y$2),SUMPRODUCT(N2060:Y2060,$N$4:$Y$4,$N$2:$Y$2))/(Z2060/($K2060*$L2060*$M2060)),"")</f>
        <v/>
      </c>
      <c r="AC2060" s="18" t="n"/>
    </row>
    <row r="2061">
      <c r="A2061" s="9" t="n">
        <v>700341</v>
      </c>
      <c r="B2061" s="9" t="inlineStr">
        <is>
          <t>Kenny Castillo</t>
        </is>
      </c>
      <c r="C2061" s="9" t="inlineStr">
        <is>
          <t>ARI</t>
        </is>
      </c>
      <c r="D2061" s="9" t="n">
        <v>25</v>
      </c>
      <c r="E2061" s="16" t="inlineStr">
        <is>
          <t>R</t>
        </is>
      </c>
      <c r="F2061" s="16" t="n"/>
      <c r="G2061" s="9" t="n">
        <v>67.69230769230769</v>
      </c>
      <c r="H2061" s="9" t="n">
        <v>67.69230769230769</v>
      </c>
      <c r="I2061" s="9" t="inlineStr">
        <is>
          <t>Depth (no MLB PA)</t>
        </is>
      </c>
      <c r="J2061" s="16" t="inlineStr">
        <is>
          <t>Opening Day</t>
        </is>
      </c>
      <c r="K2061" s="11">
        <f>IFERROR(INDEX(Roles!$B$17:$B$20,MATCH(J2061,Roles!$A$17:$A$20,0)),1)</f>
        <v/>
      </c>
      <c r="L2061" s="17" t="n">
        <v>1</v>
      </c>
      <c r="M2061" s="11" t="n">
        <v>1</v>
      </c>
      <c r="N2061" s="17" t="n"/>
      <c r="O2061" s="17" t="n"/>
      <c r="P2061" s="17" t="n"/>
      <c r="Q2061" s="17" t="n"/>
      <c r="R2061" s="17" t="n"/>
      <c r="S2061" s="17" t="n"/>
      <c r="T2061" s="17" t="n"/>
      <c r="U2061" s="17" t="n"/>
      <c r="V2061" s="17" t="n"/>
      <c r="W2061" s="17" t="n"/>
      <c r="X2061" s="17" t="n"/>
      <c r="Y2061" s="17" t="n">
        <v>1</v>
      </c>
      <c r="Z2061" s="13">
        <f>SUMPRODUCT(N2061:Y2061,$N$2:$Y$2)*$K2061*$L2061*$M2061</f>
        <v/>
      </c>
      <c r="AA2061" s="14">
        <f>SUM(N2061:Y2061)</f>
        <v/>
      </c>
      <c r="AB2061" s="14">
        <f>IFERROR(IF(UPPER($E2061)="L",SUMPRODUCT(N2061:Y2061,$N$3:$Y$3,$N$2:$Y$2),SUMPRODUCT(N2061:Y2061,$N$4:$Y$4,$N$2:$Y$2))/(Z2061/($K2061*$L2061*$M2061)),"")</f>
        <v/>
      </c>
      <c r="AC2061" s="18" t="n"/>
    </row>
    <row r="2062">
      <c r="A2062" s="9" t="n">
        <v>815074</v>
      </c>
      <c r="B2062" s="9" t="inlineStr">
        <is>
          <t>Derek Berg</t>
        </is>
      </c>
      <c r="C2062" s="9" t="inlineStr">
        <is>
          <t>PIT</t>
        </is>
      </c>
      <c r="D2062" s="9" t="n">
        <v>25</v>
      </c>
      <c r="E2062" s="16" t="inlineStr">
        <is>
          <t>R</t>
        </is>
      </c>
      <c r="F2062" s="16" t="n"/>
      <c r="G2062" s="9" t="n">
        <v>78.41025641025642</v>
      </c>
      <c r="H2062" s="9" t="n">
        <v>78.41025641025642</v>
      </c>
      <c r="I2062" s="9" t="inlineStr">
        <is>
          <t>Depth (no MLB PA)</t>
        </is>
      </c>
      <c r="J2062" s="16" t="inlineStr">
        <is>
          <t>Opening Day</t>
        </is>
      </c>
      <c r="K2062" s="11">
        <f>IFERROR(INDEX(Roles!$B$17:$B$20,MATCH(J2062,Roles!$A$17:$A$20,0)),1)</f>
        <v/>
      </c>
      <c r="L2062" s="17" t="n">
        <v>1</v>
      </c>
      <c r="M2062" s="11" t="n">
        <v>1</v>
      </c>
      <c r="N2062" s="17" t="n"/>
      <c r="O2062" s="17" t="n"/>
      <c r="P2062" s="17" t="n"/>
      <c r="Q2062" s="17" t="n"/>
      <c r="R2062" s="17" t="n"/>
      <c r="S2062" s="17" t="n"/>
      <c r="T2062" s="17" t="n"/>
      <c r="U2062" s="17" t="n"/>
      <c r="V2062" s="17" t="n"/>
      <c r="W2062" s="17" t="n"/>
      <c r="X2062" s="17" t="n"/>
      <c r="Y2062" s="17" t="n">
        <v>1</v>
      </c>
      <c r="Z2062" s="13">
        <f>SUMPRODUCT(N2062:Y2062,$N$2:$Y$2)*$K2062*$L2062*$M2062</f>
        <v/>
      </c>
      <c r="AA2062" s="14">
        <f>SUM(N2062:Y2062)</f>
        <v/>
      </c>
      <c r="AB2062" s="14">
        <f>IFERROR(IF(UPPER($E2062)="L",SUMPRODUCT(N2062:Y2062,$N$3:$Y$3,$N$2:$Y$2),SUMPRODUCT(N2062:Y2062,$N$4:$Y$4,$N$2:$Y$2))/(Z2062/($K2062*$L2062*$M2062)),"")</f>
        <v/>
      </c>
      <c r="AC2062" s="18" t="n"/>
    </row>
    <row r="2063">
      <c r="A2063" s="9" t="n">
        <v>808004</v>
      </c>
      <c r="B2063" s="9" t="inlineStr">
        <is>
          <t>Anielson Buten</t>
        </is>
      </c>
      <c r="C2063" s="9" t="inlineStr">
        <is>
          <t>CIN</t>
        </is>
      </c>
      <c r="D2063" s="9" t="n">
        <v>25</v>
      </c>
      <c r="E2063" s="16" t="inlineStr">
        <is>
          <t>R</t>
        </is>
      </c>
      <c r="F2063" s="16" t="n"/>
      <c r="G2063" s="9" t="n">
        <v>29.29230769230769</v>
      </c>
      <c r="H2063" s="9" t="n">
        <v>29.29230769230769</v>
      </c>
      <c r="I2063" s="9" t="inlineStr">
        <is>
          <t>Depth (no MLB PA)</t>
        </is>
      </c>
      <c r="J2063" s="16" t="inlineStr">
        <is>
          <t>Opening Day</t>
        </is>
      </c>
      <c r="K2063" s="11">
        <f>IFERROR(INDEX(Roles!$B$17:$B$20,MATCH(J2063,Roles!$A$17:$A$20,0)),1)</f>
        <v/>
      </c>
      <c r="L2063" s="17" t="n">
        <v>1</v>
      </c>
      <c r="M2063" s="11" t="n">
        <v>1</v>
      </c>
      <c r="N2063" s="17" t="n"/>
      <c r="O2063" s="17" t="n"/>
      <c r="P2063" s="17" t="n"/>
      <c r="Q2063" s="17" t="n"/>
      <c r="R2063" s="17" t="n"/>
      <c r="S2063" s="17" t="n"/>
      <c r="T2063" s="17" t="n"/>
      <c r="U2063" s="17" t="n"/>
      <c r="V2063" s="17" t="n"/>
      <c r="W2063" s="17" t="n"/>
      <c r="X2063" s="17" t="n"/>
      <c r="Y2063" s="17" t="n">
        <v>1</v>
      </c>
      <c r="Z2063" s="13">
        <f>SUMPRODUCT(N2063:Y2063,$N$2:$Y$2)*$K2063*$L2063*$M2063</f>
        <v/>
      </c>
      <c r="AA2063" s="14">
        <f>SUM(N2063:Y2063)</f>
        <v/>
      </c>
      <c r="AB2063" s="14">
        <f>IFERROR(IF(UPPER($E2063)="L",SUMPRODUCT(N2063:Y2063,$N$3:$Y$3,$N$2:$Y$2),SUMPRODUCT(N2063:Y2063,$N$4:$Y$4,$N$2:$Y$2))/(Z2063/($K2063*$L2063*$M2063)),"")</f>
        <v/>
      </c>
      <c r="AC2063" s="18" t="n"/>
    </row>
    <row r="2064">
      <c r="A2064" s="9" t="n">
        <v>703200</v>
      </c>
      <c r="B2064" s="9" t="inlineStr">
        <is>
          <t>Yoffry Solano</t>
        </is>
      </c>
      <c r="C2064" s="9" t="inlineStr">
        <is>
          <t>MIA</t>
        </is>
      </c>
      <c r="D2064" s="9" t="n">
        <v>25</v>
      </c>
      <c r="E2064" s="16" t="inlineStr">
        <is>
          <t>S</t>
        </is>
      </c>
      <c r="F2064" s="16" t="n"/>
      <c r="G2064" s="9" t="n">
        <v>33.10769230769231</v>
      </c>
      <c r="H2064" s="9" t="n">
        <v>33.10769230769231</v>
      </c>
      <c r="I2064" s="9" t="inlineStr">
        <is>
          <t>Depth (no MLB PA)</t>
        </is>
      </c>
      <c r="J2064" s="16" t="inlineStr">
        <is>
          <t>Opening Day</t>
        </is>
      </c>
      <c r="K2064" s="11">
        <f>IFERROR(INDEX(Roles!$B$17:$B$20,MATCH(J2064,Roles!$A$17:$A$20,0)),1)</f>
        <v/>
      </c>
      <c r="L2064" s="17" t="n">
        <v>1</v>
      </c>
      <c r="M2064" s="11" t="n">
        <v>1</v>
      </c>
      <c r="N2064" s="17" t="n"/>
      <c r="O2064" s="17" t="n"/>
      <c r="P2064" s="17" t="n"/>
      <c r="Q2064" s="17" t="n"/>
      <c r="R2064" s="17" t="n"/>
      <c r="S2064" s="17" t="n"/>
      <c r="T2064" s="17" t="n"/>
      <c r="U2064" s="17" t="n"/>
      <c r="V2064" s="17" t="n"/>
      <c r="W2064" s="17" t="n"/>
      <c r="X2064" s="17" t="n"/>
      <c r="Y2064" s="17" t="n">
        <v>1</v>
      </c>
      <c r="Z2064" s="13">
        <f>SUMPRODUCT(N2064:Y2064,$N$2:$Y$2)*$K2064*$L2064*$M2064</f>
        <v/>
      </c>
      <c r="AA2064" s="14">
        <f>SUM(N2064:Y2064)</f>
        <v/>
      </c>
      <c r="AB2064" s="14">
        <f>IFERROR(IF(UPPER($E2064)="L",SUMPRODUCT(N2064:Y2064,$N$3:$Y$3,$N$2:$Y$2),SUMPRODUCT(N2064:Y2064,$N$4:$Y$4,$N$2:$Y$2))/(Z2064/($K2064*$L2064*$M2064)),"")</f>
        <v/>
      </c>
      <c r="AC2064" s="18" t="n"/>
    </row>
    <row r="2065">
      <c r="A2065" s="9" t="n">
        <v>685313</v>
      </c>
      <c r="B2065" s="9" t="inlineStr">
        <is>
          <t>Elijah Dunham</t>
        </is>
      </c>
      <c r="C2065" s="9" t="inlineStr">
        <is>
          <t>LAA</t>
        </is>
      </c>
      <c r="D2065" s="9" t="n">
        <v>25</v>
      </c>
      <c r="E2065" s="16" t="inlineStr">
        <is>
          <t>L</t>
        </is>
      </c>
      <c r="F2065" s="16" t="n"/>
      <c r="G2065" s="9" t="n">
        <v>47.74358974358974</v>
      </c>
      <c r="H2065" s="9" t="n">
        <v>47.74358974358974</v>
      </c>
      <c r="I2065" s="9" t="inlineStr">
        <is>
          <t>Depth (no MLB PA)</t>
        </is>
      </c>
      <c r="J2065" s="16" t="inlineStr">
        <is>
          <t>Opening Day</t>
        </is>
      </c>
      <c r="K2065" s="11">
        <f>IFERROR(INDEX(Roles!$B$17:$B$20,MATCH(J2065,Roles!$A$17:$A$20,0)),1)</f>
        <v/>
      </c>
      <c r="L2065" s="17" t="n">
        <v>1</v>
      </c>
      <c r="M2065" s="11" t="n">
        <v>1</v>
      </c>
      <c r="N2065" s="17" t="n"/>
      <c r="O2065" s="17" t="n"/>
      <c r="P2065" s="17" t="n"/>
      <c r="Q2065" s="17" t="n"/>
      <c r="R2065" s="17" t="n"/>
      <c r="S2065" s="17" t="n"/>
      <c r="T2065" s="17" t="n"/>
      <c r="U2065" s="17" t="n"/>
      <c r="V2065" s="17" t="n"/>
      <c r="W2065" s="17" t="n"/>
      <c r="X2065" s="17" t="n"/>
      <c r="Y2065" s="17" t="n">
        <v>1</v>
      </c>
      <c r="Z2065" s="13">
        <f>SUMPRODUCT(N2065:Y2065,$N$2:$Y$2)*$K2065*$L2065*$M2065</f>
        <v/>
      </c>
      <c r="AA2065" s="14">
        <f>SUM(N2065:Y2065)</f>
        <v/>
      </c>
      <c r="AB2065" s="14">
        <f>IFERROR(IF(UPPER($E2065)="L",SUMPRODUCT(N2065:Y2065,$N$3:$Y$3,$N$2:$Y$2),SUMPRODUCT(N2065:Y2065,$N$4:$Y$4,$N$2:$Y$2))/(Z2065/($K2065*$L2065*$M2065)),"")</f>
        <v/>
      </c>
      <c r="AC2065" s="18" t="n"/>
    </row>
    <row r="2066">
      <c r="A2066" s="9" t="n">
        <v>828335</v>
      </c>
      <c r="B2066" s="9" t="inlineStr">
        <is>
          <t>Titus Dumitru</t>
        </is>
      </c>
      <c r="C2066" s="9" t="inlineStr">
        <is>
          <t>PIT</t>
        </is>
      </c>
      <c r="D2066" s="9" t="n">
        <v>25</v>
      </c>
      <c r="E2066" s="16" t="inlineStr">
        <is>
          <t>R</t>
        </is>
      </c>
      <c r="F2066" s="16" t="n"/>
      <c r="G2066" s="9" t="n">
        <v>172.3076923076923</v>
      </c>
      <c r="H2066" s="9" t="n">
        <v>172.3076923076923</v>
      </c>
      <c r="I2066" s="9" t="inlineStr">
        <is>
          <t>Depth (no MLB PA)</t>
        </is>
      </c>
      <c r="J2066" s="16" t="inlineStr">
        <is>
          <t>Opening Day</t>
        </is>
      </c>
      <c r="K2066" s="11">
        <f>IFERROR(INDEX(Roles!$B$17:$B$20,MATCH(J2066,Roles!$A$17:$A$20,0)),1)</f>
        <v/>
      </c>
      <c r="L2066" s="17" t="n">
        <v>1</v>
      </c>
      <c r="M2066" s="11" t="n">
        <v>1</v>
      </c>
      <c r="N2066" s="17" t="n"/>
      <c r="O2066" s="17" t="n"/>
      <c r="P2066" s="17" t="n"/>
      <c r="Q2066" s="17" t="n"/>
      <c r="R2066" s="17" t="n"/>
      <c r="S2066" s="17" t="n"/>
      <c r="T2066" s="17" t="n"/>
      <c r="U2066" s="17" t="n"/>
      <c r="V2066" s="17" t="n"/>
      <c r="W2066" s="17" t="n"/>
      <c r="X2066" s="17" t="n"/>
      <c r="Y2066" s="17" t="n">
        <v>1</v>
      </c>
      <c r="Z2066" s="13">
        <f>SUMPRODUCT(N2066:Y2066,$N$2:$Y$2)*$K2066*$L2066*$M2066</f>
        <v/>
      </c>
      <c r="AA2066" s="14">
        <f>SUM(N2066:Y2066)</f>
        <v/>
      </c>
      <c r="AB2066" s="14">
        <f>IFERROR(IF(UPPER($E2066)="L",SUMPRODUCT(N2066:Y2066,$N$3:$Y$3,$N$2:$Y$2),SUMPRODUCT(N2066:Y2066,$N$4:$Y$4,$N$2:$Y$2))/(Z2066/($K2066*$L2066*$M2066)),"")</f>
        <v/>
      </c>
      <c r="AC2066" s="18" t="n"/>
    </row>
    <row r="2067">
      <c r="A2067" s="9" t="n">
        <v>691435</v>
      </c>
      <c r="B2067" s="9" t="inlineStr">
        <is>
          <t>Juan Castillo</t>
        </is>
      </c>
      <c r="C2067" s="9" t="inlineStr">
        <is>
          <t>COL</t>
        </is>
      </c>
      <c r="D2067" s="9" t="n">
        <v>25</v>
      </c>
      <c r="E2067" s="16" t="inlineStr">
        <is>
          <t>R</t>
        </is>
      </c>
      <c r="F2067" s="16" t="n"/>
      <c r="G2067" s="9" t="n">
        <v>37.53846153846154</v>
      </c>
      <c r="H2067" s="9" t="n">
        <v>37.53846153846154</v>
      </c>
      <c r="I2067" s="9" t="inlineStr">
        <is>
          <t>Depth (no MLB PA)</t>
        </is>
      </c>
      <c r="J2067" s="16" t="inlineStr">
        <is>
          <t>Opening Day</t>
        </is>
      </c>
      <c r="K2067" s="11">
        <f>IFERROR(INDEX(Roles!$B$17:$B$20,MATCH(J2067,Roles!$A$17:$A$20,0)),1)</f>
        <v/>
      </c>
      <c r="L2067" s="17" t="n">
        <v>1</v>
      </c>
      <c r="M2067" s="11" t="n">
        <v>1</v>
      </c>
      <c r="N2067" s="17" t="n"/>
      <c r="O2067" s="17" t="n"/>
      <c r="P2067" s="17" t="n"/>
      <c r="Q2067" s="17" t="n"/>
      <c r="R2067" s="17" t="n"/>
      <c r="S2067" s="17" t="n"/>
      <c r="T2067" s="17" t="n"/>
      <c r="U2067" s="17" t="n"/>
      <c r="V2067" s="17" t="n"/>
      <c r="W2067" s="17" t="n"/>
      <c r="X2067" s="17" t="n"/>
      <c r="Y2067" s="17" t="n">
        <v>1</v>
      </c>
      <c r="Z2067" s="13">
        <f>SUMPRODUCT(N2067:Y2067,$N$2:$Y$2)*$K2067*$L2067*$M2067</f>
        <v/>
      </c>
      <c r="AA2067" s="14">
        <f>SUM(N2067:Y2067)</f>
        <v/>
      </c>
      <c r="AB2067" s="14">
        <f>IFERROR(IF(UPPER($E2067)="L",SUMPRODUCT(N2067:Y2067,$N$3:$Y$3,$N$2:$Y$2),SUMPRODUCT(N2067:Y2067,$N$4:$Y$4,$N$2:$Y$2))/(Z2067/($K2067*$L2067*$M2067)),"")</f>
        <v/>
      </c>
      <c r="AC2067" s="18" t="n"/>
    </row>
    <row r="2068">
      <c r="A2068" s="9" t="n">
        <v>808516</v>
      </c>
      <c r="B2068" s="9" t="inlineStr">
        <is>
          <t>Andres Valor</t>
        </is>
      </c>
      <c r="C2068" s="9" t="inlineStr">
        <is>
          <t>MIA</t>
        </is>
      </c>
      <c r="D2068" s="9" t="n">
        <v>25</v>
      </c>
      <c r="E2068" s="16" t="inlineStr">
        <is>
          <t>R</t>
        </is>
      </c>
      <c r="F2068" s="16" t="n"/>
      <c r="G2068" s="9" t="n">
        <v>60.18461538461538</v>
      </c>
      <c r="H2068" s="9" t="n">
        <v>60.18461538461538</v>
      </c>
      <c r="I2068" s="9" t="inlineStr">
        <is>
          <t>Depth (no MLB PA)</t>
        </is>
      </c>
      <c r="J2068" s="16" t="inlineStr">
        <is>
          <t>Opening Day</t>
        </is>
      </c>
      <c r="K2068" s="11">
        <f>IFERROR(INDEX(Roles!$B$17:$B$20,MATCH(J2068,Roles!$A$17:$A$20,0)),1)</f>
        <v/>
      </c>
      <c r="L2068" s="17" t="n">
        <v>1</v>
      </c>
      <c r="M2068" s="11" t="n">
        <v>1</v>
      </c>
      <c r="N2068" s="17" t="n"/>
      <c r="O2068" s="17" t="n"/>
      <c r="P2068" s="17" t="n"/>
      <c r="Q2068" s="17" t="n"/>
      <c r="R2068" s="17" t="n"/>
      <c r="S2068" s="17" t="n"/>
      <c r="T2068" s="17" t="n"/>
      <c r="U2068" s="17" t="n"/>
      <c r="V2068" s="17" t="n"/>
      <c r="W2068" s="17" t="n"/>
      <c r="X2068" s="17" t="n"/>
      <c r="Y2068" s="17" t="n">
        <v>1</v>
      </c>
      <c r="Z2068" s="13">
        <f>SUMPRODUCT(N2068:Y2068,$N$2:$Y$2)*$K2068*$L2068*$M2068</f>
        <v/>
      </c>
      <c r="AA2068" s="14">
        <f>SUM(N2068:Y2068)</f>
        <v/>
      </c>
      <c r="AB2068" s="14">
        <f>IFERROR(IF(UPPER($E2068)="L",SUMPRODUCT(N2068:Y2068,$N$3:$Y$3,$N$2:$Y$2),SUMPRODUCT(N2068:Y2068,$N$4:$Y$4,$N$2:$Y$2))/(Z2068/($K2068*$L2068*$M2068)),"")</f>
        <v/>
      </c>
      <c r="AC2068" s="18" t="n"/>
    </row>
    <row r="2069">
      <c r="A2069" s="9" t="n">
        <v>803102</v>
      </c>
      <c r="B2069" s="9" t="inlineStr">
        <is>
          <t>Cooper McMurray</t>
        </is>
      </c>
      <c r="C2069" s="9" t="inlineStr">
        <is>
          <t>ATL</t>
        </is>
      </c>
      <c r="D2069" s="9" t="n">
        <v>25</v>
      </c>
      <c r="E2069" s="16" t="inlineStr">
        <is>
          <t>L</t>
        </is>
      </c>
      <c r="F2069" s="16" t="n"/>
      <c r="G2069" s="9" t="n">
        <v>53.41538461538462</v>
      </c>
      <c r="H2069" s="9" t="n">
        <v>53.41538461538462</v>
      </c>
      <c r="I2069" s="9" t="inlineStr">
        <is>
          <t>Depth (no MLB PA)</t>
        </is>
      </c>
      <c r="J2069" s="16" t="inlineStr">
        <is>
          <t>Opening Day</t>
        </is>
      </c>
      <c r="K2069" s="11">
        <f>IFERROR(INDEX(Roles!$B$17:$B$20,MATCH(J2069,Roles!$A$17:$A$20,0)),1)</f>
        <v/>
      </c>
      <c r="L2069" s="17" t="n">
        <v>1</v>
      </c>
      <c r="M2069" s="11" t="n">
        <v>1</v>
      </c>
      <c r="N2069" s="17" t="n"/>
      <c r="O2069" s="17" t="n"/>
      <c r="P2069" s="17" t="n"/>
      <c r="Q2069" s="17" t="n"/>
      <c r="R2069" s="17" t="n"/>
      <c r="S2069" s="17" t="n"/>
      <c r="T2069" s="17" t="n"/>
      <c r="U2069" s="17" t="n"/>
      <c r="V2069" s="17" t="n"/>
      <c r="W2069" s="17" t="n"/>
      <c r="X2069" s="17" t="n"/>
      <c r="Y2069" s="17" t="n">
        <v>1</v>
      </c>
      <c r="Z2069" s="13">
        <f>SUMPRODUCT(N2069:Y2069,$N$2:$Y$2)*$K2069*$L2069*$M2069</f>
        <v/>
      </c>
      <c r="AA2069" s="14">
        <f>SUM(N2069:Y2069)</f>
        <v/>
      </c>
      <c r="AB2069" s="14">
        <f>IFERROR(IF(UPPER($E2069)="L",SUMPRODUCT(N2069:Y2069,$N$3:$Y$3,$N$2:$Y$2),SUMPRODUCT(N2069:Y2069,$N$4:$Y$4,$N$2:$Y$2))/(Z2069/($K2069*$L2069*$M2069)),"")</f>
        <v/>
      </c>
      <c r="AC2069" s="18" t="n"/>
    </row>
    <row r="2070">
      <c r="A2070" s="9" t="n">
        <v>802544</v>
      </c>
      <c r="B2070" s="9" t="inlineStr">
        <is>
          <t>Brock Vradenburg</t>
        </is>
      </c>
      <c r="C2070" s="9" t="inlineStr">
        <is>
          <t>PHI</t>
        </is>
      </c>
      <c r="D2070" s="9" t="n">
        <v>25</v>
      </c>
      <c r="E2070" s="16" t="inlineStr">
        <is>
          <t>L</t>
        </is>
      </c>
      <c r="F2070" s="16" t="n"/>
      <c r="G2070" s="9" t="n">
        <v>33.43589743589744</v>
      </c>
      <c r="H2070" s="9" t="n">
        <v>33.43589743589744</v>
      </c>
      <c r="I2070" s="9" t="inlineStr">
        <is>
          <t>Depth (no MLB PA)</t>
        </is>
      </c>
      <c r="J2070" s="16" t="inlineStr">
        <is>
          <t>Opening Day</t>
        </is>
      </c>
      <c r="K2070" s="11">
        <f>IFERROR(INDEX(Roles!$B$17:$B$20,MATCH(J2070,Roles!$A$17:$A$20,0)),1)</f>
        <v/>
      </c>
      <c r="L2070" s="17" t="n">
        <v>1</v>
      </c>
      <c r="M2070" s="11" t="n">
        <v>1</v>
      </c>
      <c r="N2070" s="17" t="n"/>
      <c r="O2070" s="17" t="n"/>
      <c r="P2070" s="17" t="n"/>
      <c r="Q2070" s="17" t="n"/>
      <c r="R2070" s="17" t="n"/>
      <c r="S2070" s="17" t="n"/>
      <c r="T2070" s="17" t="n"/>
      <c r="U2070" s="17" t="n"/>
      <c r="V2070" s="17" t="n"/>
      <c r="W2070" s="17" t="n"/>
      <c r="X2070" s="17" t="n"/>
      <c r="Y2070" s="17" t="n">
        <v>1</v>
      </c>
      <c r="Z2070" s="13">
        <f>SUMPRODUCT(N2070:Y2070,$N$2:$Y$2)*$K2070*$L2070*$M2070</f>
        <v/>
      </c>
      <c r="AA2070" s="14">
        <f>SUM(N2070:Y2070)</f>
        <v/>
      </c>
      <c r="AB2070" s="14">
        <f>IFERROR(IF(UPPER($E2070)="L",SUMPRODUCT(N2070:Y2070,$N$3:$Y$3,$N$2:$Y$2),SUMPRODUCT(N2070:Y2070,$N$4:$Y$4,$N$2:$Y$2))/(Z2070/($K2070*$L2070*$M2070)),"")</f>
        <v/>
      </c>
      <c r="AC2070" s="18" t="n"/>
    </row>
    <row r="2071">
      <c r="A2071" s="9" t="n">
        <v>692371</v>
      </c>
      <c r="B2071" s="9" t="inlineStr">
        <is>
          <t>Lizandro Espinoza</t>
        </is>
      </c>
      <c r="C2071" s="9" t="inlineStr">
        <is>
          <t>ATL</t>
        </is>
      </c>
      <c r="D2071" s="9" t="n">
        <v>25</v>
      </c>
      <c r="E2071" s="16" t="inlineStr">
        <is>
          <t>R</t>
        </is>
      </c>
      <c r="F2071" s="16" t="n"/>
      <c r="G2071" s="9" t="n">
        <v>63.74358974358975</v>
      </c>
      <c r="H2071" s="9" t="n">
        <v>63.74358974358975</v>
      </c>
      <c r="I2071" s="9" t="inlineStr">
        <is>
          <t>Depth (no MLB PA)</t>
        </is>
      </c>
      <c r="J2071" s="16" t="inlineStr">
        <is>
          <t>Opening Day</t>
        </is>
      </c>
      <c r="K2071" s="11">
        <f>IFERROR(INDEX(Roles!$B$17:$B$20,MATCH(J2071,Roles!$A$17:$A$20,0)),1)</f>
        <v/>
      </c>
      <c r="L2071" s="17" t="n">
        <v>1</v>
      </c>
      <c r="M2071" s="11" t="n">
        <v>1</v>
      </c>
      <c r="N2071" s="17" t="n"/>
      <c r="O2071" s="17" t="n"/>
      <c r="P2071" s="17" t="n"/>
      <c r="Q2071" s="17" t="n"/>
      <c r="R2071" s="17" t="n"/>
      <c r="S2071" s="17" t="n"/>
      <c r="T2071" s="17" t="n"/>
      <c r="U2071" s="17" t="n"/>
      <c r="V2071" s="17" t="n"/>
      <c r="W2071" s="17" t="n"/>
      <c r="X2071" s="17" t="n"/>
      <c r="Y2071" s="17" t="n">
        <v>1</v>
      </c>
      <c r="Z2071" s="13">
        <f>SUMPRODUCT(N2071:Y2071,$N$2:$Y$2)*$K2071*$L2071*$M2071</f>
        <v/>
      </c>
      <c r="AA2071" s="14">
        <f>SUM(N2071:Y2071)</f>
        <v/>
      </c>
      <c r="AB2071" s="14">
        <f>IFERROR(IF(UPPER($E2071)="L",SUMPRODUCT(N2071:Y2071,$N$3:$Y$3,$N$2:$Y$2),SUMPRODUCT(N2071:Y2071,$N$4:$Y$4,$N$2:$Y$2))/(Z2071/($K2071*$L2071*$M2071)),"")</f>
        <v/>
      </c>
      <c r="AC2071" s="18" t="n"/>
    </row>
    <row r="2072">
      <c r="A2072" s="9" t="n">
        <v>805260</v>
      </c>
      <c r="B2072" s="9" t="inlineStr">
        <is>
          <t>Ethan Hedges</t>
        </is>
      </c>
      <c r="C2072" s="9" t="inlineStr">
        <is>
          <t>COL</t>
        </is>
      </c>
      <c r="D2072" s="9" t="n">
        <v>25</v>
      </c>
      <c r="E2072" s="16" t="inlineStr">
        <is>
          <t>R</t>
        </is>
      </c>
      <c r="F2072" s="16" t="n"/>
      <c r="G2072" s="9" t="n">
        <v>103.1794871794872</v>
      </c>
      <c r="H2072" s="9" t="n">
        <v>103.1794871794872</v>
      </c>
      <c r="I2072" s="9" t="inlineStr">
        <is>
          <t>Depth (no MLB PA)</t>
        </is>
      </c>
      <c r="J2072" s="16" t="inlineStr">
        <is>
          <t>Opening Day</t>
        </is>
      </c>
      <c r="K2072" s="11">
        <f>IFERROR(INDEX(Roles!$B$17:$B$20,MATCH(J2072,Roles!$A$17:$A$20,0)),1)</f>
        <v/>
      </c>
      <c r="L2072" s="17" t="n">
        <v>1</v>
      </c>
      <c r="M2072" s="11" t="n">
        <v>1</v>
      </c>
      <c r="N2072" s="17" t="n"/>
      <c r="O2072" s="17" t="n"/>
      <c r="P2072" s="17" t="n"/>
      <c r="Q2072" s="17" t="n"/>
      <c r="R2072" s="17" t="n"/>
      <c r="S2072" s="17" t="n"/>
      <c r="T2072" s="17" t="n"/>
      <c r="U2072" s="17" t="n"/>
      <c r="V2072" s="17" t="n"/>
      <c r="W2072" s="17" t="n"/>
      <c r="X2072" s="17" t="n"/>
      <c r="Y2072" s="17" t="n">
        <v>1</v>
      </c>
      <c r="Z2072" s="13">
        <f>SUMPRODUCT(N2072:Y2072,$N$2:$Y$2)*$K2072*$L2072*$M2072</f>
        <v/>
      </c>
      <c r="AA2072" s="14">
        <f>SUM(N2072:Y2072)</f>
        <v/>
      </c>
      <c r="AB2072" s="14">
        <f>IFERROR(IF(UPPER($E2072)="L",SUMPRODUCT(N2072:Y2072,$N$3:$Y$3,$N$2:$Y$2),SUMPRODUCT(N2072:Y2072,$N$4:$Y$4,$N$2:$Y$2))/(Z2072/($K2072*$L2072*$M2072)),"")</f>
        <v/>
      </c>
      <c r="AC2072" s="18" t="n"/>
    </row>
    <row r="2073">
      <c r="A2073" s="9" t="n">
        <v>695289</v>
      </c>
      <c r="B2073" s="9" t="inlineStr">
        <is>
          <t>Dustin Crenshaw</t>
        </is>
      </c>
      <c r="C2073" s="9" t="inlineStr">
        <is>
          <t>SEA</t>
        </is>
      </c>
      <c r="D2073" s="9" t="n">
        <v>25</v>
      </c>
      <c r="E2073" s="16" t="inlineStr">
        <is>
          <t>L</t>
        </is>
      </c>
      <c r="F2073" s="16" t="n"/>
      <c r="G2073" s="9" t="n">
        <v>36.92307692307692</v>
      </c>
      <c r="H2073" s="9" t="n">
        <v>36.92307692307692</v>
      </c>
      <c r="I2073" s="9" t="inlineStr">
        <is>
          <t>Depth (no MLB PA)</t>
        </is>
      </c>
      <c r="J2073" s="16" t="inlineStr">
        <is>
          <t>Opening Day</t>
        </is>
      </c>
      <c r="K2073" s="11">
        <f>IFERROR(INDEX(Roles!$B$17:$B$20,MATCH(J2073,Roles!$A$17:$A$20,0)),1)</f>
        <v/>
      </c>
      <c r="L2073" s="17" t="n">
        <v>1</v>
      </c>
      <c r="M2073" s="11" t="n">
        <v>1</v>
      </c>
      <c r="N2073" s="17" t="n"/>
      <c r="O2073" s="17" t="n"/>
      <c r="P2073" s="17" t="n"/>
      <c r="Q2073" s="17" t="n"/>
      <c r="R2073" s="17" t="n"/>
      <c r="S2073" s="17" t="n"/>
      <c r="T2073" s="17" t="n"/>
      <c r="U2073" s="17" t="n"/>
      <c r="V2073" s="17" t="n"/>
      <c r="W2073" s="17" t="n"/>
      <c r="X2073" s="17" t="n"/>
      <c r="Y2073" s="17" t="n">
        <v>1</v>
      </c>
      <c r="Z2073" s="13">
        <f>SUMPRODUCT(N2073:Y2073,$N$2:$Y$2)*$K2073*$L2073*$M2073</f>
        <v/>
      </c>
      <c r="AA2073" s="14">
        <f>SUM(N2073:Y2073)</f>
        <v/>
      </c>
      <c r="AB2073" s="14">
        <f>IFERROR(IF(UPPER($E2073)="L",SUMPRODUCT(N2073:Y2073,$N$3:$Y$3,$N$2:$Y$2),SUMPRODUCT(N2073:Y2073,$N$4:$Y$4,$N$2:$Y$2))/(Z2073/($K2073*$L2073*$M2073)),"")</f>
        <v/>
      </c>
      <c r="AC2073" s="18" t="n"/>
    </row>
    <row r="2074">
      <c r="A2074" s="9" t="n">
        <v>701540</v>
      </c>
      <c r="B2074" s="9" t="inlineStr">
        <is>
          <t>J.R. Freethy</t>
        </is>
      </c>
      <c r="C2074" s="9" t="inlineStr">
        <is>
          <t>TOR</t>
        </is>
      </c>
      <c r="D2074" s="9" t="n">
        <v>25</v>
      </c>
      <c r="E2074" s="16" t="inlineStr">
        <is>
          <t>S</t>
        </is>
      </c>
      <c r="F2074" s="16" t="n"/>
      <c r="G2074" s="9" t="n">
        <v>40.20512820512821</v>
      </c>
      <c r="H2074" s="9" t="n">
        <v>40.20512820512821</v>
      </c>
      <c r="I2074" s="9" t="inlineStr">
        <is>
          <t>Depth (no MLB PA)</t>
        </is>
      </c>
      <c r="J2074" s="16" t="inlineStr">
        <is>
          <t>Opening Day</t>
        </is>
      </c>
      <c r="K2074" s="11">
        <f>IFERROR(INDEX(Roles!$B$17:$B$20,MATCH(J2074,Roles!$A$17:$A$20,0)),1)</f>
        <v/>
      </c>
      <c r="L2074" s="17" t="n">
        <v>1</v>
      </c>
      <c r="M2074" s="11" t="n">
        <v>1</v>
      </c>
      <c r="N2074" s="17" t="n"/>
      <c r="O2074" s="17" t="n"/>
      <c r="P2074" s="17" t="n"/>
      <c r="Q2074" s="17" t="n"/>
      <c r="R2074" s="17" t="n"/>
      <c r="S2074" s="17" t="n"/>
      <c r="T2074" s="17" t="n"/>
      <c r="U2074" s="17" t="n"/>
      <c r="V2074" s="17" t="n"/>
      <c r="W2074" s="17" t="n"/>
      <c r="X2074" s="17" t="n"/>
      <c r="Y2074" s="17" t="n">
        <v>1</v>
      </c>
      <c r="Z2074" s="13">
        <f>SUMPRODUCT(N2074:Y2074,$N$2:$Y$2)*$K2074*$L2074*$M2074</f>
        <v/>
      </c>
      <c r="AA2074" s="14">
        <f>SUM(N2074:Y2074)</f>
        <v/>
      </c>
      <c r="AB2074" s="14">
        <f>IFERROR(IF(UPPER($E2074)="L",SUMPRODUCT(N2074:Y2074,$N$3:$Y$3,$N$2:$Y$2),SUMPRODUCT(N2074:Y2074,$N$4:$Y$4,$N$2:$Y$2))/(Z2074/($K2074*$L2074*$M2074)),"")</f>
        <v/>
      </c>
      <c r="AC2074" s="18" t="n"/>
    </row>
    <row r="2075">
      <c r="A2075" s="9" t="n">
        <v>703639</v>
      </c>
      <c r="B2075" s="9" t="inlineStr">
        <is>
          <t>Nico Perez</t>
        </is>
      </c>
      <c r="C2075" s="9" t="inlineStr">
        <is>
          <t>LAD</t>
        </is>
      </c>
      <c r="D2075" s="9" t="n">
        <v>25</v>
      </c>
      <c r="E2075" s="16" t="inlineStr">
        <is>
          <t>R</t>
        </is>
      </c>
      <c r="F2075" s="16" t="n"/>
      <c r="G2075" s="9" t="n">
        <v>71.38461538461539</v>
      </c>
      <c r="H2075" s="9" t="n">
        <v>71.38461538461539</v>
      </c>
      <c r="I2075" s="9" t="inlineStr">
        <is>
          <t>Depth (no MLB PA)</t>
        </is>
      </c>
      <c r="J2075" s="16" t="inlineStr">
        <is>
          <t>Opening Day</t>
        </is>
      </c>
      <c r="K2075" s="11">
        <f>IFERROR(INDEX(Roles!$B$17:$B$20,MATCH(J2075,Roles!$A$17:$A$20,0)),1)</f>
        <v/>
      </c>
      <c r="L2075" s="17" t="n">
        <v>1</v>
      </c>
      <c r="M2075" s="11" t="n">
        <v>1</v>
      </c>
      <c r="N2075" s="17" t="n"/>
      <c r="O2075" s="17" t="n"/>
      <c r="P2075" s="17" t="n"/>
      <c r="Q2075" s="17" t="n"/>
      <c r="R2075" s="17" t="n"/>
      <c r="S2075" s="17" t="n"/>
      <c r="T2075" s="17" t="n"/>
      <c r="U2075" s="17" t="n"/>
      <c r="V2075" s="17" t="n"/>
      <c r="W2075" s="17" t="n"/>
      <c r="X2075" s="17" t="n"/>
      <c r="Y2075" s="17" t="n">
        <v>1</v>
      </c>
      <c r="Z2075" s="13">
        <f>SUMPRODUCT(N2075:Y2075,$N$2:$Y$2)*$K2075*$L2075*$M2075</f>
        <v/>
      </c>
      <c r="AA2075" s="14">
        <f>SUM(N2075:Y2075)</f>
        <v/>
      </c>
      <c r="AB2075" s="14">
        <f>IFERROR(IF(UPPER($E2075)="L",SUMPRODUCT(N2075:Y2075,$N$3:$Y$3,$N$2:$Y$2),SUMPRODUCT(N2075:Y2075,$N$4:$Y$4,$N$2:$Y$2))/(Z2075/($K2075*$L2075*$M2075)),"")</f>
        <v/>
      </c>
      <c r="AC2075" s="18" t="n"/>
    </row>
    <row r="2076">
      <c r="A2076" s="9" t="n">
        <v>695744</v>
      </c>
      <c r="B2076" s="9" t="inlineStr">
        <is>
          <t>Ian Moller</t>
        </is>
      </c>
      <c r="C2076" s="9" t="inlineStr">
        <is>
          <t>TEX</t>
        </is>
      </c>
      <c r="D2076" s="9" t="n">
        <v>25</v>
      </c>
      <c r="E2076" s="16" t="inlineStr">
        <is>
          <t>R</t>
        </is>
      </c>
      <c r="F2076" s="16" t="n"/>
      <c r="G2076" s="9" t="n">
        <v>102.3076923076923</v>
      </c>
      <c r="H2076" s="9" t="n">
        <v>102.3076923076923</v>
      </c>
      <c r="I2076" s="9" t="inlineStr">
        <is>
          <t>Depth (no MLB PA)</t>
        </is>
      </c>
      <c r="J2076" s="16" t="inlineStr">
        <is>
          <t>Opening Day</t>
        </is>
      </c>
      <c r="K2076" s="11">
        <f>IFERROR(INDEX(Roles!$B$17:$B$20,MATCH(J2076,Roles!$A$17:$A$20,0)),1)</f>
        <v/>
      </c>
      <c r="L2076" s="17" t="n">
        <v>1</v>
      </c>
      <c r="M2076" s="11" t="n">
        <v>1</v>
      </c>
      <c r="N2076" s="17" t="n"/>
      <c r="O2076" s="17" t="n"/>
      <c r="P2076" s="17" t="n"/>
      <c r="Q2076" s="17" t="n"/>
      <c r="R2076" s="17" t="n"/>
      <c r="S2076" s="17" t="n"/>
      <c r="T2076" s="17" t="n"/>
      <c r="U2076" s="17" t="n"/>
      <c r="V2076" s="17" t="n"/>
      <c r="W2076" s="17" t="n"/>
      <c r="X2076" s="17" t="n"/>
      <c r="Y2076" s="17" t="n">
        <v>1</v>
      </c>
      <c r="Z2076" s="13">
        <f>SUMPRODUCT(N2076:Y2076,$N$2:$Y$2)*$K2076*$L2076*$M2076</f>
        <v/>
      </c>
      <c r="AA2076" s="14">
        <f>SUM(N2076:Y2076)</f>
        <v/>
      </c>
      <c r="AB2076" s="14">
        <f>IFERROR(IF(UPPER($E2076)="L",SUMPRODUCT(N2076:Y2076,$N$3:$Y$3,$N$2:$Y$2),SUMPRODUCT(N2076:Y2076,$N$4:$Y$4,$N$2:$Y$2))/(Z2076/($K2076*$L2076*$M2076)),"")</f>
        <v/>
      </c>
      <c r="AC2076" s="18" t="n"/>
    </row>
    <row r="2077">
      <c r="A2077" s="9" t="n">
        <v>680960</v>
      </c>
      <c r="B2077" s="9" t="inlineStr">
        <is>
          <t>Caleb Bartolero</t>
        </is>
      </c>
      <c r="C2077" s="9" t="inlineStr">
        <is>
          <t>LAA</t>
        </is>
      </c>
      <c r="D2077" s="9" t="n">
        <v>25</v>
      </c>
      <c r="E2077" s="16" t="inlineStr">
        <is>
          <t>R</t>
        </is>
      </c>
      <c r="F2077" s="16" t="n"/>
      <c r="G2077" s="9" t="n">
        <v>110.9230769230769</v>
      </c>
      <c r="H2077" s="9" t="n">
        <v>110.9230769230769</v>
      </c>
      <c r="I2077" s="9" t="inlineStr">
        <is>
          <t>Depth (no MLB PA)</t>
        </is>
      </c>
      <c r="J2077" s="16" t="inlineStr">
        <is>
          <t>Opening Day</t>
        </is>
      </c>
      <c r="K2077" s="11">
        <f>IFERROR(INDEX(Roles!$B$17:$B$20,MATCH(J2077,Roles!$A$17:$A$20,0)),1)</f>
        <v/>
      </c>
      <c r="L2077" s="17" t="n">
        <v>1</v>
      </c>
      <c r="M2077" s="11" t="n">
        <v>1</v>
      </c>
      <c r="N2077" s="17" t="n"/>
      <c r="O2077" s="17" t="n"/>
      <c r="P2077" s="17" t="n"/>
      <c r="Q2077" s="17" t="n"/>
      <c r="R2077" s="17" t="n"/>
      <c r="S2077" s="17" t="n"/>
      <c r="T2077" s="17" t="n"/>
      <c r="U2077" s="17" t="n"/>
      <c r="V2077" s="17" t="n"/>
      <c r="W2077" s="17" t="n"/>
      <c r="X2077" s="17" t="n"/>
      <c r="Y2077" s="17" t="n">
        <v>1</v>
      </c>
      <c r="Z2077" s="13">
        <f>SUMPRODUCT(N2077:Y2077,$N$2:$Y$2)*$K2077*$L2077*$M2077</f>
        <v/>
      </c>
      <c r="AA2077" s="14">
        <f>SUM(N2077:Y2077)</f>
        <v/>
      </c>
      <c r="AB2077" s="14">
        <f>IFERROR(IF(UPPER($E2077)="L",SUMPRODUCT(N2077:Y2077,$N$3:$Y$3,$N$2:$Y$2),SUMPRODUCT(N2077:Y2077,$N$4:$Y$4,$N$2:$Y$2))/(Z2077/($K2077*$L2077*$M2077)),"")</f>
        <v/>
      </c>
      <c r="AC2077" s="18" t="n"/>
    </row>
    <row r="2078">
      <c r="A2078" s="9" t="n">
        <v>835615</v>
      </c>
      <c r="B2078" s="9" t="inlineStr">
        <is>
          <t>Caleb Shpur</t>
        </is>
      </c>
      <c r="C2078" s="9" t="inlineStr">
        <is>
          <t>DET</t>
        </is>
      </c>
      <c r="D2078" s="9" t="n">
        <v>25</v>
      </c>
      <c r="E2078" s="16" t="inlineStr">
        <is>
          <t>R</t>
        </is>
      </c>
      <c r="F2078" s="16" t="n"/>
      <c r="G2078" s="9" t="n">
        <v>34.66666666666667</v>
      </c>
      <c r="H2078" s="9" t="n">
        <v>34.66666666666667</v>
      </c>
      <c r="I2078" s="9" t="inlineStr">
        <is>
          <t>Depth (no MLB PA)</t>
        </is>
      </c>
      <c r="J2078" s="16" t="inlineStr">
        <is>
          <t>Opening Day</t>
        </is>
      </c>
      <c r="K2078" s="11">
        <f>IFERROR(INDEX(Roles!$B$17:$B$20,MATCH(J2078,Roles!$A$17:$A$20,0)),1)</f>
        <v/>
      </c>
      <c r="L2078" s="17" t="n">
        <v>1</v>
      </c>
      <c r="M2078" s="11" t="n">
        <v>1</v>
      </c>
      <c r="N2078" s="17" t="n"/>
      <c r="O2078" s="17" t="n"/>
      <c r="P2078" s="17" t="n"/>
      <c r="Q2078" s="17" t="n"/>
      <c r="R2078" s="17" t="n"/>
      <c r="S2078" s="17" t="n"/>
      <c r="T2078" s="17" t="n"/>
      <c r="U2078" s="17" t="n"/>
      <c r="V2078" s="17" t="n"/>
      <c r="W2078" s="17" t="n"/>
      <c r="X2078" s="17" t="n"/>
      <c r="Y2078" s="17" t="n">
        <v>1</v>
      </c>
      <c r="Z2078" s="13">
        <f>SUMPRODUCT(N2078:Y2078,$N$2:$Y$2)*$K2078*$L2078*$M2078</f>
        <v/>
      </c>
      <c r="AA2078" s="14">
        <f>SUM(N2078:Y2078)</f>
        <v/>
      </c>
      <c r="AB2078" s="14">
        <f>IFERROR(IF(UPPER($E2078)="L",SUMPRODUCT(N2078:Y2078,$N$3:$Y$3,$N$2:$Y$2),SUMPRODUCT(N2078:Y2078,$N$4:$Y$4,$N$2:$Y$2))/(Z2078/($K2078*$L2078*$M2078)),"")</f>
        <v/>
      </c>
      <c r="AC2078" s="18" t="n"/>
    </row>
    <row r="2079">
      <c r="A2079" s="9" t="n">
        <v>800182</v>
      </c>
      <c r="B2079" s="9" t="inlineStr">
        <is>
          <t>Bryan Andrade</t>
        </is>
      </c>
      <c r="C2079" s="9" t="inlineStr">
        <is>
          <t>OAK</t>
        </is>
      </c>
      <c r="D2079" s="9" t="n">
        <v>25</v>
      </c>
      <c r="E2079" s="16" t="inlineStr">
        <is>
          <t>R</t>
        </is>
      </c>
      <c r="F2079" s="16" t="n"/>
      <c r="G2079" s="9" t="n">
        <v>54.8923076923077</v>
      </c>
      <c r="H2079" s="9" t="n">
        <v>54.8923076923077</v>
      </c>
      <c r="I2079" s="9" t="inlineStr">
        <is>
          <t>Depth (no MLB PA)</t>
        </is>
      </c>
      <c r="J2079" s="16" t="inlineStr">
        <is>
          <t>Opening Day</t>
        </is>
      </c>
      <c r="K2079" s="11">
        <f>IFERROR(INDEX(Roles!$B$17:$B$20,MATCH(J2079,Roles!$A$17:$A$20,0)),1)</f>
        <v/>
      </c>
      <c r="L2079" s="17" t="n">
        <v>1</v>
      </c>
      <c r="M2079" s="11" t="n">
        <v>1</v>
      </c>
      <c r="N2079" s="17" t="n"/>
      <c r="O2079" s="17" t="n"/>
      <c r="P2079" s="17" t="n"/>
      <c r="Q2079" s="17" t="n"/>
      <c r="R2079" s="17" t="n"/>
      <c r="S2079" s="17" t="n"/>
      <c r="T2079" s="17" t="n"/>
      <c r="U2079" s="17" t="n"/>
      <c r="V2079" s="17" t="n"/>
      <c r="W2079" s="17" t="n"/>
      <c r="X2079" s="17" t="n"/>
      <c r="Y2079" s="17" t="n">
        <v>1</v>
      </c>
      <c r="Z2079" s="13">
        <f>SUMPRODUCT(N2079:Y2079,$N$2:$Y$2)*$K2079*$L2079*$M2079</f>
        <v/>
      </c>
      <c r="AA2079" s="14">
        <f>SUM(N2079:Y2079)</f>
        <v/>
      </c>
      <c r="AB2079" s="14">
        <f>IFERROR(IF(UPPER($E2079)="L",SUMPRODUCT(N2079:Y2079,$N$3:$Y$3,$N$2:$Y$2),SUMPRODUCT(N2079:Y2079,$N$4:$Y$4,$N$2:$Y$2))/(Z2079/($K2079*$L2079*$M2079)),"")</f>
        <v/>
      </c>
      <c r="AC2079" s="18" t="n"/>
    </row>
    <row r="2080">
      <c r="A2080" s="9" t="n">
        <v>800198</v>
      </c>
      <c r="B2080" s="9" t="inlineStr">
        <is>
          <t>Cristofer Torin</t>
        </is>
      </c>
      <c r="C2080" s="9" t="inlineStr">
        <is>
          <t>ARI</t>
        </is>
      </c>
      <c r="D2080" s="9" t="n">
        <v>25</v>
      </c>
      <c r="E2080" s="16" t="inlineStr">
        <is>
          <t>R</t>
        </is>
      </c>
      <c r="F2080" s="16" t="n"/>
      <c r="G2080" s="9" t="n">
        <v>193.8461538461538</v>
      </c>
      <c r="H2080" s="9" t="n">
        <v>193.8461538461538</v>
      </c>
      <c r="I2080" s="9" t="inlineStr">
        <is>
          <t>Depth (no MLB PA)</t>
        </is>
      </c>
      <c r="J2080" s="16" t="inlineStr">
        <is>
          <t>Opening Day</t>
        </is>
      </c>
      <c r="K2080" s="11">
        <f>IFERROR(INDEX(Roles!$B$17:$B$20,MATCH(J2080,Roles!$A$17:$A$20,0)),1)</f>
        <v/>
      </c>
      <c r="L2080" s="17" t="n">
        <v>1</v>
      </c>
      <c r="M2080" s="11" t="n">
        <v>1</v>
      </c>
      <c r="N2080" s="17" t="n"/>
      <c r="O2080" s="17" t="n"/>
      <c r="P2080" s="17" t="n"/>
      <c r="Q2080" s="17" t="n"/>
      <c r="R2080" s="17" t="n"/>
      <c r="S2080" s="17" t="n"/>
      <c r="T2080" s="17" t="n"/>
      <c r="U2080" s="17" t="n"/>
      <c r="V2080" s="17" t="n"/>
      <c r="W2080" s="17" t="n"/>
      <c r="X2080" s="17" t="n"/>
      <c r="Y2080" s="17" t="n">
        <v>1</v>
      </c>
      <c r="Z2080" s="13">
        <f>SUMPRODUCT(N2080:Y2080,$N$2:$Y$2)*$K2080*$L2080*$M2080</f>
        <v/>
      </c>
      <c r="AA2080" s="14">
        <f>SUM(N2080:Y2080)</f>
        <v/>
      </c>
      <c r="AB2080" s="14">
        <f>IFERROR(IF(UPPER($E2080)="L",SUMPRODUCT(N2080:Y2080,$N$3:$Y$3,$N$2:$Y$2),SUMPRODUCT(N2080:Y2080,$N$4:$Y$4,$N$2:$Y$2))/(Z2080/($K2080*$L2080*$M2080)),"")</f>
        <v/>
      </c>
      <c r="AC2080" s="18" t="n"/>
    </row>
    <row r="2081">
      <c r="A2081" s="9" t="n">
        <v>808571</v>
      </c>
      <c r="B2081" s="9" t="inlineStr">
        <is>
          <t>D'Angelo Ortiz</t>
        </is>
      </c>
      <c r="C2081" s="9" t="inlineStr">
        <is>
          <t>BOS</t>
        </is>
      </c>
      <c r="D2081" s="9" t="n">
        <v>25</v>
      </c>
      <c r="E2081" s="16" t="inlineStr">
        <is>
          <t>R</t>
        </is>
      </c>
      <c r="F2081" s="16" t="n"/>
      <c r="G2081" s="9" t="n">
        <v>34.58461538461539</v>
      </c>
      <c r="H2081" s="9" t="n">
        <v>34.58461538461539</v>
      </c>
      <c r="I2081" s="9" t="inlineStr">
        <is>
          <t>Depth (no MLB PA)</t>
        </is>
      </c>
      <c r="J2081" s="16" t="inlineStr">
        <is>
          <t>Opening Day</t>
        </is>
      </c>
      <c r="K2081" s="11">
        <f>IFERROR(INDEX(Roles!$B$17:$B$20,MATCH(J2081,Roles!$A$17:$A$20,0)),1)</f>
        <v/>
      </c>
      <c r="L2081" s="17" t="n">
        <v>1</v>
      </c>
      <c r="M2081" s="11" t="n">
        <v>1</v>
      </c>
      <c r="N2081" s="17" t="n"/>
      <c r="O2081" s="17" t="n"/>
      <c r="P2081" s="17" t="n"/>
      <c r="Q2081" s="17" t="n"/>
      <c r="R2081" s="17" t="n"/>
      <c r="S2081" s="17" t="n"/>
      <c r="T2081" s="17" t="n"/>
      <c r="U2081" s="17" t="n"/>
      <c r="V2081" s="17" t="n"/>
      <c r="W2081" s="17" t="n"/>
      <c r="X2081" s="17" t="n"/>
      <c r="Y2081" s="17" t="n">
        <v>1</v>
      </c>
      <c r="Z2081" s="13">
        <f>SUMPRODUCT(N2081:Y2081,$N$2:$Y$2)*$K2081*$L2081*$M2081</f>
        <v/>
      </c>
      <c r="AA2081" s="14">
        <f>SUM(N2081:Y2081)</f>
        <v/>
      </c>
      <c r="AB2081" s="14">
        <f>IFERROR(IF(UPPER($E2081)="L",SUMPRODUCT(N2081:Y2081,$N$3:$Y$3,$N$2:$Y$2),SUMPRODUCT(N2081:Y2081,$N$4:$Y$4,$N$2:$Y$2))/(Z2081/($K2081*$L2081*$M2081)),"")</f>
        <v/>
      </c>
      <c r="AC2081" s="18" t="n"/>
    </row>
    <row r="2082">
      <c r="A2082" s="9" t="n">
        <v>683546</v>
      </c>
      <c r="B2082" s="9" t="inlineStr">
        <is>
          <t>Albert Fabian</t>
        </is>
      </c>
      <c r="C2082" s="9" t="inlineStr">
        <is>
          <t>SD</t>
        </is>
      </c>
      <c r="D2082" s="9" t="n">
        <v>25</v>
      </c>
      <c r="E2082" s="16" t="inlineStr">
        <is>
          <t>L</t>
        </is>
      </c>
      <c r="F2082" s="16" t="n"/>
      <c r="G2082" s="9" t="n">
        <v>148.6153846153846</v>
      </c>
      <c r="H2082" s="9" t="n">
        <v>148.6153846153846</v>
      </c>
      <c r="I2082" s="9" t="inlineStr">
        <is>
          <t>Depth (no MLB PA)</t>
        </is>
      </c>
      <c r="J2082" s="16" t="inlineStr">
        <is>
          <t>Opening Day</t>
        </is>
      </c>
      <c r="K2082" s="11">
        <f>IFERROR(INDEX(Roles!$B$17:$B$20,MATCH(J2082,Roles!$A$17:$A$20,0)),1)</f>
        <v/>
      </c>
      <c r="L2082" s="17" t="n">
        <v>1</v>
      </c>
      <c r="M2082" s="11" t="n">
        <v>1</v>
      </c>
      <c r="N2082" s="17" t="n"/>
      <c r="O2082" s="17" t="n"/>
      <c r="P2082" s="17" t="n"/>
      <c r="Q2082" s="17" t="n"/>
      <c r="R2082" s="17" t="n"/>
      <c r="S2082" s="17" t="n"/>
      <c r="T2082" s="17" t="n"/>
      <c r="U2082" s="17" t="n"/>
      <c r="V2082" s="17" t="n"/>
      <c r="W2082" s="17" t="n"/>
      <c r="X2082" s="17" t="n"/>
      <c r="Y2082" s="17" t="n">
        <v>1</v>
      </c>
      <c r="Z2082" s="13">
        <f>SUMPRODUCT(N2082:Y2082,$N$2:$Y$2)*$K2082*$L2082*$M2082</f>
        <v/>
      </c>
      <c r="AA2082" s="14">
        <f>SUM(N2082:Y2082)</f>
        <v/>
      </c>
      <c r="AB2082" s="14">
        <f>IFERROR(IF(UPPER($E2082)="L",SUMPRODUCT(N2082:Y2082,$N$3:$Y$3,$N$2:$Y$2),SUMPRODUCT(N2082:Y2082,$N$4:$Y$4,$N$2:$Y$2))/(Z2082/($K2082*$L2082*$M2082)),"")</f>
        <v/>
      </c>
      <c r="AC2082" s="18" t="n"/>
    </row>
    <row r="2083">
      <c r="A2083" s="9" t="n">
        <v>668965</v>
      </c>
      <c r="B2083" s="9" t="inlineStr">
        <is>
          <t>Freddy Zamora</t>
        </is>
      </c>
      <c r="C2083" s="9" t="inlineStr">
        <is>
          <t>MIL</t>
        </is>
      </c>
      <c r="D2083" s="9" t="n">
        <v>25</v>
      </c>
      <c r="E2083" s="16" t="inlineStr">
        <is>
          <t>R</t>
        </is>
      </c>
      <c r="F2083" s="16" t="n"/>
      <c r="G2083" s="9" t="n">
        <v>81.79487179487181</v>
      </c>
      <c r="H2083" s="9" t="n">
        <v>81.79487179487181</v>
      </c>
      <c r="I2083" s="9" t="inlineStr">
        <is>
          <t>Depth (no MLB PA)</t>
        </is>
      </c>
      <c r="J2083" s="16" t="inlineStr">
        <is>
          <t>Opening Day</t>
        </is>
      </c>
      <c r="K2083" s="11">
        <f>IFERROR(INDEX(Roles!$B$17:$B$20,MATCH(J2083,Roles!$A$17:$A$20,0)),1)</f>
        <v/>
      </c>
      <c r="L2083" s="17" t="n">
        <v>1</v>
      </c>
      <c r="M2083" s="11" t="n">
        <v>1</v>
      </c>
      <c r="N2083" s="17" t="n"/>
      <c r="O2083" s="17" t="n"/>
      <c r="P2083" s="17" t="n"/>
      <c r="Q2083" s="17" t="n"/>
      <c r="R2083" s="17" t="n"/>
      <c r="S2083" s="17" t="n"/>
      <c r="T2083" s="17" t="n"/>
      <c r="U2083" s="17" t="n"/>
      <c r="V2083" s="17" t="n"/>
      <c r="W2083" s="17" t="n"/>
      <c r="X2083" s="17" t="n"/>
      <c r="Y2083" s="17" t="n">
        <v>1</v>
      </c>
      <c r="Z2083" s="13">
        <f>SUMPRODUCT(N2083:Y2083,$N$2:$Y$2)*$K2083*$L2083*$M2083</f>
        <v/>
      </c>
      <c r="AA2083" s="14">
        <f>SUM(N2083:Y2083)</f>
        <v/>
      </c>
      <c r="AB2083" s="14">
        <f>IFERROR(IF(UPPER($E2083)="L",SUMPRODUCT(N2083:Y2083,$N$3:$Y$3,$N$2:$Y$2),SUMPRODUCT(N2083:Y2083,$N$4:$Y$4,$N$2:$Y$2))/(Z2083/($K2083*$L2083*$M2083)),"")</f>
        <v/>
      </c>
      <c r="AC2083" s="18" t="n"/>
    </row>
    <row r="2084">
      <c r="A2084" s="9" t="n">
        <v>827672</v>
      </c>
      <c r="B2084" s="9" t="inlineStr">
        <is>
          <t>Jude Warwick</t>
        </is>
      </c>
      <c r="C2084" s="9" t="inlineStr">
        <is>
          <t>DET</t>
        </is>
      </c>
      <c r="D2084" s="9" t="n">
        <v>25</v>
      </c>
      <c r="E2084" s="16" t="inlineStr">
        <is>
          <t>L</t>
        </is>
      </c>
      <c r="F2084" s="16" t="n"/>
      <c r="G2084" s="9" t="n">
        <v>53.66153846153846</v>
      </c>
      <c r="H2084" s="9" t="n">
        <v>53.66153846153846</v>
      </c>
      <c r="I2084" s="9" t="inlineStr">
        <is>
          <t>Depth (no MLB PA)</t>
        </is>
      </c>
      <c r="J2084" s="16" t="inlineStr">
        <is>
          <t>Opening Day</t>
        </is>
      </c>
      <c r="K2084" s="11">
        <f>IFERROR(INDEX(Roles!$B$17:$B$20,MATCH(J2084,Roles!$A$17:$A$20,0)),1)</f>
        <v/>
      </c>
      <c r="L2084" s="17" t="n">
        <v>1</v>
      </c>
      <c r="M2084" s="11" t="n">
        <v>1</v>
      </c>
      <c r="N2084" s="17" t="n"/>
      <c r="O2084" s="17" t="n"/>
      <c r="P2084" s="17" t="n"/>
      <c r="Q2084" s="17" t="n"/>
      <c r="R2084" s="17" t="n"/>
      <c r="S2084" s="17" t="n"/>
      <c r="T2084" s="17" t="n"/>
      <c r="U2084" s="17" t="n"/>
      <c r="V2084" s="17" t="n"/>
      <c r="W2084" s="17" t="n"/>
      <c r="X2084" s="17" t="n"/>
      <c r="Y2084" s="17" t="n">
        <v>1</v>
      </c>
      <c r="Z2084" s="13">
        <f>SUMPRODUCT(N2084:Y2084,$N$2:$Y$2)*$K2084*$L2084*$M2084</f>
        <v/>
      </c>
      <c r="AA2084" s="14">
        <f>SUM(N2084:Y2084)</f>
        <v/>
      </c>
      <c r="AB2084" s="14">
        <f>IFERROR(IF(UPPER($E2084)="L",SUMPRODUCT(N2084:Y2084,$N$3:$Y$3,$N$2:$Y$2),SUMPRODUCT(N2084:Y2084,$N$4:$Y$4,$N$2:$Y$2))/(Z2084/($K2084*$L2084*$M2084)),"")</f>
        <v/>
      </c>
      <c r="AC2084" s="18" t="n"/>
    </row>
    <row r="2085">
      <c r="A2085" s="9" t="n">
        <v>815814</v>
      </c>
      <c r="B2085" s="9" t="inlineStr">
        <is>
          <t>Billy Carlson</t>
        </is>
      </c>
      <c r="C2085" s="9" t="inlineStr">
        <is>
          <t>CWS</t>
        </is>
      </c>
      <c r="D2085" s="9" t="n">
        <v>25</v>
      </c>
      <c r="E2085" s="16" t="inlineStr">
        <is>
          <t>R</t>
        </is>
      </c>
      <c r="F2085" s="16" t="n"/>
      <c r="G2085" s="9" t="n">
        <v>30.52307692307692</v>
      </c>
      <c r="H2085" s="9" t="n">
        <v>30.52307692307692</v>
      </c>
      <c r="I2085" s="9" t="inlineStr">
        <is>
          <t>Depth (no MLB PA)</t>
        </is>
      </c>
      <c r="J2085" s="16" t="inlineStr">
        <is>
          <t>Opening Day</t>
        </is>
      </c>
      <c r="K2085" s="11">
        <f>IFERROR(INDEX(Roles!$B$17:$B$20,MATCH(J2085,Roles!$A$17:$A$20,0)),1)</f>
        <v/>
      </c>
      <c r="L2085" s="17" t="n">
        <v>1</v>
      </c>
      <c r="M2085" s="11" t="n">
        <v>1</v>
      </c>
      <c r="N2085" s="17" t="n"/>
      <c r="O2085" s="17" t="n"/>
      <c r="P2085" s="17" t="n"/>
      <c r="Q2085" s="17" t="n"/>
      <c r="R2085" s="17" t="n"/>
      <c r="S2085" s="17" t="n"/>
      <c r="T2085" s="17" t="n"/>
      <c r="U2085" s="17" t="n"/>
      <c r="V2085" s="17" t="n"/>
      <c r="W2085" s="17" t="n"/>
      <c r="X2085" s="17" t="n"/>
      <c r="Y2085" s="17" t="n">
        <v>1</v>
      </c>
      <c r="Z2085" s="13">
        <f>SUMPRODUCT(N2085:Y2085,$N$2:$Y$2)*$K2085*$L2085*$M2085</f>
        <v/>
      </c>
      <c r="AA2085" s="14">
        <f>SUM(N2085:Y2085)</f>
        <v/>
      </c>
      <c r="AB2085" s="14">
        <f>IFERROR(IF(UPPER($E2085)="L",SUMPRODUCT(N2085:Y2085,$N$3:$Y$3,$N$2:$Y$2),SUMPRODUCT(N2085:Y2085,$N$4:$Y$4,$N$2:$Y$2))/(Z2085/($K2085*$L2085*$M2085)),"")</f>
        <v/>
      </c>
      <c r="AC2085" s="18" t="n"/>
    </row>
    <row r="2086">
      <c r="A2086" s="9" t="n">
        <v>702253</v>
      </c>
      <c r="B2086" s="9" t="inlineStr">
        <is>
          <t>Cam Collier</t>
        </is>
      </c>
      <c r="C2086" s="9" t="inlineStr">
        <is>
          <t>CIN</t>
        </is>
      </c>
      <c r="D2086" s="9" t="n">
        <v>25</v>
      </c>
      <c r="E2086" s="16" t="inlineStr">
        <is>
          <t>L</t>
        </is>
      </c>
      <c r="F2086" s="16" t="n"/>
      <c r="G2086" s="9" t="n">
        <v>201.7435897435897</v>
      </c>
      <c r="H2086" s="9" t="n">
        <v>201.7435897435897</v>
      </c>
      <c r="I2086" s="9" t="inlineStr">
        <is>
          <t>Depth (no MLB PA)</t>
        </is>
      </c>
      <c r="J2086" s="16" t="inlineStr">
        <is>
          <t>Opening Day</t>
        </is>
      </c>
      <c r="K2086" s="11">
        <f>IFERROR(INDEX(Roles!$B$17:$B$20,MATCH(J2086,Roles!$A$17:$A$20,0)),1)</f>
        <v/>
      </c>
      <c r="L2086" s="17" t="n">
        <v>1</v>
      </c>
      <c r="M2086" s="11" t="n">
        <v>1</v>
      </c>
      <c r="N2086" s="17" t="n"/>
      <c r="O2086" s="17" t="n"/>
      <c r="P2086" s="17" t="n"/>
      <c r="Q2086" s="17" t="n"/>
      <c r="R2086" s="17" t="n"/>
      <c r="S2086" s="17" t="n"/>
      <c r="T2086" s="17" t="n"/>
      <c r="U2086" s="17" t="n"/>
      <c r="V2086" s="17" t="n"/>
      <c r="W2086" s="17" t="n"/>
      <c r="X2086" s="17" t="n"/>
      <c r="Y2086" s="17" t="n">
        <v>1</v>
      </c>
      <c r="Z2086" s="13">
        <f>SUMPRODUCT(N2086:Y2086,$N$2:$Y$2)*$K2086*$L2086*$M2086</f>
        <v/>
      </c>
      <c r="AA2086" s="14">
        <f>SUM(N2086:Y2086)</f>
        <v/>
      </c>
      <c r="AB2086" s="14">
        <f>IFERROR(IF(UPPER($E2086)="L",SUMPRODUCT(N2086:Y2086,$N$3:$Y$3,$N$2:$Y$2),SUMPRODUCT(N2086:Y2086,$N$4:$Y$4,$N$2:$Y$2))/(Z2086/($K2086*$L2086*$M2086)),"")</f>
        <v/>
      </c>
      <c r="AC2086" s="18" t="n"/>
    </row>
    <row r="2087">
      <c r="A2087" s="9" t="n">
        <v>691600</v>
      </c>
      <c r="B2087" s="9" t="inlineStr">
        <is>
          <t>Blayberg Diaz</t>
        </is>
      </c>
      <c r="C2087" s="9" t="inlineStr">
        <is>
          <t>MIL</t>
        </is>
      </c>
      <c r="D2087" s="9" t="n">
        <v>25</v>
      </c>
      <c r="E2087" s="16" t="inlineStr">
        <is>
          <t>R</t>
        </is>
      </c>
      <c r="F2087" s="16" t="n"/>
      <c r="G2087" s="9" t="n">
        <v>31.38461538461539</v>
      </c>
      <c r="H2087" s="9" t="n">
        <v>31.38461538461539</v>
      </c>
      <c r="I2087" s="9" t="inlineStr">
        <is>
          <t>Depth (no MLB PA)</t>
        </is>
      </c>
      <c r="J2087" s="16" t="inlineStr">
        <is>
          <t>Opening Day</t>
        </is>
      </c>
      <c r="K2087" s="11">
        <f>IFERROR(INDEX(Roles!$B$17:$B$20,MATCH(J2087,Roles!$A$17:$A$20,0)),1)</f>
        <v/>
      </c>
      <c r="L2087" s="17" t="n">
        <v>1</v>
      </c>
      <c r="M2087" s="11" t="n">
        <v>1</v>
      </c>
      <c r="N2087" s="17" t="n"/>
      <c r="O2087" s="17" t="n"/>
      <c r="P2087" s="17" t="n"/>
      <c r="Q2087" s="17" t="n"/>
      <c r="R2087" s="17" t="n"/>
      <c r="S2087" s="17" t="n"/>
      <c r="T2087" s="17" t="n"/>
      <c r="U2087" s="17" t="n"/>
      <c r="V2087" s="17" t="n"/>
      <c r="W2087" s="17" t="n"/>
      <c r="X2087" s="17" t="n"/>
      <c r="Y2087" s="17" t="n">
        <v>1</v>
      </c>
      <c r="Z2087" s="13">
        <f>SUMPRODUCT(N2087:Y2087,$N$2:$Y$2)*$K2087*$L2087*$M2087</f>
        <v/>
      </c>
      <c r="AA2087" s="14">
        <f>SUM(N2087:Y2087)</f>
        <v/>
      </c>
      <c r="AB2087" s="14">
        <f>IFERROR(IF(UPPER($E2087)="L",SUMPRODUCT(N2087:Y2087,$N$3:$Y$3,$N$2:$Y$2),SUMPRODUCT(N2087:Y2087,$N$4:$Y$4,$N$2:$Y$2))/(Z2087/($K2087*$L2087*$M2087)),"")</f>
        <v/>
      </c>
      <c r="AC2087" s="18" t="n"/>
    </row>
    <row r="2088">
      <c r="A2088" s="9" t="n">
        <v>702526</v>
      </c>
      <c r="B2088" s="9" t="inlineStr">
        <is>
          <t>Eric Snow</t>
        </is>
      </c>
      <c r="C2088" s="9" t="inlineStr">
        <is>
          <t>TOR</t>
        </is>
      </c>
      <c r="D2088" s="9" t="n">
        <v>25</v>
      </c>
      <c r="E2088" s="16" t="inlineStr">
        <is>
          <t>R</t>
        </is>
      </c>
      <c r="F2088" s="16" t="n"/>
      <c r="G2088" s="9" t="n">
        <v>41.64102564102564</v>
      </c>
      <c r="H2088" s="9" t="n">
        <v>41.64102564102564</v>
      </c>
      <c r="I2088" s="9" t="inlineStr">
        <is>
          <t>Depth (no MLB PA)</t>
        </is>
      </c>
      <c r="J2088" s="16" t="inlineStr">
        <is>
          <t>Opening Day</t>
        </is>
      </c>
      <c r="K2088" s="11">
        <f>IFERROR(INDEX(Roles!$B$17:$B$20,MATCH(J2088,Roles!$A$17:$A$20,0)),1)</f>
        <v/>
      </c>
      <c r="L2088" s="17" t="n">
        <v>1</v>
      </c>
      <c r="M2088" s="11" t="n">
        <v>1</v>
      </c>
      <c r="N2088" s="17" t="n"/>
      <c r="O2088" s="17" t="n"/>
      <c r="P2088" s="17" t="n"/>
      <c r="Q2088" s="17" t="n"/>
      <c r="R2088" s="17" t="n"/>
      <c r="S2088" s="17" t="n"/>
      <c r="T2088" s="17" t="n"/>
      <c r="U2088" s="17" t="n"/>
      <c r="V2088" s="17" t="n"/>
      <c r="W2088" s="17" t="n"/>
      <c r="X2088" s="17" t="n"/>
      <c r="Y2088" s="17" t="n">
        <v>1</v>
      </c>
      <c r="Z2088" s="13">
        <f>SUMPRODUCT(N2088:Y2088,$N$2:$Y$2)*$K2088*$L2088*$M2088</f>
        <v/>
      </c>
      <c r="AA2088" s="14">
        <f>SUM(N2088:Y2088)</f>
        <v/>
      </c>
      <c r="AB2088" s="14">
        <f>IFERROR(IF(UPPER($E2088)="L",SUMPRODUCT(N2088:Y2088,$N$3:$Y$3,$N$2:$Y$2),SUMPRODUCT(N2088:Y2088,$N$4:$Y$4,$N$2:$Y$2))/(Z2088/($K2088*$L2088*$M2088)),"")</f>
        <v/>
      </c>
      <c r="AC2088" s="18" t="n"/>
    </row>
    <row r="2089">
      <c r="A2089" s="9" t="n">
        <v>681879</v>
      </c>
      <c r="B2089" s="9" t="inlineStr">
        <is>
          <t>Nick Lucky</t>
        </is>
      </c>
      <c r="C2089" s="9" t="inlineStr">
        <is>
          <t>NYM</t>
        </is>
      </c>
      <c r="D2089" s="9" t="n">
        <v>25</v>
      </c>
      <c r="E2089" s="16" t="inlineStr">
        <is>
          <t>L</t>
        </is>
      </c>
      <c r="F2089" s="16" t="n"/>
      <c r="G2089" s="9" t="n">
        <v>30.15384615384616</v>
      </c>
      <c r="H2089" s="9" t="n">
        <v>30.15384615384616</v>
      </c>
      <c r="I2089" s="9" t="inlineStr">
        <is>
          <t>Depth (no MLB PA)</t>
        </is>
      </c>
      <c r="J2089" s="16" t="inlineStr">
        <is>
          <t>Opening Day</t>
        </is>
      </c>
      <c r="K2089" s="11">
        <f>IFERROR(INDEX(Roles!$B$17:$B$20,MATCH(J2089,Roles!$A$17:$A$20,0)),1)</f>
        <v/>
      </c>
      <c r="L2089" s="17" t="n">
        <v>1</v>
      </c>
      <c r="M2089" s="11" t="n">
        <v>1</v>
      </c>
      <c r="N2089" s="17" t="n"/>
      <c r="O2089" s="17" t="n"/>
      <c r="P2089" s="17" t="n"/>
      <c r="Q2089" s="17" t="n"/>
      <c r="R2089" s="17" t="n"/>
      <c r="S2089" s="17" t="n"/>
      <c r="T2089" s="17" t="n"/>
      <c r="U2089" s="17" t="n"/>
      <c r="V2089" s="17" t="n"/>
      <c r="W2089" s="17" t="n"/>
      <c r="X2089" s="17" t="n"/>
      <c r="Y2089" s="17" t="n">
        <v>1</v>
      </c>
      <c r="Z2089" s="13">
        <f>SUMPRODUCT(N2089:Y2089,$N$2:$Y$2)*$K2089*$L2089*$M2089</f>
        <v/>
      </c>
      <c r="AA2089" s="14">
        <f>SUM(N2089:Y2089)</f>
        <v/>
      </c>
      <c r="AB2089" s="14">
        <f>IFERROR(IF(UPPER($E2089)="L",SUMPRODUCT(N2089:Y2089,$N$3:$Y$3,$N$2:$Y$2),SUMPRODUCT(N2089:Y2089,$N$4:$Y$4,$N$2:$Y$2))/(Z2089/($K2089*$L2089*$M2089)),"")</f>
        <v/>
      </c>
      <c r="AC2089" s="18" t="n"/>
    </row>
    <row r="2090">
      <c r="A2090" s="9" t="n">
        <v>701653</v>
      </c>
      <c r="B2090" s="9" t="inlineStr">
        <is>
          <t>Mason Guerra</t>
        </is>
      </c>
      <c r="C2090" s="9" t="inlineStr">
        <is>
          <t>ATL</t>
        </is>
      </c>
      <c r="D2090" s="9" t="n">
        <v>25</v>
      </c>
      <c r="E2090" s="16" t="inlineStr">
        <is>
          <t>R</t>
        </is>
      </c>
      <c r="F2090" s="16" t="n"/>
      <c r="G2090" s="9" t="n">
        <v>80.20512820512822</v>
      </c>
      <c r="H2090" s="9" t="n">
        <v>80.20512820512822</v>
      </c>
      <c r="I2090" s="9" t="inlineStr">
        <is>
          <t>Depth (no MLB PA)</t>
        </is>
      </c>
      <c r="J2090" s="16" t="inlineStr">
        <is>
          <t>Opening Day</t>
        </is>
      </c>
      <c r="K2090" s="11">
        <f>IFERROR(INDEX(Roles!$B$17:$B$20,MATCH(J2090,Roles!$A$17:$A$20,0)),1)</f>
        <v/>
      </c>
      <c r="L2090" s="17" t="n">
        <v>1</v>
      </c>
      <c r="M2090" s="11" t="n">
        <v>1</v>
      </c>
      <c r="N2090" s="17" t="n"/>
      <c r="O2090" s="17" t="n"/>
      <c r="P2090" s="17" t="n"/>
      <c r="Q2090" s="17" t="n"/>
      <c r="R2090" s="17" t="n"/>
      <c r="S2090" s="17" t="n"/>
      <c r="T2090" s="17" t="n"/>
      <c r="U2090" s="17" t="n"/>
      <c r="V2090" s="17" t="n"/>
      <c r="W2090" s="17" t="n"/>
      <c r="X2090" s="17" t="n"/>
      <c r="Y2090" s="17" t="n">
        <v>1</v>
      </c>
      <c r="Z2090" s="13">
        <f>SUMPRODUCT(N2090:Y2090,$N$2:$Y$2)*$K2090*$L2090*$M2090</f>
        <v/>
      </c>
      <c r="AA2090" s="14">
        <f>SUM(N2090:Y2090)</f>
        <v/>
      </c>
      <c r="AB2090" s="14">
        <f>IFERROR(IF(UPPER($E2090)="L",SUMPRODUCT(N2090:Y2090,$N$3:$Y$3,$N$2:$Y$2),SUMPRODUCT(N2090:Y2090,$N$4:$Y$4,$N$2:$Y$2))/(Z2090/($K2090*$L2090*$M2090)),"")</f>
        <v/>
      </c>
      <c r="AC2090" s="18" t="n"/>
    </row>
    <row r="2091">
      <c r="A2091" s="9" t="n">
        <v>702906</v>
      </c>
      <c r="B2091" s="9" t="inlineStr">
        <is>
          <t>Wilfredo Lara</t>
        </is>
      </c>
      <c r="C2091" s="9" t="inlineStr">
        <is>
          <t>MIA</t>
        </is>
      </c>
      <c r="D2091" s="9" t="n">
        <v>25</v>
      </c>
      <c r="E2091" s="16" t="inlineStr">
        <is>
          <t>R</t>
        </is>
      </c>
      <c r="F2091" s="16" t="n"/>
      <c r="G2091" s="9" t="n">
        <v>57.64102564102565</v>
      </c>
      <c r="H2091" s="9" t="n">
        <v>57.64102564102565</v>
      </c>
      <c r="I2091" s="9" t="inlineStr">
        <is>
          <t>Depth (no MLB PA)</t>
        </is>
      </c>
      <c r="J2091" s="16" t="inlineStr">
        <is>
          <t>Opening Day</t>
        </is>
      </c>
      <c r="K2091" s="11">
        <f>IFERROR(INDEX(Roles!$B$17:$B$20,MATCH(J2091,Roles!$A$17:$A$20,0)),1)</f>
        <v/>
      </c>
      <c r="L2091" s="17" t="n">
        <v>1</v>
      </c>
      <c r="M2091" s="11" t="n">
        <v>1</v>
      </c>
      <c r="N2091" s="17" t="n"/>
      <c r="O2091" s="17" t="n"/>
      <c r="P2091" s="17" t="n"/>
      <c r="Q2091" s="17" t="n"/>
      <c r="R2091" s="17" t="n"/>
      <c r="S2091" s="17" t="n"/>
      <c r="T2091" s="17" t="n"/>
      <c r="U2091" s="17" t="n"/>
      <c r="V2091" s="17" t="n"/>
      <c r="W2091" s="17" t="n"/>
      <c r="X2091" s="17" t="n"/>
      <c r="Y2091" s="17" t="n">
        <v>1</v>
      </c>
      <c r="Z2091" s="13">
        <f>SUMPRODUCT(N2091:Y2091,$N$2:$Y$2)*$K2091*$L2091*$M2091</f>
        <v/>
      </c>
      <c r="AA2091" s="14">
        <f>SUM(N2091:Y2091)</f>
        <v/>
      </c>
      <c r="AB2091" s="14">
        <f>IFERROR(IF(UPPER($E2091)="L",SUMPRODUCT(N2091:Y2091,$N$3:$Y$3,$N$2:$Y$2),SUMPRODUCT(N2091:Y2091,$N$4:$Y$4,$N$2:$Y$2))/(Z2091/($K2091*$L2091*$M2091)),"")</f>
        <v/>
      </c>
      <c r="AC2091" s="18" t="n"/>
    </row>
    <row r="2092">
      <c r="A2092" s="9" t="n">
        <v>703204</v>
      </c>
      <c r="B2092" s="9" t="inlineStr">
        <is>
          <t>Esmith Pineda</t>
        </is>
      </c>
      <c r="C2092" s="9" t="inlineStr">
        <is>
          <t>CIN</t>
        </is>
      </c>
      <c r="D2092" s="9" t="n">
        <v>25</v>
      </c>
      <c r="E2092" s="16" t="inlineStr">
        <is>
          <t>R</t>
        </is>
      </c>
      <c r="F2092" s="16" t="n"/>
      <c r="G2092" s="9" t="n">
        <v>43.69230769230769</v>
      </c>
      <c r="H2092" s="9" t="n">
        <v>43.69230769230769</v>
      </c>
      <c r="I2092" s="9" t="inlineStr">
        <is>
          <t>Depth (no MLB PA)</t>
        </is>
      </c>
      <c r="J2092" s="16" t="inlineStr">
        <is>
          <t>Opening Day</t>
        </is>
      </c>
      <c r="K2092" s="11">
        <f>IFERROR(INDEX(Roles!$B$17:$B$20,MATCH(J2092,Roles!$A$17:$A$20,0)),1)</f>
        <v/>
      </c>
      <c r="L2092" s="17" t="n">
        <v>1</v>
      </c>
      <c r="M2092" s="11" t="n">
        <v>1</v>
      </c>
      <c r="N2092" s="17" t="n"/>
      <c r="O2092" s="17" t="n"/>
      <c r="P2092" s="17" t="n"/>
      <c r="Q2092" s="17" t="n"/>
      <c r="R2092" s="17" t="n"/>
      <c r="S2092" s="17" t="n"/>
      <c r="T2092" s="17" t="n"/>
      <c r="U2092" s="17" t="n"/>
      <c r="V2092" s="17" t="n"/>
      <c r="W2092" s="17" t="n"/>
      <c r="X2092" s="17" t="n"/>
      <c r="Y2092" s="17" t="n">
        <v>1</v>
      </c>
      <c r="Z2092" s="13">
        <f>SUMPRODUCT(N2092:Y2092,$N$2:$Y$2)*$K2092*$L2092*$M2092</f>
        <v/>
      </c>
      <c r="AA2092" s="14">
        <f>SUM(N2092:Y2092)</f>
        <v/>
      </c>
      <c r="AB2092" s="14">
        <f>IFERROR(IF(UPPER($E2092)="L",SUMPRODUCT(N2092:Y2092,$N$3:$Y$3,$N$2:$Y$2),SUMPRODUCT(N2092:Y2092,$N$4:$Y$4,$N$2:$Y$2))/(Z2092/($K2092*$L2092*$M2092)),"")</f>
        <v/>
      </c>
      <c r="AC2092" s="18" t="n"/>
    </row>
    <row r="2093">
      <c r="A2093" s="9" t="n">
        <v>678962</v>
      </c>
      <c r="B2093" s="9" t="inlineStr">
        <is>
          <t>Daniel Vellojin</t>
        </is>
      </c>
      <c r="C2093" s="9" t="inlineStr">
        <is>
          <t>TB</t>
        </is>
      </c>
      <c r="D2093" s="9" t="n">
        <v>25</v>
      </c>
      <c r="E2093" s="16" t="inlineStr">
        <is>
          <t>L</t>
        </is>
      </c>
      <c r="F2093" s="16" t="n"/>
      <c r="G2093" s="9" t="n">
        <v>40.92307692307692</v>
      </c>
      <c r="H2093" s="9" t="n">
        <v>40.92307692307692</v>
      </c>
      <c r="I2093" s="9" t="inlineStr">
        <is>
          <t>Depth (no MLB PA)</t>
        </is>
      </c>
      <c r="J2093" s="16" t="inlineStr">
        <is>
          <t>Opening Day</t>
        </is>
      </c>
      <c r="K2093" s="11">
        <f>IFERROR(INDEX(Roles!$B$17:$B$20,MATCH(J2093,Roles!$A$17:$A$20,0)),1)</f>
        <v/>
      </c>
      <c r="L2093" s="17" t="n">
        <v>1</v>
      </c>
      <c r="M2093" s="11" t="n">
        <v>1</v>
      </c>
      <c r="N2093" s="17" t="n"/>
      <c r="O2093" s="17" t="n"/>
      <c r="P2093" s="17" t="n"/>
      <c r="Q2093" s="17" t="n"/>
      <c r="R2093" s="17" t="n"/>
      <c r="S2093" s="17" t="n"/>
      <c r="T2093" s="17" t="n"/>
      <c r="U2093" s="17" t="n"/>
      <c r="V2093" s="17" t="n"/>
      <c r="W2093" s="17" t="n"/>
      <c r="X2093" s="17" t="n"/>
      <c r="Y2093" s="17" t="n">
        <v>1</v>
      </c>
      <c r="Z2093" s="13">
        <f>SUMPRODUCT(N2093:Y2093,$N$2:$Y$2)*$K2093*$L2093*$M2093</f>
        <v/>
      </c>
      <c r="AA2093" s="14">
        <f>SUM(N2093:Y2093)</f>
        <v/>
      </c>
      <c r="AB2093" s="14">
        <f>IFERROR(IF(UPPER($E2093)="L",SUMPRODUCT(N2093:Y2093,$N$3:$Y$3,$N$2:$Y$2),SUMPRODUCT(N2093:Y2093,$N$4:$Y$4,$N$2:$Y$2))/(Z2093/($K2093*$L2093*$M2093)),"")</f>
        <v/>
      </c>
      <c r="AC2093" s="18" t="n"/>
    </row>
    <row r="2094">
      <c r="A2094" s="9" t="n">
        <v>672275</v>
      </c>
      <c r="B2094" s="9" t="inlineStr">
        <is>
          <t>Patrick Bailey</t>
        </is>
      </c>
      <c r="C2094" s="9" t="inlineStr">
        <is>
          <t>CLE</t>
        </is>
      </c>
      <c r="D2094" s="9" t="n">
        <v>28</v>
      </c>
      <c r="E2094" s="16" t="inlineStr">
        <is>
          <t>S</t>
        </is>
      </c>
      <c r="F2094" s="16" t="inlineStr">
        <is>
          <t>C</t>
        </is>
      </c>
      <c r="G2094" s="9" t="n">
        <v>345</v>
      </c>
      <c r="H2094" s="9" t="n">
        <v>1598</v>
      </c>
      <c r="I2094" s="9" t="inlineStr">
        <is>
          <t>Strong Side Platoon</t>
        </is>
      </c>
      <c r="J2094" s="16" t="inlineStr">
        <is>
          <t>Opening Day</t>
        </is>
      </c>
      <c r="K2094" s="11">
        <f>IFERROR(INDEX(Roles!$B$17:$B$20,MATCH(J2094,Roles!$A$17:$A$20,0)),1)</f>
        <v/>
      </c>
      <c r="L2094" s="17" t="n">
        <v>1</v>
      </c>
      <c r="M2094" s="11" t="n">
        <v>1.023207907040737</v>
      </c>
      <c r="N2094" s="17" t="n"/>
      <c r="O2094" s="17" t="n"/>
      <c r="P2094" s="17" t="n">
        <v>0.6</v>
      </c>
      <c r="Q2094" s="17" t="n"/>
      <c r="R2094" s="17" t="n">
        <v>0.4</v>
      </c>
      <c r="S2094" s="17" t="n"/>
      <c r="T2094" s="17" t="n"/>
      <c r="U2094" s="17" t="n"/>
      <c r="V2094" s="17" t="n"/>
      <c r="W2094" s="17" t="n"/>
      <c r="X2094" s="17" t="n"/>
      <c r="Y2094" s="17" t="n"/>
      <c r="Z2094" s="13">
        <f>SUMPRODUCT(N2094:Y2094,$N$2:$Y$2)*$K2094*$L2094*$M2094</f>
        <v/>
      </c>
      <c r="AA2094" s="14">
        <f>SUM(N2094:Y2094)</f>
        <v/>
      </c>
      <c r="AB2094" s="14">
        <f>IFERROR(IF(UPPER($E2094)="L",SUMPRODUCT(N2094:Y2094,$N$3:$Y$3,$N$2:$Y$2),SUMPRODUCT(N2094:Y2094,$N$4:$Y$4,$N$2:$Y$2))/(Z2094/($K2094*$L2094*$M2094)),"")</f>
        <v/>
      </c>
      <c r="AC2094" s="18" t="n"/>
    </row>
    <row r="2095">
      <c r="A2095" s="9" t="n">
        <v>700939</v>
      </c>
      <c r="B2095" s="9" t="inlineStr">
        <is>
          <t>Bennett Lee</t>
        </is>
      </c>
      <c r="C2095" s="9" t="inlineStr">
        <is>
          <t>DET</t>
        </is>
      </c>
      <c r="D2095" s="9" t="n">
        <v>25</v>
      </c>
      <c r="E2095" s="16" t="inlineStr">
        <is>
          <t>R</t>
        </is>
      </c>
      <c r="F2095" s="16" t="n"/>
      <c r="G2095" s="9" t="n">
        <v>46.82051282051282</v>
      </c>
      <c r="H2095" s="9" t="n">
        <v>46.82051282051282</v>
      </c>
      <c r="I2095" s="9" t="inlineStr">
        <is>
          <t>Depth (no MLB PA)</t>
        </is>
      </c>
      <c r="J2095" s="16" t="inlineStr">
        <is>
          <t>Opening Day</t>
        </is>
      </c>
      <c r="K2095" s="11">
        <f>IFERROR(INDEX(Roles!$B$17:$B$20,MATCH(J2095,Roles!$A$17:$A$20,0)),1)</f>
        <v/>
      </c>
      <c r="L2095" s="17" t="n">
        <v>1</v>
      </c>
      <c r="M2095" s="11" t="n">
        <v>1</v>
      </c>
      <c r="N2095" s="17" t="n"/>
      <c r="O2095" s="17" t="n"/>
      <c r="P2095" s="17" t="n"/>
      <c r="Q2095" s="17" t="n"/>
      <c r="R2095" s="17" t="n"/>
      <c r="S2095" s="17" t="n"/>
      <c r="T2095" s="17" t="n"/>
      <c r="U2095" s="17" t="n"/>
      <c r="V2095" s="17" t="n"/>
      <c r="W2095" s="17" t="n"/>
      <c r="X2095" s="17" t="n"/>
      <c r="Y2095" s="17" t="n">
        <v>1</v>
      </c>
      <c r="Z2095" s="13">
        <f>SUMPRODUCT(N2095:Y2095,$N$2:$Y$2)*$K2095*$L2095*$M2095</f>
        <v/>
      </c>
      <c r="AA2095" s="14">
        <f>SUM(N2095:Y2095)</f>
        <v/>
      </c>
      <c r="AB2095" s="14">
        <f>IFERROR(IF(UPPER($E2095)="L",SUMPRODUCT(N2095:Y2095,$N$3:$Y$3,$N$2:$Y$2),SUMPRODUCT(N2095:Y2095,$N$4:$Y$4,$N$2:$Y$2))/(Z2095/($K2095*$L2095*$M2095)),"")</f>
        <v/>
      </c>
      <c r="AC2095" s="18" t="n"/>
    </row>
    <row r="2096">
      <c r="A2096" s="9" t="n">
        <v>806978</v>
      </c>
      <c r="B2096" s="9" t="inlineStr">
        <is>
          <t>Robert Calaz</t>
        </is>
      </c>
      <c r="C2096" s="9" t="inlineStr">
        <is>
          <t>COL</t>
        </is>
      </c>
      <c r="D2096" s="9" t="n">
        <v>25</v>
      </c>
      <c r="E2096" s="16" t="inlineStr">
        <is>
          <t>R</t>
        </is>
      </c>
      <c r="F2096" s="16" t="n"/>
      <c r="G2096" s="9" t="n">
        <v>84.71794871794873</v>
      </c>
      <c r="H2096" s="9" t="n">
        <v>84.71794871794873</v>
      </c>
      <c r="I2096" s="9" t="inlineStr">
        <is>
          <t>Depth (no MLB PA)</t>
        </is>
      </c>
      <c r="J2096" s="16" t="inlineStr">
        <is>
          <t>Opening Day</t>
        </is>
      </c>
      <c r="K2096" s="11">
        <f>IFERROR(INDEX(Roles!$B$17:$B$20,MATCH(J2096,Roles!$A$17:$A$20,0)),1)</f>
        <v/>
      </c>
      <c r="L2096" s="17" t="n">
        <v>1</v>
      </c>
      <c r="M2096" s="11" t="n">
        <v>1</v>
      </c>
      <c r="N2096" s="17" t="n"/>
      <c r="O2096" s="17" t="n"/>
      <c r="P2096" s="17" t="n"/>
      <c r="Q2096" s="17" t="n"/>
      <c r="R2096" s="17" t="n"/>
      <c r="S2096" s="17" t="n"/>
      <c r="T2096" s="17" t="n"/>
      <c r="U2096" s="17" t="n"/>
      <c r="V2096" s="17" t="n"/>
      <c r="W2096" s="17" t="n"/>
      <c r="X2096" s="17" t="n"/>
      <c r="Y2096" s="17" t="n">
        <v>1</v>
      </c>
      <c r="Z2096" s="13">
        <f>SUMPRODUCT(N2096:Y2096,$N$2:$Y$2)*$K2096*$L2096*$M2096</f>
        <v/>
      </c>
      <c r="AA2096" s="14">
        <f>SUM(N2096:Y2096)</f>
        <v/>
      </c>
      <c r="AB2096" s="14">
        <f>IFERROR(IF(UPPER($E2096)="L",SUMPRODUCT(N2096:Y2096,$N$3:$Y$3,$N$2:$Y$2),SUMPRODUCT(N2096:Y2096,$N$4:$Y$4,$N$2:$Y$2))/(Z2096/($K2096*$L2096*$M2096)),"")</f>
        <v/>
      </c>
      <c r="AC2096" s="18" t="n"/>
    </row>
    <row r="2097">
      <c r="A2097" s="9" t="n">
        <v>690715</v>
      </c>
      <c r="B2097" s="9" t="inlineStr">
        <is>
          <t>Daunte Stuart</t>
        </is>
      </c>
      <c r="C2097" s="9" t="inlineStr">
        <is>
          <t>PHI</t>
        </is>
      </c>
      <c r="D2097" s="9" t="n">
        <v>25</v>
      </c>
      <c r="E2097" s="16" t="inlineStr">
        <is>
          <t>R</t>
        </is>
      </c>
      <c r="F2097" s="16" t="n"/>
      <c r="G2097" s="9" t="n">
        <v>45.94871794871796</v>
      </c>
      <c r="H2097" s="9" t="n">
        <v>45.94871794871796</v>
      </c>
      <c r="I2097" s="9" t="inlineStr">
        <is>
          <t>Depth (no MLB PA)</t>
        </is>
      </c>
      <c r="J2097" s="16" t="inlineStr">
        <is>
          <t>Opening Day</t>
        </is>
      </c>
      <c r="K2097" s="11">
        <f>IFERROR(INDEX(Roles!$B$17:$B$20,MATCH(J2097,Roles!$A$17:$A$20,0)),1)</f>
        <v/>
      </c>
      <c r="L2097" s="17" t="n">
        <v>1</v>
      </c>
      <c r="M2097" s="11" t="n">
        <v>1</v>
      </c>
      <c r="N2097" s="17" t="n"/>
      <c r="O2097" s="17" t="n"/>
      <c r="P2097" s="17" t="n"/>
      <c r="Q2097" s="17" t="n"/>
      <c r="R2097" s="17" t="n"/>
      <c r="S2097" s="17" t="n"/>
      <c r="T2097" s="17" t="n"/>
      <c r="U2097" s="17" t="n"/>
      <c r="V2097" s="17" t="n"/>
      <c r="W2097" s="17" t="n"/>
      <c r="X2097" s="17" t="n"/>
      <c r="Y2097" s="17" t="n">
        <v>1</v>
      </c>
      <c r="Z2097" s="13">
        <f>SUMPRODUCT(N2097:Y2097,$N$2:$Y$2)*$K2097*$L2097*$M2097</f>
        <v/>
      </c>
      <c r="AA2097" s="14">
        <f>SUM(N2097:Y2097)</f>
        <v/>
      </c>
      <c r="AB2097" s="14">
        <f>IFERROR(IF(UPPER($E2097)="L",SUMPRODUCT(N2097:Y2097,$N$3:$Y$3,$N$2:$Y$2),SUMPRODUCT(N2097:Y2097,$N$4:$Y$4,$N$2:$Y$2))/(Z2097/($K2097*$L2097*$M2097)),"")</f>
        <v/>
      </c>
      <c r="AC2097" s="18" t="n"/>
    </row>
    <row r="2098">
      <c r="A2098" s="9" t="n">
        <v>571657</v>
      </c>
      <c r="B2098" s="9" t="inlineStr">
        <is>
          <t>Kyle Farmer</t>
        </is>
      </c>
      <c r="C2098" s="9" t="inlineStr">
        <is>
          <t>COL</t>
        </is>
      </c>
      <c r="D2098" s="9" t="n">
        <v>36</v>
      </c>
      <c r="E2098" s="16" t="inlineStr">
        <is>
          <t>R</t>
        </is>
      </c>
      <c r="F2098" s="16" t="inlineStr">
        <is>
          <t>2B</t>
        </is>
      </c>
      <c r="G2098" s="9" t="n">
        <v>19</v>
      </c>
      <c r="H2098" s="9" t="n">
        <v>1513</v>
      </c>
      <c r="I2098" s="9" t="inlineStr">
        <is>
          <t>Bench Bat</t>
        </is>
      </c>
      <c r="J2098" s="16" t="inlineStr">
        <is>
          <t>Opening Day</t>
        </is>
      </c>
      <c r="K2098" s="11">
        <f>IFERROR(INDEX(Roles!$B$17:$B$20,MATCH(J2098,Roles!$A$17:$A$20,0)),1)</f>
        <v/>
      </c>
      <c r="L2098" s="17" t="n">
        <v>1</v>
      </c>
      <c r="M2098" s="11" t="n">
        <v>0.7941101023692196</v>
      </c>
      <c r="N2098" s="17" t="n"/>
      <c r="O2098" s="17" t="n"/>
      <c r="P2098" s="17" t="n"/>
      <c r="Q2098" s="17" t="n"/>
      <c r="R2098" s="17" t="n"/>
      <c r="S2098" s="17" t="n"/>
      <c r="T2098" s="17" t="n"/>
      <c r="U2098" s="17" t="n"/>
      <c r="V2098" s="17" t="n"/>
      <c r="W2098" s="17" t="n">
        <v>0.85</v>
      </c>
      <c r="X2098" s="17" t="n">
        <v>0.15</v>
      </c>
      <c r="Y2098" s="17" t="n"/>
      <c r="Z2098" s="13">
        <f>SUMPRODUCT(N2098:Y2098,$N$2:$Y$2)*$K2098*$L2098*$M2098</f>
        <v/>
      </c>
      <c r="AA2098" s="14">
        <f>SUM(N2098:Y2098)</f>
        <v/>
      </c>
      <c r="AB2098" s="14">
        <f>IFERROR(IF(UPPER($E2098)="L",SUMPRODUCT(N2098:Y2098,$N$3:$Y$3,$N$2:$Y$2),SUMPRODUCT(N2098:Y2098,$N$4:$Y$4,$N$2:$Y$2))/(Z2098/($K2098*$L2098*$M2098)),"")</f>
        <v/>
      </c>
      <c r="AC2098" s="18" t="n"/>
    </row>
    <row r="2099">
      <c r="A2099" s="9" t="n">
        <v>806730</v>
      </c>
      <c r="B2099" s="9" t="inlineStr">
        <is>
          <t>Drew Davies</t>
        </is>
      </c>
      <c r="C2099" s="9" t="inlineStr">
        <is>
          <t>CIN</t>
        </is>
      </c>
      <c r="D2099" s="9" t="n">
        <v>25</v>
      </c>
      <c r="E2099" s="16" t="inlineStr">
        <is>
          <t>L</t>
        </is>
      </c>
      <c r="F2099" s="16" t="n"/>
      <c r="G2099" s="9" t="n">
        <v>47.38461538461538</v>
      </c>
      <c r="H2099" s="9" t="n">
        <v>47.38461538461538</v>
      </c>
      <c r="I2099" s="9" t="inlineStr">
        <is>
          <t>Depth (no MLB PA)</t>
        </is>
      </c>
      <c r="J2099" s="16" t="inlineStr">
        <is>
          <t>Opening Day</t>
        </is>
      </c>
      <c r="K2099" s="11">
        <f>IFERROR(INDEX(Roles!$B$17:$B$20,MATCH(J2099,Roles!$A$17:$A$20,0)),1)</f>
        <v/>
      </c>
      <c r="L2099" s="17" t="n">
        <v>1</v>
      </c>
      <c r="M2099" s="11" t="n">
        <v>1</v>
      </c>
      <c r="N2099" s="17" t="n"/>
      <c r="O2099" s="17" t="n"/>
      <c r="P2099" s="17" t="n"/>
      <c r="Q2099" s="17" t="n"/>
      <c r="R2099" s="17" t="n"/>
      <c r="S2099" s="17" t="n"/>
      <c r="T2099" s="17" t="n"/>
      <c r="U2099" s="17" t="n"/>
      <c r="V2099" s="17" t="n"/>
      <c r="W2099" s="17" t="n"/>
      <c r="X2099" s="17" t="n"/>
      <c r="Y2099" s="17" t="n">
        <v>1</v>
      </c>
      <c r="Z2099" s="13">
        <f>SUMPRODUCT(N2099:Y2099,$N$2:$Y$2)*$K2099*$L2099*$M2099</f>
        <v/>
      </c>
      <c r="AA2099" s="14">
        <f>SUM(N2099:Y2099)</f>
        <v/>
      </c>
      <c r="AB2099" s="14">
        <f>IFERROR(IF(UPPER($E2099)="L",SUMPRODUCT(N2099:Y2099,$N$3:$Y$3,$N$2:$Y$2),SUMPRODUCT(N2099:Y2099,$N$4:$Y$4,$N$2:$Y$2))/(Z2099/($K2099*$L2099*$M2099)),"")</f>
        <v/>
      </c>
      <c r="AC2099" s="18" t="n"/>
    </row>
    <row r="2100">
      <c r="A2100" s="9" t="n">
        <v>800569</v>
      </c>
      <c r="B2100" s="9" t="inlineStr">
        <is>
          <t>Alberto Barriga</t>
        </is>
      </c>
      <c r="C2100" s="9" t="inlineStr">
        <is>
          <t>ARI</t>
        </is>
      </c>
      <c r="D2100" s="9" t="n">
        <v>25</v>
      </c>
      <c r="E2100" s="16" t="inlineStr">
        <is>
          <t>R</t>
        </is>
      </c>
      <c r="F2100" s="16" t="n"/>
      <c r="G2100" s="9" t="n">
        <v>80.76923076923076</v>
      </c>
      <c r="H2100" s="9" t="n">
        <v>80.76923076923076</v>
      </c>
      <c r="I2100" s="9" t="inlineStr">
        <is>
          <t>Depth (no MLB PA)</t>
        </is>
      </c>
      <c r="J2100" s="16" t="inlineStr">
        <is>
          <t>Opening Day</t>
        </is>
      </c>
      <c r="K2100" s="11">
        <f>IFERROR(INDEX(Roles!$B$17:$B$20,MATCH(J2100,Roles!$A$17:$A$20,0)),1)</f>
        <v/>
      </c>
      <c r="L2100" s="17" t="n">
        <v>1</v>
      </c>
      <c r="M2100" s="11" t="n">
        <v>1</v>
      </c>
      <c r="N2100" s="17" t="n"/>
      <c r="O2100" s="17" t="n"/>
      <c r="P2100" s="17" t="n"/>
      <c r="Q2100" s="17" t="n"/>
      <c r="R2100" s="17" t="n"/>
      <c r="S2100" s="17" t="n"/>
      <c r="T2100" s="17" t="n"/>
      <c r="U2100" s="17" t="n"/>
      <c r="V2100" s="17" t="n"/>
      <c r="W2100" s="17" t="n"/>
      <c r="X2100" s="17" t="n"/>
      <c r="Y2100" s="17" t="n">
        <v>1</v>
      </c>
      <c r="Z2100" s="13">
        <f>SUMPRODUCT(N2100:Y2100,$N$2:$Y$2)*$K2100*$L2100*$M2100</f>
        <v/>
      </c>
      <c r="AA2100" s="14">
        <f>SUM(N2100:Y2100)</f>
        <v/>
      </c>
      <c r="AB2100" s="14">
        <f>IFERROR(IF(UPPER($E2100)="L",SUMPRODUCT(N2100:Y2100,$N$3:$Y$3,$N$2:$Y$2),SUMPRODUCT(N2100:Y2100,$N$4:$Y$4,$N$2:$Y$2))/(Z2100/($K2100*$L2100*$M2100)),"")</f>
        <v/>
      </c>
      <c r="AC2100" s="18" t="n"/>
    </row>
    <row r="2101">
      <c r="A2101" s="9" t="n">
        <v>821112</v>
      </c>
      <c r="B2101" s="9" t="inlineStr">
        <is>
          <t>Anderson Fermin</t>
        </is>
      </c>
      <c r="C2101" s="9" t="inlineStr">
        <is>
          <t>BOS</t>
        </is>
      </c>
      <c r="D2101" s="9" t="n">
        <v>25</v>
      </c>
      <c r="E2101" s="16" t="inlineStr">
        <is>
          <t>S</t>
        </is>
      </c>
      <c r="F2101" s="16" t="n"/>
      <c r="G2101" s="9" t="n">
        <v>33.23076923076923</v>
      </c>
      <c r="H2101" s="9" t="n">
        <v>33.23076923076923</v>
      </c>
      <c r="I2101" s="9" t="inlineStr">
        <is>
          <t>Depth (no MLB PA)</t>
        </is>
      </c>
      <c r="J2101" s="16" t="inlineStr">
        <is>
          <t>Opening Day</t>
        </is>
      </c>
      <c r="K2101" s="11">
        <f>IFERROR(INDEX(Roles!$B$17:$B$20,MATCH(J2101,Roles!$A$17:$A$20,0)),1)</f>
        <v/>
      </c>
      <c r="L2101" s="17" t="n">
        <v>1</v>
      </c>
      <c r="M2101" s="11" t="n">
        <v>1</v>
      </c>
      <c r="N2101" s="17" t="n"/>
      <c r="O2101" s="17" t="n"/>
      <c r="P2101" s="17" t="n"/>
      <c r="Q2101" s="17" t="n"/>
      <c r="R2101" s="17" t="n"/>
      <c r="S2101" s="17" t="n"/>
      <c r="T2101" s="17" t="n"/>
      <c r="U2101" s="17" t="n"/>
      <c r="V2101" s="17" t="n"/>
      <c r="W2101" s="17" t="n"/>
      <c r="X2101" s="17" t="n"/>
      <c r="Y2101" s="17" t="n">
        <v>1</v>
      </c>
      <c r="Z2101" s="13">
        <f>SUMPRODUCT(N2101:Y2101,$N$2:$Y$2)*$K2101*$L2101*$M2101</f>
        <v/>
      </c>
      <c r="AA2101" s="14">
        <f>SUM(N2101:Y2101)</f>
        <v/>
      </c>
      <c r="AB2101" s="14">
        <f>IFERROR(IF(UPPER($E2101)="L",SUMPRODUCT(N2101:Y2101,$N$3:$Y$3,$N$2:$Y$2),SUMPRODUCT(N2101:Y2101,$N$4:$Y$4,$N$2:$Y$2))/(Z2101/($K2101*$L2101*$M2101)),"")</f>
        <v/>
      </c>
      <c r="AC2101" s="18" t="n"/>
    </row>
    <row r="2102">
      <c r="A2102" s="9" t="n">
        <v>692657</v>
      </c>
      <c r="B2102" s="9" t="inlineStr">
        <is>
          <t>Omar Alfonzo</t>
        </is>
      </c>
      <c r="C2102" s="9" t="inlineStr">
        <is>
          <t>NYY</t>
        </is>
      </c>
      <c r="D2102" s="9" t="n">
        <v>25</v>
      </c>
      <c r="E2102" s="16" t="inlineStr">
        <is>
          <t>L</t>
        </is>
      </c>
      <c r="F2102" s="16" t="n"/>
      <c r="G2102" s="9" t="n">
        <v>122.4102564102564</v>
      </c>
      <c r="H2102" s="9" t="n">
        <v>122.4102564102564</v>
      </c>
      <c r="I2102" s="9" t="inlineStr">
        <is>
          <t>Depth (no MLB PA)</t>
        </is>
      </c>
      <c r="J2102" s="16" t="inlineStr">
        <is>
          <t>Opening Day</t>
        </is>
      </c>
      <c r="K2102" s="11">
        <f>IFERROR(INDEX(Roles!$B$17:$B$20,MATCH(J2102,Roles!$A$17:$A$20,0)),1)</f>
        <v/>
      </c>
      <c r="L2102" s="17" t="n">
        <v>1</v>
      </c>
      <c r="M2102" s="11" t="n">
        <v>1</v>
      </c>
      <c r="N2102" s="17" t="n"/>
      <c r="O2102" s="17" t="n"/>
      <c r="P2102" s="17" t="n"/>
      <c r="Q2102" s="17" t="n"/>
      <c r="R2102" s="17" t="n"/>
      <c r="S2102" s="17" t="n"/>
      <c r="T2102" s="17" t="n"/>
      <c r="U2102" s="17" t="n"/>
      <c r="V2102" s="17" t="n"/>
      <c r="W2102" s="17" t="n"/>
      <c r="X2102" s="17" t="n"/>
      <c r="Y2102" s="17" t="n">
        <v>1</v>
      </c>
      <c r="Z2102" s="13">
        <f>SUMPRODUCT(N2102:Y2102,$N$2:$Y$2)*$K2102*$L2102*$M2102</f>
        <v/>
      </c>
      <c r="AA2102" s="14">
        <f>SUM(N2102:Y2102)</f>
        <v/>
      </c>
      <c r="AB2102" s="14">
        <f>IFERROR(IF(UPPER($E2102)="L",SUMPRODUCT(N2102:Y2102,$N$3:$Y$3,$N$2:$Y$2),SUMPRODUCT(N2102:Y2102,$N$4:$Y$4,$N$2:$Y$2))/(Z2102/($K2102*$L2102*$M2102)),"")</f>
        <v/>
      </c>
      <c r="AC2102" s="18" t="n"/>
    </row>
    <row r="2103">
      <c r="A2103" s="9" t="n">
        <v>825646</v>
      </c>
      <c r="B2103" s="9" t="inlineStr">
        <is>
          <t>Juan Sanchez</t>
        </is>
      </c>
      <c r="C2103" s="9" t="inlineStr">
        <is>
          <t>TOR</t>
        </is>
      </c>
      <c r="D2103" s="9" t="n">
        <v>25</v>
      </c>
      <c r="E2103" s="16" t="inlineStr">
        <is>
          <t>R</t>
        </is>
      </c>
      <c r="F2103" s="16" t="n"/>
      <c r="G2103" s="9" t="n">
        <v>48</v>
      </c>
      <c r="H2103" s="9" t="n">
        <v>48</v>
      </c>
      <c r="I2103" s="9" t="inlineStr">
        <is>
          <t>Depth (no MLB PA)</t>
        </is>
      </c>
      <c r="J2103" s="16" t="inlineStr">
        <is>
          <t>Opening Day</t>
        </is>
      </c>
      <c r="K2103" s="11">
        <f>IFERROR(INDEX(Roles!$B$17:$B$20,MATCH(J2103,Roles!$A$17:$A$20,0)),1)</f>
        <v/>
      </c>
      <c r="L2103" s="17" t="n">
        <v>1</v>
      </c>
      <c r="M2103" s="11" t="n">
        <v>1</v>
      </c>
      <c r="N2103" s="17" t="n"/>
      <c r="O2103" s="17" t="n"/>
      <c r="P2103" s="17" t="n"/>
      <c r="Q2103" s="17" t="n"/>
      <c r="R2103" s="17" t="n"/>
      <c r="S2103" s="17" t="n"/>
      <c r="T2103" s="17" t="n"/>
      <c r="U2103" s="17" t="n"/>
      <c r="V2103" s="17" t="n"/>
      <c r="W2103" s="17" t="n"/>
      <c r="X2103" s="17" t="n"/>
      <c r="Y2103" s="17" t="n">
        <v>1</v>
      </c>
      <c r="Z2103" s="13">
        <f>SUMPRODUCT(N2103:Y2103,$N$2:$Y$2)*$K2103*$L2103*$M2103</f>
        <v/>
      </c>
      <c r="AA2103" s="14">
        <f>SUM(N2103:Y2103)</f>
        <v/>
      </c>
      <c r="AB2103" s="14">
        <f>IFERROR(IF(UPPER($E2103)="L",SUMPRODUCT(N2103:Y2103,$N$3:$Y$3,$N$2:$Y$2),SUMPRODUCT(N2103:Y2103,$N$4:$Y$4,$N$2:$Y$2))/(Z2103/($K2103*$L2103*$M2103)),"")</f>
        <v/>
      </c>
      <c r="AC2103" s="18" t="n"/>
    </row>
    <row r="2104">
      <c r="A2104" s="9" t="n">
        <v>701784</v>
      </c>
      <c r="B2104" s="9" t="inlineStr">
        <is>
          <t>Cam Clayton</t>
        </is>
      </c>
      <c r="C2104" s="9" t="inlineStr">
        <is>
          <t>MIA</t>
        </is>
      </c>
      <c r="D2104" s="9" t="n">
        <v>25</v>
      </c>
      <c r="E2104" s="16" t="inlineStr">
        <is>
          <t>R</t>
        </is>
      </c>
      <c r="F2104" s="16" t="n"/>
      <c r="G2104" s="9" t="n">
        <v>54.35897435897436</v>
      </c>
      <c r="H2104" s="9" t="n">
        <v>54.35897435897436</v>
      </c>
      <c r="I2104" s="9" t="inlineStr">
        <is>
          <t>Depth (no MLB PA)</t>
        </is>
      </c>
      <c r="J2104" s="16" t="inlineStr">
        <is>
          <t>Opening Day</t>
        </is>
      </c>
      <c r="K2104" s="11">
        <f>IFERROR(INDEX(Roles!$B$17:$B$20,MATCH(J2104,Roles!$A$17:$A$20,0)),1)</f>
        <v/>
      </c>
      <c r="L2104" s="17" t="n">
        <v>1</v>
      </c>
      <c r="M2104" s="11" t="n">
        <v>1</v>
      </c>
      <c r="N2104" s="17" t="n"/>
      <c r="O2104" s="17" t="n"/>
      <c r="P2104" s="17" t="n"/>
      <c r="Q2104" s="17" t="n"/>
      <c r="R2104" s="17" t="n"/>
      <c r="S2104" s="17" t="n"/>
      <c r="T2104" s="17" t="n"/>
      <c r="U2104" s="17" t="n"/>
      <c r="V2104" s="17" t="n"/>
      <c r="W2104" s="17" t="n"/>
      <c r="X2104" s="17" t="n"/>
      <c r="Y2104" s="17" t="n">
        <v>1</v>
      </c>
      <c r="Z2104" s="13">
        <f>SUMPRODUCT(N2104:Y2104,$N$2:$Y$2)*$K2104*$L2104*$M2104</f>
        <v/>
      </c>
      <c r="AA2104" s="14">
        <f>SUM(N2104:Y2104)</f>
        <v/>
      </c>
      <c r="AB2104" s="14">
        <f>IFERROR(IF(UPPER($E2104)="L",SUMPRODUCT(N2104:Y2104,$N$3:$Y$3,$N$2:$Y$2),SUMPRODUCT(N2104:Y2104,$N$4:$Y$4,$N$2:$Y$2))/(Z2104/($K2104*$L2104*$M2104)),"")</f>
        <v/>
      </c>
      <c r="AC2104" s="18" t="n"/>
    </row>
    <row r="2105">
      <c r="A2105" s="9" t="n">
        <v>701811</v>
      </c>
      <c r="B2105" s="9" t="inlineStr">
        <is>
          <t>John Spikerman</t>
        </is>
      </c>
      <c r="C2105" s="9" t="inlineStr">
        <is>
          <t>NYM</t>
        </is>
      </c>
      <c r="D2105" s="9" t="n">
        <v>25</v>
      </c>
      <c r="E2105" s="16" t="inlineStr">
        <is>
          <t>S</t>
        </is>
      </c>
      <c r="F2105" s="16" t="n"/>
      <c r="G2105" s="9" t="n">
        <v>44.30769230769232</v>
      </c>
      <c r="H2105" s="9" t="n">
        <v>44.30769230769232</v>
      </c>
      <c r="I2105" s="9" t="inlineStr">
        <is>
          <t>Depth (no MLB PA)</t>
        </is>
      </c>
      <c r="J2105" s="16" t="inlineStr">
        <is>
          <t>Opening Day</t>
        </is>
      </c>
      <c r="K2105" s="11">
        <f>IFERROR(INDEX(Roles!$B$17:$B$20,MATCH(J2105,Roles!$A$17:$A$20,0)),1)</f>
        <v/>
      </c>
      <c r="L2105" s="17" t="n">
        <v>1</v>
      </c>
      <c r="M2105" s="11" t="n">
        <v>1</v>
      </c>
      <c r="N2105" s="17" t="n"/>
      <c r="O2105" s="17" t="n"/>
      <c r="P2105" s="17" t="n"/>
      <c r="Q2105" s="17" t="n"/>
      <c r="R2105" s="17" t="n"/>
      <c r="S2105" s="17" t="n"/>
      <c r="T2105" s="17" t="n"/>
      <c r="U2105" s="17" t="n"/>
      <c r="V2105" s="17" t="n"/>
      <c r="W2105" s="17" t="n"/>
      <c r="X2105" s="17" t="n"/>
      <c r="Y2105" s="17" t="n">
        <v>1</v>
      </c>
      <c r="Z2105" s="13">
        <f>SUMPRODUCT(N2105:Y2105,$N$2:$Y$2)*$K2105*$L2105*$M2105</f>
        <v/>
      </c>
      <c r="AA2105" s="14">
        <f>SUM(N2105:Y2105)</f>
        <v/>
      </c>
      <c r="AB2105" s="14">
        <f>IFERROR(IF(UPPER($E2105)="L",SUMPRODUCT(N2105:Y2105,$N$3:$Y$3,$N$2:$Y$2),SUMPRODUCT(N2105:Y2105,$N$4:$Y$4,$N$2:$Y$2))/(Z2105/($K2105*$L2105*$M2105)),"")</f>
        <v/>
      </c>
      <c r="AC2105" s="18" t="n"/>
    </row>
    <row r="2106">
      <c r="A2106" s="9" t="n">
        <v>702463</v>
      </c>
      <c r="B2106" s="9" t="inlineStr">
        <is>
          <t>Aaron McKeithan</t>
        </is>
      </c>
      <c r="C2106" s="9" t="inlineStr">
        <is>
          <t>SEA</t>
        </is>
      </c>
      <c r="D2106" s="9" t="n">
        <v>25</v>
      </c>
      <c r="E2106" s="16" t="inlineStr">
        <is>
          <t>R</t>
        </is>
      </c>
      <c r="F2106" s="16" t="n"/>
      <c r="G2106" s="9" t="n">
        <v>41.64102564102564</v>
      </c>
      <c r="H2106" s="9" t="n">
        <v>41.64102564102564</v>
      </c>
      <c r="I2106" s="9" t="inlineStr">
        <is>
          <t>Depth (no MLB PA)</t>
        </is>
      </c>
      <c r="J2106" s="16" t="inlineStr">
        <is>
          <t>Opening Day</t>
        </is>
      </c>
      <c r="K2106" s="11">
        <f>IFERROR(INDEX(Roles!$B$17:$B$20,MATCH(J2106,Roles!$A$17:$A$20,0)),1)</f>
        <v/>
      </c>
      <c r="L2106" s="17" t="n">
        <v>1</v>
      </c>
      <c r="M2106" s="11" t="n">
        <v>1</v>
      </c>
      <c r="N2106" s="17" t="n"/>
      <c r="O2106" s="17" t="n"/>
      <c r="P2106" s="17" t="n"/>
      <c r="Q2106" s="17" t="n"/>
      <c r="R2106" s="17" t="n"/>
      <c r="S2106" s="17" t="n"/>
      <c r="T2106" s="17" t="n"/>
      <c r="U2106" s="17" t="n"/>
      <c r="V2106" s="17" t="n"/>
      <c r="W2106" s="17" t="n"/>
      <c r="X2106" s="17" t="n"/>
      <c r="Y2106" s="17" t="n">
        <v>1</v>
      </c>
      <c r="Z2106" s="13">
        <f>SUMPRODUCT(N2106:Y2106,$N$2:$Y$2)*$K2106*$L2106*$M2106</f>
        <v/>
      </c>
      <c r="AA2106" s="14">
        <f>SUM(N2106:Y2106)</f>
        <v/>
      </c>
      <c r="AB2106" s="14">
        <f>IFERROR(IF(UPPER($E2106)="L",SUMPRODUCT(N2106:Y2106,$N$3:$Y$3,$N$2:$Y$2),SUMPRODUCT(N2106:Y2106,$N$4:$Y$4,$N$2:$Y$2))/(Z2106/($K2106*$L2106*$M2106)),"")</f>
        <v/>
      </c>
      <c r="AC2106" s="18" t="n"/>
    </row>
    <row r="2107">
      <c r="A2107" s="9" t="n">
        <v>821236</v>
      </c>
      <c r="B2107" s="9" t="inlineStr">
        <is>
          <t>Efren Teran</t>
        </is>
      </c>
      <c r="C2107" s="9" t="inlineStr">
        <is>
          <t>CWS</t>
        </is>
      </c>
      <c r="D2107" s="9" t="n">
        <v>25</v>
      </c>
      <c r="E2107" s="16" t="inlineStr">
        <is>
          <t>S</t>
        </is>
      </c>
      <c r="F2107" s="16" t="n"/>
      <c r="G2107" s="9" t="n">
        <v>33.23076923076923</v>
      </c>
      <c r="H2107" s="9" t="n">
        <v>33.23076923076923</v>
      </c>
      <c r="I2107" s="9" t="inlineStr">
        <is>
          <t>Depth (no MLB PA)</t>
        </is>
      </c>
      <c r="J2107" s="16" t="inlineStr">
        <is>
          <t>Opening Day</t>
        </is>
      </c>
      <c r="K2107" s="11">
        <f>IFERROR(INDEX(Roles!$B$17:$B$20,MATCH(J2107,Roles!$A$17:$A$20,0)),1)</f>
        <v/>
      </c>
      <c r="L2107" s="17" t="n">
        <v>1</v>
      </c>
      <c r="M2107" s="11" t="n">
        <v>1</v>
      </c>
      <c r="N2107" s="17" t="n"/>
      <c r="O2107" s="17" t="n"/>
      <c r="P2107" s="17" t="n"/>
      <c r="Q2107" s="17" t="n"/>
      <c r="R2107" s="17" t="n"/>
      <c r="S2107" s="17" t="n"/>
      <c r="T2107" s="17" t="n"/>
      <c r="U2107" s="17" t="n"/>
      <c r="V2107" s="17" t="n"/>
      <c r="W2107" s="17" t="n"/>
      <c r="X2107" s="17" t="n"/>
      <c r="Y2107" s="17" t="n">
        <v>1</v>
      </c>
      <c r="Z2107" s="13">
        <f>SUMPRODUCT(N2107:Y2107,$N$2:$Y$2)*$K2107*$L2107*$M2107</f>
        <v/>
      </c>
      <c r="AA2107" s="14">
        <f>SUM(N2107:Y2107)</f>
        <v/>
      </c>
      <c r="AB2107" s="14">
        <f>IFERROR(IF(UPPER($E2107)="L",SUMPRODUCT(N2107:Y2107,$N$3:$Y$3,$N$2:$Y$2),SUMPRODUCT(N2107:Y2107,$N$4:$Y$4,$N$2:$Y$2))/(Z2107/($K2107*$L2107*$M2107)),"")</f>
        <v/>
      </c>
      <c r="AC2107" s="18" t="n"/>
    </row>
    <row r="2108">
      <c r="A2108" s="9" t="n">
        <v>701339</v>
      </c>
      <c r="B2108" s="9" t="inlineStr">
        <is>
          <t>Marek Houston</t>
        </is>
      </c>
      <c r="C2108" s="9" t="inlineStr">
        <is>
          <t>MIN</t>
        </is>
      </c>
      <c r="D2108" s="9" t="n">
        <v>23</v>
      </c>
      <c r="E2108" s="16" t="inlineStr">
        <is>
          <t>R</t>
        </is>
      </c>
      <c r="F2108" s="16" t="n"/>
      <c r="G2108" s="9" t="n">
        <v>99.7948717948718</v>
      </c>
      <c r="H2108" s="9" t="n">
        <v>99.7948717948718</v>
      </c>
      <c r="I2108" s="9" t="inlineStr">
        <is>
          <t>Depth (no MLB PA)</t>
        </is>
      </c>
      <c r="J2108" s="16" t="inlineStr">
        <is>
          <t>Opening Day</t>
        </is>
      </c>
      <c r="K2108" s="11">
        <f>IFERROR(INDEX(Roles!$B$17:$B$20,MATCH(J2108,Roles!$A$17:$A$20,0)),1)</f>
        <v/>
      </c>
      <c r="L2108" s="17" t="n">
        <v>1</v>
      </c>
      <c r="M2108" s="11" t="n">
        <v>1</v>
      </c>
      <c r="N2108" s="17" t="n"/>
      <c r="O2108" s="17" t="n"/>
      <c r="P2108" s="17" t="n"/>
      <c r="Q2108" s="17" t="n"/>
      <c r="R2108" s="17" t="n"/>
      <c r="S2108" s="17" t="n"/>
      <c r="T2108" s="17" t="n"/>
      <c r="U2108" s="17" t="n"/>
      <c r="V2108" s="17" t="n"/>
      <c r="W2108" s="17" t="n"/>
      <c r="X2108" s="17" t="n"/>
      <c r="Y2108" s="17" t="n">
        <v>1</v>
      </c>
      <c r="Z2108" s="13">
        <f>SUMPRODUCT(N2108:Y2108,$N$2:$Y$2)*$K2108*$L2108*$M2108</f>
        <v/>
      </c>
      <c r="AA2108" s="14">
        <f>SUM(N2108:Y2108)</f>
        <v/>
      </c>
      <c r="AB2108" s="14">
        <f>IFERROR(IF(UPPER($E2108)="L",SUMPRODUCT(N2108:Y2108,$N$3:$Y$3,$N$2:$Y$2),SUMPRODUCT(N2108:Y2108,$N$4:$Y$4,$N$2:$Y$2))/(Z2108/($K2108*$L2108*$M2108)),"")</f>
        <v/>
      </c>
      <c r="AC2108" s="18" t="n"/>
    </row>
    <row r="2109">
      <c r="A2109" s="9" t="n">
        <v>642086</v>
      </c>
      <c r="B2109" s="9" t="inlineStr">
        <is>
          <t>Dominic Smith</t>
        </is>
      </c>
      <c r="C2109" s="9" t="inlineStr">
        <is>
          <t>ATL</t>
        </is>
      </c>
      <c r="D2109" s="9" t="n">
        <v>32</v>
      </c>
      <c r="E2109" s="16" t="inlineStr">
        <is>
          <t>L</t>
        </is>
      </c>
      <c r="F2109" s="16" t="inlineStr">
        <is>
          <t>1B</t>
        </is>
      </c>
      <c r="G2109" s="9" t="n">
        <v>300</v>
      </c>
      <c r="H2109" s="9" t="n">
        <v>1570</v>
      </c>
      <c r="I2109" s="9" t="inlineStr">
        <is>
          <t>Bench Bat</t>
        </is>
      </c>
      <c r="J2109" s="16" t="inlineStr">
        <is>
          <t>Opening Day</t>
        </is>
      </c>
      <c r="K2109" s="11">
        <f>IFERROR(INDEX(Roles!$B$17:$B$20,MATCH(J2109,Roles!$A$17:$A$20,0)),1)</f>
        <v/>
      </c>
      <c r="L2109" s="17" t="n">
        <v>1</v>
      </c>
      <c r="M2109" s="11" t="n">
        <v>1</v>
      </c>
      <c r="N2109" s="17" t="n"/>
      <c r="O2109" s="17" t="n"/>
      <c r="P2109" s="17" t="n"/>
      <c r="Q2109" s="17" t="n"/>
      <c r="R2109" s="17" t="n"/>
      <c r="S2109" s="17" t="n"/>
      <c r="T2109" s="17" t="n"/>
      <c r="U2109" s="17" t="n">
        <v>0.4</v>
      </c>
      <c r="V2109" s="17" t="n"/>
      <c r="W2109" s="17" t="n">
        <v>0.6</v>
      </c>
      <c r="X2109" s="17" t="n"/>
      <c r="Y2109" s="17" t="n"/>
      <c r="Z2109" s="13">
        <f>SUMPRODUCT(N2109:Y2109,$N$2:$Y$2)*$K2109*$L2109*$M2109</f>
        <v/>
      </c>
      <c r="AA2109" s="14">
        <f>SUM(N2109:Y2109)</f>
        <v/>
      </c>
      <c r="AB2109" s="14">
        <f>IFERROR(IF(UPPER($E2109)="L",SUMPRODUCT(N2109:Y2109,$N$3:$Y$3,$N$2:$Y$2),SUMPRODUCT(N2109:Y2109,$N$4:$Y$4,$N$2:$Y$2))/(Z2109/($K2109*$L2109*$M2109)),"")</f>
        <v/>
      </c>
      <c r="AC2109" s="18" t="n"/>
    </row>
    <row r="2110">
      <c r="A2110" s="9" t="n">
        <v>813844</v>
      </c>
      <c r="B2110" s="9" t="inlineStr">
        <is>
          <t>Will Bush</t>
        </is>
      </c>
      <c r="C2110" s="9" t="inlineStr">
        <is>
          <t>HOU</t>
        </is>
      </c>
      <c r="D2110" s="9" t="n">
        <v>25</v>
      </c>
      <c r="E2110" s="16" t="inlineStr">
        <is>
          <t>L</t>
        </is>
      </c>
      <c r="F2110" s="16" t="n"/>
      <c r="G2110" s="9" t="n">
        <v>149.6923076923077</v>
      </c>
      <c r="H2110" s="9" t="n">
        <v>149.6923076923077</v>
      </c>
      <c r="I2110" s="9" t="inlineStr">
        <is>
          <t>Depth (no MLB PA)</t>
        </is>
      </c>
      <c r="J2110" s="16" t="inlineStr">
        <is>
          <t>Opening Day</t>
        </is>
      </c>
      <c r="K2110" s="11">
        <f>IFERROR(INDEX(Roles!$B$17:$B$20,MATCH(J2110,Roles!$A$17:$A$20,0)),1)</f>
        <v/>
      </c>
      <c r="L2110" s="17" t="n">
        <v>1</v>
      </c>
      <c r="M2110" s="11" t="n">
        <v>1</v>
      </c>
      <c r="N2110" s="17" t="n"/>
      <c r="O2110" s="17" t="n"/>
      <c r="P2110" s="17" t="n"/>
      <c r="Q2110" s="17" t="n"/>
      <c r="R2110" s="17" t="n"/>
      <c r="S2110" s="17" t="n"/>
      <c r="T2110" s="17" t="n"/>
      <c r="U2110" s="17" t="n"/>
      <c r="V2110" s="17" t="n"/>
      <c r="W2110" s="17" t="n"/>
      <c r="X2110" s="17" t="n"/>
      <c r="Y2110" s="17" t="n">
        <v>1</v>
      </c>
      <c r="Z2110" s="13">
        <f>SUMPRODUCT(N2110:Y2110,$N$2:$Y$2)*$K2110*$L2110*$M2110</f>
        <v/>
      </c>
      <c r="AA2110" s="14">
        <f>SUM(N2110:Y2110)</f>
        <v/>
      </c>
      <c r="AB2110" s="14">
        <f>IFERROR(IF(UPPER($E2110)="L",SUMPRODUCT(N2110:Y2110,$N$3:$Y$3,$N$2:$Y$2),SUMPRODUCT(N2110:Y2110,$N$4:$Y$4,$N$2:$Y$2))/(Z2110/($K2110*$L2110*$M2110)),"")</f>
        <v/>
      </c>
      <c r="AC2110" s="18" t="n"/>
    </row>
    <row r="2111">
      <c r="A2111" s="9" t="n">
        <v>822624</v>
      </c>
      <c r="B2111" s="9" t="inlineStr">
        <is>
          <t>Kevin Fitzer</t>
        </is>
      </c>
      <c r="C2111" s="9" t="inlineStr">
        <is>
          <t>COL</t>
        </is>
      </c>
      <c r="D2111" s="9" t="n">
        <v>25</v>
      </c>
      <c r="E2111" s="16" t="inlineStr">
        <is>
          <t>R</t>
        </is>
      </c>
      <c r="F2111" s="16" t="n"/>
      <c r="G2111" s="9" t="n">
        <v>61.12820512820513</v>
      </c>
      <c r="H2111" s="9" t="n">
        <v>61.12820512820513</v>
      </c>
      <c r="I2111" s="9" t="inlineStr">
        <is>
          <t>Depth (no MLB PA)</t>
        </is>
      </c>
      <c r="J2111" s="16" t="inlineStr">
        <is>
          <t>Opening Day</t>
        </is>
      </c>
      <c r="K2111" s="11">
        <f>IFERROR(INDEX(Roles!$B$17:$B$20,MATCH(J2111,Roles!$A$17:$A$20,0)),1)</f>
        <v/>
      </c>
      <c r="L2111" s="17" t="n">
        <v>1</v>
      </c>
      <c r="M2111" s="11" t="n">
        <v>1</v>
      </c>
      <c r="N2111" s="17" t="n"/>
      <c r="O2111" s="17" t="n"/>
      <c r="P2111" s="17" t="n"/>
      <c r="Q2111" s="17" t="n"/>
      <c r="R2111" s="17" t="n"/>
      <c r="S2111" s="17" t="n"/>
      <c r="T2111" s="17" t="n"/>
      <c r="U2111" s="17" t="n"/>
      <c r="V2111" s="17" t="n"/>
      <c r="W2111" s="17" t="n"/>
      <c r="X2111" s="17" t="n"/>
      <c r="Y2111" s="17" t="n">
        <v>1</v>
      </c>
      <c r="Z2111" s="13">
        <f>SUMPRODUCT(N2111:Y2111,$N$2:$Y$2)*$K2111*$L2111*$M2111</f>
        <v/>
      </c>
      <c r="AA2111" s="14">
        <f>SUM(N2111:Y2111)</f>
        <v/>
      </c>
      <c r="AB2111" s="14">
        <f>IFERROR(IF(UPPER($E2111)="L",SUMPRODUCT(N2111:Y2111,$N$3:$Y$3,$N$2:$Y$2),SUMPRODUCT(N2111:Y2111,$N$4:$Y$4,$N$2:$Y$2))/(Z2111/($K2111*$L2111*$M2111)),"")</f>
        <v/>
      </c>
      <c r="AC2111" s="18" t="n"/>
    </row>
    <row r="2112">
      <c r="A2112" s="9" t="n">
        <v>808805</v>
      </c>
      <c r="B2112" s="9" t="inlineStr">
        <is>
          <t>Tyler Pettorini</t>
        </is>
      </c>
      <c r="C2112" s="9" t="inlineStr">
        <is>
          <t>PHI</t>
        </is>
      </c>
      <c r="D2112" s="9" t="n">
        <v>25</v>
      </c>
      <c r="E2112" s="16" t="inlineStr">
        <is>
          <t>L</t>
        </is>
      </c>
      <c r="F2112" s="16" t="n"/>
      <c r="G2112" s="9" t="n">
        <v>46.56410256410257</v>
      </c>
      <c r="H2112" s="9" t="n">
        <v>46.56410256410257</v>
      </c>
      <c r="I2112" s="9" t="inlineStr">
        <is>
          <t>Depth (no MLB PA)</t>
        </is>
      </c>
      <c r="J2112" s="16" t="inlineStr">
        <is>
          <t>Opening Day</t>
        </is>
      </c>
      <c r="K2112" s="11">
        <f>IFERROR(INDEX(Roles!$B$17:$B$20,MATCH(J2112,Roles!$A$17:$A$20,0)),1)</f>
        <v/>
      </c>
      <c r="L2112" s="17" t="n">
        <v>1</v>
      </c>
      <c r="M2112" s="11" t="n">
        <v>1</v>
      </c>
      <c r="N2112" s="17" t="n"/>
      <c r="O2112" s="17" t="n"/>
      <c r="P2112" s="17" t="n"/>
      <c r="Q2112" s="17" t="n"/>
      <c r="R2112" s="17" t="n"/>
      <c r="S2112" s="17" t="n"/>
      <c r="T2112" s="17" t="n"/>
      <c r="U2112" s="17" t="n"/>
      <c r="V2112" s="17" t="n"/>
      <c r="W2112" s="17" t="n"/>
      <c r="X2112" s="17" t="n"/>
      <c r="Y2112" s="17" t="n">
        <v>1</v>
      </c>
      <c r="Z2112" s="13">
        <f>SUMPRODUCT(N2112:Y2112,$N$2:$Y$2)*$K2112*$L2112*$M2112</f>
        <v/>
      </c>
      <c r="AA2112" s="14">
        <f>SUM(N2112:Y2112)</f>
        <v/>
      </c>
      <c r="AB2112" s="14">
        <f>IFERROR(IF(UPPER($E2112)="L",SUMPRODUCT(N2112:Y2112,$N$3:$Y$3,$N$2:$Y$2),SUMPRODUCT(N2112:Y2112,$N$4:$Y$4,$N$2:$Y$2))/(Z2112/($K2112*$L2112*$M2112)),"")</f>
        <v/>
      </c>
      <c r="AC2112" s="18" t="n"/>
    </row>
    <row r="2113">
      <c r="A2113" s="9" t="n">
        <v>811716</v>
      </c>
      <c r="B2113" s="9" t="inlineStr">
        <is>
          <t>Landyn Vidourek</t>
        </is>
      </c>
      <c r="C2113" s="9" t="inlineStr">
        <is>
          <t>COL</t>
        </is>
      </c>
      <c r="D2113" s="9" t="n">
        <v>25</v>
      </c>
      <c r="E2113" s="16" t="inlineStr">
        <is>
          <t>L</t>
        </is>
      </c>
      <c r="F2113" s="16" t="n"/>
      <c r="G2113" s="9" t="n">
        <v>49.96923076923077</v>
      </c>
      <c r="H2113" s="9" t="n">
        <v>49.96923076923077</v>
      </c>
      <c r="I2113" s="9" t="inlineStr">
        <is>
          <t>Depth (no MLB PA)</t>
        </is>
      </c>
      <c r="J2113" s="16" t="inlineStr">
        <is>
          <t>Opening Day</t>
        </is>
      </c>
      <c r="K2113" s="11">
        <f>IFERROR(INDEX(Roles!$B$17:$B$20,MATCH(J2113,Roles!$A$17:$A$20,0)),1)</f>
        <v/>
      </c>
      <c r="L2113" s="17" t="n">
        <v>1</v>
      </c>
      <c r="M2113" s="11" t="n">
        <v>1</v>
      </c>
      <c r="N2113" s="17" t="n"/>
      <c r="O2113" s="17" t="n"/>
      <c r="P2113" s="17" t="n"/>
      <c r="Q2113" s="17" t="n"/>
      <c r="R2113" s="17" t="n"/>
      <c r="S2113" s="17" t="n"/>
      <c r="T2113" s="17" t="n"/>
      <c r="U2113" s="17" t="n"/>
      <c r="V2113" s="17" t="n"/>
      <c r="W2113" s="17" t="n"/>
      <c r="X2113" s="17" t="n"/>
      <c r="Y2113" s="17" t="n">
        <v>1</v>
      </c>
      <c r="Z2113" s="13">
        <f>SUMPRODUCT(N2113:Y2113,$N$2:$Y$2)*$K2113*$L2113*$M2113</f>
        <v/>
      </c>
      <c r="AA2113" s="14">
        <f>SUM(N2113:Y2113)</f>
        <v/>
      </c>
      <c r="AB2113" s="14">
        <f>IFERROR(IF(UPPER($E2113)="L",SUMPRODUCT(N2113:Y2113,$N$3:$Y$3,$N$2:$Y$2),SUMPRODUCT(N2113:Y2113,$N$4:$Y$4,$N$2:$Y$2))/(Z2113/($K2113*$L2113*$M2113)),"")</f>
        <v/>
      </c>
      <c r="AC2113" s="18" t="n"/>
    </row>
    <row r="2114">
      <c r="A2114" s="9" t="n">
        <v>688617</v>
      </c>
      <c r="B2114" s="9" t="inlineStr">
        <is>
          <t>Michael Snyder</t>
        </is>
      </c>
      <c r="C2114" s="9" t="inlineStr">
        <is>
          <t>MIA</t>
        </is>
      </c>
      <c r="D2114" s="9" t="n">
        <v>25</v>
      </c>
      <c r="E2114" s="16" t="inlineStr">
        <is>
          <t>R</t>
        </is>
      </c>
      <c r="F2114" s="16" t="n"/>
      <c r="G2114" s="9" t="n">
        <v>40.56410256410256</v>
      </c>
      <c r="H2114" s="9" t="n">
        <v>40.56410256410256</v>
      </c>
      <c r="I2114" s="9" t="inlineStr">
        <is>
          <t>Depth (no MLB PA)</t>
        </is>
      </c>
      <c r="J2114" s="16" t="inlineStr">
        <is>
          <t>Opening Day</t>
        </is>
      </c>
      <c r="K2114" s="11">
        <f>IFERROR(INDEX(Roles!$B$17:$B$20,MATCH(J2114,Roles!$A$17:$A$20,0)),1)</f>
        <v/>
      </c>
      <c r="L2114" s="17" t="n">
        <v>1</v>
      </c>
      <c r="M2114" s="11" t="n">
        <v>1</v>
      </c>
      <c r="N2114" s="17" t="n"/>
      <c r="O2114" s="17" t="n"/>
      <c r="P2114" s="17" t="n"/>
      <c r="Q2114" s="17" t="n"/>
      <c r="R2114" s="17" t="n"/>
      <c r="S2114" s="17" t="n"/>
      <c r="T2114" s="17" t="n"/>
      <c r="U2114" s="17" t="n"/>
      <c r="V2114" s="17" t="n"/>
      <c r="W2114" s="17" t="n"/>
      <c r="X2114" s="17" t="n"/>
      <c r="Y2114" s="17" t="n">
        <v>1</v>
      </c>
      <c r="Z2114" s="13">
        <f>SUMPRODUCT(N2114:Y2114,$N$2:$Y$2)*$K2114*$L2114*$M2114</f>
        <v/>
      </c>
      <c r="AA2114" s="14">
        <f>SUM(N2114:Y2114)</f>
        <v/>
      </c>
      <c r="AB2114" s="14">
        <f>IFERROR(IF(UPPER($E2114)="L",SUMPRODUCT(N2114:Y2114,$N$3:$Y$3,$N$2:$Y$2),SUMPRODUCT(N2114:Y2114,$N$4:$Y$4,$N$2:$Y$2))/(Z2114/($K2114*$L2114*$M2114)),"")</f>
        <v/>
      </c>
      <c r="AC2114" s="18" t="n"/>
    </row>
    <row r="2115">
      <c r="A2115" s="9" t="n">
        <v>686196</v>
      </c>
      <c r="B2115" s="9" t="inlineStr">
        <is>
          <t>Peter Burns</t>
        </is>
      </c>
      <c r="C2115" s="9" t="inlineStr">
        <is>
          <t>LAA</t>
        </is>
      </c>
      <c r="D2115" s="9" t="n">
        <v>25</v>
      </c>
      <c r="E2115" s="16" t="inlineStr">
        <is>
          <t>L</t>
        </is>
      </c>
      <c r="F2115" s="16" t="n"/>
      <c r="G2115" s="9" t="n">
        <v>51.4871794871795</v>
      </c>
      <c r="H2115" s="9" t="n">
        <v>51.4871794871795</v>
      </c>
      <c r="I2115" s="9" t="inlineStr">
        <is>
          <t>Depth (no MLB PA)</t>
        </is>
      </c>
      <c r="J2115" s="16" t="inlineStr">
        <is>
          <t>Opening Day</t>
        </is>
      </c>
      <c r="K2115" s="11">
        <f>IFERROR(INDEX(Roles!$B$17:$B$20,MATCH(J2115,Roles!$A$17:$A$20,0)),1)</f>
        <v/>
      </c>
      <c r="L2115" s="17" t="n">
        <v>1</v>
      </c>
      <c r="M2115" s="11" t="n">
        <v>1</v>
      </c>
      <c r="N2115" s="17" t="n"/>
      <c r="O2115" s="17" t="n"/>
      <c r="P2115" s="17" t="n"/>
      <c r="Q2115" s="17" t="n"/>
      <c r="R2115" s="17" t="n"/>
      <c r="S2115" s="17" t="n"/>
      <c r="T2115" s="17" t="n"/>
      <c r="U2115" s="17" t="n"/>
      <c r="V2115" s="17" t="n"/>
      <c r="W2115" s="17" t="n"/>
      <c r="X2115" s="17" t="n"/>
      <c r="Y2115" s="17" t="n">
        <v>1</v>
      </c>
      <c r="Z2115" s="13">
        <f>SUMPRODUCT(N2115:Y2115,$N$2:$Y$2)*$K2115*$L2115*$M2115</f>
        <v/>
      </c>
      <c r="AA2115" s="14">
        <f>SUM(N2115:Y2115)</f>
        <v/>
      </c>
      <c r="AB2115" s="14">
        <f>IFERROR(IF(UPPER($E2115)="L",SUMPRODUCT(N2115:Y2115,$N$3:$Y$3,$N$2:$Y$2),SUMPRODUCT(N2115:Y2115,$N$4:$Y$4,$N$2:$Y$2))/(Z2115/($K2115*$L2115*$M2115)),"")</f>
        <v/>
      </c>
      <c r="AC2115" s="18" t="n"/>
    </row>
    <row r="2116">
      <c r="A2116" s="9" t="n">
        <v>808162</v>
      </c>
      <c r="B2116" s="9" t="inlineStr">
        <is>
          <t>Joshua Liranzo</t>
        </is>
      </c>
      <c r="C2116" s="9" t="inlineStr">
        <is>
          <t>BAL</t>
        </is>
      </c>
      <c r="D2116" s="9" t="n">
        <v>25</v>
      </c>
      <c r="E2116" s="16" t="inlineStr">
        <is>
          <t>R</t>
        </is>
      </c>
      <c r="F2116" s="16" t="n"/>
      <c r="G2116" s="9" t="n">
        <v>38.15384615384615</v>
      </c>
      <c r="H2116" s="9" t="n">
        <v>38.15384615384615</v>
      </c>
      <c r="I2116" s="9" t="inlineStr">
        <is>
          <t>Depth (no MLB PA)</t>
        </is>
      </c>
      <c r="J2116" s="16" t="inlineStr">
        <is>
          <t>Opening Day</t>
        </is>
      </c>
      <c r="K2116" s="11">
        <f>IFERROR(INDEX(Roles!$B$17:$B$20,MATCH(J2116,Roles!$A$17:$A$20,0)),1)</f>
        <v/>
      </c>
      <c r="L2116" s="17" t="n">
        <v>1</v>
      </c>
      <c r="M2116" s="11" t="n">
        <v>1</v>
      </c>
      <c r="N2116" s="17" t="n"/>
      <c r="O2116" s="17" t="n"/>
      <c r="P2116" s="17" t="n"/>
      <c r="Q2116" s="17" t="n"/>
      <c r="R2116" s="17" t="n"/>
      <c r="S2116" s="17" t="n"/>
      <c r="T2116" s="17" t="n"/>
      <c r="U2116" s="17" t="n"/>
      <c r="V2116" s="17" t="n"/>
      <c r="W2116" s="17" t="n"/>
      <c r="X2116" s="17" t="n"/>
      <c r="Y2116" s="17" t="n">
        <v>1</v>
      </c>
      <c r="Z2116" s="13">
        <f>SUMPRODUCT(N2116:Y2116,$N$2:$Y$2)*$K2116*$L2116*$M2116</f>
        <v/>
      </c>
      <c r="AA2116" s="14">
        <f>SUM(N2116:Y2116)</f>
        <v/>
      </c>
      <c r="AB2116" s="14">
        <f>IFERROR(IF(UPPER($E2116)="L",SUMPRODUCT(N2116:Y2116,$N$3:$Y$3,$N$2:$Y$2),SUMPRODUCT(N2116:Y2116,$N$4:$Y$4,$N$2:$Y$2))/(Z2116/($K2116*$L2116*$M2116)),"")</f>
        <v/>
      </c>
      <c r="AC2116" s="18" t="n"/>
    </row>
    <row r="2117">
      <c r="A2117" s="9" t="n">
        <v>801276</v>
      </c>
      <c r="B2117" s="9" t="inlineStr">
        <is>
          <t>Juan Matheus</t>
        </is>
      </c>
      <c r="C2117" s="9" t="inlineStr">
        <is>
          <t>MIA</t>
        </is>
      </c>
      <c r="D2117" s="9" t="n">
        <v>25</v>
      </c>
      <c r="E2117" s="16" t="inlineStr">
        <is>
          <t>S</t>
        </is>
      </c>
      <c r="F2117" s="16" t="n"/>
      <c r="G2117" s="9" t="n">
        <v>32.71794871794872</v>
      </c>
      <c r="H2117" s="9" t="n">
        <v>32.71794871794872</v>
      </c>
      <c r="I2117" s="9" t="inlineStr">
        <is>
          <t>Depth (no MLB PA)</t>
        </is>
      </c>
      <c r="J2117" s="16" t="inlineStr">
        <is>
          <t>Opening Day</t>
        </is>
      </c>
      <c r="K2117" s="11">
        <f>IFERROR(INDEX(Roles!$B$17:$B$20,MATCH(J2117,Roles!$A$17:$A$20,0)),1)</f>
        <v/>
      </c>
      <c r="L2117" s="17" t="n">
        <v>1</v>
      </c>
      <c r="M2117" s="11" t="n">
        <v>1</v>
      </c>
      <c r="N2117" s="17" t="n"/>
      <c r="O2117" s="17" t="n"/>
      <c r="P2117" s="17" t="n"/>
      <c r="Q2117" s="17" t="n"/>
      <c r="R2117" s="17" t="n"/>
      <c r="S2117" s="17" t="n"/>
      <c r="T2117" s="17" t="n"/>
      <c r="U2117" s="17" t="n"/>
      <c r="V2117" s="17" t="n"/>
      <c r="W2117" s="17" t="n"/>
      <c r="X2117" s="17" t="n"/>
      <c r="Y2117" s="17" t="n">
        <v>1</v>
      </c>
      <c r="Z2117" s="13">
        <f>SUMPRODUCT(N2117:Y2117,$N$2:$Y$2)*$K2117*$L2117*$M2117</f>
        <v/>
      </c>
      <c r="AA2117" s="14">
        <f>SUM(N2117:Y2117)</f>
        <v/>
      </c>
      <c r="AB2117" s="14">
        <f>IFERROR(IF(UPPER($E2117)="L",SUMPRODUCT(N2117:Y2117,$N$3:$Y$3,$N$2:$Y$2),SUMPRODUCT(N2117:Y2117,$N$4:$Y$4,$N$2:$Y$2))/(Z2117/($K2117*$L2117*$M2117)),"")</f>
        <v/>
      </c>
      <c r="AC2117" s="18" t="n"/>
    </row>
    <row r="2118">
      <c r="A2118" s="9" t="n">
        <v>696135</v>
      </c>
      <c r="B2118" s="9" t="inlineStr">
        <is>
          <t>Kahlil Watson</t>
        </is>
      </c>
      <c r="C2118" s="9" t="inlineStr">
        <is>
          <t>CLE</t>
        </is>
      </c>
      <c r="D2118" s="9" t="n">
        <v>24</v>
      </c>
      <c r="E2118" s="16" t="inlineStr">
        <is>
          <t>L</t>
        </is>
      </c>
      <c r="F2118" s="16" t="inlineStr">
        <is>
          <t>RF</t>
        </is>
      </c>
      <c r="G2118" s="9" t="n">
        <v>91</v>
      </c>
      <c r="H2118" s="9" t="n">
        <v>91</v>
      </c>
      <c r="I2118" s="9" t="inlineStr">
        <is>
          <t>Bench Bat</t>
        </is>
      </c>
      <c r="J2118" s="16" t="inlineStr">
        <is>
          <t>Mid Season (~July)</t>
        </is>
      </c>
      <c r="K2118" s="11">
        <f>IFERROR(INDEX(Roles!$B$17:$B$20,MATCH(J2118,Roles!$A$17:$A$20,0)),1)</f>
        <v/>
      </c>
      <c r="L2118" s="17" t="n">
        <v>1</v>
      </c>
      <c r="M2118" s="11" t="n">
        <v>1</v>
      </c>
      <c r="N2118" s="17" t="n"/>
      <c r="O2118" s="17" t="n"/>
      <c r="P2118" s="17" t="n">
        <v>0.35</v>
      </c>
      <c r="Q2118" s="17" t="n"/>
      <c r="R2118" s="17" t="n"/>
      <c r="S2118" s="17" t="n"/>
      <c r="T2118" s="17" t="n"/>
      <c r="U2118" s="17" t="n"/>
      <c r="V2118" s="17" t="n"/>
      <c r="W2118" s="17" t="n">
        <v>0.45</v>
      </c>
      <c r="X2118" s="17" t="n">
        <v>0.2</v>
      </c>
      <c r="Y2118" s="17" t="n"/>
      <c r="Z2118" s="13">
        <f>SUMPRODUCT(N2118:Y2118,$N$2:$Y$2)*$K2118*$L2118*$M2118</f>
        <v/>
      </c>
      <c r="AA2118" s="14">
        <f>SUM(N2118:Y2118)</f>
        <v/>
      </c>
      <c r="AB2118" s="14">
        <f>IFERROR(IF(UPPER($E2118)="L",SUMPRODUCT(N2118:Y2118,$N$3:$Y$3,$N$2:$Y$2),SUMPRODUCT(N2118:Y2118,$N$4:$Y$4,$N$2:$Y$2))/(Z2118/($K2118*$L2118*$M2118)),"")</f>
        <v/>
      </c>
      <c r="AC2118" s="18" t="n"/>
    </row>
    <row r="2119">
      <c r="A2119" s="9" t="n">
        <v>815829</v>
      </c>
      <c r="B2119" s="9" t="inlineStr">
        <is>
          <t>Ryan Mitchell</t>
        </is>
      </c>
      <c r="C2119" s="9" t="inlineStr">
        <is>
          <t>STL</t>
        </is>
      </c>
      <c r="D2119" s="9" t="n">
        <v>20</v>
      </c>
      <c r="E2119" s="16" t="inlineStr">
        <is>
          <t>L</t>
        </is>
      </c>
      <c r="F2119" s="16" t="n"/>
      <c r="G2119" s="9" t="n">
        <v>59.81538461538461</v>
      </c>
      <c r="H2119" s="9" t="n">
        <v>59.81538461538461</v>
      </c>
      <c r="I2119" s="9" t="inlineStr">
        <is>
          <t>Depth (no MLB PA)</t>
        </is>
      </c>
      <c r="J2119" s="16" t="inlineStr">
        <is>
          <t>Opening Day</t>
        </is>
      </c>
      <c r="K2119" s="11">
        <f>IFERROR(INDEX(Roles!$B$17:$B$20,MATCH(J2119,Roles!$A$17:$A$20,0)),1)</f>
        <v/>
      </c>
      <c r="L2119" s="17" t="n">
        <v>1</v>
      </c>
      <c r="M2119" s="11" t="n">
        <v>1</v>
      </c>
      <c r="N2119" s="17" t="n"/>
      <c r="O2119" s="17" t="n"/>
      <c r="P2119" s="17" t="n"/>
      <c r="Q2119" s="17" t="n"/>
      <c r="R2119" s="17" t="n"/>
      <c r="S2119" s="17" t="n"/>
      <c r="T2119" s="17" t="n"/>
      <c r="U2119" s="17" t="n"/>
      <c r="V2119" s="17" t="n"/>
      <c r="W2119" s="17" t="n"/>
      <c r="X2119" s="17" t="n"/>
      <c r="Y2119" s="17" t="n">
        <v>1</v>
      </c>
      <c r="Z2119" s="13">
        <f>SUMPRODUCT(N2119:Y2119,$N$2:$Y$2)*$K2119*$L2119*$M2119</f>
        <v/>
      </c>
      <c r="AA2119" s="14">
        <f>SUM(N2119:Y2119)</f>
        <v/>
      </c>
      <c r="AB2119" s="14">
        <f>IFERROR(IF(UPPER($E2119)="L",SUMPRODUCT(N2119:Y2119,$N$3:$Y$3,$N$2:$Y$2),SUMPRODUCT(N2119:Y2119,$N$4:$Y$4,$N$2:$Y$2))/(Z2119/($K2119*$L2119*$M2119)),"")</f>
        <v/>
      </c>
      <c r="AC2119" s="18" t="n"/>
    </row>
    <row r="2120">
      <c r="A2120" s="9" t="n">
        <v>673962</v>
      </c>
      <c r="B2120" s="9" t="inlineStr">
        <is>
          <t>Josh Jung</t>
        </is>
      </c>
      <c r="C2120" s="9" t="inlineStr">
        <is>
          <t>TEX</t>
        </is>
      </c>
      <c r="D2120" s="9" t="n">
        <v>29</v>
      </c>
      <c r="E2120" s="16" t="inlineStr">
        <is>
          <t>R</t>
        </is>
      </c>
      <c r="F2120" s="16" t="inlineStr">
        <is>
          <t>3B</t>
        </is>
      </c>
      <c r="G2120" s="9" t="n">
        <v>444</v>
      </c>
      <c r="H2120" s="9" t="n">
        <v>1760</v>
      </c>
      <c r="I2120" s="9" t="inlineStr">
        <is>
          <t>Bench Bat</t>
        </is>
      </c>
      <c r="J2120" s="16" t="inlineStr">
        <is>
          <t>Opening Day</t>
        </is>
      </c>
      <c r="K2120" s="11">
        <f>IFERROR(INDEX(Roles!$B$17:$B$20,MATCH(J2120,Roles!$A$17:$A$20,0)),1)</f>
        <v/>
      </c>
      <c r="L2120" s="17" t="n">
        <v>1</v>
      </c>
      <c r="M2120" s="11" t="n">
        <v>1.078551916876183</v>
      </c>
      <c r="N2120" s="17" t="n">
        <v>0.4</v>
      </c>
      <c r="O2120" s="17" t="n"/>
      <c r="P2120" s="17" t="n"/>
      <c r="Q2120" s="17" t="n"/>
      <c r="R2120" s="17" t="n"/>
      <c r="S2120" s="17" t="n"/>
      <c r="T2120" s="17" t="n"/>
      <c r="U2120" s="17" t="n"/>
      <c r="V2120" s="17" t="n"/>
      <c r="W2120" s="17" t="n">
        <v>0.6</v>
      </c>
      <c r="X2120" s="17" t="n"/>
      <c r="Y2120" s="17" t="n"/>
      <c r="Z2120" s="13">
        <f>SUMPRODUCT(N2120:Y2120,$N$2:$Y$2)*$K2120*$L2120*$M2120</f>
        <v/>
      </c>
      <c r="AA2120" s="14">
        <f>SUM(N2120:Y2120)</f>
        <v/>
      </c>
      <c r="AB2120" s="14">
        <f>IFERROR(IF(UPPER($E2120)="L",SUMPRODUCT(N2120:Y2120,$N$3:$Y$3,$N$2:$Y$2),SUMPRODUCT(N2120:Y2120,$N$4:$Y$4,$N$2:$Y$2))/(Z2120/($K2120*$L2120*$M2120)),"")</f>
        <v/>
      </c>
      <c r="AC2120" s="18" t="n"/>
    </row>
    <row r="2121">
      <c r="A2121" s="9" t="n">
        <v>663616</v>
      </c>
      <c r="B2121" s="9" t="inlineStr">
        <is>
          <t>Trevor Larnach</t>
        </is>
      </c>
      <c r="C2121" s="9" t="inlineStr">
        <is>
          <t>MIN</t>
        </is>
      </c>
      <c r="D2121" s="9" t="n">
        <v>30</v>
      </c>
      <c r="E2121" s="16" t="inlineStr">
        <is>
          <t>L</t>
        </is>
      </c>
      <c r="F2121" s="16" t="inlineStr">
        <is>
          <t>LF</t>
        </is>
      </c>
      <c r="G2121" s="9" t="n">
        <v>433</v>
      </c>
      <c r="H2121" s="9" t="n">
        <v>1792</v>
      </c>
      <c r="I2121" s="9" t="inlineStr">
        <is>
          <t>Full Time</t>
        </is>
      </c>
      <c r="J2121" s="16" t="inlineStr">
        <is>
          <t>Opening Day</t>
        </is>
      </c>
      <c r="K2121" s="11">
        <f>IFERROR(INDEX(Roles!$B$17:$B$20,MATCH(J2121,Roles!$A$17:$A$20,0)),1)</f>
        <v/>
      </c>
      <c r="L2121" s="17" t="n">
        <v>1</v>
      </c>
      <c r="M2121" s="11" t="n">
        <v>1.006948751943722</v>
      </c>
      <c r="N2121" s="17" t="n">
        <v>1</v>
      </c>
      <c r="O2121" s="17" t="n"/>
      <c r="P2121" s="17" t="n"/>
      <c r="Q2121" s="17" t="n"/>
      <c r="R2121" s="17" t="n"/>
      <c r="S2121" s="17" t="n"/>
      <c r="T2121" s="17" t="n"/>
      <c r="U2121" s="17" t="n"/>
      <c r="V2121" s="17" t="n"/>
      <c r="W2121" s="17" t="n"/>
      <c r="X2121" s="17" t="n"/>
      <c r="Y2121" s="17" t="n"/>
      <c r="Z2121" s="13">
        <f>SUMPRODUCT(N2121:Y2121,$N$2:$Y$2)*$K2121*$L2121*$M2121</f>
        <v/>
      </c>
      <c r="AA2121" s="14">
        <f>SUM(N2121:Y2121)</f>
        <v/>
      </c>
      <c r="AB2121" s="14">
        <f>IFERROR(IF(UPPER($E2121)="L",SUMPRODUCT(N2121:Y2121,$N$3:$Y$3,$N$2:$Y$2),SUMPRODUCT(N2121:Y2121,$N$4:$Y$4,$N$2:$Y$2))/(Z2121/($K2121*$L2121*$M2121)),"")</f>
        <v/>
      </c>
      <c r="AC2121" s="18" t="n"/>
    </row>
    <row r="2122">
      <c r="A2122" s="9" t="n">
        <v>669234</v>
      </c>
      <c r="B2122" s="9" t="inlineStr">
        <is>
          <t>Justyn-Henry Malloy</t>
        </is>
      </c>
      <c r="C2122" s="9" t="inlineStr">
        <is>
          <t>DET</t>
        </is>
      </c>
      <c r="D2122" s="9" t="n">
        <v>27</v>
      </c>
      <c r="E2122" s="16" t="inlineStr">
        <is>
          <t>R</t>
        </is>
      </c>
      <c r="F2122" s="16" t="inlineStr">
        <is>
          <t>RF</t>
        </is>
      </c>
      <c r="G2122" s="9" t="n">
        <v>127</v>
      </c>
      <c r="H2122" s="9" t="n">
        <v>357</v>
      </c>
      <c r="I2122" s="9" t="inlineStr">
        <is>
          <t>Bench Bat</t>
        </is>
      </c>
      <c r="J2122" s="16" t="inlineStr">
        <is>
          <t>Opening Day</t>
        </is>
      </c>
      <c r="K2122" s="11">
        <f>IFERROR(INDEX(Roles!$B$17:$B$20,MATCH(J2122,Roles!$A$17:$A$20,0)),1)</f>
        <v/>
      </c>
      <c r="L2122" s="17" t="n">
        <v>1</v>
      </c>
      <c r="M2122" s="11" t="n">
        <v>1</v>
      </c>
      <c r="N2122" s="17" t="n"/>
      <c r="O2122" s="17" t="n"/>
      <c r="P2122" s="17" t="n"/>
      <c r="Q2122" s="17" t="n"/>
      <c r="R2122" s="17" t="n"/>
      <c r="S2122" s="17" t="n"/>
      <c r="T2122" s="17" t="n"/>
      <c r="U2122" s="17" t="n"/>
      <c r="V2122" s="17" t="n"/>
      <c r="W2122" s="17" t="n">
        <v>1</v>
      </c>
      <c r="X2122" s="17" t="n"/>
      <c r="Y2122" s="17" t="n"/>
      <c r="Z2122" s="13">
        <f>SUMPRODUCT(N2122:Y2122,$N$2:$Y$2)*$K2122*$L2122*$M2122</f>
        <v/>
      </c>
      <c r="AA2122" s="14">
        <f>SUM(N2122:Y2122)</f>
        <v/>
      </c>
      <c r="AB2122" s="14">
        <f>IFERROR(IF(UPPER($E2122)="L",SUMPRODUCT(N2122:Y2122,$N$3:$Y$3,$N$2:$Y$2),SUMPRODUCT(N2122:Y2122,$N$4:$Y$4,$N$2:$Y$2))/(Z2122/($K2122*$L2122*$M2122)),"")</f>
        <v/>
      </c>
      <c r="AC2122" s="18" t="n"/>
    </row>
    <row r="2123">
      <c r="A2123" s="9" t="n">
        <v>813429</v>
      </c>
      <c r="B2123" s="9" t="inlineStr">
        <is>
          <t>Lucas Ramirez</t>
        </is>
      </c>
      <c r="C2123" s="9" t="inlineStr">
        <is>
          <t>LAA</t>
        </is>
      </c>
      <c r="D2123" s="9" t="n">
        <v>25</v>
      </c>
      <c r="E2123" s="16" t="inlineStr">
        <is>
          <t>L</t>
        </is>
      </c>
      <c r="F2123" s="16" t="n"/>
      <c r="G2123" s="9" t="n">
        <v>52.06153846153846</v>
      </c>
      <c r="H2123" s="9" t="n">
        <v>52.06153846153846</v>
      </c>
      <c r="I2123" s="9" t="inlineStr">
        <is>
          <t>Depth (no MLB PA)</t>
        </is>
      </c>
      <c r="J2123" s="16" t="inlineStr">
        <is>
          <t>Opening Day</t>
        </is>
      </c>
      <c r="K2123" s="11">
        <f>IFERROR(INDEX(Roles!$B$17:$B$20,MATCH(J2123,Roles!$A$17:$A$20,0)),1)</f>
        <v/>
      </c>
      <c r="L2123" s="17" t="n">
        <v>1</v>
      </c>
      <c r="M2123" s="11" t="n">
        <v>1</v>
      </c>
      <c r="N2123" s="17" t="n"/>
      <c r="O2123" s="17" t="n"/>
      <c r="P2123" s="17" t="n"/>
      <c r="Q2123" s="17" t="n"/>
      <c r="R2123" s="17" t="n"/>
      <c r="S2123" s="17" t="n"/>
      <c r="T2123" s="17" t="n"/>
      <c r="U2123" s="17" t="n"/>
      <c r="V2123" s="17" t="n"/>
      <c r="W2123" s="17" t="n"/>
      <c r="X2123" s="17" t="n"/>
      <c r="Y2123" s="17" t="n">
        <v>1</v>
      </c>
      <c r="Z2123" s="13">
        <f>SUMPRODUCT(N2123:Y2123,$N$2:$Y$2)*$K2123*$L2123*$M2123</f>
        <v/>
      </c>
      <c r="AA2123" s="14">
        <f>SUM(N2123:Y2123)</f>
        <v/>
      </c>
      <c r="AB2123" s="14">
        <f>IFERROR(IF(UPPER($E2123)="L",SUMPRODUCT(N2123:Y2123,$N$3:$Y$3,$N$2:$Y$2),SUMPRODUCT(N2123:Y2123,$N$4:$Y$4,$N$2:$Y$2))/(Z2123/($K2123*$L2123*$M2123)),"")</f>
        <v/>
      </c>
      <c r="AC2123" s="18" t="n"/>
    </row>
    <row r="2124">
      <c r="A2124" s="9" t="n">
        <v>833458</v>
      </c>
      <c r="B2124" s="9" t="inlineStr">
        <is>
          <t>Justin Stransky</t>
        </is>
      </c>
      <c r="C2124" s="9" t="inlineStr">
        <is>
          <t>CHC</t>
        </is>
      </c>
      <c r="D2124" s="9" t="n">
        <v>25</v>
      </c>
      <c r="E2124" s="16" t="inlineStr">
        <is>
          <t>R</t>
        </is>
      </c>
      <c r="F2124" s="16" t="n"/>
      <c r="G2124" s="9" t="n">
        <v>61.53846153846154</v>
      </c>
      <c r="H2124" s="9" t="n">
        <v>61.53846153846154</v>
      </c>
      <c r="I2124" s="9" t="inlineStr">
        <is>
          <t>Depth (no MLB PA)</t>
        </is>
      </c>
      <c r="J2124" s="16" t="inlineStr">
        <is>
          <t>Opening Day</t>
        </is>
      </c>
      <c r="K2124" s="11">
        <f>IFERROR(INDEX(Roles!$B$17:$B$20,MATCH(J2124,Roles!$A$17:$A$20,0)),1)</f>
        <v/>
      </c>
      <c r="L2124" s="17" t="n">
        <v>1</v>
      </c>
      <c r="M2124" s="11" t="n">
        <v>1</v>
      </c>
      <c r="N2124" s="17" t="n"/>
      <c r="O2124" s="17" t="n"/>
      <c r="P2124" s="17" t="n"/>
      <c r="Q2124" s="17" t="n"/>
      <c r="R2124" s="17" t="n"/>
      <c r="S2124" s="17" t="n"/>
      <c r="T2124" s="17" t="n"/>
      <c r="U2124" s="17" t="n"/>
      <c r="V2124" s="17" t="n"/>
      <c r="W2124" s="17" t="n"/>
      <c r="X2124" s="17" t="n"/>
      <c r="Y2124" s="17" t="n">
        <v>1</v>
      </c>
      <c r="Z2124" s="13">
        <f>SUMPRODUCT(N2124:Y2124,$N$2:$Y$2)*$K2124*$L2124*$M2124</f>
        <v/>
      </c>
      <c r="AA2124" s="14">
        <f>SUM(N2124:Y2124)</f>
        <v/>
      </c>
      <c r="AB2124" s="14">
        <f>IFERROR(IF(UPPER($E2124)="L",SUMPRODUCT(N2124:Y2124,$N$3:$Y$3,$N$2:$Y$2),SUMPRODUCT(N2124:Y2124,$N$4:$Y$4,$N$2:$Y$2))/(Z2124/($K2124*$L2124*$M2124)),"")</f>
        <v/>
      </c>
      <c r="AC2124" s="18" t="n"/>
    </row>
    <row r="2125">
      <c r="A2125" s="9" t="n">
        <v>668930</v>
      </c>
      <c r="B2125" s="9" t="inlineStr">
        <is>
          <t>Brice Turang</t>
        </is>
      </c>
      <c r="C2125" s="9" t="inlineStr">
        <is>
          <t>MIL</t>
        </is>
      </c>
      <c r="D2125" s="9" t="n">
        <v>27</v>
      </c>
      <c r="E2125" s="16" t="inlineStr">
        <is>
          <t>L</t>
        </is>
      </c>
      <c r="F2125" s="16" t="inlineStr">
        <is>
          <t>2B</t>
        </is>
      </c>
      <c r="G2125" s="9" t="n">
        <v>680</v>
      </c>
      <c r="H2125" s="9" t="n">
        <v>2406</v>
      </c>
      <c r="I2125" s="9" t="inlineStr">
        <is>
          <t>Full Time</t>
        </is>
      </c>
      <c r="J2125" s="16" t="inlineStr">
        <is>
          <t>Opening Day</t>
        </is>
      </c>
      <c r="K2125" s="11">
        <f>IFERROR(INDEX(Roles!$B$17:$B$20,MATCH(J2125,Roles!$A$17:$A$20,0)),1)</f>
        <v/>
      </c>
      <c r="L2125" s="17" t="n">
        <v>1</v>
      </c>
      <c r="M2125" s="11" t="n">
        <v>1.15</v>
      </c>
      <c r="N2125" s="17" t="n">
        <v>1</v>
      </c>
      <c r="O2125" s="17" t="n"/>
      <c r="P2125" s="17" t="n"/>
      <c r="Q2125" s="17" t="n"/>
      <c r="R2125" s="17" t="n"/>
      <c r="S2125" s="17" t="n"/>
      <c r="T2125" s="17" t="n"/>
      <c r="U2125" s="17" t="n"/>
      <c r="V2125" s="17" t="n"/>
      <c r="W2125" s="17" t="n"/>
      <c r="X2125" s="17" t="n"/>
      <c r="Y2125" s="17" t="n"/>
      <c r="Z2125" s="13">
        <f>SUMPRODUCT(N2125:Y2125,$N$2:$Y$2)*$K2125*$L2125*$M2125</f>
        <v/>
      </c>
      <c r="AA2125" s="14">
        <f>SUM(N2125:Y2125)</f>
        <v/>
      </c>
      <c r="AB2125" s="14">
        <f>IFERROR(IF(UPPER($E2125)="L",SUMPRODUCT(N2125:Y2125,$N$3:$Y$3,$N$2:$Y$2),SUMPRODUCT(N2125:Y2125,$N$4:$Y$4,$N$2:$Y$2))/(Z2125/($K2125*$L2125*$M2125)),"")</f>
        <v/>
      </c>
      <c r="AC2125" s="18" t="n"/>
    </row>
    <row r="2126">
      <c r="A2126" s="9" t="n">
        <v>815889</v>
      </c>
      <c r="B2126" s="9" t="inlineStr">
        <is>
          <t>Paulino Santana</t>
        </is>
      </c>
      <c r="C2126" s="9" t="inlineStr">
        <is>
          <t>TEX</t>
        </is>
      </c>
      <c r="D2126" s="9" t="n">
        <v>21</v>
      </c>
      <c r="E2126" s="16" t="inlineStr">
        <is>
          <t>R</t>
        </is>
      </c>
      <c r="F2126" s="16" t="n"/>
      <c r="G2126" s="9" t="n">
        <v>67.56923076923077</v>
      </c>
      <c r="H2126" s="9" t="n">
        <v>67.56923076923077</v>
      </c>
      <c r="I2126" s="9" t="inlineStr">
        <is>
          <t>Depth (no MLB PA)</t>
        </is>
      </c>
      <c r="J2126" s="16" t="inlineStr">
        <is>
          <t>Opening Day</t>
        </is>
      </c>
      <c r="K2126" s="11">
        <f>IFERROR(INDEX(Roles!$B$17:$B$20,MATCH(J2126,Roles!$A$17:$A$20,0)),1)</f>
        <v/>
      </c>
      <c r="L2126" s="17" t="n">
        <v>1</v>
      </c>
      <c r="M2126" s="11" t="n">
        <v>1</v>
      </c>
      <c r="N2126" s="17" t="n"/>
      <c r="O2126" s="17" t="n"/>
      <c r="P2126" s="17" t="n"/>
      <c r="Q2126" s="17" t="n"/>
      <c r="R2126" s="17" t="n"/>
      <c r="S2126" s="17" t="n"/>
      <c r="T2126" s="17" t="n"/>
      <c r="U2126" s="17" t="n"/>
      <c r="V2126" s="17" t="n"/>
      <c r="W2126" s="17" t="n"/>
      <c r="X2126" s="17" t="n"/>
      <c r="Y2126" s="17" t="n">
        <v>1</v>
      </c>
      <c r="Z2126" s="13">
        <f>SUMPRODUCT(N2126:Y2126,$N$2:$Y$2)*$K2126*$L2126*$M2126</f>
        <v/>
      </c>
      <c r="AA2126" s="14">
        <f>SUM(N2126:Y2126)</f>
        <v/>
      </c>
      <c r="AB2126" s="14">
        <f>IFERROR(IF(UPPER($E2126)="L",SUMPRODUCT(N2126:Y2126,$N$3:$Y$3,$N$2:$Y$2),SUMPRODUCT(N2126:Y2126,$N$4:$Y$4,$N$2:$Y$2))/(Z2126/($K2126*$L2126*$M2126)),"")</f>
        <v/>
      </c>
      <c r="AC2126" s="18" t="n"/>
    </row>
    <row r="2127">
      <c r="A2127" s="9" t="n">
        <v>814154</v>
      </c>
      <c r="B2127" s="9" t="inlineStr">
        <is>
          <t>Scott Bandura</t>
        </is>
      </c>
      <c r="C2127" s="9" t="inlineStr">
        <is>
          <t>SF</t>
        </is>
      </c>
      <c r="D2127" s="9" t="n">
        <v>25</v>
      </c>
      <c r="E2127" s="16" t="inlineStr">
        <is>
          <t>L</t>
        </is>
      </c>
      <c r="F2127" s="16" t="inlineStr">
        <is>
          <t>LF</t>
        </is>
      </c>
      <c r="G2127" s="9" t="n">
        <v>30</v>
      </c>
      <c r="H2127" s="9" t="n">
        <v>30</v>
      </c>
      <c r="I2127" s="9" t="inlineStr">
        <is>
          <t>Bench Bat</t>
        </is>
      </c>
      <c r="J2127" s="16" t="inlineStr">
        <is>
          <t>Opening Day</t>
        </is>
      </c>
      <c r="K2127" s="11">
        <f>IFERROR(INDEX(Roles!$B$17:$B$20,MATCH(J2127,Roles!$A$17:$A$20,0)),1)</f>
        <v/>
      </c>
      <c r="L2127" s="17" t="n">
        <v>1</v>
      </c>
      <c r="M2127" s="11" t="n">
        <v>1</v>
      </c>
      <c r="N2127" s="17" t="n"/>
      <c r="O2127" s="17" t="n"/>
      <c r="P2127" s="17" t="n"/>
      <c r="Q2127" s="17" t="n"/>
      <c r="R2127" s="17" t="n"/>
      <c r="S2127" s="17" t="n"/>
      <c r="T2127" s="17" t="n"/>
      <c r="U2127" s="17" t="n"/>
      <c r="V2127" s="17" t="n"/>
      <c r="W2127" s="17" t="n">
        <v>0.85</v>
      </c>
      <c r="X2127" s="17" t="n">
        <v>0.15</v>
      </c>
      <c r="Y2127" s="17" t="n"/>
      <c r="Z2127" s="13">
        <f>SUMPRODUCT(N2127:Y2127,$N$2:$Y$2)*$K2127*$L2127*$M2127</f>
        <v/>
      </c>
      <c r="AA2127" s="14">
        <f>SUM(N2127:Y2127)</f>
        <v/>
      </c>
      <c r="AB2127" s="14">
        <f>IFERROR(IF(UPPER($E2127)="L",SUMPRODUCT(N2127:Y2127,$N$3:$Y$3,$N$2:$Y$2),SUMPRODUCT(N2127:Y2127,$N$4:$Y$4,$N$2:$Y$2))/(Z2127/($K2127*$L2127*$M2127)),"")</f>
        <v/>
      </c>
      <c r="AC2127" s="18" t="n"/>
    </row>
    <row r="2128">
      <c r="A2128" s="9" t="n">
        <v>699027</v>
      </c>
      <c r="B2128" s="9" t="inlineStr">
        <is>
          <t>José Suárez</t>
        </is>
      </c>
      <c r="C2128" s="9" t="inlineStr">
        <is>
          <t>STL</t>
        </is>
      </c>
      <c r="D2128" s="9" t="n">
        <v>25</v>
      </c>
      <c r="E2128" s="16" t="inlineStr">
        <is>
          <t>R</t>
        </is>
      </c>
      <c r="F2128" s="16" t="n"/>
      <c r="G2128" s="9" t="n">
        <v>77.74358974358975</v>
      </c>
      <c r="H2128" s="9" t="n">
        <v>77.74358974358975</v>
      </c>
      <c r="I2128" s="9" t="inlineStr">
        <is>
          <t>Depth (no MLB PA)</t>
        </is>
      </c>
      <c r="J2128" s="16" t="inlineStr">
        <is>
          <t>Opening Day</t>
        </is>
      </c>
      <c r="K2128" s="11">
        <f>IFERROR(INDEX(Roles!$B$17:$B$20,MATCH(J2128,Roles!$A$17:$A$20,0)),1)</f>
        <v/>
      </c>
      <c r="L2128" s="17" t="n">
        <v>1</v>
      </c>
      <c r="M2128" s="11" t="n">
        <v>1</v>
      </c>
      <c r="N2128" s="17" t="n"/>
      <c r="O2128" s="17" t="n"/>
      <c r="P2128" s="17" t="n"/>
      <c r="Q2128" s="17" t="n"/>
      <c r="R2128" s="17" t="n"/>
      <c r="S2128" s="17" t="n"/>
      <c r="T2128" s="17" t="n"/>
      <c r="U2128" s="17" t="n"/>
      <c r="V2128" s="17" t="n"/>
      <c r="W2128" s="17" t="n"/>
      <c r="X2128" s="17" t="n"/>
      <c r="Y2128" s="17" t="n">
        <v>1</v>
      </c>
      <c r="Z2128" s="13">
        <f>SUMPRODUCT(N2128:Y2128,$N$2:$Y$2)*$K2128*$L2128*$M2128</f>
        <v/>
      </c>
      <c r="AA2128" s="14">
        <f>SUM(N2128:Y2128)</f>
        <v/>
      </c>
      <c r="AB2128" s="14">
        <f>IFERROR(IF(UPPER($E2128)="L",SUMPRODUCT(N2128:Y2128,$N$3:$Y$3,$N$2:$Y$2),SUMPRODUCT(N2128:Y2128,$N$4:$Y$4,$N$2:$Y$2))/(Z2128/($K2128*$L2128*$M2128)),"")</f>
        <v/>
      </c>
      <c r="AC2128" s="18" t="n"/>
    </row>
    <row r="2129">
      <c r="A2129" s="9" t="n">
        <v>695763</v>
      </c>
      <c r="B2129" s="9" t="inlineStr">
        <is>
          <t>Sam Petersen</t>
        </is>
      </c>
      <c r="C2129" s="9" t="inlineStr">
        <is>
          <t>WSH</t>
        </is>
      </c>
      <c r="D2129" s="9" t="n">
        <v>24</v>
      </c>
      <c r="E2129" s="16" t="inlineStr">
        <is>
          <t>R</t>
        </is>
      </c>
      <c r="F2129" s="16" t="n"/>
      <c r="G2129" s="9" t="n">
        <v>82.92307692307693</v>
      </c>
      <c r="H2129" s="9" t="n">
        <v>82.92307692307693</v>
      </c>
      <c r="I2129" s="9" t="inlineStr">
        <is>
          <t>Depth (no MLB PA)</t>
        </is>
      </c>
      <c r="J2129" s="16" t="inlineStr">
        <is>
          <t>Opening Day</t>
        </is>
      </c>
      <c r="K2129" s="11">
        <f>IFERROR(INDEX(Roles!$B$17:$B$20,MATCH(J2129,Roles!$A$17:$A$20,0)),1)</f>
        <v/>
      </c>
      <c r="L2129" s="17" t="n">
        <v>1</v>
      </c>
      <c r="M2129" s="11" t="n">
        <v>1</v>
      </c>
      <c r="N2129" s="17" t="n"/>
      <c r="O2129" s="17" t="n"/>
      <c r="P2129" s="17" t="n"/>
      <c r="Q2129" s="17" t="n"/>
      <c r="R2129" s="17" t="n"/>
      <c r="S2129" s="17" t="n"/>
      <c r="T2129" s="17" t="n"/>
      <c r="U2129" s="17" t="n"/>
      <c r="V2129" s="17" t="n"/>
      <c r="W2129" s="17" t="n"/>
      <c r="X2129" s="17" t="n"/>
      <c r="Y2129" s="17" t="n">
        <v>1</v>
      </c>
      <c r="Z2129" s="13">
        <f>SUMPRODUCT(N2129:Y2129,$N$2:$Y$2)*$K2129*$L2129*$M2129</f>
        <v/>
      </c>
      <c r="AA2129" s="14">
        <f>SUM(N2129:Y2129)</f>
        <v/>
      </c>
      <c r="AB2129" s="14">
        <f>IFERROR(IF(UPPER($E2129)="L",SUMPRODUCT(N2129:Y2129,$N$3:$Y$3,$N$2:$Y$2),SUMPRODUCT(N2129:Y2129,$N$4:$Y$4,$N$2:$Y$2))/(Z2129/($K2129*$L2129*$M2129)),"")</f>
        <v/>
      </c>
      <c r="AC2129" s="18" t="n"/>
    </row>
    <row r="2130">
      <c r="A2130" s="9" t="n">
        <v>811764</v>
      </c>
      <c r="B2130" s="9" t="inlineStr">
        <is>
          <t>Cody Miller</t>
        </is>
      </c>
      <c r="C2130" s="9" t="inlineStr">
        <is>
          <t>ATL</t>
        </is>
      </c>
      <c r="D2130" s="9" t="n">
        <v>25</v>
      </c>
      <c r="E2130" s="16" t="inlineStr">
        <is>
          <t>R</t>
        </is>
      </c>
      <c r="F2130" s="16" t="n"/>
      <c r="G2130" s="9" t="n">
        <v>68.1025641025641</v>
      </c>
      <c r="H2130" s="9" t="n">
        <v>68.1025641025641</v>
      </c>
      <c r="I2130" s="9" t="inlineStr">
        <is>
          <t>Depth (no MLB PA)</t>
        </is>
      </c>
      <c r="J2130" s="16" t="inlineStr">
        <is>
          <t>Opening Day</t>
        </is>
      </c>
      <c r="K2130" s="11">
        <f>IFERROR(INDEX(Roles!$B$17:$B$20,MATCH(J2130,Roles!$A$17:$A$20,0)),1)</f>
        <v/>
      </c>
      <c r="L2130" s="17" t="n">
        <v>1</v>
      </c>
      <c r="M2130" s="11" t="n">
        <v>1</v>
      </c>
      <c r="N2130" s="17" t="n"/>
      <c r="O2130" s="17" t="n"/>
      <c r="P2130" s="17" t="n"/>
      <c r="Q2130" s="17" t="n"/>
      <c r="R2130" s="17" t="n"/>
      <c r="S2130" s="17" t="n"/>
      <c r="T2130" s="17" t="n"/>
      <c r="U2130" s="17" t="n"/>
      <c r="V2130" s="17" t="n"/>
      <c r="W2130" s="17" t="n"/>
      <c r="X2130" s="17" t="n"/>
      <c r="Y2130" s="17" t="n">
        <v>1</v>
      </c>
      <c r="Z2130" s="13">
        <f>SUMPRODUCT(N2130:Y2130,$N$2:$Y$2)*$K2130*$L2130*$M2130</f>
        <v/>
      </c>
      <c r="AA2130" s="14">
        <f>SUM(N2130:Y2130)</f>
        <v/>
      </c>
      <c r="AB2130" s="14">
        <f>IFERROR(IF(UPPER($E2130)="L",SUMPRODUCT(N2130:Y2130,$N$3:$Y$3,$N$2:$Y$2),SUMPRODUCT(N2130:Y2130,$N$4:$Y$4,$N$2:$Y$2))/(Z2130/($K2130*$L2130*$M2130)),"")</f>
        <v/>
      </c>
      <c r="AC2130" s="18" t="n"/>
    </row>
    <row r="2131">
      <c r="A2131" s="9" t="n">
        <v>686531</v>
      </c>
      <c r="B2131" s="9" t="inlineStr">
        <is>
          <t>Andre Lipcius</t>
        </is>
      </c>
      <c r="C2131" s="9" t="inlineStr">
        <is>
          <t>DET</t>
        </is>
      </c>
      <c r="D2131" s="9" t="n">
        <v>29</v>
      </c>
      <c r="E2131" s="16" t="inlineStr">
        <is>
          <t>R</t>
        </is>
      </c>
      <c r="F2131" s="16" t="inlineStr">
        <is>
          <t>3B</t>
        </is>
      </c>
      <c r="G2131" s="9" t="n">
        <v>38</v>
      </c>
      <c r="H2131" s="9" t="n">
        <v>38</v>
      </c>
      <c r="I2131" s="9" t="inlineStr">
        <is>
          <t>Depth (no MLB PA)</t>
        </is>
      </c>
      <c r="J2131" s="16" t="inlineStr">
        <is>
          <t>Opening Day</t>
        </is>
      </c>
      <c r="K2131" s="11">
        <f>IFERROR(INDEX(Roles!$B$17:$B$20,MATCH(J2131,Roles!$A$17:$A$20,0)),1)</f>
        <v/>
      </c>
      <c r="L2131" s="17" t="n">
        <v>1</v>
      </c>
      <c r="M2131" s="11" t="n">
        <v>1</v>
      </c>
      <c r="N2131" s="17" t="n"/>
      <c r="O2131" s="17" t="n"/>
      <c r="P2131" s="17" t="n"/>
      <c r="Q2131" s="17" t="n"/>
      <c r="R2131" s="17" t="n"/>
      <c r="S2131" s="17" t="n"/>
      <c r="T2131" s="17" t="n"/>
      <c r="U2131" s="17" t="n"/>
      <c r="V2131" s="17" t="n"/>
      <c r="W2131" s="17" t="n"/>
      <c r="X2131" s="17" t="n"/>
      <c r="Y2131" s="17" t="n">
        <v>1</v>
      </c>
      <c r="Z2131" s="13">
        <f>SUMPRODUCT(N2131:Y2131,$N$2:$Y$2)*$K2131*$L2131*$M2131</f>
        <v/>
      </c>
      <c r="AA2131" s="14">
        <f>SUM(N2131:Y2131)</f>
        <v/>
      </c>
      <c r="AB2131" s="14">
        <f>IFERROR(IF(UPPER($E2131)="L",SUMPRODUCT(N2131:Y2131,$N$3:$Y$3,$N$2:$Y$2),SUMPRODUCT(N2131:Y2131,$N$4:$Y$4,$N$2:$Y$2))/(Z2131/($K2131*$L2131*$M2131)),"")</f>
        <v/>
      </c>
      <c r="AC2131" s="18" t="n"/>
    </row>
    <row r="2132">
      <c r="A2132" s="9" t="n">
        <v>809633</v>
      </c>
      <c r="B2132" s="9" t="inlineStr">
        <is>
          <t>Michael Dattalo</t>
        </is>
      </c>
      <c r="C2132" s="9" t="inlineStr">
        <is>
          <t>STL</t>
        </is>
      </c>
      <c r="D2132" s="9" t="n">
        <v>25</v>
      </c>
      <c r="E2132" s="16" t="inlineStr">
        <is>
          <t>R</t>
        </is>
      </c>
      <c r="F2132" s="16" t="n"/>
      <c r="G2132" s="9" t="n">
        <v>38.76923076923077</v>
      </c>
      <c r="H2132" s="9" t="n">
        <v>38.76923076923077</v>
      </c>
      <c r="I2132" s="9" t="inlineStr">
        <is>
          <t>Depth (no MLB PA)</t>
        </is>
      </c>
      <c r="J2132" s="16" t="inlineStr">
        <is>
          <t>Opening Day</t>
        </is>
      </c>
      <c r="K2132" s="11">
        <f>IFERROR(INDEX(Roles!$B$17:$B$20,MATCH(J2132,Roles!$A$17:$A$20,0)),1)</f>
        <v/>
      </c>
      <c r="L2132" s="17" t="n">
        <v>1</v>
      </c>
      <c r="M2132" s="11" t="n">
        <v>1</v>
      </c>
      <c r="N2132" s="17" t="n"/>
      <c r="O2132" s="17" t="n"/>
      <c r="P2132" s="17" t="n"/>
      <c r="Q2132" s="17" t="n"/>
      <c r="R2132" s="17" t="n"/>
      <c r="S2132" s="17" t="n"/>
      <c r="T2132" s="17" t="n"/>
      <c r="U2132" s="17" t="n"/>
      <c r="V2132" s="17" t="n"/>
      <c r="W2132" s="17" t="n"/>
      <c r="X2132" s="17" t="n"/>
      <c r="Y2132" s="17" t="n">
        <v>1</v>
      </c>
      <c r="Z2132" s="13">
        <f>SUMPRODUCT(N2132:Y2132,$N$2:$Y$2)*$K2132*$L2132*$M2132</f>
        <v/>
      </c>
      <c r="AA2132" s="14">
        <f>SUM(N2132:Y2132)</f>
        <v/>
      </c>
      <c r="AB2132" s="14">
        <f>IFERROR(IF(UPPER($E2132)="L",SUMPRODUCT(N2132:Y2132,$N$3:$Y$3,$N$2:$Y$2),SUMPRODUCT(N2132:Y2132,$N$4:$Y$4,$N$2:$Y$2))/(Z2132/($K2132*$L2132*$M2132)),"")</f>
        <v/>
      </c>
      <c r="AC2132" s="18" t="n"/>
    </row>
    <row r="2133">
      <c r="A2133" s="9" t="n">
        <v>815654</v>
      </c>
      <c r="B2133" s="9" t="inlineStr">
        <is>
          <t>Eli Lovich</t>
        </is>
      </c>
      <c r="C2133" s="9" t="inlineStr">
        <is>
          <t>CHC</t>
        </is>
      </c>
      <c r="D2133" s="9" t="n">
        <v>25</v>
      </c>
      <c r="E2133" s="16" t="inlineStr">
        <is>
          <t>L</t>
        </is>
      </c>
      <c r="F2133" s="16" t="n"/>
      <c r="G2133" s="9" t="n">
        <v>51.93846153846154</v>
      </c>
      <c r="H2133" s="9" t="n">
        <v>51.93846153846154</v>
      </c>
      <c r="I2133" s="9" t="inlineStr">
        <is>
          <t>Depth (no MLB PA)</t>
        </is>
      </c>
      <c r="J2133" s="16" t="inlineStr">
        <is>
          <t>Opening Day</t>
        </is>
      </c>
      <c r="K2133" s="11">
        <f>IFERROR(INDEX(Roles!$B$17:$B$20,MATCH(J2133,Roles!$A$17:$A$20,0)),1)</f>
        <v/>
      </c>
      <c r="L2133" s="17" t="n">
        <v>1</v>
      </c>
      <c r="M2133" s="11" t="n">
        <v>1</v>
      </c>
      <c r="N2133" s="17" t="n"/>
      <c r="O2133" s="17" t="n"/>
      <c r="P2133" s="17" t="n"/>
      <c r="Q2133" s="17" t="n"/>
      <c r="R2133" s="17" t="n"/>
      <c r="S2133" s="17" t="n"/>
      <c r="T2133" s="17" t="n"/>
      <c r="U2133" s="17" t="n"/>
      <c r="V2133" s="17" t="n"/>
      <c r="W2133" s="17" t="n"/>
      <c r="X2133" s="17" t="n"/>
      <c r="Y2133" s="17" t="n">
        <v>1</v>
      </c>
      <c r="Z2133" s="13">
        <f>SUMPRODUCT(N2133:Y2133,$N$2:$Y$2)*$K2133*$L2133*$M2133</f>
        <v/>
      </c>
      <c r="AA2133" s="14">
        <f>SUM(N2133:Y2133)</f>
        <v/>
      </c>
      <c r="AB2133" s="14">
        <f>IFERROR(IF(UPPER($E2133)="L",SUMPRODUCT(N2133:Y2133,$N$3:$Y$3,$N$2:$Y$2),SUMPRODUCT(N2133:Y2133,$N$4:$Y$4,$N$2:$Y$2))/(Z2133/($K2133*$L2133*$M2133)),"")</f>
        <v/>
      </c>
      <c r="AC2133" s="18" t="n"/>
    </row>
    <row r="2134">
      <c r="A2134" s="9" t="n">
        <v>506702</v>
      </c>
      <c r="B2134" s="9" t="inlineStr">
        <is>
          <t>Sandy León</t>
        </is>
      </c>
      <c r="C2134" s="9" t="inlineStr">
        <is>
          <t>ATL</t>
        </is>
      </c>
      <c r="D2134" s="9" t="n">
        <v>38</v>
      </c>
      <c r="E2134" s="16" t="inlineStr">
        <is>
          <t>S</t>
        </is>
      </c>
      <c r="F2134" s="16" t="inlineStr">
        <is>
          <t>C</t>
        </is>
      </c>
      <c r="G2134" s="9" t="n">
        <v>44</v>
      </c>
      <c r="H2134" s="9" t="n">
        <v>186</v>
      </c>
      <c r="I2134" s="9" t="inlineStr">
        <is>
          <t>Catcher - Backup</t>
        </is>
      </c>
      <c r="J2134" s="16" t="inlineStr">
        <is>
          <t>Opening Day</t>
        </is>
      </c>
      <c r="K2134" s="11">
        <f>IFERROR(INDEX(Roles!$B$17:$B$20,MATCH(J2134,Roles!$A$17:$A$20,0)),1)</f>
        <v/>
      </c>
      <c r="L2134" s="17" t="n">
        <v>1</v>
      </c>
      <c r="M2134" s="11" t="n">
        <v>1</v>
      </c>
      <c r="N2134" s="17" t="n"/>
      <c r="O2134" s="17" t="n"/>
      <c r="P2134" s="17" t="n"/>
      <c r="Q2134" s="17" t="n"/>
      <c r="R2134" s="17" t="n"/>
      <c r="S2134" s="17" t="n"/>
      <c r="T2134" s="17" t="n">
        <v>1</v>
      </c>
      <c r="U2134" s="17" t="n"/>
      <c r="V2134" s="17" t="n"/>
      <c r="W2134" s="17" t="n"/>
      <c r="X2134" s="17" t="n"/>
      <c r="Y2134" s="17" t="n"/>
      <c r="Z2134" s="13">
        <f>SUMPRODUCT(N2134:Y2134,$N$2:$Y$2)*$K2134*$L2134*$M2134</f>
        <v/>
      </c>
      <c r="AA2134" s="14">
        <f>SUM(N2134:Y2134)</f>
        <v/>
      </c>
      <c r="AB2134" s="14">
        <f>IFERROR(IF(UPPER($E2134)="L",SUMPRODUCT(N2134:Y2134,$N$3:$Y$3,$N$2:$Y$2),SUMPRODUCT(N2134:Y2134,$N$4:$Y$4,$N$2:$Y$2))/(Z2134/($K2134*$L2134*$M2134)),"")</f>
        <v/>
      </c>
      <c r="AC2134" s="18" t="n"/>
    </row>
    <row r="2135">
      <c r="A2135" s="9" t="n">
        <v>666182</v>
      </c>
      <c r="B2135" s="9" t="inlineStr">
        <is>
          <t>Bo Bichette</t>
        </is>
      </c>
      <c r="C2135" s="9" t="inlineStr">
        <is>
          <t>NYM</t>
        </is>
      </c>
      <c r="D2135" s="9" t="n">
        <v>29</v>
      </c>
      <c r="E2135" s="16" t="inlineStr">
        <is>
          <t>R</t>
        </is>
      </c>
      <c r="F2135" s="16" t="inlineStr">
        <is>
          <t>3B</t>
        </is>
      </c>
      <c r="G2135" s="9" t="n">
        <v>696</v>
      </c>
      <c r="H2135" s="9" t="n">
        <v>2958</v>
      </c>
      <c r="I2135" s="9" t="inlineStr">
        <is>
          <t>Full Time</t>
        </is>
      </c>
      <c r="J2135" s="16" t="inlineStr">
        <is>
          <t>Opening Day</t>
        </is>
      </c>
      <c r="K2135" s="11">
        <f>IFERROR(INDEX(Roles!$B$17:$B$20,MATCH(J2135,Roles!$A$17:$A$20,0)),1)</f>
        <v/>
      </c>
      <c r="L2135" s="17" t="n">
        <v>1</v>
      </c>
      <c r="M2135" s="11" t="n">
        <v>1.093644085162348</v>
      </c>
      <c r="N2135" s="17" t="n">
        <v>1</v>
      </c>
      <c r="O2135" s="17" t="n"/>
      <c r="P2135" s="17" t="n"/>
      <c r="Q2135" s="17" t="n"/>
      <c r="R2135" s="17" t="n"/>
      <c r="S2135" s="17" t="n"/>
      <c r="T2135" s="17" t="n"/>
      <c r="U2135" s="17" t="n"/>
      <c r="V2135" s="17" t="n"/>
      <c r="W2135" s="17" t="n"/>
      <c r="X2135" s="17" t="n"/>
      <c r="Y2135" s="17" t="n"/>
      <c r="Z2135" s="13">
        <f>SUMPRODUCT(N2135:Y2135,$N$2:$Y$2)*$K2135*$L2135*$M2135</f>
        <v/>
      </c>
      <c r="AA2135" s="14">
        <f>SUM(N2135:Y2135)</f>
        <v/>
      </c>
      <c r="AB2135" s="14">
        <f>IFERROR(IF(UPPER($E2135)="L",SUMPRODUCT(N2135:Y2135,$N$3:$Y$3,$N$2:$Y$2),SUMPRODUCT(N2135:Y2135,$N$4:$Y$4,$N$2:$Y$2))/(Z2135/($K2135*$L2135*$M2135)),"")</f>
        <v/>
      </c>
      <c r="AC2135" s="18" t="n"/>
    </row>
    <row r="2136">
      <c r="A2136" s="9" t="n">
        <v>668776</v>
      </c>
      <c r="B2136" s="9" t="inlineStr">
        <is>
          <t>Devin Ortiz</t>
        </is>
      </c>
      <c r="C2136" s="9" t="inlineStr">
        <is>
          <t>WSH</t>
        </is>
      </c>
      <c r="D2136" s="9" t="n">
        <v>25</v>
      </c>
      <c r="E2136" s="16" t="inlineStr">
        <is>
          <t>R</t>
        </is>
      </c>
      <c r="F2136" s="16" t="n"/>
      <c r="G2136" s="9" t="n">
        <v>80.05128205128204</v>
      </c>
      <c r="H2136" s="9" t="n">
        <v>80.05128205128204</v>
      </c>
      <c r="I2136" s="9" t="inlineStr">
        <is>
          <t>Depth (no MLB PA)</t>
        </is>
      </c>
      <c r="J2136" s="16" t="inlineStr">
        <is>
          <t>Opening Day</t>
        </is>
      </c>
      <c r="K2136" s="11">
        <f>IFERROR(INDEX(Roles!$B$17:$B$20,MATCH(J2136,Roles!$A$17:$A$20,0)),1)</f>
        <v/>
      </c>
      <c r="L2136" s="17" t="n">
        <v>1</v>
      </c>
      <c r="M2136" s="11" t="n">
        <v>1</v>
      </c>
      <c r="N2136" s="17" t="n"/>
      <c r="O2136" s="17" t="n"/>
      <c r="P2136" s="17" t="n"/>
      <c r="Q2136" s="17" t="n"/>
      <c r="R2136" s="17" t="n"/>
      <c r="S2136" s="17" t="n"/>
      <c r="T2136" s="17" t="n"/>
      <c r="U2136" s="17" t="n"/>
      <c r="V2136" s="17" t="n"/>
      <c r="W2136" s="17" t="n"/>
      <c r="X2136" s="17" t="n"/>
      <c r="Y2136" s="17" t="n">
        <v>1</v>
      </c>
      <c r="Z2136" s="13">
        <f>SUMPRODUCT(N2136:Y2136,$N$2:$Y$2)*$K2136*$L2136*$M2136</f>
        <v/>
      </c>
      <c r="AA2136" s="14">
        <f>SUM(N2136:Y2136)</f>
        <v/>
      </c>
      <c r="AB2136" s="14">
        <f>IFERROR(IF(UPPER($E2136)="L",SUMPRODUCT(N2136:Y2136,$N$3:$Y$3,$N$2:$Y$2),SUMPRODUCT(N2136:Y2136,$N$4:$Y$4,$N$2:$Y$2))/(Z2136/($K2136*$L2136*$M2136)),"")</f>
        <v/>
      </c>
      <c r="AC2136" s="18" t="n"/>
    </row>
    <row r="2137">
      <c r="A2137" s="9" t="n">
        <v>815894</v>
      </c>
      <c r="B2137" s="9" t="inlineStr">
        <is>
          <t>Jorge Quintana</t>
        </is>
      </c>
      <c r="C2137" s="9" t="inlineStr">
        <is>
          <t>SD</t>
        </is>
      </c>
      <c r="D2137" s="9" t="n">
        <v>25</v>
      </c>
      <c r="E2137" s="16" t="inlineStr">
        <is>
          <t>S</t>
        </is>
      </c>
      <c r="F2137" s="16" t="n"/>
      <c r="G2137" s="9" t="n">
        <v>53.29230769230769</v>
      </c>
      <c r="H2137" s="9" t="n">
        <v>53.29230769230769</v>
      </c>
      <c r="I2137" s="9" t="inlineStr">
        <is>
          <t>Depth (no MLB PA)</t>
        </is>
      </c>
      <c r="J2137" s="16" t="inlineStr">
        <is>
          <t>Opening Day</t>
        </is>
      </c>
      <c r="K2137" s="11">
        <f>IFERROR(INDEX(Roles!$B$17:$B$20,MATCH(J2137,Roles!$A$17:$A$20,0)),1)</f>
        <v/>
      </c>
      <c r="L2137" s="17" t="n">
        <v>1</v>
      </c>
      <c r="M2137" s="11" t="n">
        <v>1</v>
      </c>
      <c r="N2137" s="17" t="n"/>
      <c r="O2137" s="17" t="n"/>
      <c r="P2137" s="17" t="n"/>
      <c r="Q2137" s="17" t="n"/>
      <c r="R2137" s="17" t="n"/>
      <c r="S2137" s="17" t="n"/>
      <c r="T2137" s="17" t="n"/>
      <c r="U2137" s="17" t="n"/>
      <c r="V2137" s="17" t="n"/>
      <c r="W2137" s="17" t="n"/>
      <c r="X2137" s="17" t="n"/>
      <c r="Y2137" s="17" t="n">
        <v>1</v>
      </c>
      <c r="Z2137" s="13">
        <f>SUMPRODUCT(N2137:Y2137,$N$2:$Y$2)*$K2137*$L2137*$M2137</f>
        <v/>
      </c>
      <c r="AA2137" s="14">
        <f>SUM(N2137:Y2137)</f>
        <v/>
      </c>
      <c r="AB2137" s="14">
        <f>IFERROR(IF(UPPER($E2137)="L",SUMPRODUCT(N2137:Y2137,$N$3:$Y$3,$N$2:$Y$2),SUMPRODUCT(N2137:Y2137,$N$4:$Y$4,$N$2:$Y$2))/(Z2137/($K2137*$L2137*$M2137)),"")</f>
        <v/>
      </c>
      <c r="AC2137" s="18" t="n"/>
    </row>
    <row r="2138">
      <c r="A2138" s="9" t="n">
        <v>665120</v>
      </c>
      <c r="B2138" s="9" t="inlineStr">
        <is>
          <t>Jared Walsh</t>
        </is>
      </c>
      <c r="C2138" s="9" t="inlineStr">
        <is>
          <t>TEX</t>
        </is>
      </c>
      <c r="D2138" s="9" t="n">
        <v>33</v>
      </c>
      <c r="E2138" s="16" t="inlineStr">
        <is>
          <t>L</t>
        </is>
      </c>
      <c r="F2138" s="16" t="inlineStr">
        <is>
          <t>1B</t>
        </is>
      </c>
      <c r="G2138" s="9" t="n">
        <v>60</v>
      </c>
      <c r="H2138" s="9" t="n">
        <v>630</v>
      </c>
      <c r="I2138" s="9" t="inlineStr">
        <is>
          <t>Depth (no MLB PA)</t>
        </is>
      </c>
      <c r="J2138" s="16" t="inlineStr">
        <is>
          <t>Opening Day</t>
        </is>
      </c>
      <c r="K2138" s="11">
        <f>IFERROR(INDEX(Roles!$B$17:$B$20,MATCH(J2138,Roles!$A$17:$A$20,0)),1)</f>
        <v/>
      </c>
      <c r="L2138" s="17" t="n">
        <v>1</v>
      </c>
      <c r="M2138" s="11" t="n">
        <v>1</v>
      </c>
      <c r="N2138" s="17" t="n"/>
      <c r="O2138" s="17" t="n"/>
      <c r="P2138" s="17" t="n"/>
      <c r="Q2138" s="17" t="n"/>
      <c r="R2138" s="17" t="n"/>
      <c r="S2138" s="17" t="n"/>
      <c r="T2138" s="17" t="n"/>
      <c r="U2138" s="17" t="n"/>
      <c r="V2138" s="17" t="n"/>
      <c r="W2138" s="17" t="n"/>
      <c r="X2138" s="17" t="n"/>
      <c r="Y2138" s="17" t="n">
        <v>1</v>
      </c>
      <c r="Z2138" s="13">
        <f>SUMPRODUCT(N2138:Y2138,$N$2:$Y$2)*$K2138*$L2138*$M2138</f>
        <v/>
      </c>
      <c r="AA2138" s="14">
        <f>SUM(N2138:Y2138)</f>
        <v/>
      </c>
      <c r="AB2138" s="14">
        <f>IFERROR(IF(UPPER($E2138)="L",SUMPRODUCT(N2138:Y2138,$N$3:$Y$3,$N$2:$Y$2),SUMPRODUCT(N2138:Y2138,$N$4:$Y$4,$N$2:$Y$2))/(Z2138/($K2138*$L2138*$M2138)),"")</f>
        <v/>
      </c>
      <c r="AC2138" s="18" t="n"/>
    </row>
    <row r="2139">
      <c r="A2139" s="9" t="n">
        <v>828237</v>
      </c>
      <c r="B2139" s="9" t="inlineStr">
        <is>
          <t>Cooper Flemming</t>
        </is>
      </c>
      <c r="C2139" s="9" t="inlineStr">
        <is>
          <t>TB</t>
        </is>
      </c>
      <c r="D2139" s="9" t="n">
        <v>21</v>
      </c>
      <c r="E2139" s="16" t="inlineStr">
        <is>
          <t>L</t>
        </is>
      </c>
      <c r="F2139" s="16" t="n"/>
      <c r="G2139" s="9" t="n">
        <v>61.29230769230769</v>
      </c>
      <c r="H2139" s="9" t="n">
        <v>61.29230769230769</v>
      </c>
      <c r="I2139" s="9" t="inlineStr">
        <is>
          <t>Depth (no MLB PA)</t>
        </is>
      </c>
      <c r="J2139" s="16" t="inlineStr">
        <is>
          <t>Opening Day</t>
        </is>
      </c>
      <c r="K2139" s="11">
        <f>IFERROR(INDEX(Roles!$B$17:$B$20,MATCH(J2139,Roles!$A$17:$A$20,0)),1)</f>
        <v/>
      </c>
      <c r="L2139" s="17" t="n">
        <v>1</v>
      </c>
      <c r="M2139" s="11" t="n">
        <v>1</v>
      </c>
      <c r="N2139" s="17" t="n"/>
      <c r="O2139" s="17" t="n"/>
      <c r="P2139" s="17" t="n"/>
      <c r="Q2139" s="17" t="n"/>
      <c r="R2139" s="17" t="n"/>
      <c r="S2139" s="17" t="n"/>
      <c r="T2139" s="17" t="n"/>
      <c r="U2139" s="17" t="n"/>
      <c r="V2139" s="17" t="n"/>
      <c r="W2139" s="17" t="n"/>
      <c r="X2139" s="17" t="n"/>
      <c r="Y2139" s="17" t="n">
        <v>1</v>
      </c>
      <c r="Z2139" s="13">
        <f>SUMPRODUCT(N2139:Y2139,$N$2:$Y$2)*$K2139*$L2139*$M2139</f>
        <v/>
      </c>
      <c r="AA2139" s="14">
        <f>SUM(N2139:Y2139)</f>
        <v/>
      </c>
      <c r="AB2139" s="14">
        <f>IFERROR(IF(UPPER($E2139)="L",SUMPRODUCT(N2139:Y2139,$N$3:$Y$3,$N$2:$Y$2),SUMPRODUCT(N2139:Y2139,$N$4:$Y$4,$N$2:$Y$2))/(Z2139/($K2139*$L2139*$M2139)),"")</f>
        <v/>
      </c>
      <c r="AC2139" s="18" t="n"/>
    </row>
    <row r="2140">
      <c r="A2140" s="9" t="n">
        <v>680518</v>
      </c>
      <c r="B2140" s="9" t="inlineStr">
        <is>
          <t>Zavier Warren</t>
        </is>
      </c>
      <c r="C2140" s="9" t="inlineStr">
        <is>
          <t>CIN</t>
        </is>
      </c>
      <c r="D2140" s="9" t="n">
        <v>25</v>
      </c>
      <c r="E2140" s="16" t="inlineStr">
        <is>
          <t>S</t>
        </is>
      </c>
      <c r="F2140" s="16" t="n"/>
      <c r="G2140" s="9" t="n">
        <v>79.33333333333333</v>
      </c>
      <c r="H2140" s="9" t="n">
        <v>79.33333333333333</v>
      </c>
      <c r="I2140" s="9" t="inlineStr">
        <is>
          <t>Depth (no MLB PA)</t>
        </is>
      </c>
      <c r="J2140" s="16" t="inlineStr">
        <is>
          <t>Opening Day</t>
        </is>
      </c>
      <c r="K2140" s="11">
        <f>IFERROR(INDEX(Roles!$B$17:$B$20,MATCH(J2140,Roles!$A$17:$A$20,0)),1)</f>
        <v/>
      </c>
      <c r="L2140" s="17" t="n">
        <v>1</v>
      </c>
      <c r="M2140" s="11" t="n">
        <v>1</v>
      </c>
      <c r="N2140" s="17" t="n"/>
      <c r="O2140" s="17" t="n"/>
      <c r="P2140" s="17" t="n"/>
      <c r="Q2140" s="17" t="n"/>
      <c r="R2140" s="17" t="n"/>
      <c r="S2140" s="17" t="n"/>
      <c r="T2140" s="17" t="n"/>
      <c r="U2140" s="17" t="n"/>
      <c r="V2140" s="17" t="n"/>
      <c r="W2140" s="17" t="n"/>
      <c r="X2140" s="17" t="n"/>
      <c r="Y2140" s="17" t="n">
        <v>1</v>
      </c>
      <c r="Z2140" s="13">
        <f>SUMPRODUCT(N2140:Y2140,$N$2:$Y$2)*$K2140*$L2140*$M2140</f>
        <v/>
      </c>
      <c r="AA2140" s="14">
        <f>SUM(N2140:Y2140)</f>
        <v/>
      </c>
      <c r="AB2140" s="14">
        <f>IFERROR(IF(UPPER($E2140)="L",SUMPRODUCT(N2140:Y2140,$N$3:$Y$3,$N$2:$Y$2),SUMPRODUCT(N2140:Y2140,$N$4:$Y$4,$N$2:$Y$2))/(Z2140/($K2140*$L2140*$M2140)),"")</f>
        <v/>
      </c>
      <c r="AC2140" s="18" t="n"/>
    </row>
    <row r="2141">
      <c r="A2141" s="9" t="n">
        <v>803131</v>
      </c>
      <c r="B2141" s="9" t="inlineStr">
        <is>
          <t>Camden Troyer</t>
        </is>
      </c>
      <c r="C2141" s="9" t="inlineStr">
        <is>
          <t>NYY</t>
        </is>
      </c>
      <c r="D2141" s="9" t="n">
        <v>25</v>
      </c>
      <c r="E2141" s="16" t="inlineStr">
        <is>
          <t>L</t>
        </is>
      </c>
      <c r="F2141" s="16" t="n"/>
      <c r="G2141" s="9" t="n">
        <v>75.8974358974359</v>
      </c>
      <c r="H2141" s="9" t="n">
        <v>75.8974358974359</v>
      </c>
      <c r="I2141" s="9" t="inlineStr">
        <is>
          <t>Depth (no MLB PA)</t>
        </is>
      </c>
      <c r="J2141" s="16" t="inlineStr">
        <is>
          <t>Opening Day</t>
        </is>
      </c>
      <c r="K2141" s="11">
        <f>IFERROR(INDEX(Roles!$B$17:$B$20,MATCH(J2141,Roles!$A$17:$A$20,0)),1)</f>
        <v/>
      </c>
      <c r="L2141" s="17" t="n">
        <v>1</v>
      </c>
      <c r="M2141" s="11" t="n">
        <v>1</v>
      </c>
      <c r="N2141" s="17" t="n"/>
      <c r="O2141" s="17" t="n"/>
      <c r="P2141" s="17" t="n"/>
      <c r="Q2141" s="17" t="n"/>
      <c r="R2141" s="17" t="n"/>
      <c r="S2141" s="17" t="n"/>
      <c r="T2141" s="17" t="n"/>
      <c r="U2141" s="17" t="n"/>
      <c r="V2141" s="17" t="n"/>
      <c r="W2141" s="17" t="n"/>
      <c r="X2141" s="17" t="n"/>
      <c r="Y2141" s="17" t="n">
        <v>1</v>
      </c>
      <c r="Z2141" s="13">
        <f>SUMPRODUCT(N2141:Y2141,$N$2:$Y$2)*$K2141*$L2141*$M2141</f>
        <v/>
      </c>
      <c r="AA2141" s="14">
        <f>SUM(N2141:Y2141)</f>
        <v/>
      </c>
      <c r="AB2141" s="14">
        <f>IFERROR(IF(UPPER($E2141)="L",SUMPRODUCT(N2141:Y2141,$N$3:$Y$3,$N$2:$Y$2),SUMPRODUCT(N2141:Y2141,$N$4:$Y$4,$N$2:$Y$2))/(Z2141/($K2141*$L2141*$M2141)),"")</f>
        <v/>
      </c>
      <c r="AC2141" s="18" t="n"/>
    </row>
    <row r="2142">
      <c r="A2142" s="9" t="n">
        <v>677342</v>
      </c>
      <c r="B2142" s="9" t="inlineStr">
        <is>
          <t>Brock Jones</t>
        </is>
      </c>
      <c r="C2142" s="9" t="inlineStr">
        <is>
          <t>TB</t>
        </is>
      </c>
      <c r="D2142" s="9" t="n">
        <v>25</v>
      </c>
      <c r="E2142" s="16" t="inlineStr">
        <is>
          <t>L</t>
        </is>
      </c>
      <c r="F2142" s="16" t="n"/>
      <c r="G2142" s="9" t="n">
        <v>95.89743589743593</v>
      </c>
      <c r="H2142" s="9" t="n">
        <v>95.89743589743593</v>
      </c>
      <c r="I2142" s="9" t="inlineStr">
        <is>
          <t>Depth (no MLB PA)</t>
        </is>
      </c>
      <c r="J2142" s="16" t="inlineStr">
        <is>
          <t>Opening Day</t>
        </is>
      </c>
      <c r="K2142" s="11">
        <f>IFERROR(INDEX(Roles!$B$17:$B$20,MATCH(J2142,Roles!$A$17:$A$20,0)),1)</f>
        <v/>
      </c>
      <c r="L2142" s="17" t="n">
        <v>1</v>
      </c>
      <c r="M2142" s="11" t="n">
        <v>1</v>
      </c>
      <c r="N2142" s="17" t="n"/>
      <c r="O2142" s="17" t="n"/>
      <c r="P2142" s="17" t="n"/>
      <c r="Q2142" s="17" t="n"/>
      <c r="R2142" s="17" t="n"/>
      <c r="S2142" s="17" t="n"/>
      <c r="T2142" s="17" t="n"/>
      <c r="U2142" s="17" t="n"/>
      <c r="V2142" s="17" t="n"/>
      <c r="W2142" s="17" t="n"/>
      <c r="X2142" s="17" t="n"/>
      <c r="Y2142" s="17" t="n">
        <v>1</v>
      </c>
      <c r="Z2142" s="13">
        <f>SUMPRODUCT(N2142:Y2142,$N$2:$Y$2)*$K2142*$L2142*$M2142</f>
        <v/>
      </c>
      <c r="AA2142" s="14">
        <f>SUM(N2142:Y2142)</f>
        <v/>
      </c>
      <c r="AB2142" s="14">
        <f>IFERROR(IF(UPPER($E2142)="L",SUMPRODUCT(N2142:Y2142,$N$3:$Y$3,$N$2:$Y$2),SUMPRODUCT(N2142:Y2142,$N$4:$Y$4,$N$2:$Y$2))/(Z2142/($K2142*$L2142*$M2142)),"")</f>
        <v/>
      </c>
      <c r="AC2142" s="18" t="n"/>
    </row>
    <row r="2143">
      <c r="A2143" s="9" t="n">
        <v>813715</v>
      </c>
      <c r="B2143" s="9" t="inlineStr">
        <is>
          <t>Khadim Diaw</t>
        </is>
      </c>
      <c r="C2143" s="9" t="inlineStr">
        <is>
          <t>MIN</t>
        </is>
      </c>
      <c r="D2143" s="9" t="n">
        <v>25</v>
      </c>
      <c r="E2143" s="16" t="inlineStr">
        <is>
          <t>R</t>
        </is>
      </c>
      <c r="F2143" s="16" t="n"/>
      <c r="G2143" s="9" t="n">
        <v>75.74358974358974</v>
      </c>
      <c r="H2143" s="9" t="n">
        <v>75.74358974358974</v>
      </c>
      <c r="I2143" s="9" t="inlineStr">
        <is>
          <t>Depth (no MLB PA)</t>
        </is>
      </c>
      <c r="J2143" s="16" t="inlineStr">
        <is>
          <t>Opening Day</t>
        </is>
      </c>
      <c r="K2143" s="11">
        <f>IFERROR(INDEX(Roles!$B$17:$B$20,MATCH(J2143,Roles!$A$17:$A$20,0)),1)</f>
        <v/>
      </c>
      <c r="L2143" s="17" t="n">
        <v>1</v>
      </c>
      <c r="M2143" s="11" t="n">
        <v>1</v>
      </c>
      <c r="N2143" s="17" t="n"/>
      <c r="O2143" s="17" t="n"/>
      <c r="P2143" s="17" t="n"/>
      <c r="Q2143" s="17" t="n"/>
      <c r="R2143" s="17" t="n"/>
      <c r="S2143" s="17" t="n"/>
      <c r="T2143" s="17" t="n"/>
      <c r="U2143" s="17" t="n"/>
      <c r="V2143" s="17" t="n"/>
      <c r="W2143" s="17" t="n"/>
      <c r="X2143" s="17" t="n"/>
      <c r="Y2143" s="17" t="n">
        <v>1</v>
      </c>
      <c r="Z2143" s="13">
        <f>SUMPRODUCT(N2143:Y2143,$N$2:$Y$2)*$K2143*$L2143*$M2143</f>
        <v/>
      </c>
      <c r="AA2143" s="14">
        <f>SUM(N2143:Y2143)</f>
        <v/>
      </c>
      <c r="AB2143" s="14">
        <f>IFERROR(IF(UPPER($E2143)="L",SUMPRODUCT(N2143:Y2143,$N$3:$Y$3,$N$2:$Y$2),SUMPRODUCT(N2143:Y2143,$N$4:$Y$4,$N$2:$Y$2))/(Z2143/($K2143*$L2143*$M2143)),"")</f>
        <v/>
      </c>
      <c r="AC2143" s="18" t="n"/>
    </row>
    <row r="2144">
      <c r="A2144" s="9" t="n">
        <v>703715</v>
      </c>
      <c r="B2144" s="9" t="inlineStr">
        <is>
          <t>Wyatt Hoffman</t>
        </is>
      </c>
      <c r="C2144" s="9" t="inlineStr">
        <is>
          <t>SD</t>
        </is>
      </c>
      <c r="D2144" s="9" t="n">
        <v>25</v>
      </c>
      <c r="E2144" s="16" t="inlineStr">
        <is>
          <t>R</t>
        </is>
      </c>
      <c r="F2144" s="16" t="n"/>
      <c r="G2144" s="9" t="n">
        <v>41.28205128205128</v>
      </c>
      <c r="H2144" s="9" t="n">
        <v>41.28205128205128</v>
      </c>
      <c r="I2144" s="9" t="inlineStr">
        <is>
          <t>Depth (no MLB PA)</t>
        </is>
      </c>
      <c r="J2144" s="16" t="inlineStr">
        <is>
          <t>Opening Day</t>
        </is>
      </c>
      <c r="K2144" s="11">
        <f>IFERROR(INDEX(Roles!$B$17:$B$20,MATCH(J2144,Roles!$A$17:$A$20,0)),1)</f>
        <v/>
      </c>
      <c r="L2144" s="17" t="n">
        <v>1</v>
      </c>
      <c r="M2144" s="11" t="n">
        <v>1</v>
      </c>
      <c r="N2144" s="17" t="n"/>
      <c r="O2144" s="17" t="n"/>
      <c r="P2144" s="17" t="n"/>
      <c r="Q2144" s="17" t="n"/>
      <c r="R2144" s="17" t="n"/>
      <c r="S2144" s="17" t="n"/>
      <c r="T2144" s="17" t="n"/>
      <c r="U2144" s="17" t="n"/>
      <c r="V2144" s="17" t="n"/>
      <c r="W2144" s="17" t="n"/>
      <c r="X2144" s="17" t="n"/>
      <c r="Y2144" s="17" t="n">
        <v>1</v>
      </c>
      <c r="Z2144" s="13">
        <f>SUMPRODUCT(N2144:Y2144,$N$2:$Y$2)*$K2144*$L2144*$M2144</f>
        <v/>
      </c>
      <c r="AA2144" s="14">
        <f>SUM(N2144:Y2144)</f>
        <v/>
      </c>
      <c r="AB2144" s="14">
        <f>IFERROR(IF(UPPER($E2144)="L",SUMPRODUCT(N2144:Y2144,$N$3:$Y$3,$N$2:$Y$2),SUMPRODUCT(N2144:Y2144,$N$4:$Y$4,$N$2:$Y$2))/(Z2144/($K2144*$L2144*$M2144)),"")</f>
        <v/>
      </c>
      <c r="AC2144" s="18" t="n"/>
    </row>
    <row r="2145">
      <c r="A2145" s="9" t="n">
        <v>826928</v>
      </c>
      <c r="B2145" s="9" t="inlineStr">
        <is>
          <t>Owen Carey</t>
        </is>
      </c>
      <c r="C2145" s="9" t="inlineStr">
        <is>
          <t>ATL</t>
        </is>
      </c>
      <c r="D2145" s="9" t="n">
        <v>21</v>
      </c>
      <c r="E2145" s="16" t="inlineStr">
        <is>
          <t>L</t>
        </is>
      </c>
      <c r="F2145" s="16" t="n"/>
      <c r="G2145" s="9" t="n">
        <v>52.41025641025641</v>
      </c>
      <c r="H2145" s="9" t="n">
        <v>52.41025641025641</v>
      </c>
      <c r="I2145" s="9" t="inlineStr">
        <is>
          <t>Depth (no MLB PA)</t>
        </is>
      </c>
      <c r="J2145" s="16" t="inlineStr">
        <is>
          <t>Opening Day</t>
        </is>
      </c>
      <c r="K2145" s="11">
        <f>IFERROR(INDEX(Roles!$B$17:$B$20,MATCH(J2145,Roles!$A$17:$A$20,0)),1)</f>
        <v/>
      </c>
      <c r="L2145" s="17" t="n">
        <v>1</v>
      </c>
      <c r="M2145" s="11" t="n">
        <v>1</v>
      </c>
      <c r="N2145" s="17" t="n"/>
      <c r="O2145" s="17" t="n"/>
      <c r="P2145" s="17" t="n"/>
      <c r="Q2145" s="17" t="n"/>
      <c r="R2145" s="17" t="n"/>
      <c r="S2145" s="17" t="n"/>
      <c r="T2145" s="17" t="n"/>
      <c r="U2145" s="17" t="n"/>
      <c r="V2145" s="17" t="n"/>
      <c r="W2145" s="17" t="n"/>
      <c r="X2145" s="17" t="n"/>
      <c r="Y2145" s="17" t="n">
        <v>1</v>
      </c>
      <c r="Z2145" s="13">
        <f>SUMPRODUCT(N2145:Y2145,$N$2:$Y$2)*$K2145*$L2145*$M2145</f>
        <v/>
      </c>
      <c r="AA2145" s="14">
        <f>SUM(N2145:Y2145)</f>
        <v/>
      </c>
      <c r="AB2145" s="14">
        <f>IFERROR(IF(UPPER($E2145)="L",SUMPRODUCT(N2145:Y2145,$N$3:$Y$3,$N$2:$Y$2),SUMPRODUCT(N2145:Y2145,$N$4:$Y$4,$N$2:$Y$2))/(Z2145/($K2145*$L2145*$M2145)),"")</f>
        <v/>
      </c>
      <c r="AC2145" s="18" t="n"/>
    </row>
    <row r="2146">
      <c r="A2146" s="9" t="n">
        <v>815617</v>
      </c>
      <c r="B2146" s="9" t="inlineStr">
        <is>
          <t>Kayson Cunningham</t>
        </is>
      </c>
      <c r="C2146" s="9" t="inlineStr">
        <is>
          <t>ARI</t>
        </is>
      </c>
      <c r="D2146" s="9" t="n">
        <v>21</v>
      </c>
      <c r="E2146" s="16" t="inlineStr">
        <is>
          <t>L</t>
        </is>
      </c>
      <c r="F2146" s="16" t="n"/>
      <c r="G2146" s="9" t="n">
        <v>56.82051282051282</v>
      </c>
      <c r="H2146" s="9" t="n">
        <v>56.82051282051282</v>
      </c>
      <c r="I2146" s="9" t="inlineStr">
        <is>
          <t>Depth (no MLB PA)</t>
        </is>
      </c>
      <c r="J2146" s="16" t="inlineStr">
        <is>
          <t>Opening Day</t>
        </is>
      </c>
      <c r="K2146" s="11">
        <f>IFERROR(INDEX(Roles!$B$17:$B$20,MATCH(J2146,Roles!$A$17:$A$20,0)),1)</f>
        <v/>
      </c>
      <c r="L2146" s="17" t="n">
        <v>1</v>
      </c>
      <c r="M2146" s="11" t="n">
        <v>1</v>
      </c>
      <c r="N2146" s="17" t="n"/>
      <c r="O2146" s="17" t="n"/>
      <c r="P2146" s="17" t="n"/>
      <c r="Q2146" s="17" t="n"/>
      <c r="R2146" s="17" t="n"/>
      <c r="S2146" s="17" t="n"/>
      <c r="T2146" s="17" t="n"/>
      <c r="U2146" s="17" t="n"/>
      <c r="V2146" s="17" t="n"/>
      <c r="W2146" s="17" t="n"/>
      <c r="X2146" s="17" t="n"/>
      <c r="Y2146" s="17" t="n">
        <v>1</v>
      </c>
      <c r="Z2146" s="13">
        <f>SUMPRODUCT(N2146:Y2146,$N$2:$Y$2)*$K2146*$L2146*$M2146</f>
        <v/>
      </c>
      <c r="AA2146" s="14">
        <f>SUM(N2146:Y2146)</f>
        <v/>
      </c>
      <c r="AB2146" s="14">
        <f>IFERROR(IF(UPPER($E2146)="L",SUMPRODUCT(N2146:Y2146,$N$3:$Y$3,$N$2:$Y$2),SUMPRODUCT(N2146:Y2146,$N$4:$Y$4,$N$2:$Y$2))/(Z2146/($K2146*$L2146*$M2146)),"")</f>
        <v/>
      </c>
      <c r="AC2146" s="18" t="n"/>
    </row>
    <row r="2147">
      <c r="A2147" s="9" t="n">
        <v>694541</v>
      </c>
      <c r="B2147" s="9" t="inlineStr">
        <is>
          <t>Alan Espinal</t>
        </is>
      </c>
      <c r="C2147" s="9" t="inlineStr">
        <is>
          <t>COL</t>
        </is>
      </c>
      <c r="D2147" s="9" t="n">
        <v>25</v>
      </c>
      <c r="E2147" s="16" t="inlineStr">
        <is>
          <t>R</t>
        </is>
      </c>
      <c r="F2147" s="16" t="n"/>
      <c r="G2147" s="9" t="n">
        <v>68.71794871794872</v>
      </c>
      <c r="H2147" s="9" t="n">
        <v>68.71794871794872</v>
      </c>
      <c r="I2147" s="9" t="inlineStr">
        <is>
          <t>Depth (no MLB PA)</t>
        </is>
      </c>
      <c r="J2147" s="16" t="inlineStr">
        <is>
          <t>Opening Day</t>
        </is>
      </c>
      <c r="K2147" s="11">
        <f>IFERROR(INDEX(Roles!$B$17:$B$20,MATCH(J2147,Roles!$A$17:$A$20,0)),1)</f>
        <v/>
      </c>
      <c r="L2147" s="17" t="n">
        <v>1</v>
      </c>
      <c r="M2147" s="11" t="n">
        <v>1</v>
      </c>
      <c r="N2147" s="17" t="n"/>
      <c r="O2147" s="17" t="n"/>
      <c r="P2147" s="17" t="n"/>
      <c r="Q2147" s="17" t="n"/>
      <c r="R2147" s="17" t="n"/>
      <c r="S2147" s="17" t="n"/>
      <c r="T2147" s="17" t="n"/>
      <c r="U2147" s="17" t="n"/>
      <c r="V2147" s="17" t="n"/>
      <c r="W2147" s="17" t="n"/>
      <c r="X2147" s="17" t="n"/>
      <c r="Y2147" s="17" t="n">
        <v>1</v>
      </c>
      <c r="Z2147" s="13">
        <f>SUMPRODUCT(N2147:Y2147,$N$2:$Y$2)*$K2147*$L2147*$M2147</f>
        <v/>
      </c>
      <c r="AA2147" s="14">
        <f>SUM(N2147:Y2147)</f>
        <v/>
      </c>
      <c r="AB2147" s="14">
        <f>IFERROR(IF(UPPER($E2147)="L",SUMPRODUCT(N2147:Y2147,$N$3:$Y$3,$N$2:$Y$2),SUMPRODUCT(N2147:Y2147,$N$4:$Y$4,$N$2:$Y$2))/(Z2147/($K2147*$L2147*$M2147)),"")</f>
        <v/>
      </c>
      <c r="AC2147" s="18" t="n"/>
    </row>
    <row r="2148">
      <c r="A2148" s="9" t="n">
        <v>805950</v>
      </c>
      <c r="B2148" s="9" t="inlineStr">
        <is>
          <t>Antonis Macias</t>
        </is>
      </c>
      <c r="C2148" s="9" t="inlineStr">
        <is>
          <t>TEX</t>
        </is>
      </c>
      <c r="D2148" s="9" t="n">
        <v>25</v>
      </c>
      <c r="E2148" s="16" t="inlineStr">
        <is>
          <t>L</t>
        </is>
      </c>
      <c r="F2148" s="16" t="n"/>
      <c r="G2148" s="9" t="n">
        <v>77.94871794871796</v>
      </c>
      <c r="H2148" s="9" t="n">
        <v>77.94871794871796</v>
      </c>
      <c r="I2148" s="9" t="inlineStr">
        <is>
          <t>Depth (no MLB PA)</t>
        </is>
      </c>
      <c r="J2148" s="16" t="inlineStr">
        <is>
          <t>Opening Day</t>
        </is>
      </c>
      <c r="K2148" s="11">
        <f>IFERROR(INDEX(Roles!$B$17:$B$20,MATCH(J2148,Roles!$A$17:$A$20,0)),1)</f>
        <v/>
      </c>
      <c r="L2148" s="17" t="n">
        <v>1</v>
      </c>
      <c r="M2148" s="11" t="n">
        <v>1</v>
      </c>
      <c r="N2148" s="17" t="n"/>
      <c r="O2148" s="17" t="n"/>
      <c r="P2148" s="17" t="n"/>
      <c r="Q2148" s="17" t="n"/>
      <c r="R2148" s="17" t="n"/>
      <c r="S2148" s="17" t="n"/>
      <c r="T2148" s="17" t="n"/>
      <c r="U2148" s="17" t="n"/>
      <c r="V2148" s="17" t="n"/>
      <c r="W2148" s="17" t="n"/>
      <c r="X2148" s="17" t="n"/>
      <c r="Y2148" s="17" t="n">
        <v>1</v>
      </c>
      <c r="Z2148" s="13">
        <f>SUMPRODUCT(N2148:Y2148,$N$2:$Y$2)*$K2148*$L2148*$M2148</f>
        <v/>
      </c>
      <c r="AA2148" s="14">
        <f>SUM(N2148:Y2148)</f>
        <v/>
      </c>
      <c r="AB2148" s="14">
        <f>IFERROR(IF(UPPER($E2148)="L",SUMPRODUCT(N2148:Y2148,$N$3:$Y$3,$N$2:$Y$2),SUMPRODUCT(N2148:Y2148,$N$4:$Y$4,$N$2:$Y$2))/(Z2148/($K2148*$L2148*$M2148)),"")</f>
        <v/>
      </c>
      <c r="AC2148" s="18" t="n"/>
    </row>
    <row r="2149">
      <c r="A2149" s="9" t="n">
        <v>684222</v>
      </c>
      <c r="B2149" s="9" t="inlineStr">
        <is>
          <t>Jorge Burgos</t>
        </is>
      </c>
      <c r="C2149" s="9" t="inlineStr">
        <is>
          <t>TOR</t>
        </is>
      </c>
      <c r="D2149" s="9" t="n">
        <v>25</v>
      </c>
      <c r="E2149" s="16" t="inlineStr">
        <is>
          <t>L</t>
        </is>
      </c>
      <c r="F2149" s="16" t="n"/>
      <c r="G2149" s="9" t="n">
        <v>103.3846153846154</v>
      </c>
      <c r="H2149" s="9" t="n">
        <v>103.3846153846154</v>
      </c>
      <c r="I2149" s="9" t="inlineStr">
        <is>
          <t>Depth (no MLB PA)</t>
        </is>
      </c>
      <c r="J2149" s="16" t="inlineStr">
        <is>
          <t>Opening Day</t>
        </is>
      </c>
      <c r="K2149" s="11">
        <f>IFERROR(INDEX(Roles!$B$17:$B$20,MATCH(J2149,Roles!$A$17:$A$20,0)),1)</f>
        <v/>
      </c>
      <c r="L2149" s="17" t="n">
        <v>1</v>
      </c>
      <c r="M2149" s="11" t="n">
        <v>1</v>
      </c>
      <c r="N2149" s="17" t="n"/>
      <c r="O2149" s="17" t="n"/>
      <c r="P2149" s="17" t="n"/>
      <c r="Q2149" s="17" t="n"/>
      <c r="R2149" s="17" t="n"/>
      <c r="S2149" s="17" t="n"/>
      <c r="T2149" s="17" t="n"/>
      <c r="U2149" s="17" t="n"/>
      <c r="V2149" s="17" t="n"/>
      <c r="W2149" s="17" t="n"/>
      <c r="X2149" s="17" t="n"/>
      <c r="Y2149" s="17" t="n">
        <v>1</v>
      </c>
      <c r="Z2149" s="13">
        <f>SUMPRODUCT(N2149:Y2149,$N$2:$Y$2)*$K2149*$L2149*$M2149</f>
        <v/>
      </c>
      <c r="AA2149" s="14">
        <f>SUM(N2149:Y2149)</f>
        <v/>
      </c>
      <c r="AB2149" s="14">
        <f>IFERROR(IF(UPPER($E2149)="L",SUMPRODUCT(N2149:Y2149,$N$3:$Y$3,$N$2:$Y$2),SUMPRODUCT(N2149:Y2149,$N$4:$Y$4,$N$2:$Y$2))/(Z2149/($K2149*$L2149*$M2149)),"")</f>
        <v/>
      </c>
      <c r="AC2149" s="18" t="n"/>
    </row>
    <row r="2150">
      <c r="A2150" s="9" t="n">
        <v>692238</v>
      </c>
      <c r="B2150" s="9" t="inlineStr">
        <is>
          <t>Parks Harber</t>
        </is>
      </c>
      <c r="C2150" s="9" t="inlineStr">
        <is>
          <t>SF</t>
        </is>
      </c>
      <c r="D2150" s="9" t="n">
        <v>26</v>
      </c>
      <c r="E2150" s="16" t="inlineStr">
        <is>
          <t>R</t>
        </is>
      </c>
      <c r="F2150" s="16" t="n"/>
      <c r="G2150" s="9" t="n">
        <v>137.6410256410256</v>
      </c>
      <c r="H2150" s="9" t="n">
        <v>137.6410256410256</v>
      </c>
      <c r="I2150" s="9" t="inlineStr">
        <is>
          <t>Depth (no MLB PA)</t>
        </is>
      </c>
      <c r="J2150" s="16" t="inlineStr">
        <is>
          <t>Opening Day</t>
        </is>
      </c>
      <c r="K2150" s="11">
        <f>IFERROR(INDEX(Roles!$B$17:$B$20,MATCH(J2150,Roles!$A$17:$A$20,0)),1)</f>
        <v/>
      </c>
      <c r="L2150" s="17" t="n">
        <v>1</v>
      </c>
      <c r="M2150" s="11" t="n">
        <v>1</v>
      </c>
      <c r="N2150" s="17" t="n"/>
      <c r="O2150" s="17" t="n"/>
      <c r="P2150" s="17" t="n"/>
      <c r="Q2150" s="17" t="n"/>
      <c r="R2150" s="17" t="n"/>
      <c r="S2150" s="17" t="n"/>
      <c r="T2150" s="17" t="n"/>
      <c r="U2150" s="17" t="n"/>
      <c r="V2150" s="17" t="n"/>
      <c r="W2150" s="17" t="n"/>
      <c r="X2150" s="17" t="n"/>
      <c r="Y2150" s="17" t="n">
        <v>1</v>
      </c>
      <c r="Z2150" s="13">
        <f>SUMPRODUCT(N2150:Y2150,$N$2:$Y$2)*$K2150*$L2150*$M2150</f>
        <v/>
      </c>
      <c r="AA2150" s="14">
        <f>SUM(N2150:Y2150)</f>
        <v/>
      </c>
      <c r="AB2150" s="14">
        <f>IFERROR(IF(UPPER($E2150)="L",SUMPRODUCT(N2150:Y2150,$N$3:$Y$3,$N$2:$Y$2),SUMPRODUCT(N2150:Y2150,$N$4:$Y$4,$N$2:$Y$2))/(Z2150/($K2150*$L2150*$M2150)),"")</f>
        <v/>
      </c>
      <c r="AC2150" s="18" t="n"/>
    </row>
    <row r="2151">
      <c r="A2151" s="9" t="n">
        <v>703201</v>
      </c>
      <c r="B2151" s="9" t="inlineStr">
        <is>
          <t>Henry Ramos</t>
        </is>
      </c>
      <c r="C2151" s="9" t="inlineStr">
        <is>
          <t>KC</t>
        </is>
      </c>
      <c r="D2151" s="9" t="n">
        <v>25</v>
      </c>
      <c r="E2151" s="16" t="inlineStr">
        <is>
          <t>L</t>
        </is>
      </c>
      <c r="F2151" s="16" t="n"/>
      <c r="G2151" s="9" t="n">
        <v>51.32307692307692</v>
      </c>
      <c r="H2151" s="9" t="n">
        <v>51.32307692307692</v>
      </c>
      <c r="I2151" s="9" t="inlineStr">
        <is>
          <t>Depth (no MLB PA)</t>
        </is>
      </c>
      <c r="J2151" s="16" t="inlineStr">
        <is>
          <t>Opening Day</t>
        </is>
      </c>
      <c r="K2151" s="11">
        <f>IFERROR(INDEX(Roles!$B$17:$B$20,MATCH(J2151,Roles!$A$17:$A$20,0)),1)</f>
        <v/>
      </c>
      <c r="L2151" s="17" t="n">
        <v>1</v>
      </c>
      <c r="M2151" s="11" t="n">
        <v>1</v>
      </c>
      <c r="N2151" s="17" t="n"/>
      <c r="O2151" s="17" t="n"/>
      <c r="P2151" s="17" t="n"/>
      <c r="Q2151" s="17" t="n"/>
      <c r="R2151" s="17" t="n"/>
      <c r="S2151" s="17" t="n"/>
      <c r="T2151" s="17" t="n"/>
      <c r="U2151" s="17" t="n"/>
      <c r="V2151" s="17" t="n"/>
      <c r="W2151" s="17" t="n"/>
      <c r="X2151" s="17" t="n"/>
      <c r="Y2151" s="17" t="n">
        <v>1</v>
      </c>
      <c r="Z2151" s="13">
        <f>SUMPRODUCT(N2151:Y2151,$N$2:$Y$2)*$K2151*$L2151*$M2151</f>
        <v/>
      </c>
      <c r="AA2151" s="14">
        <f>SUM(N2151:Y2151)</f>
        <v/>
      </c>
      <c r="AB2151" s="14">
        <f>IFERROR(IF(UPPER($E2151)="L",SUMPRODUCT(N2151:Y2151,$N$3:$Y$3,$N$2:$Y$2),SUMPRODUCT(N2151:Y2151,$N$4:$Y$4,$N$2:$Y$2))/(Z2151/($K2151*$L2151*$M2151)),"")</f>
        <v/>
      </c>
      <c r="AC2151" s="18" t="n"/>
    </row>
    <row r="2152">
      <c r="A2152" s="9" t="n">
        <v>702629</v>
      </c>
      <c r="B2152" s="9" t="inlineStr">
        <is>
          <t>Gage Harrelson</t>
        </is>
      </c>
      <c r="C2152" s="9" t="inlineStr">
        <is>
          <t>LAA</t>
        </is>
      </c>
      <c r="D2152" s="9" t="n">
        <v>25</v>
      </c>
      <c r="E2152" s="16" t="inlineStr">
        <is>
          <t>L</t>
        </is>
      </c>
      <c r="F2152" s="16" t="n"/>
      <c r="G2152" s="9" t="n">
        <v>45.74358974358975</v>
      </c>
      <c r="H2152" s="9" t="n">
        <v>45.74358974358975</v>
      </c>
      <c r="I2152" s="9" t="inlineStr">
        <is>
          <t>Depth (no MLB PA)</t>
        </is>
      </c>
      <c r="J2152" s="16" t="inlineStr">
        <is>
          <t>Opening Day</t>
        </is>
      </c>
      <c r="K2152" s="11">
        <f>IFERROR(INDEX(Roles!$B$17:$B$20,MATCH(J2152,Roles!$A$17:$A$20,0)),1)</f>
        <v/>
      </c>
      <c r="L2152" s="17" t="n">
        <v>1</v>
      </c>
      <c r="M2152" s="11" t="n">
        <v>1</v>
      </c>
      <c r="N2152" s="17" t="n"/>
      <c r="O2152" s="17" t="n"/>
      <c r="P2152" s="17" t="n"/>
      <c r="Q2152" s="17" t="n"/>
      <c r="R2152" s="17" t="n"/>
      <c r="S2152" s="17" t="n"/>
      <c r="T2152" s="17" t="n"/>
      <c r="U2152" s="17" t="n"/>
      <c r="V2152" s="17" t="n"/>
      <c r="W2152" s="17" t="n"/>
      <c r="X2152" s="17" t="n"/>
      <c r="Y2152" s="17" t="n">
        <v>1</v>
      </c>
      <c r="Z2152" s="13">
        <f>SUMPRODUCT(N2152:Y2152,$N$2:$Y$2)*$K2152*$L2152*$M2152</f>
        <v/>
      </c>
      <c r="AA2152" s="14">
        <f>SUM(N2152:Y2152)</f>
        <v/>
      </c>
      <c r="AB2152" s="14">
        <f>IFERROR(IF(UPPER($E2152)="L",SUMPRODUCT(N2152:Y2152,$N$3:$Y$3,$N$2:$Y$2),SUMPRODUCT(N2152:Y2152,$N$4:$Y$4,$N$2:$Y$2))/(Z2152/($K2152*$L2152*$M2152)),"")</f>
        <v/>
      </c>
      <c r="AC2152" s="18" t="n"/>
    </row>
    <row r="2153">
      <c r="A2153" s="9" t="n">
        <v>803723</v>
      </c>
      <c r="B2153" s="9" t="inlineStr">
        <is>
          <t>Jordan Yost</t>
        </is>
      </c>
      <c r="C2153" s="9" t="inlineStr">
        <is>
          <t>DET</t>
        </is>
      </c>
      <c r="D2153" s="9" t="n">
        <v>21</v>
      </c>
      <c r="E2153" s="16" t="inlineStr">
        <is>
          <t>L</t>
        </is>
      </c>
      <c r="F2153" s="16" t="n"/>
      <c r="G2153" s="9" t="n">
        <v>44.92307692307692</v>
      </c>
      <c r="H2153" s="9" t="n">
        <v>44.92307692307692</v>
      </c>
      <c r="I2153" s="9" t="inlineStr">
        <is>
          <t>Depth (no MLB PA)</t>
        </is>
      </c>
      <c r="J2153" s="16" t="inlineStr">
        <is>
          <t>Opening Day</t>
        </is>
      </c>
      <c r="K2153" s="11">
        <f>IFERROR(INDEX(Roles!$B$17:$B$20,MATCH(J2153,Roles!$A$17:$A$20,0)),1)</f>
        <v/>
      </c>
      <c r="L2153" s="17" t="n">
        <v>1</v>
      </c>
      <c r="M2153" s="11" t="n">
        <v>1</v>
      </c>
      <c r="N2153" s="17" t="n"/>
      <c r="O2153" s="17" t="n"/>
      <c r="P2153" s="17" t="n"/>
      <c r="Q2153" s="17" t="n"/>
      <c r="R2153" s="17" t="n"/>
      <c r="S2153" s="17" t="n"/>
      <c r="T2153" s="17" t="n"/>
      <c r="U2153" s="17" t="n"/>
      <c r="V2153" s="17" t="n"/>
      <c r="W2153" s="17" t="n"/>
      <c r="X2153" s="17" t="n"/>
      <c r="Y2153" s="17" t="n">
        <v>1</v>
      </c>
      <c r="Z2153" s="13">
        <f>SUMPRODUCT(N2153:Y2153,$N$2:$Y$2)*$K2153*$L2153*$M2153</f>
        <v/>
      </c>
      <c r="AA2153" s="14">
        <f>SUM(N2153:Y2153)</f>
        <v/>
      </c>
      <c r="AB2153" s="14">
        <f>IFERROR(IF(UPPER($E2153)="L",SUMPRODUCT(N2153:Y2153,$N$3:$Y$3,$N$2:$Y$2),SUMPRODUCT(N2153:Y2153,$N$4:$Y$4,$N$2:$Y$2))/(Z2153/($K2153*$L2153*$M2153)),"")</f>
        <v/>
      </c>
      <c r="AC2153" s="18" t="n"/>
    </row>
    <row r="2154">
      <c r="A2154" s="9" t="n">
        <v>807713</v>
      </c>
      <c r="B2154" s="9" t="inlineStr">
        <is>
          <t>Matt Shaw</t>
        </is>
      </c>
      <c r="C2154" s="9" t="inlineStr">
        <is>
          <t>CHC</t>
        </is>
      </c>
      <c r="D2154" s="9" t="n">
        <v>25</v>
      </c>
      <c r="E2154" s="16" t="inlineStr">
        <is>
          <t>R</t>
        </is>
      </c>
      <c r="F2154" s="16" t="inlineStr">
        <is>
          <t>RF</t>
        </is>
      </c>
      <c r="G2154" s="9" t="n">
        <v>202</v>
      </c>
      <c r="H2154" s="9" t="n">
        <v>639</v>
      </c>
      <c r="I2154" s="9" t="inlineStr">
        <is>
          <t>Utility IF</t>
        </is>
      </c>
      <c r="J2154" s="16" t="inlineStr">
        <is>
          <t>Opening Day</t>
        </is>
      </c>
      <c r="K2154" s="11">
        <f>IFERROR(INDEX(Roles!$B$17:$B$20,MATCH(J2154,Roles!$A$17:$A$20,0)),1)</f>
        <v/>
      </c>
      <c r="L2154" s="17" t="n">
        <v>1</v>
      </c>
      <c r="M2154" s="11" t="n">
        <v>1.014978348768028</v>
      </c>
      <c r="N2154" s="17" t="n"/>
      <c r="O2154" s="17" t="n"/>
      <c r="P2154" s="17" t="n"/>
      <c r="Q2154" s="17" t="n"/>
      <c r="R2154" s="17" t="n"/>
      <c r="S2154" s="17" t="n"/>
      <c r="T2154" s="17" t="n"/>
      <c r="U2154" s="17" t="n">
        <v>0.7</v>
      </c>
      <c r="V2154" s="17" t="n"/>
      <c r="W2154" s="17" t="n">
        <v>0.3</v>
      </c>
      <c r="X2154" s="17" t="n"/>
      <c r="Y2154" s="17" t="n"/>
      <c r="Z2154" s="13">
        <f>SUMPRODUCT(N2154:Y2154,$N$2:$Y$2)*$K2154*$L2154*$M2154</f>
        <v/>
      </c>
      <c r="AA2154" s="14">
        <f>SUM(N2154:Y2154)</f>
        <v/>
      </c>
      <c r="AB2154" s="14">
        <f>IFERROR(IF(UPPER($E2154)="L",SUMPRODUCT(N2154:Y2154,$N$3:$Y$3,$N$2:$Y$2),SUMPRODUCT(N2154:Y2154,$N$4:$Y$4,$N$2:$Y$2))/(Z2154/($K2154*$L2154*$M2154)),"")</f>
        <v/>
      </c>
      <c r="AC2154" s="18" t="n"/>
    </row>
    <row r="2155">
      <c r="A2155" s="9" t="n">
        <v>802397</v>
      </c>
      <c r="B2155" s="9" t="inlineStr">
        <is>
          <t>Angel Arredondo</t>
        </is>
      </c>
      <c r="C2155" s="9" t="inlineStr">
        <is>
          <t>LAA</t>
        </is>
      </c>
      <c r="D2155" s="9" t="n">
        <v>25</v>
      </c>
      <c r="E2155" s="16" t="inlineStr">
        <is>
          <t>R</t>
        </is>
      </c>
      <c r="F2155" s="16" t="n"/>
      <c r="G2155" s="9" t="n">
        <v>56.36923076923078</v>
      </c>
      <c r="H2155" s="9" t="n">
        <v>56.36923076923078</v>
      </c>
      <c r="I2155" s="9" t="inlineStr">
        <is>
          <t>Depth (no MLB PA)</t>
        </is>
      </c>
      <c r="J2155" s="16" t="inlineStr">
        <is>
          <t>Opening Day</t>
        </is>
      </c>
      <c r="K2155" s="11">
        <f>IFERROR(INDEX(Roles!$B$17:$B$20,MATCH(J2155,Roles!$A$17:$A$20,0)),1)</f>
        <v/>
      </c>
      <c r="L2155" s="17" t="n">
        <v>1</v>
      </c>
      <c r="M2155" s="11" t="n">
        <v>1</v>
      </c>
      <c r="N2155" s="17" t="n"/>
      <c r="O2155" s="17" t="n"/>
      <c r="P2155" s="17" t="n"/>
      <c r="Q2155" s="17" t="n"/>
      <c r="R2155" s="17" t="n"/>
      <c r="S2155" s="17" t="n"/>
      <c r="T2155" s="17" t="n"/>
      <c r="U2155" s="17" t="n"/>
      <c r="V2155" s="17" t="n"/>
      <c r="W2155" s="17" t="n"/>
      <c r="X2155" s="17" t="n"/>
      <c r="Y2155" s="17" t="n">
        <v>1</v>
      </c>
      <c r="Z2155" s="13">
        <f>SUMPRODUCT(N2155:Y2155,$N$2:$Y$2)*$K2155*$L2155*$M2155</f>
        <v/>
      </c>
      <c r="AA2155" s="14">
        <f>SUM(N2155:Y2155)</f>
        <v/>
      </c>
      <c r="AB2155" s="14">
        <f>IFERROR(IF(UPPER($E2155)="L",SUMPRODUCT(N2155:Y2155,$N$3:$Y$3,$N$2:$Y$2),SUMPRODUCT(N2155:Y2155,$N$4:$Y$4,$N$2:$Y$2))/(Z2155/($K2155*$L2155*$M2155)),"")</f>
        <v/>
      </c>
      <c r="AC2155" s="18" t="n"/>
    </row>
    <row r="2156">
      <c r="A2156" s="9" t="n">
        <v>691708</v>
      </c>
      <c r="B2156" s="9" t="inlineStr">
        <is>
          <t>Junior Tilien</t>
        </is>
      </c>
      <c r="C2156" s="9" t="inlineStr">
        <is>
          <t>DET</t>
        </is>
      </c>
      <c r="D2156" s="9" t="n">
        <v>25</v>
      </c>
      <c r="E2156" s="16" t="inlineStr">
        <is>
          <t>R</t>
        </is>
      </c>
      <c r="F2156" s="16" t="n"/>
      <c r="G2156" s="9" t="n">
        <v>39.17948717948718</v>
      </c>
      <c r="H2156" s="9" t="n">
        <v>39.17948717948718</v>
      </c>
      <c r="I2156" s="9" t="inlineStr">
        <is>
          <t>Depth (no MLB PA)</t>
        </is>
      </c>
      <c r="J2156" s="16" t="inlineStr">
        <is>
          <t>Opening Day</t>
        </is>
      </c>
      <c r="K2156" s="11">
        <f>IFERROR(INDEX(Roles!$B$17:$B$20,MATCH(J2156,Roles!$A$17:$A$20,0)),1)</f>
        <v/>
      </c>
      <c r="L2156" s="17" t="n">
        <v>1</v>
      </c>
      <c r="M2156" s="11" t="n">
        <v>1</v>
      </c>
      <c r="N2156" s="17" t="n"/>
      <c r="O2156" s="17" t="n"/>
      <c r="P2156" s="17" t="n"/>
      <c r="Q2156" s="17" t="n"/>
      <c r="R2156" s="17" t="n"/>
      <c r="S2156" s="17" t="n"/>
      <c r="T2156" s="17" t="n"/>
      <c r="U2156" s="17" t="n"/>
      <c r="V2156" s="17" t="n"/>
      <c r="W2156" s="17" t="n"/>
      <c r="X2156" s="17" t="n"/>
      <c r="Y2156" s="17" t="n">
        <v>1</v>
      </c>
      <c r="Z2156" s="13">
        <f>SUMPRODUCT(N2156:Y2156,$N$2:$Y$2)*$K2156*$L2156*$M2156</f>
        <v/>
      </c>
      <c r="AA2156" s="14">
        <f>SUM(N2156:Y2156)</f>
        <v/>
      </c>
      <c r="AB2156" s="14">
        <f>IFERROR(IF(UPPER($E2156)="L",SUMPRODUCT(N2156:Y2156,$N$3:$Y$3,$N$2:$Y$2),SUMPRODUCT(N2156:Y2156,$N$4:$Y$4,$N$2:$Y$2))/(Z2156/($K2156*$L2156*$M2156)),"")</f>
        <v/>
      </c>
      <c r="AC2156" s="18" t="n"/>
    </row>
    <row r="2157">
      <c r="A2157" s="9" t="n">
        <v>821136</v>
      </c>
      <c r="B2157" s="9" t="inlineStr">
        <is>
          <t>Handelfry Encarnacion</t>
        </is>
      </c>
      <c r="C2157" s="9" t="inlineStr">
        <is>
          <t>MIL</t>
        </is>
      </c>
      <c r="D2157" s="9" t="n">
        <v>20</v>
      </c>
      <c r="E2157" s="16" t="inlineStr">
        <is>
          <t>L</t>
        </is>
      </c>
      <c r="F2157" s="16" t="n"/>
      <c r="G2157" s="9" t="n">
        <v>63.75384615384615</v>
      </c>
      <c r="H2157" s="9" t="n">
        <v>63.75384615384615</v>
      </c>
      <c r="I2157" s="9" t="inlineStr">
        <is>
          <t>Depth (no MLB PA)</t>
        </is>
      </c>
      <c r="J2157" s="16" t="inlineStr">
        <is>
          <t>Opening Day</t>
        </is>
      </c>
      <c r="K2157" s="11">
        <f>IFERROR(INDEX(Roles!$B$17:$B$20,MATCH(J2157,Roles!$A$17:$A$20,0)),1)</f>
        <v/>
      </c>
      <c r="L2157" s="17" t="n">
        <v>1</v>
      </c>
      <c r="M2157" s="11" t="n">
        <v>1</v>
      </c>
      <c r="N2157" s="17" t="n"/>
      <c r="O2157" s="17" t="n"/>
      <c r="P2157" s="17" t="n"/>
      <c r="Q2157" s="17" t="n"/>
      <c r="R2157" s="17" t="n"/>
      <c r="S2157" s="17" t="n"/>
      <c r="T2157" s="17" t="n"/>
      <c r="U2157" s="17" t="n"/>
      <c r="V2157" s="17" t="n"/>
      <c r="W2157" s="17" t="n"/>
      <c r="X2157" s="17" t="n"/>
      <c r="Y2157" s="17" t="n">
        <v>1</v>
      </c>
      <c r="Z2157" s="13">
        <f>SUMPRODUCT(N2157:Y2157,$N$2:$Y$2)*$K2157*$L2157*$M2157</f>
        <v/>
      </c>
      <c r="AA2157" s="14">
        <f>SUM(N2157:Y2157)</f>
        <v/>
      </c>
      <c r="AB2157" s="14">
        <f>IFERROR(IF(UPPER($E2157)="L",SUMPRODUCT(N2157:Y2157,$N$3:$Y$3,$N$2:$Y$2),SUMPRODUCT(N2157:Y2157,$N$4:$Y$4,$N$2:$Y$2))/(Z2157/($K2157*$L2157*$M2157)),"")</f>
        <v/>
      </c>
      <c r="AC2157" s="18" t="n"/>
    </row>
    <row r="2158">
      <c r="A2158" s="9" t="n">
        <v>814297</v>
      </c>
      <c r="B2158" s="9" t="inlineStr">
        <is>
          <t>Edgleen Perez</t>
        </is>
      </c>
      <c r="C2158" s="9" t="inlineStr">
        <is>
          <t>PIT</t>
        </is>
      </c>
      <c r="D2158" s="9" t="n">
        <v>25</v>
      </c>
      <c r="E2158" s="16" t="inlineStr">
        <is>
          <t>R</t>
        </is>
      </c>
      <c r="F2158" s="16" t="n"/>
      <c r="G2158" s="9" t="n">
        <v>40.36923076923077</v>
      </c>
      <c r="H2158" s="9" t="n">
        <v>40.36923076923077</v>
      </c>
      <c r="I2158" s="9" t="inlineStr">
        <is>
          <t>Depth (no MLB PA)</t>
        </is>
      </c>
      <c r="J2158" s="16" t="inlineStr">
        <is>
          <t>Opening Day</t>
        </is>
      </c>
      <c r="K2158" s="11">
        <f>IFERROR(INDEX(Roles!$B$17:$B$20,MATCH(J2158,Roles!$A$17:$A$20,0)),1)</f>
        <v/>
      </c>
      <c r="L2158" s="17" t="n">
        <v>1</v>
      </c>
      <c r="M2158" s="11" t="n">
        <v>1</v>
      </c>
      <c r="N2158" s="17" t="n"/>
      <c r="O2158" s="17" t="n"/>
      <c r="P2158" s="17" t="n"/>
      <c r="Q2158" s="17" t="n"/>
      <c r="R2158" s="17" t="n"/>
      <c r="S2158" s="17" t="n"/>
      <c r="T2158" s="17" t="n"/>
      <c r="U2158" s="17" t="n"/>
      <c r="V2158" s="17" t="n"/>
      <c r="W2158" s="17" t="n"/>
      <c r="X2158" s="17" t="n"/>
      <c r="Y2158" s="17" t="n">
        <v>1</v>
      </c>
      <c r="Z2158" s="13">
        <f>SUMPRODUCT(N2158:Y2158,$N$2:$Y$2)*$K2158*$L2158*$M2158</f>
        <v/>
      </c>
      <c r="AA2158" s="14">
        <f>SUM(N2158:Y2158)</f>
        <v/>
      </c>
      <c r="AB2158" s="14">
        <f>IFERROR(IF(UPPER($E2158)="L",SUMPRODUCT(N2158:Y2158,$N$3:$Y$3,$N$2:$Y$2),SUMPRODUCT(N2158:Y2158,$N$4:$Y$4,$N$2:$Y$2))/(Z2158/($K2158*$L2158*$M2158)),"")</f>
        <v/>
      </c>
      <c r="AC2158" s="18" t="n"/>
    </row>
    <row r="2159">
      <c r="A2159" s="9" t="n">
        <v>695493</v>
      </c>
      <c r="B2159" s="9" t="inlineStr">
        <is>
          <t>Teo Banks</t>
        </is>
      </c>
      <c r="C2159" s="9" t="inlineStr">
        <is>
          <t>WSH</t>
        </is>
      </c>
      <c r="D2159" s="9" t="n">
        <v>25</v>
      </c>
      <c r="E2159" s="16" t="inlineStr">
        <is>
          <t>R</t>
        </is>
      </c>
      <c r="F2159" s="16" t="n"/>
      <c r="G2159" s="9" t="n">
        <v>62.35897435897436</v>
      </c>
      <c r="H2159" s="9" t="n">
        <v>62.35897435897436</v>
      </c>
      <c r="I2159" s="9" t="inlineStr">
        <is>
          <t>Depth (no MLB PA)</t>
        </is>
      </c>
      <c r="J2159" s="16" t="inlineStr">
        <is>
          <t>Opening Day</t>
        </is>
      </c>
      <c r="K2159" s="11">
        <f>IFERROR(INDEX(Roles!$B$17:$B$20,MATCH(J2159,Roles!$A$17:$A$20,0)),1)</f>
        <v/>
      </c>
      <c r="L2159" s="17" t="n">
        <v>1</v>
      </c>
      <c r="M2159" s="11" t="n">
        <v>1</v>
      </c>
      <c r="N2159" s="17" t="n"/>
      <c r="O2159" s="17" t="n"/>
      <c r="P2159" s="17" t="n"/>
      <c r="Q2159" s="17" t="n"/>
      <c r="R2159" s="17" t="n"/>
      <c r="S2159" s="17" t="n"/>
      <c r="T2159" s="17" t="n"/>
      <c r="U2159" s="17" t="n"/>
      <c r="V2159" s="17" t="n"/>
      <c r="W2159" s="17" t="n"/>
      <c r="X2159" s="17" t="n"/>
      <c r="Y2159" s="17" t="n">
        <v>1</v>
      </c>
      <c r="Z2159" s="13">
        <f>SUMPRODUCT(N2159:Y2159,$N$2:$Y$2)*$K2159*$L2159*$M2159</f>
        <v/>
      </c>
      <c r="AA2159" s="14">
        <f>SUM(N2159:Y2159)</f>
        <v/>
      </c>
      <c r="AB2159" s="14">
        <f>IFERROR(IF(UPPER($E2159)="L",SUMPRODUCT(N2159:Y2159,$N$3:$Y$3,$N$2:$Y$2),SUMPRODUCT(N2159:Y2159,$N$4:$Y$4,$N$2:$Y$2))/(Z2159/($K2159*$L2159*$M2159)),"")</f>
        <v/>
      </c>
      <c r="AC2159" s="18" t="n"/>
    </row>
    <row r="2160">
      <c r="A2160" s="9" t="n">
        <v>800522</v>
      </c>
      <c r="B2160" s="9" t="inlineStr">
        <is>
          <t>Josue Briceño</t>
        </is>
      </c>
      <c r="C2160" s="9" t="inlineStr">
        <is>
          <t>DET</t>
        </is>
      </c>
      <c r="D2160" s="9" t="n">
        <v>23</v>
      </c>
      <c r="E2160" s="16" t="inlineStr">
        <is>
          <t>L</t>
        </is>
      </c>
      <c r="F2160" s="16" t="n"/>
      <c r="G2160" s="9" t="n">
        <v>33.28205128205128</v>
      </c>
      <c r="H2160" s="9" t="n">
        <v>33.28205128205128</v>
      </c>
      <c r="I2160" s="9" t="inlineStr">
        <is>
          <t>Bench Bat</t>
        </is>
      </c>
      <c r="J2160" s="16" t="inlineStr">
        <is>
          <t>Mid Season (~July)</t>
        </is>
      </c>
      <c r="K2160" s="11">
        <f>IFERROR(INDEX(Roles!$B$17:$B$20,MATCH(J2160,Roles!$A$17:$A$20,0)),1)</f>
        <v/>
      </c>
      <c r="L2160" s="17" t="n">
        <v>1</v>
      </c>
      <c r="M2160" s="11" t="n">
        <v>1</v>
      </c>
      <c r="N2160" s="17" t="n"/>
      <c r="O2160" s="17" t="n"/>
      <c r="P2160" s="17" t="n">
        <v>0.35</v>
      </c>
      <c r="Q2160" s="17" t="n"/>
      <c r="R2160" s="17" t="n"/>
      <c r="S2160" s="17" t="n"/>
      <c r="T2160" s="17" t="n"/>
      <c r="U2160" s="17" t="n"/>
      <c r="V2160" s="17" t="n"/>
      <c r="W2160" s="17" t="n">
        <v>0.45</v>
      </c>
      <c r="X2160" s="17" t="n">
        <v>0.2</v>
      </c>
      <c r="Y2160" s="17" t="n"/>
      <c r="Z2160" s="13">
        <f>SUMPRODUCT(N2160:Y2160,$N$2:$Y$2)*$K2160*$L2160*$M2160</f>
        <v/>
      </c>
      <c r="AA2160" s="14">
        <f>SUM(N2160:Y2160)</f>
        <v/>
      </c>
      <c r="AB2160" s="14">
        <f>IFERROR(IF(UPPER($E2160)="L",SUMPRODUCT(N2160:Y2160,$N$3:$Y$3,$N$2:$Y$2),SUMPRODUCT(N2160:Y2160,$N$4:$Y$4,$N$2:$Y$2))/(Z2160/($K2160*$L2160*$M2160)),"")</f>
        <v/>
      </c>
      <c r="AC2160" s="18" t="n"/>
    </row>
    <row r="2161">
      <c r="A2161" s="9" t="n">
        <v>808768</v>
      </c>
      <c r="B2161" s="9" t="inlineStr">
        <is>
          <t>Ben McLaughlin</t>
        </is>
      </c>
      <c r="C2161" s="9" t="inlineStr">
        <is>
          <t>ARI</t>
        </is>
      </c>
      <c r="D2161" s="9" t="n">
        <v>25</v>
      </c>
      <c r="E2161" s="16" t="inlineStr">
        <is>
          <t>L</t>
        </is>
      </c>
      <c r="F2161" s="16" t="n"/>
      <c r="G2161" s="9" t="n">
        <v>187.3846153846154</v>
      </c>
      <c r="H2161" s="9" t="n">
        <v>187.3846153846154</v>
      </c>
      <c r="I2161" s="9" t="inlineStr">
        <is>
          <t>Depth (no MLB PA)</t>
        </is>
      </c>
      <c r="J2161" s="16" t="inlineStr">
        <is>
          <t>Opening Day</t>
        </is>
      </c>
      <c r="K2161" s="11">
        <f>IFERROR(INDEX(Roles!$B$17:$B$20,MATCH(J2161,Roles!$A$17:$A$20,0)),1)</f>
        <v/>
      </c>
      <c r="L2161" s="17" t="n">
        <v>1</v>
      </c>
      <c r="M2161" s="11" t="n">
        <v>1</v>
      </c>
      <c r="N2161" s="17" t="n"/>
      <c r="O2161" s="17" t="n"/>
      <c r="P2161" s="17" t="n"/>
      <c r="Q2161" s="17" t="n"/>
      <c r="R2161" s="17" t="n"/>
      <c r="S2161" s="17" t="n"/>
      <c r="T2161" s="17" t="n"/>
      <c r="U2161" s="17" t="n"/>
      <c r="V2161" s="17" t="n"/>
      <c r="W2161" s="17" t="n"/>
      <c r="X2161" s="17" t="n"/>
      <c r="Y2161" s="17" t="n">
        <v>1</v>
      </c>
      <c r="Z2161" s="13">
        <f>SUMPRODUCT(N2161:Y2161,$N$2:$Y$2)*$K2161*$L2161*$M2161</f>
        <v/>
      </c>
      <c r="AA2161" s="14">
        <f>SUM(N2161:Y2161)</f>
        <v/>
      </c>
      <c r="AB2161" s="14">
        <f>IFERROR(IF(UPPER($E2161)="L",SUMPRODUCT(N2161:Y2161,$N$3:$Y$3,$N$2:$Y$2),SUMPRODUCT(N2161:Y2161,$N$4:$Y$4,$N$2:$Y$2))/(Z2161/($K2161*$L2161*$M2161)),"")</f>
        <v/>
      </c>
      <c r="AC2161" s="18" t="n"/>
    </row>
    <row r="2162">
      <c r="A2162" s="9" t="n">
        <v>687867</v>
      </c>
      <c r="B2162" s="9" t="inlineStr">
        <is>
          <t>Clay Dungan</t>
        </is>
      </c>
      <c r="C2162" s="9" t="inlineStr">
        <is>
          <t>SD</t>
        </is>
      </c>
      <c r="D2162" s="9" t="n">
        <v>25</v>
      </c>
      <c r="E2162" s="16" t="inlineStr">
        <is>
          <t>L</t>
        </is>
      </c>
      <c r="F2162" s="16" t="n"/>
      <c r="G2162" s="9" t="n">
        <v>188.9743589743589</v>
      </c>
      <c r="H2162" s="9" t="n">
        <v>188.9743589743589</v>
      </c>
      <c r="I2162" s="9" t="inlineStr">
        <is>
          <t>Depth (no MLB PA)</t>
        </is>
      </c>
      <c r="J2162" s="16" t="inlineStr">
        <is>
          <t>Opening Day</t>
        </is>
      </c>
      <c r="K2162" s="11">
        <f>IFERROR(INDEX(Roles!$B$17:$B$20,MATCH(J2162,Roles!$A$17:$A$20,0)),1)</f>
        <v/>
      </c>
      <c r="L2162" s="17" t="n">
        <v>1</v>
      </c>
      <c r="M2162" s="11" t="n">
        <v>1</v>
      </c>
      <c r="N2162" s="17" t="n"/>
      <c r="O2162" s="17" t="n"/>
      <c r="P2162" s="17" t="n"/>
      <c r="Q2162" s="17" t="n"/>
      <c r="R2162" s="17" t="n"/>
      <c r="S2162" s="17" t="n"/>
      <c r="T2162" s="17" t="n"/>
      <c r="U2162" s="17" t="n"/>
      <c r="V2162" s="17" t="n"/>
      <c r="W2162" s="17" t="n"/>
      <c r="X2162" s="17" t="n"/>
      <c r="Y2162" s="17" t="n">
        <v>1</v>
      </c>
      <c r="Z2162" s="13">
        <f>SUMPRODUCT(N2162:Y2162,$N$2:$Y$2)*$K2162*$L2162*$M2162</f>
        <v/>
      </c>
      <c r="AA2162" s="14">
        <f>SUM(N2162:Y2162)</f>
        <v/>
      </c>
      <c r="AB2162" s="14">
        <f>IFERROR(IF(UPPER($E2162)="L",SUMPRODUCT(N2162:Y2162,$N$3:$Y$3,$N$2:$Y$2),SUMPRODUCT(N2162:Y2162,$N$4:$Y$4,$N$2:$Y$2))/(Z2162/($K2162*$L2162*$M2162)),"")</f>
        <v/>
      </c>
      <c r="AC2162" s="18" t="n"/>
    </row>
    <row r="2163">
      <c r="A2163" s="9" t="n">
        <v>663731</v>
      </c>
      <c r="B2163" s="9" t="inlineStr">
        <is>
          <t>Connor Kaiser</t>
        </is>
      </c>
      <c r="C2163" s="9" t="inlineStr">
        <is>
          <t>ARI</t>
        </is>
      </c>
      <c r="D2163" s="9" t="n">
        <v>30</v>
      </c>
      <c r="E2163" s="16" t="inlineStr">
        <is>
          <t>R</t>
        </is>
      </c>
      <c r="F2163" s="16" t="inlineStr">
        <is>
          <t>2B</t>
        </is>
      </c>
      <c r="G2163" s="9" t="n">
        <v>19</v>
      </c>
      <c r="H2163" s="9" t="n">
        <v>23</v>
      </c>
      <c r="I2163" s="9" t="inlineStr">
        <is>
          <t>Depth (no MLB PA)</t>
        </is>
      </c>
      <c r="J2163" s="16" t="inlineStr">
        <is>
          <t>Opening Day</t>
        </is>
      </c>
      <c r="K2163" s="11">
        <f>IFERROR(INDEX(Roles!$B$17:$B$20,MATCH(J2163,Roles!$A$17:$A$20,0)),1)</f>
        <v/>
      </c>
      <c r="L2163" s="17" t="n">
        <v>1</v>
      </c>
      <c r="M2163" s="11" t="n">
        <v>1</v>
      </c>
      <c r="N2163" s="17" t="n"/>
      <c r="O2163" s="17" t="n"/>
      <c r="P2163" s="17" t="n"/>
      <c r="Q2163" s="17" t="n"/>
      <c r="R2163" s="17" t="n"/>
      <c r="S2163" s="17" t="n"/>
      <c r="T2163" s="17" t="n"/>
      <c r="U2163" s="17" t="n"/>
      <c r="V2163" s="17" t="n"/>
      <c r="W2163" s="17" t="n"/>
      <c r="X2163" s="17" t="n"/>
      <c r="Y2163" s="17" t="n">
        <v>1</v>
      </c>
      <c r="Z2163" s="13">
        <f>SUMPRODUCT(N2163:Y2163,$N$2:$Y$2)*$K2163*$L2163*$M2163</f>
        <v/>
      </c>
      <c r="AA2163" s="14">
        <f>SUM(N2163:Y2163)</f>
        <v/>
      </c>
      <c r="AB2163" s="14">
        <f>IFERROR(IF(UPPER($E2163)="L",SUMPRODUCT(N2163:Y2163,$N$3:$Y$3,$N$2:$Y$2),SUMPRODUCT(N2163:Y2163,$N$4:$Y$4,$N$2:$Y$2))/(Z2163/($K2163*$L2163*$M2163)),"")</f>
        <v/>
      </c>
      <c r="AC2163" s="18" t="n"/>
    </row>
    <row r="2164">
      <c r="A2164" s="9" t="n">
        <v>687284</v>
      </c>
      <c r="B2164" s="9" t="inlineStr">
        <is>
          <t>Thomas Gavello</t>
        </is>
      </c>
      <c r="C2164" s="9" t="inlineStr">
        <is>
          <t>SF</t>
        </is>
      </c>
      <c r="D2164" s="9" t="n">
        <v>25</v>
      </c>
      <c r="E2164" s="16" t="inlineStr">
        <is>
          <t>L</t>
        </is>
      </c>
      <c r="F2164" s="16" t="n"/>
      <c r="G2164" s="9" t="n">
        <v>172.0512820512821</v>
      </c>
      <c r="H2164" s="9" t="n">
        <v>172.0512820512821</v>
      </c>
      <c r="I2164" s="9" t="inlineStr">
        <is>
          <t>Depth (no MLB PA)</t>
        </is>
      </c>
      <c r="J2164" s="16" t="inlineStr">
        <is>
          <t>Opening Day</t>
        </is>
      </c>
      <c r="K2164" s="11">
        <f>IFERROR(INDEX(Roles!$B$17:$B$20,MATCH(J2164,Roles!$A$17:$A$20,0)),1)</f>
        <v/>
      </c>
      <c r="L2164" s="17" t="n">
        <v>1</v>
      </c>
      <c r="M2164" s="11" t="n">
        <v>1</v>
      </c>
      <c r="N2164" s="17" t="n"/>
      <c r="O2164" s="17" t="n"/>
      <c r="P2164" s="17" t="n"/>
      <c r="Q2164" s="17" t="n"/>
      <c r="R2164" s="17" t="n"/>
      <c r="S2164" s="17" t="n"/>
      <c r="T2164" s="17" t="n"/>
      <c r="U2164" s="17" t="n"/>
      <c r="V2164" s="17" t="n"/>
      <c r="W2164" s="17" t="n"/>
      <c r="X2164" s="17" t="n"/>
      <c r="Y2164" s="17" t="n">
        <v>1</v>
      </c>
      <c r="Z2164" s="13">
        <f>SUMPRODUCT(N2164:Y2164,$N$2:$Y$2)*$K2164*$L2164*$M2164</f>
        <v/>
      </c>
      <c r="AA2164" s="14">
        <f>SUM(N2164:Y2164)</f>
        <v/>
      </c>
      <c r="AB2164" s="14">
        <f>IFERROR(IF(UPPER($E2164)="L",SUMPRODUCT(N2164:Y2164,$N$3:$Y$3,$N$2:$Y$2),SUMPRODUCT(N2164:Y2164,$N$4:$Y$4,$N$2:$Y$2))/(Z2164/($K2164*$L2164*$M2164)),"")</f>
        <v/>
      </c>
      <c r="AC2164" s="18" t="n"/>
    </row>
    <row r="2165">
      <c r="A2165" s="9" t="n">
        <v>675430</v>
      </c>
      <c r="B2165" s="9" t="inlineStr">
        <is>
          <t>CJ Rodriguez</t>
        </is>
      </c>
      <c r="C2165" s="9" t="inlineStr">
        <is>
          <t>OAK</t>
        </is>
      </c>
      <c r="D2165" s="9" t="n">
        <v>25</v>
      </c>
      <c r="E2165" s="16" t="inlineStr">
        <is>
          <t>R</t>
        </is>
      </c>
      <c r="F2165" s="16" t="n"/>
      <c r="G2165" s="9" t="n">
        <v>35.8974358974359</v>
      </c>
      <c r="H2165" s="9" t="n">
        <v>35.8974358974359</v>
      </c>
      <c r="I2165" s="9" t="inlineStr">
        <is>
          <t>Depth (no MLB PA)</t>
        </is>
      </c>
      <c r="J2165" s="16" t="inlineStr">
        <is>
          <t>Opening Day</t>
        </is>
      </c>
      <c r="K2165" s="11">
        <f>IFERROR(INDEX(Roles!$B$17:$B$20,MATCH(J2165,Roles!$A$17:$A$20,0)),1)</f>
        <v/>
      </c>
      <c r="L2165" s="17" t="n">
        <v>1</v>
      </c>
      <c r="M2165" s="11" t="n">
        <v>1</v>
      </c>
      <c r="N2165" s="17" t="n"/>
      <c r="O2165" s="17" t="n"/>
      <c r="P2165" s="17" t="n"/>
      <c r="Q2165" s="17" t="n"/>
      <c r="R2165" s="17" t="n"/>
      <c r="S2165" s="17" t="n"/>
      <c r="T2165" s="17" t="n"/>
      <c r="U2165" s="17" t="n"/>
      <c r="V2165" s="17" t="n"/>
      <c r="W2165" s="17" t="n"/>
      <c r="X2165" s="17" t="n"/>
      <c r="Y2165" s="17" t="n">
        <v>1</v>
      </c>
      <c r="Z2165" s="13">
        <f>SUMPRODUCT(N2165:Y2165,$N$2:$Y$2)*$K2165*$L2165*$M2165</f>
        <v/>
      </c>
      <c r="AA2165" s="14">
        <f>SUM(N2165:Y2165)</f>
        <v/>
      </c>
      <c r="AB2165" s="14">
        <f>IFERROR(IF(UPPER($E2165)="L",SUMPRODUCT(N2165:Y2165,$N$3:$Y$3,$N$2:$Y$2),SUMPRODUCT(N2165:Y2165,$N$4:$Y$4,$N$2:$Y$2))/(Z2165/($K2165*$L2165*$M2165)),"")</f>
        <v/>
      </c>
      <c r="AC2165" s="18" t="n"/>
    </row>
    <row r="2166">
      <c r="A2166" s="9" t="n">
        <v>444482</v>
      </c>
      <c r="B2166" s="9" t="inlineStr">
        <is>
          <t>David Peralta</t>
        </is>
      </c>
      <c r="C2166" s="9" t="inlineStr">
        <is>
          <t>SD</t>
        </is>
      </c>
      <c r="D2166" s="9" t="n">
        <v>39</v>
      </c>
      <c r="E2166" s="16" t="inlineStr">
        <is>
          <t>L</t>
        </is>
      </c>
      <c r="F2166" s="16" t="inlineStr">
        <is>
          <t>RF</t>
        </is>
      </c>
      <c r="G2166" s="9" t="n">
        <v>260</v>
      </c>
      <c r="H2166" s="9" t="n">
        <v>1172</v>
      </c>
      <c r="I2166" s="9" t="inlineStr">
        <is>
          <t>Depth (no MLB PA)</t>
        </is>
      </c>
      <c r="J2166" s="16" t="inlineStr">
        <is>
          <t>Opening Day</t>
        </is>
      </c>
      <c r="K2166" s="11">
        <f>IFERROR(INDEX(Roles!$B$17:$B$20,MATCH(J2166,Roles!$A$17:$A$20,0)),1)</f>
        <v/>
      </c>
      <c r="L2166" s="17" t="n">
        <v>1</v>
      </c>
      <c r="M2166" s="11" t="n">
        <v>1</v>
      </c>
      <c r="N2166" s="17" t="n"/>
      <c r="O2166" s="17" t="n"/>
      <c r="P2166" s="17" t="n"/>
      <c r="Q2166" s="17" t="n"/>
      <c r="R2166" s="17" t="n"/>
      <c r="S2166" s="17" t="n"/>
      <c r="T2166" s="17" t="n"/>
      <c r="U2166" s="17" t="n"/>
      <c r="V2166" s="17" t="n"/>
      <c r="W2166" s="17" t="n"/>
      <c r="X2166" s="17" t="n"/>
      <c r="Y2166" s="17" t="n">
        <v>1</v>
      </c>
      <c r="Z2166" s="13">
        <f>SUMPRODUCT(N2166:Y2166,$N$2:$Y$2)*$K2166*$L2166*$M2166</f>
        <v/>
      </c>
      <c r="AA2166" s="14">
        <f>SUM(N2166:Y2166)</f>
        <v/>
      </c>
      <c r="AB2166" s="14">
        <f>IFERROR(IF(UPPER($E2166)="L",SUMPRODUCT(N2166:Y2166,$N$3:$Y$3,$N$2:$Y$2),SUMPRODUCT(N2166:Y2166,$N$4:$Y$4,$N$2:$Y$2))/(Z2166/($K2166*$L2166*$M2166)),"")</f>
        <v/>
      </c>
      <c r="AC2166" s="18" t="n"/>
    </row>
    <row r="2167">
      <c r="A2167" s="9" t="n">
        <v>815147</v>
      </c>
      <c r="B2167" s="9" t="inlineStr">
        <is>
          <t>Wilson Rodriguez</t>
        </is>
      </c>
      <c r="C2167" s="9" t="inlineStr">
        <is>
          <t>NYY</t>
        </is>
      </c>
      <c r="D2167" s="9" t="n">
        <v>23</v>
      </c>
      <c r="E2167" s="16" t="inlineStr">
        <is>
          <t>L</t>
        </is>
      </c>
      <c r="F2167" s="16" t="n"/>
      <c r="G2167" s="9" t="n">
        <v>72</v>
      </c>
      <c r="H2167" s="9" t="n">
        <v>72</v>
      </c>
      <c r="I2167" s="9" t="inlineStr">
        <is>
          <t>Depth (no MLB PA)</t>
        </is>
      </c>
      <c r="J2167" s="16" t="inlineStr">
        <is>
          <t>Opening Day</t>
        </is>
      </c>
      <c r="K2167" s="11">
        <f>IFERROR(INDEX(Roles!$B$17:$B$20,MATCH(J2167,Roles!$A$17:$A$20,0)),1)</f>
        <v/>
      </c>
      <c r="L2167" s="17" t="n">
        <v>1</v>
      </c>
      <c r="M2167" s="11" t="n">
        <v>1</v>
      </c>
      <c r="N2167" s="17" t="n"/>
      <c r="O2167" s="17" t="n"/>
      <c r="P2167" s="17" t="n"/>
      <c r="Q2167" s="17" t="n"/>
      <c r="R2167" s="17" t="n"/>
      <c r="S2167" s="17" t="n"/>
      <c r="T2167" s="17" t="n"/>
      <c r="U2167" s="17" t="n"/>
      <c r="V2167" s="17" t="n"/>
      <c r="W2167" s="17" t="n"/>
      <c r="X2167" s="17" t="n"/>
      <c r="Y2167" s="17" t="n">
        <v>1</v>
      </c>
      <c r="Z2167" s="13">
        <f>SUMPRODUCT(N2167:Y2167,$N$2:$Y$2)*$K2167*$L2167*$M2167</f>
        <v/>
      </c>
      <c r="AA2167" s="14">
        <f>SUM(N2167:Y2167)</f>
        <v/>
      </c>
      <c r="AB2167" s="14">
        <f>IFERROR(IF(UPPER($E2167)="L",SUMPRODUCT(N2167:Y2167,$N$3:$Y$3,$N$2:$Y$2),SUMPRODUCT(N2167:Y2167,$N$4:$Y$4,$N$2:$Y$2))/(Z2167/($K2167*$L2167*$M2167)),"")</f>
        <v/>
      </c>
      <c r="AC2167" s="18" t="n"/>
    </row>
    <row r="2168">
      <c r="A2168" s="9" t="n">
        <v>808148</v>
      </c>
      <c r="B2168" s="9" t="inlineStr">
        <is>
          <t>Eliesbert Alejos</t>
        </is>
      </c>
      <c r="C2168" s="9" t="inlineStr">
        <is>
          <t>ARI</t>
        </is>
      </c>
      <c r="D2168" s="9" t="n">
        <v>25</v>
      </c>
      <c r="E2168" s="16" t="inlineStr">
        <is>
          <t>R</t>
        </is>
      </c>
      <c r="F2168" s="16" t="n"/>
      <c r="G2168" s="9" t="n">
        <v>39.63076923076923</v>
      </c>
      <c r="H2168" s="9" t="n">
        <v>39.63076923076923</v>
      </c>
      <c r="I2168" s="9" t="inlineStr">
        <is>
          <t>Depth (no MLB PA)</t>
        </is>
      </c>
      <c r="J2168" s="16" t="inlineStr">
        <is>
          <t>Opening Day</t>
        </is>
      </c>
      <c r="K2168" s="11">
        <f>IFERROR(INDEX(Roles!$B$17:$B$20,MATCH(J2168,Roles!$A$17:$A$20,0)),1)</f>
        <v/>
      </c>
      <c r="L2168" s="17" t="n">
        <v>1</v>
      </c>
      <c r="M2168" s="11" t="n">
        <v>1</v>
      </c>
      <c r="N2168" s="17" t="n"/>
      <c r="O2168" s="17" t="n"/>
      <c r="P2168" s="17" t="n"/>
      <c r="Q2168" s="17" t="n"/>
      <c r="R2168" s="17" t="n"/>
      <c r="S2168" s="17" t="n"/>
      <c r="T2168" s="17" t="n"/>
      <c r="U2168" s="17" t="n"/>
      <c r="V2168" s="17" t="n"/>
      <c r="W2168" s="17" t="n"/>
      <c r="X2168" s="17" t="n"/>
      <c r="Y2168" s="17" t="n">
        <v>1</v>
      </c>
      <c r="Z2168" s="13">
        <f>SUMPRODUCT(N2168:Y2168,$N$2:$Y$2)*$K2168*$L2168*$M2168</f>
        <v/>
      </c>
      <c r="AA2168" s="14">
        <f>SUM(N2168:Y2168)</f>
        <v/>
      </c>
      <c r="AB2168" s="14">
        <f>IFERROR(IF(UPPER($E2168)="L",SUMPRODUCT(N2168:Y2168,$N$3:$Y$3,$N$2:$Y$2),SUMPRODUCT(N2168:Y2168,$N$4:$Y$4,$N$2:$Y$2))/(Z2168/($K2168*$L2168*$M2168)),"")</f>
        <v/>
      </c>
      <c r="AC2168" s="18" t="n"/>
    </row>
    <row r="2169">
      <c r="A2169" s="9" t="n">
        <v>814194</v>
      </c>
      <c r="B2169" s="9" t="inlineStr">
        <is>
          <t>Quinn McDaniel</t>
        </is>
      </c>
      <c r="C2169" s="9" t="inlineStr">
        <is>
          <t>MIN</t>
        </is>
      </c>
      <c r="D2169" s="9" t="n">
        <v>25</v>
      </c>
      <c r="E2169" s="16" t="inlineStr">
        <is>
          <t>R</t>
        </is>
      </c>
      <c r="F2169" s="16" t="n"/>
      <c r="G2169" s="9" t="n">
        <v>43.79487179487179</v>
      </c>
      <c r="H2169" s="9" t="n">
        <v>43.79487179487179</v>
      </c>
      <c r="I2169" s="9" t="inlineStr">
        <is>
          <t>Depth (no MLB PA)</t>
        </is>
      </c>
      <c r="J2169" s="16" t="inlineStr">
        <is>
          <t>Opening Day</t>
        </is>
      </c>
      <c r="K2169" s="11">
        <f>IFERROR(INDEX(Roles!$B$17:$B$20,MATCH(J2169,Roles!$A$17:$A$20,0)),1)</f>
        <v/>
      </c>
      <c r="L2169" s="17" t="n">
        <v>1</v>
      </c>
      <c r="M2169" s="11" t="n">
        <v>1</v>
      </c>
      <c r="N2169" s="17" t="n"/>
      <c r="O2169" s="17" t="n"/>
      <c r="P2169" s="17" t="n"/>
      <c r="Q2169" s="17" t="n"/>
      <c r="R2169" s="17" t="n"/>
      <c r="S2169" s="17" t="n"/>
      <c r="T2169" s="17" t="n"/>
      <c r="U2169" s="17" t="n"/>
      <c r="V2169" s="17" t="n"/>
      <c r="W2169" s="17" t="n"/>
      <c r="X2169" s="17" t="n"/>
      <c r="Y2169" s="17" t="n">
        <v>1</v>
      </c>
      <c r="Z2169" s="13">
        <f>SUMPRODUCT(N2169:Y2169,$N$2:$Y$2)*$K2169*$L2169*$M2169</f>
        <v/>
      </c>
      <c r="AA2169" s="14">
        <f>SUM(N2169:Y2169)</f>
        <v/>
      </c>
      <c r="AB2169" s="14">
        <f>IFERROR(IF(UPPER($E2169)="L",SUMPRODUCT(N2169:Y2169,$N$3:$Y$3,$N$2:$Y$2),SUMPRODUCT(N2169:Y2169,$N$4:$Y$4,$N$2:$Y$2))/(Z2169/($K2169*$L2169*$M2169)),"")</f>
        <v/>
      </c>
      <c r="AC2169" s="18" t="n"/>
    </row>
    <row r="2170">
      <c r="A2170" s="9" t="n">
        <v>694749</v>
      </c>
      <c r="B2170" s="9" t="inlineStr">
        <is>
          <t>Dylan Campbell</t>
        </is>
      </c>
      <c r="C2170" s="9" t="inlineStr">
        <is>
          <t>CWS</t>
        </is>
      </c>
      <c r="D2170" s="9" t="n">
        <v>25</v>
      </c>
      <c r="E2170" s="16" t="inlineStr">
        <is>
          <t>R</t>
        </is>
      </c>
      <c r="F2170" s="16" t="n"/>
      <c r="G2170" s="9" t="n">
        <v>190.6153846153846</v>
      </c>
      <c r="H2170" s="9" t="n">
        <v>190.6153846153846</v>
      </c>
      <c r="I2170" s="9" t="inlineStr">
        <is>
          <t>Depth (no MLB PA)</t>
        </is>
      </c>
      <c r="J2170" s="16" t="inlineStr">
        <is>
          <t>Opening Day</t>
        </is>
      </c>
      <c r="K2170" s="11">
        <f>IFERROR(INDEX(Roles!$B$17:$B$20,MATCH(J2170,Roles!$A$17:$A$20,0)),1)</f>
        <v/>
      </c>
      <c r="L2170" s="17" t="n">
        <v>1</v>
      </c>
      <c r="M2170" s="11" t="n">
        <v>1</v>
      </c>
      <c r="N2170" s="17" t="n"/>
      <c r="O2170" s="17" t="n"/>
      <c r="P2170" s="17" t="n"/>
      <c r="Q2170" s="17" t="n"/>
      <c r="R2170" s="17" t="n"/>
      <c r="S2170" s="17" t="n"/>
      <c r="T2170" s="17" t="n"/>
      <c r="U2170" s="17" t="n"/>
      <c r="V2170" s="17" t="n"/>
      <c r="W2170" s="17" t="n"/>
      <c r="X2170" s="17" t="n"/>
      <c r="Y2170" s="17" t="n">
        <v>1</v>
      </c>
      <c r="Z2170" s="13">
        <f>SUMPRODUCT(N2170:Y2170,$N$2:$Y$2)*$K2170*$L2170*$M2170</f>
        <v/>
      </c>
      <c r="AA2170" s="14">
        <f>SUM(N2170:Y2170)</f>
        <v/>
      </c>
      <c r="AB2170" s="14">
        <f>IFERROR(IF(UPPER($E2170)="L",SUMPRODUCT(N2170:Y2170,$N$3:$Y$3,$N$2:$Y$2),SUMPRODUCT(N2170:Y2170,$N$4:$Y$4,$N$2:$Y$2))/(Z2170/($K2170*$L2170*$M2170)),"")</f>
        <v/>
      </c>
      <c r="AC2170" s="18" t="n"/>
    </row>
    <row r="2171">
      <c r="A2171" s="9" t="n">
        <v>687529</v>
      </c>
      <c r="B2171" s="9" t="inlineStr">
        <is>
          <t>Grant McCray</t>
        </is>
      </c>
      <c r="C2171" s="9" t="inlineStr">
        <is>
          <t>SF</t>
        </is>
      </c>
      <c r="D2171" s="9" t="n">
        <v>26</v>
      </c>
      <c r="E2171" s="16" t="inlineStr">
        <is>
          <t>L</t>
        </is>
      </c>
      <c r="F2171" s="16" t="inlineStr">
        <is>
          <t>LF</t>
        </is>
      </c>
      <c r="G2171" s="9" t="n">
        <v>91</v>
      </c>
      <c r="H2171" s="9" t="n">
        <v>247</v>
      </c>
      <c r="I2171" s="9" t="inlineStr">
        <is>
          <t>Bench Bat</t>
        </is>
      </c>
      <c r="J2171" s="16" t="inlineStr">
        <is>
          <t>Opening Day</t>
        </is>
      </c>
      <c r="K2171" s="11">
        <f>IFERROR(INDEX(Roles!$B$17:$B$20,MATCH(J2171,Roles!$A$17:$A$20,0)),1)</f>
        <v/>
      </c>
      <c r="L2171" s="17" t="n">
        <v>1</v>
      </c>
      <c r="M2171" s="11" t="n">
        <v>1</v>
      </c>
      <c r="N2171" s="17" t="n"/>
      <c r="O2171" s="17" t="n"/>
      <c r="P2171" s="17" t="n"/>
      <c r="Q2171" s="17" t="n"/>
      <c r="R2171" s="17" t="n"/>
      <c r="S2171" s="17" t="n"/>
      <c r="T2171" s="17" t="n"/>
      <c r="U2171" s="17" t="n"/>
      <c r="V2171" s="17" t="n">
        <v>0.4</v>
      </c>
      <c r="W2171" s="17" t="n">
        <v>0.6</v>
      </c>
      <c r="X2171" s="17" t="n"/>
      <c r="Y2171" s="17" t="n"/>
      <c r="Z2171" s="13">
        <f>SUMPRODUCT(N2171:Y2171,$N$2:$Y$2)*$K2171*$L2171*$M2171</f>
        <v/>
      </c>
      <c r="AA2171" s="14">
        <f>SUM(N2171:Y2171)</f>
        <v/>
      </c>
      <c r="AB2171" s="14">
        <f>IFERROR(IF(UPPER($E2171)="L",SUMPRODUCT(N2171:Y2171,$N$3:$Y$3,$N$2:$Y$2),SUMPRODUCT(N2171:Y2171,$N$4:$Y$4,$N$2:$Y$2))/(Z2171/($K2171*$L2171*$M2171)),"")</f>
        <v/>
      </c>
      <c r="AC2171" s="18" t="n"/>
    </row>
    <row r="2172">
      <c r="A2172" s="9" t="n">
        <v>800285</v>
      </c>
      <c r="B2172" s="9" t="inlineStr">
        <is>
          <t>Enmanuel Tejeda</t>
        </is>
      </c>
      <c r="C2172" s="9" t="inlineStr">
        <is>
          <t>NYY</t>
        </is>
      </c>
      <c r="D2172" s="9" t="n">
        <v>25</v>
      </c>
      <c r="E2172" s="16" t="inlineStr">
        <is>
          <t>R</t>
        </is>
      </c>
      <c r="F2172" s="16" t="n"/>
      <c r="G2172" s="9" t="n">
        <v>69.12820512820512</v>
      </c>
      <c r="H2172" s="9" t="n">
        <v>69.12820512820512</v>
      </c>
      <c r="I2172" s="9" t="inlineStr">
        <is>
          <t>Depth (no MLB PA)</t>
        </is>
      </c>
      <c r="J2172" s="16" t="inlineStr">
        <is>
          <t>Opening Day</t>
        </is>
      </c>
      <c r="K2172" s="11">
        <f>IFERROR(INDEX(Roles!$B$17:$B$20,MATCH(J2172,Roles!$A$17:$A$20,0)),1)</f>
        <v/>
      </c>
      <c r="L2172" s="17" t="n">
        <v>1</v>
      </c>
      <c r="M2172" s="11" t="n">
        <v>1</v>
      </c>
      <c r="N2172" s="17" t="n"/>
      <c r="O2172" s="17" t="n"/>
      <c r="P2172" s="17" t="n"/>
      <c r="Q2172" s="17" t="n"/>
      <c r="R2172" s="17" t="n"/>
      <c r="S2172" s="17" t="n"/>
      <c r="T2172" s="17" t="n"/>
      <c r="U2172" s="17" t="n"/>
      <c r="V2172" s="17" t="n"/>
      <c r="W2172" s="17" t="n"/>
      <c r="X2172" s="17" t="n"/>
      <c r="Y2172" s="17" t="n">
        <v>1</v>
      </c>
      <c r="Z2172" s="13">
        <f>SUMPRODUCT(N2172:Y2172,$N$2:$Y$2)*$K2172*$L2172*$M2172</f>
        <v/>
      </c>
      <c r="AA2172" s="14">
        <f>SUM(N2172:Y2172)</f>
        <v/>
      </c>
      <c r="AB2172" s="14">
        <f>IFERROR(IF(UPPER($E2172)="L",SUMPRODUCT(N2172:Y2172,$N$3:$Y$3,$N$2:$Y$2),SUMPRODUCT(N2172:Y2172,$N$4:$Y$4,$N$2:$Y$2))/(Z2172/($K2172*$L2172*$M2172)),"")</f>
        <v/>
      </c>
      <c r="AC2172" s="18" t="n"/>
    </row>
    <row r="2173">
      <c r="A2173" s="9" t="n">
        <v>694218</v>
      </c>
      <c r="B2173" s="9" t="inlineStr">
        <is>
          <t>Yeison Morrobel</t>
        </is>
      </c>
      <c r="C2173" s="9" t="inlineStr">
        <is>
          <t>TEX</t>
        </is>
      </c>
      <c r="D2173" s="9" t="n">
        <v>25</v>
      </c>
      <c r="E2173" s="16" t="inlineStr">
        <is>
          <t>L</t>
        </is>
      </c>
      <c r="F2173" s="16" t="n"/>
      <c r="G2173" s="9" t="n">
        <v>66.76923076923077</v>
      </c>
      <c r="H2173" s="9" t="n">
        <v>66.76923076923077</v>
      </c>
      <c r="I2173" s="9" t="inlineStr">
        <is>
          <t>Depth (no MLB PA)</t>
        </is>
      </c>
      <c r="J2173" s="16" t="inlineStr">
        <is>
          <t>Opening Day</t>
        </is>
      </c>
      <c r="K2173" s="11">
        <f>IFERROR(INDEX(Roles!$B$17:$B$20,MATCH(J2173,Roles!$A$17:$A$20,0)),1)</f>
        <v/>
      </c>
      <c r="L2173" s="17" t="n">
        <v>1</v>
      </c>
      <c r="M2173" s="11" t="n">
        <v>1</v>
      </c>
      <c r="N2173" s="17" t="n"/>
      <c r="O2173" s="17" t="n"/>
      <c r="P2173" s="17" t="n"/>
      <c r="Q2173" s="17" t="n"/>
      <c r="R2173" s="17" t="n"/>
      <c r="S2173" s="17" t="n"/>
      <c r="T2173" s="17" t="n"/>
      <c r="U2173" s="17" t="n"/>
      <c r="V2173" s="17" t="n"/>
      <c r="W2173" s="17" t="n"/>
      <c r="X2173" s="17" t="n"/>
      <c r="Y2173" s="17" t="n">
        <v>1</v>
      </c>
      <c r="Z2173" s="13">
        <f>SUMPRODUCT(N2173:Y2173,$N$2:$Y$2)*$K2173*$L2173*$M2173</f>
        <v/>
      </c>
      <c r="AA2173" s="14">
        <f>SUM(N2173:Y2173)</f>
        <v/>
      </c>
      <c r="AB2173" s="14">
        <f>IFERROR(IF(UPPER($E2173)="L",SUMPRODUCT(N2173:Y2173,$N$3:$Y$3,$N$2:$Y$2),SUMPRODUCT(N2173:Y2173,$N$4:$Y$4,$N$2:$Y$2))/(Z2173/($K2173*$L2173*$M2173)),"")</f>
        <v/>
      </c>
      <c r="AC2173" s="18" t="n"/>
    </row>
    <row r="2174">
      <c r="A2174" s="9" t="n">
        <v>687714</v>
      </c>
      <c r="B2174" s="9" t="inlineStr">
        <is>
          <t>Jackson Cluff</t>
        </is>
      </c>
      <c r="C2174" s="9" t="inlineStr">
        <is>
          <t>CHC</t>
        </is>
      </c>
      <c r="D2174" s="9" t="n">
        <v>25</v>
      </c>
      <c r="E2174" s="16" t="inlineStr">
        <is>
          <t>L</t>
        </is>
      </c>
      <c r="F2174" s="16" t="n"/>
      <c r="G2174" s="9" t="n">
        <v>152.3076923076923</v>
      </c>
      <c r="H2174" s="9" t="n">
        <v>152.3076923076923</v>
      </c>
      <c r="I2174" s="9" t="inlineStr">
        <is>
          <t>Depth (no MLB PA)</t>
        </is>
      </c>
      <c r="J2174" s="16" t="inlineStr">
        <is>
          <t>Opening Day</t>
        </is>
      </c>
      <c r="K2174" s="11">
        <f>IFERROR(INDEX(Roles!$B$17:$B$20,MATCH(J2174,Roles!$A$17:$A$20,0)),1)</f>
        <v/>
      </c>
      <c r="L2174" s="17" t="n">
        <v>1</v>
      </c>
      <c r="M2174" s="11" t="n">
        <v>1</v>
      </c>
      <c r="N2174" s="17" t="n"/>
      <c r="O2174" s="17" t="n"/>
      <c r="P2174" s="17" t="n"/>
      <c r="Q2174" s="17" t="n"/>
      <c r="R2174" s="17" t="n"/>
      <c r="S2174" s="17" t="n"/>
      <c r="T2174" s="17" t="n"/>
      <c r="U2174" s="17" t="n"/>
      <c r="V2174" s="17" t="n"/>
      <c r="W2174" s="17" t="n"/>
      <c r="X2174" s="17" t="n"/>
      <c r="Y2174" s="17" t="n">
        <v>1</v>
      </c>
      <c r="Z2174" s="13">
        <f>SUMPRODUCT(N2174:Y2174,$N$2:$Y$2)*$K2174*$L2174*$M2174</f>
        <v/>
      </c>
      <c r="AA2174" s="14">
        <f>SUM(N2174:Y2174)</f>
        <v/>
      </c>
      <c r="AB2174" s="14">
        <f>IFERROR(IF(UPPER($E2174)="L",SUMPRODUCT(N2174:Y2174,$N$3:$Y$3,$N$2:$Y$2),SUMPRODUCT(N2174:Y2174,$N$4:$Y$4,$N$2:$Y$2))/(Z2174/($K2174*$L2174*$M2174)),"")</f>
        <v/>
      </c>
      <c r="AC2174" s="18" t="n"/>
    </row>
    <row r="2175">
      <c r="A2175" s="9" t="n">
        <v>692025</v>
      </c>
      <c r="B2175" s="9" t="inlineStr">
        <is>
          <t>Carlos Rodriguez</t>
        </is>
      </c>
      <c r="C2175" s="9" t="inlineStr">
        <is>
          <t>SD</t>
        </is>
      </c>
      <c r="D2175" s="9" t="n">
        <v>25</v>
      </c>
      <c r="E2175" s="16" t="inlineStr">
        <is>
          <t>L</t>
        </is>
      </c>
      <c r="F2175" s="16" t="n"/>
      <c r="G2175" s="9" t="n">
        <v>68.1025641025641</v>
      </c>
      <c r="H2175" s="9" t="n">
        <v>68.1025641025641</v>
      </c>
      <c r="I2175" s="9" t="inlineStr">
        <is>
          <t>Depth (no MLB PA)</t>
        </is>
      </c>
      <c r="J2175" s="16" t="inlineStr">
        <is>
          <t>Opening Day</t>
        </is>
      </c>
      <c r="K2175" s="11">
        <f>IFERROR(INDEX(Roles!$B$17:$B$20,MATCH(J2175,Roles!$A$17:$A$20,0)),1)</f>
        <v/>
      </c>
      <c r="L2175" s="17" t="n">
        <v>1</v>
      </c>
      <c r="M2175" s="11" t="n">
        <v>1</v>
      </c>
      <c r="N2175" s="17" t="n"/>
      <c r="O2175" s="17" t="n"/>
      <c r="P2175" s="17" t="n"/>
      <c r="Q2175" s="17" t="n"/>
      <c r="R2175" s="17" t="n"/>
      <c r="S2175" s="17" t="n"/>
      <c r="T2175" s="17" t="n"/>
      <c r="U2175" s="17" t="n"/>
      <c r="V2175" s="17" t="n"/>
      <c r="W2175" s="17" t="n"/>
      <c r="X2175" s="17" t="n"/>
      <c r="Y2175" s="17" t="n">
        <v>1</v>
      </c>
      <c r="Z2175" s="13">
        <f>SUMPRODUCT(N2175:Y2175,$N$2:$Y$2)*$K2175*$L2175*$M2175</f>
        <v/>
      </c>
      <c r="AA2175" s="14">
        <f>SUM(N2175:Y2175)</f>
        <v/>
      </c>
      <c r="AB2175" s="14">
        <f>IFERROR(IF(UPPER($E2175)="L",SUMPRODUCT(N2175:Y2175,$N$3:$Y$3,$N$2:$Y$2),SUMPRODUCT(N2175:Y2175,$N$4:$Y$4,$N$2:$Y$2))/(Z2175/($K2175*$L2175*$M2175)),"")</f>
        <v/>
      </c>
      <c r="AC2175" s="18" t="n"/>
    </row>
    <row r="2176">
      <c r="A2176" s="9" t="n">
        <v>815903</v>
      </c>
      <c r="B2176" s="9" t="inlineStr">
        <is>
          <t>Ashly Andujar</t>
        </is>
      </c>
      <c r="C2176" s="9" t="inlineStr">
        <is>
          <t>COL</t>
        </is>
      </c>
      <c r="D2176" s="9" t="n">
        <v>25</v>
      </c>
      <c r="E2176" s="16" t="inlineStr">
        <is>
          <t>S</t>
        </is>
      </c>
      <c r="F2176" s="16" t="n"/>
      <c r="G2176" s="9" t="n">
        <v>43.44615384615384</v>
      </c>
      <c r="H2176" s="9" t="n">
        <v>43.44615384615384</v>
      </c>
      <c r="I2176" s="9" t="inlineStr">
        <is>
          <t>Depth (no MLB PA)</t>
        </is>
      </c>
      <c r="J2176" s="16" t="inlineStr">
        <is>
          <t>Opening Day</t>
        </is>
      </c>
      <c r="K2176" s="11">
        <f>IFERROR(INDEX(Roles!$B$17:$B$20,MATCH(J2176,Roles!$A$17:$A$20,0)),1)</f>
        <v/>
      </c>
      <c r="L2176" s="17" t="n">
        <v>1</v>
      </c>
      <c r="M2176" s="11" t="n">
        <v>1</v>
      </c>
      <c r="N2176" s="17" t="n"/>
      <c r="O2176" s="17" t="n"/>
      <c r="P2176" s="17" t="n"/>
      <c r="Q2176" s="17" t="n"/>
      <c r="R2176" s="17" t="n"/>
      <c r="S2176" s="17" t="n"/>
      <c r="T2176" s="17" t="n"/>
      <c r="U2176" s="17" t="n"/>
      <c r="V2176" s="17" t="n"/>
      <c r="W2176" s="17" t="n"/>
      <c r="X2176" s="17" t="n"/>
      <c r="Y2176" s="17" t="n">
        <v>1</v>
      </c>
      <c r="Z2176" s="13">
        <f>SUMPRODUCT(N2176:Y2176,$N$2:$Y$2)*$K2176*$L2176*$M2176</f>
        <v/>
      </c>
      <c r="AA2176" s="14">
        <f>SUM(N2176:Y2176)</f>
        <v/>
      </c>
      <c r="AB2176" s="14">
        <f>IFERROR(IF(UPPER($E2176)="L",SUMPRODUCT(N2176:Y2176,$N$3:$Y$3,$N$2:$Y$2),SUMPRODUCT(N2176:Y2176,$N$4:$Y$4,$N$2:$Y$2))/(Z2176/($K2176*$L2176*$M2176)),"")</f>
        <v/>
      </c>
      <c r="AC2176" s="18" t="n"/>
    </row>
    <row r="2177">
      <c r="A2177" s="9" t="n">
        <v>806959</v>
      </c>
      <c r="B2177" s="9" t="inlineStr">
        <is>
          <t>Joendry Vargas</t>
        </is>
      </c>
      <c r="C2177" s="9" t="inlineStr">
        <is>
          <t>LAD</t>
        </is>
      </c>
      <c r="D2177" s="9" t="n">
        <v>25</v>
      </c>
      <c r="E2177" s="16" t="inlineStr">
        <is>
          <t>R</t>
        </is>
      </c>
      <c r="F2177" s="16" t="n"/>
      <c r="G2177" s="9" t="n">
        <v>66.70769230769231</v>
      </c>
      <c r="H2177" s="9" t="n">
        <v>66.70769230769231</v>
      </c>
      <c r="I2177" s="9" t="inlineStr">
        <is>
          <t>Depth (no MLB PA)</t>
        </is>
      </c>
      <c r="J2177" s="16" t="inlineStr">
        <is>
          <t>Opening Day</t>
        </is>
      </c>
      <c r="K2177" s="11">
        <f>IFERROR(INDEX(Roles!$B$17:$B$20,MATCH(J2177,Roles!$A$17:$A$20,0)),1)</f>
        <v/>
      </c>
      <c r="L2177" s="17" t="n">
        <v>1</v>
      </c>
      <c r="M2177" s="11" t="n">
        <v>1</v>
      </c>
      <c r="N2177" s="17" t="n"/>
      <c r="O2177" s="17" t="n"/>
      <c r="P2177" s="17" t="n"/>
      <c r="Q2177" s="17" t="n"/>
      <c r="R2177" s="17" t="n"/>
      <c r="S2177" s="17" t="n"/>
      <c r="T2177" s="17" t="n"/>
      <c r="U2177" s="17" t="n"/>
      <c r="V2177" s="17" t="n"/>
      <c r="W2177" s="17" t="n"/>
      <c r="X2177" s="17" t="n"/>
      <c r="Y2177" s="17" t="n">
        <v>1</v>
      </c>
      <c r="Z2177" s="13">
        <f>SUMPRODUCT(N2177:Y2177,$N$2:$Y$2)*$K2177*$L2177*$M2177</f>
        <v/>
      </c>
      <c r="AA2177" s="14">
        <f>SUM(N2177:Y2177)</f>
        <v/>
      </c>
      <c r="AB2177" s="14">
        <f>IFERROR(IF(UPPER($E2177)="L",SUMPRODUCT(N2177:Y2177,$N$3:$Y$3,$N$2:$Y$2),SUMPRODUCT(N2177:Y2177,$N$4:$Y$4,$N$2:$Y$2))/(Z2177/($K2177*$L2177*$M2177)),"")</f>
        <v/>
      </c>
      <c r="AC2177" s="18" t="n"/>
    </row>
    <row r="2178">
      <c r="A2178" s="9" t="n">
        <v>815067</v>
      </c>
      <c r="B2178" s="9" t="inlineStr">
        <is>
          <t>Aidan Longwell</t>
        </is>
      </c>
      <c r="C2178" s="9" t="inlineStr">
        <is>
          <t>COL</t>
        </is>
      </c>
      <c r="D2178" s="9" t="n">
        <v>25</v>
      </c>
      <c r="E2178" s="16" t="inlineStr">
        <is>
          <t>L</t>
        </is>
      </c>
      <c r="F2178" s="16" t="n"/>
      <c r="G2178" s="9" t="n">
        <v>134.2564102564102</v>
      </c>
      <c r="H2178" s="9" t="n">
        <v>134.2564102564102</v>
      </c>
      <c r="I2178" s="9" t="inlineStr">
        <is>
          <t>Depth (no MLB PA)</t>
        </is>
      </c>
      <c r="J2178" s="16" t="inlineStr">
        <is>
          <t>Opening Day</t>
        </is>
      </c>
      <c r="K2178" s="11">
        <f>IFERROR(INDEX(Roles!$B$17:$B$20,MATCH(J2178,Roles!$A$17:$A$20,0)),1)</f>
        <v/>
      </c>
      <c r="L2178" s="17" t="n">
        <v>1</v>
      </c>
      <c r="M2178" s="11" t="n">
        <v>1</v>
      </c>
      <c r="N2178" s="17" t="n"/>
      <c r="O2178" s="17" t="n"/>
      <c r="P2178" s="17" t="n"/>
      <c r="Q2178" s="17" t="n"/>
      <c r="R2178" s="17" t="n"/>
      <c r="S2178" s="17" t="n"/>
      <c r="T2178" s="17" t="n"/>
      <c r="U2178" s="17" t="n"/>
      <c r="V2178" s="17" t="n"/>
      <c r="W2178" s="17" t="n"/>
      <c r="X2178" s="17" t="n"/>
      <c r="Y2178" s="17" t="n">
        <v>1</v>
      </c>
      <c r="Z2178" s="13">
        <f>SUMPRODUCT(N2178:Y2178,$N$2:$Y$2)*$K2178*$L2178*$M2178</f>
        <v/>
      </c>
      <c r="AA2178" s="14">
        <f>SUM(N2178:Y2178)</f>
        <v/>
      </c>
      <c r="AB2178" s="14">
        <f>IFERROR(IF(UPPER($E2178)="L",SUMPRODUCT(N2178:Y2178,$N$3:$Y$3,$N$2:$Y$2),SUMPRODUCT(N2178:Y2178,$N$4:$Y$4,$N$2:$Y$2))/(Z2178/($K2178*$L2178*$M2178)),"")</f>
        <v/>
      </c>
      <c r="AC2178" s="18" t="n"/>
    </row>
    <row r="2179">
      <c r="A2179" s="9" t="n">
        <v>808535</v>
      </c>
      <c r="B2179" s="9" t="inlineStr">
        <is>
          <t>John Gil</t>
        </is>
      </c>
      <c r="C2179" s="9" t="inlineStr">
        <is>
          <t>ATL</t>
        </is>
      </c>
      <c r="D2179" s="9" t="n">
        <v>21</v>
      </c>
      <c r="E2179" s="16" t="inlineStr">
        <is>
          <t>R</t>
        </is>
      </c>
      <c r="F2179" s="16" t="n"/>
      <c r="G2179" s="9" t="n">
        <v>56.71794871794871</v>
      </c>
      <c r="H2179" s="9" t="n">
        <v>56.71794871794871</v>
      </c>
      <c r="I2179" s="9" t="inlineStr">
        <is>
          <t>Bench Bat</t>
        </is>
      </c>
      <c r="J2179" s="16" t="inlineStr">
        <is>
          <t>Mid Season (~July)</t>
        </is>
      </c>
      <c r="K2179" s="11">
        <f>IFERROR(INDEX(Roles!$B$17:$B$20,MATCH(J2179,Roles!$A$17:$A$20,0)),1)</f>
        <v/>
      </c>
      <c r="L2179" s="17" t="n">
        <v>1</v>
      </c>
      <c r="M2179" s="11" t="n">
        <v>1</v>
      </c>
      <c r="N2179" s="17" t="n"/>
      <c r="O2179" s="17" t="n"/>
      <c r="P2179" s="17" t="n">
        <v>0.26</v>
      </c>
      <c r="Q2179" s="17" t="n"/>
      <c r="R2179" s="17" t="n"/>
      <c r="S2179" s="17" t="n"/>
      <c r="T2179" s="17" t="n"/>
      <c r="U2179" s="17" t="n"/>
      <c r="V2179" s="17" t="n"/>
      <c r="W2179" s="17" t="n">
        <v>0.5</v>
      </c>
      <c r="X2179" s="17" t="n">
        <v>0.24</v>
      </c>
      <c r="Y2179" s="17" t="n"/>
      <c r="Z2179" s="13">
        <f>SUMPRODUCT(N2179:Y2179,$N$2:$Y$2)*$K2179*$L2179*$M2179</f>
        <v/>
      </c>
      <c r="AA2179" s="14">
        <f>SUM(N2179:Y2179)</f>
        <v/>
      </c>
      <c r="AB2179" s="14">
        <f>IFERROR(IF(UPPER($E2179)="L",SUMPRODUCT(N2179:Y2179,$N$3:$Y$3,$N$2:$Y$2),SUMPRODUCT(N2179:Y2179,$N$4:$Y$4,$N$2:$Y$2))/(Z2179/($K2179*$L2179*$M2179)),"")</f>
        <v/>
      </c>
      <c r="AC2179" s="18" t="n"/>
    </row>
    <row r="2180">
      <c r="A2180" s="9" t="n">
        <v>821130</v>
      </c>
      <c r="B2180" s="9" t="inlineStr">
        <is>
          <t>Avinson Pinto</t>
        </is>
      </c>
      <c r="C2180" s="9" t="inlineStr">
        <is>
          <t>BOS</t>
        </is>
      </c>
      <c r="D2180" s="9" t="n">
        <v>25</v>
      </c>
      <c r="E2180" s="16" t="inlineStr">
        <is>
          <t>L</t>
        </is>
      </c>
      <c r="F2180" s="16" t="n"/>
      <c r="G2180" s="9" t="n">
        <v>48.73846153846154</v>
      </c>
      <c r="H2180" s="9" t="n">
        <v>48.73846153846154</v>
      </c>
      <c r="I2180" s="9" t="inlineStr">
        <is>
          <t>Depth (no MLB PA)</t>
        </is>
      </c>
      <c r="J2180" s="16" t="inlineStr">
        <is>
          <t>Opening Day</t>
        </is>
      </c>
      <c r="K2180" s="11">
        <f>IFERROR(INDEX(Roles!$B$17:$B$20,MATCH(J2180,Roles!$A$17:$A$20,0)),1)</f>
        <v/>
      </c>
      <c r="L2180" s="17" t="n">
        <v>1</v>
      </c>
      <c r="M2180" s="11" t="n">
        <v>1</v>
      </c>
      <c r="N2180" s="17" t="n"/>
      <c r="O2180" s="17" t="n"/>
      <c r="P2180" s="17" t="n"/>
      <c r="Q2180" s="17" t="n"/>
      <c r="R2180" s="17" t="n"/>
      <c r="S2180" s="17" t="n"/>
      <c r="T2180" s="17" t="n"/>
      <c r="U2180" s="17" t="n"/>
      <c r="V2180" s="17" t="n"/>
      <c r="W2180" s="17" t="n"/>
      <c r="X2180" s="17" t="n"/>
      <c r="Y2180" s="17" t="n">
        <v>1</v>
      </c>
      <c r="Z2180" s="13">
        <f>SUMPRODUCT(N2180:Y2180,$N$2:$Y$2)*$K2180*$L2180*$M2180</f>
        <v/>
      </c>
      <c r="AA2180" s="14">
        <f>SUM(N2180:Y2180)</f>
        <v/>
      </c>
      <c r="AB2180" s="14">
        <f>IFERROR(IF(UPPER($E2180)="L",SUMPRODUCT(N2180:Y2180,$N$3:$Y$3,$N$2:$Y$2),SUMPRODUCT(N2180:Y2180,$N$4:$Y$4,$N$2:$Y$2))/(Z2180/($K2180*$L2180*$M2180)),"")</f>
        <v/>
      </c>
      <c r="AC2180" s="18" t="n"/>
    </row>
    <row r="2181">
      <c r="A2181" s="9" t="n">
        <v>808696</v>
      </c>
      <c r="B2181" s="9" t="inlineStr">
        <is>
          <t>Stiven Flores</t>
        </is>
      </c>
      <c r="C2181" s="9" t="inlineStr">
        <is>
          <t>CWS</t>
        </is>
      </c>
      <c r="D2181" s="9" t="n">
        <v>25</v>
      </c>
      <c r="E2181" s="16" t="inlineStr">
        <is>
          <t>R</t>
        </is>
      </c>
      <c r="F2181" s="16" t="n"/>
      <c r="G2181" s="9" t="n">
        <v>46.15384615384615</v>
      </c>
      <c r="H2181" s="9" t="n">
        <v>46.15384615384615</v>
      </c>
      <c r="I2181" s="9" t="inlineStr">
        <is>
          <t>Depth (no MLB PA)</t>
        </is>
      </c>
      <c r="J2181" s="16" t="inlineStr">
        <is>
          <t>Opening Day</t>
        </is>
      </c>
      <c r="K2181" s="11">
        <f>IFERROR(INDEX(Roles!$B$17:$B$20,MATCH(J2181,Roles!$A$17:$A$20,0)),1)</f>
        <v/>
      </c>
      <c r="L2181" s="17" t="n">
        <v>1</v>
      </c>
      <c r="M2181" s="11" t="n">
        <v>1</v>
      </c>
      <c r="N2181" s="17" t="n"/>
      <c r="O2181" s="17" t="n"/>
      <c r="P2181" s="17" t="n"/>
      <c r="Q2181" s="17" t="n"/>
      <c r="R2181" s="17" t="n"/>
      <c r="S2181" s="17" t="n"/>
      <c r="T2181" s="17" t="n"/>
      <c r="U2181" s="17" t="n"/>
      <c r="V2181" s="17" t="n"/>
      <c r="W2181" s="17" t="n"/>
      <c r="X2181" s="17" t="n"/>
      <c r="Y2181" s="17" t="n">
        <v>1</v>
      </c>
      <c r="Z2181" s="13">
        <f>SUMPRODUCT(N2181:Y2181,$N$2:$Y$2)*$K2181*$L2181*$M2181</f>
        <v/>
      </c>
      <c r="AA2181" s="14">
        <f>SUM(N2181:Y2181)</f>
        <v/>
      </c>
      <c r="AB2181" s="14">
        <f>IFERROR(IF(UPPER($E2181)="L",SUMPRODUCT(N2181:Y2181,$N$3:$Y$3,$N$2:$Y$2),SUMPRODUCT(N2181:Y2181,$N$4:$Y$4,$N$2:$Y$2))/(Z2181/($K2181*$L2181*$M2181)),"")</f>
        <v/>
      </c>
      <c r="AC2181" s="18" t="n"/>
    </row>
    <row r="2182">
      <c r="A2182" s="9" t="n">
        <v>678225</v>
      </c>
      <c r="B2182" s="9" t="inlineStr">
        <is>
          <t>Jihwan Bae</t>
        </is>
      </c>
      <c r="C2182" s="9" t="inlineStr">
        <is>
          <t>PIT</t>
        </is>
      </c>
      <c r="D2182" s="9" t="n">
        <v>27</v>
      </c>
      <c r="E2182" s="16" t="inlineStr">
        <is>
          <t>L</t>
        </is>
      </c>
      <c r="F2182" s="16" t="inlineStr">
        <is>
          <t>2B</t>
        </is>
      </c>
      <c r="G2182" s="9" t="n">
        <v>4</v>
      </c>
      <c r="H2182" s="9" t="n">
        <v>518</v>
      </c>
      <c r="I2182" s="9" t="inlineStr">
        <is>
          <t>Bench Bat</t>
        </is>
      </c>
      <c r="J2182" s="16" t="inlineStr">
        <is>
          <t>Opening Day</t>
        </is>
      </c>
      <c r="K2182" s="11">
        <f>IFERROR(INDEX(Roles!$B$17:$B$20,MATCH(J2182,Roles!$A$17:$A$20,0)),1)</f>
        <v/>
      </c>
      <c r="L2182" s="17" t="n">
        <v>1</v>
      </c>
      <c r="M2182" s="11" t="n">
        <v>1</v>
      </c>
      <c r="N2182" s="17" t="n"/>
      <c r="O2182" s="17" t="n"/>
      <c r="P2182" s="17" t="n"/>
      <c r="Q2182" s="17" t="n"/>
      <c r="R2182" s="17" t="n"/>
      <c r="S2182" s="17" t="n"/>
      <c r="T2182" s="17" t="n"/>
      <c r="U2182" s="17" t="n"/>
      <c r="V2182" s="17" t="n"/>
      <c r="W2182" s="17" t="n">
        <v>1</v>
      </c>
      <c r="X2182" s="17" t="n"/>
      <c r="Y2182" s="17" t="n"/>
      <c r="Z2182" s="13">
        <f>SUMPRODUCT(N2182:Y2182,$N$2:$Y$2)*$K2182*$L2182*$M2182</f>
        <v/>
      </c>
      <c r="AA2182" s="14">
        <f>SUM(N2182:Y2182)</f>
        <v/>
      </c>
      <c r="AB2182" s="14">
        <f>IFERROR(IF(UPPER($E2182)="L",SUMPRODUCT(N2182:Y2182,$N$3:$Y$3,$N$2:$Y$2),SUMPRODUCT(N2182:Y2182,$N$4:$Y$4,$N$2:$Y$2))/(Z2182/($K2182*$L2182*$M2182)),"")</f>
        <v/>
      </c>
      <c r="AC2182" s="18" t="n"/>
    </row>
    <row r="2183">
      <c r="A2183" s="9" t="n">
        <v>826723</v>
      </c>
      <c r="B2183" s="9" t="inlineStr">
        <is>
          <t>Ronny Cruz</t>
        </is>
      </c>
      <c r="C2183" s="9" t="inlineStr">
        <is>
          <t>WSH</t>
        </is>
      </c>
      <c r="D2183" s="9" t="n">
        <v>21</v>
      </c>
      <c r="E2183" s="16" t="inlineStr">
        <is>
          <t>R</t>
        </is>
      </c>
      <c r="F2183" s="16" t="n"/>
      <c r="G2183" s="9" t="n">
        <v>92.71794871794872</v>
      </c>
      <c r="H2183" s="9" t="n">
        <v>92.71794871794872</v>
      </c>
      <c r="I2183" s="9" t="inlineStr">
        <is>
          <t>Depth (no MLB PA)</t>
        </is>
      </c>
      <c r="J2183" s="16" t="inlineStr">
        <is>
          <t>Opening Day</t>
        </is>
      </c>
      <c r="K2183" s="11">
        <f>IFERROR(INDEX(Roles!$B$17:$B$20,MATCH(J2183,Roles!$A$17:$A$20,0)),1)</f>
        <v/>
      </c>
      <c r="L2183" s="17" t="n">
        <v>1</v>
      </c>
      <c r="M2183" s="11" t="n">
        <v>1</v>
      </c>
      <c r="N2183" s="17" t="n"/>
      <c r="O2183" s="17" t="n"/>
      <c r="P2183" s="17" t="n"/>
      <c r="Q2183" s="17" t="n"/>
      <c r="R2183" s="17" t="n"/>
      <c r="S2183" s="17" t="n"/>
      <c r="T2183" s="17" t="n"/>
      <c r="U2183" s="17" t="n"/>
      <c r="V2183" s="17" t="n"/>
      <c r="W2183" s="17" t="n"/>
      <c r="X2183" s="17" t="n"/>
      <c r="Y2183" s="17" t="n">
        <v>1</v>
      </c>
      <c r="Z2183" s="13">
        <f>SUMPRODUCT(N2183:Y2183,$N$2:$Y$2)*$K2183*$L2183*$M2183</f>
        <v/>
      </c>
      <c r="AA2183" s="14">
        <f>SUM(N2183:Y2183)</f>
        <v/>
      </c>
      <c r="AB2183" s="14">
        <f>IFERROR(IF(UPPER($E2183)="L",SUMPRODUCT(N2183:Y2183,$N$3:$Y$3,$N$2:$Y$2),SUMPRODUCT(N2183:Y2183,$N$4:$Y$4,$N$2:$Y$2))/(Z2183/($K2183*$L2183*$M2183)),"")</f>
        <v/>
      </c>
      <c r="AC2183" s="18" t="n"/>
    </row>
    <row r="2184">
      <c r="A2184" s="9" t="n">
        <v>800257</v>
      </c>
      <c r="B2184" s="9" t="inlineStr">
        <is>
          <t>Yonatan Henriquez</t>
        </is>
      </c>
      <c r="C2184" s="9" t="inlineStr">
        <is>
          <t>NYM</t>
        </is>
      </c>
      <c r="D2184" s="9" t="n">
        <v>25</v>
      </c>
      <c r="E2184" s="16" t="inlineStr">
        <is>
          <t>S</t>
        </is>
      </c>
      <c r="F2184" s="16" t="n"/>
      <c r="G2184" s="9" t="n">
        <v>87.58974358974359</v>
      </c>
      <c r="H2184" s="9" t="n">
        <v>87.58974358974359</v>
      </c>
      <c r="I2184" s="9" t="inlineStr">
        <is>
          <t>Depth (no MLB PA)</t>
        </is>
      </c>
      <c r="J2184" s="16" t="inlineStr">
        <is>
          <t>Opening Day</t>
        </is>
      </c>
      <c r="K2184" s="11">
        <f>IFERROR(INDEX(Roles!$B$17:$B$20,MATCH(J2184,Roles!$A$17:$A$20,0)),1)</f>
        <v/>
      </c>
      <c r="L2184" s="17" t="n">
        <v>1</v>
      </c>
      <c r="M2184" s="11" t="n">
        <v>1</v>
      </c>
      <c r="N2184" s="17" t="n"/>
      <c r="O2184" s="17" t="n"/>
      <c r="P2184" s="17" t="n"/>
      <c r="Q2184" s="17" t="n"/>
      <c r="R2184" s="17" t="n"/>
      <c r="S2184" s="17" t="n"/>
      <c r="T2184" s="17" t="n"/>
      <c r="U2184" s="17" t="n"/>
      <c r="V2184" s="17" t="n"/>
      <c r="W2184" s="17" t="n"/>
      <c r="X2184" s="17" t="n"/>
      <c r="Y2184" s="17" t="n">
        <v>1</v>
      </c>
      <c r="Z2184" s="13">
        <f>SUMPRODUCT(N2184:Y2184,$N$2:$Y$2)*$K2184*$L2184*$M2184</f>
        <v/>
      </c>
      <c r="AA2184" s="14">
        <f>SUM(N2184:Y2184)</f>
        <v/>
      </c>
      <c r="AB2184" s="14">
        <f>IFERROR(IF(UPPER($E2184)="L",SUMPRODUCT(N2184:Y2184,$N$3:$Y$3,$N$2:$Y$2),SUMPRODUCT(N2184:Y2184,$N$4:$Y$4,$N$2:$Y$2))/(Z2184/($K2184*$L2184*$M2184)),"")</f>
        <v/>
      </c>
      <c r="AC2184" s="18" t="n"/>
    </row>
    <row r="2185">
      <c r="A2185" s="9" t="n">
        <v>827281</v>
      </c>
      <c r="B2185" s="9" t="inlineStr">
        <is>
          <t>Carlos Renzullo</t>
        </is>
      </c>
      <c r="C2185" s="9" t="inlineStr">
        <is>
          <t>COL</t>
        </is>
      </c>
      <c r="D2185" s="9" t="n">
        <v>25</v>
      </c>
      <c r="E2185" s="16" t="inlineStr">
        <is>
          <t>S</t>
        </is>
      </c>
      <c r="F2185" s="16" t="n"/>
      <c r="G2185" s="9" t="n">
        <v>42.33846153846154</v>
      </c>
      <c r="H2185" s="9" t="n">
        <v>42.33846153846154</v>
      </c>
      <c r="I2185" s="9" t="inlineStr">
        <is>
          <t>Depth (no MLB PA)</t>
        </is>
      </c>
      <c r="J2185" s="16" t="inlineStr">
        <is>
          <t>Opening Day</t>
        </is>
      </c>
      <c r="K2185" s="11">
        <f>IFERROR(INDEX(Roles!$B$17:$B$20,MATCH(J2185,Roles!$A$17:$A$20,0)),1)</f>
        <v/>
      </c>
      <c r="L2185" s="17" t="n">
        <v>1</v>
      </c>
      <c r="M2185" s="11" t="n">
        <v>1</v>
      </c>
      <c r="N2185" s="17" t="n"/>
      <c r="O2185" s="17" t="n"/>
      <c r="P2185" s="17" t="n"/>
      <c r="Q2185" s="17" t="n"/>
      <c r="R2185" s="17" t="n"/>
      <c r="S2185" s="17" t="n"/>
      <c r="T2185" s="17" t="n"/>
      <c r="U2185" s="17" t="n"/>
      <c r="V2185" s="17" t="n"/>
      <c r="W2185" s="17" t="n"/>
      <c r="X2185" s="17" t="n"/>
      <c r="Y2185" s="17" t="n">
        <v>1</v>
      </c>
      <c r="Z2185" s="13">
        <f>SUMPRODUCT(N2185:Y2185,$N$2:$Y$2)*$K2185*$L2185*$M2185</f>
        <v/>
      </c>
      <c r="AA2185" s="14">
        <f>SUM(N2185:Y2185)</f>
        <v/>
      </c>
      <c r="AB2185" s="14">
        <f>IFERROR(IF(UPPER($E2185)="L",SUMPRODUCT(N2185:Y2185,$N$3:$Y$3,$N$2:$Y$2),SUMPRODUCT(N2185:Y2185,$N$4:$Y$4,$N$2:$Y$2))/(Z2185/($K2185*$L2185*$M2185)),"")</f>
        <v/>
      </c>
      <c r="AC2185" s="18" t="n"/>
    </row>
    <row r="2186">
      <c r="A2186" s="9" t="n">
        <v>682775</v>
      </c>
      <c r="B2186" s="9" t="inlineStr">
        <is>
          <t>Kervin Pichardo</t>
        </is>
      </c>
      <c r="C2186" s="9" t="inlineStr">
        <is>
          <t>WSH</t>
        </is>
      </c>
      <c r="D2186" s="9" t="n">
        <v>25</v>
      </c>
      <c r="E2186" s="16" t="inlineStr">
        <is>
          <t>R</t>
        </is>
      </c>
      <c r="F2186" s="16" t="n"/>
      <c r="G2186" s="9" t="n">
        <v>151.1282051282051</v>
      </c>
      <c r="H2186" s="9" t="n">
        <v>151.1282051282051</v>
      </c>
      <c r="I2186" s="9" t="inlineStr">
        <is>
          <t>Depth (no MLB PA)</t>
        </is>
      </c>
      <c r="J2186" s="16" t="inlineStr">
        <is>
          <t>Opening Day</t>
        </is>
      </c>
      <c r="K2186" s="11">
        <f>IFERROR(INDEX(Roles!$B$17:$B$20,MATCH(J2186,Roles!$A$17:$A$20,0)),1)</f>
        <v/>
      </c>
      <c r="L2186" s="17" t="n">
        <v>1</v>
      </c>
      <c r="M2186" s="11" t="n">
        <v>1</v>
      </c>
      <c r="N2186" s="17" t="n"/>
      <c r="O2186" s="17" t="n"/>
      <c r="P2186" s="17" t="n"/>
      <c r="Q2186" s="17" t="n"/>
      <c r="R2186" s="17" t="n"/>
      <c r="S2186" s="17" t="n"/>
      <c r="T2186" s="17" t="n"/>
      <c r="U2186" s="17" t="n"/>
      <c r="V2186" s="17" t="n"/>
      <c r="W2186" s="17" t="n"/>
      <c r="X2186" s="17" t="n"/>
      <c r="Y2186" s="17" t="n">
        <v>1</v>
      </c>
      <c r="Z2186" s="13">
        <f>SUMPRODUCT(N2186:Y2186,$N$2:$Y$2)*$K2186*$L2186*$M2186</f>
        <v/>
      </c>
      <c r="AA2186" s="14">
        <f>SUM(N2186:Y2186)</f>
        <v/>
      </c>
      <c r="AB2186" s="14">
        <f>IFERROR(IF(UPPER($E2186)="L",SUMPRODUCT(N2186:Y2186,$N$3:$Y$3,$N$2:$Y$2),SUMPRODUCT(N2186:Y2186,$N$4:$Y$4,$N$2:$Y$2))/(Z2186/($K2186*$L2186*$M2186)),"")</f>
        <v/>
      </c>
      <c r="AC2186" s="18" t="n"/>
    </row>
    <row r="2187">
      <c r="A2187" s="9" t="n">
        <v>694211</v>
      </c>
      <c r="B2187" s="9" t="inlineStr">
        <is>
          <t>Manuel Pena</t>
        </is>
      </c>
      <c r="C2187" s="9" t="inlineStr">
        <is>
          <t>ARI</t>
        </is>
      </c>
      <c r="D2187" s="9" t="n">
        <v>25</v>
      </c>
      <c r="E2187" s="16" t="inlineStr">
        <is>
          <t>L</t>
        </is>
      </c>
      <c r="F2187" s="16" t="n"/>
      <c r="G2187" s="9" t="n">
        <v>125.2307692307692</v>
      </c>
      <c r="H2187" s="9" t="n">
        <v>125.2307692307692</v>
      </c>
      <c r="I2187" s="9" t="inlineStr">
        <is>
          <t>Depth (no MLB PA)</t>
        </is>
      </c>
      <c r="J2187" s="16" t="inlineStr">
        <is>
          <t>Opening Day</t>
        </is>
      </c>
      <c r="K2187" s="11">
        <f>IFERROR(INDEX(Roles!$B$17:$B$20,MATCH(J2187,Roles!$A$17:$A$20,0)),1)</f>
        <v/>
      </c>
      <c r="L2187" s="17" t="n">
        <v>1</v>
      </c>
      <c r="M2187" s="11" t="n">
        <v>1</v>
      </c>
      <c r="N2187" s="17" t="n"/>
      <c r="O2187" s="17" t="n"/>
      <c r="P2187" s="17" t="n"/>
      <c r="Q2187" s="17" t="n"/>
      <c r="R2187" s="17" t="n"/>
      <c r="S2187" s="17" t="n"/>
      <c r="T2187" s="17" t="n"/>
      <c r="U2187" s="17" t="n"/>
      <c r="V2187" s="17" t="n"/>
      <c r="W2187" s="17" t="n"/>
      <c r="X2187" s="17" t="n"/>
      <c r="Y2187" s="17" t="n">
        <v>1</v>
      </c>
      <c r="Z2187" s="13">
        <f>SUMPRODUCT(N2187:Y2187,$N$2:$Y$2)*$K2187*$L2187*$M2187</f>
        <v/>
      </c>
      <c r="AA2187" s="14">
        <f>SUM(N2187:Y2187)</f>
        <v/>
      </c>
      <c r="AB2187" s="14">
        <f>IFERROR(IF(UPPER($E2187)="L",SUMPRODUCT(N2187:Y2187,$N$3:$Y$3,$N$2:$Y$2),SUMPRODUCT(N2187:Y2187,$N$4:$Y$4,$N$2:$Y$2))/(Z2187/($K2187*$L2187*$M2187)),"")</f>
        <v/>
      </c>
      <c r="AC2187" s="18" t="n"/>
    </row>
    <row r="2188">
      <c r="A2188" s="9" t="n">
        <v>663796</v>
      </c>
      <c r="B2188" s="9" t="inlineStr">
        <is>
          <t>Coco Montes</t>
        </is>
      </c>
      <c r="C2188" s="9" t="inlineStr">
        <is>
          <t>COL</t>
        </is>
      </c>
      <c r="D2188" s="9" t="n">
        <v>30</v>
      </c>
      <c r="E2188" s="16" t="inlineStr">
        <is>
          <t>R</t>
        </is>
      </c>
      <c r="F2188" s="16" t="inlineStr">
        <is>
          <t>2B</t>
        </is>
      </c>
      <c r="G2188" s="9" t="n">
        <v>10</v>
      </c>
      <c r="H2188" s="9" t="n">
        <v>51</v>
      </c>
      <c r="I2188" s="9" t="inlineStr">
        <is>
          <t>Depth (no MLB PA)</t>
        </is>
      </c>
      <c r="J2188" s="16" t="inlineStr">
        <is>
          <t>Opening Day</t>
        </is>
      </c>
      <c r="K2188" s="11">
        <f>IFERROR(INDEX(Roles!$B$17:$B$20,MATCH(J2188,Roles!$A$17:$A$20,0)),1)</f>
        <v/>
      </c>
      <c r="L2188" s="17" t="n">
        <v>1</v>
      </c>
      <c r="M2188" s="11" t="n">
        <v>1</v>
      </c>
      <c r="N2188" s="17" t="n"/>
      <c r="O2188" s="17" t="n"/>
      <c r="P2188" s="17" t="n"/>
      <c r="Q2188" s="17" t="n"/>
      <c r="R2188" s="17" t="n"/>
      <c r="S2188" s="17" t="n"/>
      <c r="T2188" s="17" t="n"/>
      <c r="U2188" s="17" t="n"/>
      <c r="V2188" s="17" t="n"/>
      <c r="W2188" s="17" t="n"/>
      <c r="X2188" s="17" t="n"/>
      <c r="Y2188" s="17" t="n">
        <v>1</v>
      </c>
      <c r="Z2188" s="13">
        <f>SUMPRODUCT(N2188:Y2188,$N$2:$Y$2)*$K2188*$L2188*$M2188</f>
        <v/>
      </c>
      <c r="AA2188" s="14">
        <f>SUM(N2188:Y2188)</f>
        <v/>
      </c>
      <c r="AB2188" s="14">
        <f>IFERROR(IF(UPPER($E2188)="L",SUMPRODUCT(N2188:Y2188,$N$3:$Y$3,$N$2:$Y$2),SUMPRODUCT(N2188:Y2188,$N$4:$Y$4,$N$2:$Y$2))/(Z2188/($K2188*$L2188*$M2188)),"")</f>
        <v/>
      </c>
      <c r="AC2188" s="18" t="n"/>
    </row>
    <row r="2189">
      <c r="A2189" s="9" t="n">
        <v>668670</v>
      </c>
      <c r="B2189" s="9" t="inlineStr">
        <is>
          <t>Jake Rogers</t>
        </is>
      </c>
      <c r="C2189" s="9" t="inlineStr">
        <is>
          <t>CWS</t>
        </is>
      </c>
      <c r="D2189" s="9" t="n">
        <v>32</v>
      </c>
      <c r="E2189" s="16" t="inlineStr">
        <is>
          <t>R</t>
        </is>
      </c>
      <c r="F2189" s="16" t="inlineStr">
        <is>
          <t>C</t>
        </is>
      </c>
      <c r="G2189" s="9" t="n">
        <v>171</v>
      </c>
      <c r="H2189" s="9" t="n">
        <v>1015</v>
      </c>
      <c r="I2189" s="9" t="inlineStr">
        <is>
          <t>Catcher - Backup</t>
        </is>
      </c>
      <c r="J2189" s="16" t="inlineStr">
        <is>
          <t>Opening Day</t>
        </is>
      </c>
      <c r="K2189" s="11">
        <f>IFERROR(INDEX(Roles!$B$17:$B$20,MATCH(J2189,Roles!$A$17:$A$20,0)),1)</f>
        <v/>
      </c>
      <c r="L2189" s="17" t="n">
        <v>1</v>
      </c>
      <c r="M2189" s="11" t="n">
        <v>1</v>
      </c>
      <c r="N2189" s="17" t="n"/>
      <c r="O2189" s="17" t="n"/>
      <c r="P2189" s="17" t="n"/>
      <c r="Q2189" s="17" t="n"/>
      <c r="R2189" s="17" t="n"/>
      <c r="S2189" s="17" t="n"/>
      <c r="T2189" s="17" t="n">
        <v>0.7</v>
      </c>
      <c r="U2189" s="17" t="n"/>
      <c r="V2189" s="17" t="n"/>
      <c r="W2189" s="17" t="n">
        <v>0.3</v>
      </c>
      <c r="X2189" s="17" t="n"/>
      <c r="Y2189" s="17" t="n"/>
      <c r="Z2189" s="13">
        <f>SUMPRODUCT(N2189:Y2189,$N$2:$Y$2)*$K2189*$L2189*$M2189</f>
        <v/>
      </c>
      <c r="AA2189" s="14">
        <f>SUM(N2189:Y2189)</f>
        <v/>
      </c>
      <c r="AB2189" s="14">
        <f>IFERROR(IF(UPPER($E2189)="L",SUMPRODUCT(N2189:Y2189,$N$3:$Y$3,$N$2:$Y$2),SUMPRODUCT(N2189:Y2189,$N$4:$Y$4,$N$2:$Y$2))/(Z2189/($K2189*$L2189*$M2189)),"")</f>
        <v/>
      </c>
      <c r="AC2189" s="18" t="n"/>
    </row>
    <row r="2190">
      <c r="A2190" s="9" t="n">
        <v>800232</v>
      </c>
      <c r="B2190" s="9" t="inlineStr">
        <is>
          <t>Luis Baez</t>
        </is>
      </c>
      <c r="C2190" s="9" t="inlineStr">
        <is>
          <t>HOU</t>
        </is>
      </c>
      <c r="D2190" s="9" t="n">
        <v>25</v>
      </c>
      <c r="E2190" s="16" t="inlineStr">
        <is>
          <t>R</t>
        </is>
      </c>
      <c r="F2190" s="16" t="n"/>
      <c r="G2190" s="9" t="n">
        <v>36.61538461538461</v>
      </c>
      <c r="H2190" s="9" t="n">
        <v>36.61538461538461</v>
      </c>
      <c r="I2190" s="9" t="inlineStr">
        <is>
          <t>Depth (no MLB PA)</t>
        </is>
      </c>
      <c r="J2190" s="16" t="inlineStr">
        <is>
          <t>Opening Day</t>
        </is>
      </c>
      <c r="K2190" s="11">
        <f>IFERROR(INDEX(Roles!$B$17:$B$20,MATCH(J2190,Roles!$A$17:$A$20,0)),1)</f>
        <v/>
      </c>
      <c r="L2190" s="17" t="n">
        <v>1</v>
      </c>
      <c r="M2190" s="11" t="n">
        <v>1</v>
      </c>
      <c r="N2190" s="17" t="n"/>
      <c r="O2190" s="17" t="n"/>
      <c r="P2190" s="17" t="n"/>
      <c r="Q2190" s="17" t="n"/>
      <c r="R2190" s="17" t="n"/>
      <c r="S2190" s="17" t="n"/>
      <c r="T2190" s="17" t="n"/>
      <c r="U2190" s="17" t="n"/>
      <c r="V2190" s="17" t="n"/>
      <c r="W2190" s="17" t="n"/>
      <c r="X2190" s="17" t="n"/>
      <c r="Y2190" s="17" t="n">
        <v>1</v>
      </c>
      <c r="Z2190" s="13">
        <f>SUMPRODUCT(N2190:Y2190,$N$2:$Y$2)*$K2190*$L2190*$M2190</f>
        <v/>
      </c>
      <c r="AA2190" s="14">
        <f>SUM(N2190:Y2190)</f>
        <v/>
      </c>
      <c r="AB2190" s="14">
        <f>IFERROR(IF(UPPER($E2190)="L",SUMPRODUCT(N2190:Y2190,$N$3:$Y$3,$N$2:$Y$2),SUMPRODUCT(N2190:Y2190,$N$4:$Y$4,$N$2:$Y$2))/(Z2190/($K2190*$L2190*$M2190)),"")</f>
        <v/>
      </c>
      <c r="AC2190" s="18" t="n"/>
    </row>
    <row r="2191">
      <c r="A2191" s="9" t="n">
        <v>802560</v>
      </c>
      <c r="B2191" s="9" t="inlineStr">
        <is>
          <t>Ichiro Cano</t>
        </is>
      </c>
      <c r="C2191" s="9" t="inlineStr">
        <is>
          <t>CIN</t>
        </is>
      </c>
      <c r="D2191" s="9" t="n">
        <v>25</v>
      </c>
      <c r="E2191" s="16" t="inlineStr">
        <is>
          <t>L</t>
        </is>
      </c>
      <c r="F2191" s="16" t="n"/>
      <c r="G2191" s="9" t="n">
        <v>53.53846153846154</v>
      </c>
      <c r="H2191" s="9" t="n">
        <v>53.53846153846154</v>
      </c>
      <c r="I2191" s="9" t="inlineStr">
        <is>
          <t>Depth (no MLB PA)</t>
        </is>
      </c>
      <c r="J2191" s="16" t="inlineStr">
        <is>
          <t>Opening Day</t>
        </is>
      </c>
      <c r="K2191" s="11">
        <f>IFERROR(INDEX(Roles!$B$17:$B$20,MATCH(J2191,Roles!$A$17:$A$20,0)),1)</f>
        <v/>
      </c>
      <c r="L2191" s="17" t="n">
        <v>1</v>
      </c>
      <c r="M2191" s="11" t="n">
        <v>1</v>
      </c>
      <c r="N2191" s="17" t="n"/>
      <c r="O2191" s="17" t="n"/>
      <c r="P2191" s="17" t="n"/>
      <c r="Q2191" s="17" t="n"/>
      <c r="R2191" s="17" t="n"/>
      <c r="S2191" s="17" t="n"/>
      <c r="T2191" s="17" t="n"/>
      <c r="U2191" s="17" t="n"/>
      <c r="V2191" s="17" t="n"/>
      <c r="W2191" s="17" t="n"/>
      <c r="X2191" s="17" t="n"/>
      <c r="Y2191" s="17" t="n">
        <v>1</v>
      </c>
      <c r="Z2191" s="13">
        <f>SUMPRODUCT(N2191:Y2191,$N$2:$Y$2)*$K2191*$L2191*$M2191</f>
        <v/>
      </c>
      <c r="AA2191" s="14">
        <f>SUM(N2191:Y2191)</f>
        <v/>
      </c>
      <c r="AB2191" s="14">
        <f>IFERROR(IF(UPPER($E2191)="L",SUMPRODUCT(N2191:Y2191,$N$3:$Y$3,$N$2:$Y$2),SUMPRODUCT(N2191:Y2191,$N$4:$Y$4,$N$2:$Y$2))/(Z2191/($K2191*$L2191*$M2191)),"")</f>
        <v/>
      </c>
      <c r="AC2191" s="18" t="n"/>
    </row>
    <row r="2192">
      <c r="A2192" s="9" t="n">
        <v>656305</v>
      </c>
      <c r="B2192" s="9" t="inlineStr">
        <is>
          <t>Matt Chapman</t>
        </is>
      </c>
      <c r="C2192" s="9" t="inlineStr">
        <is>
          <t>SF</t>
        </is>
      </c>
      <c r="D2192" s="9" t="n">
        <v>34</v>
      </c>
      <c r="E2192" s="16" t="inlineStr">
        <is>
          <t>R</t>
        </is>
      </c>
      <c r="F2192" s="16" t="inlineStr">
        <is>
          <t>3B</t>
        </is>
      </c>
      <c r="G2192" s="9" t="n">
        <v>352</v>
      </c>
      <c r="H2192" s="9" t="n">
        <v>2736</v>
      </c>
      <c r="I2192" s="9" t="inlineStr">
        <is>
          <t>Full Time</t>
        </is>
      </c>
      <c r="J2192" s="16" t="inlineStr">
        <is>
          <t>Opening Day</t>
        </is>
      </c>
      <c r="K2192" s="11">
        <f>IFERROR(INDEX(Roles!$B$17:$B$20,MATCH(J2192,Roles!$A$17:$A$20,0)),1)</f>
        <v/>
      </c>
      <c r="L2192" s="17" t="n">
        <v>1</v>
      </c>
      <c r="M2192" s="11" t="n">
        <v>0.936402549422683</v>
      </c>
      <c r="N2192" s="17" t="n">
        <v>1</v>
      </c>
      <c r="O2192" s="17" t="n"/>
      <c r="P2192" s="17" t="n"/>
      <c r="Q2192" s="17" t="n"/>
      <c r="R2192" s="17" t="n"/>
      <c r="S2192" s="17" t="n"/>
      <c r="T2192" s="17" t="n"/>
      <c r="U2192" s="17" t="n"/>
      <c r="V2192" s="17" t="n"/>
      <c r="W2192" s="17" t="n"/>
      <c r="X2192" s="17" t="n"/>
      <c r="Y2192" s="17" t="n"/>
      <c r="Z2192" s="13">
        <f>SUMPRODUCT(N2192:Y2192,$N$2:$Y$2)*$K2192*$L2192*$M2192</f>
        <v/>
      </c>
      <c r="AA2192" s="14">
        <f>SUM(N2192:Y2192)</f>
        <v/>
      </c>
      <c r="AB2192" s="14">
        <f>IFERROR(IF(UPPER($E2192)="L",SUMPRODUCT(N2192:Y2192,$N$3:$Y$3,$N$2:$Y$2),SUMPRODUCT(N2192:Y2192,$N$4:$Y$4,$N$2:$Y$2))/(Z2192/($K2192*$L2192*$M2192)),"")</f>
        <v/>
      </c>
      <c r="AC2192" s="18" t="n"/>
    </row>
    <row r="2193">
      <c r="A2193" s="9" t="n">
        <v>700840</v>
      </c>
      <c r="B2193" s="9" t="inlineStr">
        <is>
          <t>Christian Olivo</t>
        </is>
      </c>
      <c r="C2193" s="9" t="inlineStr">
        <is>
          <t>CHC</t>
        </is>
      </c>
      <c r="D2193" s="9" t="n">
        <v>25</v>
      </c>
      <c r="E2193" s="16" t="inlineStr">
        <is>
          <t>R</t>
        </is>
      </c>
      <c r="F2193" s="16" t="n"/>
      <c r="G2193" s="9" t="n">
        <v>60.71794871794872</v>
      </c>
      <c r="H2193" s="9" t="n">
        <v>60.71794871794872</v>
      </c>
      <c r="I2193" s="9" t="inlineStr">
        <is>
          <t>Depth (no MLB PA)</t>
        </is>
      </c>
      <c r="J2193" s="16" t="inlineStr">
        <is>
          <t>Opening Day</t>
        </is>
      </c>
      <c r="K2193" s="11">
        <f>IFERROR(INDEX(Roles!$B$17:$B$20,MATCH(J2193,Roles!$A$17:$A$20,0)),1)</f>
        <v/>
      </c>
      <c r="L2193" s="17" t="n">
        <v>1</v>
      </c>
      <c r="M2193" s="11" t="n">
        <v>1</v>
      </c>
      <c r="N2193" s="17" t="n"/>
      <c r="O2193" s="17" t="n"/>
      <c r="P2193" s="17" t="n"/>
      <c r="Q2193" s="17" t="n"/>
      <c r="R2193" s="17" t="n"/>
      <c r="S2193" s="17" t="n"/>
      <c r="T2193" s="17" t="n"/>
      <c r="U2193" s="17" t="n"/>
      <c r="V2193" s="17" t="n"/>
      <c r="W2193" s="17" t="n"/>
      <c r="X2193" s="17" t="n"/>
      <c r="Y2193" s="17" t="n">
        <v>1</v>
      </c>
      <c r="Z2193" s="13">
        <f>SUMPRODUCT(N2193:Y2193,$N$2:$Y$2)*$K2193*$L2193*$M2193</f>
        <v/>
      </c>
      <c r="AA2193" s="14">
        <f>SUM(N2193:Y2193)</f>
        <v/>
      </c>
      <c r="AB2193" s="14">
        <f>IFERROR(IF(UPPER($E2193)="L",SUMPRODUCT(N2193:Y2193,$N$3:$Y$3,$N$2:$Y$2),SUMPRODUCT(N2193:Y2193,$N$4:$Y$4,$N$2:$Y$2))/(Z2193/($K2193*$L2193*$M2193)),"")</f>
        <v/>
      </c>
      <c r="AC2193" s="18" t="n"/>
    </row>
    <row r="2194">
      <c r="A2194" s="9" t="n">
        <v>813851</v>
      </c>
      <c r="B2194" s="9" t="inlineStr">
        <is>
          <t>Colton Becker</t>
        </is>
      </c>
      <c r="C2194" s="9" t="inlineStr">
        <is>
          <t>KC</t>
        </is>
      </c>
      <c r="D2194" s="9" t="n">
        <v>25</v>
      </c>
      <c r="E2194" s="16" t="inlineStr">
        <is>
          <t>R</t>
        </is>
      </c>
      <c r="F2194" s="16" t="n"/>
      <c r="G2194" s="9" t="n">
        <v>36.10256410256411</v>
      </c>
      <c r="H2194" s="9" t="n">
        <v>36.10256410256411</v>
      </c>
      <c r="I2194" s="9" t="inlineStr">
        <is>
          <t>Depth (no MLB PA)</t>
        </is>
      </c>
      <c r="J2194" s="16" t="inlineStr">
        <is>
          <t>Opening Day</t>
        </is>
      </c>
      <c r="K2194" s="11">
        <f>IFERROR(INDEX(Roles!$B$17:$B$20,MATCH(J2194,Roles!$A$17:$A$20,0)),1)</f>
        <v/>
      </c>
      <c r="L2194" s="17" t="n">
        <v>1</v>
      </c>
      <c r="M2194" s="11" t="n">
        <v>1</v>
      </c>
      <c r="N2194" s="17" t="n"/>
      <c r="O2194" s="17" t="n"/>
      <c r="P2194" s="17" t="n"/>
      <c r="Q2194" s="17" t="n"/>
      <c r="R2194" s="17" t="n"/>
      <c r="S2194" s="17" t="n"/>
      <c r="T2194" s="17" t="n"/>
      <c r="U2194" s="17" t="n"/>
      <c r="V2194" s="17" t="n"/>
      <c r="W2194" s="17" t="n"/>
      <c r="X2194" s="17" t="n"/>
      <c r="Y2194" s="17" t="n">
        <v>1</v>
      </c>
      <c r="Z2194" s="13">
        <f>SUMPRODUCT(N2194:Y2194,$N$2:$Y$2)*$K2194*$L2194*$M2194</f>
        <v/>
      </c>
      <c r="AA2194" s="14">
        <f>SUM(N2194:Y2194)</f>
        <v/>
      </c>
      <c r="AB2194" s="14">
        <f>IFERROR(IF(UPPER($E2194)="L",SUMPRODUCT(N2194:Y2194,$N$3:$Y$3,$N$2:$Y$2),SUMPRODUCT(N2194:Y2194,$N$4:$Y$4,$N$2:$Y$2))/(Z2194/($K2194*$L2194*$M2194)),"")</f>
        <v/>
      </c>
      <c r="AC2194" s="18" t="n"/>
    </row>
    <row r="2195">
      <c r="A2195" s="9" t="n">
        <v>821379</v>
      </c>
      <c r="B2195" s="9" t="inlineStr">
        <is>
          <t>Juan Mateo</t>
        </is>
      </c>
      <c r="C2195" s="9" t="inlineStr">
        <is>
          <t>ATL</t>
        </is>
      </c>
      <c r="D2195" s="9" t="n">
        <v>25</v>
      </c>
      <c r="E2195" s="16" t="inlineStr">
        <is>
          <t>S</t>
        </is>
      </c>
      <c r="F2195" s="16" t="n"/>
      <c r="G2195" s="9" t="n">
        <v>52.43076923076923</v>
      </c>
      <c r="H2195" s="9" t="n">
        <v>52.43076923076923</v>
      </c>
      <c r="I2195" s="9" t="inlineStr">
        <is>
          <t>Depth (no MLB PA)</t>
        </is>
      </c>
      <c r="J2195" s="16" t="inlineStr">
        <is>
          <t>Opening Day</t>
        </is>
      </c>
      <c r="K2195" s="11">
        <f>IFERROR(INDEX(Roles!$B$17:$B$20,MATCH(J2195,Roles!$A$17:$A$20,0)),1)</f>
        <v/>
      </c>
      <c r="L2195" s="17" t="n">
        <v>1</v>
      </c>
      <c r="M2195" s="11" t="n">
        <v>1</v>
      </c>
      <c r="N2195" s="17" t="n"/>
      <c r="O2195" s="17" t="n"/>
      <c r="P2195" s="17" t="n"/>
      <c r="Q2195" s="17" t="n"/>
      <c r="R2195" s="17" t="n"/>
      <c r="S2195" s="17" t="n"/>
      <c r="T2195" s="17" t="n"/>
      <c r="U2195" s="17" t="n"/>
      <c r="V2195" s="17" t="n"/>
      <c r="W2195" s="17" t="n"/>
      <c r="X2195" s="17" t="n"/>
      <c r="Y2195" s="17" t="n">
        <v>1</v>
      </c>
      <c r="Z2195" s="13">
        <f>SUMPRODUCT(N2195:Y2195,$N$2:$Y$2)*$K2195*$L2195*$M2195</f>
        <v/>
      </c>
      <c r="AA2195" s="14">
        <f>SUM(N2195:Y2195)</f>
        <v/>
      </c>
      <c r="AB2195" s="14">
        <f>IFERROR(IF(UPPER($E2195)="L",SUMPRODUCT(N2195:Y2195,$N$3:$Y$3,$N$2:$Y$2),SUMPRODUCT(N2195:Y2195,$N$4:$Y$4,$N$2:$Y$2))/(Z2195/($K2195*$L2195*$M2195)),"")</f>
        <v/>
      </c>
      <c r="AC2195" s="18" t="n"/>
    </row>
    <row r="2196">
      <c r="A2196" s="9" t="n">
        <v>802018</v>
      </c>
      <c r="B2196" s="9" t="inlineStr">
        <is>
          <t>Ryan Burrowes</t>
        </is>
      </c>
      <c r="C2196" s="9" t="inlineStr">
        <is>
          <t>CWS</t>
        </is>
      </c>
      <c r="D2196" s="9" t="n">
        <v>25</v>
      </c>
      <c r="E2196" s="16" t="inlineStr">
        <is>
          <t>R</t>
        </is>
      </c>
      <c r="F2196" s="16" t="n"/>
      <c r="G2196" s="9" t="n">
        <v>56.35897435897435</v>
      </c>
      <c r="H2196" s="9" t="n">
        <v>56.35897435897435</v>
      </c>
      <c r="I2196" s="9" t="inlineStr">
        <is>
          <t>Depth (no MLB PA)</t>
        </is>
      </c>
      <c r="J2196" s="16" t="inlineStr">
        <is>
          <t>Opening Day</t>
        </is>
      </c>
      <c r="K2196" s="11">
        <f>IFERROR(INDEX(Roles!$B$17:$B$20,MATCH(J2196,Roles!$A$17:$A$20,0)),1)</f>
        <v/>
      </c>
      <c r="L2196" s="17" t="n">
        <v>1</v>
      </c>
      <c r="M2196" s="11" t="n">
        <v>1</v>
      </c>
      <c r="N2196" s="17" t="n"/>
      <c r="O2196" s="17" t="n"/>
      <c r="P2196" s="17" t="n"/>
      <c r="Q2196" s="17" t="n"/>
      <c r="R2196" s="17" t="n"/>
      <c r="S2196" s="17" t="n"/>
      <c r="T2196" s="17" t="n"/>
      <c r="U2196" s="17" t="n"/>
      <c r="V2196" s="17" t="n"/>
      <c r="W2196" s="17" t="n"/>
      <c r="X2196" s="17" t="n"/>
      <c r="Y2196" s="17" t="n">
        <v>1</v>
      </c>
      <c r="Z2196" s="13">
        <f>SUMPRODUCT(N2196:Y2196,$N$2:$Y$2)*$K2196*$L2196*$M2196</f>
        <v/>
      </c>
      <c r="AA2196" s="14">
        <f>SUM(N2196:Y2196)</f>
        <v/>
      </c>
      <c r="AB2196" s="14">
        <f>IFERROR(IF(UPPER($E2196)="L",SUMPRODUCT(N2196:Y2196,$N$3:$Y$3,$N$2:$Y$2),SUMPRODUCT(N2196:Y2196,$N$4:$Y$4,$N$2:$Y$2))/(Z2196/($K2196*$L2196*$M2196)),"")</f>
        <v/>
      </c>
      <c r="AC2196" s="18" t="n"/>
    </row>
    <row r="2197">
      <c r="A2197" s="9" t="n">
        <v>687192</v>
      </c>
      <c r="B2197" s="9" t="inlineStr">
        <is>
          <t>Cade Hunter</t>
        </is>
      </c>
      <c r="C2197" s="9" t="inlineStr">
        <is>
          <t>CIN</t>
        </is>
      </c>
      <c r="D2197" s="9" t="n">
        <v>25</v>
      </c>
      <c r="E2197" s="16" t="inlineStr">
        <is>
          <t>L</t>
        </is>
      </c>
      <c r="F2197" s="16" t="n"/>
      <c r="G2197" s="9" t="n">
        <v>110.9230769230769</v>
      </c>
      <c r="H2197" s="9" t="n">
        <v>110.9230769230769</v>
      </c>
      <c r="I2197" s="9" t="inlineStr">
        <is>
          <t>Depth (no MLB PA)</t>
        </is>
      </c>
      <c r="J2197" s="16" t="inlineStr">
        <is>
          <t>Opening Day</t>
        </is>
      </c>
      <c r="K2197" s="11">
        <f>IFERROR(INDEX(Roles!$B$17:$B$20,MATCH(J2197,Roles!$A$17:$A$20,0)),1)</f>
        <v/>
      </c>
      <c r="L2197" s="17" t="n">
        <v>1</v>
      </c>
      <c r="M2197" s="11" t="n">
        <v>1</v>
      </c>
      <c r="N2197" s="17" t="n"/>
      <c r="O2197" s="17" t="n"/>
      <c r="P2197" s="17" t="n"/>
      <c r="Q2197" s="17" t="n"/>
      <c r="R2197" s="17" t="n"/>
      <c r="S2197" s="17" t="n"/>
      <c r="T2197" s="17" t="n"/>
      <c r="U2197" s="17" t="n"/>
      <c r="V2197" s="17" t="n"/>
      <c r="W2197" s="17" t="n"/>
      <c r="X2197" s="17" t="n"/>
      <c r="Y2197" s="17" t="n">
        <v>1</v>
      </c>
      <c r="Z2197" s="13">
        <f>SUMPRODUCT(N2197:Y2197,$N$2:$Y$2)*$K2197*$L2197*$M2197</f>
        <v/>
      </c>
      <c r="AA2197" s="14">
        <f>SUM(N2197:Y2197)</f>
        <v/>
      </c>
      <c r="AB2197" s="14">
        <f>IFERROR(IF(UPPER($E2197)="L",SUMPRODUCT(N2197:Y2197,$N$3:$Y$3,$N$2:$Y$2),SUMPRODUCT(N2197:Y2197,$N$4:$Y$4,$N$2:$Y$2))/(Z2197/($K2197*$L2197*$M2197)),"")</f>
        <v/>
      </c>
      <c r="AC2197" s="18" t="n"/>
    </row>
    <row r="2198">
      <c r="A2198" s="9" t="n">
        <v>815902</v>
      </c>
      <c r="B2198" s="9" t="inlineStr">
        <is>
          <t>Yandel Ricardo</t>
        </is>
      </c>
      <c r="C2198" s="9" t="inlineStr">
        <is>
          <t>KC</t>
        </is>
      </c>
      <c r="D2198" s="9" t="n">
        <v>25</v>
      </c>
      <c r="E2198" s="16" t="inlineStr">
        <is>
          <t>S</t>
        </is>
      </c>
      <c r="F2198" s="16" t="n"/>
      <c r="G2198" s="9" t="n">
        <v>54.40000000000001</v>
      </c>
      <c r="H2198" s="9" t="n">
        <v>54.40000000000001</v>
      </c>
      <c r="I2198" s="9" t="inlineStr">
        <is>
          <t>Depth (no MLB PA)</t>
        </is>
      </c>
      <c r="J2198" s="16" t="inlineStr">
        <is>
          <t>Opening Day</t>
        </is>
      </c>
      <c r="K2198" s="11">
        <f>IFERROR(INDEX(Roles!$B$17:$B$20,MATCH(J2198,Roles!$A$17:$A$20,0)),1)</f>
        <v/>
      </c>
      <c r="L2198" s="17" t="n">
        <v>1</v>
      </c>
      <c r="M2198" s="11" t="n">
        <v>1</v>
      </c>
      <c r="N2198" s="17" t="n"/>
      <c r="O2198" s="17" t="n"/>
      <c r="P2198" s="17" t="n"/>
      <c r="Q2198" s="17" t="n"/>
      <c r="R2198" s="17" t="n"/>
      <c r="S2198" s="17" t="n"/>
      <c r="T2198" s="17" t="n"/>
      <c r="U2198" s="17" t="n"/>
      <c r="V2198" s="17" t="n"/>
      <c r="W2198" s="17" t="n"/>
      <c r="X2198" s="17" t="n"/>
      <c r="Y2198" s="17" t="n">
        <v>1</v>
      </c>
      <c r="Z2198" s="13">
        <f>SUMPRODUCT(N2198:Y2198,$N$2:$Y$2)*$K2198*$L2198*$M2198</f>
        <v/>
      </c>
      <c r="AA2198" s="14">
        <f>SUM(N2198:Y2198)</f>
        <v/>
      </c>
      <c r="AB2198" s="14">
        <f>IFERROR(IF(UPPER($E2198)="L",SUMPRODUCT(N2198:Y2198,$N$3:$Y$3,$N$2:$Y$2),SUMPRODUCT(N2198:Y2198,$N$4:$Y$4,$N$2:$Y$2))/(Z2198/($K2198*$L2198*$M2198)),"")</f>
        <v/>
      </c>
      <c r="AC2198" s="18" t="n"/>
    </row>
    <row r="2199">
      <c r="A2199" s="9" t="n">
        <v>682653</v>
      </c>
      <c r="B2199" s="9" t="inlineStr">
        <is>
          <t>Warming Bernabel</t>
        </is>
      </c>
      <c r="C2199" s="9" t="inlineStr">
        <is>
          <t>COL</t>
        </is>
      </c>
      <c r="D2199" s="9" t="n">
        <v>25</v>
      </c>
      <c r="E2199" s="16" t="inlineStr">
        <is>
          <t>R</t>
        </is>
      </c>
      <c r="F2199" s="16" t="inlineStr">
        <is>
          <t>1B</t>
        </is>
      </c>
      <c r="G2199" s="9" t="n">
        <v>146</v>
      </c>
      <c r="H2199" s="9" t="n">
        <v>146</v>
      </c>
      <c r="I2199" s="9" t="inlineStr">
        <is>
          <t>Bench Bat</t>
        </is>
      </c>
      <c r="J2199" s="16" t="inlineStr">
        <is>
          <t>Opening Day</t>
        </is>
      </c>
      <c r="K2199" s="11">
        <f>IFERROR(INDEX(Roles!$B$17:$B$20,MATCH(J2199,Roles!$A$17:$A$20,0)),1)</f>
        <v/>
      </c>
      <c r="L2199" s="17" t="n">
        <v>1</v>
      </c>
      <c r="M2199" s="11" t="n">
        <v>1</v>
      </c>
      <c r="N2199" s="17" t="n"/>
      <c r="O2199" s="17" t="n"/>
      <c r="P2199" s="17" t="n"/>
      <c r="Q2199" s="17" t="n"/>
      <c r="R2199" s="17" t="n"/>
      <c r="S2199" s="17" t="n"/>
      <c r="T2199" s="17" t="n"/>
      <c r="U2199" s="17" t="n"/>
      <c r="V2199" s="17" t="n"/>
      <c r="W2199" s="17" t="n">
        <v>1</v>
      </c>
      <c r="X2199" s="17" t="n"/>
      <c r="Y2199" s="17" t="n"/>
      <c r="Z2199" s="13">
        <f>SUMPRODUCT(N2199:Y2199,$N$2:$Y$2)*$K2199*$L2199*$M2199</f>
        <v/>
      </c>
      <c r="AA2199" s="14">
        <f>SUM(N2199:Y2199)</f>
        <v/>
      </c>
      <c r="AB2199" s="14">
        <f>IFERROR(IF(UPPER($E2199)="L",SUMPRODUCT(N2199:Y2199,$N$3:$Y$3,$N$2:$Y$2),SUMPRODUCT(N2199:Y2199,$N$4:$Y$4,$N$2:$Y$2))/(Z2199/($K2199*$L2199*$M2199)),"")</f>
        <v/>
      </c>
      <c r="AC2199" s="18" t="n"/>
    </row>
    <row r="2200">
      <c r="A2200" s="9" t="n">
        <v>807742</v>
      </c>
      <c r="B2200" s="9" t="inlineStr">
        <is>
          <t>Colton Ledbetter</t>
        </is>
      </c>
      <c r="C2200" s="9" t="inlineStr">
        <is>
          <t>STL</t>
        </is>
      </c>
      <c r="D2200" s="9" t="n">
        <v>25</v>
      </c>
      <c r="E2200" s="16" t="inlineStr">
        <is>
          <t>L</t>
        </is>
      </c>
      <c r="F2200" s="16" t="n"/>
      <c r="G2200" s="9" t="n">
        <v>264.5641025641026</v>
      </c>
      <c r="H2200" s="9" t="n">
        <v>264.5641025641026</v>
      </c>
      <c r="I2200" s="9" t="inlineStr">
        <is>
          <t>Depth (no MLB PA)</t>
        </is>
      </c>
      <c r="J2200" s="16" t="inlineStr">
        <is>
          <t>Opening Day</t>
        </is>
      </c>
      <c r="K2200" s="11">
        <f>IFERROR(INDEX(Roles!$B$17:$B$20,MATCH(J2200,Roles!$A$17:$A$20,0)),1)</f>
        <v/>
      </c>
      <c r="L2200" s="17" t="n">
        <v>1</v>
      </c>
      <c r="M2200" s="11" t="n">
        <v>1</v>
      </c>
      <c r="N2200" s="17" t="n"/>
      <c r="O2200" s="17" t="n"/>
      <c r="P2200" s="17" t="n"/>
      <c r="Q2200" s="17" t="n"/>
      <c r="R2200" s="17" t="n"/>
      <c r="S2200" s="17" t="n"/>
      <c r="T2200" s="17" t="n"/>
      <c r="U2200" s="17" t="n"/>
      <c r="V2200" s="17" t="n"/>
      <c r="W2200" s="17" t="n"/>
      <c r="X2200" s="17" t="n"/>
      <c r="Y2200" s="17" t="n">
        <v>1</v>
      </c>
      <c r="Z2200" s="13">
        <f>SUMPRODUCT(N2200:Y2200,$N$2:$Y$2)*$K2200*$L2200*$M2200</f>
        <v/>
      </c>
      <c r="AA2200" s="14">
        <f>SUM(N2200:Y2200)</f>
        <v/>
      </c>
      <c r="AB2200" s="14">
        <f>IFERROR(IF(UPPER($E2200)="L",SUMPRODUCT(N2200:Y2200,$N$3:$Y$3,$N$2:$Y$2),SUMPRODUCT(N2200:Y2200,$N$4:$Y$4,$N$2:$Y$2))/(Z2200/($K2200*$L2200*$M2200)),"")</f>
        <v/>
      </c>
      <c r="AC2200" s="18" t="n"/>
    </row>
    <row r="2201">
      <c r="A2201" s="9" t="n">
        <v>691938</v>
      </c>
      <c r="B2201" s="9" t="inlineStr">
        <is>
          <t>Willy Vasquez</t>
        </is>
      </c>
      <c r="C2201" s="9" t="inlineStr">
        <is>
          <t>BAL</t>
        </is>
      </c>
      <c r="D2201" s="9" t="n">
        <v>25</v>
      </c>
      <c r="E2201" s="16" t="inlineStr">
        <is>
          <t>R</t>
        </is>
      </c>
      <c r="F2201" s="16" t="n"/>
      <c r="G2201" s="9" t="n">
        <v>85.74358974358975</v>
      </c>
      <c r="H2201" s="9" t="n">
        <v>85.74358974358975</v>
      </c>
      <c r="I2201" s="9" t="inlineStr">
        <is>
          <t>Depth (no MLB PA)</t>
        </is>
      </c>
      <c r="J2201" s="16" t="inlineStr">
        <is>
          <t>Opening Day</t>
        </is>
      </c>
      <c r="K2201" s="11">
        <f>IFERROR(INDEX(Roles!$B$17:$B$20,MATCH(J2201,Roles!$A$17:$A$20,0)),1)</f>
        <v/>
      </c>
      <c r="L2201" s="17" t="n">
        <v>1</v>
      </c>
      <c r="M2201" s="11" t="n">
        <v>1</v>
      </c>
      <c r="N2201" s="17" t="n"/>
      <c r="O2201" s="17" t="n"/>
      <c r="P2201" s="17" t="n"/>
      <c r="Q2201" s="17" t="n"/>
      <c r="R2201" s="17" t="n"/>
      <c r="S2201" s="17" t="n"/>
      <c r="T2201" s="17" t="n"/>
      <c r="U2201" s="17" t="n"/>
      <c r="V2201" s="17" t="n"/>
      <c r="W2201" s="17" t="n"/>
      <c r="X2201" s="17" t="n"/>
      <c r="Y2201" s="17" t="n">
        <v>1</v>
      </c>
      <c r="Z2201" s="13">
        <f>SUMPRODUCT(N2201:Y2201,$N$2:$Y$2)*$K2201*$L2201*$M2201</f>
        <v/>
      </c>
      <c r="AA2201" s="14">
        <f>SUM(N2201:Y2201)</f>
        <v/>
      </c>
      <c r="AB2201" s="14">
        <f>IFERROR(IF(UPPER($E2201)="L",SUMPRODUCT(N2201:Y2201,$N$3:$Y$3,$N$2:$Y$2),SUMPRODUCT(N2201:Y2201,$N$4:$Y$4,$N$2:$Y$2))/(Z2201/($K2201*$L2201*$M2201)),"")</f>
        <v/>
      </c>
      <c r="AC2201" s="18" t="n"/>
    </row>
    <row r="2202">
      <c r="A2202" s="9" t="n">
        <v>800193</v>
      </c>
      <c r="B2202" s="9" t="inlineStr">
        <is>
          <t>Kelvin Hidalgo</t>
        </is>
      </c>
      <c r="C2202" s="9" t="inlineStr">
        <is>
          <t>COL</t>
        </is>
      </c>
      <c r="D2202" s="9" t="n">
        <v>25</v>
      </c>
      <c r="E2202" s="16" t="inlineStr">
        <is>
          <t>R</t>
        </is>
      </c>
      <c r="F2202" s="16" t="n"/>
      <c r="G2202" s="9" t="n">
        <v>92.71794871794872</v>
      </c>
      <c r="H2202" s="9" t="n">
        <v>92.71794871794872</v>
      </c>
      <c r="I2202" s="9" t="inlineStr">
        <is>
          <t>Depth (no MLB PA)</t>
        </is>
      </c>
      <c r="J2202" s="16" t="inlineStr">
        <is>
          <t>Opening Day</t>
        </is>
      </c>
      <c r="K2202" s="11">
        <f>IFERROR(INDEX(Roles!$B$17:$B$20,MATCH(J2202,Roles!$A$17:$A$20,0)),1)</f>
        <v/>
      </c>
      <c r="L2202" s="17" t="n">
        <v>1</v>
      </c>
      <c r="M2202" s="11" t="n">
        <v>1</v>
      </c>
      <c r="N2202" s="17" t="n"/>
      <c r="O2202" s="17" t="n"/>
      <c r="P2202" s="17" t="n"/>
      <c r="Q2202" s="17" t="n"/>
      <c r="R2202" s="17" t="n"/>
      <c r="S2202" s="17" t="n"/>
      <c r="T2202" s="17" t="n"/>
      <c r="U2202" s="17" t="n"/>
      <c r="V2202" s="17" t="n"/>
      <c r="W2202" s="17" t="n"/>
      <c r="X2202" s="17" t="n"/>
      <c r="Y2202" s="17" t="n">
        <v>1</v>
      </c>
      <c r="Z2202" s="13">
        <f>SUMPRODUCT(N2202:Y2202,$N$2:$Y$2)*$K2202*$L2202*$M2202</f>
        <v/>
      </c>
      <c r="AA2202" s="14">
        <f>SUM(N2202:Y2202)</f>
        <v/>
      </c>
      <c r="AB2202" s="14">
        <f>IFERROR(IF(UPPER($E2202)="L",SUMPRODUCT(N2202:Y2202,$N$3:$Y$3,$N$2:$Y$2),SUMPRODUCT(N2202:Y2202,$N$4:$Y$4,$N$2:$Y$2))/(Z2202/($K2202*$L2202*$M2202)),"")</f>
        <v/>
      </c>
      <c r="AC2202" s="18" t="n"/>
    </row>
    <row r="2203">
      <c r="A2203" s="9" t="n">
        <v>801887</v>
      </c>
      <c r="B2203" s="9" t="inlineStr">
        <is>
          <t>Kole Myers</t>
        </is>
      </c>
      <c r="C2203" s="9" t="inlineStr">
        <is>
          <t>LAD</t>
        </is>
      </c>
      <c r="D2203" s="9" t="n">
        <v>25</v>
      </c>
      <c r="E2203" s="16" t="inlineStr">
        <is>
          <t>L</t>
        </is>
      </c>
      <c r="F2203" s="16" t="n"/>
      <c r="G2203" s="9" t="n">
        <v>122.4102564102564</v>
      </c>
      <c r="H2203" s="9" t="n">
        <v>122.4102564102564</v>
      </c>
      <c r="I2203" s="9" t="inlineStr">
        <is>
          <t>Depth (no MLB PA)</t>
        </is>
      </c>
      <c r="J2203" s="16" t="inlineStr">
        <is>
          <t>Opening Day</t>
        </is>
      </c>
      <c r="K2203" s="11">
        <f>IFERROR(INDEX(Roles!$B$17:$B$20,MATCH(J2203,Roles!$A$17:$A$20,0)),1)</f>
        <v/>
      </c>
      <c r="L2203" s="17" t="n">
        <v>1</v>
      </c>
      <c r="M2203" s="11" t="n">
        <v>1</v>
      </c>
      <c r="N2203" s="17" t="n"/>
      <c r="O2203" s="17" t="n"/>
      <c r="P2203" s="17" t="n"/>
      <c r="Q2203" s="17" t="n"/>
      <c r="R2203" s="17" t="n"/>
      <c r="S2203" s="17" t="n"/>
      <c r="T2203" s="17" t="n"/>
      <c r="U2203" s="17" t="n"/>
      <c r="V2203" s="17" t="n"/>
      <c r="W2203" s="17" t="n"/>
      <c r="X2203" s="17" t="n"/>
      <c r="Y2203" s="17" t="n">
        <v>1</v>
      </c>
      <c r="Z2203" s="13">
        <f>SUMPRODUCT(N2203:Y2203,$N$2:$Y$2)*$K2203*$L2203*$M2203</f>
        <v/>
      </c>
      <c r="AA2203" s="14">
        <f>SUM(N2203:Y2203)</f>
        <v/>
      </c>
      <c r="AB2203" s="14">
        <f>IFERROR(IF(UPPER($E2203)="L",SUMPRODUCT(N2203:Y2203,$N$3:$Y$3,$N$2:$Y$2),SUMPRODUCT(N2203:Y2203,$N$4:$Y$4,$N$2:$Y$2))/(Z2203/($K2203*$L2203*$M2203)),"")</f>
        <v/>
      </c>
      <c r="AC2203" s="18" t="n"/>
    </row>
    <row r="2204">
      <c r="A2204" s="9" t="n">
        <v>592178</v>
      </c>
      <c r="B2204" s="9" t="inlineStr">
        <is>
          <t>Kris Bryant</t>
        </is>
      </c>
      <c r="C2204" s="9" t="inlineStr">
        <is>
          <t>COL</t>
        </is>
      </c>
      <c r="D2204" s="9" t="n">
        <v>35</v>
      </c>
      <c r="E2204" s="16" t="inlineStr">
        <is>
          <t>R</t>
        </is>
      </c>
      <c r="F2204" s="16" t="inlineStr">
        <is>
          <t>RF</t>
        </is>
      </c>
      <c r="G2204" s="9" t="n">
        <v>41</v>
      </c>
      <c r="H2204" s="9" t="n">
        <v>712</v>
      </c>
      <c r="I2204" s="9" t="inlineStr">
        <is>
          <t>Injury Replacement / 26th Man</t>
        </is>
      </c>
      <c r="J2204" s="16" t="inlineStr">
        <is>
          <t>Opening Day</t>
        </is>
      </c>
      <c r="K2204" s="11">
        <f>IFERROR(INDEX(Roles!$B$17:$B$20,MATCH(J2204,Roles!$A$17:$A$20,0)),1)</f>
        <v/>
      </c>
      <c r="L2204" s="17" t="n">
        <v>1</v>
      </c>
      <c r="M2204" s="11" t="n">
        <v>1</v>
      </c>
      <c r="N2204" s="17" t="n"/>
      <c r="O2204" s="17" t="n"/>
      <c r="P2204" s="17" t="n"/>
      <c r="Q2204" s="17" t="n"/>
      <c r="R2204" s="17" t="n"/>
      <c r="S2204" s="17" t="n"/>
      <c r="T2204" s="17" t="n"/>
      <c r="U2204" s="17" t="n"/>
      <c r="V2204" s="17" t="n"/>
      <c r="W2204" s="17" t="n">
        <v>0.15</v>
      </c>
      <c r="X2204" s="17" t="n">
        <v>0.85</v>
      </c>
      <c r="Y2204" s="17" t="n"/>
      <c r="Z2204" s="13">
        <f>SUMPRODUCT(N2204:Y2204,$N$2:$Y$2)*$K2204*$L2204*$M2204</f>
        <v/>
      </c>
      <c r="AA2204" s="14">
        <f>SUM(N2204:Y2204)</f>
        <v/>
      </c>
      <c r="AB2204" s="14">
        <f>IFERROR(IF(UPPER($E2204)="L",SUMPRODUCT(N2204:Y2204,$N$3:$Y$3,$N$2:$Y$2),SUMPRODUCT(N2204:Y2204,$N$4:$Y$4,$N$2:$Y$2))/(Z2204/($K2204*$L2204*$M2204)),"")</f>
        <v/>
      </c>
      <c r="AC2204" s="18" t="n"/>
    </row>
    <row r="2205">
      <c r="A2205" s="9" t="n">
        <v>666801</v>
      </c>
      <c r="B2205" s="9" t="inlineStr">
        <is>
          <t>Rodolfo Castro</t>
        </is>
      </c>
      <c r="C2205" s="9" t="inlineStr">
        <is>
          <t>PHI</t>
        </is>
      </c>
      <c r="D2205" s="9" t="n">
        <v>28</v>
      </c>
      <c r="E2205" s="16" t="inlineStr">
        <is>
          <t>R</t>
        </is>
      </c>
      <c r="F2205" s="16" t="inlineStr">
        <is>
          <t>SS</t>
        </is>
      </c>
      <c r="G2205" s="9" t="n">
        <v>256</v>
      </c>
      <c r="H2205" s="9" t="n">
        <v>534</v>
      </c>
      <c r="I2205" s="9" t="inlineStr">
        <is>
          <t>Depth (no MLB PA)</t>
        </is>
      </c>
      <c r="J2205" s="16" t="inlineStr">
        <is>
          <t>Opening Day</t>
        </is>
      </c>
      <c r="K2205" s="11">
        <f>IFERROR(INDEX(Roles!$B$17:$B$20,MATCH(J2205,Roles!$A$17:$A$20,0)),1)</f>
        <v/>
      </c>
      <c r="L2205" s="17" t="n">
        <v>1</v>
      </c>
      <c r="M2205" s="11" t="n">
        <v>1</v>
      </c>
      <c r="N2205" s="17" t="n"/>
      <c r="O2205" s="17" t="n"/>
      <c r="P2205" s="17" t="n"/>
      <c r="Q2205" s="17" t="n"/>
      <c r="R2205" s="17" t="n"/>
      <c r="S2205" s="17" t="n"/>
      <c r="T2205" s="17" t="n"/>
      <c r="U2205" s="17" t="n"/>
      <c r="V2205" s="17" t="n"/>
      <c r="W2205" s="17" t="n"/>
      <c r="X2205" s="17" t="n"/>
      <c r="Y2205" s="17" t="n">
        <v>1</v>
      </c>
      <c r="Z2205" s="13">
        <f>SUMPRODUCT(N2205:Y2205,$N$2:$Y$2)*$K2205*$L2205*$M2205</f>
        <v/>
      </c>
      <c r="AA2205" s="14">
        <f>SUM(N2205:Y2205)</f>
        <v/>
      </c>
      <c r="AB2205" s="14">
        <f>IFERROR(IF(UPPER($E2205)="L",SUMPRODUCT(N2205:Y2205,$N$3:$Y$3,$N$2:$Y$2),SUMPRODUCT(N2205:Y2205,$N$4:$Y$4,$N$2:$Y$2))/(Z2205/($K2205*$L2205*$M2205)),"")</f>
        <v/>
      </c>
      <c r="AC2205" s="18" t="n"/>
    </row>
    <row r="2206">
      <c r="A2206" s="9" t="n">
        <v>821149</v>
      </c>
      <c r="B2206" s="9" t="inlineStr">
        <is>
          <t>Frederi Montero</t>
        </is>
      </c>
      <c r="C2206" s="9" t="inlineStr">
        <is>
          <t>MIL</t>
        </is>
      </c>
      <c r="D2206" s="9" t="n">
        <v>25</v>
      </c>
      <c r="E2206" s="16" t="inlineStr">
        <is>
          <t>L</t>
        </is>
      </c>
      <c r="F2206" s="16" t="n"/>
      <c r="G2206" s="9" t="n">
        <v>55.26153846153846</v>
      </c>
      <c r="H2206" s="9" t="n">
        <v>55.26153846153846</v>
      </c>
      <c r="I2206" s="9" t="inlineStr">
        <is>
          <t>Depth (no MLB PA)</t>
        </is>
      </c>
      <c r="J2206" s="16" t="inlineStr">
        <is>
          <t>Opening Day</t>
        </is>
      </c>
      <c r="K2206" s="11">
        <f>IFERROR(INDEX(Roles!$B$17:$B$20,MATCH(J2206,Roles!$A$17:$A$20,0)),1)</f>
        <v/>
      </c>
      <c r="L2206" s="17" t="n">
        <v>1</v>
      </c>
      <c r="M2206" s="11" t="n">
        <v>1</v>
      </c>
      <c r="N2206" s="17" t="n"/>
      <c r="O2206" s="17" t="n"/>
      <c r="P2206" s="17" t="n"/>
      <c r="Q2206" s="17" t="n"/>
      <c r="R2206" s="17" t="n"/>
      <c r="S2206" s="17" t="n"/>
      <c r="T2206" s="17" t="n"/>
      <c r="U2206" s="17" t="n"/>
      <c r="V2206" s="17" t="n"/>
      <c r="W2206" s="17" t="n"/>
      <c r="X2206" s="17" t="n"/>
      <c r="Y2206" s="17" t="n">
        <v>1</v>
      </c>
      <c r="Z2206" s="13">
        <f>SUMPRODUCT(N2206:Y2206,$N$2:$Y$2)*$K2206*$L2206*$M2206</f>
        <v/>
      </c>
      <c r="AA2206" s="14">
        <f>SUM(N2206:Y2206)</f>
        <v/>
      </c>
      <c r="AB2206" s="14">
        <f>IFERROR(IF(UPPER($E2206)="L",SUMPRODUCT(N2206:Y2206,$N$3:$Y$3,$N$2:$Y$2),SUMPRODUCT(N2206:Y2206,$N$4:$Y$4,$N$2:$Y$2))/(Z2206/($K2206*$L2206*$M2206)),"")</f>
        <v/>
      </c>
      <c r="AC2206" s="18" t="n"/>
    </row>
    <row r="2207">
      <c r="A2207" s="9" t="n">
        <v>686766</v>
      </c>
      <c r="B2207" s="9" t="inlineStr">
        <is>
          <t>William Simoneit</t>
        </is>
      </c>
      <c r="C2207" s="9" t="inlineStr">
        <is>
          <t>TOR</t>
        </is>
      </c>
      <c r="D2207" s="9" t="n">
        <v>25</v>
      </c>
      <c r="E2207" s="16" t="inlineStr">
        <is>
          <t>R</t>
        </is>
      </c>
      <c r="F2207" s="16" t="n"/>
      <c r="G2207" s="9" t="n">
        <v>104.9230769230769</v>
      </c>
      <c r="H2207" s="9" t="n">
        <v>104.9230769230769</v>
      </c>
      <c r="I2207" s="9" t="inlineStr">
        <is>
          <t>Depth (no MLB PA)</t>
        </is>
      </c>
      <c r="J2207" s="16" t="inlineStr">
        <is>
          <t>Opening Day</t>
        </is>
      </c>
      <c r="K2207" s="11">
        <f>IFERROR(INDEX(Roles!$B$17:$B$20,MATCH(J2207,Roles!$A$17:$A$20,0)),1)</f>
        <v/>
      </c>
      <c r="L2207" s="17" t="n">
        <v>1</v>
      </c>
      <c r="M2207" s="11" t="n">
        <v>1</v>
      </c>
      <c r="N2207" s="17" t="n"/>
      <c r="O2207" s="17" t="n"/>
      <c r="P2207" s="17" t="n"/>
      <c r="Q2207" s="17" t="n"/>
      <c r="R2207" s="17" t="n"/>
      <c r="S2207" s="17" t="n"/>
      <c r="T2207" s="17" t="n"/>
      <c r="U2207" s="17" t="n"/>
      <c r="V2207" s="17" t="n"/>
      <c r="W2207" s="17" t="n"/>
      <c r="X2207" s="17" t="n"/>
      <c r="Y2207" s="17" t="n">
        <v>1</v>
      </c>
      <c r="Z2207" s="13">
        <f>SUMPRODUCT(N2207:Y2207,$N$2:$Y$2)*$K2207*$L2207*$M2207</f>
        <v/>
      </c>
      <c r="AA2207" s="14">
        <f>SUM(N2207:Y2207)</f>
        <v/>
      </c>
      <c r="AB2207" s="14">
        <f>IFERROR(IF(UPPER($E2207)="L",SUMPRODUCT(N2207:Y2207,$N$3:$Y$3,$N$2:$Y$2),SUMPRODUCT(N2207:Y2207,$N$4:$Y$4,$N$2:$Y$2))/(Z2207/($K2207*$L2207*$M2207)),"")</f>
        <v/>
      </c>
      <c r="AC2207" s="18" t="n"/>
    </row>
    <row r="2208">
      <c r="A2208" s="9" t="n">
        <v>676038</v>
      </c>
      <c r="B2208" s="9" t="inlineStr">
        <is>
          <t>Skyler Messinger</t>
        </is>
      </c>
      <c r="C2208" s="9" t="inlineStr">
        <is>
          <t>COL</t>
        </is>
      </c>
      <c r="D2208" s="9" t="n">
        <v>25</v>
      </c>
      <c r="E2208" s="16" t="inlineStr">
        <is>
          <t>R</t>
        </is>
      </c>
      <c r="F2208" s="16" t="n"/>
      <c r="G2208" s="9" t="n">
        <v>36.25641025641026</v>
      </c>
      <c r="H2208" s="9" t="n">
        <v>36.25641025641026</v>
      </c>
      <c r="I2208" s="9" t="inlineStr">
        <is>
          <t>Depth (no MLB PA)</t>
        </is>
      </c>
      <c r="J2208" s="16" t="inlineStr">
        <is>
          <t>Opening Day</t>
        </is>
      </c>
      <c r="K2208" s="11">
        <f>IFERROR(INDEX(Roles!$B$17:$B$20,MATCH(J2208,Roles!$A$17:$A$20,0)),1)</f>
        <v/>
      </c>
      <c r="L2208" s="17" t="n">
        <v>1</v>
      </c>
      <c r="M2208" s="11" t="n">
        <v>1</v>
      </c>
      <c r="N2208" s="17" t="n"/>
      <c r="O2208" s="17" t="n"/>
      <c r="P2208" s="17" t="n"/>
      <c r="Q2208" s="17" t="n"/>
      <c r="R2208" s="17" t="n"/>
      <c r="S2208" s="17" t="n"/>
      <c r="T2208" s="17" t="n"/>
      <c r="U2208" s="17" t="n"/>
      <c r="V2208" s="17" t="n"/>
      <c r="W2208" s="17" t="n"/>
      <c r="X2208" s="17" t="n"/>
      <c r="Y2208" s="17" t="n">
        <v>1</v>
      </c>
      <c r="Z2208" s="13">
        <f>SUMPRODUCT(N2208:Y2208,$N$2:$Y$2)*$K2208*$L2208*$M2208</f>
        <v/>
      </c>
      <c r="AA2208" s="14">
        <f>SUM(N2208:Y2208)</f>
        <v/>
      </c>
      <c r="AB2208" s="14">
        <f>IFERROR(IF(UPPER($E2208)="L",SUMPRODUCT(N2208:Y2208,$N$3:$Y$3,$N$2:$Y$2),SUMPRODUCT(N2208:Y2208,$N$4:$Y$4,$N$2:$Y$2))/(Z2208/($K2208*$L2208*$M2208)),"")</f>
        <v/>
      </c>
      <c r="AC2208" s="18" t="n"/>
    </row>
    <row r="2209">
      <c r="A2209" s="9" t="n">
        <v>694214</v>
      </c>
      <c r="B2209" s="9" t="inlineStr">
        <is>
          <t>Samuel Zavala</t>
        </is>
      </c>
      <c r="C2209" s="9" t="inlineStr">
        <is>
          <t>CWS</t>
        </is>
      </c>
      <c r="D2209" s="9" t="n">
        <v>25</v>
      </c>
      <c r="E2209" s="16" t="inlineStr">
        <is>
          <t>L</t>
        </is>
      </c>
      <c r="F2209" s="16" t="n"/>
      <c r="G2209" s="9" t="n">
        <v>171.2307692307692</v>
      </c>
      <c r="H2209" s="9" t="n">
        <v>171.2307692307692</v>
      </c>
      <c r="I2209" s="9" t="inlineStr">
        <is>
          <t>Depth (no MLB PA)</t>
        </is>
      </c>
      <c r="J2209" s="16" t="inlineStr">
        <is>
          <t>Opening Day</t>
        </is>
      </c>
      <c r="K2209" s="11">
        <f>IFERROR(INDEX(Roles!$B$17:$B$20,MATCH(J2209,Roles!$A$17:$A$20,0)),1)</f>
        <v/>
      </c>
      <c r="L2209" s="17" t="n">
        <v>1</v>
      </c>
      <c r="M2209" s="11" t="n">
        <v>1</v>
      </c>
      <c r="N2209" s="17" t="n"/>
      <c r="O2209" s="17" t="n"/>
      <c r="P2209" s="17" t="n"/>
      <c r="Q2209" s="17" t="n"/>
      <c r="R2209" s="17" t="n"/>
      <c r="S2209" s="17" t="n"/>
      <c r="T2209" s="17" t="n"/>
      <c r="U2209" s="17" t="n"/>
      <c r="V2209" s="17" t="n"/>
      <c r="W2209" s="17" t="n"/>
      <c r="X2209" s="17" t="n"/>
      <c r="Y2209" s="17" t="n">
        <v>1</v>
      </c>
      <c r="Z2209" s="13">
        <f>SUMPRODUCT(N2209:Y2209,$N$2:$Y$2)*$K2209*$L2209*$M2209</f>
        <v/>
      </c>
      <c r="AA2209" s="14">
        <f>SUM(N2209:Y2209)</f>
        <v/>
      </c>
      <c r="AB2209" s="14">
        <f>IFERROR(IF(UPPER($E2209)="L",SUMPRODUCT(N2209:Y2209,$N$3:$Y$3,$N$2:$Y$2),SUMPRODUCT(N2209:Y2209,$N$4:$Y$4,$N$2:$Y$2))/(Z2209/($K2209*$L2209*$M2209)),"")</f>
        <v/>
      </c>
      <c r="AC2209" s="18" t="n"/>
    </row>
    <row r="2210">
      <c r="A2210" s="9" t="n">
        <v>681123</v>
      </c>
      <c r="B2210" s="9" t="inlineStr">
        <is>
          <t>Luca Tresh</t>
        </is>
      </c>
      <c r="C2210" s="9" t="inlineStr">
        <is>
          <t>KC</t>
        </is>
      </c>
      <c r="D2210" s="9" t="n">
        <v>25</v>
      </c>
      <c r="E2210" s="16" t="inlineStr">
        <is>
          <t>R</t>
        </is>
      </c>
      <c r="F2210" s="16" t="n"/>
      <c r="G2210" s="9" t="n">
        <v>212.6666666666667</v>
      </c>
      <c r="H2210" s="9" t="n">
        <v>212.6666666666667</v>
      </c>
      <c r="I2210" s="9" t="inlineStr">
        <is>
          <t>Depth (no MLB PA)</t>
        </is>
      </c>
      <c r="J2210" s="16" t="inlineStr">
        <is>
          <t>Opening Day</t>
        </is>
      </c>
      <c r="K2210" s="11">
        <f>IFERROR(INDEX(Roles!$B$17:$B$20,MATCH(J2210,Roles!$A$17:$A$20,0)),1)</f>
        <v/>
      </c>
      <c r="L2210" s="17" t="n">
        <v>1</v>
      </c>
      <c r="M2210" s="11" t="n">
        <v>1</v>
      </c>
      <c r="N2210" s="17" t="n"/>
      <c r="O2210" s="17" t="n"/>
      <c r="P2210" s="17" t="n"/>
      <c r="Q2210" s="17" t="n"/>
      <c r="R2210" s="17" t="n"/>
      <c r="S2210" s="17" t="n"/>
      <c r="T2210" s="17" t="n"/>
      <c r="U2210" s="17" t="n"/>
      <c r="V2210" s="17" t="n"/>
      <c r="W2210" s="17" t="n"/>
      <c r="X2210" s="17" t="n"/>
      <c r="Y2210" s="17" t="n">
        <v>1</v>
      </c>
      <c r="Z2210" s="13">
        <f>SUMPRODUCT(N2210:Y2210,$N$2:$Y$2)*$K2210*$L2210*$M2210</f>
        <v/>
      </c>
      <c r="AA2210" s="14">
        <f>SUM(N2210:Y2210)</f>
        <v/>
      </c>
      <c r="AB2210" s="14">
        <f>IFERROR(IF(UPPER($E2210)="L",SUMPRODUCT(N2210:Y2210,$N$3:$Y$3,$N$2:$Y$2),SUMPRODUCT(N2210:Y2210,$N$4:$Y$4,$N$2:$Y$2))/(Z2210/($K2210*$L2210*$M2210)),"")</f>
        <v/>
      </c>
      <c r="AC2210" s="18" t="n"/>
    </row>
    <row r="2211">
      <c r="A2211" s="9" t="n">
        <v>674976</v>
      </c>
      <c r="B2211" s="9" t="inlineStr">
        <is>
          <t>Griffin Lockwood-Powell</t>
        </is>
      </c>
      <c r="C2211" s="9" t="inlineStr">
        <is>
          <t>LAD</t>
        </is>
      </c>
      <c r="D2211" s="9" t="n">
        <v>25</v>
      </c>
      <c r="E2211" s="16" t="inlineStr">
        <is>
          <t>R</t>
        </is>
      </c>
      <c r="F2211" s="16" t="n"/>
      <c r="G2211" s="9" t="n">
        <v>56.97435897435898</v>
      </c>
      <c r="H2211" s="9" t="n">
        <v>56.97435897435898</v>
      </c>
      <c r="I2211" s="9" t="inlineStr">
        <is>
          <t>Depth (no MLB PA)</t>
        </is>
      </c>
      <c r="J2211" s="16" t="inlineStr">
        <is>
          <t>Opening Day</t>
        </is>
      </c>
      <c r="K2211" s="11">
        <f>IFERROR(INDEX(Roles!$B$17:$B$20,MATCH(J2211,Roles!$A$17:$A$20,0)),1)</f>
        <v/>
      </c>
      <c r="L2211" s="17" t="n">
        <v>1</v>
      </c>
      <c r="M2211" s="11" t="n">
        <v>1</v>
      </c>
      <c r="N2211" s="17" t="n"/>
      <c r="O2211" s="17" t="n"/>
      <c r="P2211" s="17" t="n"/>
      <c r="Q2211" s="17" t="n"/>
      <c r="R2211" s="17" t="n"/>
      <c r="S2211" s="17" t="n"/>
      <c r="T2211" s="17" t="n"/>
      <c r="U2211" s="17" t="n"/>
      <c r="V2211" s="17" t="n"/>
      <c r="W2211" s="17" t="n"/>
      <c r="X2211" s="17" t="n"/>
      <c r="Y2211" s="17" t="n">
        <v>1</v>
      </c>
      <c r="Z2211" s="13">
        <f>SUMPRODUCT(N2211:Y2211,$N$2:$Y$2)*$K2211*$L2211*$M2211</f>
        <v/>
      </c>
      <c r="AA2211" s="14">
        <f>SUM(N2211:Y2211)</f>
        <v/>
      </c>
      <c r="AB2211" s="14">
        <f>IFERROR(IF(UPPER($E2211)="L",SUMPRODUCT(N2211:Y2211,$N$3:$Y$3,$N$2:$Y$2),SUMPRODUCT(N2211:Y2211,$N$4:$Y$4,$N$2:$Y$2))/(Z2211/($K2211*$L2211*$M2211)),"")</f>
        <v/>
      </c>
      <c r="AC2211" s="18" t="n"/>
    </row>
    <row r="2212">
      <c r="A2212" s="9" t="n">
        <v>596129</v>
      </c>
      <c r="B2212" s="9" t="inlineStr">
        <is>
          <t>Daniel Vogelbach</t>
        </is>
      </c>
      <c r="C2212" s="9" t="inlineStr">
        <is>
          <t>TOR</t>
        </is>
      </c>
      <c r="D2212" s="9" t="n">
        <v>34</v>
      </c>
      <c r="E2212" s="16" t="inlineStr">
        <is>
          <t>L</t>
        </is>
      </c>
      <c r="F2212" s="16" t="inlineStr">
        <is>
          <t>1B</t>
        </is>
      </c>
      <c r="G2212" s="9" t="n">
        <v>79</v>
      </c>
      <c r="H2212" s="9" t="n">
        <v>859</v>
      </c>
      <c r="I2212" s="9" t="inlineStr">
        <is>
          <t>Depth (no MLB PA)</t>
        </is>
      </c>
      <c r="J2212" s="16" t="inlineStr">
        <is>
          <t>Opening Day</t>
        </is>
      </c>
      <c r="K2212" s="11">
        <f>IFERROR(INDEX(Roles!$B$17:$B$20,MATCH(J2212,Roles!$A$17:$A$20,0)),1)</f>
        <v/>
      </c>
      <c r="L2212" s="17" t="n">
        <v>1</v>
      </c>
      <c r="M2212" s="11" t="n">
        <v>1</v>
      </c>
      <c r="N2212" s="17" t="n"/>
      <c r="O2212" s="17" t="n"/>
      <c r="P2212" s="17" t="n"/>
      <c r="Q2212" s="17" t="n"/>
      <c r="R2212" s="17" t="n"/>
      <c r="S2212" s="17" t="n"/>
      <c r="T2212" s="17" t="n"/>
      <c r="U2212" s="17" t="n"/>
      <c r="V2212" s="17" t="n"/>
      <c r="W2212" s="17" t="n"/>
      <c r="X2212" s="17" t="n"/>
      <c r="Y2212" s="17" t="n">
        <v>1</v>
      </c>
      <c r="Z2212" s="13">
        <f>SUMPRODUCT(N2212:Y2212,$N$2:$Y$2)*$K2212*$L2212*$M2212</f>
        <v/>
      </c>
      <c r="AA2212" s="14">
        <f>SUM(N2212:Y2212)</f>
        <v/>
      </c>
      <c r="AB2212" s="14">
        <f>IFERROR(IF(UPPER($E2212)="L",SUMPRODUCT(N2212:Y2212,$N$3:$Y$3,$N$2:$Y$2),SUMPRODUCT(N2212:Y2212,$N$4:$Y$4,$N$2:$Y$2))/(Z2212/($K2212*$L2212*$M2212)),"")</f>
        <v/>
      </c>
      <c r="AC2212" s="18" t="n"/>
    </row>
    <row r="2213">
      <c r="A2213" s="9" t="n">
        <v>665966</v>
      </c>
      <c r="B2213" s="9" t="inlineStr">
        <is>
          <t>Carlos Narváez</t>
        </is>
      </c>
      <c r="C2213" s="9" t="inlineStr">
        <is>
          <t>BAL</t>
        </is>
      </c>
      <c r="D2213" s="9" t="n">
        <v>28</v>
      </c>
      <c r="E2213" s="16" t="inlineStr">
        <is>
          <t>R</t>
        </is>
      </c>
      <c r="F2213" s="16" t="inlineStr">
        <is>
          <t>C</t>
        </is>
      </c>
      <c r="G2213" s="9" t="n">
        <v>285</v>
      </c>
      <c r="H2213" s="9" t="n">
        <v>746</v>
      </c>
      <c r="I2213" s="9" t="inlineStr">
        <is>
          <t>Catcher - Primary</t>
        </is>
      </c>
      <c r="J2213" s="16" t="inlineStr">
        <is>
          <t>Opening Day</t>
        </is>
      </c>
      <c r="K2213" s="11">
        <f>IFERROR(INDEX(Roles!$B$17:$B$20,MATCH(J2213,Roles!$A$17:$A$20,0)),1)</f>
        <v/>
      </c>
      <c r="L2213" s="17" t="n">
        <v>1</v>
      </c>
      <c r="M2213" s="11" t="n">
        <v>0.8701524763358807</v>
      </c>
      <c r="N2213" s="17" t="n"/>
      <c r="O2213" s="17" t="n"/>
      <c r="P2213" s="17" t="n"/>
      <c r="Q2213" s="17" t="n"/>
      <c r="R2213" s="17" t="n">
        <v>1</v>
      </c>
      <c r="S2213" s="17" t="n"/>
      <c r="T2213" s="17" t="n"/>
      <c r="U2213" s="17" t="n"/>
      <c r="V2213" s="17" t="n"/>
      <c r="W2213" s="17" t="n"/>
      <c r="X2213" s="17" t="n"/>
      <c r="Y2213" s="17" t="n"/>
      <c r="Z2213" s="13">
        <f>SUMPRODUCT(N2213:Y2213,$N$2:$Y$2)*$K2213*$L2213*$M2213</f>
        <v/>
      </c>
      <c r="AA2213" s="14">
        <f>SUM(N2213:Y2213)</f>
        <v/>
      </c>
      <c r="AB2213" s="14">
        <f>IFERROR(IF(UPPER($E2213)="L",SUMPRODUCT(N2213:Y2213,$N$3:$Y$3,$N$2:$Y$2),SUMPRODUCT(N2213:Y2213,$N$4:$Y$4,$N$2:$Y$2))/(Z2213/($K2213*$L2213*$M2213)),"")</f>
        <v/>
      </c>
      <c r="AC2213" s="18" t="n"/>
    </row>
    <row r="2214">
      <c r="A2214" s="9" t="n">
        <v>821765</v>
      </c>
      <c r="B2214" s="9" t="inlineStr">
        <is>
          <t>Jesus Pinto</t>
        </is>
      </c>
      <c r="C2214" s="9" t="inlineStr">
        <is>
          <t>DET</t>
        </is>
      </c>
      <c r="D2214" s="9" t="n">
        <v>25</v>
      </c>
      <c r="E2214" s="16" t="inlineStr">
        <is>
          <t>R</t>
        </is>
      </c>
      <c r="F2214" s="16" t="n"/>
      <c r="G2214" s="9" t="n">
        <v>53.04615384615384</v>
      </c>
      <c r="H2214" s="9" t="n">
        <v>53.04615384615384</v>
      </c>
      <c r="I2214" s="9" t="inlineStr">
        <is>
          <t>Depth (no MLB PA)</t>
        </is>
      </c>
      <c r="J2214" s="16" t="inlineStr">
        <is>
          <t>Opening Day</t>
        </is>
      </c>
      <c r="K2214" s="11">
        <f>IFERROR(INDEX(Roles!$B$17:$B$20,MATCH(J2214,Roles!$A$17:$A$20,0)),1)</f>
        <v/>
      </c>
      <c r="L2214" s="17" t="n">
        <v>1</v>
      </c>
      <c r="M2214" s="11" t="n">
        <v>1</v>
      </c>
      <c r="N2214" s="17" t="n"/>
      <c r="O2214" s="17" t="n"/>
      <c r="P2214" s="17" t="n"/>
      <c r="Q2214" s="17" t="n"/>
      <c r="R2214" s="17" t="n"/>
      <c r="S2214" s="17" t="n"/>
      <c r="T2214" s="17" t="n"/>
      <c r="U2214" s="17" t="n"/>
      <c r="V2214" s="17" t="n"/>
      <c r="W2214" s="17" t="n"/>
      <c r="X2214" s="17" t="n"/>
      <c r="Y2214" s="17" t="n">
        <v>1</v>
      </c>
      <c r="Z2214" s="13">
        <f>SUMPRODUCT(N2214:Y2214,$N$2:$Y$2)*$K2214*$L2214*$M2214</f>
        <v/>
      </c>
      <c r="AA2214" s="14">
        <f>SUM(N2214:Y2214)</f>
        <v/>
      </c>
      <c r="AB2214" s="14">
        <f>IFERROR(IF(UPPER($E2214)="L",SUMPRODUCT(N2214:Y2214,$N$3:$Y$3,$N$2:$Y$2),SUMPRODUCT(N2214:Y2214,$N$4:$Y$4,$N$2:$Y$2))/(Z2214/($K2214*$L2214*$M2214)),"")</f>
        <v/>
      </c>
      <c r="AC2214" s="18" t="n"/>
    </row>
    <row r="2215">
      <c r="A2215" s="9" t="n">
        <v>800712</v>
      </c>
      <c r="B2215" s="9" t="inlineStr">
        <is>
          <t>Wallace Clark</t>
        </is>
      </c>
      <c r="C2215" s="9" t="inlineStr">
        <is>
          <t>ARI</t>
        </is>
      </c>
      <c r="D2215" s="9" t="n">
        <v>25</v>
      </c>
      <c r="E2215" s="16" t="inlineStr">
        <is>
          <t>S</t>
        </is>
      </c>
      <c r="F2215" s="16" t="n"/>
      <c r="G2215" s="9" t="n">
        <v>65.84615384615385</v>
      </c>
      <c r="H2215" s="9" t="n">
        <v>65.84615384615385</v>
      </c>
      <c r="I2215" s="9" t="inlineStr">
        <is>
          <t>Depth (no MLB PA)</t>
        </is>
      </c>
      <c r="J2215" s="16" t="inlineStr">
        <is>
          <t>Opening Day</t>
        </is>
      </c>
      <c r="K2215" s="11">
        <f>IFERROR(INDEX(Roles!$B$17:$B$20,MATCH(J2215,Roles!$A$17:$A$20,0)),1)</f>
        <v/>
      </c>
      <c r="L2215" s="17" t="n">
        <v>1</v>
      </c>
      <c r="M2215" s="11" t="n">
        <v>1</v>
      </c>
      <c r="N2215" s="17" t="n"/>
      <c r="O2215" s="17" t="n"/>
      <c r="P2215" s="17" t="n"/>
      <c r="Q2215" s="17" t="n"/>
      <c r="R2215" s="17" t="n"/>
      <c r="S2215" s="17" t="n"/>
      <c r="T2215" s="17" t="n"/>
      <c r="U2215" s="17" t="n"/>
      <c r="V2215" s="17" t="n"/>
      <c r="W2215" s="17" t="n"/>
      <c r="X2215" s="17" t="n"/>
      <c r="Y2215" s="17" t="n">
        <v>1</v>
      </c>
      <c r="Z2215" s="13">
        <f>SUMPRODUCT(N2215:Y2215,$N$2:$Y$2)*$K2215*$L2215*$M2215</f>
        <v/>
      </c>
      <c r="AA2215" s="14">
        <f>SUM(N2215:Y2215)</f>
        <v/>
      </c>
      <c r="AB2215" s="14">
        <f>IFERROR(IF(UPPER($E2215)="L",SUMPRODUCT(N2215:Y2215,$N$3:$Y$3,$N$2:$Y$2),SUMPRODUCT(N2215:Y2215,$N$4:$Y$4,$N$2:$Y$2))/(Z2215/($K2215*$L2215*$M2215)),"")</f>
        <v/>
      </c>
      <c r="AC2215" s="18" t="n"/>
    </row>
    <row r="2216">
      <c r="A2216" s="9" t="n">
        <v>701305</v>
      </c>
      <c r="B2216" s="9" t="inlineStr">
        <is>
          <t>Zach Dezenzo</t>
        </is>
      </c>
      <c r="C2216" s="9" t="inlineStr">
        <is>
          <t>HOU</t>
        </is>
      </c>
      <c r="D2216" s="9" t="n">
        <v>27</v>
      </c>
      <c r="E2216" s="16" t="inlineStr">
        <is>
          <t>R</t>
        </is>
      </c>
      <c r="F2216" s="16" t="inlineStr">
        <is>
          <t>LF</t>
        </is>
      </c>
      <c r="G2216" s="9" t="n">
        <v>82</v>
      </c>
      <c r="H2216" s="9" t="n">
        <v>256</v>
      </c>
      <c r="I2216" s="9" t="inlineStr">
        <is>
          <t>Bench Bat</t>
        </is>
      </c>
      <c r="J2216" s="16" t="inlineStr">
        <is>
          <t>Opening Day</t>
        </is>
      </c>
      <c r="K2216" s="11">
        <f>IFERROR(INDEX(Roles!$B$17:$B$20,MATCH(J2216,Roles!$A$17:$A$20,0)),1)</f>
        <v/>
      </c>
      <c r="L2216" s="17" t="n">
        <v>1</v>
      </c>
      <c r="M2216" s="11" t="n">
        <v>1</v>
      </c>
      <c r="N2216" s="17" t="n"/>
      <c r="O2216" s="17" t="n"/>
      <c r="P2216" s="17" t="n"/>
      <c r="Q2216" s="17" t="n"/>
      <c r="R2216" s="17" t="n"/>
      <c r="S2216" s="17" t="n"/>
      <c r="T2216" s="17" t="n"/>
      <c r="U2216" s="17" t="n"/>
      <c r="V2216" s="17" t="n"/>
      <c r="W2216" s="17" t="n">
        <v>1</v>
      </c>
      <c r="X2216" s="17" t="n"/>
      <c r="Y2216" s="17" t="n"/>
      <c r="Z2216" s="13">
        <f>SUMPRODUCT(N2216:Y2216,$N$2:$Y$2)*$K2216*$L2216*$M2216</f>
        <v/>
      </c>
      <c r="AA2216" s="14">
        <f>SUM(N2216:Y2216)</f>
        <v/>
      </c>
      <c r="AB2216" s="14">
        <f>IFERROR(IF(UPPER($E2216)="L",SUMPRODUCT(N2216:Y2216,$N$3:$Y$3,$N$2:$Y$2),SUMPRODUCT(N2216:Y2216,$N$4:$Y$4,$N$2:$Y$2))/(Z2216/($K2216*$L2216*$M2216)),"")</f>
        <v/>
      </c>
      <c r="AC2216" s="18" t="n"/>
    </row>
    <row r="2217">
      <c r="A2217" s="9" t="n">
        <v>672386</v>
      </c>
      <c r="B2217" s="9" t="inlineStr">
        <is>
          <t>Alejandro Kirk</t>
        </is>
      </c>
      <c r="C2217" s="9" t="inlineStr">
        <is>
          <t>TOR</t>
        </is>
      </c>
      <c r="D2217" s="9" t="n">
        <v>28</v>
      </c>
      <c r="E2217" s="16" t="inlineStr">
        <is>
          <t>R</t>
        </is>
      </c>
      <c r="F2217" s="16" t="inlineStr">
        <is>
          <t>C</t>
        </is>
      </c>
      <c r="G2217" s="9" t="n">
        <v>313</v>
      </c>
      <c r="H2217" s="9" t="n">
        <v>2168</v>
      </c>
      <c r="I2217" s="9" t="inlineStr">
        <is>
          <t>Catcher - Primary</t>
        </is>
      </c>
      <c r="J2217" s="16" t="inlineStr">
        <is>
          <t>Opening Day</t>
        </is>
      </c>
      <c r="K2217" s="11">
        <f>IFERROR(INDEX(Roles!$B$17:$B$20,MATCH(J2217,Roles!$A$17:$A$20,0)),1)</f>
        <v/>
      </c>
      <c r="L2217" s="17" t="n">
        <v>1</v>
      </c>
      <c r="M2217" s="11" t="n">
        <v>0.919062412782646</v>
      </c>
      <c r="N2217" s="17" t="n"/>
      <c r="O2217" s="17" t="n"/>
      <c r="P2217" s="17" t="n"/>
      <c r="Q2217" s="17" t="n"/>
      <c r="R2217" s="17" t="n">
        <v>1</v>
      </c>
      <c r="S2217" s="17" t="n"/>
      <c r="T2217" s="17" t="n"/>
      <c r="U2217" s="17" t="n"/>
      <c r="V2217" s="17" t="n"/>
      <c r="W2217" s="17" t="n"/>
      <c r="X2217" s="17" t="n"/>
      <c r="Y2217" s="17" t="n"/>
      <c r="Z2217" s="13">
        <f>SUMPRODUCT(N2217:Y2217,$N$2:$Y$2)*$K2217*$L2217*$M2217</f>
        <v/>
      </c>
      <c r="AA2217" s="14">
        <f>SUM(N2217:Y2217)</f>
        <v/>
      </c>
      <c r="AB2217" s="14">
        <f>IFERROR(IF(UPPER($E2217)="L",SUMPRODUCT(N2217:Y2217,$N$3:$Y$3,$N$2:$Y$2),SUMPRODUCT(N2217:Y2217,$N$4:$Y$4,$N$2:$Y$2))/(Z2217/($K2217*$L2217*$M2217)),"")</f>
        <v/>
      </c>
      <c r="AC2217" s="18" t="n"/>
    </row>
    <row r="2218">
      <c r="A2218" s="9" t="n">
        <v>805782</v>
      </c>
      <c r="B2218" s="9" t="inlineStr">
        <is>
          <t>Ryan Lasko</t>
        </is>
      </c>
      <c r="C2218" s="9" t="inlineStr">
        <is>
          <t>OAK</t>
        </is>
      </c>
      <c r="D2218" s="9" t="n">
        <v>25</v>
      </c>
      <c r="E2218" s="16" t="inlineStr">
        <is>
          <t>R</t>
        </is>
      </c>
      <c r="F2218" s="16" t="n"/>
      <c r="G2218" s="9" t="n">
        <v>95.48717948717947</v>
      </c>
      <c r="H2218" s="9" t="n">
        <v>95.48717948717947</v>
      </c>
      <c r="I2218" s="9" t="inlineStr">
        <is>
          <t>Depth (no MLB PA)</t>
        </is>
      </c>
      <c r="J2218" s="16" t="inlineStr">
        <is>
          <t>Opening Day</t>
        </is>
      </c>
      <c r="K2218" s="11">
        <f>IFERROR(INDEX(Roles!$B$17:$B$20,MATCH(J2218,Roles!$A$17:$A$20,0)),1)</f>
        <v/>
      </c>
      <c r="L2218" s="17" t="n">
        <v>1</v>
      </c>
      <c r="M2218" s="11" t="n">
        <v>1</v>
      </c>
      <c r="N2218" s="17" t="n"/>
      <c r="O2218" s="17" t="n"/>
      <c r="P2218" s="17" t="n"/>
      <c r="Q2218" s="17" t="n"/>
      <c r="R2218" s="17" t="n"/>
      <c r="S2218" s="17" t="n"/>
      <c r="T2218" s="17" t="n"/>
      <c r="U2218" s="17" t="n"/>
      <c r="V2218" s="17" t="n"/>
      <c r="W2218" s="17" t="n"/>
      <c r="X2218" s="17" t="n"/>
      <c r="Y2218" s="17" t="n">
        <v>1</v>
      </c>
      <c r="Z2218" s="13">
        <f>SUMPRODUCT(N2218:Y2218,$N$2:$Y$2)*$K2218*$L2218*$M2218</f>
        <v/>
      </c>
      <c r="AA2218" s="14">
        <f>SUM(N2218:Y2218)</f>
        <v/>
      </c>
      <c r="AB2218" s="14">
        <f>IFERROR(IF(UPPER($E2218)="L",SUMPRODUCT(N2218:Y2218,$N$3:$Y$3,$N$2:$Y$2),SUMPRODUCT(N2218:Y2218,$N$4:$Y$4,$N$2:$Y$2))/(Z2218/($K2218*$L2218*$M2218)),"")</f>
        <v/>
      </c>
      <c r="AC2218" s="18" t="n"/>
    </row>
    <row r="2219">
      <c r="A2219" s="9" t="n">
        <v>807267</v>
      </c>
      <c r="B2219" s="9" t="inlineStr">
        <is>
          <t>JD Dix</t>
        </is>
      </c>
      <c r="C2219" s="9" t="inlineStr">
        <is>
          <t>ARI</t>
        </is>
      </c>
      <c r="D2219" s="9" t="n">
        <v>25</v>
      </c>
      <c r="E2219" s="16" t="inlineStr">
        <is>
          <t>S</t>
        </is>
      </c>
      <c r="F2219" s="16" t="n"/>
      <c r="G2219" s="9" t="n">
        <v>51.07692307692308</v>
      </c>
      <c r="H2219" s="9" t="n">
        <v>51.07692307692308</v>
      </c>
      <c r="I2219" s="9" t="inlineStr">
        <is>
          <t>Depth (no MLB PA)</t>
        </is>
      </c>
      <c r="J2219" s="16" t="inlineStr">
        <is>
          <t>Opening Day</t>
        </is>
      </c>
      <c r="K2219" s="11">
        <f>IFERROR(INDEX(Roles!$B$17:$B$20,MATCH(J2219,Roles!$A$17:$A$20,0)),1)</f>
        <v/>
      </c>
      <c r="L2219" s="17" t="n">
        <v>1</v>
      </c>
      <c r="M2219" s="11" t="n">
        <v>1</v>
      </c>
      <c r="N2219" s="17" t="n"/>
      <c r="O2219" s="17" t="n"/>
      <c r="P2219" s="17" t="n"/>
      <c r="Q2219" s="17" t="n"/>
      <c r="R2219" s="17" t="n"/>
      <c r="S2219" s="17" t="n"/>
      <c r="T2219" s="17" t="n"/>
      <c r="U2219" s="17" t="n"/>
      <c r="V2219" s="17" t="n"/>
      <c r="W2219" s="17" t="n"/>
      <c r="X2219" s="17" t="n"/>
      <c r="Y2219" s="17" t="n">
        <v>1</v>
      </c>
      <c r="Z2219" s="13">
        <f>SUMPRODUCT(N2219:Y2219,$N$2:$Y$2)*$K2219*$L2219*$M2219</f>
        <v/>
      </c>
      <c r="AA2219" s="14">
        <f>SUM(N2219:Y2219)</f>
        <v/>
      </c>
      <c r="AB2219" s="14">
        <f>IFERROR(IF(UPPER($E2219)="L",SUMPRODUCT(N2219:Y2219,$N$3:$Y$3,$N$2:$Y$2),SUMPRODUCT(N2219:Y2219,$N$4:$Y$4,$N$2:$Y$2))/(Z2219/($K2219*$L2219*$M2219)),"")</f>
        <v/>
      </c>
      <c r="AC2219" s="18" t="n"/>
    </row>
    <row r="2220">
      <c r="A2220" s="9" t="n">
        <v>807080</v>
      </c>
      <c r="B2220" s="9" t="inlineStr">
        <is>
          <t>Eric Hartman</t>
        </is>
      </c>
      <c r="C2220" s="9" t="inlineStr">
        <is>
          <t>ATL</t>
        </is>
      </c>
      <c r="D2220" s="9" t="n">
        <v>21</v>
      </c>
      <c r="E2220" s="16" t="inlineStr">
        <is>
          <t>L</t>
        </is>
      </c>
      <c r="F2220" s="16" t="n"/>
      <c r="G2220" s="9" t="n">
        <v>55.28205128205128</v>
      </c>
      <c r="H2220" s="9" t="n">
        <v>55.28205128205128</v>
      </c>
      <c r="I2220" s="9" t="inlineStr">
        <is>
          <t>Bench Bat</t>
        </is>
      </c>
      <c r="J2220" s="16" t="inlineStr">
        <is>
          <t>Mid Season (~July)</t>
        </is>
      </c>
      <c r="K2220" s="11">
        <f>IFERROR(INDEX(Roles!$B$17:$B$20,MATCH(J2220,Roles!$A$17:$A$20,0)),1)</f>
        <v/>
      </c>
      <c r="L2220" s="17" t="n">
        <v>1</v>
      </c>
      <c r="M2220" s="11" t="n">
        <v>1</v>
      </c>
      <c r="N2220" s="17" t="n">
        <v>0.34</v>
      </c>
      <c r="O2220" s="17" t="n"/>
      <c r="P2220" s="17" t="n">
        <v>0.3</v>
      </c>
      <c r="Q2220" s="17" t="n"/>
      <c r="R2220" s="17" t="n"/>
      <c r="S2220" s="17" t="n"/>
      <c r="T2220" s="17" t="n"/>
      <c r="U2220" s="17" t="n"/>
      <c r="V2220" s="17" t="n"/>
      <c r="W2220" s="17" t="n">
        <v>0.36</v>
      </c>
      <c r="X2220" s="17" t="n"/>
      <c r="Y2220" s="17" t="n"/>
      <c r="Z2220" s="13">
        <f>SUMPRODUCT(N2220:Y2220,$N$2:$Y$2)*$K2220*$L2220*$M2220</f>
        <v/>
      </c>
      <c r="AA2220" s="14">
        <f>SUM(N2220:Y2220)</f>
        <v/>
      </c>
      <c r="AB2220" s="14">
        <f>IFERROR(IF(UPPER($E2220)="L",SUMPRODUCT(N2220:Y2220,$N$3:$Y$3,$N$2:$Y$2),SUMPRODUCT(N2220:Y2220,$N$4:$Y$4,$N$2:$Y$2))/(Z2220/($K2220*$L2220*$M2220)),"")</f>
        <v/>
      </c>
      <c r="AC2220" s="18" t="n"/>
    </row>
    <row r="2221">
      <c r="A2221" s="9" t="n">
        <v>657051</v>
      </c>
      <c r="B2221" s="9" t="inlineStr">
        <is>
          <t>Nicholas Torres</t>
        </is>
      </c>
      <c r="C2221" s="9" t="inlineStr">
        <is>
          <t>NYY</t>
        </is>
      </c>
      <c r="D2221" s="9" t="n">
        <v>25</v>
      </c>
      <c r="E2221" s="16" t="inlineStr">
        <is>
          <t>R</t>
        </is>
      </c>
      <c r="F2221" s="16" t="n"/>
      <c r="G2221" s="9" t="n">
        <v>57.43589743589744</v>
      </c>
      <c r="H2221" s="9" t="n">
        <v>57.43589743589744</v>
      </c>
      <c r="I2221" s="9" t="inlineStr">
        <is>
          <t>Depth (no MLB PA)</t>
        </is>
      </c>
      <c r="J2221" s="16" t="inlineStr">
        <is>
          <t>Opening Day</t>
        </is>
      </c>
      <c r="K2221" s="11">
        <f>IFERROR(INDEX(Roles!$B$17:$B$20,MATCH(J2221,Roles!$A$17:$A$20,0)),1)</f>
        <v/>
      </c>
      <c r="L2221" s="17" t="n">
        <v>1</v>
      </c>
      <c r="M2221" s="11" t="n">
        <v>1</v>
      </c>
      <c r="N2221" s="17" t="n"/>
      <c r="O2221" s="17" t="n"/>
      <c r="P2221" s="17" t="n"/>
      <c r="Q2221" s="17" t="n"/>
      <c r="R2221" s="17" t="n"/>
      <c r="S2221" s="17" t="n"/>
      <c r="T2221" s="17" t="n"/>
      <c r="U2221" s="17" t="n"/>
      <c r="V2221" s="17" t="n"/>
      <c r="W2221" s="17" t="n"/>
      <c r="X2221" s="17" t="n"/>
      <c r="Y2221" s="17" t="n">
        <v>1</v>
      </c>
      <c r="Z2221" s="13">
        <f>SUMPRODUCT(N2221:Y2221,$N$2:$Y$2)*$K2221*$L2221*$M2221</f>
        <v/>
      </c>
      <c r="AA2221" s="14">
        <f>SUM(N2221:Y2221)</f>
        <v/>
      </c>
      <c r="AB2221" s="14">
        <f>IFERROR(IF(UPPER($E2221)="L",SUMPRODUCT(N2221:Y2221,$N$3:$Y$3,$N$2:$Y$2),SUMPRODUCT(N2221:Y2221,$N$4:$Y$4,$N$2:$Y$2))/(Z2221/($K2221*$L2221*$M2221)),"")</f>
        <v/>
      </c>
      <c r="AC2221" s="18" t="n"/>
    </row>
    <row r="2222">
      <c r="A2222" s="9" t="n">
        <v>802504</v>
      </c>
      <c r="B2222" s="9" t="inlineStr">
        <is>
          <t>Myles Naylor</t>
        </is>
      </c>
      <c r="C2222" s="9" t="inlineStr">
        <is>
          <t>OAK</t>
        </is>
      </c>
      <c r="D2222" s="9" t="n">
        <v>25</v>
      </c>
      <c r="E2222" s="16" t="inlineStr">
        <is>
          <t>R</t>
        </is>
      </c>
      <c r="F2222" s="16" t="n"/>
      <c r="G2222" s="9" t="n">
        <v>62.76923076923077</v>
      </c>
      <c r="H2222" s="9" t="n">
        <v>62.76923076923077</v>
      </c>
      <c r="I2222" s="9" t="inlineStr">
        <is>
          <t>Depth (no MLB PA)</t>
        </is>
      </c>
      <c r="J2222" s="16" t="inlineStr">
        <is>
          <t>Opening Day</t>
        </is>
      </c>
      <c r="K2222" s="11">
        <f>IFERROR(INDEX(Roles!$B$17:$B$20,MATCH(J2222,Roles!$A$17:$A$20,0)),1)</f>
        <v/>
      </c>
      <c r="L2222" s="17" t="n">
        <v>1</v>
      </c>
      <c r="M2222" s="11" t="n">
        <v>1</v>
      </c>
      <c r="N2222" s="17" t="n"/>
      <c r="O2222" s="17" t="n"/>
      <c r="P2222" s="17" t="n"/>
      <c r="Q2222" s="17" t="n"/>
      <c r="R2222" s="17" t="n"/>
      <c r="S2222" s="17" t="n"/>
      <c r="T2222" s="17" t="n"/>
      <c r="U2222" s="17" t="n"/>
      <c r="V2222" s="17" t="n"/>
      <c r="W2222" s="17" t="n"/>
      <c r="X2222" s="17" t="n"/>
      <c r="Y2222" s="17" t="n">
        <v>1</v>
      </c>
      <c r="Z2222" s="13">
        <f>SUMPRODUCT(N2222:Y2222,$N$2:$Y$2)*$K2222*$L2222*$M2222</f>
        <v/>
      </c>
      <c r="AA2222" s="14">
        <f>SUM(N2222:Y2222)</f>
        <v/>
      </c>
      <c r="AB2222" s="14">
        <f>IFERROR(IF(UPPER($E2222)="L",SUMPRODUCT(N2222:Y2222,$N$3:$Y$3,$N$2:$Y$2),SUMPRODUCT(N2222:Y2222,$N$4:$Y$4,$N$2:$Y$2))/(Z2222/($K2222*$L2222*$M2222)),"")</f>
        <v/>
      </c>
      <c r="AC2222" s="18" t="n"/>
    </row>
    <row r="2223">
      <c r="A2223" s="9" t="n">
        <v>815665</v>
      </c>
      <c r="B2223" s="9" t="inlineStr">
        <is>
          <t>Brendan Tunink</t>
        </is>
      </c>
      <c r="C2223" s="9" t="inlineStr">
        <is>
          <t>LAD</t>
        </is>
      </c>
      <c r="D2223" s="9" t="n">
        <v>25</v>
      </c>
      <c r="E2223" s="16" t="inlineStr">
        <is>
          <t>L</t>
        </is>
      </c>
      <c r="F2223" s="16" t="n"/>
      <c r="G2223" s="9" t="n">
        <v>42.46153846153846</v>
      </c>
      <c r="H2223" s="9" t="n">
        <v>42.46153846153846</v>
      </c>
      <c r="I2223" s="9" t="inlineStr">
        <is>
          <t>Depth (no MLB PA)</t>
        </is>
      </c>
      <c r="J2223" s="16" t="inlineStr">
        <is>
          <t>Opening Day</t>
        </is>
      </c>
      <c r="K2223" s="11">
        <f>IFERROR(INDEX(Roles!$B$17:$B$20,MATCH(J2223,Roles!$A$17:$A$20,0)),1)</f>
        <v/>
      </c>
      <c r="L2223" s="17" t="n">
        <v>1</v>
      </c>
      <c r="M2223" s="11" t="n">
        <v>1</v>
      </c>
      <c r="N2223" s="17" t="n"/>
      <c r="O2223" s="17" t="n"/>
      <c r="P2223" s="17" t="n"/>
      <c r="Q2223" s="17" t="n"/>
      <c r="R2223" s="17" t="n"/>
      <c r="S2223" s="17" t="n"/>
      <c r="T2223" s="17" t="n"/>
      <c r="U2223" s="17" t="n"/>
      <c r="V2223" s="17" t="n"/>
      <c r="W2223" s="17" t="n"/>
      <c r="X2223" s="17" t="n"/>
      <c r="Y2223" s="17" t="n">
        <v>1</v>
      </c>
      <c r="Z2223" s="13">
        <f>SUMPRODUCT(N2223:Y2223,$N$2:$Y$2)*$K2223*$L2223*$M2223</f>
        <v/>
      </c>
      <c r="AA2223" s="14">
        <f>SUM(N2223:Y2223)</f>
        <v/>
      </c>
      <c r="AB2223" s="14">
        <f>IFERROR(IF(UPPER($E2223)="L",SUMPRODUCT(N2223:Y2223,$N$3:$Y$3,$N$2:$Y$2),SUMPRODUCT(N2223:Y2223,$N$4:$Y$4,$N$2:$Y$2))/(Z2223/($K2223*$L2223*$M2223)),"")</f>
        <v/>
      </c>
      <c r="AC2223" s="18" t="n"/>
    </row>
    <row r="2224">
      <c r="A2224" s="9" t="n">
        <v>692633</v>
      </c>
      <c r="B2224" s="9" t="inlineStr">
        <is>
          <t>Manuel Palencia</t>
        </is>
      </c>
      <c r="C2224" s="9" t="inlineStr">
        <is>
          <t>NYY</t>
        </is>
      </c>
      <c r="D2224" s="9" t="n">
        <v>25</v>
      </c>
      <c r="E2224" s="16" t="inlineStr">
        <is>
          <t>R</t>
        </is>
      </c>
      <c r="F2224" s="16" t="n"/>
      <c r="G2224" s="9" t="n">
        <v>112</v>
      </c>
      <c r="H2224" s="9" t="n">
        <v>112</v>
      </c>
      <c r="I2224" s="9" t="inlineStr">
        <is>
          <t>Depth (no MLB PA)</t>
        </is>
      </c>
      <c r="J2224" s="16" t="inlineStr">
        <is>
          <t>Opening Day</t>
        </is>
      </c>
      <c r="K2224" s="11">
        <f>IFERROR(INDEX(Roles!$B$17:$B$20,MATCH(J2224,Roles!$A$17:$A$20,0)),1)</f>
        <v/>
      </c>
      <c r="L2224" s="17" t="n">
        <v>1</v>
      </c>
      <c r="M2224" s="11" t="n">
        <v>1</v>
      </c>
      <c r="N2224" s="17" t="n"/>
      <c r="O2224" s="17" t="n"/>
      <c r="P2224" s="17" t="n"/>
      <c r="Q2224" s="17" t="n"/>
      <c r="R2224" s="17" t="n"/>
      <c r="S2224" s="17" t="n"/>
      <c r="T2224" s="17" t="n"/>
      <c r="U2224" s="17" t="n"/>
      <c r="V2224" s="17" t="n"/>
      <c r="W2224" s="17" t="n"/>
      <c r="X2224" s="17" t="n"/>
      <c r="Y2224" s="17" t="n">
        <v>1</v>
      </c>
      <c r="Z2224" s="13">
        <f>SUMPRODUCT(N2224:Y2224,$N$2:$Y$2)*$K2224*$L2224*$M2224</f>
        <v/>
      </c>
      <c r="AA2224" s="14">
        <f>SUM(N2224:Y2224)</f>
        <v/>
      </c>
      <c r="AB2224" s="14">
        <f>IFERROR(IF(UPPER($E2224)="L",SUMPRODUCT(N2224:Y2224,$N$3:$Y$3,$N$2:$Y$2),SUMPRODUCT(N2224:Y2224,$N$4:$Y$4,$N$2:$Y$2))/(Z2224/($K2224*$L2224*$M2224)),"")</f>
        <v/>
      </c>
      <c r="AC2224" s="18" t="n"/>
    </row>
    <row r="2225">
      <c r="A2225" s="9" t="n">
        <v>808269</v>
      </c>
      <c r="B2225" s="9" t="inlineStr">
        <is>
          <t>Gerardo Rodriguez</t>
        </is>
      </c>
      <c r="C2225" s="9" t="inlineStr">
        <is>
          <t>BOS</t>
        </is>
      </c>
      <c r="D2225" s="9" t="n">
        <v>25</v>
      </c>
      <c r="E2225" s="16" t="inlineStr">
        <is>
          <t>R</t>
        </is>
      </c>
      <c r="F2225" s="16" t="n"/>
      <c r="G2225" s="9" t="n">
        <v>80</v>
      </c>
      <c r="H2225" s="9" t="n">
        <v>80</v>
      </c>
      <c r="I2225" s="9" t="inlineStr">
        <is>
          <t>Depth (no MLB PA)</t>
        </is>
      </c>
      <c r="J2225" s="16" t="inlineStr">
        <is>
          <t>Opening Day</t>
        </is>
      </c>
      <c r="K2225" s="11">
        <f>IFERROR(INDEX(Roles!$B$17:$B$20,MATCH(J2225,Roles!$A$17:$A$20,0)),1)</f>
        <v/>
      </c>
      <c r="L2225" s="17" t="n">
        <v>1</v>
      </c>
      <c r="M2225" s="11" t="n">
        <v>1</v>
      </c>
      <c r="N2225" s="17" t="n"/>
      <c r="O2225" s="17" t="n"/>
      <c r="P2225" s="17" t="n"/>
      <c r="Q2225" s="17" t="n"/>
      <c r="R2225" s="17" t="n"/>
      <c r="S2225" s="17" t="n"/>
      <c r="T2225" s="17" t="n"/>
      <c r="U2225" s="17" t="n"/>
      <c r="V2225" s="17" t="n"/>
      <c r="W2225" s="17" t="n"/>
      <c r="X2225" s="17" t="n"/>
      <c r="Y2225" s="17" t="n">
        <v>1</v>
      </c>
      <c r="Z2225" s="13">
        <f>SUMPRODUCT(N2225:Y2225,$N$2:$Y$2)*$K2225*$L2225*$M2225</f>
        <v/>
      </c>
      <c r="AA2225" s="14">
        <f>SUM(N2225:Y2225)</f>
        <v/>
      </c>
      <c r="AB2225" s="14">
        <f>IFERROR(IF(UPPER($E2225)="L",SUMPRODUCT(N2225:Y2225,$N$3:$Y$3,$N$2:$Y$2),SUMPRODUCT(N2225:Y2225,$N$4:$Y$4,$N$2:$Y$2))/(Z2225/($K2225*$L2225*$M2225)),"")</f>
        <v/>
      </c>
      <c r="AC2225" s="18" t="n"/>
    </row>
    <row r="2226">
      <c r="A2226" s="9" t="n">
        <v>691561</v>
      </c>
      <c r="B2226" s="9" t="inlineStr">
        <is>
          <t>Jose Meza</t>
        </is>
      </c>
      <c r="C2226" s="9" t="inlineStr">
        <is>
          <t>LAD</t>
        </is>
      </c>
      <c r="D2226" s="9" t="n">
        <v>25</v>
      </c>
      <c r="E2226" s="16" t="inlineStr">
        <is>
          <t>R</t>
        </is>
      </c>
      <c r="F2226" s="16" t="n"/>
      <c r="G2226" s="9" t="n">
        <v>84.92307692307693</v>
      </c>
      <c r="H2226" s="9" t="n">
        <v>84.92307692307693</v>
      </c>
      <c r="I2226" s="9" t="inlineStr">
        <is>
          <t>Depth (no MLB PA)</t>
        </is>
      </c>
      <c r="J2226" s="16" t="inlineStr">
        <is>
          <t>Opening Day</t>
        </is>
      </c>
      <c r="K2226" s="11">
        <f>IFERROR(INDEX(Roles!$B$17:$B$20,MATCH(J2226,Roles!$A$17:$A$20,0)),1)</f>
        <v/>
      </c>
      <c r="L2226" s="17" t="n">
        <v>1</v>
      </c>
      <c r="M2226" s="11" t="n">
        <v>1</v>
      </c>
      <c r="N2226" s="17" t="n"/>
      <c r="O2226" s="17" t="n"/>
      <c r="P2226" s="17" t="n"/>
      <c r="Q2226" s="17" t="n"/>
      <c r="R2226" s="17" t="n"/>
      <c r="S2226" s="17" t="n"/>
      <c r="T2226" s="17" t="n"/>
      <c r="U2226" s="17" t="n"/>
      <c r="V2226" s="17" t="n"/>
      <c r="W2226" s="17" t="n"/>
      <c r="X2226" s="17" t="n"/>
      <c r="Y2226" s="17" t="n">
        <v>1</v>
      </c>
      <c r="Z2226" s="13">
        <f>SUMPRODUCT(N2226:Y2226,$N$2:$Y$2)*$K2226*$L2226*$M2226</f>
        <v/>
      </c>
      <c r="AA2226" s="14">
        <f>SUM(N2226:Y2226)</f>
        <v/>
      </c>
      <c r="AB2226" s="14">
        <f>IFERROR(IF(UPPER($E2226)="L",SUMPRODUCT(N2226:Y2226,$N$3:$Y$3,$N$2:$Y$2),SUMPRODUCT(N2226:Y2226,$N$4:$Y$4,$N$2:$Y$2))/(Z2226/($K2226*$L2226*$M2226)),"")</f>
        <v/>
      </c>
      <c r="AC2226" s="18" t="n"/>
    </row>
    <row r="2227">
      <c r="A2227" s="9" t="n">
        <v>681439</v>
      </c>
      <c r="B2227" s="9" t="inlineStr">
        <is>
          <t>Zach Morgan</t>
        </is>
      </c>
      <c r="C2227" s="9" t="inlineStr">
        <is>
          <t>SF</t>
        </is>
      </c>
      <c r="D2227" s="9" t="n">
        <v>25</v>
      </c>
      <c r="E2227" s="16" t="inlineStr">
        <is>
          <t>R</t>
        </is>
      </c>
      <c r="F2227" s="16" t="n"/>
      <c r="G2227" s="9" t="n">
        <v>77.2820512820513</v>
      </c>
      <c r="H2227" s="9" t="n">
        <v>77.2820512820513</v>
      </c>
      <c r="I2227" s="9" t="inlineStr">
        <is>
          <t>Depth (no MLB PA)</t>
        </is>
      </c>
      <c r="J2227" s="16" t="inlineStr">
        <is>
          <t>Opening Day</t>
        </is>
      </c>
      <c r="K2227" s="11">
        <f>IFERROR(INDEX(Roles!$B$17:$B$20,MATCH(J2227,Roles!$A$17:$A$20,0)),1)</f>
        <v/>
      </c>
      <c r="L2227" s="17" t="n">
        <v>1</v>
      </c>
      <c r="M2227" s="11" t="n">
        <v>1</v>
      </c>
      <c r="N2227" s="17" t="n"/>
      <c r="O2227" s="17" t="n"/>
      <c r="P2227" s="17" t="n"/>
      <c r="Q2227" s="17" t="n"/>
      <c r="R2227" s="17" t="n"/>
      <c r="S2227" s="17" t="n"/>
      <c r="T2227" s="17" t="n"/>
      <c r="U2227" s="17" t="n"/>
      <c r="V2227" s="17" t="n"/>
      <c r="W2227" s="17" t="n"/>
      <c r="X2227" s="17" t="n"/>
      <c r="Y2227" s="17" t="n">
        <v>1</v>
      </c>
      <c r="Z2227" s="13">
        <f>SUMPRODUCT(N2227:Y2227,$N$2:$Y$2)*$K2227*$L2227*$M2227</f>
        <v/>
      </c>
      <c r="AA2227" s="14">
        <f>SUM(N2227:Y2227)</f>
        <v/>
      </c>
      <c r="AB2227" s="14">
        <f>IFERROR(IF(UPPER($E2227)="L",SUMPRODUCT(N2227:Y2227,$N$3:$Y$3,$N$2:$Y$2),SUMPRODUCT(N2227:Y2227,$N$4:$Y$4,$N$2:$Y$2))/(Z2227/($K2227*$L2227*$M2227)),"")</f>
        <v/>
      </c>
      <c r="AC2227" s="18" t="n"/>
    </row>
    <row r="2228">
      <c r="A2228" s="9" t="n">
        <v>682848</v>
      </c>
      <c r="B2228" s="9" t="inlineStr">
        <is>
          <t>Endy Rodríguez</t>
        </is>
      </c>
      <c r="C2228" s="9" t="inlineStr">
        <is>
          <t>PIT</t>
        </is>
      </c>
      <c r="D2228" s="9" t="n">
        <v>27</v>
      </c>
      <c r="E2228" s="16" t="inlineStr">
        <is>
          <t>S</t>
        </is>
      </c>
      <c r="F2228" s="16" t="inlineStr">
        <is>
          <t>C</t>
        </is>
      </c>
      <c r="G2228" s="9" t="n">
        <v>159</v>
      </c>
      <c r="H2228" s="9" t="n">
        <v>420</v>
      </c>
      <c r="I2228" s="9" t="inlineStr">
        <is>
          <t>Bench Bat</t>
        </is>
      </c>
      <c r="J2228" s="16" t="inlineStr">
        <is>
          <t>Opening Day</t>
        </is>
      </c>
      <c r="K2228" s="11">
        <f>IFERROR(INDEX(Roles!$B$17:$B$20,MATCH(J2228,Roles!$A$17:$A$20,0)),1)</f>
        <v/>
      </c>
      <c r="L2228" s="17" t="n">
        <v>1</v>
      </c>
      <c r="M2228" s="11" t="n">
        <v>1</v>
      </c>
      <c r="N2228" s="17" t="n"/>
      <c r="O2228" s="17" t="n"/>
      <c r="P2228" s="17" t="n"/>
      <c r="Q2228" s="17" t="n"/>
      <c r="R2228" s="17" t="n"/>
      <c r="S2228" s="17" t="n"/>
      <c r="T2228" s="17" t="n"/>
      <c r="U2228" s="17" t="n"/>
      <c r="V2228" s="17" t="n"/>
      <c r="W2228" s="17" t="n">
        <v>0.85</v>
      </c>
      <c r="X2228" s="17" t="n">
        <v>0.15</v>
      </c>
      <c r="Y2228" s="17" t="n"/>
      <c r="Z2228" s="13">
        <f>SUMPRODUCT(N2228:Y2228,$N$2:$Y$2)*$K2228*$L2228*$M2228</f>
        <v/>
      </c>
      <c r="AA2228" s="14">
        <f>SUM(N2228:Y2228)</f>
        <v/>
      </c>
      <c r="AB2228" s="14">
        <f>IFERROR(IF(UPPER($E2228)="L",SUMPRODUCT(N2228:Y2228,$N$3:$Y$3,$N$2:$Y$2),SUMPRODUCT(N2228:Y2228,$N$4:$Y$4,$N$2:$Y$2))/(Z2228/($K2228*$L2228*$M2228)),"")</f>
        <v/>
      </c>
      <c r="AC2228" s="18" t="n"/>
    </row>
    <row r="2229">
      <c r="A2229" s="9" t="n">
        <v>828557</v>
      </c>
      <c r="B2229" s="9" t="inlineStr">
        <is>
          <t>Blaine Bullard</t>
        </is>
      </c>
      <c r="C2229" s="9" t="inlineStr">
        <is>
          <t>TOR</t>
        </is>
      </c>
      <c r="D2229" s="9" t="n">
        <v>25</v>
      </c>
      <c r="E2229" s="16" t="inlineStr">
        <is>
          <t>S</t>
        </is>
      </c>
      <c r="F2229" s="16" t="n"/>
      <c r="G2229" s="9" t="n">
        <v>56.73846153846154</v>
      </c>
      <c r="H2229" s="9" t="n">
        <v>56.73846153846154</v>
      </c>
      <c r="I2229" s="9" t="inlineStr">
        <is>
          <t>Depth (no MLB PA)</t>
        </is>
      </c>
      <c r="J2229" s="16" t="inlineStr">
        <is>
          <t>Opening Day</t>
        </is>
      </c>
      <c r="K2229" s="11">
        <f>IFERROR(INDEX(Roles!$B$17:$B$20,MATCH(J2229,Roles!$A$17:$A$20,0)),1)</f>
        <v/>
      </c>
      <c r="L2229" s="17" t="n">
        <v>1</v>
      </c>
      <c r="M2229" s="11" t="n">
        <v>1</v>
      </c>
      <c r="N2229" s="17" t="n"/>
      <c r="O2229" s="17" t="n"/>
      <c r="P2229" s="17" t="n"/>
      <c r="Q2229" s="17" t="n"/>
      <c r="R2229" s="17" t="n"/>
      <c r="S2229" s="17" t="n"/>
      <c r="T2229" s="17" t="n"/>
      <c r="U2229" s="17" t="n"/>
      <c r="V2229" s="17" t="n"/>
      <c r="W2229" s="17" t="n"/>
      <c r="X2229" s="17" t="n"/>
      <c r="Y2229" s="17" t="n">
        <v>1</v>
      </c>
      <c r="Z2229" s="13">
        <f>SUMPRODUCT(N2229:Y2229,$N$2:$Y$2)*$K2229*$L2229*$M2229</f>
        <v/>
      </c>
      <c r="AA2229" s="14">
        <f>SUM(N2229:Y2229)</f>
        <v/>
      </c>
      <c r="AB2229" s="14">
        <f>IFERROR(IF(UPPER($E2229)="L",SUMPRODUCT(N2229:Y2229,$N$3:$Y$3,$N$2:$Y$2),SUMPRODUCT(N2229:Y2229,$N$4:$Y$4,$N$2:$Y$2))/(Z2229/($K2229*$L2229*$M2229)),"")</f>
        <v/>
      </c>
      <c r="AC2229" s="18" t="n"/>
    </row>
    <row r="2230">
      <c r="A2230" s="9" t="n">
        <v>807714</v>
      </c>
      <c r="B2230" s="9" t="inlineStr">
        <is>
          <t>Carter Trice</t>
        </is>
      </c>
      <c r="C2230" s="9" t="inlineStr">
        <is>
          <t>CHC</t>
        </is>
      </c>
      <c r="D2230" s="9" t="n">
        <v>25</v>
      </c>
      <c r="E2230" s="16" t="inlineStr">
        <is>
          <t>R</t>
        </is>
      </c>
      <c r="F2230" s="16" t="n"/>
      <c r="G2230" s="9" t="n">
        <v>184.1538461538462</v>
      </c>
      <c r="H2230" s="9" t="n">
        <v>184.1538461538462</v>
      </c>
      <c r="I2230" s="9" t="inlineStr">
        <is>
          <t>Depth (no MLB PA)</t>
        </is>
      </c>
      <c r="J2230" s="16" t="inlineStr">
        <is>
          <t>Opening Day</t>
        </is>
      </c>
      <c r="K2230" s="11">
        <f>IFERROR(INDEX(Roles!$B$17:$B$20,MATCH(J2230,Roles!$A$17:$A$20,0)),1)</f>
        <v/>
      </c>
      <c r="L2230" s="17" t="n">
        <v>1</v>
      </c>
      <c r="M2230" s="11" t="n">
        <v>1</v>
      </c>
      <c r="N2230" s="17" t="n"/>
      <c r="O2230" s="17" t="n"/>
      <c r="P2230" s="17" t="n"/>
      <c r="Q2230" s="17" t="n"/>
      <c r="R2230" s="17" t="n"/>
      <c r="S2230" s="17" t="n"/>
      <c r="T2230" s="17" t="n"/>
      <c r="U2230" s="17" t="n"/>
      <c r="V2230" s="17" t="n"/>
      <c r="W2230" s="17" t="n"/>
      <c r="X2230" s="17" t="n"/>
      <c r="Y2230" s="17" t="n">
        <v>1</v>
      </c>
      <c r="Z2230" s="13">
        <f>SUMPRODUCT(N2230:Y2230,$N$2:$Y$2)*$K2230*$L2230*$M2230</f>
        <v/>
      </c>
      <c r="AA2230" s="14">
        <f>SUM(N2230:Y2230)</f>
        <v/>
      </c>
      <c r="AB2230" s="14">
        <f>IFERROR(IF(UPPER($E2230)="L",SUMPRODUCT(N2230:Y2230,$N$3:$Y$3,$N$2:$Y$2),SUMPRODUCT(N2230:Y2230,$N$4:$Y$4,$N$2:$Y$2))/(Z2230/($K2230*$L2230*$M2230)),"")</f>
        <v/>
      </c>
      <c r="AC2230" s="18" t="n"/>
    </row>
    <row r="2231">
      <c r="A2231" s="9" t="n">
        <v>702518</v>
      </c>
      <c r="B2231" s="9" t="inlineStr">
        <is>
          <t>Jett Williams</t>
        </is>
      </c>
      <c r="C2231" s="9" t="inlineStr">
        <is>
          <t>MIL</t>
        </is>
      </c>
      <c r="D2231" s="9" t="n">
        <v>24</v>
      </c>
      <c r="E2231" s="16" t="inlineStr">
        <is>
          <t>R</t>
        </is>
      </c>
      <c r="F2231" s="16" t="n"/>
      <c r="G2231" s="9" t="n">
        <v>198.5641025641026</v>
      </c>
      <c r="H2231" s="9" t="n">
        <v>198.5641025641026</v>
      </c>
      <c r="I2231" s="9" t="inlineStr">
        <is>
          <t>Depth (no MLB PA)</t>
        </is>
      </c>
      <c r="J2231" s="16" t="inlineStr">
        <is>
          <t>Opening Day</t>
        </is>
      </c>
      <c r="K2231" s="11">
        <f>IFERROR(INDEX(Roles!$B$17:$B$20,MATCH(J2231,Roles!$A$17:$A$20,0)),1)</f>
        <v/>
      </c>
      <c r="L2231" s="17" t="n">
        <v>1</v>
      </c>
      <c r="M2231" s="11" t="n">
        <v>1</v>
      </c>
      <c r="N2231" s="17" t="n"/>
      <c r="O2231" s="17" t="n"/>
      <c r="P2231" s="17" t="n"/>
      <c r="Q2231" s="17" t="n"/>
      <c r="R2231" s="17" t="n"/>
      <c r="S2231" s="17" t="n"/>
      <c r="T2231" s="17" t="n"/>
      <c r="U2231" s="17" t="n"/>
      <c r="V2231" s="17" t="n"/>
      <c r="W2231" s="17" t="n"/>
      <c r="X2231" s="17" t="n"/>
      <c r="Y2231" s="17" t="n">
        <v>1</v>
      </c>
      <c r="Z2231" s="13">
        <f>SUMPRODUCT(N2231:Y2231,$N$2:$Y$2)*$K2231*$L2231*$M2231</f>
        <v/>
      </c>
      <c r="AA2231" s="14">
        <f>SUM(N2231:Y2231)</f>
        <v/>
      </c>
      <c r="AB2231" s="14">
        <f>IFERROR(IF(UPPER($E2231)="L",SUMPRODUCT(N2231:Y2231,$N$3:$Y$3,$N$2:$Y$2),SUMPRODUCT(N2231:Y2231,$N$4:$Y$4,$N$2:$Y$2))/(Z2231/($K2231*$L2231*$M2231)),"")</f>
        <v/>
      </c>
      <c r="AC2231" s="18" t="n"/>
    </row>
    <row r="2232">
      <c r="A2232" s="9" t="n">
        <v>686541</v>
      </c>
      <c r="B2232" s="9" t="inlineStr">
        <is>
          <t>Drew Compton</t>
        </is>
      </c>
      <c r="C2232" s="9" t="inlineStr">
        <is>
          <t>ATL</t>
        </is>
      </c>
      <c r="D2232" s="9" t="n">
        <v>25</v>
      </c>
      <c r="E2232" s="16" t="inlineStr">
        <is>
          <t>S</t>
        </is>
      </c>
      <c r="F2232" s="16" t="n"/>
      <c r="G2232" s="9" t="n">
        <v>80.05128205128204</v>
      </c>
      <c r="H2232" s="9" t="n">
        <v>80.05128205128204</v>
      </c>
      <c r="I2232" s="9" t="inlineStr">
        <is>
          <t>Depth (no MLB PA)</t>
        </is>
      </c>
      <c r="J2232" s="16" t="inlineStr">
        <is>
          <t>Opening Day</t>
        </is>
      </c>
      <c r="K2232" s="11">
        <f>IFERROR(INDEX(Roles!$B$17:$B$20,MATCH(J2232,Roles!$A$17:$A$20,0)),1)</f>
        <v/>
      </c>
      <c r="L2232" s="17" t="n">
        <v>1</v>
      </c>
      <c r="M2232" s="11" t="n">
        <v>1</v>
      </c>
      <c r="N2232" s="17" t="n"/>
      <c r="O2232" s="17" t="n"/>
      <c r="P2232" s="17" t="n"/>
      <c r="Q2232" s="17" t="n"/>
      <c r="R2232" s="17" t="n"/>
      <c r="S2232" s="17" t="n"/>
      <c r="T2232" s="17" t="n"/>
      <c r="U2232" s="17" t="n"/>
      <c r="V2232" s="17" t="n"/>
      <c r="W2232" s="17" t="n"/>
      <c r="X2232" s="17" t="n"/>
      <c r="Y2232" s="17" t="n">
        <v>1</v>
      </c>
      <c r="Z2232" s="13">
        <f>SUMPRODUCT(N2232:Y2232,$N$2:$Y$2)*$K2232*$L2232*$M2232</f>
        <v/>
      </c>
      <c r="AA2232" s="14">
        <f>SUM(N2232:Y2232)</f>
        <v/>
      </c>
      <c r="AB2232" s="14">
        <f>IFERROR(IF(UPPER($E2232)="L",SUMPRODUCT(N2232:Y2232,$N$3:$Y$3,$N$2:$Y$2),SUMPRODUCT(N2232:Y2232,$N$4:$Y$4,$N$2:$Y$2))/(Z2232/($K2232*$L2232*$M2232)),"")</f>
        <v/>
      </c>
      <c r="AC2232" s="18" t="n"/>
    </row>
    <row r="2233">
      <c r="A2233" s="9" t="n">
        <v>825269</v>
      </c>
      <c r="B2233" s="9" t="inlineStr">
        <is>
          <t>Jose Verdugo</t>
        </is>
      </c>
      <c r="C2233" s="9" t="inlineStr">
        <is>
          <t>SD</t>
        </is>
      </c>
      <c r="D2233" s="9" t="n">
        <v>25</v>
      </c>
      <c r="E2233" s="16" t="inlineStr">
        <is>
          <t>R</t>
        </is>
      </c>
      <c r="F2233" s="16" t="n"/>
      <c r="G2233" s="9" t="n">
        <v>50.21538461538461</v>
      </c>
      <c r="H2233" s="9" t="n">
        <v>50.21538461538461</v>
      </c>
      <c r="I2233" s="9" t="inlineStr">
        <is>
          <t>Depth (no MLB PA)</t>
        </is>
      </c>
      <c r="J2233" s="16" t="inlineStr">
        <is>
          <t>Opening Day</t>
        </is>
      </c>
      <c r="K2233" s="11">
        <f>IFERROR(INDEX(Roles!$B$17:$B$20,MATCH(J2233,Roles!$A$17:$A$20,0)),1)</f>
        <v/>
      </c>
      <c r="L2233" s="17" t="n">
        <v>1</v>
      </c>
      <c r="M2233" s="11" t="n">
        <v>1</v>
      </c>
      <c r="N2233" s="17" t="n"/>
      <c r="O2233" s="17" t="n"/>
      <c r="P2233" s="17" t="n"/>
      <c r="Q2233" s="17" t="n"/>
      <c r="R2233" s="17" t="n"/>
      <c r="S2233" s="17" t="n"/>
      <c r="T2233" s="17" t="n"/>
      <c r="U2233" s="17" t="n"/>
      <c r="V2233" s="17" t="n"/>
      <c r="W2233" s="17" t="n"/>
      <c r="X2233" s="17" t="n"/>
      <c r="Y2233" s="17" t="n">
        <v>1</v>
      </c>
      <c r="Z2233" s="13">
        <f>SUMPRODUCT(N2233:Y2233,$N$2:$Y$2)*$K2233*$L2233*$M2233</f>
        <v/>
      </c>
      <c r="AA2233" s="14">
        <f>SUM(N2233:Y2233)</f>
        <v/>
      </c>
      <c r="AB2233" s="14">
        <f>IFERROR(IF(UPPER($E2233)="L",SUMPRODUCT(N2233:Y2233,$N$3:$Y$3,$N$2:$Y$2),SUMPRODUCT(N2233:Y2233,$N$4:$Y$4,$N$2:$Y$2))/(Z2233/($K2233*$L2233*$M2233)),"")</f>
        <v/>
      </c>
      <c r="AC2233" s="18" t="n"/>
    </row>
    <row r="2234">
      <c r="A2234" s="9" t="n">
        <v>683679</v>
      </c>
      <c r="B2234" s="9" t="inlineStr">
        <is>
          <t>Jesus Rodriguez</t>
        </is>
      </c>
      <c r="C2234" s="9" t="inlineStr">
        <is>
          <t>SF</t>
        </is>
      </c>
      <c r="D2234" s="9" t="n">
        <v>25</v>
      </c>
      <c r="E2234" s="16" t="inlineStr">
        <is>
          <t>R</t>
        </is>
      </c>
      <c r="F2234" s="16" t="inlineStr">
        <is>
          <t>C</t>
        </is>
      </c>
      <c r="G2234" s="9" t="n">
        <v>58</v>
      </c>
      <c r="H2234" s="9" t="n">
        <v>58</v>
      </c>
      <c r="I2234" s="9" t="inlineStr">
        <is>
          <t>Injury Replacement / 26th Man</t>
        </is>
      </c>
      <c r="J2234" s="16" t="inlineStr">
        <is>
          <t>Opening Day</t>
        </is>
      </c>
      <c r="K2234" s="11">
        <f>IFERROR(INDEX(Roles!$B$17:$B$20,MATCH(J2234,Roles!$A$17:$A$20,0)),1)</f>
        <v/>
      </c>
      <c r="L2234" s="17" t="n">
        <v>1</v>
      </c>
      <c r="M2234" s="11" t="n">
        <v>1</v>
      </c>
      <c r="N2234" s="17" t="n"/>
      <c r="O2234" s="17" t="n"/>
      <c r="P2234" s="17" t="n"/>
      <c r="Q2234" s="17" t="n"/>
      <c r="R2234" s="17" t="n"/>
      <c r="S2234" s="17" t="n"/>
      <c r="T2234" s="17" t="n"/>
      <c r="U2234" s="17" t="n"/>
      <c r="V2234" s="17" t="n"/>
      <c r="W2234" s="17" t="n"/>
      <c r="X2234" s="17" t="n">
        <v>1</v>
      </c>
      <c r="Y2234" s="17" t="n"/>
      <c r="Z2234" s="13">
        <f>SUMPRODUCT(N2234:Y2234,$N$2:$Y$2)*$K2234*$L2234*$M2234</f>
        <v/>
      </c>
      <c r="AA2234" s="14">
        <f>SUM(N2234:Y2234)</f>
        <v/>
      </c>
      <c r="AB2234" s="14">
        <f>IFERROR(IF(UPPER($E2234)="L",SUMPRODUCT(N2234:Y2234,$N$3:$Y$3,$N$2:$Y$2),SUMPRODUCT(N2234:Y2234,$N$4:$Y$4,$N$2:$Y$2))/(Z2234/($K2234*$L2234*$M2234)),"")</f>
        <v/>
      </c>
      <c r="AC2234" s="18" t="n"/>
    </row>
    <row r="2235">
      <c r="A2235" s="9" t="n">
        <v>827628</v>
      </c>
      <c r="B2235" s="9" t="inlineStr">
        <is>
          <t>Garrett Howe</t>
        </is>
      </c>
      <c r="C2235" s="9" t="inlineStr">
        <is>
          <t>CLE</t>
        </is>
      </c>
      <c r="D2235" s="9" t="n">
        <v>25</v>
      </c>
      <c r="E2235" s="16" t="inlineStr">
        <is>
          <t>L</t>
        </is>
      </c>
      <c r="F2235" s="16" t="n"/>
      <c r="G2235" s="9" t="n">
        <v>51.4871794871795</v>
      </c>
      <c r="H2235" s="9" t="n">
        <v>51.4871794871795</v>
      </c>
      <c r="I2235" s="9" t="inlineStr">
        <is>
          <t>Depth (no MLB PA)</t>
        </is>
      </c>
      <c r="J2235" s="16" t="inlineStr">
        <is>
          <t>Opening Day</t>
        </is>
      </c>
      <c r="K2235" s="11">
        <f>IFERROR(INDEX(Roles!$B$17:$B$20,MATCH(J2235,Roles!$A$17:$A$20,0)),1)</f>
        <v/>
      </c>
      <c r="L2235" s="17" t="n">
        <v>1</v>
      </c>
      <c r="M2235" s="11" t="n">
        <v>1</v>
      </c>
      <c r="N2235" s="17" t="n"/>
      <c r="O2235" s="17" t="n"/>
      <c r="P2235" s="17" t="n"/>
      <c r="Q2235" s="17" t="n"/>
      <c r="R2235" s="17" t="n"/>
      <c r="S2235" s="17" t="n"/>
      <c r="T2235" s="17" t="n"/>
      <c r="U2235" s="17" t="n"/>
      <c r="V2235" s="17" t="n"/>
      <c r="W2235" s="17" t="n"/>
      <c r="X2235" s="17" t="n"/>
      <c r="Y2235" s="17" t="n">
        <v>1</v>
      </c>
      <c r="Z2235" s="13">
        <f>SUMPRODUCT(N2235:Y2235,$N$2:$Y$2)*$K2235*$L2235*$M2235</f>
        <v/>
      </c>
      <c r="AA2235" s="14">
        <f>SUM(N2235:Y2235)</f>
        <v/>
      </c>
      <c r="AB2235" s="14">
        <f>IFERROR(IF(UPPER($E2235)="L",SUMPRODUCT(N2235:Y2235,$N$3:$Y$3,$N$2:$Y$2),SUMPRODUCT(N2235:Y2235,$N$4:$Y$4,$N$2:$Y$2))/(Z2235/($K2235*$L2235*$M2235)),"")</f>
        <v/>
      </c>
      <c r="AC2235" s="18" t="n"/>
    </row>
    <row r="2236">
      <c r="A2236" s="9" t="n">
        <v>678545</v>
      </c>
      <c r="B2236" s="9" t="inlineStr">
        <is>
          <t>Osleivis Basabe</t>
        </is>
      </c>
      <c r="C2236" s="9" t="inlineStr">
        <is>
          <t>SF</t>
        </is>
      </c>
      <c r="D2236" s="9" t="n">
        <v>26</v>
      </c>
      <c r="E2236" s="16" t="inlineStr">
        <is>
          <t>R</t>
        </is>
      </c>
      <c r="F2236" s="16" t="inlineStr">
        <is>
          <t>2B</t>
        </is>
      </c>
      <c r="G2236" s="9" t="n">
        <v>143</v>
      </c>
      <c r="H2236" s="9" t="n">
        <v>237</v>
      </c>
      <c r="I2236" s="9" t="inlineStr">
        <is>
          <t>Weak Side Platoon</t>
        </is>
      </c>
      <c r="J2236" s="16" t="inlineStr">
        <is>
          <t>Opening Day</t>
        </is>
      </c>
      <c r="K2236" s="11">
        <f>IFERROR(INDEX(Roles!$B$17:$B$20,MATCH(J2236,Roles!$A$17:$A$20,0)),1)</f>
        <v/>
      </c>
      <c r="L2236" s="17" t="n">
        <v>1</v>
      </c>
      <c r="M2236" s="11" t="n">
        <v>1</v>
      </c>
      <c r="N2236" s="17" t="n"/>
      <c r="O2236" s="17" t="n"/>
      <c r="P2236" s="17" t="n"/>
      <c r="Q2236" s="17" t="n">
        <v>0.6</v>
      </c>
      <c r="R2236" s="17" t="n"/>
      <c r="S2236" s="17" t="n"/>
      <c r="T2236" s="17" t="n"/>
      <c r="U2236" s="17" t="n">
        <v>0.4</v>
      </c>
      <c r="V2236" s="17" t="n"/>
      <c r="W2236" s="17" t="n"/>
      <c r="X2236" s="17" t="n"/>
      <c r="Y2236" s="17" t="n"/>
      <c r="Z2236" s="13">
        <f>SUMPRODUCT(N2236:Y2236,$N$2:$Y$2)*$K2236*$L2236*$M2236</f>
        <v/>
      </c>
      <c r="AA2236" s="14">
        <f>SUM(N2236:Y2236)</f>
        <v/>
      </c>
      <c r="AB2236" s="14">
        <f>IFERROR(IF(UPPER($E2236)="L",SUMPRODUCT(N2236:Y2236,$N$3:$Y$3,$N$2:$Y$2),SUMPRODUCT(N2236:Y2236,$N$4:$Y$4,$N$2:$Y$2))/(Z2236/($K2236*$L2236*$M2236)),"")</f>
        <v/>
      </c>
      <c r="AC2236" s="18" t="n"/>
    </row>
    <row r="2237">
      <c r="A2237" s="9" t="n">
        <v>694230</v>
      </c>
      <c r="B2237" s="9" t="inlineStr">
        <is>
          <t>Hendry Mendez</t>
        </is>
      </c>
      <c r="C2237" s="9" t="inlineStr">
        <is>
          <t>MIN</t>
        </is>
      </c>
      <c r="D2237" s="9" t="n">
        <v>25</v>
      </c>
      <c r="E2237" s="16" t="inlineStr">
        <is>
          <t>L</t>
        </is>
      </c>
      <c r="F2237" s="16" t="n"/>
      <c r="G2237" s="9" t="n">
        <v>185.5897435897436</v>
      </c>
      <c r="H2237" s="9" t="n">
        <v>185.5897435897436</v>
      </c>
      <c r="I2237" s="9" t="inlineStr">
        <is>
          <t>Depth (no MLB PA)</t>
        </is>
      </c>
      <c r="J2237" s="16" t="inlineStr">
        <is>
          <t>Opening Day</t>
        </is>
      </c>
      <c r="K2237" s="11">
        <f>IFERROR(INDEX(Roles!$B$17:$B$20,MATCH(J2237,Roles!$A$17:$A$20,0)),1)</f>
        <v/>
      </c>
      <c r="L2237" s="17" t="n">
        <v>1</v>
      </c>
      <c r="M2237" s="11" t="n">
        <v>1</v>
      </c>
      <c r="N2237" s="17" t="n"/>
      <c r="O2237" s="17" t="n"/>
      <c r="P2237" s="17" t="n"/>
      <c r="Q2237" s="17" t="n"/>
      <c r="R2237" s="17" t="n"/>
      <c r="S2237" s="17" t="n"/>
      <c r="T2237" s="17" t="n"/>
      <c r="U2237" s="17" t="n"/>
      <c r="V2237" s="17" t="n"/>
      <c r="W2237" s="17" t="n"/>
      <c r="X2237" s="17" t="n"/>
      <c r="Y2237" s="17" t="n">
        <v>1</v>
      </c>
      <c r="Z2237" s="13">
        <f>SUMPRODUCT(N2237:Y2237,$N$2:$Y$2)*$K2237*$L2237*$M2237</f>
        <v/>
      </c>
      <c r="AA2237" s="14">
        <f>SUM(N2237:Y2237)</f>
        <v/>
      </c>
      <c r="AB2237" s="14">
        <f>IFERROR(IF(UPPER($E2237)="L",SUMPRODUCT(N2237:Y2237,$N$3:$Y$3,$N$2:$Y$2),SUMPRODUCT(N2237:Y2237,$N$4:$Y$4,$N$2:$Y$2))/(Z2237/($K2237*$L2237*$M2237)),"")</f>
        <v/>
      </c>
      <c r="AC2237" s="18" t="n"/>
    </row>
    <row r="2238">
      <c r="A2238" s="9" t="n">
        <v>803241</v>
      </c>
      <c r="B2238" s="9" t="inlineStr">
        <is>
          <t>Jose Escobar</t>
        </is>
      </c>
      <c r="C2238" s="9" t="inlineStr">
        <is>
          <t>CHC</t>
        </is>
      </c>
      <c r="D2238" s="9" t="n">
        <v>23</v>
      </c>
      <c r="E2238" s="16" t="inlineStr">
        <is>
          <t>L</t>
        </is>
      </c>
      <c r="F2238" s="16" t="n"/>
      <c r="G2238" s="9" t="n">
        <v>66.25641025641026</v>
      </c>
      <c r="H2238" s="9" t="n">
        <v>66.25641025641026</v>
      </c>
      <c r="I2238" s="9" t="inlineStr">
        <is>
          <t>Depth (no MLB PA)</t>
        </is>
      </c>
      <c r="J2238" s="16" t="inlineStr">
        <is>
          <t>Opening Day</t>
        </is>
      </c>
      <c r="K2238" s="11">
        <f>IFERROR(INDEX(Roles!$B$17:$B$20,MATCH(J2238,Roles!$A$17:$A$20,0)),1)</f>
        <v/>
      </c>
      <c r="L2238" s="17" t="n">
        <v>1</v>
      </c>
      <c r="M2238" s="11" t="n">
        <v>1</v>
      </c>
      <c r="N2238" s="17" t="n"/>
      <c r="O2238" s="17" t="n"/>
      <c r="P2238" s="17" t="n"/>
      <c r="Q2238" s="17" t="n"/>
      <c r="R2238" s="17" t="n"/>
      <c r="S2238" s="17" t="n"/>
      <c r="T2238" s="17" t="n"/>
      <c r="U2238" s="17" t="n"/>
      <c r="V2238" s="17" t="n"/>
      <c r="W2238" s="17" t="n"/>
      <c r="X2238" s="17" t="n"/>
      <c r="Y2238" s="17" t="n">
        <v>1</v>
      </c>
      <c r="Z2238" s="13">
        <f>SUMPRODUCT(N2238:Y2238,$N$2:$Y$2)*$K2238*$L2238*$M2238</f>
        <v/>
      </c>
      <c r="AA2238" s="14">
        <f>SUM(N2238:Y2238)</f>
        <v/>
      </c>
      <c r="AB2238" s="14">
        <f>IFERROR(IF(UPPER($E2238)="L",SUMPRODUCT(N2238:Y2238,$N$3:$Y$3,$N$2:$Y$2),SUMPRODUCT(N2238:Y2238,$N$4:$Y$4,$N$2:$Y$2))/(Z2238/($K2238*$L2238*$M2238)),"")</f>
        <v/>
      </c>
      <c r="AC2238" s="18" t="n"/>
    </row>
    <row r="2239">
      <c r="A2239" s="9" t="n">
        <v>806071</v>
      </c>
      <c r="B2239" s="9" t="inlineStr">
        <is>
          <t>Jonny Farmelo</t>
        </is>
      </c>
      <c r="C2239" s="9" t="inlineStr">
        <is>
          <t>SEA</t>
        </is>
      </c>
      <c r="D2239" s="9" t="n">
        <v>23</v>
      </c>
      <c r="E2239" s="16" t="inlineStr">
        <is>
          <t>L</t>
        </is>
      </c>
      <c r="F2239" s="16" t="n"/>
      <c r="G2239" s="9" t="n">
        <v>75.74358974358974</v>
      </c>
      <c r="H2239" s="9" t="n">
        <v>75.74358974358974</v>
      </c>
      <c r="I2239" s="9" t="inlineStr">
        <is>
          <t>Depth (no MLB PA)</t>
        </is>
      </c>
      <c r="J2239" s="16" t="inlineStr">
        <is>
          <t>Opening Day</t>
        </is>
      </c>
      <c r="K2239" s="11">
        <f>IFERROR(INDEX(Roles!$B$17:$B$20,MATCH(J2239,Roles!$A$17:$A$20,0)),1)</f>
        <v/>
      </c>
      <c r="L2239" s="17" t="n">
        <v>1</v>
      </c>
      <c r="M2239" s="11" t="n">
        <v>1</v>
      </c>
      <c r="N2239" s="17" t="n"/>
      <c r="O2239" s="17" t="n"/>
      <c r="P2239" s="17" t="n"/>
      <c r="Q2239" s="17" t="n"/>
      <c r="R2239" s="17" t="n"/>
      <c r="S2239" s="17" t="n"/>
      <c r="T2239" s="17" t="n"/>
      <c r="U2239" s="17" t="n"/>
      <c r="V2239" s="17" t="n"/>
      <c r="W2239" s="17" t="n"/>
      <c r="X2239" s="17" t="n"/>
      <c r="Y2239" s="17" t="n">
        <v>1</v>
      </c>
      <c r="Z2239" s="13">
        <f>SUMPRODUCT(N2239:Y2239,$N$2:$Y$2)*$K2239*$L2239*$M2239</f>
        <v/>
      </c>
      <c r="AA2239" s="14">
        <f>SUM(N2239:Y2239)</f>
        <v/>
      </c>
      <c r="AB2239" s="14">
        <f>IFERROR(IF(UPPER($E2239)="L",SUMPRODUCT(N2239:Y2239,$N$3:$Y$3,$N$2:$Y$2),SUMPRODUCT(N2239:Y2239,$N$4:$Y$4,$N$2:$Y$2))/(Z2239/($K2239*$L2239*$M2239)),"")</f>
        <v/>
      </c>
      <c r="AC2239" s="18" t="n"/>
    </row>
    <row r="2240">
      <c r="A2240" s="9" t="n">
        <v>809763</v>
      </c>
      <c r="B2240" s="9" t="inlineStr">
        <is>
          <t>Kaeden Kent</t>
        </is>
      </c>
      <c r="C2240" s="9" t="inlineStr">
        <is>
          <t>SF</t>
        </is>
      </c>
      <c r="D2240" s="9" t="n">
        <v>25</v>
      </c>
      <c r="E2240" s="16" t="inlineStr">
        <is>
          <t>L</t>
        </is>
      </c>
      <c r="F2240" s="16" t="n"/>
      <c r="G2240" s="9" t="n">
        <v>81.23076923076924</v>
      </c>
      <c r="H2240" s="9" t="n">
        <v>81.23076923076924</v>
      </c>
      <c r="I2240" s="9" t="inlineStr">
        <is>
          <t>Depth (no MLB PA)</t>
        </is>
      </c>
      <c r="J2240" s="16" t="inlineStr">
        <is>
          <t>Opening Day</t>
        </is>
      </c>
      <c r="K2240" s="11">
        <f>IFERROR(INDEX(Roles!$B$17:$B$20,MATCH(J2240,Roles!$A$17:$A$20,0)),1)</f>
        <v/>
      </c>
      <c r="L2240" s="17" t="n">
        <v>1</v>
      </c>
      <c r="M2240" s="11" t="n">
        <v>1</v>
      </c>
      <c r="N2240" s="17" t="n"/>
      <c r="O2240" s="17" t="n"/>
      <c r="P2240" s="17" t="n"/>
      <c r="Q2240" s="17" t="n"/>
      <c r="R2240" s="17" t="n"/>
      <c r="S2240" s="17" t="n"/>
      <c r="T2240" s="17" t="n"/>
      <c r="U2240" s="17" t="n"/>
      <c r="V2240" s="17" t="n"/>
      <c r="W2240" s="17" t="n"/>
      <c r="X2240" s="17" t="n"/>
      <c r="Y2240" s="17" t="n">
        <v>1</v>
      </c>
      <c r="Z2240" s="13">
        <f>SUMPRODUCT(N2240:Y2240,$N$2:$Y$2)*$K2240*$L2240*$M2240</f>
        <v/>
      </c>
      <c r="AA2240" s="14">
        <f>SUM(N2240:Y2240)</f>
        <v/>
      </c>
      <c r="AB2240" s="14">
        <f>IFERROR(IF(UPPER($E2240)="L",SUMPRODUCT(N2240:Y2240,$N$3:$Y$3,$N$2:$Y$2),SUMPRODUCT(N2240:Y2240,$N$4:$Y$4,$N$2:$Y$2))/(Z2240/($K2240*$L2240*$M2240)),"")</f>
        <v/>
      </c>
      <c r="AC2240" s="18" t="n"/>
    </row>
    <row r="2241">
      <c r="A2241" s="9" t="n">
        <v>677605</v>
      </c>
      <c r="B2241" s="9" t="inlineStr">
        <is>
          <t>Luis Verdugo</t>
        </is>
      </c>
      <c r="C2241" s="9" t="inlineStr">
        <is>
          <t>SD</t>
        </is>
      </c>
      <c r="D2241" s="9" t="n">
        <v>25</v>
      </c>
      <c r="E2241" s="16" t="inlineStr">
        <is>
          <t>R</t>
        </is>
      </c>
      <c r="F2241" s="16" t="n"/>
      <c r="G2241" s="9" t="n">
        <v>136.4102564102564</v>
      </c>
      <c r="H2241" s="9" t="n">
        <v>136.4102564102564</v>
      </c>
      <c r="I2241" s="9" t="inlineStr">
        <is>
          <t>Depth (no MLB PA)</t>
        </is>
      </c>
      <c r="J2241" s="16" t="inlineStr">
        <is>
          <t>Opening Day</t>
        </is>
      </c>
      <c r="K2241" s="11">
        <f>IFERROR(INDEX(Roles!$B$17:$B$20,MATCH(J2241,Roles!$A$17:$A$20,0)),1)</f>
        <v/>
      </c>
      <c r="L2241" s="17" t="n">
        <v>1</v>
      </c>
      <c r="M2241" s="11" t="n">
        <v>1</v>
      </c>
      <c r="N2241" s="17" t="n"/>
      <c r="O2241" s="17" t="n"/>
      <c r="P2241" s="17" t="n"/>
      <c r="Q2241" s="17" t="n"/>
      <c r="R2241" s="17" t="n"/>
      <c r="S2241" s="17" t="n"/>
      <c r="T2241" s="17" t="n"/>
      <c r="U2241" s="17" t="n"/>
      <c r="V2241" s="17" t="n"/>
      <c r="W2241" s="17" t="n"/>
      <c r="X2241" s="17" t="n"/>
      <c r="Y2241" s="17" t="n">
        <v>1</v>
      </c>
      <c r="Z2241" s="13">
        <f>SUMPRODUCT(N2241:Y2241,$N$2:$Y$2)*$K2241*$L2241*$M2241</f>
        <v/>
      </c>
      <c r="AA2241" s="14">
        <f>SUM(N2241:Y2241)</f>
        <v/>
      </c>
      <c r="AB2241" s="14">
        <f>IFERROR(IF(UPPER($E2241)="L",SUMPRODUCT(N2241:Y2241,$N$3:$Y$3,$N$2:$Y$2),SUMPRODUCT(N2241:Y2241,$N$4:$Y$4,$N$2:$Y$2))/(Z2241/($K2241*$L2241*$M2241)),"")</f>
        <v/>
      </c>
      <c r="AC2241" s="18" t="n"/>
    </row>
    <row r="2242">
      <c r="A2242" s="9" t="n">
        <v>649966</v>
      </c>
      <c r="B2242" s="9" t="inlineStr">
        <is>
          <t>Luis Urías</t>
        </is>
      </c>
      <c r="C2242" s="9" t="inlineStr">
        <is>
          <t>TOR</t>
        </is>
      </c>
      <c r="D2242" s="9" t="n">
        <v>30</v>
      </c>
      <c r="E2242" s="16" t="inlineStr">
        <is>
          <t>R</t>
        </is>
      </c>
      <c r="F2242" s="16" t="inlineStr">
        <is>
          <t>2B</t>
        </is>
      </c>
      <c r="G2242" s="9" t="n">
        <v>59</v>
      </c>
      <c r="H2242" s="9" t="n">
        <v>1147</v>
      </c>
      <c r="I2242" s="9" t="inlineStr">
        <is>
          <t>Bench Bat</t>
        </is>
      </c>
      <c r="J2242" s="16" t="inlineStr">
        <is>
          <t>Opening Day</t>
        </is>
      </c>
      <c r="K2242" s="11">
        <f>IFERROR(INDEX(Roles!$B$17:$B$20,MATCH(J2242,Roles!$A$17:$A$20,0)),1)</f>
        <v/>
      </c>
      <c r="L2242" s="17" t="n">
        <v>1</v>
      </c>
      <c r="M2242" s="11" t="n">
        <v>1</v>
      </c>
      <c r="N2242" s="17" t="n"/>
      <c r="O2242" s="17" t="n"/>
      <c r="P2242" s="17" t="n"/>
      <c r="Q2242" s="17" t="n"/>
      <c r="R2242" s="17" t="n"/>
      <c r="S2242" s="17" t="n"/>
      <c r="T2242" s="17" t="n"/>
      <c r="U2242" s="17" t="n"/>
      <c r="V2242" s="17" t="n"/>
      <c r="W2242" s="17" t="n">
        <v>0.85</v>
      </c>
      <c r="X2242" s="17" t="n">
        <v>0.15</v>
      </c>
      <c r="Y2242" s="17" t="n"/>
      <c r="Z2242" s="13">
        <f>SUMPRODUCT(N2242:Y2242,$N$2:$Y$2)*$K2242*$L2242*$M2242</f>
        <v/>
      </c>
      <c r="AA2242" s="14">
        <f>SUM(N2242:Y2242)</f>
        <v/>
      </c>
      <c r="AB2242" s="14">
        <f>IFERROR(IF(UPPER($E2242)="L",SUMPRODUCT(N2242:Y2242,$N$3:$Y$3,$N$2:$Y$2),SUMPRODUCT(N2242:Y2242,$N$4:$Y$4,$N$2:$Y$2))/(Z2242/($K2242*$L2242*$M2242)),"")</f>
        <v/>
      </c>
      <c r="AC2242" s="18" t="n"/>
    </row>
    <row r="2243">
      <c r="A2243" s="9" t="n">
        <v>694222</v>
      </c>
      <c r="B2243" s="9" t="inlineStr">
        <is>
          <t>Ambioris Tavarez</t>
        </is>
      </c>
      <c r="C2243" s="9" t="inlineStr">
        <is>
          <t>ATL</t>
        </is>
      </c>
      <c r="D2243" s="9" t="n">
        <v>25</v>
      </c>
      <c r="E2243" s="16" t="inlineStr">
        <is>
          <t>R</t>
        </is>
      </c>
      <c r="F2243" s="16" t="n"/>
      <c r="G2243" s="9" t="n">
        <v>103.025641025641</v>
      </c>
      <c r="H2243" s="9" t="n">
        <v>103.025641025641</v>
      </c>
      <c r="I2243" s="9" t="inlineStr">
        <is>
          <t>Depth (no MLB PA)</t>
        </is>
      </c>
      <c r="J2243" s="16" t="inlineStr">
        <is>
          <t>Opening Day</t>
        </is>
      </c>
      <c r="K2243" s="11">
        <f>IFERROR(INDEX(Roles!$B$17:$B$20,MATCH(J2243,Roles!$A$17:$A$20,0)),1)</f>
        <v/>
      </c>
      <c r="L2243" s="17" t="n">
        <v>1</v>
      </c>
      <c r="M2243" s="11" t="n">
        <v>1</v>
      </c>
      <c r="N2243" s="17" t="n"/>
      <c r="O2243" s="17" t="n"/>
      <c r="P2243" s="17" t="n"/>
      <c r="Q2243" s="17" t="n"/>
      <c r="R2243" s="17" t="n"/>
      <c r="S2243" s="17" t="n"/>
      <c r="T2243" s="17" t="n"/>
      <c r="U2243" s="17" t="n"/>
      <c r="V2243" s="17" t="n"/>
      <c r="W2243" s="17" t="n"/>
      <c r="X2243" s="17" t="n"/>
      <c r="Y2243" s="17" t="n">
        <v>1</v>
      </c>
      <c r="Z2243" s="13">
        <f>SUMPRODUCT(N2243:Y2243,$N$2:$Y$2)*$K2243*$L2243*$M2243</f>
        <v/>
      </c>
      <c r="AA2243" s="14">
        <f>SUM(N2243:Y2243)</f>
        <v/>
      </c>
      <c r="AB2243" s="14">
        <f>IFERROR(IF(UPPER($E2243)="L",SUMPRODUCT(N2243:Y2243,$N$3:$Y$3,$N$2:$Y$2),SUMPRODUCT(N2243:Y2243,$N$4:$Y$4,$N$2:$Y$2))/(Z2243/($K2243*$L2243*$M2243)),"")</f>
        <v/>
      </c>
      <c r="AC2243" s="18" t="n"/>
    </row>
    <row r="2244">
      <c r="A2244" s="9" t="n">
        <v>703153</v>
      </c>
      <c r="B2244" s="9" t="inlineStr">
        <is>
          <t>Samuel Munoz</t>
        </is>
      </c>
      <c r="C2244" s="9" t="inlineStr">
        <is>
          <t>LAD</t>
        </is>
      </c>
      <c r="D2244" s="9" t="n">
        <v>25</v>
      </c>
      <c r="E2244" s="16" t="inlineStr">
        <is>
          <t>L</t>
        </is>
      </c>
      <c r="F2244" s="16" t="n"/>
      <c r="G2244" s="9" t="n">
        <v>74.05128205128206</v>
      </c>
      <c r="H2244" s="9" t="n">
        <v>74.05128205128206</v>
      </c>
      <c r="I2244" s="9" t="inlineStr">
        <is>
          <t>Depth (no MLB PA)</t>
        </is>
      </c>
      <c r="J2244" s="16" t="inlineStr">
        <is>
          <t>Opening Day</t>
        </is>
      </c>
      <c r="K2244" s="11">
        <f>IFERROR(INDEX(Roles!$B$17:$B$20,MATCH(J2244,Roles!$A$17:$A$20,0)),1)</f>
        <v/>
      </c>
      <c r="L2244" s="17" t="n">
        <v>1</v>
      </c>
      <c r="M2244" s="11" t="n">
        <v>1</v>
      </c>
      <c r="N2244" s="17" t="n"/>
      <c r="O2244" s="17" t="n"/>
      <c r="P2244" s="17" t="n"/>
      <c r="Q2244" s="17" t="n"/>
      <c r="R2244" s="17" t="n"/>
      <c r="S2244" s="17" t="n"/>
      <c r="T2244" s="17" t="n"/>
      <c r="U2244" s="17" t="n"/>
      <c r="V2244" s="17" t="n"/>
      <c r="W2244" s="17" t="n"/>
      <c r="X2244" s="17" t="n"/>
      <c r="Y2244" s="17" t="n">
        <v>1</v>
      </c>
      <c r="Z2244" s="13">
        <f>SUMPRODUCT(N2244:Y2244,$N$2:$Y$2)*$K2244*$L2244*$M2244</f>
        <v/>
      </c>
      <c r="AA2244" s="14">
        <f>SUM(N2244:Y2244)</f>
        <v/>
      </c>
      <c r="AB2244" s="14">
        <f>IFERROR(IF(UPPER($E2244)="L",SUMPRODUCT(N2244:Y2244,$N$3:$Y$3,$N$2:$Y$2),SUMPRODUCT(N2244:Y2244,$N$4:$Y$4,$N$2:$Y$2))/(Z2244/($K2244*$L2244*$M2244)),"")</f>
        <v/>
      </c>
      <c r="AC2244" s="18" t="n"/>
    </row>
    <row r="2245">
      <c r="A2245" s="9" t="n">
        <v>679754</v>
      </c>
      <c r="B2245" s="9" t="inlineStr">
        <is>
          <t>Alberto Rodriguez</t>
        </is>
      </c>
      <c r="C2245" s="9" t="inlineStr">
        <is>
          <t>KC</t>
        </is>
      </c>
      <c r="D2245" s="9" t="n">
        <v>25</v>
      </c>
      <c r="E2245" s="16" t="inlineStr">
        <is>
          <t>L</t>
        </is>
      </c>
      <c r="F2245" s="16" t="n"/>
      <c r="G2245" s="9" t="n">
        <v>67.12820512820512</v>
      </c>
      <c r="H2245" s="9" t="n">
        <v>67.12820512820512</v>
      </c>
      <c r="I2245" s="9" t="inlineStr">
        <is>
          <t>Depth (no MLB PA)</t>
        </is>
      </c>
      <c r="J2245" s="16" t="inlineStr">
        <is>
          <t>Opening Day</t>
        </is>
      </c>
      <c r="K2245" s="11">
        <f>IFERROR(INDEX(Roles!$B$17:$B$20,MATCH(J2245,Roles!$A$17:$A$20,0)),1)</f>
        <v/>
      </c>
      <c r="L2245" s="17" t="n">
        <v>1</v>
      </c>
      <c r="M2245" s="11" t="n">
        <v>1</v>
      </c>
      <c r="N2245" s="17" t="n"/>
      <c r="O2245" s="17" t="n"/>
      <c r="P2245" s="17" t="n"/>
      <c r="Q2245" s="17" t="n"/>
      <c r="R2245" s="17" t="n"/>
      <c r="S2245" s="17" t="n"/>
      <c r="T2245" s="17" t="n"/>
      <c r="U2245" s="17" t="n"/>
      <c r="V2245" s="17" t="n"/>
      <c r="W2245" s="17" t="n"/>
      <c r="X2245" s="17" t="n"/>
      <c r="Y2245" s="17" t="n">
        <v>1</v>
      </c>
      <c r="Z2245" s="13">
        <f>SUMPRODUCT(N2245:Y2245,$N$2:$Y$2)*$K2245*$L2245*$M2245</f>
        <v/>
      </c>
      <c r="AA2245" s="14">
        <f>SUM(N2245:Y2245)</f>
        <v/>
      </c>
      <c r="AB2245" s="14">
        <f>IFERROR(IF(UPPER($E2245)="L",SUMPRODUCT(N2245:Y2245,$N$3:$Y$3,$N$2:$Y$2),SUMPRODUCT(N2245:Y2245,$N$4:$Y$4,$N$2:$Y$2))/(Z2245/($K2245*$L2245*$M2245)),"")</f>
        <v/>
      </c>
      <c r="AC2245" s="18" t="n"/>
    </row>
    <row r="2246">
      <c r="A2246" s="9" t="n">
        <v>694410</v>
      </c>
      <c r="B2246" s="9" t="inlineStr">
        <is>
          <t>LuJames Groover</t>
        </is>
      </c>
      <c r="C2246" s="9" t="inlineStr">
        <is>
          <t>ARI</t>
        </is>
      </c>
      <c r="D2246" s="9" t="n">
        <v>25</v>
      </c>
      <c r="E2246" s="16" t="inlineStr">
        <is>
          <t>R</t>
        </is>
      </c>
      <c r="F2246" s="16" t="inlineStr">
        <is>
          <t>1B</t>
        </is>
      </c>
      <c r="G2246" s="9" t="n">
        <v>54</v>
      </c>
      <c r="H2246" s="9" t="n">
        <v>54</v>
      </c>
      <c r="I2246" s="9" t="inlineStr">
        <is>
          <t>Bench Bat</t>
        </is>
      </c>
      <c r="J2246" s="16" t="inlineStr">
        <is>
          <t>Opening Day</t>
        </is>
      </c>
      <c r="K2246" s="11">
        <f>IFERROR(INDEX(Roles!$B$17:$B$20,MATCH(J2246,Roles!$A$17:$A$20,0)),1)</f>
        <v/>
      </c>
      <c r="L2246" s="17" t="n">
        <v>1</v>
      </c>
      <c r="M2246" s="11" t="n">
        <v>1</v>
      </c>
      <c r="N2246" s="17" t="n"/>
      <c r="O2246" s="17" t="n"/>
      <c r="P2246" s="17" t="n"/>
      <c r="Q2246" s="17" t="n"/>
      <c r="R2246" s="17" t="n"/>
      <c r="S2246" s="17" t="n"/>
      <c r="T2246" s="17" t="n"/>
      <c r="U2246" s="17" t="n"/>
      <c r="V2246" s="17" t="n"/>
      <c r="W2246" s="17" t="n">
        <v>1</v>
      </c>
      <c r="X2246" s="17" t="n"/>
      <c r="Y2246" s="17" t="n"/>
      <c r="Z2246" s="13">
        <f>SUMPRODUCT(N2246:Y2246,$N$2:$Y$2)*$K2246*$L2246*$M2246</f>
        <v/>
      </c>
      <c r="AA2246" s="14">
        <f>SUM(N2246:Y2246)</f>
        <v/>
      </c>
      <c r="AB2246" s="14">
        <f>IFERROR(IF(UPPER($E2246)="L",SUMPRODUCT(N2246:Y2246,$N$3:$Y$3,$N$2:$Y$2),SUMPRODUCT(N2246:Y2246,$N$4:$Y$4,$N$2:$Y$2))/(Z2246/($K2246*$L2246*$M2246)),"")</f>
        <v/>
      </c>
      <c r="AC2246" s="18" t="n"/>
    </row>
    <row r="2247">
      <c r="A2247" s="9" t="n">
        <v>800206</v>
      </c>
      <c r="B2247" s="9" t="inlineStr">
        <is>
          <t>Yerald Nin</t>
        </is>
      </c>
      <c r="C2247" s="9" t="inlineStr">
        <is>
          <t>ARI</t>
        </is>
      </c>
      <c r="D2247" s="9" t="n">
        <v>25</v>
      </c>
      <c r="E2247" s="16" t="inlineStr">
        <is>
          <t>L</t>
        </is>
      </c>
      <c r="F2247" s="16" t="n"/>
      <c r="G2247" s="9" t="n">
        <v>54.15384615384616</v>
      </c>
      <c r="H2247" s="9" t="n">
        <v>54.15384615384616</v>
      </c>
      <c r="I2247" s="9" t="inlineStr">
        <is>
          <t>Depth (no MLB PA)</t>
        </is>
      </c>
      <c r="J2247" s="16" t="inlineStr">
        <is>
          <t>Opening Day</t>
        </is>
      </c>
      <c r="K2247" s="11">
        <f>IFERROR(INDEX(Roles!$B$17:$B$20,MATCH(J2247,Roles!$A$17:$A$20,0)),1)</f>
        <v/>
      </c>
      <c r="L2247" s="17" t="n">
        <v>1</v>
      </c>
      <c r="M2247" s="11" t="n">
        <v>1</v>
      </c>
      <c r="N2247" s="17" t="n"/>
      <c r="O2247" s="17" t="n"/>
      <c r="P2247" s="17" t="n"/>
      <c r="Q2247" s="17" t="n"/>
      <c r="R2247" s="17" t="n"/>
      <c r="S2247" s="17" t="n"/>
      <c r="T2247" s="17" t="n"/>
      <c r="U2247" s="17" t="n"/>
      <c r="V2247" s="17" t="n"/>
      <c r="W2247" s="17" t="n"/>
      <c r="X2247" s="17" t="n"/>
      <c r="Y2247" s="17" t="n">
        <v>1</v>
      </c>
      <c r="Z2247" s="13">
        <f>SUMPRODUCT(N2247:Y2247,$N$2:$Y$2)*$K2247*$L2247*$M2247</f>
        <v/>
      </c>
      <c r="AA2247" s="14">
        <f>SUM(N2247:Y2247)</f>
        <v/>
      </c>
      <c r="AB2247" s="14">
        <f>IFERROR(IF(UPPER($E2247)="L",SUMPRODUCT(N2247:Y2247,$N$3:$Y$3,$N$2:$Y$2),SUMPRODUCT(N2247:Y2247,$N$4:$Y$4,$N$2:$Y$2))/(Z2247/($K2247*$L2247*$M2247)),"")</f>
        <v/>
      </c>
      <c r="AC2247" s="18" t="n"/>
    </row>
    <row r="2248">
      <c r="A2248" s="9" t="n">
        <v>828589</v>
      </c>
      <c r="B2248" s="9" t="inlineStr">
        <is>
          <t>Max Durrington</t>
        </is>
      </c>
      <c r="C2248" s="9" t="inlineStr">
        <is>
          <t>OAK</t>
        </is>
      </c>
      <c r="D2248" s="9" t="n">
        <v>25</v>
      </c>
      <c r="E2248" s="16" t="inlineStr">
        <is>
          <t>L</t>
        </is>
      </c>
      <c r="F2248" s="16" t="n"/>
      <c r="G2248" s="9" t="n">
        <v>49.6</v>
      </c>
      <c r="H2248" s="9" t="n">
        <v>49.6</v>
      </c>
      <c r="I2248" s="9" t="inlineStr">
        <is>
          <t>Depth (no MLB PA)</t>
        </is>
      </c>
      <c r="J2248" s="16" t="inlineStr">
        <is>
          <t>Opening Day</t>
        </is>
      </c>
      <c r="K2248" s="11">
        <f>IFERROR(INDEX(Roles!$B$17:$B$20,MATCH(J2248,Roles!$A$17:$A$20,0)),1)</f>
        <v/>
      </c>
      <c r="L2248" s="17" t="n">
        <v>1</v>
      </c>
      <c r="M2248" s="11" t="n">
        <v>1</v>
      </c>
      <c r="N2248" s="17" t="n"/>
      <c r="O2248" s="17" t="n"/>
      <c r="P2248" s="17" t="n"/>
      <c r="Q2248" s="17" t="n"/>
      <c r="R2248" s="17" t="n"/>
      <c r="S2248" s="17" t="n"/>
      <c r="T2248" s="17" t="n"/>
      <c r="U2248" s="17" t="n"/>
      <c r="V2248" s="17" t="n"/>
      <c r="W2248" s="17" t="n"/>
      <c r="X2248" s="17" t="n"/>
      <c r="Y2248" s="17" t="n">
        <v>1</v>
      </c>
      <c r="Z2248" s="13">
        <f>SUMPRODUCT(N2248:Y2248,$N$2:$Y$2)*$K2248*$L2248*$M2248</f>
        <v/>
      </c>
      <c r="AA2248" s="14">
        <f>SUM(N2248:Y2248)</f>
        <v/>
      </c>
      <c r="AB2248" s="14">
        <f>IFERROR(IF(UPPER($E2248)="L",SUMPRODUCT(N2248:Y2248,$N$3:$Y$3,$N$2:$Y$2),SUMPRODUCT(N2248:Y2248,$N$4:$Y$4,$N$2:$Y$2))/(Z2248/($K2248*$L2248*$M2248)),"")</f>
        <v/>
      </c>
      <c r="AC2248" s="18" t="n"/>
    </row>
    <row r="2249">
      <c r="A2249" s="9" t="n">
        <v>669003</v>
      </c>
      <c r="B2249" s="9" t="inlineStr">
        <is>
          <t>Garrett Mitchell</t>
        </is>
      </c>
      <c r="C2249" s="9" t="inlineStr">
        <is>
          <t>MIL</t>
        </is>
      </c>
      <c r="D2249" s="9" t="n">
        <v>28</v>
      </c>
      <c r="E2249" s="16" t="inlineStr">
        <is>
          <t>L</t>
        </is>
      </c>
      <c r="F2249" s="16" t="inlineStr">
        <is>
          <t>CF</t>
        </is>
      </c>
      <c r="G2249" s="9" t="n">
        <v>531</v>
      </c>
      <c r="H2249" s="9" t="n">
        <v>974</v>
      </c>
      <c r="I2249" s="9" t="inlineStr">
        <is>
          <t>Full Time</t>
        </is>
      </c>
      <c r="J2249" s="16" t="inlineStr">
        <is>
          <t>Opening Day</t>
        </is>
      </c>
      <c r="K2249" s="11">
        <f>IFERROR(INDEX(Roles!$B$17:$B$20,MATCH(J2249,Roles!$A$17:$A$20,0)),1)</f>
        <v/>
      </c>
      <c r="L2249" s="17" t="n">
        <v>1</v>
      </c>
      <c r="M2249" s="11" t="n">
        <v>0.8429075822261255</v>
      </c>
      <c r="N2249" s="17" t="n">
        <v>0.75</v>
      </c>
      <c r="O2249" s="17" t="n"/>
      <c r="P2249" s="17" t="n">
        <v>0.25</v>
      </c>
      <c r="Q2249" s="17" t="n"/>
      <c r="R2249" s="17" t="n"/>
      <c r="S2249" s="17" t="n"/>
      <c r="T2249" s="17" t="n"/>
      <c r="U2249" s="17" t="n"/>
      <c r="V2249" s="17" t="n"/>
      <c r="W2249" s="17" t="n"/>
      <c r="X2249" s="17" t="n"/>
      <c r="Y2249" s="17" t="n"/>
      <c r="Z2249" s="13">
        <f>SUMPRODUCT(N2249:Y2249,$N$2:$Y$2)*$K2249*$L2249*$M2249</f>
        <v/>
      </c>
      <c r="AA2249" s="14">
        <f>SUM(N2249:Y2249)</f>
        <v/>
      </c>
      <c r="AB2249" s="14">
        <f>IFERROR(IF(UPPER($E2249)="L",SUMPRODUCT(N2249:Y2249,$N$3:$Y$3,$N$2:$Y$2),SUMPRODUCT(N2249:Y2249,$N$4:$Y$4,$N$2:$Y$2))/(Z2249/($K2249*$L2249*$M2249)),"")</f>
        <v/>
      </c>
      <c r="AC2249" s="18" t="n"/>
    </row>
    <row r="2250">
      <c r="A2250" s="9" t="n">
        <v>834240</v>
      </c>
      <c r="B2250" s="9" t="inlineStr">
        <is>
          <t>Ryan Wideman</t>
        </is>
      </c>
      <c r="C2250" s="9" t="inlineStr">
        <is>
          <t>SD</t>
        </is>
      </c>
      <c r="D2250" s="9" t="n">
        <v>25</v>
      </c>
      <c r="E2250" s="16" t="inlineStr">
        <is>
          <t>R</t>
        </is>
      </c>
      <c r="F2250" s="16" t="n"/>
      <c r="G2250" s="9" t="n">
        <v>40.41025641025641</v>
      </c>
      <c r="H2250" s="9" t="n">
        <v>40.41025641025641</v>
      </c>
      <c r="I2250" s="9" t="inlineStr">
        <is>
          <t>Depth (no MLB PA)</t>
        </is>
      </c>
      <c r="J2250" s="16" t="inlineStr">
        <is>
          <t>Opening Day</t>
        </is>
      </c>
      <c r="K2250" s="11">
        <f>IFERROR(INDEX(Roles!$B$17:$B$20,MATCH(J2250,Roles!$A$17:$A$20,0)),1)</f>
        <v/>
      </c>
      <c r="L2250" s="17" t="n">
        <v>1</v>
      </c>
      <c r="M2250" s="11" t="n">
        <v>1</v>
      </c>
      <c r="N2250" s="17" t="n"/>
      <c r="O2250" s="17" t="n"/>
      <c r="P2250" s="17" t="n"/>
      <c r="Q2250" s="17" t="n"/>
      <c r="R2250" s="17" t="n"/>
      <c r="S2250" s="17" t="n"/>
      <c r="T2250" s="17" t="n"/>
      <c r="U2250" s="17" t="n"/>
      <c r="V2250" s="17" t="n"/>
      <c r="W2250" s="17" t="n"/>
      <c r="X2250" s="17" t="n"/>
      <c r="Y2250" s="17" t="n">
        <v>1</v>
      </c>
      <c r="Z2250" s="13">
        <f>SUMPRODUCT(N2250:Y2250,$N$2:$Y$2)*$K2250*$L2250*$M2250</f>
        <v/>
      </c>
      <c r="AA2250" s="14">
        <f>SUM(N2250:Y2250)</f>
        <v/>
      </c>
      <c r="AB2250" s="14">
        <f>IFERROR(IF(UPPER($E2250)="L",SUMPRODUCT(N2250:Y2250,$N$3:$Y$3,$N$2:$Y$2),SUMPRODUCT(N2250:Y2250,$N$4:$Y$4,$N$2:$Y$2))/(Z2250/($K2250*$L2250*$M2250)),"")</f>
        <v/>
      </c>
      <c r="AC2250" s="18" t="n"/>
    </row>
    <row r="2251">
      <c r="A2251" s="9" t="n">
        <v>681333</v>
      </c>
      <c r="B2251" s="9" t="inlineStr">
        <is>
          <t>Dru Baker</t>
        </is>
      </c>
      <c r="C2251" s="9" t="inlineStr">
        <is>
          <t>CWS</t>
        </is>
      </c>
      <c r="D2251" s="9" t="n">
        <v>25</v>
      </c>
      <c r="E2251" s="16" t="inlineStr">
        <is>
          <t>R</t>
        </is>
      </c>
      <c r="F2251" s="16" t="n"/>
      <c r="G2251" s="9" t="n">
        <v>182.7692307692308</v>
      </c>
      <c r="H2251" s="9" t="n">
        <v>182.7692307692308</v>
      </c>
      <c r="I2251" s="9" t="inlineStr">
        <is>
          <t>Depth (no MLB PA)</t>
        </is>
      </c>
      <c r="J2251" s="16" t="inlineStr">
        <is>
          <t>Opening Day</t>
        </is>
      </c>
      <c r="K2251" s="11">
        <f>IFERROR(INDEX(Roles!$B$17:$B$20,MATCH(J2251,Roles!$A$17:$A$20,0)),1)</f>
        <v/>
      </c>
      <c r="L2251" s="17" t="n">
        <v>1</v>
      </c>
      <c r="M2251" s="11" t="n">
        <v>1</v>
      </c>
      <c r="N2251" s="17" t="n"/>
      <c r="O2251" s="17" t="n"/>
      <c r="P2251" s="17" t="n"/>
      <c r="Q2251" s="17" t="n"/>
      <c r="R2251" s="17" t="n"/>
      <c r="S2251" s="17" t="n"/>
      <c r="T2251" s="17" t="n"/>
      <c r="U2251" s="17" t="n"/>
      <c r="V2251" s="17" t="n"/>
      <c r="W2251" s="17" t="n"/>
      <c r="X2251" s="17" t="n"/>
      <c r="Y2251" s="17" t="n">
        <v>1</v>
      </c>
      <c r="Z2251" s="13">
        <f>SUMPRODUCT(N2251:Y2251,$N$2:$Y$2)*$K2251*$L2251*$M2251</f>
        <v/>
      </c>
      <c r="AA2251" s="14">
        <f>SUM(N2251:Y2251)</f>
        <v/>
      </c>
      <c r="AB2251" s="14">
        <f>IFERROR(IF(UPPER($E2251)="L",SUMPRODUCT(N2251:Y2251,$N$3:$Y$3,$N$2:$Y$2),SUMPRODUCT(N2251:Y2251,$N$4:$Y$4,$N$2:$Y$2))/(Z2251/($K2251*$L2251*$M2251)),"")</f>
        <v/>
      </c>
      <c r="AC2251" s="18" t="n"/>
    </row>
    <row r="2252">
      <c r="A2252" s="9" t="n">
        <v>821151</v>
      </c>
      <c r="B2252" s="9" t="inlineStr">
        <is>
          <t>Yeiferth Castillo</t>
        </is>
      </c>
      <c r="C2252" s="9" t="inlineStr">
        <is>
          <t>CLE</t>
        </is>
      </c>
      <c r="D2252" s="9" t="n">
        <v>25</v>
      </c>
      <c r="E2252" s="16" t="inlineStr">
        <is>
          <t>L</t>
        </is>
      </c>
      <c r="F2252" s="16" t="n"/>
      <c r="G2252" s="9" t="n">
        <v>54.52307692307692</v>
      </c>
      <c r="H2252" s="9" t="n">
        <v>54.52307692307692</v>
      </c>
      <c r="I2252" s="9" t="inlineStr">
        <is>
          <t>Depth (no MLB PA)</t>
        </is>
      </c>
      <c r="J2252" s="16" t="inlineStr">
        <is>
          <t>Opening Day</t>
        </is>
      </c>
      <c r="K2252" s="11">
        <f>IFERROR(INDEX(Roles!$B$17:$B$20,MATCH(J2252,Roles!$A$17:$A$20,0)),1)</f>
        <v/>
      </c>
      <c r="L2252" s="17" t="n">
        <v>1</v>
      </c>
      <c r="M2252" s="11" t="n">
        <v>1</v>
      </c>
      <c r="N2252" s="17" t="n"/>
      <c r="O2252" s="17" t="n"/>
      <c r="P2252" s="17" t="n"/>
      <c r="Q2252" s="17" t="n"/>
      <c r="R2252" s="17" t="n"/>
      <c r="S2252" s="17" t="n"/>
      <c r="T2252" s="17" t="n"/>
      <c r="U2252" s="17" t="n"/>
      <c r="V2252" s="17" t="n"/>
      <c r="W2252" s="17" t="n"/>
      <c r="X2252" s="17" t="n"/>
      <c r="Y2252" s="17" t="n">
        <v>1</v>
      </c>
      <c r="Z2252" s="13">
        <f>SUMPRODUCT(N2252:Y2252,$N$2:$Y$2)*$K2252*$L2252*$M2252</f>
        <v/>
      </c>
      <c r="AA2252" s="14">
        <f>SUM(N2252:Y2252)</f>
        <v/>
      </c>
      <c r="AB2252" s="14">
        <f>IFERROR(IF(UPPER($E2252)="L",SUMPRODUCT(N2252:Y2252,$N$3:$Y$3,$N$2:$Y$2),SUMPRODUCT(N2252:Y2252,$N$4:$Y$4,$N$2:$Y$2))/(Z2252/($K2252*$L2252*$M2252)),"")</f>
        <v/>
      </c>
      <c r="AC2252" s="18" t="n"/>
    </row>
    <row r="2253">
      <c r="A2253" s="9" t="n">
        <v>806872</v>
      </c>
      <c r="B2253" s="9" t="inlineStr">
        <is>
          <t>Carlos Gutierrez</t>
        </is>
      </c>
      <c r="C2253" s="9" t="inlineStr">
        <is>
          <t>BOS</t>
        </is>
      </c>
      <c r="D2253" s="9" t="n">
        <v>25</v>
      </c>
      <c r="E2253" s="16" t="inlineStr">
        <is>
          <t>L</t>
        </is>
      </c>
      <c r="F2253" s="16" t="n"/>
      <c r="G2253" s="9" t="n">
        <v>83.89743589743591</v>
      </c>
      <c r="H2253" s="9" t="n">
        <v>83.89743589743591</v>
      </c>
      <c r="I2253" s="9" t="inlineStr">
        <is>
          <t>Depth (no MLB PA)</t>
        </is>
      </c>
      <c r="J2253" s="16" t="inlineStr">
        <is>
          <t>Opening Day</t>
        </is>
      </c>
      <c r="K2253" s="11">
        <f>IFERROR(INDEX(Roles!$B$17:$B$20,MATCH(J2253,Roles!$A$17:$A$20,0)),1)</f>
        <v/>
      </c>
      <c r="L2253" s="17" t="n">
        <v>1</v>
      </c>
      <c r="M2253" s="11" t="n">
        <v>1</v>
      </c>
      <c r="N2253" s="17" t="n"/>
      <c r="O2253" s="17" t="n"/>
      <c r="P2253" s="17" t="n"/>
      <c r="Q2253" s="17" t="n"/>
      <c r="R2253" s="17" t="n"/>
      <c r="S2253" s="17" t="n"/>
      <c r="T2253" s="17" t="n"/>
      <c r="U2253" s="17" t="n"/>
      <c r="V2253" s="17" t="n"/>
      <c r="W2253" s="17" t="n"/>
      <c r="X2253" s="17" t="n"/>
      <c r="Y2253" s="17" t="n">
        <v>1</v>
      </c>
      <c r="Z2253" s="13">
        <f>SUMPRODUCT(N2253:Y2253,$N$2:$Y$2)*$K2253*$L2253*$M2253</f>
        <v/>
      </c>
      <c r="AA2253" s="14">
        <f>SUM(N2253:Y2253)</f>
        <v/>
      </c>
      <c r="AB2253" s="14">
        <f>IFERROR(IF(UPPER($E2253)="L",SUMPRODUCT(N2253:Y2253,$N$3:$Y$3,$N$2:$Y$2),SUMPRODUCT(N2253:Y2253,$N$4:$Y$4,$N$2:$Y$2))/(Z2253/($K2253*$L2253*$M2253)),"")</f>
        <v/>
      </c>
      <c r="AC2253" s="18" t="n"/>
    </row>
    <row r="2254">
      <c r="A2254" s="9" t="n">
        <v>693819</v>
      </c>
      <c r="B2254" s="9" t="inlineStr">
        <is>
          <t>Kyle Nevin</t>
        </is>
      </c>
      <c r="C2254" s="9" t="inlineStr">
        <is>
          <t>LAD</t>
        </is>
      </c>
      <c r="D2254" s="9" t="n">
        <v>25</v>
      </c>
      <c r="E2254" s="16" t="inlineStr">
        <is>
          <t>R</t>
        </is>
      </c>
      <c r="F2254" s="16" t="n"/>
      <c r="G2254" s="9" t="n">
        <v>101.5897435897436</v>
      </c>
      <c r="H2254" s="9" t="n">
        <v>101.5897435897436</v>
      </c>
      <c r="I2254" s="9" t="inlineStr">
        <is>
          <t>Depth (no MLB PA)</t>
        </is>
      </c>
      <c r="J2254" s="16" t="inlineStr">
        <is>
          <t>Opening Day</t>
        </is>
      </c>
      <c r="K2254" s="11">
        <f>IFERROR(INDEX(Roles!$B$17:$B$20,MATCH(J2254,Roles!$A$17:$A$20,0)),1)</f>
        <v/>
      </c>
      <c r="L2254" s="17" t="n">
        <v>1</v>
      </c>
      <c r="M2254" s="11" t="n">
        <v>1</v>
      </c>
      <c r="N2254" s="17" t="n"/>
      <c r="O2254" s="17" t="n"/>
      <c r="P2254" s="17" t="n"/>
      <c r="Q2254" s="17" t="n"/>
      <c r="R2254" s="17" t="n"/>
      <c r="S2254" s="17" t="n"/>
      <c r="T2254" s="17" t="n"/>
      <c r="U2254" s="17" t="n"/>
      <c r="V2254" s="17" t="n"/>
      <c r="W2254" s="17" t="n"/>
      <c r="X2254" s="17" t="n"/>
      <c r="Y2254" s="17" t="n">
        <v>1</v>
      </c>
      <c r="Z2254" s="13">
        <f>SUMPRODUCT(N2254:Y2254,$N$2:$Y$2)*$K2254*$L2254*$M2254</f>
        <v/>
      </c>
      <c r="AA2254" s="14">
        <f>SUM(N2254:Y2254)</f>
        <v/>
      </c>
      <c r="AB2254" s="14">
        <f>IFERROR(IF(UPPER($E2254)="L",SUMPRODUCT(N2254:Y2254,$N$3:$Y$3,$N$2:$Y$2),SUMPRODUCT(N2254:Y2254,$N$4:$Y$4,$N$2:$Y$2))/(Z2254/($K2254*$L2254*$M2254)),"")</f>
        <v/>
      </c>
      <c r="AC2254" s="18" t="n"/>
    </row>
    <row r="2255">
      <c r="A2255" s="9" t="n">
        <v>805319</v>
      </c>
      <c r="B2255" s="9" t="inlineStr">
        <is>
          <t>Dervy Ventura</t>
        </is>
      </c>
      <c r="C2255" s="9" t="inlineStr">
        <is>
          <t>SEA</t>
        </is>
      </c>
      <c r="D2255" s="9" t="n">
        <v>25</v>
      </c>
      <c r="E2255" s="16" t="inlineStr">
        <is>
          <t>S</t>
        </is>
      </c>
      <c r="F2255" s="16" t="n"/>
      <c r="G2255" s="9" t="n">
        <v>55.50769230769231</v>
      </c>
      <c r="H2255" s="9" t="n">
        <v>55.50769230769231</v>
      </c>
      <c r="I2255" s="9" t="inlineStr">
        <is>
          <t>Depth (no MLB PA)</t>
        </is>
      </c>
      <c r="J2255" s="16" t="inlineStr">
        <is>
          <t>Opening Day</t>
        </is>
      </c>
      <c r="K2255" s="11">
        <f>IFERROR(INDEX(Roles!$B$17:$B$20,MATCH(J2255,Roles!$A$17:$A$20,0)),1)</f>
        <v/>
      </c>
      <c r="L2255" s="17" t="n">
        <v>1</v>
      </c>
      <c r="M2255" s="11" t="n">
        <v>1</v>
      </c>
      <c r="N2255" s="17" t="n"/>
      <c r="O2255" s="17" t="n"/>
      <c r="P2255" s="17" t="n"/>
      <c r="Q2255" s="17" t="n"/>
      <c r="R2255" s="17" t="n"/>
      <c r="S2255" s="17" t="n"/>
      <c r="T2255" s="17" t="n"/>
      <c r="U2255" s="17" t="n"/>
      <c r="V2255" s="17" t="n"/>
      <c r="W2255" s="17" t="n"/>
      <c r="X2255" s="17" t="n"/>
      <c r="Y2255" s="17" t="n">
        <v>1</v>
      </c>
      <c r="Z2255" s="13">
        <f>SUMPRODUCT(N2255:Y2255,$N$2:$Y$2)*$K2255*$L2255*$M2255</f>
        <v/>
      </c>
      <c r="AA2255" s="14">
        <f>SUM(N2255:Y2255)</f>
        <v/>
      </c>
      <c r="AB2255" s="14">
        <f>IFERROR(IF(UPPER($E2255)="L",SUMPRODUCT(N2255:Y2255,$N$3:$Y$3,$N$2:$Y$2),SUMPRODUCT(N2255:Y2255,$N$4:$Y$4,$N$2:$Y$2))/(Z2255/($K2255*$L2255*$M2255)),"")</f>
        <v/>
      </c>
      <c r="AC2255" s="18" t="n"/>
    </row>
    <row r="2256">
      <c r="A2256" s="9" t="n">
        <v>683341</v>
      </c>
      <c r="B2256" s="9" t="inlineStr">
        <is>
          <t>David Calabrese</t>
        </is>
      </c>
      <c r="C2256" s="9" t="inlineStr">
        <is>
          <t>LAA</t>
        </is>
      </c>
      <c r="D2256" s="9" t="n">
        <v>25</v>
      </c>
      <c r="E2256" s="16" t="inlineStr">
        <is>
          <t>L</t>
        </is>
      </c>
      <c r="F2256" s="16" t="n"/>
      <c r="G2256" s="9" t="n">
        <v>91.53846153846152</v>
      </c>
      <c r="H2256" s="9" t="n">
        <v>91.53846153846152</v>
      </c>
      <c r="I2256" s="9" t="inlineStr">
        <is>
          <t>Depth (no MLB PA)</t>
        </is>
      </c>
      <c r="J2256" s="16" t="inlineStr">
        <is>
          <t>Opening Day</t>
        </is>
      </c>
      <c r="K2256" s="11">
        <f>IFERROR(INDEX(Roles!$B$17:$B$20,MATCH(J2256,Roles!$A$17:$A$20,0)),1)</f>
        <v/>
      </c>
      <c r="L2256" s="17" t="n">
        <v>1</v>
      </c>
      <c r="M2256" s="11" t="n">
        <v>1</v>
      </c>
      <c r="N2256" s="17" t="n"/>
      <c r="O2256" s="17" t="n"/>
      <c r="P2256" s="17" t="n"/>
      <c r="Q2256" s="17" t="n"/>
      <c r="R2256" s="17" t="n"/>
      <c r="S2256" s="17" t="n"/>
      <c r="T2256" s="17" t="n"/>
      <c r="U2256" s="17" t="n"/>
      <c r="V2256" s="17" t="n"/>
      <c r="W2256" s="17" t="n"/>
      <c r="X2256" s="17" t="n"/>
      <c r="Y2256" s="17" t="n">
        <v>1</v>
      </c>
      <c r="Z2256" s="13">
        <f>SUMPRODUCT(N2256:Y2256,$N$2:$Y$2)*$K2256*$L2256*$M2256</f>
        <v/>
      </c>
      <c r="AA2256" s="14">
        <f>SUM(N2256:Y2256)</f>
        <v/>
      </c>
      <c r="AB2256" s="14">
        <f>IFERROR(IF(UPPER($E2256)="L",SUMPRODUCT(N2256:Y2256,$N$3:$Y$3,$N$2:$Y$2),SUMPRODUCT(N2256:Y2256,$N$4:$Y$4,$N$2:$Y$2))/(Z2256/($K2256*$L2256*$M2256)),"")</f>
        <v/>
      </c>
      <c r="AC2256" s="18" t="n"/>
    </row>
    <row r="2257">
      <c r="A2257" s="9" t="n">
        <v>691797</v>
      </c>
      <c r="B2257" s="9" t="inlineStr">
        <is>
          <t>Ryan Spikes</t>
        </is>
      </c>
      <c r="C2257" s="9" t="inlineStr">
        <is>
          <t>TB</t>
        </is>
      </c>
      <c r="D2257" s="9" t="n">
        <v>25</v>
      </c>
      <c r="E2257" s="16" t="inlineStr">
        <is>
          <t>R</t>
        </is>
      </c>
      <c r="F2257" s="16" t="n"/>
      <c r="G2257" s="9" t="n">
        <v>106.6153846153846</v>
      </c>
      <c r="H2257" s="9" t="n">
        <v>106.6153846153846</v>
      </c>
      <c r="I2257" s="9" t="inlineStr">
        <is>
          <t>Depth (no MLB PA)</t>
        </is>
      </c>
      <c r="J2257" s="16" t="inlineStr">
        <is>
          <t>Opening Day</t>
        </is>
      </c>
      <c r="K2257" s="11">
        <f>IFERROR(INDEX(Roles!$B$17:$B$20,MATCH(J2257,Roles!$A$17:$A$20,0)),1)</f>
        <v/>
      </c>
      <c r="L2257" s="17" t="n">
        <v>1</v>
      </c>
      <c r="M2257" s="11" t="n">
        <v>1</v>
      </c>
      <c r="N2257" s="17" t="n"/>
      <c r="O2257" s="17" t="n"/>
      <c r="P2257" s="17" t="n"/>
      <c r="Q2257" s="17" t="n"/>
      <c r="R2257" s="17" t="n"/>
      <c r="S2257" s="17" t="n"/>
      <c r="T2257" s="17" t="n"/>
      <c r="U2257" s="17" t="n"/>
      <c r="V2257" s="17" t="n"/>
      <c r="W2257" s="17" t="n"/>
      <c r="X2257" s="17" t="n"/>
      <c r="Y2257" s="17" t="n">
        <v>1</v>
      </c>
      <c r="Z2257" s="13">
        <f>SUMPRODUCT(N2257:Y2257,$N$2:$Y$2)*$K2257*$L2257*$M2257</f>
        <v/>
      </c>
      <c r="AA2257" s="14">
        <f>SUM(N2257:Y2257)</f>
        <v/>
      </c>
      <c r="AB2257" s="14">
        <f>IFERROR(IF(UPPER($E2257)="L",SUMPRODUCT(N2257:Y2257,$N$3:$Y$3,$N$2:$Y$2),SUMPRODUCT(N2257:Y2257,$N$4:$Y$4,$N$2:$Y$2))/(Z2257/($K2257*$L2257*$M2257)),"")</f>
        <v/>
      </c>
      <c r="AC2257" s="18" t="n"/>
    </row>
    <row r="2258">
      <c r="A2258" s="9" t="n">
        <v>695078</v>
      </c>
      <c r="B2258" s="9" t="inlineStr">
        <is>
          <t>Jean Walters</t>
        </is>
      </c>
      <c r="C2258" s="9" t="inlineStr">
        <is>
          <t>ARI</t>
        </is>
      </c>
      <c r="D2258" s="9" t="n">
        <v>25</v>
      </c>
      <c r="E2258" s="16" t="inlineStr">
        <is>
          <t>S</t>
        </is>
      </c>
      <c r="F2258" s="16" t="n"/>
      <c r="G2258" s="9" t="n">
        <v>59.7948717948718</v>
      </c>
      <c r="H2258" s="9" t="n">
        <v>59.7948717948718</v>
      </c>
      <c r="I2258" s="9" t="inlineStr">
        <is>
          <t>Depth (no MLB PA)</t>
        </is>
      </c>
      <c r="J2258" s="16" t="inlineStr">
        <is>
          <t>Opening Day</t>
        </is>
      </c>
      <c r="K2258" s="11">
        <f>IFERROR(INDEX(Roles!$B$17:$B$20,MATCH(J2258,Roles!$A$17:$A$20,0)),1)</f>
        <v/>
      </c>
      <c r="L2258" s="17" t="n">
        <v>1</v>
      </c>
      <c r="M2258" s="11" t="n">
        <v>1</v>
      </c>
      <c r="N2258" s="17" t="n"/>
      <c r="O2258" s="17" t="n"/>
      <c r="P2258" s="17" t="n"/>
      <c r="Q2258" s="17" t="n"/>
      <c r="R2258" s="17" t="n"/>
      <c r="S2258" s="17" t="n"/>
      <c r="T2258" s="17" t="n"/>
      <c r="U2258" s="17" t="n"/>
      <c r="V2258" s="17" t="n"/>
      <c r="W2258" s="17" t="n"/>
      <c r="X2258" s="17" t="n"/>
      <c r="Y2258" s="17" t="n">
        <v>1</v>
      </c>
      <c r="Z2258" s="13">
        <f>SUMPRODUCT(N2258:Y2258,$N$2:$Y$2)*$K2258*$L2258*$M2258</f>
        <v/>
      </c>
      <c r="AA2258" s="14">
        <f>SUM(N2258:Y2258)</f>
        <v/>
      </c>
      <c r="AB2258" s="14">
        <f>IFERROR(IF(UPPER($E2258)="L",SUMPRODUCT(N2258:Y2258,$N$3:$Y$3,$N$2:$Y$2),SUMPRODUCT(N2258:Y2258,$N$4:$Y$4,$N$2:$Y$2))/(Z2258/($K2258*$L2258*$M2258)),"")</f>
        <v/>
      </c>
      <c r="AC2258" s="18" t="n"/>
    </row>
    <row r="2259">
      <c r="A2259" s="9" t="n">
        <v>688682</v>
      </c>
      <c r="B2259" s="9" t="inlineStr">
        <is>
          <t>Cooper Bowman</t>
        </is>
      </c>
      <c r="C2259" s="9" t="inlineStr">
        <is>
          <t>TB</t>
        </is>
      </c>
      <c r="D2259" s="9" t="n">
        <v>25</v>
      </c>
      <c r="E2259" s="16" t="inlineStr">
        <is>
          <t>R</t>
        </is>
      </c>
      <c r="F2259" s="16" t="n"/>
      <c r="G2259" s="9" t="n">
        <v>38.35897435897436</v>
      </c>
      <c r="H2259" s="9" t="n">
        <v>38.35897435897436</v>
      </c>
      <c r="I2259" s="9" t="inlineStr">
        <is>
          <t>Depth (no MLB PA)</t>
        </is>
      </c>
      <c r="J2259" s="16" t="inlineStr">
        <is>
          <t>Opening Day</t>
        </is>
      </c>
      <c r="K2259" s="11">
        <f>IFERROR(INDEX(Roles!$B$17:$B$20,MATCH(J2259,Roles!$A$17:$A$20,0)),1)</f>
        <v/>
      </c>
      <c r="L2259" s="17" t="n">
        <v>1</v>
      </c>
      <c r="M2259" s="11" t="n">
        <v>1</v>
      </c>
      <c r="N2259" s="17" t="n"/>
      <c r="O2259" s="17" t="n"/>
      <c r="P2259" s="17" t="n"/>
      <c r="Q2259" s="17" t="n"/>
      <c r="R2259" s="17" t="n"/>
      <c r="S2259" s="17" t="n"/>
      <c r="T2259" s="17" t="n"/>
      <c r="U2259" s="17" t="n"/>
      <c r="V2259" s="17" t="n"/>
      <c r="W2259" s="17" t="n"/>
      <c r="X2259" s="17" t="n"/>
      <c r="Y2259" s="17" t="n">
        <v>1</v>
      </c>
      <c r="Z2259" s="13">
        <f>SUMPRODUCT(N2259:Y2259,$N$2:$Y$2)*$K2259*$L2259*$M2259</f>
        <v/>
      </c>
      <c r="AA2259" s="14">
        <f>SUM(N2259:Y2259)</f>
        <v/>
      </c>
      <c r="AB2259" s="14">
        <f>IFERROR(IF(UPPER($E2259)="L",SUMPRODUCT(N2259:Y2259,$N$3:$Y$3,$N$2:$Y$2),SUMPRODUCT(N2259:Y2259,$N$4:$Y$4,$N$2:$Y$2))/(Z2259/($K2259*$L2259*$M2259)),"")</f>
        <v/>
      </c>
      <c r="AC2259" s="18" t="n"/>
    </row>
    <row r="2260">
      <c r="A2260" s="9" t="n">
        <v>663898</v>
      </c>
      <c r="B2260" s="9" t="inlineStr">
        <is>
          <t>Brendan Rodgers</t>
        </is>
      </c>
      <c r="C2260" s="9" t="inlineStr">
        <is>
          <t>HOU</t>
        </is>
      </c>
      <c r="D2260" s="9" t="n">
        <v>30</v>
      </c>
      <c r="E2260" s="16" t="inlineStr">
        <is>
          <t>R</t>
        </is>
      </c>
      <c r="F2260" s="16" t="inlineStr">
        <is>
          <t>2B</t>
        </is>
      </c>
      <c r="G2260" s="9" t="n">
        <v>128</v>
      </c>
      <c r="H2260" s="9" t="n">
        <v>1440</v>
      </c>
      <c r="I2260" s="9" t="inlineStr">
        <is>
          <t>Bench Bat</t>
        </is>
      </c>
      <c r="J2260" s="16" t="inlineStr">
        <is>
          <t>Opening Day</t>
        </is>
      </c>
      <c r="K2260" s="11">
        <f>IFERROR(INDEX(Roles!$B$17:$B$20,MATCH(J2260,Roles!$A$17:$A$20,0)),1)</f>
        <v/>
      </c>
      <c r="L2260" s="17" t="n">
        <v>1</v>
      </c>
      <c r="M2260" s="11" t="n">
        <v>0.938458234722103</v>
      </c>
      <c r="N2260" s="17" t="n"/>
      <c r="O2260" s="17" t="n"/>
      <c r="P2260" s="17" t="n"/>
      <c r="Q2260" s="17" t="n"/>
      <c r="R2260" s="17" t="n"/>
      <c r="S2260" s="17" t="n"/>
      <c r="T2260" s="17" t="n"/>
      <c r="U2260" s="17" t="n"/>
      <c r="V2260" s="17" t="n"/>
      <c r="W2260" s="17" t="n">
        <v>1</v>
      </c>
      <c r="X2260" s="17" t="n"/>
      <c r="Y2260" s="17" t="n"/>
      <c r="Z2260" s="13">
        <f>SUMPRODUCT(N2260:Y2260,$N$2:$Y$2)*$K2260*$L2260*$M2260</f>
        <v/>
      </c>
      <c r="AA2260" s="14">
        <f>SUM(N2260:Y2260)</f>
        <v/>
      </c>
      <c r="AB2260" s="14">
        <f>IFERROR(IF(UPPER($E2260)="L",SUMPRODUCT(N2260:Y2260,$N$3:$Y$3,$N$2:$Y$2),SUMPRODUCT(N2260:Y2260,$N$4:$Y$4,$N$2:$Y$2))/(Z2260/($K2260*$L2260*$M2260)),"")</f>
        <v/>
      </c>
      <c r="AC2260" s="18" t="n"/>
    </row>
    <row r="2261">
      <c r="A2261" s="9" t="n">
        <v>572287</v>
      </c>
      <c r="B2261" s="9" t="inlineStr">
        <is>
          <t>Mike Zunino</t>
        </is>
      </c>
      <c r="C2261" s="9" t="inlineStr">
        <is>
          <t>CLE</t>
        </is>
      </c>
      <c r="D2261" s="9" t="n">
        <v>36</v>
      </c>
      <c r="E2261" s="16" t="inlineStr">
        <is>
          <t>R</t>
        </is>
      </c>
      <c r="F2261" s="16" t="inlineStr">
        <is>
          <t>C</t>
        </is>
      </c>
      <c r="G2261" s="9" t="n">
        <v>140</v>
      </c>
      <c r="H2261" s="9" t="n">
        <v>263</v>
      </c>
      <c r="I2261" s="9" t="inlineStr">
        <is>
          <t>Depth (no MLB PA)</t>
        </is>
      </c>
      <c r="J2261" s="16" t="inlineStr">
        <is>
          <t>Opening Day</t>
        </is>
      </c>
      <c r="K2261" s="11">
        <f>IFERROR(INDEX(Roles!$B$17:$B$20,MATCH(J2261,Roles!$A$17:$A$20,0)),1)</f>
        <v/>
      </c>
      <c r="L2261" s="17" t="n">
        <v>1</v>
      </c>
      <c r="M2261" s="11" t="n">
        <v>1</v>
      </c>
      <c r="N2261" s="17" t="n"/>
      <c r="O2261" s="17" t="n"/>
      <c r="P2261" s="17" t="n"/>
      <c r="Q2261" s="17" t="n"/>
      <c r="R2261" s="17" t="n"/>
      <c r="S2261" s="17" t="n"/>
      <c r="T2261" s="17" t="n"/>
      <c r="U2261" s="17" t="n"/>
      <c r="V2261" s="17" t="n"/>
      <c r="W2261" s="17" t="n"/>
      <c r="X2261" s="17" t="n"/>
      <c r="Y2261" s="17" t="n">
        <v>1</v>
      </c>
      <c r="Z2261" s="13">
        <f>SUMPRODUCT(N2261:Y2261,$N$2:$Y$2)*$K2261*$L2261*$M2261</f>
        <v/>
      </c>
      <c r="AA2261" s="14">
        <f>SUM(N2261:Y2261)</f>
        <v/>
      </c>
      <c r="AB2261" s="14">
        <f>IFERROR(IF(UPPER($E2261)="L",SUMPRODUCT(N2261:Y2261,$N$3:$Y$3,$N$2:$Y$2),SUMPRODUCT(N2261:Y2261,$N$4:$Y$4,$N$2:$Y$2))/(Z2261/($K2261*$L2261*$M2261)),"")</f>
        <v/>
      </c>
      <c r="AC2261" s="18" t="n"/>
    </row>
    <row r="2262">
      <c r="A2262" s="9" t="n">
        <v>702708</v>
      </c>
      <c r="B2262" s="9" t="inlineStr">
        <is>
          <t>Emaarion Boyd</t>
        </is>
      </c>
      <c r="C2262" s="9" t="inlineStr">
        <is>
          <t>MIA</t>
        </is>
      </c>
      <c r="D2262" s="9" t="n">
        <v>25</v>
      </c>
      <c r="E2262" s="16" t="inlineStr">
        <is>
          <t>R</t>
        </is>
      </c>
      <c r="F2262" s="16" t="n"/>
      <c r="G2262" s="9" t="n">
        <v>70.35897435897435</v>
      </c>
      <c r="H2262" s="9" t="n">
        <v>70.35897435897435</v>
      </c>
      <c r="I2262" s="9" t="inlineStr">
        <is>
          <t>Depth (no MLB PA)</t>
        </is>
      </c>
      <c r="J2262" s="16" t="inlineStr">
        <is>
          <t>Opening Day</t>
        </is>
      </c>
      <c r="K2262" s="11">
        <f>IFERROR(INDEX(Roles!$B$17:$B$20,MATCH(J2262,Roles!$A$17:$A$20,0)),1)</f>
        <v/>
      </c>
      <c r="L2262" s="17" t="n">
        <v>1</v>
      </c>
      <c r="M2262" s="11" t="n">
        <v>1</v>
      </c>
      <c r="N2262" s="17" t="n"/>
      <c r="O2262" s="17" t="n"/>
      <c r="P2262" s="17" t="n"/>
      <c r="Q2262" s="17" t="n"/>
      <c r="R2262" s="17" t="n"/>
      <c r="S2262" s="17" t="n"/>
      <c r="T2262" s="17" t="n"/>
      <c r="U2262" s="17" t="n"/>
      <c r="V2262" s="17" t="n"/>
      <c r="W2262" s="17" t="n"/>
      <c r="X2262" s="17" t="n"/>
      <c r="Y2262" s="17" t="n">
        <v>1</v>
      </c>
      <c r="Z2262" s="13">
        <f>SUMPRODUCT(N2262:Y2262,$N$2:$Y$2)*$K2262*$L2262*$M2262</f>
        <v/>
      </c>
      <c r="AA2262" s="14">
        <f>SUM(N2262:Y2262)</f>
        <v/>
      </c>
      <c r="AB2262" s="14">
        <f>IFERROR(IF(UPPER($E2262)="L",SUMPRODUCT(N2262:Y2262,$N$3:$Y$3,$N$2:$Y$2),SUMPRODUCT(N2262:Y2262,$N$4:$Y$4,$N$2:$Y$2))/(Z2262/($K2262*$L2262*$M2262)),"")</f>
        <v/>
      </c>
      <c r="AC2262" s="18" t="n"/>
    </row>
    <row r="2263">
      <c r="A2263" s="9" t="n">
        <v>686668</v>
      </c>
      <c r="B2263" s="9" t="inlineStr">
        <is>
          <t>Brenton Doyle</t>
        </is>
      </c>
      <c r="C2263" s="9" t="inlineStr">
        <is>
          <t>CWS</t>
        </is>
      </c>
      <c r="D2263" s="9" t="n">
        <v>29</v>
      </c>
      <c r="E2263" s="16" t="inlineStr">
        <is>
          <t>R</t>
        </is>
      </c>
      <c r="F2263" s="16" t="inlineStr">
        <is>
          <t>CF</t>
        </is>
      </c>
      <c r="G2263" s="9" t="n">
        <v>223</v>
      </c>
      <c r="H2263" s="9" t="n">
        <v>1795</v>
      </c>
      <c r="I2263" s="9" t="inlineStr">
        <is>
          <t>Full Time</t>
        </is>
      </c>
      <c r="J2263" s="16" t="inlineStr">
        <is>
          <t>Opening Day</t>
        </is>
      </c>
      <c r="K2263" s="11">
        <f>IFERROR(INDEX(Roles!$B$17:$B$20,MATCH(J2263,Roles!$A$17:$A$20,0)),1)</f>
        <v/>
      </c>
      <c r="L2263" s="17" t="n">
        <v>1</v>
      </c>
      <c r="M2263" s="11" t="n">
        <v>0.9457520461423388</v>
      </c>
      <c r="N2263" s="17" t="n">
        <v>1</v>
      </c>
      <c r="O2263" s="17" t="n"/>
      <c r="P2263" s="17" t="n"/>
      <c r="Q2263" s="17" t="n"/>
      <c r="R2263" s="17" t="n"/>
      <c r="S2263" s="17" t="n"/>
      <c r="T2263" s="17" t="n"/>
      <c r="U2263" s="17" t="n"/>
      <c r="V2263" s="17" t="n"/>
      <c r="W2263" s="17" t="n"/>
      <c r="X2263" s="17" t="n"/>
      <c r="Y2263" s="17" t="n"/>
      <c r="Z2263" s="13">
        <f>SUMPRODUCT(N2263:Y2263,$N$2:$Y$2)*$K2263*$L2263*$M2263</f>
        <v/>
      </c>
      <c r="AA2263" s="14">
        <f>SUM(N2263:Y2263)</f>
        <v/>
      </c>
      <c r="AB2263" s="14">
        <f>IFERROR(IF(UPPER($E2263)="L",SUMPRODUCT(N2263:Y2263,$N$3:$Y$3,$N$2:$Y$2),SUMPRODUCT(N2263:Y2263,$N$4:$Y$4,$N$2:$Y$2))/(Z2263/($K2263*$L2263*$M2263)),"")</f>
        <v/>
      </c>
      <c r="AC2263" s="18" t="n"/>
    </row>
    <row r="2264">
      <c r="A2264" s="9" t="n">
        <v>802117</v>
      </c>
      <c r="B2264" s="9" t="inlineStr">
        <is>
          <t>Patrick Clohisy</t>
        </is>
      </c>
      <c r="C2264" s="9" t="inlineStr">
        <is>
          <t>ATL</t>
        </is>
      </c>
      <c r="D2264" s="9" t="n">
        <v>26</v>
      </c>
      <c r="E2264" s="16" t="inlineStr">
        <is>
          <t>L</t>
        </is>
      </c>
      <c r="F2264" s="16" t="n"/>
      <c r="G2264" s="9" t="n">
        <v>94.7692307692308</v>
      </c>
      <c r="H2264" s="9" t="n">
        <v>94.7692307692308</v>
      </c>
      <c r="I2264" s="9" t="inlineStr">
        <is>
          <t>Depth (no MLB PA)</t>
        </is>
      </c>
      <c r="J2264" s="16" t="inlineStr">
        <is>
          <t>Opening Day</t>
        </is>
      </c>
      <c r="K2264" s="11">
        <f>IFERROR(INDEX(Roles!$B$17:$B$20,MATCH(J2264,Roles!$A$17:$A$20,0)),1)</f>
        <v/>
      </c>
      <c r="L2264" s="17" t="n">
        <v>1</v>
      </c>
      <c r="M2264" s="11" t="n">
        <v>1</v>
      </c>
      <c r="N2264" s="17" t="n"/>
      <c r="O2264" s="17" t="n"/>
      <c r="P2264" s="17" t="n"/>
      <c r="Q2264" s="17" t="n"/>
      <c r="R2264" s="17" t="n"/>
      <c r="S2264" s="17" t="n"/>
      <c r="T2264" s="17" t="n"/>
      <c r="U2264" s="17" t="n"/>
      <c r="V2264" s="17" t="n"/>
      <c r="W2264" s="17" t="n"/>
      <c r="X2264" s="17" t="n"/>
      <c r="Y2264" s="17" t="n">
        <v>1</v>
      </c>
      <c r="Z2264" s="13">
        <f>SUMPRODUCT(N2264:Y2264,$N$2:$Y$2)*$K2264*$L2264*$M2264</f>
        <v/>
      </c>
      <c r="AA2264" s="14">
        <f>SUM(N2264:Y2264)</f>
        <v/>
      </c>
      <c r="AB2264" s="14">
        <f>IFERROR(IF(UPPER($E2264)="L",SUMPRODUCT(N2264:Y2264,$N$3:$Y$3,$N$2:$Y$2),SUMPRODUCT(N2264:Y2264,$N$4:$Y$4,$N$2:$Y$2))/(Z2264/($K2264*$L2264*$M2264)),"")</f>
        <v/>
      </c>
      <c r="AC2264" s="18" t="n"/>
    </row>
    <row r="2265">
      <c r="A2265" s="9" t="n">
        <v>647378</v>
      </c>
      <c r="B2265" s="9" t="inlineStr">
        <is>
          <t>Andy Yerzy</t>
        </is>
      </c>
      <c r="C2265" s="9" t="inlineStr">
        <is>
          <t>STL</t>
        </is>
      </c>
      <c r="D2265" s="9" t="n">
        <v>25</v>
      </c>
      <c r="E2265" s="16" t="inlineStr">
        <is>
          <t>L</t>
        </is>
      </c>
      <c r="F2265" s="16" t="n"/>
      <c r="G2265" s="9" t="n">
        <v>75.02564102564104</v>
      </c>
      <c r="H2265" s="9" t="n">
        <v>75.02564102564104</v>
      </c>
      <c r="I2265" s="9" t="inlineStr">
        <is>
          <t>Depth (no MLB PA)</t>
        </is>
      </c>
      <c r="J2265" s="16" t="inlineStr">
        <is>
          <t>Opening Day</t>
        </is>
      </c>
      <c r="K2265" s="11">
        <f>IFERROR(INDEX(Roles!$B$17:$B$20,MATCH(J2265,Roles!$A$17:$A$20,0)),1)</f>
        <v/>
      </c>
      <c r="L2265" s="17" t="n">
        <v>1</v>
      </c>
      <c r="M2265" s="11" t="n">
        <v>1</v>
      </c>
      <c r="N2265" s="17" t="n"/>
      <c r="O2265" s="17" t="n"/>
      <c r="P2265" s="17" t="n"/>
      <c r="Q2265" s="17" t="n"/>
      <c r="R2265" s="17" t="n"/>
      <c r="S2265" s="17" t="n"/>
      <c r="T2265" s="17" t="n"/>
      <c r="U2265" s="17" t="n"/>
      <c r="V2265" s="17" t="n"/>
      <c r="W2265" s="17" t="n"/>
      <c r="X2265" s="17" t="n"/>
      <c r="Y2265" s="17" t="n">
        <v>1</v>
      </c>
      <c r="Z2265" s="13">
        <f>SUMPRODUCT(N2265:Y2265,$N$2:$Y$2)*$K2265*$L2265*$M2265</f>
        <v/>
      </c>
      <c r="AA2265" s="14">
        <f>SUM(N2265:Y2265)</f>
        <v/>
      </c>
      <c r="AB2265" s="14">
        <f>IFERROR(IF(UPPER($E2265)="L",SUMPRODUCT(N2265:Y2265,$N$3:$Y$3,$N$2:$Y$2),SUMPRODUCT(N2265:Y2265,$N$4:$Y$4,$N$2:$Y$2))/(Z2265/($K2265*$L2265*$M2265)),"")</f>
        <v/>
      </c>
      <c r="AC2265" s="18" t="n"/>
    </row>
    <row r="2266">
      <c r="A2266" s="9" t="n">
        <v>689878</v>
      </c>
      <c r="B2266" s="9" t="inlineStr">
        <is>
          <t>Colin Burgess</t>
        </is>
      </c>
      <c r="C2266" s="9" t="inlineStr">
        <is>
          <t>ATL</t>
        </is>
      </c>
      <c r="D2266" s="9" t="n">
        <v>25</v>
      </c>
      <c r="E2266" s="16" t="inlineStr">
        <is>
          <t>R</t>
        </is>
      </c>
      <c r="F2266" s="16" t="n"/>
      <c r="G2266" s="9" t="n">
        <v>55.38461538461539</v>
      </c>
      <c r="H2266" s="9" t="n">
        <v>55.38461538461539</v>
      </c>
      <c r="I2266" s="9" t="inlineStr">
        <is>
          <t>Depth (no MLB PA)</t>
        </is>
      </c>
      <c r="J2266" s="16" t="inlineStr">
        <is>
          <t>Opening Day</t>
        </is>
      </c>
      <c r="K2266" s="11">
        <f>IFERROR(INDEX(Roles!$B$17:$B$20,MATCH(J2266,Roles!$A$17:$A$20,0)),1)</f>
        <v/>
      </c>
      <c r="L2266" s="17" t="n">
        <v>1</v>
      </c>
      <c r="M2266" s="11" t="n">
        <v>1</v>
      </c>
      <c r="N2266" s="17" t="n"/>
      <c r="O2266" s="17" t="n"/>
      <c r="P2266" s="17" t="n"/>
      <c r="Q2266" s="17" t="n"/>
      <c r="R2266" s="17" t="n"/>
      <c r="S2266" s="17" t="n"/>
      <c r="T2266" s="17" t="n"/>
      <c r="U2266" s="17" t="n"/>
      <c r="V2266" s="17" t="n"/>
      <c r="W2266" s="17" t="n"/>
      <c r="X2266" s="17" t="n"/>
      <c r="Y2266" s="17" t="n">
        <v>1</v>
      </c>
      <c r="Z2266" s="13">
        <f>SUMPRODUCT(N2266:Y2266,$N$2:$Y$2)*$K2266*$L2266*$M2266</f>
        <v/>
      </c>
      <c r="AA2266" s="14">
        <f>SUM(N2266:Y2266)</f>
        <v/>
      </c>
      <c r="AB2266" s="14">
        <f>IFERROR(IF(UPPER($E2266)="L",SUMPRODUCT(N2266:Y2266,$N$3:$Y$3,$N$2:$Y$2),SUMPRODUCT(N2266:Y2266,$N$4:$Y$4,$N$2:$Y$2))/(Z2266/($K2266*$L2266*$M2266)),"")</f>
        <v/>
      </c>
      <c r="AC2266" s="18" t="n"/>
    </row>
    <row r="2267">
      <c r="A2267" s="9" t="n">
        <v>821599</v>
      </c>
      <c r="B2267" s="9" t="inlineStr">
        <is>
          <t>Daniel Flames</t>
        </is>
      </c>
      <c r="C2267" s="9" t="inlineStr">
        <is>
          <t>TEX</t>
        </is>
      </c>
      <c r="D2267" s="9" t="n">
        <v>25</v>
      </c>
      <c r="E2267" s="16" t="inlineStr">
        <is>
          <t>S</t>
        </is>
      </c>
      <c r="F2267" s="16" t="n"/>
      <c r="G2267" s="9" t="n">
        <v>42.95384615384615</v>
      </c>
      <c r="H2267" s="9" t="n">
        <v>42.95384615384615</v>
      </c>
      <c r="I2267" s="9" t="inlineStr">
        <is>
          <t>Depth (no MLB PA)</t>
        </is>
      </c>
      <c r="J2267" s="16" t="inlineStr">
        <is>
          <t>Opening Day</t>
        </is>
      </c>
      <c r="K2267" s="11">
        <f>IFERROR(INDEX(Roles!$B$17:$B$20,MATCH(J2267,Roles!$A$17:$A$20,0)),1)</f>
        <v/>
      </c>
      <c r="L2267" s="17" t="n">
        <v>1</v>
      </c>
      <c r="M2267" s="11" t="n">
        <v>1</v>
      </c>
      <c r="N2267" s="17" t="n"/>
      <c r="O2267" s="17" t="n"/>
      <c r="P2267" s="17" t="n"/>
      <c r="Q2267" s="17" t="n"/>
      <c r="R2267" s="17" t="n"/>
      <c r="S2267" s="17" t="n"/>
      <c r="T2267" s="17" t="n"/>
      <c r="U2267" s="17" t="n"/>
      <c r="V2267" s="17" t="n"/>
      <c r="W2267" s="17" t="n"/>
      <c r="X2267" s="17" t="n"/>
      <c r="Y2267" s="17" t="n">
        <v>1</v>
      </c>
      <c r="Z2267" s="13">
        <f>SUMPRODUCT(N2267:Y2267,$N$2:$Y$2)*$K2267*$L2267*$M2267</f>
        <v/>
      </c>
      <c r="AA2267" s="14">
        <f>SUM(N2267:Y2267)</f>
        <v/>
      </c>
      <c r="AB2267" s="14">
        <f>IFERROR(IF(UPPER($E2267)="L",SUMPRODUCT(N2267:Y2267,$N$3:$Y$3,$N$2:$Y$2),SUMPRODUCT(N2267:Y2267,$N$4:$Y$4,$N$2:$Y$2))/(Z2267/($K2267*$L2267*$M2267)),"")</f>
        <v/>
      </c>
      <c r="AC2267" s="18" t="n"/>
    </row>
    <row r="2268">
      <c r="A2268" s="9" t="n">
        <v>692405</v>
      </c>
      <c r="B2268" s="9" t="inlineStr">
        <is>
          <t>Jeremy Rivas</t>
        </is>
      </c>
      <c r="C2268" s="9" t="inlineStr">
        <is>
          <t>STL</t>
        </is>
      </c>
      <c r="D2268" s="9" t="n">
        <v>25</v>
      </c>
      <c r="E2268" s="16" t="inlineStr">
        <is>
          <t>R</t>
        </is>
      </c>
      <c r="F2268" s="16" t="n"/>
      <c r="G2268" s="9" t="n">
        <v>57.53846153846154</v>
      </c>
      <c r="H2268" s="9" t="n">
        <v>57.53846153846154</v>
      </c>
      <c r="I2268" s="9" t="inlineStr">
        <is>
          <t>Depth (no MLB PA)</t>
        </is>
      </c>
      <c r="J2268" s="16" t="inlineStr">
        <is>
          <t>Opening Day</t>
        </is>
      </c>
      <c r="K2268" s="11">
        <f>IFERROR(INDEX(Roles!$B$17:$B$20,MATCH(J2268,Roles!$A$17:$A$20,0)),1)</f>
        <v/>
      </c>
      <c r="L2268" s="17" t="n">
        <v>1</v>
      </c>
      <c r="M2268" s="11" t="n">
        <v>1</v>
      </c>
      <c r="N2268" s="17" t="n"/>
      <c r="O2268" s="17" t="n"/>
      <c r="P2268" s="17" t="n"/>
      <c r="Q2268" s="17" t="n"/>
      <c r="R2268" s="17" t="n"/>
      <c r="S2268" s="17" t="n"/>
      <c r="T2268" s="17" t="n"/>
      <c r="U2268" s="17" t="n"/>
      <c r="V2268" s="17" t="n"/>
      <c r="W2268" s="17" t="n"/>
      <c r="X2268" s="17" t="n"/>
      <c r="Y2268" s="17" t="n">
        <v>1</v>
      </c>
      <c r="Z2268" s="13">
        <f>SUMPRODUCT(N2268:Y2268,$N$2:$Y$2)*$K2268*$L2268*$M2268</f>
        <v/>
      </c>
      <c r="AA2268" s="14">
        <f>SUM(N2268:Y2268)</f>
        <v/>
      </c>
      <c r="AB2268" s="14">
        <f>IFERROR(IF(UPPER($E2268)="L",SUMPRODUCT(N2268:Y2268,$N$3:$Y$3,$N$2:$Y$2),SUMPRODUCT(N2268:Y2268,$N$4:$Y$4,$N$2:$Y$2))/(Z2268/($K2268*$L2268*$M2268)),"")</f>
        <v/>
      </c>
      <c r="AC2268" s="18" t="n"/>
    </row>
    <row r="2269">
      <c r="A2269" s="9" t="n">
        <v>702284</v>
      </c>
      <c r="B2269" s="9" t="inlineStr">
        <is>
          <t>Cole Young</t>
        </is>
      </c>
      <c r="C2269" s="9" t="inlineStr">
        <is>
          <t>SEA</t>
        </is>
      </c>
      <c r="D2269" s="9" t="n">
        <v>23</v>
      </c>
      <c r="E2269" s="16" t="inlineStr">
        <is>
          <t>L</t>
        </is>
      </c>
      <c r="F2269" s="16" t="inlineStr">
        <is>
          <t>2B</t>
        </is>
      </c>
      <c r="G2269" s="9" t="n">
        <v>638</v>
      </c>
      <c r="H2269" s="9" t="n">
        <v>895</v>
      </c>
      <c r="I2269" s="9" t="inlineStr">
        <is>
          <t>Full Time</t>
        </is>
      </c>
      <c r="J2269" s="16" t="inlineStr">
        <is>
          <t>Opening Day</t>
        </is>
      </c>
      <c r="K2269" s="11">
        <f>IFERROR(INDEX(Roles!$B$17:$B$20,MATCH(J2269,Roles!$A$17:$A$20,0)),1)</f>
        <v/>
      </c>
      <c r="L2269" s="17" t="n">
        <v>1</v>
      </c>
      <c r="M2269" s="11" t="n">
        <v>1.00816192555524</v>
      </c>
      <c r="N2269" s="17" t="n">
        <v>1</v>
      </c>
      <c r="O2269" s="17" t="n"/>
      <c r="P2269" s="17" t="n"/>
      <c r="Q2269" s="17" t="n"/>
      <c r="R2269" s="17" t="n"/>
      <c r="S2269" s="17" t="n"/>
      <c r="T2269" s="17" t="n"/>
      <c r="U2269" s="17" t="n"/>
      <c r="V2269" s="17" t="n"/>
      <c r="W2269" s="17" t="n"/>
      <c r="X2269" s="17" t="n"/>
      <c r="Y2269" s="17" t="n"/>
      <c r="Z2269" s="13">
        <f>SUMPRODUCT(N2269:Y2269,$N$2:$Y$2)*$K2269*$L2269*$M2269</f>
        <v/>
      </c>
      <c r="AA2269" s="14">
        <f>SUM(N2269:Y2269)</f>
        <v/>
      </c>
      <c r="AB2269" s="14">
        <f>IFERROR(IF(UPPER($E2269)="L",SUMPRODUCT(N2269:Y2269,$N$3:$Y$3,$N$2:$Y$2),SUMPRODUCT(N2269:Y2269,$N$4:$Y$4,$N$2:$Y$2))/(Z2269/($K2269*$L2269*$M2269)),"")</f>
        <v/>
      </c>
      <c r="AC2269" s="18" t="n"/>
    </row>
    <row r="2270">
      <c r="A2270" s="9" t="n">
        <v>806987</v>
      </c>
      <c r="B2270" s="9" t="inlineStr">
        <is>
          <t>Daiverson Gutierrez</t>
        </is>
      </c>
      <c r="C2270" s="9" t="inlineStr">
        <is>
          <t>NYM</t>
        </is>
      </c>
      <c r="D2270" s="9" t="n">
        <v>25</v>
      </c>
      <c r="E2270" s="16" t="inlineStr">
        <is>
          <t>R</t>
        </is>
      </c>
      <c r="F2270" s="16" t="n"/>
      <c r="G2270" s="9" t="n">
        <v>82.66666666666667</v>
      </c>
      <c r="H2270" s="9" t="n">
        <v>82.66666666666667</v>
      </c>
      <c r="I2270" s="9" t="inlineStr">
        <is>
          <t>Depth (no MLB PA)</t>
        </is>
      </c>
      <c r="J2270" s="16" t="inlineStr">
        <is>
          <t>Opening Day</t>
        </is>
      </c>
      <c r="K2270" s="11">
        <f>IFERROR(INDEX(Roles!$B$17:$B$20,MATCH(J2270,Roles!$A$17:$A$20,0)),1)</f>
        <v/>
      </c>
      <c r="L2270" s="17" t="n">
        <v>1</v>
      </c>
      <c r="M2270" s="11" t="n">
        <v>1</v>
      </c>
      <c r="N2270" s="17" t="n"/>
      <c r="O2270" s="17" t="n"/>
      <c r="P2270" s="17" t="n"/>
      <c r="Q2270" s="17" t="n"/>
      <c r="R2270" s="17" t="n"/>
      <c r="S2270" s="17" t="n"/>
      <c r="T2270" s="17" t="n"/>
      <c r="U2270" s="17" t="n"/>
      <c r="V2270" s="17" t="n"/>
      <c r="W2270" s="17" t="n"/>
      <c r="X2270" s="17" t="n"/>
      <c r="Y2270" s="17" t="n">
        <v>1</v>
      </c>
      <c r="Z2270" s="13">
        <f>SUMPRODUCT(N2270:Y2270,$N$2:$Y$2)*$K2270*$L2270*$M2270</f>
        <v/>
      </c>
      <c r="AA2270" s="14">
        <f>SUM(N2270:Y2270)</f>
        <v/>
      </c>
      <c r="AB2270" s="14">
        <f>IFERROR(IF(UPPER($E2270)="L",SUMPRODUCT(N2270:Y2270,$N$3:$Y$3,$N$2:$Y$2),SUMPRODUCT(N2270:Y2270,$N$4:$Y$4,$N$2:$Y$2))/(Z2270/($K2270*$L2270*$M2270)),"")</f>
        <v/>
      </c>
      <c r="AC2270" s="18" t="n"/>
    </row>
    <row r="2271">
      <c r="A2271" s="9" t="n">
        <v>592669</v>
      </c>
      <c r="B2271" s="9" t="inlineStr">
        <is>
          <t>Hunter Renfroe</t>
        </is>
      </c>
      <c r="C2271" s="9" t="inlineStr">
        <is>
          <t>KC</t>
        </is>
      </c>
      <c r="D2271" s="9" t="n">
        <v>35</v>
      </c>
      <c r="E2271" s="16" t="inlineStr">
        <is>
          <t>R</t>
        </is>
      </c>
      <c r="F2271" s="16" t="inlineStr">
        <is>
          <t>RF</t>
        </is>
      </c>
      <c r="G2271" s="9" t="n">
        <v>108</v>
      </c>
      <c r="H2271" s="9" t="n">
        <v>1602</v>
      </c>
      <c r="I2271" s="9" t="inlineStr">
        <is>
          <t>Bench Bat</t>
        </is>
      </c>
      <c r="J2271" s="16" t="inlineStr">
        <is>
          <t>Opening Day</t>
        </is>
      </c>
      <c r="K2271" s="11">
        <f>IFERROR(INDEX(Roles!$B$17:$B$20,MATCH(J2271,Roles!$A$17:$A$20,0)),1)</f>
        <v/>
      </c>
      <c r="L2271" s="17" t="n">
        <v>1</v>
      </c>
      <c r="M2271" s="11" t="n">
        <v>0.8825857354439496</v>
      </c>
      <c r="N2271" s="17" t="n"/>
      <c r="O2271" s="17" t="n"/>
      <c r="P2271" s="17" t="n"/>
      <c r="Q2271" s="17" t="n"/>
      <c r="R2271" s="17" t="n"/>
      <c r="S2271" s="17" t="n"/>
      <c r="T2271" s="17" t="n"/>
      <c r="U2271" s="17" t="n"/>
      <c r="V2271" s="17" t="n"/>
      <c r="W2271" s="17" t="n">
        <v>1</v>
      </c>
      <c r="X2271" s="17" t="n"/>
      <c r="Y2271" s="17" t="n"/>
      <c r="Z2271" s="13">
        <f>SUMPRODUCT(N2271:Y2271,$N$2:$Y$2)*$K2271*$L2271*$M2271</f>
        <v/>
      </c>
      <c r="AA2271" s="14">
        <f>SUM(N2271:Y2271)</f>
        <v/>
      </c>
      <c r="AB2271" s="14">
        <f>IFERROR(IF(UPPER($E2271)="L",SUMPRODUCT(N2271:Y2271,$N$3:$Y$3,$N$2:$Y$2),SUMPRODUCT(N2271:Y2271,$N$4:$Y$4,$N$2:$Y$2))/(Z2271/($K2271*$L2271*$M2271)),"")</f>
        <v/>
      </c>
      <c r="AC2271" s="18" t="n"/>
    </row>
    <row r="2272">
      <c r="A2272" s="9" t="n">
        <v>675085</v>
      </c>
      <c r="B2272" s="9" t="inlineStr">
        <is>
          <t>Jonathon Long</t>
        </is>
      </c>
      <c r="C2272" s="9" t="inlineStr">
        <is>
          <t>MIA</t>
        </is>
      </c>
      <c r="D2272" s="9" t="n">
        <v>25</v>
      </c>
      <c r="E2272" s="16" t="inlineStr">
        <is>
          <t>R</t>
        </is>
      </c>
      <c r="F2272" s="16" t="n"/>
      <c r="G2272" s="9" t="n">
        <v>331.1282051282052</v>
      </c>
      <c r="H2272" s="9" t="n">
        <v>331.1282051282052</v>
      </c>
      <c r="I2272" s="9" t="inlineStr">
        <is>
          <t>Depth (no MLB PA)</t>
        </is>
      </c>
      <c r="J2272" s="16" t="inlineStr">
        <is>
          <t>Opening Day</t>
        </is>
      </c>
      <c r="K2272" s="11">
        <f>IFERROR(INDEX(Roles!$B$17:$B$20,MATCH(J2272,Roles!$A$17:$A$20,0)),1)</f>
        <v/>
      </c>
      <c r="L2272" s="17" t="n">
        <v>1</v>
      </c>
      <c r="M2272" s="11" t="n">
        <v>1</v>
      </c>
      <c r="N2272" s="17" t="n"/>
      <c r="O2272" s="17" t="n"/>
      <c r="P2272" s="17" t="n"/>
      <c r="Q2272" s="17" t="n"/>
      <c r="R2272" s="17" t="n"/>
      <c r="S2272" s="17" t="n"/>
      <c r="T2272" s="17" t="n"/>
      <c r="U2272" s="17" t="n"/>
      <c r="V2272" s="17" t="n"/>
      <c r="W2272" s="17" t="n"/>
      <c r="X2272" s="17" t="n"/>
      <c r="Y2272" s="17" t="n">
        <v>1</v>
      </c>
      <c r="Z2272" s="13">
        <f>SUMPRODUCT(N2272:Y2272,$N$2:$Y$2)*$K2272*$L2272*$M2272</f>
        <v/>
      </c>
      <c r="AA2272" s="14">
        <f>SUM(N2272:Y2272)</f>
        <v/>
      </c>
      <c r="AB2272" s="14">
        <f>IFERROR(IF(UPPER($E2272)="L",SUMPRODUCT(N2272:Y2272,$N$3:$Y$3,$N$2:$Y$2),SUMPRODUCT(N2272:Y2272,$N$4:$Y$4,$N$2:$Y$2))/(Z2272/($K2272*$L2272*$M2272)),"")</f>
        <v/>
      </c>
      <c r="AC2272" s="18" t="n"/>
    </row>
    <row r="2273">
      <c r="A2273" s="9" t="n">
        <v>685744</v>
      </c>
      <c r="B2273" s="9" t="inlineStr">
        <is>
          <t>Kenedy Corona</t>
        </is>
      </c>
      <c r="C2273" s="9" t="inlineStr">
        <is>
          <t>HOU</t>
        </is>
      </c>
      <c r="D2273" s="9" t="n">
        <v>27</v>
      </c>
      <c r="E2273" s="16" t="inlineStr">
        <is>
          <t>R</t>
        </is>
      </c>
      <c r="F2273" s="16" t="inlineStr">
        <is>
          <t>CF</t>
        </is>
      </c>
      <c r="G2273" s="9" t="n">
        <v>4</v>
      </c>
      <c r="H2273" s="9" t="n">
        <v>4</v>
      </c>
      <c r="I2273" s="9" t="inlineStr">
        <is>
          <t>Depth (no MLB PA)</t>
        </is>
      </c>
      <c r="J2273" s="16" t="inlineStr">
        <is>
          <t>Opening Day</t>
        </is>
      </c>
      <c r="K2273" s="11">
        <f>IFERROR(INDEX(Roles!$B$17:$B$20,MATCH(J2273,Roles!$A$17:$A$20,0)),1)</f>
        <v/>
      </c>
      <c r="L2273" s="17" t="n">
        <v>1</v>
      </c>
      <c r="M2273" s="11" t="n">
        <v>1</v>
      </c>
      <c r="N2273" s="17" t="n"/>
      <c r="O2273" s="17" t="n"/>
      <c r="P2273" s="17" t="n"/>
      <c r="Q2273" s="17" t="n"/>
      <c r="R2273" s="17" t="n"/>
      <c r="S2273" s="17" t="n"/>
      <c r="T2273" s="17" t="n"/>
      <c r="U2273" s="17" t="n"/>
      <c r="V2273" s="17" t="n"/>
      <c r="W2273" s="17" t="n"/>
      <c r="X2273" s="17" t="n"/>
      <c r="Y2273" s="17" t="n">
        <v>1</v>
      </c>
      <c r="Z2273" s="13">
        <f>SUMPRODUCT(N2273:Y2273,$N$2:$Y$2)*$K2273*$L2273*$M2273</f>
        <v/>
      </c>
      <c r="AA2273" s="14">
        <f>SUM(N2273:Y2273)</f>
        <v/>
      </c>
      <c r="AB2273" s="14">
        <f>IFERROR(IF(UPPER($E2273)="L",SUMPRODUCT(N2273:Y2273,$N$3:$Y$3,$N$2:$Y$2),SUMPRODUCT(N2273:Y2273,$N$4:$Y$4,$N$2:$Y$2))/(Z2273/($K2273*$L2273*$M2273)),"")</f>
        <v/>
      </c>
      <c r="AC2273" s="18" t="n"/>
    </row>
    <row r="2274">
      <c r="A2274" s="9" t="n">
        <v>692416</v>
      </c>
      <c r="B2274" s="9" t="inlineStr">
        <is>
          <t>Christian Cerda</t>
        </is>
      </c>
      <c r="C2274" s="9" t="inlineStr">
        <is>
          <t>ARI</t>
        </is>
      </c>
      <c r="D2274" s="9" t="n">
        <v>25</v>
      </c>
      <c r="E2274" s="16" t="inlineStr">
        <is>
          <t>R</t>
        </is>
      </c>
      <c r="F2274" s="16" t="n"/>
      <c r="G2274" s="9" t="n">
        <v>131.4358974358975</v>
      </c>
      <c r="H2274" s="9" t="n">
        <v>131.4358974358975</v>
      </c>
      <c r="I2274" s="9" t="inlineStr">
        <is>
          <t>Depth (no MLB PA)</t>
        </is>
      </c>
      <c r="J2274" s="16" t="inlineStr">
        <is>
          <t>Opening Day</t>
        </is>
      </c>
      <c r="K2274" s="11">
        <f>IFERROR(INDEX(Roles!$B$17:$B$20,MATCH(J2274,Roles!$A$17:$A$20,0)),1)</f>
        <v/>
      </c>
      <c r="L2274" s="17" t="n">
        <v>1</v>
      </c>
      <c r="M2274" s="11" t="n">
        <v>1</v>
      </c>
      <c r="N2274" s="17" t="n"/>
      <c r="O2274" s="17" t="n"/>
      <c r="P2274" s="17" t="n"/>
      <c r="Q2274" s="17" t="n"/>
      <c r="R2274" s="17" t="n"/>
      <c r="S2274" s="17" t="n"/>
      <c r="T2274" s="17" t="n"/>
      <c r="U2274" s="17" t="n"/>
      <c r="V2274" s="17" t="n"/>
      <c r="W2274" s="17" t="n"/>
      <c r="X2274" s="17" t="n"/>
      <c r="Y2274" s="17" t="n">
        <v>1</v>
      </c>
      <c r="Z2274" s="13">
        <f>SUMPRODUCT(N2274:Y2274,$N$2:$Y$2)*$K2274*$L2274*$M2274</f>
        <v/>
      </c>
      <c r="AA2274" s="14">
        <f>SUM(N2274:Y2274)</f>
        <v/>
      </c>
      <c r="AB2274" s="14">
        <f>IFERROR(IF(UPPER($E2274)="L",SUMPRODUCT(N2274:Y2274,$N$3:$Y$3,$N$2:$Y$2),SUMPRODUCT(N2274:Y2274,$N$4:$Y$4,$N$2:$Y$2))/(Z2274/($K2274*$L2274*$M2274)),"")</f>
        <v/>
      </c>
      <c r="AC2274" s="18" t="n"/>
    </row>
    <row r="2275">
      <c r="A2275" s="9" t="n">
        <v>809944</v>
      </c>
      <c r="B2275" s="9" t="inlineStr">
        <is>
          <t>Elijah Hainline</t>
        </is>
      </c>
      <c r="C2275" s="9" t="inlineStr">
        <is>
          <t>LAD</t>
        </is>
      </c>
      <c r="D2275" s="9" t="n">
        <v>25</v>
      </c>
      <c r="E2275" s="16" t="inlineStr">
        <is>
          <t>R</t>
        </is>
      </c>
      <c r="F2275" s="16" t="n"/>
      <c r="G2275" s="9" t="n">
        <v>166.5641025641026</v>
      </c>
      <c r="H2275" s="9" t="n">
        <v>166.5641025641026</v>
      </c>
      <c r="I2275" s="9" t="inlineStr">
        <is>
          <t>Depth (no MLB PA)</t>
        </is>
      </c>
      <c r="J2275" s="16" t="inlineStr">
        <is>
          <t>Opening Day</t>
        </is>
      </c>
      <c r="K2275" s="11">
        <f>IFERROR(INDEX(Roles!$B$17:$B$20,MATCH(J2275,Roles!$A$17:$A$20,0)),1)</f>
        <v/>
      </c>
      <c r="L2275" s="17" t="n">
        <v>1</v>
      </c>
      <c r="M2275" s="11" t="n">
        <v>1</v>
      </c>
      <c r="N2275" s="17" t="n"/>
      <c r="O2275" s="17" t="n"/>
      <c r="P2275" s="17" t="n"/>
      <c r="Q2275" s="17" t="n"/>
      <c r="R2275" s="17" t="n"/>
      <c r="S2275" s="17" t="n"/>
      <c r="T2275" s="17" t="n"/>
      <c r="U2275" s="17" t="n"/>
      <c r="V2275" s="17" t="n"/>
      <c r="W2275" s="17" t="n"/>
      <c r="X2275" s="17" t="n"/>
      <c r="Y2275" s="17" t="n">
        <v>1</v>
      </c>
      <c r="Z2275" s="13">
        <f>SUMPRODUCT(N2275:Y2275,$N$2:$Y$2)*$K2275*$L2275*$M2275</f>
        <v/>
      </c>
      <c r="AA2275" s="14">
        <f>SUM(N2275:Y2275)</f>
        <v/>
      </c>
      <c r="AB2275" s="14">
        <f>IFERROR(IF(UPPER($E2275)="L",SUMPRODUCT(N2275:Y2275,$N$3:$Y$3,$N$2:$Y$2),SUMPRODUCT(N2275:Y2275,$N$4:$Y$4,$N$2:$Y$2))/(Z2275/($K2275*$L2275*$M2275)),"")</f>
        <v/>
      </c>
      <c r="AC2275" s="18" t="n"/>
    </row>
    <row r="2276">
      <c r="A2276" s="9" t="n">
        <v>691437</v>
      </c>
      <c r="B2276" s="9" t="inlineStr">
        <is>
          <t>Adrian Pinto</t>
        </is>
      </c>
      <c r="C2276" s="9" t="inlineStr">
        <is>
          <t>TOR</t>
        </is>
      </c>
      <c r="D2276" s="9" t="n">
        <v>25</v>
      </c>
      <c r="E2276" s="16" t="inlineStr">
        <is>
          <t>R</t>
        </is>
      </c>
      <c r="F2276" s="16" t="n"/>
      <c r="G2276" s="9" t="n">
        <v>62.82051282051282</v>
      </c>
      <c r="H2276" s="9" t="n">
        <v>62.82051282051282</v>
      </c>
      <c r="I2276" s="9" t="inlineStr">
        <is>
          <t>Depth (no MLB PA)</t>
        </is>
      </c>
      <c r="J2276" s="16" t="inlineStr">
        <is>
          <t>Opening Day</t>
        </is>
      </c>
      <c r="K2276" s="11">
        <f>IFERROR(INDEX(Roles!$B$17:$B$20,MATCH(J2276,Roles!$A$17:$A$20,0)),1)</f>
        <v/>
      </c>
      <c r="L2276" s="17" t="n">
        <v>1</v>
      </c>
      <c r="M2276" s="11" t="n">
        <v>1</v>
      </c>
      <c r="N2276" s="17" t="n"/>
      <c r="O2276" s="17" t="n"/>
      <c r="P2276" s="17" t="n"/>
      <c r="Q2276" s="17" t="n"/>
      <c r="R2276" s="17" t="n"/>
      <c r="S2276" s="17" t="n"/>
      <c r="T2276" s="17" t="n"/>
      <c r="U2276" s="17" t="n"/>
      <c r="V2276" s="17" t="n"/>
      <c r="W2276" s="17" t="n"/>
      <c r="X2276" s="17" t="n"/>
      <c r="Y2276" s="17" t="n">
        <v>1</v>
      </c>
      <c r="Z2276" s="13">
        <f>SUMPRODUCT(N2276:Y2276,$N$2:$Y$2)*$K2276*$L2276*$M2276</f>
        <v/>
      </c>
      <c r="AA2276" s="14">
        <f>SUM(N2276:Y2276)</f>
        <v/>
      </c>
      <c r="AB2276" s="14">
        <f>IFERROR(IF(UPPER($E2276)="L",SUMPRODUCT(N2276:Y2276,$N$3:$Y$3,$N$2:$Y$2),SUMPRODUCT(N2276:Y2276,$N$4:$Y$4,$N$2:$Y$2))/(Z2276/($K2276*$L2276*$M2276)),"")</f>
        <v/>
      </c>
      <c r="AC2276" s="18" t="n"/>
    </row>
    <row r="2277">
      <c r="A2277" s="9" t="n">
        <v>691267</v>
      </c>
      <c r="B2277" s="9" t="inlineStr">
        <is>
          <t>Alex Ramírez</t>
        </is>
      </c>
      <c r="C2277" s="9" t="inlineStr">
        <is>
          <t>CHC</t>
        </is>
      </c>
      <c r="D2277" s="9" t="n">
        <v>25</v>
      </c>
      <c r="E2277" s="16" t="inlineStr">
        <is>
          <t>R</t>
        </is>
      </c>
      <c r="F2277" s="16" t="n"/>
      <c r="G2277" s="9" t="n">
        <v>198.5128205128205</v>
      </c>
      <c r="H2277" s="9" t="n">
        <v>198.5128205128205</v>
      </c>
      <c r="I2277" s="9" t="inlineStr">
        <is>
          <t>Depth (no MLB PA)</t>
        </is>
      </c>
      <c r="J2277" s="16" t="inlineStr">
        <is>
          <t>Opening Day</t>
        </is>
      </c>
      <c r="K2277" s="11">
        <f>IFERROR(INDEX(Roles!$B$17:$B$20,MATCH(J2277,Roles!$A$17:$A$20,0)),1)</f>
        <v/>
      </c>
      <c r="L2277" s="17" t="n">
        <v>1</v>
      </c>
      <c r="M2277" s="11" t="n">
        <v>1</v>
      </c>
      <c r="N2277" s="17" t="n"/>
      <c r="O2277" s="17" t="n"/>
      <c r="P2277" s="17" t="n"/>
      <c r="Q2277" s="17" t="n"/>
      <c r="R2277" s="17" t="n"/>
      <c r="S2277" s="17" t="n"/>
      <c r="T2277" s="17" t="n"/>
      <c r="U2277" s="17" t="n"/>
      <c r="V2277" s="17" t="n"/>
      <c r="W2277" s="17" t="n"/>
      <c r="X2277" s="17" t="n"/>
      <c r="Y2277" s="17" t="n">
        <v>1</v>
      </c>
      <c r="Z2277" s="13">
        <f>SUMPRODUCT(N2277:Y2277,$N$2:$Y$2)*$K2277*$L2277*$M2277</f>
        <v/>
      </c>
      <c r="AA2277" s="14">
        <f>SUM(N2277:Y2277)</f>
        <v/>
      </c>
      <c r="AB2277" s="14">
        <f>IFERROR(IF(UPPER($E2277)="L",SUMPRODUCT(N2277:Y2277,$N$3:$Y$3,$N$2:$Y$2),SUMPRODUCT(N2277:Y2277,$N$4:$Y$4,$N$2:$Y$2))/(Z2277/($K2277*$L2277*$M2277)),"")</f>
        <v/>
      </c>
      <c r="AC2277" s="18" t="n"/>
    </row>
    <row r="2278">
      <c r="A2278" s="9" t="n">
        <v>827637</v>
      </c>
      <c r="B2278" s="9" t="inlineStr">
        <is>
          <t>Dalton McIntyre</t>
        </is>
      </c>
      <c r="C2278" s="9" t="inlineStr">
        <is>
          <t>ATL</t>
        </is>
      </c>
      <c r="D2278" s="9" t="n">
        <v>25</v>
      </c>
      <c r="E2278" s="16" t="inlineStr">
        <is>
          <t>L</t>
        </is>
      </c>
      <c r="F2278" s="16" t="n"/>
      <c r="G2278" s="9" t="n">
        <v>59.58974358974358</v>
      </c>
      <c r="H2278" s="9" t="n">
        <v>59.58974358974358</v>
      </c>
      <c r="I2278" s="9" t="inlineStr">
        <is>
          <t>Depth (no MLB PA)</t>
        </is>
      </c>
      <c r="J2278" s="16" t="inlineStr">
        <is>
          <t>Opening Day</t>
        </is>
      </c>
      <c r="K2278" s="11">
        <f>IFERROR(INDEX(Roles!$B$17:$B$20,MATCH(J2278,Roles!$A$17:$A$20,0)),1)</f>
        <v/>
      </c>
      <c r="L2278" s="17" t="n">
        <v>1</v>
      </c>
      <c r="M2278" s="11" t="n">
        <v>1</v>
      </c>
      <c r="N2278" s="17" t="n"/>
      <c r="O2278" s="17" t="n"/>
      <c r="P2278" s="17" t="n"/>
      <c r="Q2278" s="17" t="n"/>
      <c r="R2278" s="17" t="n"/>
      <c r="S2278" s="17" t="n"/>
      <c r="T2278" s="17" t="n"/>
      <c r="U2278" s="17" t="n"/>
      <c r="V2278" s="17" t="n"/>
      <c r="W2278" s="17" t="n"/>
      <c r="X2278" s="17" t="n"/>
      <c r="Y2278" s="17" t="n">
        <v>1</v>
      </c>
      <c r="Z2278" s="13">
        <f>SUMPRODUCT(N2278:Y2278,$N$2:$Y$2)*$K2278*$L2278*$M2278</f>
        <v/>
      </c>
      <c r="AA2278" s="14">
        <f>SUM(N2278:Y2278)</f>
        <v/>
      </c>
      <c r="AB2278" s="14">
        <f>IFERROR(IF(UPPER($E2278)="L",SUMPRODUCT(N2278:Y2278,$N$3:$Y$3,$N$2:$Y$2),SUMPRODUCT(N2278:Y2278,$N$4:$Y$4,$N$2:$Y$2))/(Z2278/($K2278*$L2278*$M2278)),"")</f>
        <v/>
      </c>
      <c r="AC2278" s="18" t="n"/>
    </row>
    <row r="2279">
      <c r="A2279" s="9" t="n">
        <v>702501</v>
      </c>
      <c r="B2279" s="9" t="inlineStr">
        <is>
          <t>Eli Serrano III</t>
        </is>
      </c>
      <c r="C2279" s="9" t="inlineStr">
        <is>
          <t>NYM</t>
        </is>
      </c>
      <c r="D2279" s="9" t="n">
        <v>25</v>
      </c>
      <c r="E2279" s="16" t="inlineStr">
        <is>
          <t>L</t>
        </is>
      </c>
      <c r="F2279" s="16" t="n"/>
      <c r="G2279" s="9" t="n">
        <v>99.43589743589745</v>
      </c>
      <c r="H2279" s="9" t="n">
        <v>99.43589743589745</v>
      </c>
      <c r="I2279" s="9" t="inlineStr">
        <is>
          <t>Depth (no MLB PA)</t>
        </is>
      </c>
      <c r="J2279" s="16" t="inlineStr">
        <is>
          <t>Opening Day</t>
        </is>
      </c>
      <c r="K2279" s="11">
        <f>IFERROR(INDEX(Roles!$B$17:$B$20,MATCH(J2279,Roles!$A$17:$A$20,0)),1)</f>
        <v/>
      </c>
      <c r="L2279" s="17" t="n">
        <v>1</v>
      </c>
      <c r="M2279" s="11" t="n">
        <v>1</v>
      </c>
      <c r="N2279" s="17" t="n"/>
      <c r="O2279" s="17" t="n"/>
      <c r="P2279" s="17" t="n"/>
      <c r="Q2279" s="17" t="n"/>
      <c r="R2279" s="17" t="n"/>
      <c r="S2279" s="17" t="n"/>
      <c r="T2279" s="17" t="n"/>
      <c r="U2279" s="17" t="n"/>
      <c r="V2279" s="17" t="n"/>
      <c r="W2279" s="17" t="n"/>
      <c r="X2279" s="17" t="n"/>
      <c r="Y2279" s="17" t="n">
        <v>1</v>
      </c>
      <c r="Z2279" s="13">
        <f>SUMPRODUCT(N2279:Y2279,$N$2:$Y$2)*$K2279*$L2279*$M2279</f>
        <v/>
      </c>
      <c r="AA2279" s="14">
        <f>SUM(N2279:Y2279)</f>
        <v/>
      </c>
      <c r="AB2279" s="14">
        <f>IFERROR(IF(UPPER($E2279)="L",SUMPRODUCT(N2279:Y2279,$N$3:$Y$3,$N$2:$Y$2),SUMPRODUCT(N2279:Y2279,$N$4:$Y$4,$N$2:$Y$2))/(Z2279/($K2279*$L2279*$M2279)),"")</f>
        <v/>
      </c>
      <c r="AC2279" s="18" t="n"/>
    </row>
    <row r="2280">
      <c r="A2280" s="9" t="n">
        <v>815819</v>
      </c>
      <c r="B2280" s="9" t="inlineStr">
        <is>
          <t>Sean Gamble</t>
        </is>
      </c>
      <c r="C2280" s="9" t="inlineStr">
        <is>
          <t>KC</t>
        </is>
      </c>
      <c r="D2280" s="9" t="n">
        <v>25</v>
      </c>
      <c r="E2280" s="16" t="inlineStr">
        <is>
          <t>L</t>
        </is>
      </c>
      <c r="F2280" s="16" t="n"/>
      <c r="G2280" s="9" t="n">
        <v>57.84615384615384</v>
      </c>
      <c r="H2280" s="9" t="n">
        <v>57.84615384615384</v>
      </c>
      <c r="I2280" s="9" t="inlineStr">
        <is>
          <t>Depth (no MLB PA)</t>
        </is>
      </c>
      <c r="J2280" s="16" t="inlineStr">
        <is>
          <t>Opening Day</t>
        </is>
      </c>
      <c r="K2280" s="11">
        <f>IFERROR(INDEX(Roles!$B$17:$B$20,MATCH(J2280,Roles!$A$17:$A$20,0)),1)</f>
        <v/>
      </c>
      <c r="L2280" s="17" t="n">
        <v>1</v>
      </c>
      <c r="M2280" s="11" t="n">
        <v>1</v>
      </c>
      <c r="N2280" s="17" t="n"/>
      <c r="O2280" s="17" t="n"/>
      <c r="P2280" s="17" t="n"/>
      <c r="Q2280" s="17" t="n"/>
      <c r="R2280" s="17" t="n"/>
      <c r="S2280" s="17" t="n"/>
      <c r="T2280" s="17" t="n"/>
      <c r="U2280" s="17" t="n"/>
      <c r="V2280" s="17" t="n"/>
      <c r="W2280" s="17" t="n"/>
      <c r="X2280" s="17" t="n"/>
      <c r="Y2280" s="17" t="n">
        <v>1</v>
      </c>
      <c r="Z2280" s="13">
        <f>SUMPRODUCT(N2280:Y2280,$N$2:$Y$2)*$K2280*$L2280*$M2280</f>
        <v/>
      </c>
      <c r="AA2280" s="14">
        <f>SUM(N2280:Y2280)</f>
        <v/>
      </c>
      <c r="AB2280" s="14">
        <f>IFERROR(IF(UPPER($E2280)="L",SUMPRODUCT(N2280:Y2280,$N$3:$Y$3,$N$2:$Y$2),SUMPRODUCT(N2280:Y2280,$N$4:$Y$4,$N$2:$Y$2))/(Z2280/($K2280*$L2280*$M2280)),"")</f>
        <v/>
      </c>
      <c r="AC2280" s="18" t="n"/>
    </row>
    <row r="2281">
      <c r="A2281" s="9" t="n">
        <v>670869</v>
      </c>
      <c r="B2281" s="9" t="inlineStr">
        <is>
          <t>Livan Soto</t>
        </is>
      </c>
      <c r="C2281" s="9" t="inlineStr">
        <is>
          <t>LAA</t>
        </is>
      </c>
      <c r="D2281" s="9" t="n">
        <v>27</v>
      </c>
      <c r="E2281" s="16" t="inlineStr">
        <is>
          <t>L</t>
        </is>
      </c>
      <c r="F2281" s="16" t="inlineStr">
        <is>
          <t>2B</t>
        </is>
      </c>
      <c r="G2281" s="9" t="n">
        <v>16</v>
      </c>
      <c r="H2281" s="9" t="n">
        <v>87</v>
      </c>
      <c r="I2281" s="9" t="inlineStr">
        <is>
          <t>Depth (no MLB PA)</t>
        </is>
      </c>
      <c r="J2281" s="16" t="inlineStr">
        <is>
          <t>Opening Day</t>
        </is>
      </c>
      <c r="K2281" s="11">
        <f>IFERROR(INDEX(Roles!$B$17:$B$20,MATCH(J2281,Roles!$A$17:$A$20,0)),1)</f>
        <v/>
      </c>
      <c r="L2281" s="17" t="n">
        <v>1</v>
      </c>
      <c r="M2281" s="11" t="n">
        <v>1</v>
      </c>
      <c r="N2281" s="17" t="n"/>
      <c r="O2281" s="17" t="n"/>
      <c r="P2281" s="17" t="n"/>
      <c r="Q2281" s="17" t="n"/>
      <c r="R2281" s="17" t="n"/>
      <c r="S2281" s="17" t="n"/>
      <c r="T2281" s="17" t="n"/>
      <c r="U2281" s="17" t="n"/>
      <c r="V2281" s="17" t="n"/>
      <c r="W2281" s="17" t="n"/>
      <c r="X2281" s="17" t="n"/>
      <c r="Y2281" s="17" t="n">
        <v>1</v>
      </c>
      <c r="Z2281" s="13">
        <f>SUMPRODUCT(N2281:Y2281,$N$2:$Y$2)*$K2281*$L2281*$M2281</f>
        <v/>
      </c>
      <c r="AA2281" s="14">
        <f>SUM(N2281:Y2281)</f>
        <v/>
      </c>
      <c r="AB2281" s="14">
        <f>IFERROR(IF(UPPER($E2281)="L",SUMPRODUCT(N2281:Y2281,$N$3:$Y$3,$N$2:$Y$2),SUMPRODUCT(N2281:Y2281,$N$4:$Y$4,$N$2:$Y$2))/(Z2281/($K2281*$L2281*$M2281)),"")</f>
        <v/>
      </c>
      <c r="AC2281" s="18" t="n"/>
    </row>
    <row r="2282">
      <c r="A2282" s="9" t="n">
        <v>694673</v>
      </c>
      <c r="B2282" s="9" t="inlineStr">
        <is>
          <t>Abimelec Ortiz</t>
        </is>
      </c>
      <c r="C2282" s="9" t="inlineStr">
        <is>
          <t>WSH</t>
        </is>
      </c>
      <c r="D2282" s="9" t="n">
        <v>25</v>
      </c>
      <c r="E2282" s="16" t="inlineStr">
        <is>
          <t>L</t>
        </is>
      </c>
      <c r="F2282" s="16" t="inlineStr">
        <is>
          <t>1B</t>
        </is>
      </c>
      <c r="G2282" s="9" t="n">
        <v>136</v>
      </c>
      <c r="H2282" s="9" t="n">
        <v>136</v>
      </c>
      <c r="I2282" s="9" t="inlineStr">
        <is>
          <t>Strong Side Platoon</t>
        </is>
      </c>
      <c r="J2282" s="16" t="inlineStr">
        <is>
          <t>Opening Day</t>
        </is>
      </c>
      <c r="K2282" s="11">
        <f>IFERROR(INDEX(Roles!$B$17:$B$20,MATCH(J2282,Roles!$A$17:$A$20,0)),1)</f>
        <v/>
      </c>
      <c r="L2282" s="17" t="n">
        <v>1</v>
      </c>
      <c r="M2282" s="11" t="n">
        <v>1</v>
      </c>
      <c r="N2282" s="17" t="n">
        <v>0.4</v>
      </c>
      <c r="O2282" s="17" t="n"/>
      <c r="P2282" s="17" t="n">
        <v>0.6</v>
      </c>
      <c r="Q2282" s="17" t="n"/>
      <c r="R2282" s="17" t="n"/>
      <c r="S2282" s="17" t="n"/>
      <c r="T2282" s="17" t="n"/>
      <c r="U2282" s="17" t="n"/>
      <c r="V2282" s="17" t="n"/>
      <c r="W2282" s="17" t="n"/>
      <c r="X2282" s="17" t="n"/>
      <c r="Y2282" s="17" t="n"/>
      <c r="Z2282" s="13">
        <f>SUMPRODUCT(N2282:Y2282,$N$2:$Y$2)*$K2282*$L2282*$M2282</f>
        <v/>
      </c>
      <c r="AA2282" s="14">
        <f>SUM(N2282:Y2282)</f>
        <v/>
      </c>
      <c r="AB2282" s="14">
        <f>IFERROR(IF(UPPER($E2282)="L",SUMPRODUCT(N2282:Y2282,$N$3:$Y$3,$N$2:$Y$2),SUMPRODUCT(N2282:Y2282,$N$4:$Y$4,$N$2:$Y$2))/(Z2282/($K2282*$L2282*$M2282)),"")</f>
        <v/>
      </c>
      <c r="AC2282" s="18" t="n"/>
    </row>
    <row r="2283">
      <c r="A2283" s="9" t="n">
        <v>607208</v>
      </c>
      <c r="B2283" s="9" t="inlineStr">
        <is>
          <t>Trea Turner</t>
        </is>
      </c>
      <c r="C2283" s="9" t="inlineStr">
        <is>
          <t>PHI</t>
        </is>
      </c>
      <c r="D2283" s="9" t="n">
        <v>34</v>
      </c>
      <c r="E2283" s="16" t="inlineStr">
        <is>
          <t>R</t>
        </is>
      </c>
      <c r="F2283" s="16" t="inlineStr">
        <is>
          <t>SS</t>
        </is>
      </c>
      <c r="G2283" s="9" t="n">
        <v>700</v>
      </c>
      <c r="H2283" s="9" t="n">
        <v>3277</v>
      </c>
      <c r="I2283" s="9" t="inlineStr">
        <is>
          <t>Full Time</t>
        </is>
      </c>
      <c r="J2283" s="16" t="inlineStr">
        <is>
          <t>Opening Day</t>
        </is>
      </c>
      <c r="K2283" s="11">
        <f>IFERROR(INDEX(Roles!$B$17:$B$20,MATCH(J2283,Roles!$A$17:$A$20,0)),1)</f>
        <v/>
      </c>
      <c r="L2283" s="17" t="n">
        <v>1</v>
      </c>
      <c r="M2283" s="11" t="n">
        <v>1.114042987096142</v>
      </c>
      <c r="N2283" s="17" t="n">
        <v>1</v>
      </c>
      <c r="O2283" s="17" t="n"/>
      <c r="P2283" s="17" t="n"/>
      <c r="Q2283" s="17" t="n"/>
      <c r="R2283" s="17" t="n"/>
      <c r="S2283" s="17" t="n"/>
      <c r="T2283" s="17" t="n"/>
      <c r="U2283" s="17" t="n"/>
      <c r="V2283" s="17" t="n"/>
      <c r="W2283" s="17" t="n"/>
      <c r="X2283" s="17" t="n"/>
      <c r="Y2283" s="17" t="n"/>
      <c r="Z2283" s="13">
        <f>SUMPRODUCT(N2283:Y2283,$N$2:$Y$2)*$K2283*$L2283*$M2283</f>
        <v/>
      </c>
      <c r="AA2283" s="14">
        <f>SUM(N2283:Y2283)</f>
        <v/>
      </c>
      <c r="AB2283" s="14">
        <f>IFERROR(IF(UPPER($E2283)="L",SUMPRODUCT(N2283:Y2283,$N$3:$Y$3,$N$2:$Y$2),SUMPRODUCT(N2283:Y2283,$N$4:$Y$4,$N$2:$Y$2))/(Z2283/($K2283*$L2283*$M2283)),"")</f>
        <v/>
      </c>
      <c r="AC2283" s="18" t="n"/>
    </row>
    <row r="2284">
      <c r="A2284" s="9" t="n">
        <v>806993</v>
      </c>
      <c r="B2284" s="9" t="inlineStr">
        <is>
          <t>German Ramirez</t>
        </is>
      </c>
      <c r="C2284" s="9" t="inlineStr">
        <is>
          <t>HOU</t>
        </is>
      </c>
      <c r="D2284" s="9" t="n">
        <v>25</v>
      </c>
      <c r="E2284" s="16" t="inlineStr">
        <is>
          <t>R</t>
        </is>
      </c>
      <c r="F2284" s="16" t="n"/>
      <c r="G2284" s="9" t="n">
        <v>44.8</v>
      </c>
      <c r="H2284" s="9" t="n">
        <v>44.8</v>
      </c>
      <c r="I2284" s="9" t="inlineStr">
        <is>
          <t>Depth (no MLB PA)</t>
        </is>
      </c>
      <c r="J2284" s="16" t="inlineStr">
        <is>
          <t>Opening Day</t>
        </is>
      </c>
      <c r="K2284" s="11">
        <f>IFERROR(INDEX(Roles!$B$17:$B$20,MATCH(J2284,Roles!$A$17:$A$20,0)),1)</f>
        <v/>
      </c>
      <c r="L2284" s="17" t="n">
        <v>1</v>
      </c>
      <c r="M2284" s="11" t="n">
        <v>1</v>
      </c>
      <c r="N2284" s="17" t="n"/>
      <c r="O2284" s="17" t="n"/>
      <c r="P2284" s="17" t="n"/>
      <c r="Q2284" s="17" t="n"/>
      <c r="R2284" s="17" t="n"/>
      <c r="S2284" s="17" t="n"/>
      <c r="T2284" s="17" t="n"/>
      <c r="U2284" s="17" t="n"/>
      <c r="V2284" s="17" t="n"/>
      <c r="W2284" s="17" t="n"/>
      <c r="X2284" s="17" t="n"/>
      <c r="Y2284" s="17" t="n">
        <v>1</v>
      </c>
      <c r="Z2284" s="13">
        <f>SUMPRODUCT(N2284:Y2284,$N$2:$Y$2)*$K2284*$L2284*$M2284</f>
        <v/>
      </c>
      <c r="AA2284" s="14">
        <f>SUM(N2284:Y2284)</f>
        <v/>
      </c>
      <c r="AB2284" s="14">
        <f>IFERROR(IF(UPPER($E2284)="L",SUMPRODUCT(N2284:Y2284,$N$3:$Y$3,$N$2:$Y$2),SUMPRODUCT(N2284:Y2284,$N$4:$Y$4,$N$2:$Y$2))/(Z2284/($K2284*$L2284*$M2284)),"")</f>
        <v/>
      </c>
      <c r="AC2284" s="18" t="n"/>
    </row>
    <row r="2285">
      <c r="A2285" s="9" t="n">
        <v>687543</v>
      </c>
      <c r="B2285" s="9" t="inlineStr">
        <is>
          <t>Andrew Jenkins</t>
        </is>
      </c>
      <c r="C2285" s="9" t="inlineStr">
        <is>
          <t>DET</t>
        </is>
      </c>
      <c r="D2285" s="9" t="n">
        <v>25</v>
      </c>
      <c r="E2285" s="16" t="inlineStr">
        <is>
          <t>R</t>
        </is>
      </c>
      <c r="F2285" s="16" t="n"/>
      <c r="G2285" s="9" t="n">
        <v>154</v>
      </c>
      <c r="H2285" s="9" t="n">
        <v>154</v>
      </c>
      <c r="I2285" s="9" t="inlineStr">
        <is>
          <t>Depth (no MLB PA)</t>
        </is>
      </c>
      <c r="J2285" s="16" t="inlineStr">
        <is>
          <t>Opening Day</t>
        </is>
      </c>
      <c r="K2285" s="11">
        <f>IFERROR(INDEX(Roles!$B$17:$B$20,MATCH(J2285,Roles!$A$17:$A$20,0)),1)</f>
        <v/>
      </c>
      <c r="L2285" s="17" t="n">
        <v>1</v>
      </c>
      <c r="M2285" s="11" t="n">
        <v>1</v>
      </c>
      <c r="N2285" s="17" t="n"/>
      <c r="O2285" s="17" t="n"/>
      <c r="P2285" s="17" t="n"/>
      <c r="Q2285" s="17" t="n"/>
      <c r="R2285" s="17" t="n"/>
      <c r="S2285" s="17" t="n"/>
      <c r="T2285" s="17" t="n"/>
      <c r="U2285" s="17" t="n"/>
      <c r="V2285" s="17" t="n"/>
      <c r="W2285" s="17" t="n"/>
      <c r="X2285" s="17" t="n"/>
      <c r="Y2285" s="17" t="n">
        <v>1</v>
      </c>
      <c r="Z2285" s="13">
        <f>SUMPRODUCT(N2285:Y2285,$N$2:$Y$2)*$K2285*$L2285*$M2285</f>
        <v/>
      </c>
      <c r="AA2285" s="14">
        <f>SUM(N2285:Y2285)</f>
        <v/>
      </c>
      <c r="AB2285" s="14">
        <f>IFERROR(IF(UPPER($E2285)="L",SUMPRODUCT(N2285:Y2285,$N$3:$Y$3,$N$2:$Y$2),SUMPRODUCT(N2285:Y2285,$N$4:$Y$4,$N$2:$Y$2))/(Z2285/($K2285*$L2285*$M2285)),"")</f>
        <v/>
      </c>
      <c r="AC2285" s="18" t="n"/>
    </row>
    <row r="2286">
      <c r="A2286" s="9" t="n">
        <v>695692</v>
      </c>
      <c r="B2286" s="9" t="inlineStr">
        <is>
          <t>Cooper Kinney</t>
        </is>
      </c>
      <c r="C2286" s="9" t="inlineStr">
        <is>
          <t>TB</t>
        </is>
      </c>
      <c r="D2286" s="9" t="n">
        <v>25</v>
      </c>
      <c r="E2286" s="16" t="inlineStr">
        <is>
          <t>L</t>
        </is>
      </c>
      <c r="F2286" s="16" t="n"/>
      <c r="G2286" s="9" t="n">
        <v>111.1282051282051</v>
      </c>
      <c r="H2286" s="9" t="n">
        <v>111.1282051282051</v>
      </c>
      <c r="I2286" s="9" t="inlineStr">
        <is>
          <t>Depth (no MLB PA)</t>
        </is>
      </c>
      <c r="J2286" s="16" t="inlineStr">
        <is>
          <t>Opening Day</t>
        </is>
      </c>
      <c r="K2286" s="11">
        <f>IFERROR(INDEX(Roles!$B$17:$B$20,MATCH(J2286,Roles!$A$17:$A$20,0)),1)</f>
        <v/>
      </c>
      <c r="L2286" s="17" t="n">
        <v>1</v>
      </c>
      <c r="M2286" s="11" t="n">
        <v>1</v>
      </c>
      <c r="N2286" s="17" t="n"/>
      <c r="O2286" s="17" t="n"/>
      <c r="P2286" s="17" t="n"/>
      <c r="Q2286" s="17" t="n"/>
      <c r="R2286" s="17" t="n"/>
      <c r="S2286" s="17" t="n"/>
      <c r="T2286" s="17" t="n"/>
      <c r="U2286" s="17" t="n"/>
      <c r="V2286" s="17" t="n"/>
      <c r="W2286" s="17" t="n"/>
      <c r="X2286" s="17" t="n"/>
      <c r="Y2286" s="17" t="n">
        <v>1</v>
      </c>
      <c r="Z2286" s="13">
        <f>SUMPRODUCT(N2286:Y2286,$N$2:$Y$2)*$K2286*$L2286*$M2286</f>
        <v/>
      </c>
      <c r="AA2286" s="14">
        <f>SUM(N2286:Y2286)</f>
        <v/>
      </c>
      <c r="AB2286" s="14">
        <f>IFERROR(IF(UPPER($E2286)="L",SUMPRODUCT(N2286:Y2286,$N$3:$Y$3,$N$2:$Y$2),SUMPRODUCT(N2286:Y2286,$N$4:$Y$4,$N$2:$Y$2))/(Z2286/($K2286*$L2286*$M2286)),"")</f>
        <v/>
      </c>
      <c r="AC2286" s="18" t="n"/>
    </row>
    <row r="2287">
      <c r="A2287" s="9" t="n">
        <v>806124</v>
      </c>
      <c r="B2287" s="9" t="inlineStr">
        <is>
          <t>Colin Houck</t>
        </is>
      </c>
      <c r="C2287" s="9" t="inlineStr">
        <is>
          <t>NYM</t>
        </is>
      </c>
      <c r="D2287" s="9" t="n">
        <v>25</v>
      </c>
      <c r="E2287" s="16" t="inlineStr">
        <is>
          <t>R</t>
        </is>
      </c>
      <c r="F2287" s="16" t="n"/>
      <c r="G2287" s="9" t="n">
        <v>80.61538461538463</v>
      </c>
      <c r="H2287" s="9" t="n">
        <v>80.61538461538463</v>
      </c>
      <c r="I2287" s="9" t="inlineStr">
        <is>
          <t>Depth (no MLB PA)</t>
        </is>
      </c>
      <c r="J2287" s="16" t="inlineStr">
        <is>
          <t>Opening Day</t>
        </is>
      </c>
      <c r="K2287" s="11">
        <f>IFERROR(INDEX(Roles!$B$17:$B$20,MATCH(J2287,Roles!$A$17:$A$20,0)),1)</f>
        <v/>
      </c>
      <c r="L2287" s="17" t="n">
        <v>1</v>
      </c>
      <c r="M2287" s="11" t="n">
        <v>1</v>
      </c>
      <c r="N2287" s="17" t="n"/>
      <c r="O2287" s="17" t="n"/>
      <c r="P2287" s="17" t="n"/>
      <c r="Q2287" s="17" t="n"/>
      <c r="R2287" s="17" t="n"/>
      <c r="S2287" s="17" t="n"/>
      <c r="T2287" s="17" t="n"/>
      <c r="U2287" s="17" t="n"/>
      <c r="V2287" s="17" t="n"/>
      <c r="W2287" s="17" t="n"/>
      <c r="X2287" s="17" t="n"/>
      <c r="Y2287" s="17" t="n">
        <v>1</v>
      </c>
      <c r="Z2287" s="13">
        <f>SUMPRODUCT(N2287:Y2287,$N$2:$Y$2)*$K2287*$L2287*$M2287</f>
        <v/>
      </c>
      <c r="AA2287" s="14">
        <f>SUM(N2287:Y2287)</f>
        <v/>
      </c>
      <c r="AB2287" s="14">
        <f>IFERROR(IF(UPPER($E2287)="L",SUMPRODUCT(N2287:Y2287,$N$3:$Y$3,$N$2:$Y$2),SUMPRODUCT(N2287:Y2287,$N$4:$Y$4,$N$2:$Y$2))/(Z2287/($K2287*$L2287*$M2287)),"")</f>
        <v/>
      </c>
      <c r="AC2287" s="18" t="n"/>
    </row>
    <row r="2288">
      <c r="A2288" s="9" t="n">
        <v>667240</v>
      </c>
      <c r="B2288" s="9" t="inlineStr">
        <is>
          <t>Jason Matthews</t>
        </is>
      </c>
      <c r="C2288" s="9" t="inlineStr">
        <is>
          <t>CWS</t>
        </is>
      </c>
      <c r="D2288" s="9" t="n">
        <v>25</v>
      </c>
      <c r="E2288" s="16" t="inlineStr">
        <is>
          <t>R</t>
        </is>
      </c>
      <c r="F2288" s="16" t="n"/>
      <c r="G2288" s="9" t="n">
        <v>92.51282051282053</v>
      </c>
      <c r="H2288" s="9" t="n">
        <v>92.51282051282053</v>
      </c>
      <c r="I2288" s="9" t="inlineStr">
        <is>
          <t>Depth (no MLB PA)</t>
        </is>
      </c>
      <c r="J2288" s="16" t="inlineStr">
        <is>
          <t>Opening Day</t>
        </is>
      </c>
      <c r="K2288" s="11">
        <f>IFERROR(INDEX(Roles!$B$17:$B$20,MATCH(J2288,Roles!$A$17:$A$20,0)),1)</f>
        <v/>
      </c>
      <c r="L2288" s="17" t="n">
        <v>1</v>
      </c>
      <c r="M2288" s="11" t="n">
        <v>1</v>
      </c>
      <c r="N2288" s="17" t="n"/>
      <c r="O2288" s="17" t="n"/>
      <c r="P2288" s="17" t="n"/>
      <c r="Q2288" s="17" t="n"/>
      <c r="R2288" s="17" t="n"/>
      <c r="S2288" s="17" t="n"/>
      <c r="T2288" s="17" t="n"/>
      <c r="U2288" s="17" t="n"/>
      <c r="V2288" s="17" t="n"/>
      <c r="W2288" s="17" t="n"/>
      <c r="X2288" s="17" t="n"/>
      <c r="Y2288" s="17" t="n">
        <v>1</v>
      </c>
      <c r="Z2288" s="13">
        <f>SUMPRODUCT(N2288:Y2288,$N$2:$Y$2)*$K2288*$L2288*$M2288</f>
        <v/>
      </c>
      <c r="AA2288" s="14">
        <f>SUM(N2288:Y2288)</f>
        <v/>
      </c>
      <c r="AB2288" s="14">
        <f>IFERROR(IF(UPPER($E2288)="L",SUMPRODUCT(N2288:Y2288,$N$3:$Y$3,$N$2:$Y$2),SUMPRODUCT(N2288:Y2288,$N$4:$Y$4,$N$2:$Y$2))/(Z2288/($K2288*$L2288*$M2288)),"")</f>
        <v/>
      </c>
      <c r="AC2288" s="18" t="n"/>
    </row>
    <row r="2289">
      <c r="A2289" s="9" t="n">
        <v>694848</v>
      </c>
      <c r="B2289" s="9" t="inlineStr">
        <is>
          <t>Sam Brown</t>
        </is>
      </c>
      <c r="C2289" s="9" t="inlineStr">
        <is>
          <t>WSH</t>
        </is>
      </c>
      <c r="D2289" s="9" t="n">
        <v>25</v>
      </c>
      <c r="E2289" s="16" t="inlineStr">
        <is>
          <t>L</t>
        </is>
      </c>
      <c r="F2289" s="16" t="n"/>
      <c r="G2289" s="9" t="n">
        <v>131.3846153846154</v>
      </c>
      <c r="H2289" s="9" t="n">
        <v>131.3846153846154</v>
      </c>
      <c r="I2289" s="9" t="inlineStr">
        <is>
          <t>Depth (no MLB PA)</t>
        </is>
      </c>
      <c r="J2289" s="16" t="inlineStr">
        <is>
          <t>Opening Day</t>
        </is>
      </c>
      <c r="K2289" s="11">
        <f>IFERROR(INDEX(Roles!$B$17:$B$20,MATCH(J2289,Roles!$A$17:$A$20,0)),1)</f>
        <v/>
      </c>
      <c r="L2289" s="17" t="n">
        <v>1</v>
      </c>
      <c r="M2289" s="11" t="n">
        <v>1</v>
      </c>
      <c r="N2289" s="17" t="n"/>
      <c r="O2289" s="17" t="n"/>
      <c r="P2289" s="17" t="n"/>
      <c r="Q2289" s="17" t="n"/>
      <c r="R2289" s="17" t="n"/>
      <c r="S2289" s="17" t="n"/>
      <c r="T2289" s="17" t="n"/>
      <c r="U2289" s="17" t="n"/>
      <c r="V2289" s="17" t="n"/>
      <c r="W2289" s="17" t="n"/>
      <c r="X2289" s="17" t="n"/>
      <c r="Y2289" s="17" t="n">
        <v>1</v>
      </c>
      <c r="Z2289" s="13">
        <f>SUMPRODUCT(N2289:Y2289,$N$2:$Y$2)*$K2289*$L2289*$M2289</f>
        <v/>
      </c>
      <c r="AA2289" s="14">
        <f>SUM(N2289:Y2289)</f>
        <v/>
      </c>
      <c r="AB2289" s="14">
        <f>IFERROR(IF(UPPER($E2289)="L",SUMPRODUCT(N2289:Y2289,$N$3:$Y$3,$N$2:$Y$2),SUMPRODUCT(N2289:Y2289,$N$4:$Y$4,$N$2:$Y$2))/(Z2289/($K2289*$L2289*$M2289)),"")</f>
        <v/>
      </c>
      <c r="AC2289" s="18" t="n"/>
    </row>
    <row r="2290">
      <c r="A2290" s="9" t="n">
        <v>657193</v>
      </c>
      <c r="B2290" s="9" t="inlineStr">
        <is>
          <t>Eddy Alvarez</t>
        </is>
      </c>
      <c r="C2290" s="9" t="inlineStr">
        <is>
          <t>LAD</t>
        </is>
      </c>
      <c r="D2290" s="9" t="n">
        <v>37</v>
      </c>
      <c r="E2290" s="16" t="inlineStr">
        <is>
          <t>L</t>
        </is>
      </c>
      <c r="F2290" s="16" t="inlineStr">
        <is>
          <t>2B</t>
        </is>
      </c>
      <c r="G2290" s="9" t="n">
        <v>11</v>
      </c>
      <c r="H2290" s="9" t="n">
        <v>38</v>
      </c>
      <c r="I2290" s="9" t="inlineStr">
        <is>
          <t>Depth (no MLB PA)</t>
        </is>
      </c>
      <c r="J2290" s="16" t="inlineStr">
        <is>
          <t>Opening Day</t>
        </is>
      </c>
      <c r="K2290" s="11">
        <f>IFERROR(INDEX(Roles!$B$17:$B$20,MATCH(J2290,Roles!$A$17:$A$20,0)),1)</f>
        <v/>
      </c>
      <c r="L2290" s="17" t="n">
        <v>1</v>
      </c>
      <c r="M2290" s="11" t="n">
        <v>1</v>
      </c>
      <c r="N2290" s="17" t="n"/>
      <c r="O2290" s="17" t="n"/>
      <c r="P2290" s="17" t="n"/>
      <c r="Q2290" s="17" t="n"/>
      <c r="R2290" s="17" t="n"/>
      <c r="S2290" s="17" t="n"/>
      <c r="T2290" s="17" t="n"/>
      <c r="U2290" s="17" t="n"/>
      <c r="V2290" s="17" t="n"/>
      <c r="W2290" s="17" t="n"/>
      <c r="X2290" s="17" t="n"/>
      <c r="Y2290" s="17" t="n">
        <v>1</v>
      </c>
      <c r="Z2290" s="13">
        <f>SUMPRODUCT(N2290:Y2290,$N$2:$Y$2)*$K2290*$L2290*$M2290</f>
        <v/>
      </c>
      <c r="AA2290" s="14">
        <f>SUM(N2290:Y2290)</f>
        <v/>
      </c>
      <c r="AB2290" s="14">
        <f>IFERROR(IF(UPPER($E2290)="L",SUMPRODUCT(N2290:Y2290,$N$3:$Y$3,$N$2:$Y$2),SUMPRODUCT(N2290:Y2290,$N$4:$Y$4,$N$2:$Y$2))/(Z2290/($K2290*$L2290*$M2290)),"")</f>
        <v/>
      </c>
      <c r="AC2290" s="18" t="n"/>
    </row>
    <row r="2291">
      <c r="A2291" s="9" t="n">
        <v>814955</v>
      </c>
      <c r="B2291" s="9" t="inlineStr">
        <is>
          <t>Matthew Ferrara</t>
        </is>
      </c>
      <c r="C2291" s="9" t="inlineStr">
        <is>
          <t>PHI</t>
        </is>
      </c>
      <c r="D2291" s="9" t="n">
        <v>25</v>
      </c>
      <c r="E2291" s="16" t="inlineStr">
        <is>
          <t>R</t>
        </is>
      </c>
      <c r="F2291" s="16" t="n"/>
      <c r="G2291" s="9" t="n">
        <v>57.10769230769231</v>
      </c>
      <c r="H2291" s="9" t="n">
        <v>57.10769230769231</v>
      </c>
      <c r="I2291" s="9" t="inlineStr">
        <is>
          <t>Depth (no MLB PA)</t>
        </is>
      </c>
      <c r="J2291" s="16" t="inlineStr">
        <is>
          <t>Opening Day</t>
        </is>
      </c>
      <c r="K2291" s="11">
        <f>IFERROR(INDEX(Roles!$B$17:$B$20,MATCH(J2291,Roles!$A$17:$A$20,0)),1)</f>
        <v/>
      </c>
      <c r="L2291" s="17" t="n">
        <v>1</v>
      </c>
      <c r="M2291" s="11" t="n">
        <v>1</v>
      </c>
      <c r="N2291" s="17" t="n"/>
      <c r="O2291" s="17" t="n"/>
      <c r="P2291" s="17" t="n"/>
      <c r="Q2291" s="17" t="n"/>
      <c r="R2291" s="17" t="n"/>
      <c r="S2291" s="17" t="n"/>
      <c r="T2291" s="17" t="n"/>
      <c r="U2291" s="17" t="n"/>
      <c r="V2291" s="17" t="n"/>
      <c r="W2291" s="17" t="n"/>
      <c r="X2291" s="17" t="n"/>
      <c r="Y2291" s="17" t="n">
        <v>1</v>
      </c>
      <c r="Z2291" s="13">
        <f>SUMPRODUCT(N2291:Y2291,$N$2:$Y$2)*$K2291*$L2291*$M2291</f>
        <v/>
      </c>
      <c r="AA2291" s="14">
        <f>SUM(N2291:Y2291)</f>
        <v/>
      </c>
      <c r="AB2291" s="14">
        <f>IFERROR(IF(UPPER($E2291)="L",SUMPRODUCT(N2291:Y2291,$N$3:$Y$3,$N$2:$Y$2),SUMPRODUCT(N2291:Y2291,$N$4:$Y$4,$N$2:$Y$2))/(Z2291/($K2291*$L2291*$M2291)),"")</f>
        <v/>
      </c>
      <c r="AC2291" s="18" t="n"/>
    </row>
    <row r="2292">
      <c r="A2292" s="9" t="n">
        <v>833008</v>
      </c>
      <c r="B2292" s="9" t="inlineStr">
        <is>
          <t>Truitt Madonna</t>
        </is>
      </c>
      <c r="C2292" s="9" t="inlineStr">
        <is>
          <t>SD</t>
        </is>
      </c>
      <c r="D2292" s="9" t="n">
        <v>25</v>
      </c>
      <c r="E2292" s="16" t="inlineStr">
        <is>
          <t>R</t>
        </is>
      </c>
      <c r="F2292" s="16" t="n"/>
      <c r="G2292" s="9" t="n">
        <v>49.47692307692308</v>
      </c>
      <c r="H2292" s="9" t="n">
        <v>49.47692307692308</v>
      </c>
      <c r="I2292" s="9" t="inlineStr">
        <is>
          <t>Depth (no MLB PA)</t>
        </is>
      </c>
      <c r="J2292" s="16" t="inlineStr">
        <is>
          <t>Opening Day</t>
        </is>
      </c>
      <c r="K2292" s="11">
        <f>IFERROR(INDEX(Roles!$B$17:$B$20,MATCH(J2292,Roles!$A$17:$A$20,0)),1)</f>
        <v/>
      </c>
      <c r="L2292" s="17" t="n">
        <v>1</v>
      </c>
      <c r="M2292" s="11" t="n">
        <v>1</v>
      </c>
      <c r="N2292" s="17" t="n"/>
      <c r="O2292" s="17" t="n"/>
      <c r="P2292" s="17" t="n"/>
      <c r="Q2292" s="17" t="n"/>
      <c r="R2292" s="17" t="n"/>
      <c r="S2292" s="17" t="n"/>
      <c r="T2292" s="17" t="n"/>
      <c r="U2292" s="17" t="n"/>
      <c r="V2292" s="17" t="n"/>
      <c r="W2292" s="17" t="n"/>
      <c r="X2292" s="17" t="n"/>
      <c r="Y2292" s="17" t="n">
        <v>1</v>
      </c>
      <c r="Z2292" s="13">
        <f>SUMPRODUCT(N2292:Y2292,$N$2:$Y$2)*$K2292*$L2292*$M2292</f>
        <v/>
      </c>
      <c r="AA2292" s="14">
        <f>SUM(N2292:Y2292)</f>
        <v/>
      </c>
      <c r="AB2292" s="14">
        <f>IFERROR(IF(UPPER($E2292)="L",SUMPRODUCT(N2292:Y2292,$N$3:$Y$3,$N$2:$Y$2),SUMPRODUCT(N2292:Y2292,$N$4:$Y$4,$N$2:$Y$2))/(Z2292/($K2292*$L2292*$M2292)),"")</f>
        <v/>
      </c>
      <c r="AC2292" s="18" t="n"/>
    </row>
    <row r="2293">
      <c r="A2293" s="9" t="n">
        <v>802005</v>
      </c>
      <c r="B2293" s="9" t="inlineStr">
        <is>
          <t>Gunner Gouldsmith</t>
        </is>
      </c>
      <c r="C2293" s="9" t="inlineStr">
        <is>
          <t>OAK</t>
        </is>
      </c>
      <c r="D2293" s="9" t="n">
        <v>25</v>
      </c>
      <c r="E2293" s="16" t="inlineStr">
        <is>
          <t>S</t>
        </is>
      </c>
      <c r="F2293" s="16" t="n"/>
      <c r="G2293" s="9" t="n">
        <v>68.1025641025641</v>
      </c>
      <c r="H2293" s="9" t="n">
        <v>68.1025641025641</v>
      </c>
      <c r="I2293" s="9" t="inlineStr">
        <is>
          <t>Depth (no MLB PA)</t>
        </is>
      </c>
      <c r="J2293" s="16" t="inlineStr">
        <is>
          <t>Opening Day</t>
        </is>
      </c>
      <c r="K2293" s="11">
        <f>IFERROR(INDEX(Roles!$B$17:$B$20,MATCH(J2293,Roles!$A$17:$A$20,0)),1)</f>
        <v/>
      </c>
      <c r="L2293" s="17" t="n">
        <v>1</v>
      </c>
      <c r="M2293" s="11" t="n">
        <v>1</v>
      </c>
      <c r="N2293" s="17" t="n"/>
      <c r="O2293" s="17" t="n"/>
      <c r="P2293" s="17" t="n"/>
      <c r="Q2293" s="17" t="n"/>
      <c r="R2293" s="17" t="n"/>
      <c r="S2293" s="17" t="n"/>
      <c r="T2293" s="17" t="n"/>
      <c r="U2293" s="17" t="n"/>
      <c r="V2293" s="17" t="n"/>
      <c r="W2293" s="17" t="n"/>
      <c r="X2293" s="17" t="n"/>
      <c r="Y2293" s="17" t="n">
        <v>1</v>
      </c>
      <c r="Z2293" s="13">
        <f>SUMPRODUCT(N2293:Y2293,$N$2:$Y$2)*$K2293*$L2293*$M2293</f>
        <v/>
      </c>
      <c r="AA2293" s="14">
        <f>SUM(N2293:Y2293)</f>
        <v/>
      </c>
      <c r="AB2293" s="14">
        <f>IFERROR(IF(UPPER($E2293)="L",SUMPRODUCT(N2293:Y2293,$N$3:$Y$3,$N$2:$Y$2),SUMPRODUCT(N2293:Y2293,$N$4:$Y$4,$N$2:$Y$2))/(Z2293/($K2293*$L2293*$M2293)),"")</f>
        <v/>
      </c>
      <c r="AC2293" s="18" t="n"/>
    </row>
    <row r="2294">
      <c r="A2294" s="9" t="n">
        <v>800421</v>
      </c>
      <c r="B2294" s="9" t="inlineStr">
        <is>
          <t>Marvin Alcantara</t>
        </is>
      </c>
      <c r="C2294" s="9" t="inlineStr">
        <is>
          <t>BOS</t>
        </is>
      </c>
      <c r="D2294" s="9" t="n">
        <v>25</v>
      </c>
      <c r="E2294" s="16" t="inlineStr">
        <is>
          <t>R</t>
        </is>
      </c>
      <c r="F2294" s="16" t="n"/>
      <c r="G2294" s="9" t="n">
        <v>106.6153846153846</v>
      </c>
      <c r="H2294" s="9" t="n">
        <v>106.6153846153846</v>
      </c>
      <c r="I2294" s="9" t="inlineStr">
        <is>
          <t>Depth (no MLB PA)</t>
        </is>
      </c>
      <c r="J2294" s="16" t="inlineStr">
        <is>
          <t>Opening Day</t>
        </is>
      </c>
      <c r="K2294" s="11">
        <f>IFERROR(INDEX(Roles!$B$17:$B$20,MATCH(J2294,Roles!$A$17:$A$20,0)),1)</f>
        <v/>
      </c>
      <c r="L2294" s="17" t="n">
        <v>1</v>
      </c>
      <c r="M2294" s="11" t="n">
        <v>1</v>
      </c>
      <c r="N2294" s="17" t="n"/>
      <c r="O2294" s="17" t="n"/>
      <c r="P2294" s="17" t="n"/>
      <c r="Q2294" s="17" t="n"/>
      <c r="R2294" s="17" t="n"/>
      <c r="S2294" s="17" t="n"/>
      <c r="T2294" s="17" t="n"/>
      <c r="U2294" s="17" t="n"/>
      <c r="V2294" s="17" t="n"/>
      <c r="W2294" s="17" t="n"/>
      <c r="X2294" s="17" t="n"/>
      <c r="Y2294" s="17" t="n">
        <v>1</v>
      </c>
      <c r="Z2294" s="13">
        <f>SUMPRODUCT(N2294:Y2294,$N$2:$Y$2)*$K2294*$L2294*$M2294</f>
        <v/>
      </c>
      <c r="AA2294" s="14">
        <f>SUM(N2294:Y2294)</f>
        <v/>
      </c>
      <c r="AB2294" s="14">
        <f>IFERROR(IF(UPPER($E2294)="L",SUMPRODUCT(N2294:Y2294,$N$3:$Y$3,$N$2:$Y$2),SUMPRODUCT(N2294:Y2294,$N$4:$Y$4,$N$2:$Y$2))/(Z2294/($K2294*$L2294*$M2294)),"")</f>
        <v/>
      </c>
      <c r="AC2294" s="18" t="n"/>
    </row>
    <row r="2295">
      <c r="A2295" s="9" t="n">
        <v>691452</v>
      </c>
      <c r="B2295" s="9" t="inlineStr">
        <is>
          <t>Ricardo Hurtado</t>
        </is>
      </c>
      <c r="C2295" s="9" t="inlineStr">
        <is>
          <t>DET</t>
        </is>
      </c>
      <c r="D2295" s="9" t="n">
        <v>25</v>
      </c>
      <c r="E2295" s="16" t="inlineStr">
        <is>
          <t>R</t>
        </is>
      </c>
      <c r="F2295" s="16" t="n"/>
      <c r="G2295" s="9" t="n">
        <v>83.89743589743591</v>
      </c>
      <c r="H2295" s="9" t="n">
        <v>83.89743589743591</v>
      </c>
      <c r="I2295" s="9" t="inlineStr">
        <is>
          <t>Depth (no MLB PA)</t>
        </is>
      </c>
      <c r="J2295" s="16" t="inlineStr">
        <is>
          <t>Opening Day</t>
        </is>
      </c>
      <c r="K2295" s="11">
        <f>IFERROR(INDEX(Roles!$B$17:$B$20,MATCH(J2295,Roles!$A$17:$A$20,0)),1)</f>
        <v/>
      </c>
      <c r="L2295" s="17" t="n">
        <v>1</v>
      </c>
      <c r="M2295" s="11" t="n">
        <v>1</v>
      </c>
      <c r="N2295" s="17" t="n"/>
      <c r="O2295" s="17" t="n"/>
      <c r="P2295" s="17" t="n"/>
      <c r="Q2295" s="17" t="n"/>
      <c r="R2295" s="17" t="n"/>
      <c r="S2295" s="17" t="n"/>
      <c r="T2295" s="17" t="n"/>
      <c r="U2295" s="17" t="n"/>
      <c r="V2295" s="17" t="n"/>
      <c r="W2295" s="17" t="n"/>
      <c r="X2295" s="17" t="n"/>
      <c r="Y2295" s="17" t="n">
        <v>1</v>
      </c>
      <c r="Z2295" s="13">
        <f>SUMPRODUCT(N2295:Y2295,$N$2:$Y$2)*$K2295*$L2295*$M2295</f>
        <v/>
      </c>
      <c r="AA2295" s="14">
        <f>SUM(N2295:Y2295)</f>
        <v/>
      </c>
      <c r="AB2295" s="14">
        <f>IFERROR(IF(UPPER($E2295)="L",SUMPRODUCT(N2295:Y2295,$N$3:$Y$3,$N$2:$Y$2),SUMPRODUCT(N2295:Y2295,$N$4:$Y$4,$N$2:$Y$2))/(Z2295/($K2295*$L2295*$M2295)),"")</f>
        <v/>
      </c>
      <c r="AC2295" s="18" t="n"/>
    </row>
    <row r="2296">
      <c r="A2296" s="9" t="n">
        <v>657247</v>
      </c>
      <c r="B2296" s="9" t="inlineStr">
        <is>
          <t>Brian O'Keefe</t>
        </is>
      </c>
      <c r="C2296" s="9" t="inlineStr">
        <is>
          <t>SEA</t>
        </is>
      </c>
      <c r="D2296" s="9" t="n">
        <v>33</v>
      </c>
      <c r="E2296" s="16" t="inlineStr">
        <is>
          <t>R</t>
        </is>
      </c>
      <c r="F2296" s="16" t="inlineStr">
        <is>
          <t>C</t>
        </is>
      </c>
      <c r="G2296" s="9" t="n">
        <v>21</v>
      </c>
      <c r="H2296" s="9" t="n">
        <v>25</v>
      </c>
      <c r="I2296" s="9" t="inlineStr">
        <is>
          <t>Depth (no MLB PA)</t>
        </is>
      </c>
      <c r="J2296" s="16" t="inlineStr">
        <is>
          <t>Opening Day</t>
        </is>
      </c>
      <c r="K2296" s="11">
        <f>IFERROR(INDEX(Roles!$B$17:$B$20,MATCH(J2296,Roles!$A$17:$A$20,0)),1)</f>
        <v/>
      </c>
      <c r="L2296" s="17" t="n">
        <v>1</v>
      </c>
      <c r="M2296" s="11" t="n">
        <v>1</v>
      </c>
      <c r="N2296" s="17" t="n"/>
      <c r="O2296" s="17" t="n"/>
      <c r="P2296" s="17" t="n"/>
      <c r="Q2296" s="17" t="n"/>
      <c r="R2296" s="17" t="n"/>
      <c r="S2296" s="17" t="n"/>
      <c r="T2296" s="17" t="n"/>
      <c r="U2296" s="17" t="n"/>
      <c r="V2296" s="17" t="n"/>
      <c r="W2296" s="17" t="n"/>
      <c r="X2296" s="17" t="n"/>
      <c r="Y2296" s="17" t="n">
        <v>1</v>
      </c>
      <c r="Z2296" s="13">
        <f>SUMPRODUCT(N2296:Y2296,$N$2:$Y$2)*$K2296*$L2296*$M2296</f>
        <v/>
      </c>
      <c r="AA2296" s="14">
        <f>SUM(N2296:Y2296)</f>
        <v/>
      </c>
      <c r="AB2296" s="14">
        <f>IFERROR(IF(UPPER($E2296)="L",SUMPRODUCT(N2296:Y2296,$N$3:$Y$3,$N$2:$Y$2),SUMPRODUCT(N2296:Y2296,$N$4:$Y$4,$N$2:$Y$2))/(Z2296/($K2296*$L2296*$M2296)),"")</f>
        <v/>
      </c>
      <c r="AC2296" s="18" t="n"/>
    </row>
    <row r="2297">
      <c r="A2297" s="9" t="n">
        <v>806965</v>
      </c>
      <c r="B2297" s="9" t="inlineStr">
        <is>
          <t>Starlyn Caba</t>
        </is>
      </c>
      <c r="C2297" s="9" t="inlineStr">
        <is>
          <t>MIA</t>
        </is>
      </c>
      <c r="D2297" s="9" t="n">
        <v>22</v>
      </c>
      <c r="E2297" s="16" t="inlineStr">
        <is>
          <t>S</t>
        </is>
      </c>
      <c r="F2297" s="16" t="n"/>
      <c r="G2297" s="9" t="n">
        <v>75.28205128205128</v>
      </c>
      <c r="H2297" s="9" t="n">
        <v>75.28205128205128</v>
      </c>
      <c r="I2297" s="9" t="inlineStr">
        <is>
          <t>Depth (no MLB PA)</t>
        </is>
      </c>
      <c r="J2297" s="16" t="inlineStr">
        <is>
          <t>Opening Day</t>
        </is>
      </c>
      <c r="K2297" s="11">
        <f>IFERROR(INDEX(Roles!$B$17:$B$20,MATCH(J2297,Roles!$A$17:$A$20,0)),1)</f>
        <v/>
      </c>
      <c r="L2297" s="17" t="n">
        <v>1</v>
      </c>
      <c r="M2297" s="11" t="n">
        <v>1</v>
      </c>
      <c r="N2297" s="17" t="n"/>
      <c r="O2297" s="17" t="n"/>
      <c r="P2297" s="17" t="n"/>
      <c r="Q2297" s="17" t="n"/>
      <c r="R2297" s="17" t="n"/>
      <c r="S2297" s="17" t="n"/>
      <c r="T2297" s="17" t="n"/>
      <c r="U2297" s="17" t="n"/>
      <c r="V2297" s="17" t="n"/>
      <c r="W2297" s="17" t="n"/>
      <c r="X2297" s="17" t="n"/>
      <c r="Y2297" s="17" t="n">
        <v>1</v>
      </c>
      <c r="Z2297" s="13">
        <f>SUMPRODUCT(N2297:Y2297,$N$2:$Y$2)*$K2297*$L2297*$M2297</f>
        <v/>
      </c>
      <c r="AA2297" s="14">
        <f>SUM(N2297:Y2297)</f>
        <v/>
      </c>
      <c r="AB2297" s="14">
        <f>IFERROR(IF(UPPER($E2297)="L",SUMPRODUCT(N2297:Y2297,$N$3:$Y$3,$N$2:$Y$2),SUMPRODUCT(N2297:Y2297,$N$4:$Y$4,$N$2:$Y$2))/(Z2297/($K2297*$L2297*$M2297)),"")</f>
        <v/>
      </c>
      <c r="AC2297" s="18" t="n"/>
    </row>
    <row r="2298">
      <c r="A2298" s="9" t="n">
        <v>806368</v>
      </c>
      <c r="B2298" s="9" t="inlineStr">
        <is>
          <t>Maddux Houghton</t>
        </is>
      </c>
      <c r="C2298" s="9" t="inlineStr">
        <is>
          <t>MIN</t>
        </is>
      </c>
      <c r="D2298" s="9" t="n">
        <v>25</v>
      </c>
      <c r="E2298" s="16" t="inlineStr">
        <is>
          <t>R</t>
        </is>
      </c>
      <c r="F2298" s="16" t="n"/>
      <c r="G2298" s="9" t="n">
        <v>69.64102564102564</v>
      </c>
      <c r="H2298" s="9" t="n">
        <v>69.64102564102564</v>
      </c>
      <c r="I2298" s="9" t="inlineStr">
        <is>
          <t>Depth (no MLB PA)</t>
        </is>
      </c>
      <c r="J2298" s="16" t="inlineStr">
        <is>
          <t>Opening Day</t>
        </is>
      </c>
      <c r="K2298" s="11">
        <f>IFERROR(INDEX(Roles!$B$17:$B$20,MATCH(J2298,Roles!$A$17:$A$20,0)),1)</f>
        <v/>
      </c>
      <c r="L2298" s="17" t="n">
        <v>1</v>
      </c>
      <c r="M2298" s="11" t="n">
        <v>1</v>
      </c>
      <c r="N2298" s="17" t="n"/>
      <c r="O2298" s="17" t="n"/>
      <c r="P2298" s="17" t="n"/>
      <c r="Q2298" s="17" t="n"/>
      <c r="R2298" s="17" t="n"/>
      <c r="S2298" s="17" t="n"/>
      <c r="T2298" s="17" t="n"/>
      <c r="U2298" s="17" t="n"/>
      <c r="V2298" s="17" t="n"/>
      <c r="W2298" s="17" t="n"/>
      <c r="X2298" s="17" t="n"/>
      <c r="Y2298" s="17" t="n">
        <v>1</v>
      </c>
      <c r="Z2298" s="13">
        <f>SUMPRODUCT(N2298:Y2298,$N$2:$Y$2)*$K2298*$L2298*$M2298</f>
        <v/>
      </c>
      <c r="AA2298" s="14">
        <f>SUM(N2298:Y2298)</f>
        <v/>
      </c>
      <c r="AB2298" s="14">
        <f>IFERROR(IF(UPPER($E2298)="L",SUMPRODUCT(N2298:Y2298,$N$3:$Y$3,$N$2:$Y$2),SUMPRODUCT(N2298:Y2298,$N$4:$Y$4,$N$2:$Y$2))/(Z2298/($K2298*$L2298*$M2298)),"")</f>
        <v/>
      </c>
      <c r="AC2298" s="18" t="n"/>
    </row>
    <row r="2299">
      <c r="A2299" s="9" t="n">
        <v>815592</v>
      </c>
      <c r="B2299" s="9" t="inlineStr">
        <is>
          <t>Matthew Boughton</t>
        </is>
      </c>
      <c r="C2299" s="9" t="inlineStr">
        <is>
          <t>CWS</t>
        </is>
      </c>
      <c r="D2299" s="9" t="n">
        <v>25</v>
      </c>
      <c r="E2299" s="16" t="inlineStr">
        <is>
          <t>R</t>
        </is>
      </c>
      <c r="F2299" s="16" t="n"/>
      <c r="G2299" s="9" t="n">
        <v>54.03076923076923</v>
      </c>
      <c r="H2299" s="9" t="n">
        <v>54.03076923076923</v>
      </c>
      <c r="I2299" s="9" t="inlineStr">
        <is>
          <t>Depth (no MLB PA)</t>
        </is>
      </c>
      <c r="J2299" s="16" t="inlineStr">
        <is>
          <t>Opening Day</t>
        </is>
      </c>
      <c r="K2299" s="11">
        <f>IFERROR(INDEX(Roles!$B$17:$B$20,MATCH(J2299,Roles!$A$17:$A$20,0)),1)</f>
        <v/>
      </c>
      <c r="L2299" s="17" t="n">
        <v>1</v>
      </c>
      <c r="M2299" s="11" t="n">
        <v>1</v>
      </c>
      <c r="N2299" s="17" t="n"/>
      <c r="O2299" s="17" t="n"/>
      <c r="P2299" s="17" t="n"/>
      <c r="Q2299" s="17" t="n"/>
      <c r="R2299" s="17" t="n"/>
      <c r="S2299" s="17" t="n"/>
      <c r="T2299" s="17" t="n"/>
      <c r="U2299" s="17" t="n"/>
      <c r="V2299" s="17" t="n"/>
      <c r="W2299" s="17" t="n"/>
      <c r="X2299" s="17" t="n"/>
      <c r="Y2299" s="17" t="n">
        <v>1</v>
      </c>
      <c r="Z2299" s="13">
        <f>SUMPRODUCT(N2299:Y2299,$N$2:$Y$2)*$K2299*$L2299*$M2299</f>
        <v/>
      </c>
      <c r="AA2299" s="14">
        <f>SUM(N2299:Y2299)</f>
        <v/>
      </c>
      <c r="AB2299" s="14">
        <f>IFERROR(IF(UPPER($E2299)="L",SUMPRODUCT(N2299:Y2299,$N$3:$Y$3,$N$2:$Y$2),SUMPRODUCT(N2299:Y2299,$N$4:$Y$4,$N$2:$Y$2))/(Z2299/($K2299*$L2299*$M2299)),"")</f>
        <v/>
      </c>
      <c r="AC2299" s="18" t="n"/>
    </row>
    <row r="2300">
      <c r="A2300" s="9" t="n">
        <v>694183</v>
      </c>
      <c r="B2300" s="9" t="inlineStr">
        <is>
          <t>Cristian Hernández</t>
        </is>
      </c>
      <c r="C2300" s="9" t="inlineStr">
        <is>
          <t>MIA</t>
        </is>
      </c>
      <c r="D2300" s="9" t="n">
        <v>25</v>
      </c>
      <c r="E2300" s="16" t="inlineStr">
        <is>
          <t>R</t>
        </is>
      </c>
      <c r="F2300" s="16" t="n"/>
      <c r="G2300" s="9" t="n">
        <v>173.3846153846154</v>
      </c>
      <c r="H2300" s="9" t="n">
        <v>173.3846153846154</v>
      </c>
      <c r="I2300" s="9" t="inlineStr">
        <is>
          <t>Depth (no MLB PA)</t>
        </is>
      </c>
      <c r="J2300" s="16" t="inlineStr">
        <is>
          <t>Opening Day</t>
        </is>
      </c>
      <c r="K2300" s="11">
        <f>IFERROR(INDEX(Roles!$B$17:$B$20,MATCH(J2300,Roles!$A$17:$A$20,0)),1)</f>
        <v/>
      </c>
      <c r="L2300" s="17" t="n">
        <v>1</v>
      </c>
      <c r="M2300" s="11" t="n">
        <v>1</v>
      </c>
      <c r="N2300" s="17" t="n"/>
      <c r="O2300" s="17" t="n"/>
      <c r="P2300" s="17" t="n"/>
      <c r="Q2300" s="17" t="n"/>
      <c r="R2300" s="17" t="n"/>
      <c r="S2300" s="17" t="n"/>
      <c r="T2300" s="17" t="n"/>
      <c r="U2300" s="17" t="n"/>
      <c r="V2300" s="17" t="n"/>
      <c r="W2300" s="17" t="n"/>
      <c r="X2300" s="17" t="n"/>
      <c r="Y2300" s="17" t="n">
        <v>1</v>
      </c>
      <c r="Z2300" s="13">
        <f>SUMPRODUCT(N2300:Y2300,$N$2:$Y$2)*$K2300*$L2300*$M2300</f>
        <v/>
      </c>
      <c r="AA2300" s="14">
        <f>SUM(N2300:Y2300)</f>
        <v/>
      </c>
      <c r="AB2300" s="14">
        <f>IFERROR(IF(UPPER($E2300)="L",SUMPRODUCT(N2300:Y2300,$N$3:$Y$3,$N$2:$Y$2),SUMPRODUCT(N2300:Y2300,$N$4:$Y$4,$N$2:$Y$2))/(Z2300/($K2300*$L2300*$M2300)),"")</f>
        <v/>
      </c>
      <c r="AC2300" s="18" t="n"/>
    </row>
    <row r="2301">
      <c r="A2301" s="9" t="n">
        <v>828473</v>
      </c>
      <c r="B2301" s="9" t="inlineStr">
        <is>
          <t>Zach Evans</t>
        </is>
      </c>
      <c r="C2301" s="9" t="inlineStr">
        <is>
          <t>SD</t>
        </is>
      </c>
      <c r="D2301" s="9" t="n">
        <v>25</v>
      </c>
      <c r="E2301" s="16" t="inlineStr">
        <is>
          <t>R</t>
        </is>
      </c>
      <c r="F2301" s="16" t="n"/>
      <c r="G2301" s="9" t="n">
        <v>60.1025641025641</v>
      </c>
      <c r="H2301" s="9" t="n">
        <v>60.1025641025641</v>
      </c>
      <c r="I2301" s="9" t="inlineStr">
        <is>
          <t>Depth (no MLB PA)</t>
        </is>
      </c>
      <c r="J2301" s="16" t="inlineStr">
        <is>
          <t>Opening Day</t>
        </is>
      </c>
      <c r="K2301" s="11">
        <f>IFERROR(INDEX(Roles!$B$17:$B$20,MATCH(J2301,Roles!$A$17:$A$20,0)),1)</f>
        <v/>
      </c>
      <c r="L2301" s="17" t="n">
        <v>1</v>
      </c>
      <c r="M2301" s="11" t="n">
        <v>1</v>
      </c>
      <c r="N2301" s="17" t="n"/>
      <c r="O2301" s="17" t="n"/>
      <c r="P2301" s="17" t="n"/>
      <c r="Q2301" s="17" t="n"/>
      <c r="R2301" s="17" t="n"/>
      <c r="S2301" s="17" t="n"/>
      <c r="T2301" s="17" t="n"/>
      <c r="U2301" s="17" t="n"/>
      <c r="V2301" s="17" t="n"/>
      <c r="W2301" s="17" t="n"/>
      <c r="X2301" s="17" t="n"/>
      <c r="Y2301" s="17" t="n">
        <v>1</v>
      </c>
      <c r="Z2301" s="13">
        <f>SUMPRODUCT(N2301:Y2301,$N$2:$Y$2)*$K2301*$L2301*$M2301</f>
        <v/>
      </c>
      <c r="AA2301" s="14">
        <f>SUM(N2301:Y2301)</f>
        <v/>
      </c>
      <c r="AB2301" s="14">
        <f>IFERROR(IF(UPPER($E2301)="L",SUMPRODUCT(N2301:Y2301,$N$3:$Y$3,$N$2:$Y$2),SUMPRODUCT(N2301:Y2301,$N$4:$Y$4,$N$2:$Y$2))/(Z2301/($K2301*$L2301*$M2301)),"")</f>
        <v/>
      </c>
      <c r="AC2301" s="18" t="n"/>
    </row>
    <row r="2302">
      <c r="A2302" s="9" t="n">
        <v>703519</v>
      </c>
      <c r="B2302" s="9" t="inlineStr">
        <is>
          <t>Brady Counsell</t>
        </is>
      </c>
      <c r="C2302" s="9" t="inlineStr">
        <is>
          <t>ARI</t>
        </is>
      </c>
      <c r="D2302" s="9" t="n">
        <v>25</v>
      </c>
      <c r="E2302" s="16" t="inlineStr">
        <is>
          <t>R</t>
        </is>
      </c>
      <c r="F2302" s="16" t="n"/>
      <c r="G2302" s="9" t="n">
        <v>56.41025641025641</v>
      </c>
      <c r="H2302" s="9" t="n">
        <v>56.41025641025641</v>
      </c>
      <c r="I2302" s="9" t="inlineStr">
        <is>
          <t>Depth (no MLB PA)</t>
        </is>
      </c>
      <c r="J2302" s="16" t="inlineStr">
        <is>
          <t>Opening Day</t>
        </is>
      </c>
      <c r="K2302" s="11">
        <f>IFERROR(INDEX(Roles!$B$17:$B$20,MATCH(J2302,Roles!$A$17:$A$20,0)),1)</f>
        <v/>
      </c>
      <c r="L2302" s="17" t="n">
        <v>1</v>
      </c>
      <c r="M2302" s="11" t="n">
        <v>1</v>
      </c>
      <c r="N2302" s="17" t="n"/>
      <c r="O2302" s="17" t="n"/>
      <c r="P2302" s="17" t="n"/>
      <c r="Q2302" s="17" t="n"/>
      <c r="R2302" s="17" t="n"/>
      <c r="S2302" s="17" t="n"/>
      <c r="T2302" s="17" t="n"/>
      <c r="U2302" s="17" t="n"/>
      <c r="V2302" s="17" t="n"/>
      <c r="W2302" s="17" t="n"/>
      <c r="X2302" s="17" t="n"/>
      <c r="Y2302" s="17" t="n">
        <v>1</v>
      </c>
      <c r="Z2302" s="13">
        <f>SUMPRODUCT(N2302:Y2302,$N$2:$Y$2)*$K2302*$L2302*$M2302</f>
        <v/>
      </c>
      <c r="AA2302" s="14">
        <f>SUM(N2302:Y2302)</f>
        <v/>
      </c>
      <c r="AB2302" s="14">
        <f>IFERROR(IF(UPPER($E2302)="L",SUMPRODUCT(N2302:Y2302,$N$3:$Y$3,$N$2:$Y$2),SUMPRODUCT(N2302:Y2302,$N$4:$Y$4,$N$2:$Y$2))/(Z2302/($K2302*$L2302*$M2302)),"")</f>
        <v/>
      </c>
      <c r="AC2302" s="18" t="n"/>
    </row>
    <row r="2303">
      <c r="A2303" s="9" t="n">
        <v>666397</v>
      </c>
      <c r="B2303" s="9" t="inlineStr">
        <is>
          <t>Edouard Julien</t>
        </is>
      </c>
      <c r="C2303" s="9" t="inlineStr">
        <is>
          <t>COL</t>
        </is>
      </c>
      <c r="D2303" s="9" t="n">
        <v>28</v>
      </c>
      <c r="E2303" s="16" t="inlineStr">
        <is>
          <t>L</t>
        </is>
      </c>
      <c r="F2303" s="16" t="inlineStr">
        <is>
          <t>2B</t>
        </is>
      </c>
      <c r="G2303" s="9" t="n">
        <v>276</v>
      </c>
      <c r="H2303" s="9" t="n">
        <v>1193</v>
      </c>
      <c r="I2303" s="9" t="inlineStr">
        <is>
          <t>Strong Side Platoon</t>
        </is>
      </c>
      <c r="J2303" s="16" t="inlineStr">
        <is>
          <t>Opening Day</t>
        </is>
      </c>
      <c r="K2303" s="11">
        <f>IFERROR(INDEX(Roles!$B$17:$B$20,MATCH(J2303,Roles!$A$17:$A$20,0)),1)</f>
        <v/>
      </c>
      <c r="L2303" s="17" t="n">
        <v>1</v>
      </c>
      <c r="M2303" s="11" t="n">
        <v>1</v>
      </c>
      <c r="N2303" s="17" t="n"/>
      <c r="O2303" s="17" t="n"/>
      <c r="P2303" s="17" t="n">
        <v>1</v>
      </c>
      <c r="Q2303" s="17" t="n"/>
      <c r="R2303" s="17" t="n"/>
      <c r="S2303" s="17" t="n"/>
      <c r="T2303" s="17" t="n"/>
      <c r="U2303" s="17" t="n"/>
      <c r="V2303" s="17" t="n"/>
      <c r="W2303" s="17" t="n"/>
      <c r="X2303" s="17" t="n"/>
      <c r="Y2303" s="17" t="n"/>
      <c r="Z2303" s="13">
        <f>SUMPRODUCT(N2303:Y2303,$N$2:$Y$2)*$K2303*$L2303*$M2303</f>
        <v/>
      </c>
      <c r="AA2303" s="14">
        <f>SUM(N2303:Y2303)</f>
        <v/>
      </c>
      <c r="AB2303" s="14">
        <f>IFERROR(IF(UPPER($E2303)="L",SUMPRODUCT(N2303:Y2303,$N$3:$Y$3,$N$2:$Y$2),SUMPRODUCT(N2303:Y2303,$N$4:$Y$4,$N$2:$Y$2))/(Z2303/($K2303*$L2303*$M2303)),"")</f>
        <v/>
      </c>
      <c r="AC2303" s="18" t="n"/>
    </row>
    <row r="2304">
      <c r="A2304" s="9" t="n">
        <v>823944</v>
      </c>
      <c r="B2304" s="9" t="inlineStr">
        <is>
          <t>Maddox Latta</t>
        </is>
      </c>
      <c r="C2304" s="9" t="inlineStr">
        <is>
          <t>TOR</t>
        </is>
      </c>
      <c r="D2304" s="9" t="n">
        <v>25</v>
      </c>
      <c r="E2304" s="16" t="inlineStr">
        <is>
          <t>R</t>
        </is>
      </c>
      <c r="F2304" s="16" t="n"/>
      <c r="G2304" s="9" t="n">
        <v>88.41025641025641</v>
      </c>
      <c r="H2304" s="9" t="n">
        <v>88.41025641025641</v>
      </c>
      <c r="I2304" s="9" t="inlineStr">
        <is>
          <t>Depth (no MLB PA)</t>
        </is>
      </c>
      <c r="J2304" s="16" t="inlineStr">
        <is>
          <t>Opening Day</t>
        </is>
      </c>
      <c r="K2304" s="11">
        <f>IFERROR(INDEX(Roles!$B$17:$B$20,MATCH(J2304,Roles!$A$17:$A$20,0)),1)</f>
        <v/>
      </c>
      <c r="L2304" s="17" t="n">
        <v>1</v>
      </c>
      <c r="M2304" s="11" t="n">
        <v>1</v>
      </c>
      <c r="N2304" s="17" t="n"/>
      <c r="O2304" s="17" t="n"/>
      <c r="P2304" s="17" t="n"/>
      <c r="Q2304" s="17" t="n"/>
      <c r="R2304" s="17" t="n"/>
      <c r="S2304" s="17" t="n"/>
      <c r="T2304" s="17" t="n"/>
      <c r="U2304" s="17" t="n"/>
      <c r="V2304" s="17" t="n"/>
      <c r="W2304" s="17" t="n"/>
      <c r="X2304" s="17" t="n"/>
      <c r="Y2304" s="17" t="n">
        <v>1</v>
      </c>
      <c r="Z2304" s="13">
        <f>SUMPRODUCT(N2304:Y2304,$N$2:$Y$2)*$K2304*$L2304*$M2304</f>
        <v/>
      </c>
      <c r="AA2304" s="14">
        <f>SUM(N2304:Y2304)</f>
        <v/>
      </c>
      <c r="AB2304" s="14">
        <f>IFERROR(IF(UPPER($E2304)="L",SUMPRODUCT(N2304:Y2304,$N$3:$Y$3,$N$2:$Y$2),SUMPRODUCT(N2304:Y2304,$N$4:$Y$4,$N$2:$Y$2))/(Z2304/($K2304*$L2304*$M2304)),"")</f>
        <v/>
      </c>
      <c r="AC2304" s="18" t="n"/>
    </row>
    <row r="2305">
      <c r="A2305" s="9" t="n">
        <v>701906</v>
      </c>
      <c r="B2305" s="9" t="inlineStr">
        <is>
          <t>Trevor Cohen</t>
        </is>
      </c>
      <c r="C2305" s="9" t="inlineStr">
        <is>
          <t>SF</t>
        </is>
      </c>
      <c r="D2305" s="9" t="n">
        <v>25</v>
      </c>
      <c r="E2305" s="16" t="inlineStr">
        <is>
          <t>L</t>
        </is>
      </c>
      <c r="F2305" s="16" t="n"/>
      <c r="G2305" s="9" t="n">
        <v>81.48717948717947</v>
      </c>
      <c r="H2305" s="9" t="n">
        <v>81.48717948717947</v>
      </c>
      <c r="I2305" s="9" t="inlineStr">
        <is>
          <t>Depth (no MLB PA)</t>
        </is>
      </c>
      <c r="J2305" s="16" t="inlineStr">
        <is>
          <t>Opening Day</t>
        </is>
      </c>
      <c r="K2305" s="11">
        <f>IFERROR(INDEX(Roles!$B$17:$B$20,MATCH(J2305,Roles!$A$17:$A$20,0)),1)</f>
        <v/>
      </c>
      <c r="L2305" s="17" t="n">
        <v>1</v>
      </c>
      <c r="M2305" s="11" t="n">
        <v>1</v>
      </c>
      <c r="N2305" s="17" t="n"/>
      <c r="O2305" s="17" t="n"/>
      <c r="P2305" s="17" t="n"/>
      <c r="Q2305" s="17" t="n"/>
      <c r="R2305" s="17" t="n"/>
      <c r="S2305" s="17" t="n"/>
      <c r="T2305" s="17" t="n"/>
      <c r="U2305" s="17" t="n"/>
      <c r="V2305" s="17" t="n"/>
      <c r="W2305" s="17" t="n"/>
      <c r="X2305" s="17" t="n"/>
      <c r="Y2305" s="17" t="n">
        <v>1</v>
      </c>
      <c r="Z2305" s="13">
        <f>SUMPRODUCT(N2305:Y2305,$N$2:$Y$2)*$K2305*$L2305*$M2305</f>
        <v/>
      </c>
      <c r="AA2305" s="14">
        <f>SUM(N2305:Y2305)</f>
        <v/>
      </c>
      <c r="AB2305" s="14">
        <f>IFERROR(IF(UPPER($E2305)="L",SUMPRODUCT(N2305:Y2305,$N$3:$Y$3,$N$2:$Y$2),SUMPRODUCT(N2305:Y2305,$N$4:$Y$4,$N$2:$Y$2))/(Z2305/($K2305*$L2305*$M2305)),"")</f>
        <v/>
      </c>
      <c r="AC2305" s="18" t="n"/>
    </row>
    <row r="2306">
      <c r="A2306" s="9" t="n">
        <v>571912</v>
      </c>
      <c r="B2306" s="9" t="inlineStr">
        <is>
          <t>Luke Maile</t>
        </is>
      </c>
      <c r="C2306" s="9" t="inlineStr">
        <is>
          <t>KC</t>
        </is>
      </c>
      <c r="D2306" s="9" t="n">
        <v>36</v>
      </c>
      <c r="E2306" s="16" t="inlineStr">
        <is>
          <t>R</t>
        </is>
      </c>
      <c r="F2306" s="16" t="inlineStr">
        <is>
          <t>C</t>
        </is>
      </c>
      <c r="G2306" s="9" t="n">
        <v>48</v>
      </c>
      <c r="H2306" s="9" t="n">
        <v>661</v>
      </c>
      <c r="I2306" s="9" t="inlineStr">
        <is>
          <t>Bench Bat</t>
        </is>
      </c>
      <c r="J2306" s="16" t="inlineStr">
        <is>
          <t>Opening Day</t>
        </is>
      </c>
      <c r="K2306" s="11">
        <f>IFERROR(INDEX(Roles!$B$17:$B$20,MATCH(J2306,Roles!$A$17:$A$20,0)),1)</f>
        <v/>
      </c>
      <c r="L2306" s="17" t="n">
        <v>1</v>
      </c>
      <c r="M2306" s="11" t="n">
        <v>1</v>
      </c>
      <c r="N2306" s="17" t="n"/>
      <c r="O2306" s="17" t="n"/>
      <c r="P2306" s="17" t="n"/>
      <c r="Q2306" s="17" t="n"/>
      <c r="R2306" s="17" t="n"/>
      <c r="S2306" s="17" t="n"/>
      <c r="T2306" s="17" t="n"/>
      <c r="U2306" s="17" t="n"/>
      <c r="V2306" s="17" t="n"/>
      <c r="W2306" s="17" t="n">
        <v>0.85</v>
      </c>
      <c r="X2306" s="17" t="n">
        <v>0.15</v>
      </c>
      <c r="Y2306" s="17" t="n"/>
      <c r="Z2306" s="13">
        <f>SUMPRODUCT(N2306:Y2306,$N$2:$Y$2)*$K2306*$L2306*$M2306</f>
        <v/>
      </c>
      <c r="AA2306" s="14">
        <f>SUM(N2306:Y2306)</f>
        <v/>
      </c>
      <c r="AB2306" s="14">
        <f>IFERROR(IF(UPPER($E2306)="L",SUMPRODUCT(N2306:Y2306,$N$3:$Y$3,$N$2:$Y$2),SUMPRODUCT(N2306:Y2306,$N$4:$Y$4,$N$2:$Y$2))/(Z2306/($K2306*$L2306*$M2306)),"")</f>
        <v/>
      </c>
      <c r="AC2306" s="18" t="n"/>
    </row>
    <row r="2307">
      <c r="A2307" s="9" t="n">
        <v>815299</v>
      </c>
      <c r="B2307" s="9" t="inlineStr">
        <is>
          <t>Will Verdung</t>
        </is>
      </c>
      <c r="C2307" s="9" t="inlineStr">
        <is>
          <t>ATL</t>
        </is>
      </c>
      <c r="D2307" s="9" t="n">
        <v>25</v>
      </c>
      <c r="E2307" s="16" t="inlineStr">
        <is>
          <t>R</t>
        </is>
      </c>
      <c r="F2307" s="16" t="n"/>
      <c r="G2307" s="9" t="n">
        <v>64.97435897435896</v>
      </c>
      <c r="H2307" s="9" t="n">
        <v>64.97435897435896</v>
      </c>
      <c r="I2307" s="9" t="inlineStr">
        <is>
          <t>Depth (no MLB PA)</t>
        </is>
      </c>
      <c r="J2307" s="16" t="inlineStr">
        <is>
          <t>Opening Day</t>
        </is>
      </c>
      <c r="K2307" s="11">
        <f>IFERROR(INDEX(Roles!$B$17:$B$20,MATCH(J2307,Roles!$A$17:$A$20,0)),1)</f>
        <v/>
      </c>
      <c r="L2307" s="17" t="n">
        <v>1</v>
      </c>
      <c r="M2307" s="11" t="n">
        <v>1</v>
      </c>
      <c r="N2307" s="17" t="n"/>
      <c r="O2307" s="17" t="n"/>
      <c r="P2307" s="17" t="n"/>
      <c r="Q2307" s="17" t="n"/>
      <c r="R2307" s="17" t="n"/>
      <c r="S2307" s="17" t="n"/>
      <c r="T2307" s="17" t="n"/>
      <c r="U2307" s="17" t="n"/>
      <c r="V2307" s="17" t="n"/>
      <c r="W2307" s="17" t="n"/>
      <c r="X2307" s="17" t="n"/>
      <c r="Y2307" s="17" t="n">
        <v>1</v>
      </c>
      <c r="Z2307" s="13">
        <f>SUMPRODUCT(N2307:Y2307,$N$2:$Y$2)*$K2307*$L2307*$M2307</f>
        <v/>
      </c>
      <c r="AA2307" s="14">
        <f>SUM(N2307:Y2307)</f>
        <v/>
      </c>
      <c r="AB2307" s="14">
        <f>IFERROR(IF(UPPER($E2307)="L",SUMPRODUCT(N2307:Y2307,$N$3:$Y$3,$N$2:$Y$2),SUMPRODUCT(N2307:Y2307,$N$4:$Y$4,$N$2:$Y$2))/(Z2307/($K2307*$L2307*$M2307)),"")</f>
        <v/>
      </c>
      <c r="AC2307" s="18" t="n"/>
    </row>
    <row r="2308">
      <c r="A2308" s="9" t="n">
        <v>827294</v>
      </c>
      <c r="B2308" s="9" t="inlineStr">
        <is>
          <t>Edgar Alvarez</t>
        </is>
      </c>
      <c r="C2308" s="9" t="inlineStr">
        <is>
          <t>CHC</t>
        </is>
      </c>
      <c r="D2308" s="9" t="n">
        <v>25</v>
      </c>
      <c r="E2308" s="16" t="inlineStr">
        <is>
          <t>L</t>
        </is>
      </c>
      <c r="F2308" s="16" t="n"/>
      <c r="G2308" s="9" t="n">
        <v>150.051282051282</v>
      </c>
      <c r="H2308" s="9" t="n">
        <v>150.051282051282</v>
      </c>
      <c r="I2308" s="9" t="inlineStr">
        <is>
          <t>Depth (no MLB PA)</t>
        </is>
      </c>
      <c r="J2308" s="16" t="inlineStr">
        <is>
          <t>Opening Day</t>
        </is>
      </c>
      <c r="K2308" s="11">
        <f>IFERROR(INDEX(Roles!$B$17:$B$20,MATCH(J2308,Roles!$A$17:$A$20,0)),1)</f>
        <v/>
      </c>
      <c r="L2308" s="17" t="n">
        <v>1</v>
      </c>
      <c r="M2308" s="11" t="n">
        <v>1</v>
      </c>
      <c r="N2308" s="17" t="n"/>
      <c r="O2308" s="17" t="n"/>
      <c r="P2308" s="17" t="n"/>
      <c r="Q2308" s="17" t="n"/>
      <c r="R2308" s="17" t="n"/>
      <c r="S2308" s="17" t="n"/>
      <c r="T2308" s="17" t="n"/>
      <c r="U2308" s="17" t="n"/>
      <c r="V2308" s="17" t="n"/>
      <c r="W2308" s="17" t="n"/>
      <c r="X2308" s="17" t="n"/>
      <c r="Y2308" s="17" t="n">
        <v>1</v>
      </c>
      <c r="Z2308" s="13">
        <f>SUMPRODUCT(N2308:Y2308,$N$2:$Y$2)*$K2308*$L2308*$M2308</f>
        <v/>
      </c>
      <c r="AA2308" s="14">
        <f>SUM(N2308:Y2308)</f>
        <v/>
      </c>
      <c r="AB2308" s="14">
        <f>IFERROR(IF(UPPER($E2308)="L",SUMPRODUCT(N2308:Y2308,$N$3:$Y$3,$N$2:$Y$2),SUMPRODUCT(N2308:Y2308,$N$4:$Y$4,$N$2:$Y$2))/(Z2308/($K2308*$L2308*$M2308)),"")</f>
        <v/>
      </c>
      <c r="AC2308" s="18" t="n"/>
    </row>
    <row r="2309">
      <c r="A2309" s="9" t="n">
        <v>702544</v>
      </c>
      <c r="B2309" s="9" t="inlineStr">
        <is>
          <t>Jacob Reimer</t>
        </is>
      </c>
      <c r="C2309" s="9" t="inlineStr">
        <is>
          <t>NYM</t>
        </is>
      </c>
      <c r="D2309" s="9" t="n">
        <v>23</v>
      </c>
      <c r="E2309" s="16" t="inlineStr">
        <is>
          <t>R</t>
        </is>
      </c>
      <c r="F2309" s="16" t="n"/>
      <c r="G2309" s="9" t="n">
        <v>122.7692307692308</v>
      </c>
      <c r="H2309" s="9" t="n">
        <v>122.7692307692308</v>
      </c>
      <c r="I2309" s="9" t="inlineStr">
        <is>
          <t>Depth (no MLB PA)</t>
        </is>
      </c>
      <c r="J2309" s="16" t="inlineStr">
        <is>
          <t>Opening Day</t>
        </is>
      </c>
      <c r="K2309" s="11">
        <f>IFERROR(INDEX(Roles!$B$17:$B$20,MATCH(J2309,Roles!$A$17:$A$20,0)),1)</f>
        <v/>
      </c>
      <c r="L2309" s="17" t="n">
        <v>1</v>
      </c>
      <c r="M2309" s="11" t="n">
        <v>1</v>
      </c>
      <c r="N2309" s="17" t="n"/>
      <c r="O2309" s="17" t="n"/>
      <c r="P2309" s="17" t="n"/>
      <c r="Q2309" s="17" t="n"/>
      <c r="R2309" s="17" t="n"/>
      <c r="S2309" s="17" t="n"/>
      <c r="T2309" s="17" t="n"/>
      <c r="U2309" s="17" t="n"/>
      <c r="V2309" s="17" t="n"/>
      <c r="W2309" s="17" t="n"/>
      <c r="X2309" s="17" t="n"/>
      <c r="Y2309" s="17" t="n">
        <v>1</v>
      </c>
      <c r="Z2309" s="13">
        <f>SUMPRODUCT(N2309:Y2309,$N$2:$Y$2)*$K2309*$L2309*$M2309</f>
        <v/>
      </c>
      <c r="AA2309" s="14">
        <f>SUM(N2309:Y2309)</f>
        <v/>
      </c>
      <c r="AB2309" s="14">
        <f>IFERROR(IF(UPPER($E2309)="L",SUMPRODUCT(N2309:Y2309,$N$3:$Y$3,$N$2:$Y$2),SUMPRODUCT(N2309:Y2309,$N$4:$Y$4,$N$2:$Y$2))/(Z2309/($K2309*$L2309*$M2309)),"")</f>
        <v/>
      </c>
      <c r="AC2309" s="18" t="n"/>
    </row>
    <row r="2310">
      <c r="A2310" s="9" t="n">
        <v>700242</v>
      </c>
      <c r="B2310" s="9" t="inlineStr">
        <is>
          <t>Trey Sweeney</t>
        </is>
      </c>
      <c r="C2310" s="9" t="inlineStr">
        <is>
          <t>DET</t>
        </is>
      </c>
      <c r="D2310" s="9" t="n">
        <v>27</v>
      </c>
      <c r="E2310" s="16" t="inlineStr">
        <is>
          <t>L</t>
        </is>
      </c>
      <c r="F2310" s="16" t="inlineStr">
        <is>
          <t>SS</t>
        </is>
      </c>
      <c r="G2310" s="9" t="n">
        <v>326</v>
      </c>
      <c r="H2310" s="9" t="n">
        <v>445</v>
      </c>
      <c r="I2310" s="9" t="inlineStr">
        <is>
          <t>Bench Bat</t>
        </is>
      </c>
      <c r="J2310" s="16" t="inlineStr">
        <is>
          <t>Opening Day</t>
        </is>
      </c>
      <c r="K2310" s="11">
        <f>IFERROR(INDEX(Roles!$B$17:$B$20,MATCH(J2310,Roles!$A$17:$A$20,0)),1)</f>
        <v/>
      </c>
      <c r="L2310" s="17" t="n">
        <v>1</v>
      </c>
      <c r="M2310" s="11" t="n">
        <v>1.001103158155184</v>
      </c>
      <c r="N2310" s="17" t="n"/>
      <c r="O2310" s="17" t="n"/>
      <c r="P2310" s="17" t="n"/>
      <c r="Q2310" s="17" t="n"/>
      <c r="R2310" s="17" t="n"/>
      <c r="S2310" s="17" t="n"/>
      <c r="T2310" s="17" t="n"/>
      <c r="U2310" s="17" t="n"/>
      <c r="V2310" s="17" t="n"/>
      <c r="W2310" s="17" t="n">
        <v>0.85</v>
      </c>
      <c r="X2310" s="17" t="n">
        <v>0.15</v>
      </c>
      <c r="Y2310" s="17" t="n"/>
      <c r="Z2310" s="13">
        <f>SUMPRODUCT(N2310:Y2310,$N$2:$Y$2)*$K2310*$L2310*$M2310</f>
        <v/>
      </c>
      <c r="AA2310" s="14">
        <f>SUM(N2310:Y2310)</f>
        <v/>
      </c>
      <c r="AB2310" s="14">
        <f>IFERROR(IF(UPPER($E2310)="L",SUMPRODUCT(N2310:Y2310,$N$3:$Y$3,$N$2:$Y$2),SUMPRODUCT(N2310:Y2310,$N$4:$Y$4,$N$2:$Y$2))/(Z2310/($K2310*$L2310*$M2310)),"")</f>
        <v/>
      </c>
      <c r="AC2310" s="18" t="n"/>
    </row>
    <row r="2311">
      <c r="A2311" s="9" t="n">
        <v>807257</v>
      </c>
      <c r="B2311" s="9" t="inlineStr">
        <is>
          <t>Ty Southisene</t>
        </is>
      </c>
      <c r="C2311" s="9" t="inlineStr">
        <is>
          <t>TOR</t>
        </is>
      </c>
      <c r="D2311" s="9" t="n">
        <v>22</v>
      </c>
      <c r="E2311" s="16" t="inlineStr">
        <is>
          <t>R</t>
        </is>
      </c>
      <c r="F2311" s="16" t="n"/>
      <c r="G2311" s="9" t="n">
        <v>51.28205128205128</v>
      </c>
      <c r="H2311" s="9" t="n">
        <v>51.28205128205128</v>
      </c>
      <c r="I2311" s="9" t="inlineStr">
        <is>
          <t>Depth (no MLB PA)</t>
        </is>
      </c>
      <c r="J2311" s="16" t="inlineStr">
        <is>
          <t>Opening Day</t>
        </is>
      </c>
      <c r="K2311" s="11">
        <f>IFERROR(INDEX(Roles!$B$17:$B$20,MATCH(J2311,Roles!$A$17:$A$20,0)),1)</f>
        <v/>
      </c>
      <c r="L2311" s="17" t="n">
        <v>1</v>
      </c>
      <c r="M2311" s="11" t="n">
        <v>1</v>
      </c>
      <c r="N2311" s="17" t="n"/>
      <c r="O2311" s="17" t="n"/>
      <c r="P2311" s="17" t="n"/>
      <c r="Q2311" s="17" t="n"/>
      <c r="R2311" s="17" t="n"/>
      <c r="S2311" s="17" t="n"/>
      <c r="T2311" s="17" t="n"/>
      <c r="U2311" s="17" t="n"/>
      <c r="V2311" s="17" t="n"/>
      <c r="W2311" s="17" t="n"/>
      <c r="X2311" s="17" t="n"/>
      <c r="Y2311" s="17" t="n">
        <v>1</v>
      </c>
      <c r="Z2311" s="13">
        <f>SUMPRODUCT(N2311:Y2311,$N$2:$Y$2)*$K2311*$L2311*$M2311</f>
        <v/>
      </c>
      <c r="AA2311" s="14">
        <f>SUM(N2311:Y2311)</f>
        <v/>
      </c>
      <c r="AB2311" s="14">
        <f>IFERROR(IF(UPPER($E2311)="L",SUMPRODUCT(N2311:Y2311,$N$3:$Y$3,$N$2:$Y$2),SUMPRODUCT(N2311:Y2311,$N$4:$Y$4,$N$2:$Y$2))/(Z2311/($K2311*$L2311*$M2311)),"")</f>
        <v/>
      </c>
      <c r="AC2311" s="18" t="n"/>
    </row>
    <row r="2312">
      <c r="A2312" s="9" t="n">
        <v>678636</v>
      </c>
      <c r="B2312" s="9" t="inlineStr">
        <is>
          <t>Orlando Martinez</t>
        </is>
      </c>
      <c r="C2312" s="9" t="inlineStr">
        <is>
          <t>TEX</t>
        </is>
      </c>
      <c r="D2312" s="9" t="n">
        <v>25</v>
      </c>
      <c r="E2312" s="16" t="inlineStr">
        <is>
          <t>L</t>
        </is>
      </c>
      <c r="F2312" s="16" t="n"/>
      <c r="G2312" s="9" t="n">
        <v>85.74358974358975</v>
      </c>
      <c r="H2312" s="9" t="n">
        <v>85.74358974358975</v>
      </c>
      <c r="I2312" s="9" t="inlineStr">
        <is>
          <t>Depth (no MLB PA)</t>
        </is>
      </c>
      <c r="J2312" s="16" t="inlineStr">
        <is>
          <t>Opening Day</t>
        </is>
      </c>
      <c r="K2312" s="11">
        <f>IFERROR(INDEX(Roles!$B$17:$B$20,MATCH(J2312,Roles!$A$17:$A$20,0)),1)</f>
        <v/>
      </c>
      <c r="L2312" s="17" t="n">
        <v>1</v>
      </c>
      <c r="M2312" s="11" t="n">
        <v>1</v>
      </c>
      <c r="N2312" s="17" t="n"/>
      <c r="O2312" s="17" t="n"/>
      <c r="P2312" s="17" t="n"/>
      <c r="Q2312" s="17" t="n"/>
      <c r="R2312" s="17" t="n"/>
      <c r="S2312" s="17" t="n"/>
      <c r="T2312" s="17" t="n"/>
      <c r="U2312" s="17" t="n"/>
      <c r="V2312" s="17" t="n"/>
      <c r="W2312" s="17" t="n"/>
      <c r="X2312" s="17" t="n"/>
      <c r="Y2312" s="17" t="n">
        <v>1</v>
      </c>
      <c r="Z2312" s="13">
        <f>SUMPRODUCT(N2312:Y2312,$N$2:$Y$2)*$K2312*$L2312*$M2312</f>
        <v/>
      </c>
      <c r="AA2312" s="14">
        <f>SUM(N2312:Y2312)</f>
        <v/>
      </c>
      <c r="AB2312" s="14">
        <f>IFERROR(IF(UPPER($E2312)="L",SUMPRODUCT(N2312:Y2312,$N$3:$Y$3,$N$2:$Y$2),SUMPRODUCT(N2312:Y2312,$N$4:$Y$4,$N$2:$Y$2))/(Z2312/($K2312*$L2312*$M2312)),"")</f>
        <v/>
      </c>
      <c r="AC2312" s="18" t="n"/>
    </row>
    <row r="2313">
      <c r="A2313" s="9" t="n">
        <v>698933</v>
      </c>
      <c r="B2313" s="9" t="inlineStr">
        <is>
          <t>Ronald Hernandez</t>
        </is>
      </c>
      <c r="C2313" s="9" t="inlineStr">
        <is>
          <t>NYM</t>
        </is>
      </c>
      <c r="D2313" s="9" t="n">
        <v>25</v>
      </c>
      <c r="E2313" s="16" t="inlineStr">
        <is>
          <t>S</t>
        </is>
      </c>
      <c r="F2313" s="16" t="n"/>
      <c r="G2313" s="9" t="n">
        <v>91.4871794871795</v>
      </c>
      <c r="H2313" s="9" t="n">
        <v>91.4871794871795</v>
      </c>
      <c r="I2313" s="9" t="inlineStr">
        <is>
          <t>Depth (no MLB PA)</t>
        </is>
      </c>
      <c r="J2313" s="16" t="inlineStr">
        <is>
          <t>Opening Day</t>
        </is>
      </c>
      <c r="K2313" s="11">
        <f>IFERROR(INDEX(Roles!$B$17:$B$20,MATCH(J2313,Roles!$A$17:$A$20,0)),1)</f>
        <v/>
      </c>
      <c r="L2313" s="17" t="n">
        <v>1</v>
      </c>
      <c r="M2313" s="11" t="n">
        <v>1</v>
      </c>
      <c r="N2313" s="17" t="n"/>
      <c r="O2313" s="17" t="n"/>
      <c r="P2313" s="17" t="n"/>
      <c r="Q2313" s="17" t="n"/>
      <c r="R2313" s="17" t="n"/>
      <c r="S2313" s="17" t="n"/>
      <c r="T2313" s="17" t="n"/>
      <c r="U2313" s="17" t="n"/>
      <c r="V2313" s="17" t="n"/>
      <c r="W2313" s="17" t="n"/>
      <c r="X2313" s="17" t="n"/>
      <c r="Y2313" s="17" t="n">
        <v>1</v>
      </c>
      <c r="Z2313" s="13">
        <f>SUMPRODUCT(N2313:Y2313,$N$2:$Y$2)*$K2313*$L2313*$M2313</f>
        <v/>
      </c>
      <c r="AA2313" s="14">
        <f>SUM(N2313:Y2313)</f>
        <v/>
      </c>
      <c r="AB2313" s="14">
        <f>IFERROR(IF(UPPER($E2313)="L",SUMPRODUCT(N2313:Y2313,$N$3:$Y$3,$N$2:$Y$2),SUMPRODUCT(N2313:Y2313,$N$4:$Y$4,$N$2:$Y$2))/(Z2313/($K2313*$L2313*$M2313)),"")</f>
        <v/>
      </c>
      <c r="AC2313" s="18" t="n"/>
    </row>
    <row r="2314">
      <c r="A2314" s="9" t="n">
        <v>683953</v>
      </c>
      <c r="B2314" s="9" t="inlineStr">
        <is>
          <t>Travis Bazzana</t>
        </is>
      </c>
      <c r="C2314" s="9" t="inlineStr">
        <is>
          <t>CLE</t>
        </is>
      </c>
      <c r="D2314" s="9" t="n">
        <v>24</v>
      </c>
      <c r="E2314" s="16" t="inlineStr">
        <is>
          <t>L</t>
        </is>
      </c>
      <c r="F2314" s="16" t="inlineStr">
        <is>
          <t>2B</t>
        </is>
      </c>
      <c r="G2314" s="9" t="n">
        <v>517</v>
      </c>
      <c r="H2314" s="9" t="n">
        <v>517</v>
      </c>
      <c r="I2314" s="9" t="inlineStr">
        <is>
          <t>Strong Side Platoon</t>
        </is>
      </c>
      <c r="J2314" s="16" t="inlineStr">
        <is>
          <t>Opening Day</t>
        </is>
      </c>
      <c r="K2314" s="11">
        <f>IFERROR(INDEX(Roles!$B$17:$B$20,MATCH(J2314,Roles!$A$17:$A$20,0)),1)</f>
        <v/>
      </c>
      <c r="L2314" s="17" t="n">
        <v>1</v>
      </c>
      <c r="M2314" s="11" t="n">
        <v>1.024818209131351</v>
      </c>
      <c r="N2314" s="17" t="n">
        <v>0.4</v>
      </c>
      <c r="O2314" s="17" t="n"/>
      <c r="P2314" s="17" t="n">
        <v>0.6</v>
      </c>
      <c r="Q2314" s="17" t="n"/>
      <c r="R2314" s="17" t="n"/>
      <c r="S2314" s="17" t="n"/>
      <c r="T2314" s="17" t="n"/>
      <c r="U2314" s="17" t="n"/>
      <c r="V2314" s="17" t="n"/>
      <c r="W2314" s="17" t="n"/>
      <c r="X2314" s="17" t="n"/>
      <c r="Y2314" s="17" t="n"/>
      <c r="Z2314" s="13">
        <f>SUMPRODUCT(N2314:Y2314,$N$2:$Y$2)*$K2314*$L2314*$M2314</f>
        <v/>
      </c>
      <c r="AA2314" s="14">
        <f>SUM(N2314:Y2314)</f>
        <v/>
      </c>
      <c r="AB2314" s="14">
        <f>IFERROR(IF(UPPER($E2314)="L",SUMPRODUCT(N2314:Y2314,$N$3:$Y$3,$N$2:$Y$2),SUMPRODUCT(N2314:Y2314,$N$4:$Y$4,$N$2:$Y$2))/(Z2314/($K2314*$L2314*$M2314)),"")</f>
        <v/>
      </c>
      <c r="AC2314" s="18" t="n"/>
    </row>
    <row r="2315">
      <c r="A2315" s="9" t="n">
        <v>805346</v>
      </c>
      <c r="B2315" s="9" t="inlineStr">
        <is>
          <t>Ben Ross</t>
        </is>
      </c>
      <c r="C2315" s="9" t="inlineStr">
        <is>
          <t>MIN</t>
        </is>
      </c>
      <c r="D2315" s="9" t="n">
        <v>26</v>
      </c>
      <c r="E2315" s="16" t="inlineStr">
        <is>
          <t>R</t>
        </is>
      </c>
      <c r="F2315" s="16" t="inlineStr">
        <is>
          <t>SS</t>
        </is>
      </c>
      <c r="G2315" s="9" t="n">
        <v>21</v>
      </c>
      <c r="H2315" s="9" t="n">
        <v>21</v>
      </c>
      <c r="I2315" s="9" t="inlineStr">
        <is>
          <t>Bench Bat</t>
        </is>
      </c>
      <c r="J2315" s="16" t="inlineStr">
        <is>
          <t>Opening Day</t>
        </is>
      </c>
      <c r="K2315" s="11">
        <f>IFERROR(INDEX(Roles!$B$17:$B$20,MATCH(J2315,Roles!$A$17:$A$20,0)),1)</f>
        <v/>
      </c>
      <c r="L2315" s="17" t="n">
        <v>1</v>
      </c>
      <c r="M2315" s="11" t="n">
        <v>1</v>
      </c>
      <c r="N2315" s="17" t="n"/>
      <c r="O2315" s="17" t="n"/>
      <c r="P2315" s="17" t="n"/>
      <c r="Q2315" s="17" t="n"/>
      <c r="R2315" s="17" t="n"/>
      <c r="S2315" s="17" t="n"/>
      <c r="T2315" s="17" t="n"/>
      <c r="U2315" s="17" t="n">
        <v>0.4</v>
      </c>
      <c r="V2315" s="17" t="n"/>
      <c r="W2315" s="17" t="n">
        <v>0.6</v>
      </c>
      <c r="X2315" s="17" t="n"/>
      <c r="Y2315" s="17" t="n"/>
      <c r="Z2315" s="13">
        <f>SUMPRODUCT(N2315:Y2315,$N$2:$Y$2)*$K2315*$L2315*$M2315</f>
        <v/>
      </c>
      <c r="AA2315" s="14">
        <f>SUM(N2315:Y2315)</f>
        <v/>
      </c>
      <c r="AB2315" s="14">
        <f>IFERROR(IF(UPPER($E2315)="L",SUMPRODUCT(N2315:Y2315,$N$3:$Y$3,$N$2:$Y$2),SUMPRODUCT(N2315:Y2315,$N$4:$Y$4,$N$2:$Y$2))/(Z2315/($K2315*$L2315*$M2315)),"")</f>
        <v/>
      </c>
      <c r="AC2315" s="18" t="n"/>
    </row>
    <row r="2316">
      <c r="A2316" s="9" t="n">
        <v>801561</v>
      </c>
      <c r="B2316" s="9" t="inlineStr">
        <is>
          <t>Matt Halbach</t>
        </is>
      </c>
      <c r="C2316" s="9" t="inlineStr">
        <is>
          <t>CHC</t>
        </is>
      </c>
      <c r="D2316" s="9" t="n">
        <v>25</v>
      </c>
      <c r="E2316" s="16" t="inlineStr">
        <is>
          <t>R</t>
        </is>
      </c>
      <c r="F2316" s="16" t="n"/>
      <c r="G2316" s="9" t="n">
        <v>96.20512820512822</v>
      </c>
      <c r="H2316" s="9" t="n">
        <v>96.20512820512822</v>
      </c>
      <c r="I2316" s="9" t="inlineStr">
        <is>
          <t>Depth (no MLB PA)</t>
        </is>
      </c>
      <c r="J2316" s="16" t="inlineStr">
        <is>
          <t>Opening Day</t>
        </is>
      </c>
      <c r="K2316" s="11">
        <f>IFERROR(INDEX(Roles!$B$17:$B$20,MATCH(J2316,Roles!$A$17:$A$20,0)),1)</f>
        <v/>
      </c>
      <c r="L2316" s="17" t="n">
        <v>1</v>
      </c>
      <c r="M2316" s="11" t="n">
        <v>1</v>
      </c>
      <c r="N2316" s="17" t="n"/>
      <c r="O2316" s="17" t="n"/>
      <c r="P2316" s="17" t="n"/>
      <c r="Q2316" s="17" t="n"/>
      <c r="R2316" s="17" t="n"/>
      <c r="S2316" s="17" t="n"/>
      <c r="T2316" s="17" t="n"/>
      <c r="U2316" s="17" t="n"/>
      <c r="V2316" s="17" t="n"/>
      <c r="W2316" s="17" t="n"/>
      <c r="X2316" s="17" t="n"/>
      <c r="Y2316" s="17" t="n">
        <v>1</v>
      </c>
      <c r="Z2316" s="13">
        <f>SUMPRODUCT(N2316:Y2316,$N$2:$Y$2)*$K2316*$L2316*$M2316</f>
        <v/>
      </c>
      <c r="AA2316" s="14">
        <f>SUM(N2316:Y2316)</f>
        <v/>
      </c>
      <c r="AB2316" s="14">
        <f>IFERROR(IF(UPPER($E2316)="L",SUMPRODUCT(N2316:Y2316,$N$3:$Y$3,$N$2:$Y$2),SUMPRODUCT(N2316:Y2316,$N$4:$Y$4,$N$2:$Y$2))/(Z2316/($K2316*$L2316*$M2316)),"")</f>
        <v/>
      </c>
      <c r="AC2316" s="18" t="n"/>
    </row>
    <row r="2317">
      <c r="A2317" s="9" t="n">
        <v>687551</v>
      </c>
      <c r="B2317" s="9" t="inlineStr">
        <is>
          <t>Drew Gilbert</t>
        </is>
      </c>
      <c r="C2317" s="9" t="inlineStr">
        <is>
          <t>SF</t>
        </is>
      </c>
      <c r="D2317" s="9" t="n">
        <v>26</v>
      </c>
      <c r="E2317" s="16" t="inlineStr">
        <is>
          <t>L</t>
        </is>
      </c>
      <c r="F2317" s="16" t="inlineStr">
        <is>
          <t>CF</t>
        </is>
      </c>
      <c r="G2317" s="9" t="n">
        <v>393</v>
      </c>
      <c r="H2317" s="9" t="n">
        <v>502</v>
      </c>
      <c r="I2317" s="9" t="inlineStr">
        <is>
          <t>Strong Side Platoon</t>
        </is>
      </c>
      <c r="J2317" s="16" t="inlineStr">
        <is>
          <t>Opening Day</t>
        </is>
      </c>
      <c r="K2317" s="11">
        <f>IFERROR(INDEX(Roles!$B$17:$B$20,MATCH(J2317,Roles!$A$17:$A$20,0)),1)</f>
        <v/>
      </c>
      <c r="L2317" s="17" t="n">
        <v>1</v>
      </c>
      <c r="M2317" s="11" t="n">
        <v>0.945134972021573</v>
      </c>
      <c r="N2317" s="17" t="n">
        <v>0.4</v>
      </c>
      <c r="O2317" s="17" t="n"/>
      <c r="P2317" s="17" t="n">
        <v>0.6</v>
      </c>
      <c r="Q2317" s="17" t="n"/>
      <c r="R2317" s="17" t="n"/>
      <c r="S2317" s="17" t="n"/>
      <c r="T2317" s="17" t="n"/>
      <c r="U2317" s="17" t="n"/>
      <c r="V2317" s="17" t="n"/>
      <c r="W2317" s="17" t="n"/>
      <c r="X2317" s="17" t="n"/>
      <c r="Y2317" s="17" t="n"/>
      <c r="Z2317" s="13">
        <f>SUMPRODUCT(N2317:Y2317,$N$2:$Y$2)*$K2317*$L2317*$M2317</f>
        <v/>
      </c>
      <c r="AA2317" s="14">
        <f>SUM(N2317:Y2317)</f>
        <v/>
      </c>
      <c r="AB2317" s="14">
        <f>IFERROR(IF(UPPER($E2317)="L",SUMPRODUCT(N2317:Y2317,$N$3:$Y$3,$N$2:$Y$2),SUMPRODUCT(N2317:Y2317,$N$4:$Y$4,$N$2:$Y$2))/(Z2317/($K2317*$L2317*$M2317)),"")</f>
        <v/>
      </c>
      <c r="AC2317" s="18" t="n"/>
    </row>
    <row r="2318">
      <c r="A2318" s="9" t="n">
        <v>805590</v>
      </c>
      <c r="B2318" s="9" t="inlineStr">
        <is>
          <t>Dylan Palmer</t>
        </is>
      </c>
      <c r="C2318" s="9" t="inlineStr">
        <is>
          <t>PIT</t>
        </is>
      </c>
      <c r="D2318" s="9" t="n">
        <v>25</v>
      </c>
      <c r="E2318" s="16" t="inlineStr">
        <is>
          <t>L</t>
        </is>
      </c>
      <c r="F2318" s="16" t="n"/>
      <c r="G2318" s="9" t="n">
        <v>47.7948717948718</v>
      </c>
      <c r="H2318" s="9" t="n">
        <v>47.7948717948718</v>
      </c>
      <c r="I2318" s="9" t="inlineStr">
        <is>
          <t>Depth (no MLB PA)</t>
        </is>
      </c>
      <c r="J2318" s="16" t="inlineStr">
        <is>
          <t>Opening Day</t>
        </is>
      </c>
      <c r="K2318" s="11">
        <f>IFERROR(INDEX(Roles!$B$17:$B$20,MATCH(J2318,Roles!$A$17:$A$20,0)),1)</f>
        <v/>
      </c>
      <c r="L2318" s="17" t="n">
        <v>1</v>
      </c>
      <c r="M2318" s="11" t="n">
        <v>1</v>
      </c>
      <c r="N2318" s="17" t="n"/>
      <c r="O2318" s="17" t="n"/>
      <c r="P2318" s="17" t="n"/>
      <c r="Q2318" s="17" t="n"/>
      <c r="R2318" s="17" t="n"/>
      <c r="S2318" s="17" t="n"/>
      <c r="T2318" s="17" t="n"/>
      <c r="U2318" s="17" t="n"/>
      <c r="V2318" s="17" t="n"/>
      <c r="W2318" s="17" t="n"/>
      <c r="X2318" s="17" t="n"/>
      <c r="Y2318" s="17" t="n">
        <v>1</v>
      </c>
      <c r="Z2318" s="13">
        <f>SUMPRODUCT(N2318:Y2318,$N$2:$Y$2)*$K2318*$L2318*$M2318</f>
        <v/>
      </c>
      <c r="AA2318" s="14">
        <f>SUM(N2318:Y2318)</f>
        <v/>
      </c>
      <c r="AB2318" s="14">
        <f>IFERROR(IF(UPPER($E2318)="L",SUMPRODUCT(N2318:Y2318,$N$3:$Y$3,$N$2:$Y$2),SUMPRODUCT(N2318:Y2318,$N$4:$Y$4,$N$2:$Y$2))/(Z2318/($K2318*$L2318*$M2318)),"")</f>
        <v/>
      </c>
      <c r="AC2318" s="18" t="n"/>
    </row>
    <row r="2319">
      <c r="A2319" s="9" t="n">
        <v>806005</v>
      </c>
      <c r="B2319" s="9" t="inlineStr">
        <is>
          <t>Ryan McCarty</t>
        </is>
      </c>
      <c r="C2319" s="9" t="inlineStr">
        <is>
          <t>TOR</t>
        </is>
      </c>
      <c r="D2319" s="9" t="n">
        <v>25</v>
      </c>
      <c r="E2319" s="16" t="inlineStr">
        <is>
          <t>R</t>
        </is>
      </c>
      <c r="F2319" s="16" t="n"/>
      <c r="G2319" s="9" t="n">
        <v>45.6923076923077</v>
      </c>
      <c r="H2319" s="9" t="n">
        <v>45.6923076923077</v>
      </c>
      <c r="I2319" s="9" t="inlineStr">
        <is>
          <t>Depth (no MLB PA)</t>
        </is>
      </c>
      <c r="J2319" s="16" t="inlineStr">
        <is>
          <t>Opening Day</t>
        </is>
      </c>
      <c r="K2319" s="11">
        <f>IFERROR(INDEX(Roles!$B$17:$B$20,MATCH(J2319,Roles!$A$17:$A$20,0)),1)</f>
        <v/>
      </c>
      <c r="L2319" s="17" t="n">
        <v>1</v>
      </c>
      <c r="M2319" s="11" t="n">
        <v>1</v>
      </c>
      <c r="N2319" s="17" t="n"/>
      <c r="O2319" s="17" t="n"/>
      <c r="P2319" s="17" t="n"/>
      <c r="Q2319" s="17" t="n"/>
      <c r="R2319" s="17" t="n"/>
      <c r="S2319" s="17" t="n"/>
      <c r="T2319" s="17" t="n"/>
      <c r="U2319" s="17" t="n"/>
      <c r="V2319" s="17" t="n"/>
      <c r="W2319" s="17" t="n"/>
      <c r="X2319" s="17" t="n"/>
      <c r="Y2319" s="17" t="n">
        <v>1</v>
      </c>
      <c r="Z2319" s="13">
        <f>SUMPRODUCT(N2319:Y2319,$N$2:$Y$2)*$K2319*$L2319*$M2319</f>
        <v/>
      </c>
      <c r="AA2319" s="14">
        <f>SUM(N2319:Y2319)</f>
        <v/>
      </c>
      <c r="AB2319" s="14">
        <f>IFERROR(IF(UPPER($E2319)="L",SUMPRODUCT(N2319:Y2319,$N$3:$Y$3,$N$2:$Y$2),SUMPRODUCT(N2319:Y2319,$N$4:$Y$4,$N$2:$Y$2))/(Z2319/($K2319*$L2319*$M2319)),"")</f>
        <v/>
      </c>
      <c r="AC2319" s="18" t="n"/>
    </row>
    <row r="2320">
      <c r="A2320" s="9" t="n">
        <v>666165</v>
      </c>
      <c r="B2320" s="9" t="inlineStr">
        <is>
          <t>Blake Sabol</t>
        </is>
      </c>
      <c r="C2320" s="9" t="inlineStr">
        <is>
          <t>SF</t>
        </is>
      </c>
      <c r="D2320" s="9" t="n">
        <v>29</v>
      </c>
      <c r="E2320" s="16" t="inlineStr">
        <is>
          <t>L</t>
        </is>
      </c>
      <c r="F2320" s="16" t="inlineStr">
        <is>
          <t>C</t>
        </is>
      </c>
      <c r="G2320" s="9" t="n">
        <v>18</v>
      </c>
      <c r="H2320" s="9" t="n">
        <v>400</v>
      </c>
      <c r="I2320" s="9" t="inlineStr">
        <is>
          <t>Depth (no MLB PA)</t>
        </is>
      </c>
      <c r="J2320" s="16" t="inlineStr">
        <is>
          <t>Opening Day</t>
        </is>
      </c>
      <c r="K2320" s="11">
        <f>IFERROR(INDEX(Roles!$B$17:$B$20,MATCH(J2320,Roles!$A$17:$A$20,0)),1)</f>
        <v/>
      </c>
      <c r="L2320" s="17" t="n">
        <v>1</v>
      </c>
      <c r="M2320" s="11" t="n">
        <v>1</v>
      </c>
      <c r="N2320" s="17" t="n"/>
      <c r="O2320" s="17" t="n"/>
      <c r="P2320" s="17" t="n"/>
      <c r="Q2320" s="17" t="n"/>
      <c r="R2320" s="17" t="n"/>
      <c r="S2320" s="17" t="n"/>
      <c r="T2320" s="17" t="n"/>
      <c r="U2320" s="17" t="n"/>
      <c r="V2320" s="17" t="n"/>
      <c r="W2320" s="17" t="n"/>
      <c r="X2320" s="17" t="n"/>
      <c r="Y2320" s="17" t="n">
        <v>1</v>
      </c>
      <c r="Z2320" s="13">
        <f>SUMPRODUCT(N2320:Y2320,$N$2:$Y$2)*$K2320*$L2320*$M2320</f>
        <v/>
      </c>
      <c r="AA2320" s="14">
        <f>SUM(N2320:Y2320)</f>
        <v/>
      </c>
      <c r="AB2320" s="14">
        <f>IFERROR(IF(UPPER($E2320)="L",SUMPRODUCT(N2320:Y2320,$N$3:$Y$3,$N$2:$Y$2),SUMPRODUCT(N2320:Y2320,$N$4:$Y$4,$N$2:$Y$2))/(Z2320/($K2320*$L2320*$M2320)),"")</f>
        <v/>
      </c>
      <c r="AC2320" s="18" t="n"/>
    </row>
    <row r="2321">
      <c r="A2321" s="9" t="n">
        <v>815843</v>
      </c>
      <c r="B2321" s="9" t="inlineStr">
        <is>
          <t>Josh Hammond</t>
        </is>
      </c>
      <c r="C2321" s="9" t="inlineStr">
        <is>
          <t>KC</t>
        </is>
      </c>
      <c r="D2321" s="9" t="n">
        <v>21</v>
      </c>
      <c r="E2321" s="16" t="inlineStr">
        <is>
          <t>R</t>
        </is>
      </c>
      <c r="F2321" s="16" t="n"/>
      <c r="G2321" s="9" t="n">
        <v>59.44615384615385</v>
      </c>
      <c r="H2321" s="9" t="n">
        <v>59.44615384615385</v>
      </c>
      <c r="I2321" s="9" t="inlineStr">
        <is>
          <t>Depth (no MLB PA)</t>
        </is>
      </c>
      <c r="J2321" s="16" t="inlineStr">
        <is>
          <t>Opening Day</t>
        </is>
      </c>
      <c r="K2321" s="11">
        <f>IFERROR(INDEX(Roles!$B$17:$B$20,MATCH(J2321,Roles!$A$17:$A$20,0)),1)</f>
        <v/>
      </c>
      <c r="L2321" s="17" t="n">
        <v>1</v>
      </c>
      <c r="M2321" s="11" t="n">
        <v>1</v>
      </c>
      <c r="N2321" s="17" t="n"/>
      <c r="O2321" s="17" t="n"/>
      <c r="P2321" s="17" t="n"/>
      <c r="Q2321" s="17" t="n"/>
      <c r="R2321" s="17" t="n"/>
      <c r="S2321" s="17" t="n"/>
      <c r="T2321" s="17" t="n"/>
      <c r="U2321" s="17" t="n"/>
      <c r="V2321" s="17" t="n"/>
      <c r="W2321" s="17" t="n"/>
      <c r="X2321" s="17" t="n"/>
      <c r="Y2321" s="17" t="n">
        <v>1</v>
      </c>
      <c r="Z2321" s="13">
        <f>SUMPRODUCT(N2321:Y2321,$N$2:$Y$2)*$K2321*$L2321*$M2321</f>
        <v/>
      </c>
      <c r="AA2321" s="14">
        <f>SUM(N2321:Y2321)</f>
        <v/>
      </c>
      <c r="AB2321" s="14">
        <f>IFERROR(IF(UPPER($E2321)="L",SUMPRODUCT(N2321:Y2321,$N$3:$Y$3,$N$2:$Y$2),SUMPRODUCT(N2321:Y2321,$N$4:$Y$4,$N$2:$Y$2))/(Z2321/($K2321*$L2321*$M2321)),"")</f>
        <v/>
      </c>
      <c r="AC2321" s="18" t="n"/>
    </row>
    <row r="2322">
      <c r="A2322" s="9" t="n">
        <v>694304</v>
      </c>
      <c r="B2322" s="9" t="inlineStr">
        <is>
          <t>Cole Fontenelle</t>
        </is>
      </c>
      <c r="C2322" s="9" t="inlineStr">
        <is>
          <t>LAA</t>
        </is>
      </c>
      <c r="D2322" s="9" t="n">
        <v>25</v>
      </c>
      <c r="E2322" s="16" t="inlineStr">
        <is>
          <t>S</t>
        </is>
      </c>
      <c r="F2322" s="16" t="n"/>
      <c r="G2322" s="9" t="n">
        <v>102.3076923076923</v>
      </c>
      <c r="H2322" s="9" t="n">
        <v>102.3076923076923</v>
      </c>
      <c r="I2322" s="9" t="inlineStr">
        <is>
          <t>Depth (no MLB PA)</t>
        </is>
      </c>
      <c r="J2322" s="16" t="inlineStr">
        <is>
          <t>Opening Day</t>
        </is>
      </c>
      <c r="K2322" s="11">
        <f>IFERROR(INDEX(Roles!$B$17:$B$20,MATCH(J2322,Roles!$A$17:$A$20,0)),1)</f>
        <v/>
      </c>
      <c r="L2322" s="17" t="n">
        <v>1</v>
      </c>
      <c r="M2322" s="11" t="n">
        <v>1</v>
      </c>
      <c r="N2322" s="17" t="n"/>
      <c r="O2322" s="17" t="n"/>
      <c r="P2322" s="17" t="n"/>
      <c r="Q2322" s="17" t="n"/>
      <c r="R2322" s="17" t="n"/>
      <c r="S2322" s="17" t="n"/>
      <c r="T2322" s="17" t="n"/>
      <c r="U2322" s="17" t="n"/>
      <c r="V2322" s="17" t="n"/>
      <c r="W2322" s="17" t="n"/>
      <c r="X2322" s="17" t="n"/>
      <c r="Y2322" s="17" t="n">
        <v>1</v>
      </c>
      <c r="Z2322" s="13">
        <f>SUMPRODUCT(N2322:Y2322,$N$2:$Y$2)*$K2322*$L2322*$M2322</f>
        <v/>
      </c>
      <c r="AA2322" s="14">
        <f>SUM(N2322:Y2322)</f>
        <v/>
      </c>
      <c r="AB2322" s="14">
        <f>IFERROR(IF(UPPER($E2322)="L",SUMPRODUCT(N2322:Y2322,$N$3:$Y$3,$N$2:$Y$2),SUMPRODUCT(N2322:Y2322,$N$4:$Y$4,$N$2:$Y$2))/(Z2322/($K2322*$L2322*$M2322)),"")</f>
        <v/>
      </c>
      <c r="AC2322" s="18" t="n"/>
    </row>
    <row r="2323">
      <c r="A2323" s="9" t="n">
        <v>695634</v>
      </c>
      <c r="B2323" s="9" t="inlineStr">
        <is>
          <t>Jaime Ferrer</t>
        </is>
      </c>
      <c r="C2323" s="9" t="inlineStr">
        <is>
          <t>MIN</t>
        </is>
      </c>
      <c r="D2323" s="9" t="n">
        <v>25</v>
      </c>
      <c r="E2323" s="16" t="inlineStr">
        <is>
          <t>R</t>
        </is>
      </c>
      <c r="F2323" s="16" t="n"/>
      <c r="G2323" s="9" t="n">
        <v>106.974358974359</v>
      </c>
      <c r="H2323" s="9" t="n">
        <v>106.974358974359</v>
      </c>
      <c r="I2323" s="9" t="inlineStr">
        <is>
          <t>Depth (no MLB PA)</t>
        </is>
      </c>
      <c r="J2323" s="16" t="inlineStr">
        <is>
          <t>Opening Day</t>
        </is>
      </c>
      <c r="K2323" s="11">
        <f>IFERROR(INDEX(Roles!$B$17:$B$20,MATCH(J2323,Roles!$A$17:$A$20,0)),1)</f>
        <v/>
      </c>
      <c r="L2323" s="17" t="n">
        <v>1</v>
      </c>
      <c r="M2323" s="11" t="n">
        <v>1</v>
      </c>
      <c r="N2323" s="17" t="n"/>
      <c r="O2323" s="17" t="n"/>
      <c r="P2323" s="17" t="n"/>
      <c r="Q2323" s="17" t="n"/>
      <c r="R2323" s="17" t="n"/>
      <c r="S2323" s="17" t="n"/>
      <c r="T2323" s="17" t="n"/>
      <c r="U2323" s="17" t="n"/>
      <c r="V2323" s="17" t="n"/>
      <c r="W2323" s="17" t="n"/>
      <c r="X2323" s="17" t="n"/>
      <c r="Y2323" s="17" t="n">
        <v>1</v>
      </c>
      <c r="Z2323" s="13">
        <f>SUMPRODUCT(N2323:Y2323,$N$2:$Y$2)*$K2323*$L2323*$M2323</f>
        <v/>
      </c>
      <c r="AA2323" s="14">
        <f>SUM(N2323:Y2323)</f>
        <v/>
      </c>
      <c r="AB2323" s="14">
        <f>IFERROR(IF(UPPER($E2323)="L",SUMPRODUCT(N2323:Y2323,$N$3:$Y$3,$N$2:$Y$2),SUMPRODUCT(N2323:Y2323,$N$4:$Y$4,$N$2:$Y$2))/(Z2323/($K2323*$L2323*$M2323)),"")</f>
        <v/>
      </c>
      <c r="AC2323" s="18" t="n"/>
    </row>
    <row r="2324">
      <c r="A2324" s="9" t="n">
        <v>822177</v>
      </c>
      <c r="B2324" s="9" t="inlineStr">
        <is>
          <t>Jose Cerice</t>
        </is>
      </c>
      <c r="C2324" s="9" t="inlineStr">
        <is>
          <t>KC</t>
        </is>
      </c>
      <c r="D2324" s="9" t="n">
        <v>25</v>
      </c>
      <c r="E2324" s="16" t="inlineStr">
        <is>
          <t>R</t>
        </is>
      </c>
      <c r="F2324" s="16" t="n"/>
      <c r="G2324" s="9" t="n">
        <v>78.76923076923077</v>
      </c>
      <c r="H2324" s="9" t="n">
        <v>78.76923076923077</v>
      </c>
      <c r="I2324" s="9" t="inlineStr">
        <is>
          <t>Depth (no MLB PA)</t>
        </is>
      </c>
      <c r="J2324" s="16" t="inlineStr">
        <is>
          <t>Opening Day</t>
        </is>
      </c>
      <c r="K2324" s="11">
        <f>IFERROR(INDEX(Roles!$B$17:$B$20,MATCH(J2324,Roles!$A$17:$A$20,0)),1)</f>
        <v/>
      </c>
      <c r="L2324" s="17" t="n">
        <v>1</v>
      </c>
      <c r="M2324" s="11" t="n">
        <v>1</v>
      </c>
      <c r="N2324" s="17" t="n"/>
      <c r="O2324" s="17" t="n"/>
      <c r="P2324" s="17" t="n"/>
      <c r="Q2324" s="17" t="n"/>
      <c r="R2324" s="17" t="n"/>
      <c r="S2324" s="17" t="n"/>
      <c r="T2324" s="17" t="n"/>
      <c r="U2324" s="17" t="n"/>
      <c r="V2324" s="17" t="n"/>
      <c r="W2324" s="17" t="n"/>
      <c r="X2324" s="17" t="n"/>
      <c r="Y2324" s="17" t="n">
        <v>1</v>
      </c>
      <c r="Z2324" s="13">
        <f>SUMPRODUCT(N2324:Y2324,$N$2:$Y$2)*$K2324*$L2324*$M2324</f>
        <v/>
      </c>
      <c r="AA2324" s="14">
        <f>SUM(N2324:Y2324)</f>
        <v/>
      </c>
      <c r="AB2324" s="14">
        <f>IFERROR(IF(UPPER($E2324)="L",SUMPRODUCT(N2324:Y2324,$N$3:$Y$3,$N$2:$Y$2),SUMPRODUCT(N2324:Y2324,$N$4:$Y$4,$N$2:$Y$2))/(Z2324/($K2324*$L2324*$M2324)),"")</f>
        <v/>
      </c>
      <c r="AC2324" s="18" t="n"/>
    </row>
    <row r="2325">
      <c r="A2325" s="9" t="n">
        <v>702977</v>
      </c>
      <c r="B2325" s="9" t="inlineStr">
        <is>
          <t>Dillon Head</t>
        </is>
      </c>
      <c r="C2325" s="9" t="inlineStr">
        <is>
          <t>MIA</t>
        </is>
      </c>
      <c r="D2325" s="9" t="n">
        <v>25</v>
      </c>
      <c r="E2325" s="16" t="inlineStr">
        <is>
          <t>L</t>
        </is>
      </c>
      <c r="F2325" s="16" t="n"/>
      <c r="G2325" s="9" t="n">
        <v>81.43589743589745</v>
      </c>
      <c r="H2325" s="9" t="n">
        <v>81.43589743589745</v>
      </c>
      <c r="I2325" s="9" t="inlineStr">
        <is>
          <t>Depth (no MLB PA)</t>
        </is>
      </c>
      <c r="J2325" s="16" t="inlineStr">
        <is>
          <t>Opening Day</t>
        </is>
      </c>
      <c r="K2325" s="11">
        <f>IFERROR(INDEX(Roles!$B$17:$B$20,MATCH(J2325,Roles!$A$17:$A$20,0)),1)</f>
        <v/>
      </c>
      <c r="L2325" s="17" t="n">
        <v>1</v>
      </c>
      <c r="M2325" s="11" t="n">
        <v>1</v>
      </c>
      <c r="N2325" s="17" t="n"/>
      <c r="O2325" s="17" t="n"/>
      <c r="P2325" s="17" t="n"/>
      <c r="Q2325" s="17" t="n"/>
      <c r="R2325" s="17" t="n"/>
      <c r="S2325" s="17" t="n"/>
      <c r="T2325" s="17" t="n"/>
      <c r="U2325" s="17" t="n"/>
      <c r="V2325" s="17" t="n"/>
      <c r="W2325" s="17" t="n"/>
      <c r="X2325" s="17" t="n"/>
      <c r="Y2325" s="17" t="n">
        <v>1</v>
      </c>
      <c r="Z2325" s="13">
        <f>SUMPRODUCT(N2325:Y2325,$N$2:$Y$2)*$K2325*$L2325*$M2325</f>
        <v/>
      </c>
      <c r="AA2325" s="14">
        <f>SUM(N2325:Y2325)</f>
        <v/>
      </c>
      <c r="AB2325" s="14">
        <f>IFERROR(IF(UPPER($E2325)="L",SUMPRODUCT(N2325:Y2325,$N$3:$Y$3,$N$2:$Y$2),SUMPRODUCT(N2325:Y2325,$N$4:$Y$4,$N$2:$Y$2))/(Z2325/($K2325*$L2325*$M2325)),"")</f>
        <v/>
      </c>
      <c r="AC2325" s="18" t="n"/>
    </row>
    <row r="2326">
      <c r="A2326" s="9" t="n">
        <v>702540</v>
      </c>
      <c r="B2326" s="9" t="inlineStr">
        <is>
          <t>Mikey Romero</t>
        </is>
      </c>
      <c r="C2326" s="9" t="inlineStr">
        <is>
          <t>BOS</t>
        </is>
      </c>
      <c r="D2326" s="9" t="n">
        <v>25</v>
      </c>
      <c r="E2326" s="16" t="inlineStr">
        <is>
          <t>L</t>
        </is>
      </c>
      <c r="F2326" s="16" t="n"/>
      <c r="G2326" s="9" t="n">
        <v>270.7692307692308</v>
      </c>
      <c r="H2326" s="9" t="n">
        <v>270.7692307692308</v>
      </c>
      <c r="I2326" s="9" t="inlineStr">
        <is>
          <t>Depth (no MLB PA)</t>
        </is>
      </c>
      <c r="J2326" s="16" t="inlineStr">
        <is>
          <t>Opening Day</t>
        </is>
      </c>
      <c r="K2326" s="11">
        <f>IFERROR(INDEX(Roles!$B$17:$B$20,MATCH(J2326,Roles!$A$17:$A$20,0)),1)</f>
        <v/>
      </c>
      <c r="L2326" s="17" t="n">
        <v>1</v>
      </c>
      <c r="M2326" s="11" t="n">
        <v>1</v>
      </c>
      <c r="N2326" s="17" t="n"/>
      <c r="O2326" s="17" t="n"/>
      <c r="P2326" s="17" t="n"/>
      <c r="Q2326" s="17" t="n"/>
      <c r="R2326" s="17" t="n"/>
      <c r="S2326" s="17" t="n"/>
      <c r="T2326" s="17" t="n"/>
      <c r="U2326" s="17" t="n"/>
      <c r="V2326" s="17" t="n"/>
      <c r="W2326" s="17" t="n"/>
      <c r="X2326" s="17" t="n"/>
      <c r="Y2326" s="17" t="n">
        <v>1</v>
      </c>
      <c r="Z2326" s="13">
        <f>SUMPRODUCT(N2326:Y2326,$N$2:$Y$2)*$K2326*$L2326*$M2326</f>
        <v/>
      </c>
      <c r="AA2326" s="14">
        <f>SUM(N2326:Y2326)</f>
        <v/>
      </c>
      <c r="AB2326" s="14">
        <f>IFERROR(IF(UPPER($E2326)="L",SUMPRODUCT(N2326:Y2326,$N$3:$Y$3,$N$2:$Y$2),SUMPRODUCT(N2326:Y2326,$N$4:$Y$4,$N$2:$Y$2))/(Z2326/($K2326*$L2326*$M2326)),"")</f>
        <v/>
      </c>
      <c r="AC2326" s="18" t="n"/>
    </row>
    <row r="2327">
      <c r="A2327" s="9" t="n">
        <v>699114</v>
      </c>
      <c r="B2327" s="9" t="inlineStr">
        <is>
          <t>Leo Balcazar</t>
        </is>
      </c>
      <c r="C2327" s="9" t="inlineStr">
        <is>
          <t>CIN</t>
        </is>
      </c>
      <c r="D2327" s="9" t="n">
        <v>25</v>
      </c>
      <c r="E2327" s="16" t="inlineStr">
        <is>
          <t>R</t>
        </is>
      </c>
      <c r="F2327" s="16" t="n"/>
      <c r="G2327" s="9" t="n">
        <v>85.17948717948718</v>
      </c>
      <c r="H2327" s="9" t="n">
        <v>85.17948717948718</v>
      </c>
      <c r="I2327" s="9" t="inlineStr">
        <is>
          <t>Depth (no MLB PA)</t>
        </is>
      </c>
      <c r="J2327" s="16" t="inlineStr">
        <is>
          <t>Opening Day</t>
        </is>
      </c>
      <c r="K2327" s="11">
        <f>IFERROR(INDEX(Roles!$B$17:$B$20,MATCH(J2327,Roles!$A$17:$A$20,0)),1)</f>
        <v/>
      </c>
      <c r="L2327" s="17" t="n">
        <v>1</v>
      </c>
      <c r="M2327" s="11" t="n">
        <v>1</v>
      </c>
      <c r="N2327" s="17" t="n"/>
      <c r="O2327" s="17" t="n"/>
      <c r="P2327" s="17" t="n"/>
      <c r="Q2327" s="17" t="n"/>
      <c r="R2327" s="17" t="n"/>
      <c r="S2327" s="17" t="n"/>
      <c r="T2327" s="17" t="n"/>
      <c r="U2327" s="17" t="n"/>
      <c r="V2327" s="17" t="n"/>
      <c r="W2327" s="17" t="n"/>
      <c r="X2327" s="17" t="n"/>
      <c r="Y2327" s="17" t="n">
        <v>1</v>
      </c>
      <c r="Z2327" s="13">
        <f>SUMPRODUCT(N2327:Y2327,$N$2:$Y$2)*$K2327*$L2327*$M2327</f>
        <v/>
      </c>
      <c r="AA2327" s="14">
        <f>SUM(N2327:Y2327)</f>
        <v/>
      </c>
      <c r="AB2327" s="14">
        <f>IFERROR(IF(UPPER($E2327)="L",SUMPRODUCT(N2327:Y2327,$N$3:$Y$3,$N$2:$Y$2),SUMPRODUCT(N2327:Y2327,$N$4:$Y$4,$N$2:$Y$2))/(Z2327/($K2327*$L2327*$M2327)),"")</f>
        <v/>
      </c>
      <c r="AC2327" s="18" t="n"/>
    </row>
    <row r="2328">
      <c r="A2328" s="9" t="n">
        <v>815908</v>
      </c>
      <c r="B2328" s="9" t="inlineStr">
        <is>
          <t>Jesús Made</t>
        </is>
      </c>
      <c r="C2328" s="9" t="inlineStr">
        <is>
          <t>MIL</t>
        </is>
      </c>
      <c r="D2328" s="9" t="n">
        <v>20</v>
      </c>
      <c r="E2328" s="16" t="inlineStr">
        <is>
          <t>S</t>
        </is>
      </c>
      <c r="F2328" s="16" t="n"/>
      <c r="G2328" s="9" t="n">
        <v>196.7179487179488</v>
      </c>
      <c r="H2328" s="9" t="n">
        <v>196.7179487179488</v>
      </c>
      <c r="I2328" s="9" t="inlineStr">
        <is>
          <t>Bench Bat</t>
        </is>
      </c>
      <c r="J2328" s="16" t="inlineStr">
        <is>
          <t>Mid Season (~July)</t>
        </is>
      </c>
      <c r="K2328" s="11">
        <f>IFERROR(INDEX(Roles!$B$17:$B$20,MATCH(J2328,Roles!$A$17:$A$20,0)),1)</f>
        <v/>
      </c>
      <c r="L2328" s="17" t="n">
        <v>1</v>
      </c>
      <c r="M2328" s="11" t="n">
        <v>1</v>
      </c>
      <c r="N2328" s="17" t="n">
        <v>0.34</v>
      </c>
      <c r="O2328" s="17" t="n"/>
      <c r="P2328" s="17" t="n">
        <v>0.3</v>
      </c>
      <c r="Q2328" s="17" t="n"/>
      <c r="R2328" s="17" t="n"/>
      <c r="S2328" s="17" t="n"/>
      <c r="T2328" s="17" t="n"/>
      <c r="U2328" s="17" t="n"/>
      <c r="V2328" s="17" t="n"/>
      <c r="W2328" s="17" t="n">
        <v>0.36</v>
      </c>
      <c r="X2328" s="17" t="n"/>
      <c r="Y2328" s="17" t="n"/>
      <c r="Z2328" s="13">
        <f>SUMPRODUCT(N2328:Y2328,$N$2:$Y$2)*$K2328*$L2328*$M2328</f>
        <v/>
      </c>
      <c r="AA2328" s="14">
        <f>SUM(N2328:Y2328)</f>
        <v/>
      </c>
      <c r="AB2328" s="14">
        <f>IFERROR(IF(UPPER($E2328)="L",SUMPRODUCT(N2328:Y2328,$N$3:$Y$3,$N$2:$Y$2),SUMPRODUCT(N2328:Y2328,$N$4:$Y$4,$N$2:$Y$2))/(Z2328/($K2328*$L2328*$M2328)),"")</f>
        <v/>
      </c>
      <c r="AC2328" s="18" t="n"/>
    </row>
    <row r="2329">
      <c r="A2329" s="9" t="n">
        <v>680700</v>
      </c>
      <c r="B2329" s="9" t="inlineStr">
        <is>
          <t>Richie Palacios</t>
        </is>
      </c>
      <c r="C2329" s="9" t="inlineStr">
        <is>
          <t>TB</t>
        </is>
      </c>
      <c r="D2329" s="9" t="n">
        <v>30</v>
      </c>
      <c r="E2329" s="16" t="inlineStr">
        <is>
          <t>L</t>
        </is>
      </c>
      <c r="F2329" s="16" t="inlineStr">
        <is>
          <t>2B</t>
        </is>
      </c>
      <c r="G2329" s="9" t="n">
        <v>399</v>
      </c>
      <c r="H2329" s="9" t="n">
        <v>988</v>
      </c>
      <c r="I2329" s="9" t="inlineStr">
        <is>
          <t>Strong Side Platoon</t>
        </is>
      </c>
      <c r="J2329" s="16" t="inlineStr">
        <is>
          <t>Opening Day</t>
        </is>
      </c>
      <c r="K2329" s="11">
        <f>IFERROR(INDEX(Roles!$B$17:$B$20,MATCH(J2329,Roles!$A$17:$A$20,0)),1)</f>
        <v/>
      </c>
      <c r="L2329" s="17" t="n">
        <v>1</v>
      </c>
      <c r="M2329" s="11" t="n">
        <v>0.8350968085482339</v>
      </c>
      <c r="N2329" s="17" t="n">
        <v>0.4</v>
      </c>
      <c r="O2329" s="17" t="n"/>
      <c r="P2329" s="17" t="n">
        <v>0.6</v>
      </c>
      <c r="Q2329" s="17" t="n"/>
      <c r="R2329" s="17" t="n"/>
      <c r="S2329" s="17" t="n"/>
      <c r="T2329" s="17" t="n"/>
      <c r="U2329" s="17" t="n"/>
      <c r="V2329" s="17" t="n"/>
      <c r="W2329" s="17" t="n"/>
      <c r="X2329" s="17" t="n"/>
      <c r="Y2329" s="17" t="n"/>
      <c r="Z2329" s="13">
        <f>SUMPRODUCT(N2329:Y2329,$N$2:$Y$2)*$K2329*$L2329*$M2329</f>
        <v/>
      </c>
      <c r="AA2329" s="14">
        <f>SUM(N2329:Y2329)</f>
        <v/>
      </c>
      <c r="AB2329" s="14">
        <f>IFERROR(IF(UPPER($E2329)="L",SUMPRODUCT(N2329:Y2329,$N$3:$Y$3,$N$2:$Y$2),SUMPRODUCT(N2329:Y2329,$N$4:$Y$4,$N$2:$Y$2))/(Z2329/($K2329*$L2329*$M2329)),"")</f>
        <v/>
      </c>
      <c r="AC2329" s="18" t="n"/>
    </row>
    <row r="2330">
      <c r="A2330" s="9" t="n">
        <v>663697</v>
      </c>
      <c r="B2330" s="9" t="inlineStr">
        <is>
          <t>Jonathan India</t>
        </is>
      </c>
      <c r="C2330" s="9" t="inlineStr">
        <is>
          <t>KC</t>
        </is>
      </c>
      <c r="D2330" s="9" t="n">
        <v>30</v>
      </c>
      <c r="E2330" s="16" t="inlineStr">
        <is>
          <t>R</t>
        </is>
      </c>
      <c r="F2330" s="16" t="inlineStr">
        <is>
          <t>2B</t>
        </is>
      </c>
      <c r="G2330" s="9" t="n">
        <v>58</v>
      </c>
      <c r="H2330" s="9" t="n">
        <v>2222</v>
      </c>
      <c r="I2330" s="9" t="inlineStr">
        <is>
          <t>Full Time</t>
        </is>
      </c>
      <c r="J2330" s="16" t="inlineStr">
        <is>
          <t>Opening Day</t>
        </is>
      </c>
      <c r="K2330" s="11">
        <f>IFERROR(INDEX(Roles!$B$17:$B$20,MATCH(J2330,Roles!$A$17:$A$20,0)),1)</f>
        <v/>
      </c>
      <c r="L2330" s="17" t="n">
        <v>1</v>
      </c>
      <c r="M2330" s="11" t="n">
        <v>0.7919103273916395</v>
      </c>
      <c r="N2330" s="17" t="n">
        <v>1</v>
      </c>
      <c r="O2330" s="17" t="n"/>
      <c r="P2330" s="17" t="n"/>
      <c r="Q2330" s="17" t="n"/>
      <c r="R2330" s="17" t="n"/>
      <c r="S2330" s="17" t="n"/>
      <c r="T2330" s="17" t="n"/>
      <c r="U2330" s="17" t="n"/>
      <c r="V2330" s="17" t="n"/>
      <c r="W2330" s="17" t="n"/>
      <c r="X2330" s="17" t="n"/>
      <c r="Y2330" s="17" t="n"/>
      <c r="Z2330" s="13">
        <f>SUMPRODUCT(N2330:Y2330,$N$2:$Y$2)*$K2330*$L2330*$M2330</f>
        <v/>
      </c>
      <c r="AA2330" s="14">
        <f>SUM(N2330:Y2330)</f>
        <v/>
      </c>
      <c r="AB2330" s="14">
        <f>IFERROR(IF(UPPER($E2330)="L",SUMPRODUCT(N2330:Y2330,$N$3:$Y$3,$N$2:$Y$2),SUMPRODUCT(N2330:Y2330,$N$4:$Y$4,$N$2:$Y$2))/(Z2330/($K2330*$L2330*$M2330)),"")</f>
        <v/>
      </c>
      <c r="AC2330" s="18" t="n"/>
    </row>
    <row r="2331">
      <c r="A2331" s="9" t="n">
        <v>828489</v>
      </c>
      <c r="B2331" s="9" t="inlineStr">
        <is>
          <t>Andy Polanco</t>
        </is>
      </c>
      <c r="C2331" s="9" t="inlineStr">
        <is>
          <t>SF</t>
        </is>
      </c>
      <c r="D2331" s="9" t="n">
        <v>25</v>
      </c>
      <c r="E2331" s="16" t="inlineStr">
        <is>
          <t>R</t>
        </is>
      </c>
      <c r="F2331" s="16" t="n"/>
      <c r="G2331" s="9" t="n">
        <v>47.13846153846153</v>
      </c>
      <c r="H2331" s="9" t="n">
        <v>47.13846153846153</v>
      </c>
      <c r="I2331" s="9" t="inlineStr">
        <is>
          <t>Depth (no MLB PA)</t>
        </is>
      </c>
      <c r="J2331" s="16" t="inlineStr">
        <is>
          <t>Opening Day</t>
        </is>
      </c>
      <c r="K2331" s="11">
        <f>IFERROR(INDEX(Roles!$B$17:$B$20,MATCH(J2331,Roles!$A$17:$A$20,0)),1)</f>
        <v/>
      </c>
      <c r="L2331" s="17" t="n">
        <v>1</v>
      </c>
      <c r="M2331" s="11" t="n">
        <v>1</v>
      </c>
      <c r="N2331" s="17" t="n"/>
      <c r="O2331" s="17" t="n"/>
      <c r="P2331" s="17" t="n"/>
      <c r="Q2331" s="17" t="n"/>
      <c r="R2331" s="17" t="n"/>
      <c r="S2331" s="17" t="n"/>
      <c r="T2331" s="17" t="n"/>
      <c r="U2331" s="17" t="n"/>
      <c r="V2331" s="17" t="n"/>
      <c r="W2331" s="17" t="n"/>
      <c r="X2331" s="17" t="n"/>
      <c r="Y2331" s="17" t="n">
        <v>1</v>
      </c>
      <c r="Z2331" s="13">
        <f>SUMPRODUCT(N2331:Y2331,$N$2:$Y$2)*$K2331*$L2331*$M2331</f>
        <v/>
      </c>
      <c r="AA2331" s="14">
        <f>SUM(N2331:Y2331)</f>
        <v/>
      </c>
      <c r="AB2331" s="14">
        <f>IFERROR(IF(UPPER($E2331)="L",SUMPRODUCT(N2331:Y2331,$N$3:$Y$3,$N$2:$Y$2),SUMPRODUCT(N2331:Y2331,$N$4:$Y$4,$N$2:$Y$2))/(Z2331/($K2331*$L2331*$M2331)),"")</f>
        <v/>
      </c>
      <c r="AC2331" s="18" t="n"/>
    </row>
    <row r="2332">
      <c r="A2332" s="9" t="n">
        <v>695462</v>
      </c>
      <c r="B2332" s="9" t="inlineStr">
        <is>
          <t>Cal Conley</t>
        </is>
      </c>
      <c r="C2332" s="9" t="inlineStr">
        <is>
          <t>ATL</t>
        </is>
      </c>
      <c r="D2332" s="9" t="n">
        <v>25</v>
      </c>
      <c r="E2332" s="16" t="inlineStr">
        <is>
          <t>S</t>
        </is>
      </c>
      <c r="F2332" s="16" t="n"/>
      <c r="G2332" s="9" t="n">
        <v>120.7179487179487</v>
      </c>
      <c r="H2332" s="9" t="n">
        <v>120.7179487179487</v>
      </c>
      <c r="I2332" s="9" t="inlineStr">
        <is>
          <t>Depth (no MLB PA)</t>
        </is>
      </c>
      <c r="J2332" s="16" t="inlineStr">
        <is>
          <t>Opening Day</t>
        </is>
      </c>
      <c r="K2332" s="11">
        <f>IFERROR(INDEX(Roles!$B$17:$B$20,MATCH(J2332,Roles!$A$17:$A$20,0)),1)</f>
        <v/>
      </c>
      <c r="L2332" s="17" t="n">
        <v>1</v>
      </c>
      <c r="M2332" s="11" t="n">
        <v>1</v>
      </c>
      <c r="N2332" s="17" t="n"/>
      <c r="O2332" s="17" t="n"/>
      <c r="P2332" s="17" t="n"/>
      <c r="Q2332" s="17" t="n"/>
      <c r="R2332" s="17" t="n"/>
      <c r="S2332" s="17" t="n"/>
      <c r="T2332" s="17" t="n"/>
      <c r="U2332" s="17" t="n"/>
      <c r="V2332" s="17" t="n"/>
      <c r="W2332" s="17" t="n"/>
      <c r="X2332" s="17" t="n"/>
      <c r="Y2332" s="17" t="n">
        <v>1</v>
      </c>
      <c r="Z2332" s="13">
        <f>SUMPRODUCT(N2332:Y2332,$N$2:$Y$2)*$K2332*$L2332*$M2332</f>
        <v/>
      </c>
      <c r="AA2332" s="14">
        <f>SUM(N2332:Y2332)</f>
        <v/>
      </c>
      <c r="AB2332" s="14">
        <f>IFERROR(IF(UPPER($E2332)="L",SUMPRODUCT(N2332:Y2332,$N$3:$Y$3,$N$2:$Y$2),SUMPRODUCT(N2332:Y2332,$N$4:$Y$4,$N$2:$Y$2))/(Z2332/($K2332*$L2332*$M2332)),"")</f>
        <v/>
      </c>
      <c r="AC2332" s="18" t="n"/>
    </row>
    <row r="2333">
      <c r="A2333" s="9" t="n">
        <v>690448</v>
      </c>
      <c r="B2333" s="9" t="inlineStr">
        <is>
          <t>Mike Jarvis</t>
        </is>
      </c>
      <c r="C2333" s="9" t="inlineStr">
        <is>
          <t>PIT</t>
        </is>
      </c>
      <c r="D2333" s="9" t="n">
        <v>25</v>
      </c>
      <c r="E2333" s="16" t="inlineStr">
        <is>
          <t>R</t>
        </is>
      </c>
      <c r="F2333" s="16" t="n"/>
      <c r="G2333" s="9" t="n">
        <v>62.05128205128206</v>
      </c>
      <c r="H2333" s="9" t="n">
        <v>62.05128205128206</v>
      </c>
      <c r="I2333" s="9" t="inlineStr">
        <is>
          <t>Depth (no MLB PA)</t>
        </is>
      </c>
      <c r="J2333" s="16" t="inlineStr">
        <is>
          <t>Opening Day</t>
        </is>
      </c>
      <c r="K2333" s="11">
        <f>IFERROR(INDEX(Roles!$B$17:$B$20,MATCH(J2333,Roles!$A$17:$A$20,0)),1)</f>
        <v/>
      </c>
      <c r="L2333" s="17" t="n">
        <v>1</v>
      </c>
      <c r="M2333" s="11" t="n">
        <v>1</v>
      </c>
      <c r="N2333" s="17" t="n"/>
      <c r="O2333" s="17" t="n"/>
      <c r="P2333" s="17" t="n"/>
      <c r="Q2333" s="17" t="n"/>
      <c r="R2333" s="17" t="n"/>
      <c r="S2333" s="17" t="n"/>
      <c r="T2333" s="17" t="n"/>
      <c r="U2333" s="17" t="n"/>
      <c r="V2333" s="17" t="n"/>
      <c r="W2333" s="17" t="n"/>
      <c r="X2333" s="17" t="n"/>
      <c r="Y2333" s="17" t="n">
        <v>1</v>
      </c>
      <c r="Z2333" s="13">
        <f>SUMPRODUCT(N2333:Y2333,$N$2:$Y$2)*$K2333*$L2333*$M2333</f>
        <v/>
      </c>
      <c r="AA2333" s="14">
        <f>SUM(N2333:Y2333)</f>
        <v/>
      </c>
      <c r="AB2333" s="14">
        <f>IFERROR(IF(UPPER($E2333)="L",SUMPRODUCT(N2333:Y2333,$N$3:$Y$3,$N$2:$Y$2),SUMPRODUCT(N2333:Y2333,$N$4:$Y$4,$N$2:$Y$2))/(Z2333/($K2333*$L2333*$M2333)),"")</f>
        <v/>
      </c>
      <c r="AC2333" s="18" t="n"/>
    </row>
    <row r="2334">
      <c r="A2334" s="9" t="n">
        <v>701481</v>
      </c>
      <c r="B2334" s="9" t="inlineStr">
        <is>
          <t>Ryan Campos</t>
        </is>
      </c>
      <c r="C2334" s="9" t="inlineStr">
        <is>
          <t>STL</t>
        </is>
      </c>
      <c r="D2334" s="9" t="n">
        <v>25</v>
      </c>
      <c r="E2334" s="16" t="inlineStr">
        <is>
          <t>L</t>
        </is>
      </c>
      <c r="F2334" s="16" t="n"/>
      <c r="G2334" s="9" t="n">
        <v>166.2051282051282</v>
      </c>
      <c r="H2334" s="9" t="n">
        <v>166.2051282051282</v>
      </c>
      <c r="I2334" s="9" t="inlineStr">
        <is>
          <t>Depth (no MLB PA)</t>
        </is>
      </c>
      <c r="J2334" s="16" t="inlineStr">
        <is>
          <t>Opening Day</t>
        </is>
      </c>
      <c r="K2334" s="11">
        <f>IFERROR(INDEX(Roles!$B$17:$B$20,MATCH(J2334,Roles!$A$17:$A$20,0)),1)</f>
        <v/>
      </c>
      <c r="L2334" s="17" t="n">
        <v>1</v>
      </c>
      <c r="M2334" s="11" t="n">
        <v>1</v>
      </c>
      <c r="N2334" s="17" t="n"/>
      <c r="O2334" s="17" t="n"/>
      <c r="P2334" s="17" t="n"/>
      <c r="Q2334" s="17" t="n"/>
      <c r="R2334" s="17" t="n"/>
      <c r="S2334" s="17" t="n"/>
      <c r="T2334" s="17" t="n"/>
      <c r="U2334" s="17" t="n"/>
      <c r="V2334" s="17" t="n"/>
      <c r="W2334" s="17" t="n"/>
      <c r="X2334" s="17" t="n"/>
      <c r="Y2334" s="17" t="n">
        <v>1</v>
      </c>
      <c r="Z2334" s="13">
        <f>SUMPRODUCT(N2334:Y2334,$N$2:$Y$2)*$K2334*$L2334*$M2334</f>
        <v/>
      </c>
      <c r="AA2334" s="14">
        <f>SUM(N2334:Y2334)</f>
        <v/>
      </c>
      <c r="AB2334" s="14">
        <f>IFERROR(IF(UPPER($E2334)="L",SUMPRODUCT(N2334:Y2334,$N$3:$Y$3,$N$2:$Y$2),SUMPRODUCT(N2334:Y2334,$N$4:$Y$4,$N$2:$Y$2))/(Z2334/($K2334*$L2334*$M2334)),"")</f>
        <v/>
      </c>
      <c r="AC2334" s="18" t="n"/>
    </row>
    <row r="2335">
      <c r="A2335" s="9" t="n">
        <v>656484</v>
      </c>
      <c r="B2335" s="9" t="inlineStr">
        <is>
          <t>Tristan Gray</t>
        </is>
      </c>
      <c r="C2335" s="9" t="inlineStr">
        <is>
          <t>MIN</t>
        </is>
      </c>
      <c r="D2335" s="9" t="n">
        <v>31</v>
      </c>
      <c r="E2335" s="16" t="inlineStr">
        <is>
          <t>L</t>
        </is>
      </c>
      <c r="F2335" s="16" t="inlineStr">
        <is>
          <t>SS</t>
        </is>
      </c>
      <c r="G2335" s="9" t="n">
        <v>188</v>
      </c>
      <c r="H2335" s="9" t="n">
        <v>310</v>
      </c>
      <c r="I2335" s="9" t="inlineStr">
        <is>
          <t>Bench Bat</t>
        </is>
      </c>
      <c r="J2335" s="16" t="inlineStr">
        <is>
          <t>Opening Day</t>
        </is>
      </c>
      <c r="K2335" s="11">
        <f>IFERROR(INDEX(Roles!$B$17:$B$20,MATCH(J2335,Roles!$A$17:$A$20,0)),1)</f>
        <v/>
      </c>
      <c r="L2335" s="17" t="n">
        <v>1</v>
      </c>
      <c r="M2335" s="11" t="n">
        <v>1</v>
      </c>
      <c r="N2335" s="17" t="n"/>
      <c r="O2335" s="17" t="n"/>
      <c r="P2335" s="17" t="n"/>
      <c r="Q2335" s="17" t="n"/>
      <c r="R2335" s="17" t="n"/>
      <c r="S2335" s="17" t="n"/>
      <c r="T2335" s="17" t="n"/>
      <c r="U2335" s="17" t="n"/>
      <c r="V2335" s="17" t="n"/>
      <c r="W2335" s="17" t="n">
        <v>1</v>
      </c>
      <c r="X2335" s="17" t="n"/>
      <c r="Y2335" s="17" t="n"/>
      <c r="Z2335" s="13">
        <f>SUMPRODUCT(N2335:Y2335,$N$2:$Y$2)*$K2335*$L2335*$M2335</f>
        <v/>
      </c>
      <c r="AA2335" s="14">
        <f>SUM(N2335:Y2335)</f>
        <v/>
      </c>
      <c r="AB2335" s="14">
        <f>IFERROR(IF(UPPER($E2335)="L",SUMPRODUCT(N2335:Y2335,$N$3:$Y$3,$N$2:$Y$2),SUMPRODUCT(N2335:Y2335,$N$4:$Y$4,$N$2:$Y$2))/(Z2335/($K2335*$L2335*$M2335)),"")</f>
        <v/>
      </c>
      <c r="AC2335" s="18" t="n"/>
    </row>
    <row r="2336">
      <c r="A2336" s="9" t="n">
        <v>694815</v>
      </c>
      <c r="B2336" s="9" t="inlineStr">
        <is>
          <t>Jack Hurley</t>
        </is>
      </c>
      <c r="C2336" s="9" t="inlineStr">
        <is>
          <t>ARI</t>
        </is>
      </c>
      <c r="D2336" s="9" t="n">
        <v>25</v>
      </c>
      <c r="E2336" s="16" t="inlineStr">
        <is>
          <t>L</t>
        </is>
      </c>
      <c r="F2336" s="16" t="n"/>
      <c r="G2336" s="9" t="n">
        <v>65.43589743589745</v>
      </c>
      <c r="H2336" s="9" t="n">
        <v>65.43589743589745</v>
      </c>
      <c r="I2336" s="9" t="inlineStr">
        <is>
          <t>Depth (no MLB PA)</t>
        </is>
      </c>
      <c r="J2336" s="16" t="inlineStr">
        <is>
          <t>Opening Day</t>
        </is>
      </c>
      <c r="K2336" s="11">
        <f>IFERROR(INDEX(Roles!$B$17:$B$20,MATCH(J2336,Roles!$A$17:$A$20,0)),1)</f>
        <v/>
      </c>
      <c r="L2336" s="17" t="n">
        <v>1</v>
      </c>
      <c r="M2336" s="11" t="n">
        <v>1</v>
      </c>
      <c r="N2336" s="17" t="n"/>
      <c r="O2336" s="17" t="n"/>
      <c r="P2336" s="17" t="n"/>
      <c r="Q2336" s="17" t="n"/>
      <c r="R2336" s="17" t="n"/>
      <c r="S2336" s="17" t="n"/>
      <c r="T2336" s="17" t="n"/>
      <c r="U2336" s="17" t="n"/>
      <c r="V2336" s="17" t="n"/>
      <c r="W2336" s="17" t="n"/>
      <c r="X2336" s="17" t="n"/>
      <c r="Y2336" s="17" t="n">
        <v>1</v>
      </c>
      <c r="Z2336" s="13">
        <f>SUMPRODUCT(N2336:Y2336,$N$2:$Y$2)*$K2336*$L2336*$M2336</f>
        <v/>
      </c>
      <c r="AA2336" s="14">
        <f>SUM(N2336:Y2336)</f>
        <v/>
      </c>
      <c r="AB2336" s="14">
        <f>IFERROR(IF(UPPER($E2336)="L",SUMPRODUCT(N2336:Y2336,$N$3:$Y$3,$N$2:$Y$2),SUMPRODUCT(N2336:Y2336,$N$4:$Y$4,$N$2:$Y$2))/(Z2336/($K2336*$L2336*$M2336)),"")</f>
        <v/>
      </c>
      <c r="AC2336" s="18" t="n"/>
    </row>
    <row r="2337">
      <c r="A2337" s="9" t="n">
        <v>702550</v>
      </c>
      <c r="B2337" s="9" t="inlineStr">
        <is>
          <t>Chandler Pollard</t>
        </is>
      </c>
      <c r="C2337" s="9" t="inlineStr">
        <is>
          <t>TEX</t>
        </is>
      </c>
      <c r="D2337" s="9" t="n">
        <v>25</v>
      </c>
      <c r="E2337" s="16" t="inlineStr">
        <is>
          <t>R</t>
        </is>
      </c>
      <c r="F2337" s="16" t="n"/>
      <c r="G2337" s="9" t="n">
        <v>59.89743589743591</v>
      </c>
      <c r="H2337" s="9" t="n">
        <v>59.89743589743591</v>
      </c>
      <c r="I2337" s="9" t="inlineStr">
        <is>
          <t>Depth (no MLB PA)</t>
        </is>
      </c>
      <c r="J2337" s="16" t="inlineStr">
        <is>
          <t>Opening Day</t>
        </is>
      </c>
      <c r="K2337" s="11">
        <f>IFERROR(INDEX(Roles!$B$17:$B$20,MATCH(J2337,Roles!$A$17:$A$20,0)),1)</f>
        <v/>
      </c>
      <c r="L2337" s="17" t="n">
        <v>1</v>
      </c>
      <c r="M2337" s="11" t="n">
        <v>1</v>
      </c>
      <c r="N2337" s="17" t="n"/>
      <c r="O2337" s="17" t="n"/>
      <c r="P2337" s="17" t="n"/>
      <c r="Q2337" s="17" t="n"/>
      <c r="R2337" s="17" t="n"/>
      <c r="S2337" s="17" t="n"/>
      <c r="T2337" s="17" t="n"/>
      <c r="U2337" s="17" t="n"/>
      <c r="V2337" s="17" t="n"/>
      <c r="W2337" s="17" t="n"/>
      <c r="X2337" s="17" t="n"/>
      <c r="Y2337" s="17" t="n">
        <v>1</v>
      </c>
      <c r="Z2337" s="13">
        <f>SUMPRODUCT(N2337:Y2337,$N$2:$Y$2)*$K2337*$L2337*$M2337</f>
        <v/>
      </c>
      <c r="AA2337" s="14">
        <f>SUM(N2337:Y2337)</f>
        <v/>
      </c>
      <c r="AB2337" s="14">
        <f>IFERROR(IF(UPPER($E2337)="L",SUMPRODUCT(N2337:Y2337,$N$3:$Y$3,$N$2:$Y$2),SUMPRODUCT(N2337:Y2337,$N$4:$Y$4,$N$2:$Y$2))/(Z2337/($K2337*$L2337*$M2337)),"")</f>
        <v/>
      </c>
      <c r="AC2337" s="18" t="n"/>
    </row>
    <row r="2338">
      <c r="A2338" s="9" t="n">
        <v>676480</v>
      </c>
      <c r="B2338" s="9" t="inlineStr">
        <is>
          <t>José Barrero</t>
        </is>
      </c>
      <c r="C2338" s="9" t="inlineStr">
        <is>
          <t>STL</t>
        </is>
      </c>
      <c r="D2338" s="9" t="n">
        <v>29</v>
      </c>
      <c r="E2338" s="16" t="inlineStr">
        <is>
          <t>R</t>
        </is>
      </c>
      <c r="F2338" s="16" t="inlineStr">
        <is>
          <t>2B</t>
        </is>
      </c>
      <c r="G2338" s="9" t="n">
        <v>6</v>
      </c>
      <c r="H2338" s="9" t="n">
        <v>360</v>
      </c>
      <c r="I2338" s="9" t="inlineStr">
        <is>
          <t>Weak Side Platoon</t>
        </is>
      </c>
      <c r="J2338" s="16" t="inlineStr">
        <is>
          <t>Opening Day</t>
        </is>
      </c>
      <c r="K2338" s="11">
        <f>IFERROR(INDEX(Roles!$B$17:$B$20,MATCH(J2338,Roles!$A$17:$A$20,0)),1)</f>
        <v/>
      </c>
      <c r="L2338" s="17" t="n">
        <v>1</v>
      </c>
      <c r="M2338" s="11" t="n">
        <v>1</v>
      </c>
      <c r="N2338" s="17" t="n"/>
      <c r="O2338" s="17" t="n"/>
      <c r="P2338" s="17" t="n"/>
      <c r="Q2338" s="17" t="n">
        <v>0.6</v>
      </c>
      <c r="R2338" s="17" t="n"/>
      <c r="S2338" s="17" t="n"/>
      <c r="T2338" s="17" t="n"/>
      <c r="U2338" s="17" t="n">
        <v>0.4</v>
      </c>
      <c r="V2338" s="17" t="n"/>
      <c r="W2338" s="17" t="n"/>
      <c r="X2338" s="17" t="n"/>
      <c r="Y2338" s="17" t="n"/>
      <c r="Z2338" s="13">
        <f>SUMPRODUCT(N2338:Y2338,$N$2:$Y$2)*$K2338*$L2338*$M2338</f>
        <v/>
      </c>
      <c r="AA2338" s="14">
        <f>SUM(N2338:Y2338)</f>
        <v/>
      </c>
      <c r="AB2338" s="14">
        <f>IFERROR(IF(UPPER($E2338)="L",SUMPRODUCT(N2338:Y2338,$N$3:$Y$3,$N$2:$Y$2),SUMPRODUCT(N2338:Y2338,$N$4:$Y$4,$N$2:$Y$2))/(Z2338/($K2338*$L2338*$M2338)),"")</f>
        <v/>
      </c>
      <c r="AC2338" s="18" t="n"/>
    </row>
    <row r="2339">
      <c r="A2339" s="9" t="n">
        <v>695069</v>
      </c>
      <c r="B2339" s="9" t="inlineStr">
        <is>
          <t>Keith Jones II</t>
        </is>
      </c>
      <c r="C2339" s="9" t="inlineStr">
        <is>
          <t>TEX</t>
        </is>
      </c>
      <c r="D2339" s="9" t="n">
        <v>25</v>
      </c>
      <c r="E2339" s="16" t="inlineStr">
        <is>
          <t>L</t>
        </is>
      </c>
      <c r="F2339" s="16" t="n"/>
      <c r="G2339" s="9" t="n">
        <v>144.6666666666667</v>
      </c>
      <c r="H2339" s="9" t="n">
        <v>144.6666666666667</v>
      </c>
      <c r="I2339" s="9" t="inlineStr">
        <is>
          <t>Depth (no MLB PA)</t>
        </is>
      </c>
      <c r="J2339" s="16" t="inlineStr">
        <is>
          <t>Opening Day</t>
        </is>
      </c>
      <c r="K2339" s="11">
        <f>IFERROR(INDEX(Roles!$B$17:$B$20,MATCH(J2339,Roles!$A$17:$A$20,0)),1)</f>
        <v/>
      </c>
      <c r="L2339" s="17" t="n">
        <v>1</v>
      </c>
      <c r="M2339" s="11" t="n">
        <v>1</v>
      </c>
      <c r="N2339" s="17" t="n"/>
      <c r="O2339" s="17" t="n"/>
      <c r="P2339" s="17" t="n"/>
      <c r="Q2339" s="17" t="n"/>
      <c r="R2339" s="17" t="n"/>
      <c r="S2339" s="17" t="n"/>
      <c r="T2339" s="17" t="n"/>
      <c r="U2339" s="17" t="n"/>
      <c r="V2339" s="17" t="n"/>
      <c r="W2339" s="17" t="n"/>
      <c r="X2339" s="17" t="n"/>
      <c r="Y2339" s="17" t="n">
        <v>1</v>
      </c>
      <c r="Z2339" s="13">
        <f>SUMPRODUCT(N2339:Y2339,$N$2:$Y$2)*$K2339*$L2339*$M2339</f>
        <v/>
      </c>
      <c r="AA2339" s="14">
        <f>SUM(N2339:Y2339)</f>
        <v/>
      </c>
      <c r="AB2339" s="14">
        <f>IFERROR(IF(UPPER($E2339)="L",SUMPRODUCT(N2339:Y2339,$N$3:$Y$3,$N$2:$Y$2),SUMPRODUCT(N2339:Y2339,$N$4:$Y$4,$N$2:$Y$2))/(Z2339/($K2339*$L2339*$M2339)),"")</f>
        <v/>
      </c>
      <c r="AC2339" s="18" t="n"/>
    </row>
    <row r="2340">
      <c r="A2340" s="9" t="n">
        <v>815734</v>
      </c>
      <c r="B2340" s="9" t="inlineStr">
        <is>
          <t>Dylan Jasso</t>
        </is>
      </c>
      <c r="C2340" s="9" t="inlineStr">
        <is>
          <t>MIA</t>
        </is>
      </c>
      <c r="D2340" s="9" t="n">
        <v>25</v>
      </c>
      <c r="E2340" s="16" t="inlineStr">
        <is>
          <t>R</t>
        </is>
      </c>
      <c r="F2340" s="16" t="n"/>
      <c r="G2340" s="9" t="n">
        <v>86.87179487179486</v>
      </c>
      <c r="H2340" s="9" t="n">
        <v>86.87179487179486</v>
      </c>
      <c r="I2340" s="9" t="inlineStr">
        <is>
          <t>Depth (no MLB PA)</t>
        </is>
      </c>
      <c r="J2340" s="16" t="inlineStr">
        <is>
          <t>Opening Day</t>
        </is>
      </c>
      <c r="K2340" s="11">
        <f>IFERROR(INDEX(Roles!$B$17:$B$20,MATCH(J2340,Roles!$A$17:$A$20,0)),1)</f>
        <v/>
      </c>
      <c r="L2340" s="17" t="n">
        <v>1</v>
      </c>
      <c r="M2340" s="11" t="n">
        <v>1</v>
      </c>
      <c r="N2340" s="17" t="n"/>
      <c r="O2340" s="17" t="n"/>
      <c r="P2340" s="17" t="n"/>
      <c r="Q2340" s="17" t="n"/>
      <c r="R2340" s="17" t="n"/>
      <c r="S2340" s="17" t="n"/>
      <c r="T2340" s="17" t="n"/>
      <c r="U2340" s="17" t="n"/>
      <c r="V2340" s="17" t="n"/>
      <c r="W2340" s="17" t="n"/>
      <c r="X2340" s="17" t="n"/>
      <c r="Y2340" s="17" t="n">
        <v>1</v>
      </c>
      <c r="Z2340" s="13">
        <f>SUMPRODUCT(N2340:Y2340,$N$2:$Y$2)*$K2340*$L2340*$M2340</f>
        <v/>
      </c>
      <c r="AA2340" s="14">
        <f>SUM(N2340:Y2340)</f>
        <v/>
      </c>
      <c r="AB2340" s="14">
        <f>IFERROR(IF(UPPER($E2340)="L",SUMPRODUCT(N2340:Y2340,$N$3:$Y$3,$N$2:$Y$2),SUMPRODUCT(N2340:Y2340,$N$4:$Y$4,$N$2:$Y$2))/(Z2340/($K2340*$L2340*$M2340)),"")</f>
        <v/>
      </c>
      <c r="AC2340" s="18" t="n"/>
    </row>
    <row r="2341">
      <c r="A2341" s="9" t="n">
        <v>699157</v>
      </c>
      <c r="B2341" s="9" t="inlineStr">
        <is>
          <t>Ahbram Liendo</t>
        </is>
      </c>
      <c r="C2341" s="9" t="inlineStr">
        <is>
          <t>BOS</t>
        </is>
      </c>
      <c r="D2341" s="9" t="n">
        <v>25</v>
      </c>
      <c r="E2341" s="16" t="inlineStr">
        <is>
          <t>R</t>
        </is>
      </c>
      <c r="F2341" s="16" t="n"/>
      <c r="G2341" s="9" t="n">
        <v>123.4871794871795</v>
      </c>
      <c r="H2341" s="9" t="n">
        <v>123.4871794871795</v>
      </c>
      <c r="I2341" s="9" t="inlineStr">
        <is>
          <t>Depth (no MLB PA)</t>
        </is>
      </c>
      <c r="J2341" s="16" t="inlineStr">
        <is>
          <t>Opening Day</t>
        </is>
      </c>
      <c r="K2341" s="11">
        <f>IFERROR(INDEX(Roles!$B$17:$B$20,MATCH(J2341,Roles!$A$17:$A$20,0)),1)</f>
        <v/>
      </c>
      <c r="L2341" s="17" t="n">
        <v>1</v>
      </c>
      <c r="M2341" s="11" t="n">
        <v>1</v>
      </c>
      <c r="N2341" s="17" t="n"/>
      <c r="O2341" s="17" t="n"/>
      <c r="P2341" s="17" t="n"/>
      <c r="Q2341" s="17" t="n"/>
      <c r="R2341" s="17" t="n"/>
      <c r="S2341" s="17" t="n"/>
      <c r="T2341" s="17" t="n"/>
      <c r="U2341" s="17" t="n"/>
      <c r="V2341" s="17" t="n"/>
      <c r="W2341" s="17" t="n"/>
      <c r="X2341" s="17" t="n"/>
      <c r="Y2341" s="17" t="n">
        <v>1</v>
      </c>
      <c r="Z2341" s="13">
        <f>SUMPRODUCT(N2341:Y2341,$N$2:$Y$2)*$K2341*$L2341*$M2341</f>
        <v/>
      </c>
      <c r="AA2341" s="14">
        <f>SUM(N2341:Y2341)</f>
        <v/>
      </c>
      <c r="AB2341" s="14">
        <f>IFERROR(IF(UPPER($E2341)="L",SUMPRODUCT(N2341:Y2341,$N$3:$Y$3,$N$2:$Y$2),SUMPRODUCT(N2341:Y2341,$N$4:$Y$4,$N$2:$Y$2))/(Z2341/($K2341*$L2341*$M2341)),"")</f>
        <v/>
      </c>
      <c r="AC2341" s="18" t="n"/>
    </row>
    <row r="2342">
      <c r="A2342" s="9" t="n">
        <v>686780</v>
      </c>
      <c r="B2342" s="9" t="inlineStr">
        <is>
          <t>Pedro Pagés</t>
        </is>
      </c>
      <c r="C2342" s="9" t="inlineStr">
        <is>
          <t>STL</t>
        </is>
      </c>
      <c r="D2342" s="9" t="n">
        <v>28</v>
      </c>
      <c r="E2342" s="16" t="inlineStr">
        <is>
          <t>R</t>
        </is>
      </c>
      <c r="F2342" s="16" t="inlineStr">
        <is>
          <t>C</t>
        </is>
      </c>
      <c r="G2342" s="9" t="n">
        <v>211</v>
      </c>
      <c r="H2342" s="9" t="n">
        <v>818</v>
      </c>
      <c r="I2342" s="9" t="inlineStr">
        <is>
          <t>Bench Bat</t>
        </is>
      </c>
      <c r="J2342" s="16" t="inlineStr">
        <is>
          <t>Opening Day</t>
        </is>
      </c>
      <c r="K2342" s="11">
        <f>IFERROR(INDEX(Roles!$B$17:$B$20,MATCH(J2342,Roles!$A$17:$A$20,0)),1)</f>
        <v/>
      </c>
      <c r="L2342" s="17" t="n">
        <v>1</v>
      </c>
      <c r="M2342" s="11" t="n">
        <v>0.9993145542635288</v>
      </c>
      <c r="N2342" s="17" t="n"/>
      <c r="O2342" s="17" t="n"/>
      <c r="P2342" s="17" t="n"/>
      <c r="Q2342" s="17" t="n"/>
      <c r="R2342" s="17" t="n"/>
      <c r="S2342" s="17" t="n"/>
      <c r="T2342" s="17" t="n"/>
      <c r="U2342" s="17" t="n"/>
      <c r="V2342" s="17" t="n"/>
      <c r="W2342" s="17" t="n">
        <v>0.85</v>
      </c>
      <c r="X2342" s="17" t="n">
        <v>0.15</v>
      </c>
      <c r="Y2342" s="17" t="n"/>
      <c r="Z2342" s="13">
        <f>SUMPRODUCT(N2342:Y2342,$N$2:$Y$2)*$K2342*$L2342*$M2342</f>
        <v/>
      </c>
      <c r="AA2342" s="14">
        <f>SUM(N2342:Y2342)</f>
        <v/>
      </c>
      <c r="AB2342" s="14">
        <f>IFERROR(IF(UPPER($E2342)="L",SUMPRODUCT(N2342:Y2342,$N$3:$Y$3,$N$2:$Y$2),SUMPRODUCT(N2342:Y2342,$N$4:$Y$4,$N$2:$Y$2))/(Z2342/($K2342*$L2342*$M2342)),"")</f>
        <v/>
      </c>
      <c r="AC2342" s="18" t="n"/>
    </row>
    <row r="2343">
      <c r="A2343" s="9" t="n">
        <v>800194</v>
      </c>
      <c r="B2343" s="9" t="inlineStr">
        <is>
          <t>Capri Ortiz</t>
        </is>
      </c>
      <c r="C2343" s="9" t="inlineStr">
        <is>
          <t>LAA</t>
        </is>
      </c>
      <c r="D2343" s="9" t="n">
        <v>25</v>
      </c>
      <c r="E2343" s="16" t="inlineStr">
        <is>
          <t>R</t>
        </is>
      </c>
      <c r="F2343" s="16" t="n"/>
      <c r="G2343" s="9" t="n">
        <v>87.17948717948718</v>
      </c>
      <c r="H2343" s="9" t="n">
        <v>87.17948717948718</v>
      </c>
      <c r="I2343" s="9" t="inlineStr">
        <is>
          <t>Depth (no MLB PA)</t>
        </is>
      </c>
      <c r="J2343" s="16" t="inlineStr">
        <is>
          <t>Opening Day</t>
        </is>
      </c>
      <c r="K2343" s="11">
        <f>IFERROR(INDEX(Roles!$B$17:$B$20,MATCH(J2343,Roles!$A$17:$A$20,0)),1)</f>
        <v/>
      </c>
      <c r="L2343" s="17" t="n">
        <v>1</v>
      </c>
      <c r="M2343" s="11" t="n">
        <v>1</v>
      </c>
      <c r="N2343" s="17" t="n"/>
      <c r="O2343" s="17" t="n"/>
      <c r="P2343" s="17" t="n"/>
      <c r="Q2343" s="17" t="n"/>
      <c r="R2343" s="17" t="n"/>
      <c r="S2343" s="17" t="n"/>
      <c r="T2343" s="17" t="n"/>
      <c r="U2343" s="17" t="n"/>
      <c r="V2343" s="17" t="n"/>
      <c r="W2343" s="17" t="n"/>
      <c r="X2343" s="17" t="n"/>
      <c r="Y2343" s="17" t="n">
        <v>1</v>
      </c>
      <c r="Z2343" s="13">
        <f>SUMPRODUCT(N2343:Y2343,$N$2:$Y$2)*$K2343*$L2343*$M2343</f>
        <v/>
      </c>
      <c r="AA2343" s="14">
        <f>SUM(N2343:Y2343)</f>
        <v/>
      </c>
      <c r="AB2343" s="14">
        <f>IFERROR(IF(UPPER($E2343)="L",SUMPRODUCT(N2343:Y2343,$N$3:$Y$3,$N$2:$Y$2),SUMPRODUCT(N2343:Y2343,$N$4:$Y$4,$N$2:$Y$2))/(Z2343/($K2343*$L2343*$M2343)),"")</f>
        <v/>
      </c>
      <c r="AC2343" s="18" t="n"/>
    </row>
    <row r="2344">
      <c r="A2344" s="9" t="n">
        <v>696142</v>
      </c>
      <c r="B2344" s="9" t="inlineStr">
        <is>
          <t>Will Taylor</t>
        </is>
      </c>
      <c r="C2344" s="9" t="inlineStr">
        <is>
          <t>PIT</t>
        </is>
      </c>
      <c r="D2344" s="9" t="n">
        <v>25</v>
      </c>
      <c r="E2344" s="16" t="inlineStr">
        <is>
          <t>R</t>
        </is>
      </c>
      <c r="F2344" s="16" t="n"/>
      <c r="G2344" s="9" t="n">
        <v>157.2307692307692</v>
      </c>
      <c r="H2344" s="9" t="n">
        <v>157.2307692307692</v>
      </c>
      <c r="I2344" s="9" t="inlineStr">
        <is>
          <t>Depth (no MLB PA)</t>
        </is>
      </c>
      <c r="J2344" s="16" t="inlineStr">
        <is>
          <t>Opening Day</t>
        </is>
      </c>
      <c r="K2344" s="11">
        <f>IFERROR(INDEX(Roles!$B$17:$B$20,MATCH(J2344,Roles!$A$17:$A$20,0)),1)</f>
        <v/>
      </c>
      <c r="L2344" s="17" t="n">
        <v>1</v>
      </c>
      <c r="M2344" s="11" t="n">
        <v>1</v>
      </c>
      <c r="N2344" s="17" t="n"/>
      <c r="O2344" s="17" t="n"/>
      <c r="P2344" s="17" t="n"/>
      <c r="Q2344" s="17" t="n"/>
      <c r="R2344" s="17" t="n"/>
      <c r="S2344" s="17" t="n"/>
      <c r="T2344" s="17" t="n"/>
      <c r="U2344" s="17" t="n"/>
      <c r="V2344" s="17" t="n"/>
      <c r="W2344" s="17" t="n"/>
      <c r="X2344" s="17" t="n"/>
      <c r="Y2344" s="17" t="n">
        <v>1</v>
      </c>
      <c r="Z2344" s="13">
        <f>SUMPRODUCT(N2344:Y2344,$N$2:$Y$2)*$K2344*$L2344*$M2344</f>
        <v/>
      </c>
      <c r="AA2344" s="14">
        <f>SUM(N2344:Y2344)</f>
        <v/>
      </c>
      <c r="AB2344" s="14">
        <f>IFERROR(IF(UPPER($E2344)="L",SUMPRODUCT(N2344:Y2344,$N$3:$Y$3,$N$2:$Y$2),SUMPRODUCT(N2344:Y2344,$N$4:$Y$4,$N$2:$Y$2))/(Z2344/($K2344*$L2344*$M2344)),"")</f>
        <v/>
      </c>
      <c r="AC2344" s="18" t="n"/>
    </row>
    <row r="2345">
      <c r="A2345" s="9" t="n">
        <v>822501</v>
      </c>
      <c r="B2345" s="9" t="inlineStr">
        <is>
          <t>Jon Jon Gazdar</t>
        </is>
      </c>
      <c r="C2345" s="9" t="inlineStr">
        <is>
          <t>STL</t>
        </is>
      </c>
      <c r="D2345" s="9" t="n">
        <v>25</v>
      </c>
      <c r="E2345" s="16" t="inlineStr">
        <is>
          <t>R</t>
        </is>
      </c>
      <c r="F2345" s="16" t="n"/>
      <c r="G2345" s="9" t="n">
        <v>135.3333333333333</v>
      </c>
      <c r="H2345" s="9" t="n">
        <v>135.3333333333333</v>
      </c>
      <c r="I2345" s="9" t="inlineStr">
        <is>
          <t>Depth (no MLB PA)</t>
        </is>
      </c>
      <c r="J2345" s="16" t="inlineStr">
        <is>
          <t>Opening Day</t>
        </is>
      </c>
      <c r="K2345" s="11">
        <f>IFERROR(INDEX(Roles!$B$17:$B$20,MATCH(J2345,Roles!$A$17:$A$20,0)),1)</f>
        <v/>
      </c>
      <c r="L2345" s="17" t="n">
        <v>1</v>
      </c>
      <c r="M2345" s="11" t="n">
        <v>1</v>
      </c>
      <c r="N2345" s="17" t="n"/>
      <c r="O2345" s="17" t="n"/>
      <c r="P2345" s="17" t="n"/>
      <c r="Q2345" s="17" t="n"/>
      <c r="R2345" s="17" t="n"/>
      <c r="S2345" s="17" t="n"/>
      <c r="T2345" s="17" t="n"/>
      <c r="U2345" s="17" t="n"/>
      <c r="V2345" s="17" t="n"/>
      <c r="W2345" s="17" t="n"/>
      <c r="X2345" s="17" t="n"/>
      <c r="Y2345" s="17" t="n">
        <v>1</v>
      </c>
      <c r="Z2345" s="13">
        <f>SUMPRODUCT(N2345:Y2345,$N$2:$Y$2)*$K2345*$L2345*$M2345</f>
        <v/>
      </c>
      <c r="AA2345" s="14">
        <f>SUM(N2345:Y2345)</f>
        <v/>
      </c>
      <c r="AB2345" s="14">
        <f>IFERROR(IF(UPPER($E2345)="L",SUMPRODUCT(N2345:Y2345,$N$3:$Y$3,$N$2:$Y$2),SUMPRODUCT(N2345:Y2345,$N$4:$Y$4,$N$2:$Y$2))/(Z2345/($K2345*$L2345*$M2345)),"")</f>
        <v/>
      </c>
      <c r="AC2345" s="18" t="n"/>
    </row>
    <row r="2346">
      <c r="A2346" s="9" t="n">
        <v>814408</v>
      </c>
      <c r="B2346" s="9" t="inlineStr">
        <is>
          <t>Jackson Hornung</t>
        </is>
      </c>
      <c r="C2346" s="9" t="inlineStr">
        <is>
          <t>TOR</t>
        </is>
      </c>
      <c r="D2346" s="9" t="n">
        <v>25</v>
      </c>
      <c r="E2346" s="16" t="inlineStr">
        <is>
          <t>R</t>
        </is>
      </c>
      <c r="F2346" s="16" t="n"/>
      <c r="G2346" s="9" t="n">
        <v>86.15384615384615</v>
      </c>
      <c r="H2346" s="9" t="n">
        <v>86.15384615384615</v>
      </c>
      <c r="I2346" s="9" t="inlineStr">
        <is>
          <t>Depth (no MLB PA)</t>
        </is>
      </c>
      <c r="J2346" s="16" t="inlineStr">
        <is>
          <t>Opening Day</t>
        </is>
      </c>
      <c r="K2346" s="11">
        <f>IFERROR(INDEX(Roles!$B$17:$B$20,MATCH(J2346,Roles!$A$17:$A$20,0)),1)</f>
        <v/>
      </c>
      <c r="L2346" s="17" t="n">
        <v>1</v>
      </c>
      <c r="M2346" s="11" t="n">
        <v>1</v>
      </c>
      <c r="N2346" s="17" t="n"/>
      <c r="O2346" s="17" t="n"/>
      <c r="P2346" s="17" t="n"/>
      <c r="Q2346" s="17" t="n"/>
      <c r="R2346" s="17" t="n"/>
      <c r="S2346" s="17" t="n"/>
      <c r="T2346" s="17" t="n"/>
      <c r="U2346" s="17" t="n"/>
      <c r="V2346" s="17" t="n"/>
      <c r="W2346" s="17" t="n"/>
      <c r="X2346" s="17" t="n"/>
      <c r="Y2346" s="17" t="n">
        <v>1</v>
      </c>
      <c r="Z2346" s="13">
        <f>SUMPRODUCT(N2346:Y2346,$N$2:$Y$2)*$K2346*$L2346*$M2346</f>
        <v/>
      </c>
      <c r="AA2346" s="14">
        <f>SUM(N2346:Y2346)</f>
        <v/>
      </c>
      <c r="AB2346" s="14">
        <f>IFERROR(IF(UPPER($E2346)="L",SUMPRODUCT(N2346:Y2346,$N$3:$Y$3,$N$2:$Y$2),SUMPRODUCT(N2346:Y2346,$N$4:$Y$4,$N$2:$Y$2))/(Z2346/($K2346*$L2346*$M2346)),"")</f>
        <v/>
      </c>
      <c r="AC2346" s="18" t="n"/>
    </row>
    <row r="2347">
      <c r="A2347" s="9" t="n">
        <v>681941</v>
      </c>
      <c r="B2347" s="9" t="inlineStr">
        <is>
          <t>Jaylen Palmer</t>
        </is>
      </c>
      <c r="C2347" s="9" t="inlineStr">
        <is>
          <t>NYM</t>
        </is>
      </c>
      <c r="D2347" s="9" t="n">
        <v>25</v>
      </c>
      <c r="E2347" s="16" t="inlineStr">
        <is>
          <t>R</t>
        </is>
      </c>
      <c r="F2347" s="16" t="n"/>
      <c r="G2347" s="9" t="n">
        <v>53.84615384615384</v>
      </c>
      <c r="H2347" s="9" t="n">
        <v>53.84615384615384</v>
      </c>
      <c r="I2347" s="9" t="inlineStr">
        <is>
          <t>Depth (no MLB PA)</t>
        </is>
      </c>
      <c r="J2347" s="16" t="inlineStr">
        <is>
          <t>Opening Day</t>
        </is>
      </c>
      <c r="K2347" s="11">
        <f>IFERROR(INDEX(Roles!$B$17:$B$20,MATCH(J2347,Roles!$A$17:$A$20,0)),1)</f>
        <v/>
      </c>
      <c r="L2347" s="17" t="n">
        <v>1</v>
      </c>
      <c r="M2347" s="11" t="n">
        <v>1</v>
      </c>
      <c r="N2347" s="17" t="n"/>
      <c r="O2347" s="17" t="n"/>
      <c r="P2347" s="17" t="n"/>
      <c r="Q2347" s="17" t="n"/>
      <c r="R2347" s="17" t="n"/>
      <c r="S2347" s="17" t="n"/>
      <c r="T2347" s="17" t="n"/>
      <c r="U2347" s="17" t="n"/>
      <c r="V2347" s="17" t="n"/>
      <c r="W2347" s="17" t="n"/>
      <c r="X2347" s="17" t="n"/>
      <c r="Y2347" s="17" t="n">
        <v>1</v>
      </c>
      <c r="Z2347" s="13">
        <f>SUMPRODUCT(N2347:Y2347,$N$2:$Y$2)*$K2347*$L2347*$M2347</f>
        <v/>
      </c>
      <c r="AA2347" s="14">
        <f>SUM(N2347:Y2347)</f>
        <v/>
      </c>
      <c r="AB2347" s="14">
        <f>IFERROR(IF(UPPER($E2347)="L",SUMPRODUCT(N2347:Y2347,$N$3:$Y$3,$N$2:$Y$2),SUMPRODUCT(N2347:Y2347,$N$4:$Y$4,$N$2:$Y$2))/(Z2347/($K2347*$L2347*$M2347)),"")</f>
        <v/>
      </c>
      <c r="AC2347" s="18" t="n"/>
    </row>
    <row r="2348">
      <c r="A2348" s="9" t="n">
        <v>803745</v>
      </c>
      <c r="B2348" s="9" t="inlineStr">
        <is>
          <t>Adrian Santana</t>
        </is>
      </c>
      <c r="C2348" s="9" t="inlineStr">
        <is>
          <t>MIA</t>
        </is>
      </c>
      <c r="D2348" s="9" t="n">
        <v>25</v>
      </c>
      <c r="E2348" s="16" t="inlineStr">
        <is>
          <t>S</t>
        </is>
      </c>
      <c r="F2348" s="16" t="n"/>
      <c r="G2348" s="9" t="n">
        <v>50.25641025641026</v>
      </c>
      <c r="H2348" s="9" t="n">
        <v>50.25641025641026</v>
      </c>
      <c r="I2348" s="9" t="inlineStr">
        <is>
          <t>Depth (no MLB PA)</t>
        </is>
      </c>
      <c r="J2348" s="16" t="inlineStr">
        <is>
          <t>Opening Day</t>
        </is>
      </c>
      <c r="K2348" s="11">
        <f>IFERROR(INDEX(Roles!$B$17:$B$20,MATCH(J2348,Roles!$A$17:$A$20,0)),1)</f>
        <v/>
      </c>
      <c r="L2348" s="17" t="n">
        <v>1</v>
      </c>
      <c r="M2348" s="11" t="n">
        <v>1</v>
      </c>
      <c r="N2348" s="17" t="n"/>
      <c r="O2348" s="17" t="n"/>
      <c r="P2348" s="17" t="n"/>
      <c r="Q2348" s="17" t="n"/>
      <c r="R2348" s="17" t="n"/>
      <c r="S2348" s="17" t="n"/>
      <c r="T2348" s="17" t="n"/>
      <c r="U2348" s="17" t="n"/>
      <c r="V2348" s="17" t="n"/>
      <c r="W2348" s="17" t="n"/>
      <c r="X2348" s="17" t="n"/>
      <c r="Y2348" s="17" t="n">
        <v>1</v>
      </c>
      <c r="Z2348" s="13">
        <f>SUMPRODUCT(N2348:Y2348,$N$2:$Y$2)*$K2348*$L2348*$M2348</f>
        <v/>
      </c>
      <c r="AA2348" s="14">
        <f>SUM(N2348:Y2348)</f>
        <v/>
      </c>
      <c r="AB2348" s="14">
        <f>IFERROR(IF(UPPER($E2348)="L",SUMPRODUCT(N2348:Y2348,$N$3:$Y$3,$N$2:$Y$2),SUMPRODUCT(N2348:Y2348,$N$4:$Y$4,$N$2:$Y$2))/(Z2348/($K2348*$L2348*$M2348)),"")</f>
        <v/>
      </c>
      <c r="AC2348" s="18" t="n"/>
    </row>
    <row r="2349">
      <c r="A2349" s="9" t="n">
        <v>698945</v>
      </c>
      <c r="B2349" s="9" t="inlineStr">
        <is>
          <t>Anderson De Los Santos</t>
        </is>
      </c>
      <c r="C2349" s="9" t="inlineStr">
        <is>
          <t>BAL</t>
        </is>
      </c>
      <c r="D2349" s="9" t="n">
        <v>25</v>
      </c>
      <c r="E2349" s="16" t="inlineStr">
        <is>
          <t>R</t>
        </is>
      </c>
      <c r="F2349" s="16" t="n"/>
      <c r="G2349" s="9" t="n">
        <v>167.2820512820513</v>
      </c>
      <c r="H2349" s="9" t="n">
        <v>167.2820512820513</v>
      </c>
      <c r="I2349" s="9" t="inlineStr">
        <is>
          <t>Depth (no MLB PA)</t>
        </is>
      </c>
      <c r="J2349" s="16" t="inlineStr">
        <is>
          <t>Opening Day</t>
        </is>
      </c>
      <c r="K2349" s="11">
        <f>IFERROR(INDEX(Roles!$B$17:$B$20,MATCH(J2349,Roles!$A$17:$A$20,0)),1)</f>
        <v/>
      </c>
      <c r="L2349" s="17" t="n">
        <v>1</v>
      </c>
      <c r="M2349" s="11" t="n">
        <v>1</v>
      </c>
      <c r="N2349" s="17" t="n"/>
      <c r="O2349" s="17" t="n"/>
      <c r="P2349" s="17" t="n"/>
      <c r="Q2349" s="17" t="n"/>
      <c r="R2349" s="17" t="n"/>
      <c r="S2349" s="17" t="n"/>
      <c r="T2349" s="17" t="n"/>
      <c r="U2349" s="17" t="n"/>
      <c r="V2349" s="17" t="n"/>
      <c r="W2349" s="17" t="n"/>
      <c r="X2349" s="17" t="n"/>
      <c r="Y2349" s="17" t="n">
        <v>1</v>
      </c>
      <c r="Z2349" s="13">
        <f>SUMPRODUCT(N2349:Y2349,$N$2:$Y$2)*$K2349*$L2349*$M2349</f>
        <v/>
      </c>
      <c r="AA2349" s="14">
        <f>SUM(N2349:Y2349)</f>
        <v/>
      </c>
      <c r="AB2349" s="14">
        <f>IFERROR(IF(UPPER($E2349)="L",SUMPRODUCT(N2349:Y2349,$N$3:$Y$3,$N$2:$Y$2),SUMPRODUCT(N2349:Y2349,$N$4:$Y$4,$N$2:$Y$2))/(Z2349/($K2349*$L2349*$M2349)),"")</f>
        <v/>
      </c>
      <c r="AC2349" s="18" t="n"/>
    </row>
    <row r="2350">
      <c r="A2350" s="9" t="n">
        <v>474832</v>
      </c>
      <c r="B2350" s="9" t="inlineStr">
        <is>
          <t>Brandon Belt</t>
        </is>
      </c>
      <c r="C2350" s="9" t="inlineStr">
        <is>
          <t>TOR</t>
        </is>
      </c>
      <c r="D2350" s="9" t="n">
        <v>39</v>
      </c>
      <c r="E2350" s="16" t="inlineStr">
        <is>
          <t>L</t>
        </is>
      </c>
      <c r="F2350" s="16" t="inlineStr">
        <is>
          <t>1B</t>
        </is>
      </c>
      <c r="G2350" s="9" t="n">
        <v>404</v>
      </c>
      <c r="H2350" s="9" t="n">
        <v>702</v>
      </c>
      <c r="I2350" s="9" t="inlineStr">
        <is>
          <t>Depth (no MLB PA)</t>
        </is>
      </c>
      <c r="J2350" s="16" t="inlineStr">
        <is>
          <t>Opening Day</t>
        </is>
      </c>
      <c r="K2350" s="11">
        <f>IFERROR(INDEX(Roles!$B$17:$B$20,MATCH(J2350,Roles!$A$17:$A$20,0)),1)</f>
        <v/>
      </c>
      <c r="L2350" s="17" t="n">
        <v>1</v>
      </c>
      <c r="M2350" s="11" t="n">
        <v>1</v>
      </c>
      <c r="N2350" s="17" t="n"/>
      <c r="O2350" s="17" t="n"/>
      <c r="P2350" s="17" t="n"/>
      <c r="Q2350" s="17" t="n"/>
      <c r="R2350" s="17" t="n"/>
      <c r="S2350" s="17" t="n"/>
      <c r="T2350" s="17" t="n"/>
      <c r="U2350" s="17" t="n"/>
      <c r="V2350" s="17" t="n"/>
      <c r="W2350" s="17" t="n"/>
      <c r="X2350" s="17" t="n"/>
      <c r="Y2350" s="17" t="n">
        <v>1</v>
      </c>
      <c r="Z2350" s="13">
        <f>SUMPRODUCT(N2350:Y2350,$N$2:$Y$2)*$K2350*$L2350*$M2350</f>
        <v/>
      </c>
      <c r="AA2350" s="14">
        <f>SUM(N2350:Y2350)</f>
        <v/>
      </c>
      <c r="AB2350" s="14">
        <f>IFERROR(IF(UPPER($E2350)="L",SUMPRODUCT(N2350:Y2350,$N$3:$Y$3,$N$2:$Y$2),SUMPRODUCT(N2350:Y2350,$N$4:$Y$4,$N$2:$Y$2))/(Z2350/($K2350*$L2350*$M2350)),"")</f>
        <v/>
      </c>
      <c r="AC2350" s="18" t="n"/>
    </row>
    <row r="2351">
      <c r="A2351" s="9" t="n">
        <v>695780</v>
      </c>
      <c r="B2351" s="9" t="inlineStr">
        <is>
          <t>Jake Fox</t>
        </is>
      </c>
      <c r="C2351" s="9" t="inlineStr">
        <is>
          <t>CLE</t>
        </is>
      </c>
      <c r="D2351" s="9" t="n">
        <v>25</v>
      </c>
      <c r="E2351" s="16" t="inlineStr">
        <is>
          <t>L</t>
        </is>
      </c>
      <c r="F2351" s="16" t="n"/>
      <c r="G2351" s="9" t="n">
        <v>58.87179487179487</v>
      </c>
      <c r="H2351" s="9" t="n">
        <v>58.87179487179487</v>
      </c>
      <c r="I2351" s="9" t="inlineStr">
        <is>
          <t>Depth (no MLB PA)</t>
        </is>
      </c>
      <c r="J2351" s="16" t="inlineStr">
        <is>
          <t>Opening Day</t>
        </is>
      </c>
      <c r="K2351" s="11">
        <f>IFERROR(INDEX(Roles!$B$17:$B$20,MATCH(J2351,Roles!$A$17:$A$20,0)),1)</f>
        <v/>
      </c>
      <c r="L2351" s="17" t="n">
        <v>1</v>
      </c>
      <c r="M2351" s="11" t="n">
        <v>1</v>
      </c>
      <c r="N2351" s="17" t="n"/>
      <c r="O2351" s="17" t="n"/>
      <c r="P2351" s="17" t="n"/>
      <c r="Q2351" s="17" t="n"/>
      <c r="R2351" s="17" t="n"/>
      <c r="S2351" s="17" t="n"/>
      <c r="T2351" s="17" t="n"/>
      <c r="U2351" s="17" t="n"/>
      <c r="V2351" s="17" t="n"/>
      <c r="W2351" s="17" t="n"/>
      <c r="X2351" s="17" t="n"/>
      <c r="Y2351" s="17" t="n">
        <v>1</v>
      </c>
      <c r="Z2351" s="13">
        <f>SUMPRODUCT(N2351:Y2351,$N$2:$Y$2)*$K2351*$L2351*$M2351</f>
        <v/>
      </c>
      <c r="AA2351" s="14">
        <f>SUM(N2351:Y2351)</f>
        <v/>
      </c>
      <c r="AB2351" s="14">
        <f>IFERROR(IF(UPPER($E2351)="L",SUMPRODUCT(N2351:Y2351,$N$3:$Y$3,$N$2:$Y$2),SUMPRODUCT(N2351:Y2351,$N$4:$Y$4,$N$2:$Y$2))/(Z2351/($K2351*$L2351*$M2351)),"")</f>
        <v/>
      </c>
      <c r="AC2351" s="18" t="n"/>
    </row>
    <row r="2352">
      <c r="A2352" s="9" t="n">
        <v>642727</v>
      </c>
      <c r="B2352" s="9" t="inlineStr">
        <is>
          <t>Sergio Alcántara</t>
        </is>
      </c>
      <c r="C2352" s="9" t="inlineStr">
        <is>
          <t>ARI</t>
        </is>
      </c>
      <c r="D2352" s="9" t="n">
        <v>30</v>
      </c>
      <c r="E2352" s="16" t="inlineStr">
        <is>
          <t>S</t>
        </is>
      </c>
      <c r="F2352" s="16" t="inlineStr">
        <is>
          <t>3B</t>
        </is>
      </c>
      <c r="G2352" s="9" t="n">
        <v>4</v>
      </c>
      <c r="H2352" s="9" t="n">
        <v>228</v>
      </c>
      <c r="I2352" s="9" t="inlineStr">
        <is>
          <t>Depth (no MLB PA)</t>
        </is>
      </c>
      <c r="J2352" s="16" t="inlineStr">
        <is>
          <t>Opening Day</t>
        </is>
      </c>
      <c r="K2352" s="11">
        <f>IFERROR(INDEX(Roles!$B$17:$B$20,MATCH(J2352,Roles!$A$17:$A$20,0)),1)</f>
        <v/>
      </c>
      <c r="L2352" s="17" t="n">
        <v>1</v>
      </c>
      <c r="M2352" s="11" t="n">
        <v>1</v>
      </c>
      <c r="N2352" s="17" t="n"/>
      <c r="O2352" s="17" t="n"/>
      <c r="P2352" s="17" t="n"/>
      <c r="Q2352" s="17" t="n"/>
      <c r="R2352" s="17" t="n"/>
      <c r="S2352" s="17" t="n"/>
      <c r="T2352" s="17" t="n"/>
      <c r="U2352" s="17" t="n"/>
      <c r="V2352" s="17" t="n"/>
      <c r="W2352" s="17" t="n"/>
      <c r="X2352" s="17" t="n"/>
      <c r="Y2352" s="17" t="n">
        <v>1</v>
      </c>
      <c r="Z2352" s="13">
        <f>SUMPRODUCT(N2352:Y2352,$N$2:$Y$2)*$K2352*$L2352*$M2352</f>
        <v/>
      </c>
      <c r="AA2352" s="14">
        <f>SUM(N2352:Y2352)</f>
        <v/>
      </c>
      <c r="AB2352" s="14">
        <f>IFERROR(IF(UPPER($E2352)="L",SUMPRODUCT(N2352:Y2352,$N$3:$Y$3,$N$2:$Y$2),SUMPRODUCT(N2352:Y2352,$N$4:$Y$4,$N$2:$Y$2))/(Z2352/($K2352*$L2352*$M2352)),"")</f>
        <v/>
      </c>
      <c r="AC2352" s="18" t="n"/>
    </row>
    <row r="2353">
      <c r="A2353" s="9" t="n">
        <v>808037</v>
      </c>
      <c r="B2353" s="9" t="inlineStr">
        <is>
          <t>Juan Hernandez</t>
        </is>
      </c>
      <c r="C2353" s="9" t="inlineStr">
        <is>
          <t>DET</t>
        </is>
      </c>
      <c r="D2353" s="9" t="n">
        <v>25</v>
      </c>
      <c r="E2353" s="16" t="inlineStr">
        <is>
          <t>L</t>
        </is>
      </c>
      <c r="F2353" s="16" t="n"/>
      <c r="G2353" s="9" t="n">
        <v>60.1025641025641</v>
      </c>
      <c r="H2353" s="9" t="n">
        <v>60.1025641025641</v>
      </c>
      <c r="I2353" s="9" t="inlineStr">
        <is>
          <t>Depth (no MLB PA)</t>
        </is>
      </c>
      <c r="J2353" s="16" t="inlineStr">
        <is>
          <t>Opening Day</t>
        </is>
      </c>
      <c r="K2353" s="11">
        <f>IFERROR(INDEX(Roles!$B$17:$B$20,MATCH(J2353,Roles!$A$17:$A$20,0)),1)</f>
        <v/>
      </c>
      <c r="L2353" s="17" t="n">
        <v>1</v>
      </c>
      <c r="M2353" s="11" t="n">
        <v>1</v>
      </c>
      <c r="N2353" s="17" t="n"/>
      <c r="O2353" s="17" t="n"/>
      <c r="P2353" s="17" t="n"/>
      <c r="Q2353" s="17" t="n"/>
      <c r="R2353" s="17" t="n"/>
      <c r="S2353" s="17" t="n"/>
      <c r="T2353" s="17" t="n"/>
      <c r="U2353" s="17" t="n"/>
      <c r="V2353" s="17" t="n"/>
      <c r="W2353" s="17" t="n"/>
      <c r="X2353" s="17" t="n"/>
      <c r="Y2353" s="17" t="n">
        <v>1</v>
      </c>
      <c r="Z2353" s="13">
        <f>SUMPRODUCT(N2353:Y2353,$N$2:$Y$2)*$K2353*$L2353*$M2353</f>
        <v/>
      </c>
      <c r="AA2353" s="14">
        <f>SUM(N2353:Y2353)</f>
        <v/>
      </c>
      <c r="AB2353" s="14">
        <f>IFERROR(IF(UPPER($E2353)="L",SUMPRODUCT(N2353:Y2353,$N$3:$Y$3,$N$2:$Y$2),SUMPRODUCT(N2353:Y2353,$N$4:$Y$4,$N$2:$Y$2))/(Z2353/($K2353*$L2353*$M2353)),"")</f>
        <v/>
      </c>
      <c r="AC2353" s="18" t="n"/>
    </row>
    <row r="2354">
      <c r="A2354" s="9" t="n">
        <v>808090</v>
      </c>
      <c r="B2354" s="9" t="inlineStr">
        <is>
          <t>José Mejía</t>
        </is>
      </c>
      <c r="C2354" s="9" t="inlineStr">
        <is>
          <t>ARI</t>
        </is>
      </c>
      <c r="D2354" s="9" t="n">
        <v>25</v>
      </c>
      <c r="E2354" s="16" t="inlineStr">
        <is>
          <t>R</t>
        </is>
      </c>
      <c r="F2354" s="16" t="n"/>
      <c r="G2354" s="9" t="n">
        <v>68.92307692307693</v>
      </c>
      <c r="H2354" s="9" t="n">
        <v>68.92307692307693</v>
      </c>
      <c r="I2354" s="9" t="inlineStr">
        <is>
          <t>Depth (no MLB PA)</t>
        </is>
      </c>
      <c r="J2354" s="16" t="inlineStr">
        <is>
          <t>Opening Day</t>
        </is>
      </c>
      <c r="K2354" s="11">
        <f>IFERROR(INDEX(Roles!$B$17:$B$20,MATCH(J2354,Roles!$A$17:$A$20,0)),1)</f>
        <v/>
      </c>
      <c r="L2354" s="17" t="n">
        <v>1</v>
      </c>
      <c r="M2354" s="11" t="n">
        <v>1</v>
      </c>
      <c r="N2354" s="17" t="n"/>
      <c r="O2354" s="17" t="n"/>
      <c r="P2354" s="17" t="n"/>
      <c r="Q2354" s="17" t="n"/>
      <c r="R2354" s="17" t="n"/>
      <c r="S2354" s="17" t="n"/>
      <c r="T2354" s="17" t="n"/>
      <c r="U2354" s="17" t="n"/>
      <c r="V2354" s="17" t="n"/>
      <c r="W2354" s="17" t="n"/>
      <c r="X2354" s="17" t="n"/>
      <c r="Y2354" s="17" t="n">
        <v>1</v>
      </c>
      <c r="Z2354" s="13">
        <f>SUMPRODUCT(N2354:Y2354,$N$2:$Y$2)*$K2354*$L2354*$M2354</f>
        <v/>
      </c>
      <c r="AA2354" s="14">
        <f>SUM(N2354:Y2354)</f>
        <v/>
      </c>
      <c r="AB2354" s="14">
        <f>IFERROR(IF(UPPER($E2354)="L",SUMPRODUCT(N2354:Y2354,$N$3:$Y$3,$N$2:$Y$2),SUMPRODUCT(N2354:Y2354,$N$4:$Y$4,$N$2:$Y$2))/(Z2354/($K2354*$L2354*$M2354)),"")</f>
        <v/>
      </c>
      <c r="AC2354" s="18" t="n"/>
    </row>
    <row r="2355">
      <c r="A2355" s="9" t="n">
        <v>690985</v>
      </c>
      <c r="B2355" s="9" t="inlineStr">
        <is>
          <t>Colby Halter</t>
        </is>
      </c>
      <c r="C2355" s="9" t="inlineStr">
        <is>
          <t>OAK</t>
        </is>
      </c>
      <c r="D2355" s="9" t="n">
        <v>25</v>
      </c>
      <c r="E2355" s="16" t="inlineStr">
        <is>
          <t>L</t>
        </is>
      </c>
      <c r="F2355" s="16" t="n"/>
      <c r="G2355" s="9" t="n">
        <v>116.2051282051282</v>
      </c>
      <c r="H2355" s="9" t="n">
        <v>116.2051282051282</v>
      </c>
      <c r="I2355" s="9" t="inlineStr">
        <is>
          <t>Depth (no MLB PA)</t>
        </is>
      </c>
      <c r="J2355" s="16" t="inlineStr">
        <is>
          <t>Opening Day</t>
        </is>
      </c>
      <c r="K2355" s="11">
        <f>IFERROR(INDEX(Roles!$B$17:$B$20,MATCH(J2355,Roles!$A$17:$A$20,0)),1)</f>
        <v/>
      </c>
      <c r="L2355" s="17" t="n">
        <v>1</v>
      </c>
      <c r="M2355" s="11" t="n">
        <v>1</v>
      </c>
      <c r="N2355" s="17" t="n"/>
      <c r="O2355" s="17" t="n"/>
      <c r="P2355" s="17" t="n"/>
      <c r="Q2355" s="17" t="n"/>
      <c r="R2355" s="17" t="n"/>
      <c r="S2355" s="17" t="n"/>
      <c r="T2355" s="17" t="n"/>
      <c r="U2355" s="17" t="n"/>
      <c r="V2355" s="17" t="n"/>
      <c r="W2355" s="17" t="n"/>
      <c r="X2355" s="17" t="n"/>
      <c r="Y2355" s="17" t="n">
        <v>1</v>
      </c>
      <c r="Z2355" s="13">
        <f>SUMPRODUCT(N2355:Y2355,$N$2:$Y$2)*$K2355*$L2355*$M2355</f>
        <v/>
      </c>
      <c r="AA2355" s="14">
        <f>SUM(N2355:Y2355)</f>
        <v/>
      </c>
      <c r="AB2355" s="14">
        <f>IFERROR(IF(UPPER($E2355)="L",SUMPRODUCT(N2355:Y2355,$N$3:$Y$3,$N$2:$Y$2),SUMPRODUCT(N2355:Y2355,$N$4:$Y$4,$N$2:$Y$2))/(Z2355/($K2355*$L2355*$M2355)),"")</f>
        <v/>
      </c>
      <c r="AC2355" s="18" t="n"/>
    </row>
    <row r="2356">
      <c r="A2356" s="9" t="n">
        <v>687093</v>
      </c>
      <c r="B2356" s="9" t="inlineStr">
        <is>
          <t>Vaughn Grissom</t>
        </is>
      </c>
      <c r="C2356" s="9" t="inlineStr">
        <is>
          <t>LAA</t>
        </is>
      </c>
      <c r="D2356" s="9" t="n">
        <v>26</v>
      </c>
      <c r="E2356" s="16" t="inlineStr">
        <is>
          <t>R</t>
        </is>
      </c>
      <c r="F2356" s="16" t="inlineStr">
        <is>
          <t>1B</t>
        </is>
      </c>
      <c r="G2356" s="9" t="n">
        <v>474</v>
      </c>
      <c r="H2356" s="9" t="n">
        <v>824</v>
      </c>
      <c r="I2356" s="9" t="inlineStr">
        <is>
          <t>Full Time</t>
        </is>
      </c>
      <c r="J2356" s="16" t="inlineStr">
        <is>
          <t>Opening Day</t>
        </is>
      </c>
      <c r="K2356" s="11">
        <f>IFERROR(INDEX(Roles!$B$17:$B$20,MATCH(J2356,Roles!$A$17:$A$20,0)),1)</f>
        <v/>
      </c>
      <c r="L2356" s="17" t="n">
        <v>1</v>
      </c>
      <c r="M2356" s="11" t="n">
        <v>0.900642713279199</v>
      </c>
      <c r="N2356" s="17" t="n">
        <v>0.7</v>
      </c>
      <c r="O2356" s="17" t="n"/>
      <c r="P2356" s="17" t="n">
        <v>0.3</v>
      </c>
      <c r="Q2356" s="17" t="n"/>
      <c r="R2356" s="17" t="n"/>
      <c r="S2356" s="17" t="n"/>
      <c r="T2356" s="17" t="n"/>
      <c r="U2356" s="17" t="n"/>
      <c r="V2356" s="17" t="n"/>
      <c r="W2356" s="17" t="n"/>
      <c r="X2356" s="17" t="n"/>
      <c r="Y2356" s="17" t="n"/>
      <c r="Z2356" s="13">
        <f>SUMPRODUCT(N2356:Y2356,$N$2:$Y$2)*$K2356*$L2356*$M2356</f>
        <v/>
      </c>
      <c r="AA2356" s="14">
        <f>SUM(N2356:Y2356)</f>
        <v/>
      </c>
      <c r="AB2356" s="14">
        <f>IFERROR(IF(UPPER($E2356)="L",SUMPRODUCT(N2356:Y2356,$N$3:$Y$3,$N$2:$Y$2),SUMPRODUCT(N2356:Y2356,$N$4:$Y$4,$N$2:$Y$2))/(Z2356/($K2356*$L2356*$M2356)),"")</f>
        <v/>
      </c>
      <c r="AC2356" s="18" t="n"/>
    </row>
    <row r="2357">
      <c r="A2357" s="9" t="n">
        <v>811780</v>
      </c>
      <c r="B2357" s="9" t="inlineStr">
        <is>
          <t>Joel Dragoo</t>
        </is>
      </c>
      <c r="C2357" s="9" t="inlineStr">
        <is>
          <t>PHI</t>
        </is>
      </c>
      <c r="D2357" s="9" t="n">
        <v>25</v>
      </c>
      <c r="E2357" s="16" t="inlineStr">
        <is>
          <t>R</t>
        </is>
      </c>
      <c r="F2357" s="16" t="n"/>
      <c r="G2357" s="9" t="n">
        <v>54.56410256410257</v>
      </c>
      <c r="H2357" s="9" t="n">
        <v>54.56410256410257</v>
      </c>
      <c r="I2357" s="9" t="inlineStr">
        <is>
          <t>Depth (no MLB PA)</t>
        </is>
      </c>
      <c r="J2357" s="16" t="inlineStr">
        <is>
          <t>Opening Day</t>
        </is>
      </c>
      <c r="K2357" s="11">
        <f>IFERROR(INDEX(Roles!$B$17:$B$20,MATCH(J2357,Roles!$A$17:$A$20,0)),1)</f>
        <v/>
      </c>
      <c r="L2357" s="17" t="n">
        <v>1</v>
      </c>
      <c r="M2357" s="11" t="n">
        <v>1</v>
      </c>
      <c r="N2357" s="17" t="n"/>
      <c r="O2357" s="17" t="n"/>
      <c r="P2357" s="17" t="n"/>
      <c r="Q2357" s="17" t="n"/>
      <c r="R2357" s="17" t="n"/>
      <c r="S2357" s="17" t="n"/>
      <c r="T2357" s="17" t="n"/>
      <c r="U2357" s="17" t="n"/>
      <c r="V2357" s="17" t="n"/>
      <c r="W2357" s="17" t="n"/>
      <c r="X2357" s="17" t="n"/>
      <c r="Y2357" s="17" t="n">
        <v>1</v>
      </c>
      <c r="Z2357" s="13">
        <f>SUMPRODUCT(N2357:Y2357,$N$2:$Y$2)*$K2357*$L2357*$M2357</f>
        <v/>
      </c>
      <c r="AA2357" s="14">
        <f>SUM(N2357:Y2357)</f>
        <v/>
      </c>
      <c r="AB2357" s="14">
        <f>IFERROR(IF(UPPER($E2357)="L",SUMPRODUCT(N2357:Y2357,$N$3:$Y$3,$N$2:$Y$2),SUMPRODUCT(N2357:Y2357,$N$4:$Y$4,$N$2:$Y$2))/(Z2357/($K2357*$L2357*$M2357)),"")</f>
        <v/>
      </c>
      <c r="AC2357" s="18" t="n"/>
    </row>
    <row r="2358">
      <c r="A2358" s="9" t="n">
        <v>814504</v>
      </c>
      <c r="B2358" s="9" t="inlineStr">
        <is>
          <t>Dylan Fien</t>
        </is>
      </c>
      <c r="C2358" s="9" t="inlineStr">
        <is>
          <t>OAK</t>
        </is>
      </c>
      <c r="D2358" s="9" t="n">
        <v>25</v>
      </c>
      <c r="E2358" s="16" t="inlineStr">
        <is>
          <t>S</t>
        </is>
      </c>
      <c r="F2358" s="16" t="n"/>
      <c r="G2358" s="9" t="n">
        <v>61.94871794871795</v>
      </c>
      <c r="H2358" s="9" t="n">
        <v>61.94871794871795</v>
      </c>
      <c r="I2358" s="9" t="inlineStr">
        <is>
          <t>Depth (no MLB PA)</t>
        </is>
      </c>
      <c r="J2358" s="16" t="inlineStr">
        <is>
          <t>Opening Day</t>
        </is>
      </c>
      <c r="K2358" s="11">
        <f>IFERROR(INDEX(Roles!$B$17:$B$20,MATCH(J2358,Roles!$A$17:$A$20,0)),1)</f>
        <v/>
      </c>
      <c r="L2358" s="17" t="n">
        <v>1</v>
      </c>
      <c r="M2358" s="11" t="n">
        <v>1</v>
      </c>
      <c r="N2358" s="17" t="n"/>
      <c r="O2358" s="17" t="n"/>
      <c r="P2358" s="17" t="n"/>
      <c r="Q2358" s="17" t="n"/>
      <c r="R2358" s="17" t="n"/>
      <c r="S2358" s="17" t="n"/>
      <c r="T2358" s="17" t="n"/>
      <c r="U2358" s="17" t="n"/>
      <c r="V2358" s="17" t="n"/>
      <c r="W2358" s="17" t="n"/>
      <c r="X2358" s="17" t="n"/>
      <c r="Y2358" s="17" t="n">
        <v>1</v>
      </c>
      <c r="Z2358" s="13">
        <f>SUMPRODUCT(N2358:Y2358,$N$2:$Y$2)*$K2358*$L2358*$M2358</f>
        <v/>
      </c>
      <c r="AA2358" s="14">
        <f>SUM(N2358:Y2358)</f>
        <v/>
      </c>
      <c r="AB2358" s="14">
        <f>IFERROR(IF(UPPER($E2358)="L",SUMPRODUCT(N2358:Y2358,$N$3:$Y$3,$N$2:$Y$2),SUMPRODUCT(N2358:Y2358,$N$4:$Y$4,$N$2:$Y$2))/(Z2358/($K2358*$L2358*$M2358)),"")</f>
        <v/>
      </c>
      <c r="AC2358" s="18" t="n"/>
    </row>
    <row r="2359">
      <c r="A2359" s="9" t="n">
        <v>691781</v>
      </c>
      <c r="B2359" s="9" t="inlineStr">
        <is>
          <t>Brady House</t>
        </is>
      </c>
      <c r="C2359" s="9" t="inlineStr">
        <is>
          <t>WSH</t>
        </is>
      </c>
      <c r="D2359" s="9" t="n">
        <v>24</v>
      </c>
      <c r="E2359" s="16" t="inlineStr">
        <is>
          <t>R</t>
        </is>
      </c>
      <c r="F2359" s="16" t="inlineStr">
        <is>
          <t>3B</t>
        </is>
      </c>
      <c r="G2359" s="9" t="n">
        <v>355</v>
      </c>
      <c r="H2359" s="9" t="n">
        <v>629</v>
      </c>
      <c r="I2359" s="9" t="inlineStr">
        <is>
          <t>Full Time</t>
        </is>
      </c>
      <c r="J2359" s="16" t="inlineStr">
        <is>
          <t>Opening Day</t>
        </is>
      </c>
      <c r="K2359" s="11">
        <f>IFERROR(INDEX(Roles!$B$17:$B$20,MATCH(J2359,Roles!$A$17:$A$20,0)),1)</f>
        <v/>
      </c>
      <c r="L2359" s="17" t="n">
        <v>1</v>
      </c>
      <c r="M2359" s="11" t="n">
        <v>1</v>
      </c>
      <c r="N2359" s="17" t="n">
        <v>0.8</v>
      </c>
      <c r="O2359" s="17" t="n"/>
      <c r="P2359" s="17" t="n">
        <v>0.2</v>
      </c>
      <c r="Q2359" s="17" t="n"/>
      <c r="R2359" s="17" t="n"/>
      <c r="S2359" s="17" t="n"/>
      <c r="T2359" s="17" t="n"/>
      <c r="U2359" s="17" t="n"/>
      <c r="V2359" s="17" t="n"/>
      <c r="W2359" s="17" t="n"/>
      <c r="X2359" s="17" t="n"/>
      <c r="Y2359" s="17" t="n"/>
      <c r="Z2359" s="13">
        <f>SUMPRODUCT(N2359:Y2359,$N$2:$Y$2)*$K2359*$L2359*$M2359</f>
        <v/>
      </c>
      <c r="AA2359" s="14">
        <f>SUM(N2359:Y2359)</f>
        <v/>
      </c>
      <c r="AB2359" s="14">
        <f>IFERROR(IF(UPPER($E2359)="L",SUMPRODUCT(N2359:Y2359,$N$3:$Y$3,$N$2:$Y$2),SUMPRODUCT(N2359:Y2359,$N$4:$Y$4,$N$2:$Y$2))/(Z2359/($K2359*$L2359*$M2359)),"")</f>
        <v/>
      </c>
      <c r="AC2359" s="18" t="n"/>
    </row>
    <row r="2360">
      <c r="A2360" s="9" t="n">
        <v>802531</v>
      </c>
      <c r="B2360" s="9" t="inlineStr">
        <is>
          <t>Trent Farquhar</t>
        </is>
      </c>
      <c r="C2360" s="9" t="inlineStr">
        <is>
          <t>PHI</t>
        </is>
      </c>
      <c r="D2360" s="9" t="n">
        <v>25</v>
      </c>
      <c r="E2360" s="16" t="inlineStr">
        <is>
          <t>L</t>
        </is>
      </c>
      <c r="F2360" s="16" t="n"/>
      <c r="G2360" s="9" t="n">
        <v>52.51282051282053</v>
      </c>
      <c r="H2360" s="9" t="n">
        <v>52.51282051282053</v>
      </c>
      <c r="I2360" s="9" t="inlineStr">
        <is>
          <t>Depth (no MLB PA)</t>
        </is>
      </c>
      <c r="J2360" s="16" t="inlineStr">
        <is>
          <t>Opening Day</t>
        </is>
      </c>
      <c r="K2360" s="11">
        <f>IFERROR(INDEX(Roles!$B$17:$B$20,MATCH(J2360,Roles!$A$17:$A$20,0)),1)</f>
        <v/>
      </c>
      <c r="L2360" s="17" t="n">
        <v>1</v>
      </c>
      <c r="M2360" s="11" t="n">
        <v>1</v>
      </c>
      <c r="N2360" s="17" t="n"/>
      <c r="O2360" s="17" t="n"/>
      <c r="P2360" s="17" t="n"/>
      <c r="Q2360" s="17" t="n"/>
      <c r="R2360" s="17" t="n"/>
      <c r="S2360" s="17" t="n"/>
      <c r="T2360" s="17" t="n"/>
      <c r="U2360" s="17" t="n"/>
      <c r="V2360" s="17" t="n"/>
      <c r="W2360" s="17" t="n"/>
      <c r="X2360" s="17" t="n"/>
      <c r="Y2360" s="17" t="n">
        <v>1</v>
      </c>
      <c r="Z2360" s="13">
        <f>SUMPRODUCT(N2360:Y2360,$N$2:$Y$2)*$K2360*$L2360*$M2360</f>
        <v/>
      </c>
      <c r="AA2360" s="14">
        <f>SUM(N2360:Y2360)</f>
        <v/>
      </c>
      <c r="AB2360" s="14">
        <f>IFERROR(IF(UPPER($E2360)="L",SUMPRODUCT(N2360:Y2360,$N$3:$Y$3,$N$2:$Y$2),SUMPRODUCT(N2360:Y2360,$N$4:$Y$4,$N$2:$Y$2))/(Z2360/($K2360*$L2360*$M2360)),"")</f>
        <v/>
      </c>
      <c r="AC2360" s="18" t="n"/>
    </row>
    <row r="2361">
      <c r="A2361" s="9" t="n">
        <v>687272</v>
      </c>
      <c r="B2361" s="9" t="inlineStr">
        <is>
          <t>Tucker Flint</t>
        </is>
      </c>
      <c r="C2361" s="9" t="inlineStr">
        <is>
          <t>LAA</t>
        </is>
      </c>
      <c r="D2361" s="9" t="n">
        <v>25</v>
      </c>
      <c r="E2361" s="16" t="inlineStr">
        <is>
          <t>L</t>
        </is>
      </c>
      <c r="F2361" s="16" t="n"/>
      <c r="G2361" s="9" t="n">
        <v>187.0256410256411</v>
      </c>
      <c r="H2361" s="9" t="n">
        <v>187.0256410256411</v>
      </c>
      <c r="I2361" s="9" t="inlineStr">
        <is>
          <t>Depth (no MLB PA)</t>
        </is>
      </c>
      <c r="J2361" s="16" t="inlineStr">
        <is>
          <t>Opening Day</t>
        </is>
      </c>
      <c r="K2361" s="11">
        <f>IFERROR(INDEX(Roles!$B$17:$B$20,MATCH(J2361,Roles!$A$17:$A$20,0)),1)</f>
        <v/>
      </c>
      <c r="L2361" s="17" t="n">
        <v>1</v>
      </c>
      <c r="M2361" s="11" t="n">
        <v>1</v>
      </c>
      <c r="N2361" s="17" t="n"/>
      <c r="O2361" s="17" t="n"/>
      <c r="P2361" s="17" t="n"/>
      <c r="Q2361" s="17" t="n"/>
      <c r="R2361" s="17" t="n"/>
      <c r="S2361" s="17" t="n"/>
      <c r="T2361" s="17" t="n"/>
      <c r="U2361" s="17" t="n"/>
      <c r="V2361" s="17" t="n"/>
      <c r="W2361" s="17" t="n"/>
      <c r="X2361" s="17" t="n"/>
      <c r="Y2361" s="17" t="n">
        <v>1</v>
      </c>
      <c r="Z2361" s="13">
        <f>SUMPRODUCT(N2361:Y2361,$N$2:$Y$2)*$K2361*$L2361*$M2361</f>
        <v/>
      </c>
      <c r="AA2361" s="14">
        <f>SUM(N2361:Y2361)</f>
        <v/>
      </c>
      <c r="AB2361" s="14">
        <f>IFERROR(IF(UPPER($E2361)="L",SUMPRODUCT(N2361:Y2361,$N$3:$Y$3,$N$2:$Y$2),SUMPRODUCT(N2361:Y2361,$N$4:$Y$4,$N$2:$Y$2))/(Z2361/($K2361*$L2361*$M2361)),"")</f>
        <v/>
      </c>
      <c r="AC2361" s="18" t="n"/>
    </row>
    <row r="2362">
      <c r="A2362" s="9" t="n">
        <v>694425</v>
      </c>
      <c r="B2362" s="9" t="inlineStr">
        <is>
          <t>Justice Bigbie</t>
        </is>
      </c>
      <c r="C2362" s="9" t="inlineStr">
        <is>
          <t>DET</t>
        </is>
      </c>
      <c r="D2362" s="9" t="n">
        <v>25</v>
      </c>
      <c r="E2362" s="16" t="inlineStr">
        <is>
          <t>R</t>
        </is>
      </c>
      <c r="F2362" s="16" t="n"/>
      <c r="G2362" s="9" t="n">
        <v>72.20512820512822</v>
      </c>
      <c r="H2362" s="9" t="n">
        <v>72.20512820512822</v>
      </c>
      <c r="I2362" s="9" t="inlineStr">
        <is>
          <t>Depth (no MLB PA)</t>
        </is>
      </c>
      <c r="J2362" s="16" t="inlineStr">
        <is>
          <t>Opening Day</t>
        </is>
      </c>
      <c r="K2362" s="11">
        <f>IFERROR(INDEX(Roles!$B$17:$B$20,MATCH(J2362,Roles!$A$17:$A$20,0)),1)</f>
        <v/>
      </c>
      <c r="L2362" s="17" t="n">
        <v>1</v>
      </c>
      <c r="M2362" s="11" t="n">
        <v>1</v>
      </c>
      <c r="N2362" s="17" t="n"/>
      <c r="O2362" s="17" t="n"/>
      <c r="P2362" s="17" t="n"/>
      <c r="Q2362" s="17" t="n"/>
      <c r="R2362" s="17" t="n"/>
      <c r="S2362" s="17" t="n"/>
      <c r="T2362" s="17" t="n"/>
      <c r="U2362" s="17" t="n"/>
      <c r="V2362" s="17" t="n"/>
      <c r="W2362" s="17" t="n"/>
      <c r="X2362" s="17" t="n"/>
      <c r="Y2362" s="17" t="n">
        <v>1</v>
      </c>
      <c r="Z2362" s="13">
        <f>SUMPRODUCT(N2362:Y2362,$N$2:$Y$2)*$K2362*$L2362*$M2362</f>
        <v/>
      </c>
      <c r="AA2362" s="14">
        <f>SUM(N2362:Y2362)</f>
        <v/>
      </c>
      <c r="AB2362" s="14">
        <f>IFERROR(IF(UPPER($E2362)="L",SUMPRODUCT(N2362:Y2362,$N$3:$Y$3,$N$2:$Y$2),SUMPRODUCT(N2362:Y2362,$N$4:$Y$4,$N$2:$Y$2))/(Z2362/($K2362*$L2362*$M2362)),"")</f>
        <v/>
      </c>
      <c r="AC2362" s="18" t="n"/>
    </row>
    <row r="2363">
      <c r="A2363" s="9" t="n">
        <v>701783</v>
      </c>
      <c r="B2363" s="9" t="inlineStr">
        <is>
          <t>Cole Messina</t>
        </is>
      </c>
      <c r="C2363" s="9" t="inlineStr">
        <is>
          <t>COL</t>
        </is>
      </c>
      <c r="D2363" s="9" t="n">
        <v>25</v>
      </c>
      <c r="E2363" s="16" t="inlineStr">
        <is>
          <t>R</t>
        </is>
      </c>
      <c r="F2363" s="16" t="n"/>
      <c r="G2363" s="9" t="n">
        <v>127.7948717948718</v>
      </c>
      <c r="H2363" s="9" t="n">
        <v>127.7948717948718</v>
      </c>
      <c r="I2363" s="9" t="inlineStr">
        <is>
          <t>Depth (no MLB PA)</t>
        </is>
      </c>
      <c r="J2363" s="16" t="inlineStr">
        <is>
          <t>Opening Day</t>
        </is>
      </c>
      <c r="K2363" s="11">
        <f>IFERROR(INDEX(Roles!$B$17:$B$20,MATCH(J2363,Roles!$A$17:$A$20,0)),1)</f>
        <v/>
      </c>
      <c r="L2363" s="17" t="n">
        <v>1</v>
      </c>
      <c r="M2363" s="11" t="n">
        <v>1</v>
      </c>
      <c r="N2363" s="17" t="n"/>
      <c r="O2363" s="17" t="n"/>
      <c r="P2363" s="17" t="n"/>
      <c r="Q2363" s="17" t="n"/>
      <c r="R2363" s="17" t="n"/>
      <c r="S2363" s="17" t="n"/>
      <c r="T2363" s="17" t="n"/>
      <c r="U2363" s="17" t="n"/>
      <c r="V2363" s="17" t="n"/>
      <c r="W2363" s="17" t="n"/>
      <c r="X2363" s="17" t="n"/>
      <c r="Y2363" s="17" t="n">
        <v>1</v>
      </c>
      <c r="Z2363" s="13">
        <f>SUMPRODUCT(N2363:Y2363,$N$2:$Y$2)*$K2363*$L2363*$M2363</f>
        <v/>
      </c>
      <c r="AA2363" s="14">
        <f>SUM(N2363:Y2363)</f>
        <v/>
      </c>
      <c r="AB2363" s="14">
        <f>IFERROR(IF(UPPER($E2363)="L",SUMPRODUCT(N2363:Y2363,$N$3:$Y$3,$N$2:$Y$2),SUMPRODUCT(N2363:Y2363,$N$4:$Y$4,$N$2:$Y$2))/(Z2363/($K2363*$L2363*$M2363)),"")</f>
        <v/>
      </c>
      <c r="AC2363" s="18" t="n"/>
    </row>
    <row r="2364">
      <c r="A2364" s="9" t="n">
        <v>800419</v>
      </c>
      <c r="B2364" s="9" t="inlineStr">
        <is>
          <t>Jeral Perez</t>
        </is>
      </c>
      <c r="C2364" s="9" t="inlineStr">
        <is>
          <t>CWS</t>
        </is>
      </c>
      <c r="D2364" s="9" t="n">
        <v>25</v>
      </c>
      <c r="E2364" s="16" t="inlineStr">
        <is>
          <t>R</t>
        </is>
      </c>
      <c r="F2364" s="16" t="n"/>
      <c r="G2364" s="9" t="n">
        <v>87.94871794871796</v>
      </c>
      <c r="H2364" s="9" t="n">
        <v>87.94871794871796</v>
      </c>
      <c r="I2364" s="9" t="inlineStr">
        <is>
          <t>Depth (no MLB PA)</t>
        </is>
      </c>
      <c r="J2364" s="16" t="inlineStr">
        <is>
          <t>Opening Day</t>
        </is>
      </c>
      <c r="K2364" s="11">
        <f>IFERROR(INDEX(Roles!$B$17:$B$20,MATCH(J2364,Roles!$A$17:$A$20,0)),1)</f>
        <v/>
      </c>
      <c r="L2364" s="17" t="n">
        <v>1</v>
      </c>
      <c r="M2364" s="11" t="n">
        <v>1</v>
      </c>
      <c r="N2364" s="17" t="n"/>
      <c r="O2364" s="17" t="n"/>
      <c r="P2364" s="17" t="n"/>
      <c r="Q2364" s="17" t="n"/>
      <c r="R2364" s="17" t="n"/>
      <c r="S2364" s="17" t="n"/>
      <c r="T2364" s="17" t="n"/>
      <c r="U2364" s="17" t="n"/>
      <c r="V2364" s="17" t="n"/>
      <c r="W2364" s="17" t="n"/>
      <c r="X2364" s="17" t="n"/>
      <c r="Y2364" s="17" t="n">
        <v>1</v>
      </c>
      <c r="Z2364" s="13">
        <f>SUMPRODUCT(N2364:Y2364,$N$2:$Y$2)*$K2364*$L2364*$M2364</f>
        <v/>
      </c>
      <c r="AA2364" s="14">
        <f>SUM(N2364:Y2364)</f>
        <v/>
      </c>
      <c r="AB2364" s="14">
        <f>IFERROR(IF(UPPER($E2364)="L",SUMPRODUCT(N2364:Y2364,$N$3:$Y$3,$N$2:$Y$2),SUMPRODUCT(N2364:Y2364,$N$4:$Y$4,$N$2:$Y$2))/(Z2364/($K2364*$L2364*$M2364)),"")</f>
        <v/>
      </c>
      <c r="AC2364" s="18" t="n"/>
    </row>
    <row r="2365">
      <c r="A2365" s="9" t="n">
        <v>695481</v>
      </c>
      <c r="B2365" s="9" t="inlineStr">
        <is>
          <t>Jay Allen II</t>
        </is>
      </c>
      <c r="C2365" s="9" t="inlineStr">
        <is>
          <t>CIN</t>
        </is>
      </c>
      <c r="D2365" s="9" t="n">
        <v>25</v>
      </c>
      <c r="E2365" s="16" t="inlineStr">
        <is>
          <t>R</t>
        </is>
      </c>
      <c r="F2365" s="16" t="n"/>
      <c r="G2365" s="9" t="n">
        <v>46.82051282051282</v>
      </c>
      <c r="H2365" s="9" t="n">
        <v>46.82051282051282</v>
      </c>
      <c r="I2365" s="9" t="inlineStr">
        <is>
          <t>Depth (no MLB PA)</t>
        </is>
      </c>
      <c r="J2365" s="16" t="inlineStr">
        <is>
          <t>Opening Day</t>
        </is>
      </c>
      <c r="K2365" s="11">
        <f>IFERROR(INDEX(Roles!$B$17:$B$20,MATCH(J2365,Roles!$A$17:$A$20,0)),1)</f>
        <v/>
      </c>
      <c r="L2365" s="17" t="n">
        <v>1</v>
      </c>
      <c r="M2365" s="11" t="n">
        <v>1</v>
      </c>
      <c r="N2365" s="17" t="n"/>
      <c r="O2365" s="17" t="n"/>
      <c r="P2365" s="17" t="n"/>
      <c r="Q2365" s="17" t="n"/>
      <c r="R2365" s="17" t="n"/>
      <c r="S2365" s="17" t="n"/>
      <c r="T2365" s="17" t="n"/>
      <c r="U2365" s="17" t="n"/>
      <c r="V2365" s="17" t="n"/>
      <c r="W2365" s="17" t="n"/>
      <c r="X2365" s="17" t="n"/>
      <c r="Y2365" s="17" t="n">
        <v>1</v>
      </c>
      <c r="Z2365" s="13">
        <f>SUMPRODUCT(N2365:Y2365,$N$2:$Y$2)*$K2365*$L2365*$M2365</f>
        <v/>
      </c>
      <c r="AA2365" s="14">
        <f>SUM(N2365:Y2365)</f>
        <v/>
      </c>
      <c r="AB2365" s="14">
        <f>IFERROR(IF(UPPER($E2365)="L",SUMPRODUCT(N2365:Y2365,$N$3:$Y$3,$N$2:$Y$2),SUMPRODUCT(N2365:Y2365,$N$4:$Y$4,$N$2:$Y$2))/(Z2365/($K2365*$L2365*$M2365)),"")</f>
        <v/>
      </c>
      <c r="AC2365" s="18" t="n"/>
    </row>
    <row r="2366">
      <c r="A2366" s="9" t="n">
        <v>669256</v>
      </c>
      <c r="B2366" s="9" t="inlineStr">
        <is>
          <t>Nick Solak</t>
        </is>
      </c>
      <c r="C2366" s="9" t="inlineStr">
        <is>
          <t>TEX</t>
        </is>
      </c>
      <c r="D2366" s="9" t="n">
        <v>32</v>
      </c>
      <c r="E2366" s="16" t="inlineStr">
        <is>
          <t>R</t>
        </is>
      </c>
      <c r="F2366" s="16" t="inlineStr">
        <is>
          <t>1B</t>
        </is>
      </c>
      <c r="G2366" s="9" t="n">
        <v>10</v>
      </c>
      <c r="H2366" s="9" t="n">
        <v>116</v>
      </c>
      <c r="I2366" s="9" t="inlineStr">
        <is>
          <t>Depth (no MLB PA)</t>
        </is>
      </c>
      <c r="J2366" s="16" t="inlineStr">
        <is>
          <t>Opening Day</t>
        </is>
      </c>
      <c r="K2366" s="11">
        <f>IFERROR(INDEX(Roles!$B$17:$B$20,MATCH(J2366,Roles!$A$17:$A$20,0)),1)</f>
        <v/>
      </c>
      <c r="L2366" s="17" t="n">
        <v>1</v>
      </c>
      <c r="M2366" s="11" t="n">
        <v>1</v>
      </c>
      <c r="N2366" s="17" t="n"/>
      <c r="O2366" s="17" t="n"/>
      <c r="P2366" s="17" t="n"/>
      <c r="Q2366" s="17" t="n"/>
      <c r="R2366" s="17" t="n"/>
      <c r="S2366" s="17" t="n"/>
      <c r="T2366" s="17" t="n"/>
      <c r="U2366" s="17" t="n"/>
      <c r="V2366" s="17" t="n"/>
      <c r="W2366" s="17" t="n"/>
      <c r="X2366" s="17" t="n"/>
      <c r="Y2366" s="17" t="n">
        <v>1</v>
      </c>
      <c r="Z2366" s="13">
        <f>SUMPRODUCT(N2366:Y2366,$N$2:$Y$2)*$K2366*$L2366*$M2366</f>
        <v/>
      </c>
      <c r="AA2366" s="14">
        <f>SUM(N2366:Y2366)</f>
        <v/>
      </c>
      <c r="AB2366" s="14">
        <f>IFERROR(IF(UPPER($E2366)="L",SUMPRODUCT(N2366:Y2366,$N$3:$Y$3,$N$2:$Y$2),SUMPRODUCT(N2366:Y2366,$N$4:$Y$4,$N$2:$Y$2))/(Z2366/($K2366*$L2366*$M2366)),"")</f>
        <v/>
      </c>
      <c r="AC2366" s="18" t="n"/>
    </row>
    <row r="2367">
      <c r="A2367" s="9" t="n">
        <v>641779</v>
      </c>
      <c r="B2367" s="9" t="inlineStr">
        <is>
          <t>Charles Leblanc</t>
        </is>
      </c>
      <c r="C2367" s="9" t="inlineStr">
        <is>
          <t>LAA</t>
        </is>
      </c>
      <c r="D2367" s="9" t="n">
        <v>31</v>
      </c>
      <c r="E2367" s="16" t="inlineStr">
        <is>
          <t>R</t>
        </is>
      </c>
      <c r="F2367" s="16" t="inlineStr">
        <is>
          <t>3B</t>
        </is>
      </c>
      <c r="G2367" s="9" t="n">
        <v>28</v>
      </c>
      <c r="H2367" s="9" t="n">
        <v>197</v>
      </c>
      <c r="I2367" s="9" t="inlineStr">
        <is>
          <t>Depth (no MLB PA)</t>
        </is>
      </c>
      <c r="J2367" s="16" t="inlineStr">
        <is>
          <t>Opening Day</t>
        </is>
      </c>
      <c r="K2367" s="11">
        <f>IFERROR(INDEX(Roles!$B$17:$B$20,MATCH(J2367,Roles!$A$17:$A$20,0)),1)</f>
        <v/>
      </c>
      <c r="L2367" s="17" t="n">
        <v>1</v>
      </c>
      <c r="M2367" s="11" t="n">
        <v>1</v>
      </c>
      <c r="N2367" s="17" t="n"/>
      <c r="O2367" s="17" t="n"/>
      <c r="P2367" s="17" t="n"/>
      <c r="Q2367" s="17" t="n"/>
      <c r="R2367" s="17" t="n"/>
      <c r="S2367" s="17" t="n"/>
      <c r="T2367" s="17" t="n"/>
      <c r="U2367" s="17" t="n"/>
      <c r="V2367" s="17" t="n"/>
      <c r="W2367" s="17" t="n"/>
      <c r="X2367" s="17" t="n"/>
      <c r="Y2367" s="17" t="n">
        <v>1</v>
      </c>
      <c r="Z2367" s="13">
        <f>SUMPRODUCT(N2367:Y2367,$N$2:$Y$2)*$K2367*$L2367*$M2367</f>
        <v/>
      </c>
      <c r="AA2367" s="14">
        <f>SUM(N2367:Y2367)</f>
        <v/>
      </c>
      <c r="AB2367" s="14">
        <f>IFERROR(IF(UPPER($E2367)="L",SUMPRODUCT(N2367:Y2367,$N$3:$Y$3,$N$2:$Y$2),SUMPRODUCT(N2367:Y2367,$N$4:$Y$4,$N$2:$Y$2))/(Z2367/($K2367*$L2367*$M2367)),"")</f>
        <v/>
      </c>
      <c r="AC2367" s="18" t="n"/>
    </row>
    <row r="2368">
      <c r="A2368" s="9" t="n">
        <v>696264</v>
      </c>
      <c r="B2368" s="9" t="inlineStr">
        <is>
          <t>Tyler Whitaker</t>
        </is>
      </c>
      <c r="C2368" s="9" t="inlineStr">
        <is>
          <t>HOU</t>
        </is>
      </c>
      <c r="D2368" s="9" t="n">
        <v>25</v>
      </c>
      <c r="E2368" s="16" t="inlineStr">
        <is>
          <t>R</t>
        </is>
      </c>
      <c r="F2368" s="16" t="n"/>
      <c r="G2368" s="9" t="n">
        <v>147.5384615384615</v>
      </c>
      <c r="H2368" s="9" t="n">
        <v>147.5384615384615</v>
      </c>
      <c r="I2368" s="9" t="inlineStr">
        <is>
          <t>Depth (no MLB PA)</t>
        </is>
      </c>
      <c r="J2368" s="16" t="inlineStr">
        <is>
          <t>Opening Day</t>
        </is>
      </c>
      <c r="K2368" s="11">
        <f>IFERROR(INDEX(Roles!$B$17:$B$20,MATCH(J2368,Roles!$A$17:$A$20,0)),1)</f>
        <v/>
      </c>
      <c r="L2368" s="17" t="n">
        <v>1</v>
      </c>
      <c r="M2368" s="11" t="n">
        <v>1</v>
      </c>
      <c r="N2368" s="17" t="n"/>
      <c r="O2368" s="17" t="n"/>
      <c r="P2368" s="17" t="n"/>
      <c r="Q2368" s="17" t="n"/>
      <c r="R2368" s="17" t="n"/>
      <c r="S2368" s="17" t="n"/>
      <c r="T2368" s="17" t="n"/>
      <c r="U2368" s="17" t="n"/>
      <c r="V2368" s="17" t="n"/>
      <c r="W2368" s="17" t="n"/>
      <c r="X2368" s="17" t="n"/>
      <c r="Y2368" s="17" t="n">
        <v>1</v>
      </c>
      <c r="Z2368" s="13">
        <f>SUMPRODUCT(N2368:Y2368,$N$2:$Y$2)*$K2368*$L2368*$M2368</f>
        <v/>
      </c>
      <c r="AA2368" s="14">
        <f>SUM(N2368:Y2368)</f>
        <v/>
      </c>
      <c r="AB2368" s="14">
        <f>IFERROR(IF(UPPER($E2368)="L",SUMPRODUCT(N2368:Y2368,$N$3:$Y$3,$N$2:$Y$2),SUMPRODUCT(N2368:Y2368,$N$4:$Y$4,$N$2:$Y$2))/(Z2368/($K2368*$L2368*$M2368)),"")</f>
        <v/>
      </c>
      <c r="AC2368" s="18" t="n"/>
    </row>
    <row r="2369">
      <c r="A2369" s="9" t="n">
        <v>691728</v>
      </c>
      <c r="B2369" s="9" t="inlineStr">
        <is>
          <t>Zac Veen</t>
        </is>
      </c>
      <c r="C2369" s="9" t="inlineStr">
        <is>
          <t>COL</t>
        </is>
      </c>
      <c r="D2369" s="9" t="n">
        <v>26</v>
      </c>
      <c r="E2369" s="16" t="inlineStr">
        <is>
          <t>L</t>
        </is>
      </c>
      <c r="F2369" s="16" t="inlineStr">
        <is>
          <t>LF</t>
        </is>
      </c>
      <c r="G2369" s="9" t="n">
        <v>79</v>
      </c>
      <c r="H2369" s="9" t="n">
        <v>116</v>
      </c>
      <c r="I2369" s="9" t="inlineStr">
        <is>
          <t>Bench Bat</t>
        </is>
      </c>
      <c r="J2369" s="16" t="inlineStr">
        <is>
          <t>Opening Day</t>
        </is>
      </c>
      <c r="K2369" s="11">
        <f>IFERROR(INDEX(Roles!$B$17:$B$20,MATCH(J2369,Roles!$A$17:$A$20,0)),1)</f>
        <v/>
      </c>
      <c r="L2369" s="17" t="n">
        <v>1</v>
      </c>
      <c r="M2369" s="11" t="n">
        <v>1</v>
      </c>
      <c r="N2369" s="17" t="n"/>
      <c r="O2369" s="17" t="n"/>
      <c r="P2369" s="17" t="n"/>
      <c r="Q2369" s="17" t="n"/>
      <c r="R2369" s="17" t="n"/>
      <c r="S2369" s="17" t="n"/>
      <c r="T2369" s="17" t="n"/>
      <c r="U2369" s="17" t="n"/>
      <c r="V2369" s="17" t="n">
        <v>0.4</v>
      </c>
      <c r="W2369" s="17" t="n">
        <v>0.6</v>
      </c>
      <c r="X2369" s="17" t="n"/>
      <c r="Y2369" s="17" t="n"/>
      <c r="Z2369" s="13">
        <f>SUMPRODUCT(N2369:Y2369,$N$2:$Y$2)*$K2369*$L2369*$M2369</f>
        <v/>
      </c>
      <c r="AA2369" s="14">
        <f>SUM(N2369:Y2369)</f>
        <v/>
      </c>
      <c r="AB2369" s="14">
        <f>IFERROR(IF(UPPER($E2369)="L",SUMPRODUCT(N2369:Y2369,$N$3:$Y$3,$N$2:$Y$2),SUMPRODUCT(N2369:Y2369,$N$4:$Y$4,$N$2:$Y$2))/(Z2369/($K2369*$L2369*$M2369)),"")</f>
        <v/>
      </c>
      <c r="AC2369" s="18" t="n"/>
    </row>
    <row r="2370">
      <c r="A2370" s="9" t="n">
        <v>800393</v>
      </c>
      <c r="B2370" s="9" t="inlineStr">
        <is>
          <t>Yeremy Cabrera</t>
        </is>
      </c>
      <c r="C2370" s="9" t="inlineStr">
        <is>
          <t>WSH</t>
        </is>
      </c>
      <c r="D2370" s="9" t="n">
        <v>25</v>
      </c>
      <c r="E2370" s="16" t="inlineStr">
        <is>
          <t>L</t>
        </is>
      </c>
      <c r="F2370" s="16" t="n"/>
      <c r="G2370" s="9" t="n">
        <v>73.02564102564104</v>
      </c>
      <c r="H2370" s="9" t="n">
        <v>73.02564102564104</v>
      </c>
      <c r="I2370" s="9" t="inlineStr">
        <is>
          <t>Depth (no MLB PA)</t>
        </is>
      </c>
      <c r="J2370" s="16" t="inlineStr">
        <is>
          <t>Opening Day</t>
        </is>
      </c>
      <c r="K2370" s="11">
        <f>IFERROR(INDEX(Roles!$B$17:$B$20,MATCH(J2370,Roles!$A$17:$A$20,0)),1)</f>
        <v/>
      </c>
      <c r="L2370" s="17" t="n">
        <v>1</v>
      </c>
      <c r="M2370" s="11" t="n">
        <v>1</v>
      </c>
      <c r="N2370" s="17" t="n"/>
      <c r="O2370" s="17" t="n"/>
      <c r="P2370" s="17" t="n"/>
      <c r="Q2370" s="17" t="n"/>
      <c r="R2370" s="17" t="n"/>
      <c r="S2370" s="17" t="n"/>
      <c r="T2370" s="17" t="n"/>
      <c r="U2370" s="17" t="n"/>
      <c r="V2370" s="17" t="n"/>
      <c r="W2370" s="17" t="n"/>
      <c r="X2370" s="17" t="n"/>
      <c r="Y2370" s="17" t="n">
        <v>1</v>
      </c>
      <c r="Z2370" s="13">
        <f>SUMPRODUCT(N2370:Y2370,$N$2:$Y$2)*$K2370*$L2370*$M2370</f>
        <v/>
      </c>
      <c r="AA2370" s="14">
        <f>SUM(N2370:Y2370)</f>
        <v/>
      </c>
      <c r="AB2370" s="14">
        <f>IFERROR(IF(UPPER($E2370)="L",SUMPRODUCT(N2370:Y2370,$N$3:$Y$3,$N$2:$Y$2),SUMPRODUCT(N2370:Y2370,$N$4:$Y$4,$N$2:$Y$2))/(Z2370/($K2370*$L2370*$M2370)),"")</f>
        <v/>
      </c>
      <c r="AC2370" s="18" t="n"/>
    </row>
    <row r="2371">
      <c r="A2371" s="9" t="n">
        <v>640459</v>
      </c>
      <c r="B2371" s="9" t="inlineStr">
        <is>
          <t>Brian Navarreto</t>
        </is>
      </c>
      <c r="C2371" s="9" t="inlineStr">
        <is>
          <t>MIA</t>
        </is>
      </c>
      <c r="D2371" s="9" t="n">
        <v>32</v>
      </c>
      <c r="E2371" s="16" t="inlineStr">
        <is>
          <t>R</t>
        </is>
      </c>
      <c r="F2371" s="16" t="inlineStr">
        <is>
          <t>C</t>
        </is>
      </c>
      <c r="G2371" s="9" t="n">
        <v>61</v>
      </c>
      <c r="H2371" s="9" t="n">
        <v>76</v>
      </c>
      <c r="I2371" s="9" t="inlineStr">
        <is>
          <t>Weak Side Platoon</t>
        </is>
      </c>
      <c r="J2371" s="16" t="inlineStr">
        <is>
          <t>Opening Day</t>
        </is>
      </c>
      <c r="K2371" s="11">
        <f>IFERROR(INDEX(Roles!$B$17:$B$20,MATCH(J2371,Roles!$A$17:$A$20,0)),1)</f>
        <v/>
      </c>
      <c r="L2371" s="17" t="n">
        <v>1</v>
      </c>
      <c r="M2371" s="11" t="n">
        <v>1</v>
      </c>
      <c r="N2371" s="17" t="n"/>
      <c r="O2371" s="17" t="n"/>
      <c r="P2371" s="17" t="n"/>
      <c r="Q2371" s="17" t="n">
        <v>0.6</v>
      </c>
      <c r="R2371" s="17" t="n"/>
      <c r="S2371" s="17" t="n"/>
      <c r="T2371" s="17" t="n"/>
      <c r="U2371" s="17" t="n"/>
      <c r="V2371" s="17" t="n"/>
      <c r="W2371" s="17" t="n">
        <v>0.4</v>
      </c>
      <c r="X2371" s="17" t="n"/>
      <c r="Y2371" s="17" t="n"/>
      <c r="Z2371" s="13">
        <f>SUMPRODUCT(N2371:Y2371,$N$2:$Y$2)*$K2371*$L2371*$M2371</f>
        <v/>
      </c>
      <c r="AA2371" s="14">
        <f>SUM(N2371:Y2371)</f>
        <v/>
      </c>
      <c r="AB2371" s="14">
        <f>IFERROR(IF(UPPER($E2371)="L",SUMPRODUCT(N2371:Y2371,$N$3:$Y$3,$N$2:$Y$2),SUMPRODUCT(N2371:Y2371,$N$4:$Y$4,$N$2:$Y$2))/(Z2371/($K2371*$L2371*$M2371)),"")</f>
        <v/>
      </c>
      <c r="AC2371" s="18" t="n"/>
    </row>
    <row r="2372">
      <c r="A2372" s="9" t="n">
        <v>814442</v>
      </c>
      <c r="B2372" s="9" t="inlineStr">
        <is>
          <t>Ivan Brethowr</t>
        </is>
      </c>
      <c r="C2372" s="9" t="inlineStr">
        <is>
          <t>PIT</t>
        </is>
      </c>
      <c r="D2372" s="9" t="n">
        <v>25</v>
      </c>
      <c r="E2372" s="16" t="inlineStr">
        <is>
          <t>R</t>
        </is>
      </c>
      <c r="F2372" s="16" t="n"/>
      <c r="G2372" s="9" t="n">
        <v>76.1025641025641</v>
      </c>
      <c r="H2372" s="9" t="n">
        <v>76.1025641025641</v>
      </c>
      <c r="I2372" s="9" t="inlineStr">
        <is>
          <t>Depth (no MLB PA)</t>
        </is>
      </c>
      <c r="J2372" s="16" t="inlineStr">
        <is>
          <t>Opening Day</t>
        </is>
      </c>
      <c r="K2372" s="11">
        <f>IFERROR(INDEX(Roles!$B$17:$B$20,MATCH(J2372,Roles!$A$17:$A$20,0)),1)</f>
        <v/>
      </c>
      <c r="L2372" s="17" t="n">
        <v>1</v>
      </c>
      <c r="M2372" s="11" t="n">
        <v>1</v>
      </c>
      <c r="N2372" s="17" t="n"/>
      <c r="O2372" s="17" t="n"/>
      <c r="P2372" s="17" t="n"/>
      <c r="Q2372" s="17" t="n"/>
      <c r="R2372" s="17" t="n"/>
      <c r="S2372" s="17" t="n"/>
      <c r="T2372" s="17" t="n"/>
      <c r="U2372" s="17" t="n"/>
      <c r="V2372" s="17" t="n"/>
      <c r="W2372" s="17" t="n"/>
      <c r="X2372" s="17" t="n"/>
      <c r="Y2372" s="17" t="n">
        <v>1</v>
      </c>
      <c r="Z2372" s="13">
        <f>SUMPRODUCT(N2372:Y2372,$N$2:$Y$2)*$K2372*$L2372*$M2372</f>
        <v/>
      </c>
      <c r="AA2372" s="14">
        <f>SUM(N2372:Y2372)</f>
        <v/>
      </c>
      <c r="AB2372" s="14">
        <f>IFERROR(IF(UPPER($E2372)="L",SUMPRODUCT(N2372:Y2372,$N$3:$Y$3,$N$2:$Y$2),SUMPRODUCT(N2372:Y2372,$N$4:$Y$4,$N$2:$Y$2))/(Z2372/($K2372*$L2372*$M2372)),"")</f>
        <v/>
      </c>
      <c r="AC2372" s="18" t="n"/>
    </row>
    <row r="2373">
      <c r="A2373" s="9" t="n">
        <v>663662</v>
      </c>
      <c r="B2373" s="9" t="inlineStr">
        <is>
          <t>Daz Cameron</t>
        </is>
      </c>
      <c r="C2373" s="9" t="inlineStr">
        <is>
          <t>TOR</t>
        </is>
      </c>
      <c r="D2373" s="9" t="n">
        <v>30</v>
      </c>
      <c r="E2373" s="16" t="inlineStr">
        <is>
          <t>R</t>
        </is>
      </c>
      <c r="F2373" s="16" t="inlineStr">
        <is>
          <t>LF</t>
        </is>
      </c>
      <c r="G2373" s="9" t="n">
        <v>25</v>
      </c>
      <c r="H2373" s="9" t="n">
        <v>323</v>
      </c>
      <c r="I2373" s="9" t="inlineStr">
        <is>
          <t>Weak Side Platoon</t>
        </is>
      </c>
      <c r="J2373" s="16" t="inlineStr">
        <is>
          <t>Opening Day</t>
        </is>
      </c>
      <c r="K2373" s="11">
        <f>IFERROR(INDEX(Roles!$B$17:$B$20,MATCH(J2373,Roles!$A$17:$A$20,0)),1)</f>
        <v/>
      </c>
      <c r="L2373" s="17" t="n">
        <v>1</v>
      </c>
      <c r="M2373" s="11" t="n">
        <v>1</v>
      </c>
      <c r="N2373" s="17" t="n"/>
      <c r="O2373" s="17" t="n"/>
      <c r="P2373" s="17" t="n"/>
      <c r="Q2373" s="17" t="n">
        <v>1</v>
      </c>
      <c r="R2373" s="17" t="n"/>
      <c r="S2373" s="17" t="n"/>
      <c r="T2373" s="17" t="n"/>
      <c r="U2373" s="17" t="n"/>
      <c r="V2373" s="17" t="n"/>
      <c r="W2373" s="17" t="n"/>
      <c r="X2373" s="17" t="n"/>
      <c r="Y2373" s="17" t="n"/>
      <c r="Z2373" s="13">
        <f>SUMPRODUCT(N2373:Y2373,$N$2:$Y$2)*$K2373*$L2373*$M2373</f>
        <v/>
      </c>
      <c r="AA2373" s="14">
        <f>SUM(N2373:Y2373)</f>
        <v/>
      </c>
      <c r="AB2373" s="14">
        <f>IFERROR(IF(UPPER($E2373)="L",SUMPRODUCT(N2373:Y2373,$N$3:$Y$3,$N$2:$Y$2),SUMPRODUCT(N2373:Y2373,$N$4:$Y$4,$N$2:$Y$2))/(Z2373/($K2373*$L2373*$M2373)),"")</f>
        <v/>
      </c>
      <c r="AC2373" s="18" t="n"/>
    </row>
    <row r="2374">
      <c r="A2374" s="9" t="n">
        <v>694563</v>
      </c>
      <c r="B2374" s="9" t="inlineStr">
        <is>
          <t>Harold Coll</t>
        </is>
      </c>
      <c r="C2374" s="9" t="inlineStr">
        <is>
          <t>LAA</t>
        </is>
      </c>
      <c r="D2374" s="9" t="n">
        <v>25</v>
      </c>
      <c r="E2374" s="16" t="inlineStr">
        <is>
          <t>R</t>
        </is>
      </c>
      <c r="F2374" s="16" t="n"/>
      <c r="G2374" s="9" t="n">
        <v>80.05128205128204</v>
      </c>
      <c r="H2374" s="9" t="n">
        <v>80.05128205128204</v>
      </c>
      <c r="I2374" s="9" t="inlineStr">
        <is>
          <t>Depth (no MLB PA)</t>
        </is>
      </c>
      <c r="J2374" s="16" t="inlineStr">
        <is>
          <t>Opening Day</t>
        </is>
      </c>
      <c r="K2374" s="11">
        <f>IFERROR(INDEX(Roles!$B$17:$B$20,MATCH(J2374,Roles!$A$17:$A$20,0)),1)</f>
        <v/>
      </c>
      <c r="L2374" s="17" t="n">
        <v>1</v>
      </c>
      <c r="M2374" s="11" t="n">
        <v>1</v>
      </c>
      <c r="N2374" s="17" t="n"/>
      <c r="O2374" s="17" t="n"/>
      <c r="P2374" s="17" t="n"/>
      <c r="Q2374" s="17" t="n"/>
      <c r="R2374" s="17" t="n"/>
      <c r="S2374" s="17" t="n"/>
      <c r="T2374" s="17" t="n"/>
      <c r="U2374" s="17" t="n"/>
      <c r="V2374" s="17" t="n"/>
      <c r="W2374" s="17" t="n"/>
      <c r="X2374" s="17" t="n"/>
      <c r="Y2374" s="17" t="n">
        <v>1</v>
      </c>
      <c r="Z2374" s="13">
        <f>SUMPRODUCT(N2374:Y2374,$N$2:$Y$2)*$K2374*$L2374*$M2374</f>
        <v/>
      </c>
      <c r="AA2374" s="14">
        <f>SUM(N2374:Y2374)</f>
        <v/>
      </c>
      <c r="AB2374" s="14">
        <f>IFERROR(IF(UPPER($E2374)="L",SUMPRODUCT(N2374:Y2374,$N$3:$Y$3,$N$2:$Y$2),SUMPRODUCT(N2374:Y2374,$N$4:$Y$4,$N$2:$Y$2))/(Z2374/($K2374*$L2374*$M2374)),"")</f>
        <v/>
      </c>
      <c r="AC2374" s="18" t="n"/>
    </row>
    <row r="2375">
      <c r="A2375" s="9" t="n">
        <v>703202</v>
      </c>
      <c r="B2375" s="9" t="inlineStr">
        <is>
          <t>Leandro Arias</t>
        </is>
      </c>
      <c r="C2375" s="9" t="inlineStr">
        <is>
          <t>BAL</t>
        </is>
      </c>
      <c r="D2375" s="9" t="n">
        <v>25</v>
      </c>
      <c r="E2375" s="16" t="inlineStr">
        <is>
          <t>S</t>
        </is>
      </c>
      <c r="F2375" s="16" t="n"/>
      <c r="G2375" s="9" t="n">
        <v>80.20512820512822</v>
      </c>
      <c r="H2375" s="9" t="n">
        <v>80.20512820512822</v>
      </c>
      <c r="I2375" s="9" t="inlineStr">
        <is>
          <t>Depth (no MLB PA)</t>
        </is>
      </c>
      <c r="J2375" s="16" t="inlineStr">
        <is>
          <t>Opening Day</t>
        </is>
      </c>
      <c r="K2375" s="11">
        <f>IFERROR(INDEX(Roles!$B$17:$B$20,MATCH(J2375,Roles!$A$17:$A$20,0)),1)</f>
        <v/>
      </c>
      <c r="L2375" s="17" t="n">
        <v>1</v>
      </c>
      <c r="M2375" s="11" t="n">
        <v>1</v>
      </c>
      <c r="N2375" s="17" t="n"/>
      <c r="O2375" s="17" t="n"/>
      <c r="P2375" s="17" t="n"/>
      <c r="Q2375" s="17" t="n"/>
      <c r="R2375" s="17" t="n"/>
      <c r="S2375" s="17" t="n"/>
      <c r="T2375" s="17" t="n"/>
      <c r="U2375" s="17" t="n"/>
      <c r="V2375" s="17" t="n"/>
      <c r="W2375" s="17" t="n"/>
      <c r="X2375" s="17" t="n"/>
      <c r="Y2375" s="17" t="n">
        <v>1</v>
      </c>
      <c r="Z2375" s="13">
        <f>SUMPRODUCT(N2375:Y2375,$N$2:$Y$2)*$K2375*$L2375*$M2375</f>
        <v/>
      </c>
      <c r="AA2375" s="14">
        <f>SUM(N2375:Y2375)</f>
        <v/>
      </c>
      <c r="AB2375" s="14">
        <f>IFERROR(IF(UPPER($E2375)="L",SUMPRODUCT(N2375:Y2375,$N$3:$Y$3,$N$2:$Y$2),SUMPRODUCT(N2375:Y2375,$N$4:$Y$4,$N$2:$Y$2))/(Z2375/($K2375*$L2375*$M2375)),"")</f>
        <v/>
      </c>
      <c r="AC2375" s="18" t="n"/>
    </row>
    <row r="2376">
      <c r="A2376" s="9" t="n">
        <v>701401</v>
      </c>
      <c r="B2376" s="9" t="inlineStr">
        <is>
          <t>Canyon Brown</t>
        </is>
      </c>
      <c r="C2376" s="9" t="inlineStr">
        <is>
          <t>KC</t>
        </is>
      </c>
      <c r="D2376" s="9" t="n">
        <v>25</v>
      </c>
      <c r="E2376" s="16" t="inlineStr">
        <is>
          <t>R</t>
        </is>
      </c>
      <c r="F2376" s="16" t="n"/>
      <c r="G2376" s="9" t="n">
        <v>110.9230769230769</v>
      </c>
      <c r="H2376" s="9" t="n">
        <v>110.9230769230769</v>
      </c>
      <c r="I2376" s="9" t="inlineStr">
        <is>
          <t>Depth (no MLB PA)</t>
        </is>
      </c>
      <c r="J2376" s="16" t="inlineStr">
        <is>
          <t>Opening Day</t>
        </is>
      </c>
      <c r="K2376" s="11">
        <f>IFERROR(INDEX(Roles!$B$17:$B$20,MATCH(J2376,Roles!$A$17:$A$20,0)),1)</f>
        <v/>
      </c>
      <c r="L2376" s="17" t="n">
        <v>1</v>
      </c>
      <c r="M2376" s="11" t="n">
        <v>1</v>
      </c>
      <c r="N2376" s="17" t="n"/>
      <c r="O2376" s="17" t="n"/>
      <c r="P2376" s="17" t="n"/>
      <c r="Q2376" s="17" t="n"/>
      <c r="R2376" s="17" t="n"/>
      <c r="S2376" s="17" t="n"/>
      <c r="T2376" s="17" t="n"/>
      <c r="U2376" s="17" t="n"/>
      <c r="V2376" s="17" t="n"/>
      <c r="W2376" s="17" t="n"/>
      <c r="X2376" s="17" t="n"/>
      <c r="Y2376" s="17" t="n">
        <v>1</v>
      </c>
      <c r="Z2376" s="13">
        <f>SUMPRODUCT(N2376:Y2376,$N$2:$Y$2)*$K2376*$L2376*$M2376</f>
        <v/>
      </c>
      <c r="AA2376" s="14">
        <f>SUM(N2376:Y2376)</f>
        <v/>
      </c>
      <c r="AB2376" s="14">
        <f>IFERROR(IF(UPPER($E2376)="L",SUMPRODUCT(N2376:Y2376,$N$3:$Y$3,$N$2:$Y$2),SUMPRODUCT(N2376:Y2376,$N$4:$Y$4,$N$2:$Y$2))/(Z2376/($K2376*$L2376*$M2376)),"")</f>
        <v/>
      </c>
      <c r="AC2376" s="18" t="n"/>
    </row>
    <row r="2377">
      <c r="A2377" s="9" t="n">
        <v>808236</v>
      </c>
      <c r="B2377" s="9" t="inlineStr">
        <is>
          <t>Luiyin Alastre</t>
        </is>
      </c>
      <c r="C2377" s="9" t="inlineStr">
        <is>
          <t>MIL</t>
        </is>
      </c>
      <c r="D2377" s="9" t="n">
        <v>25</v>
      </c>
      <c r="E2377" s="16" t="inlineStr">
        <is>
          <t>S</t>
        </is>
      </c>
      <c r="F2377" s="16" t="n"/>
      <c r="G2377" s="9" t="n">
        <v>55.7948717948718</v>
      </c>
      <c r="H2377" s="9" t="n">
        <v>55.7948717948718</v>
      </c>
      <c r="I2377" s="9" t="inlineStr">
        <is>
          <t>Depth (no MLB PA)</t>
        </is>
      </c>
      <c r="J2377" s="16" t="inlineStr">
        <is>
          <t>Opening Day</t>
        </is>
      </c>
      <c r="K2377" s="11">
        <f>IFERROR(INDEX(Roles!$B$17:$B$20,MATCH(J2377,Roles!$A$17:$A$20,0)),1)</f>
        <v/>
      </c>
      <c r="L2377" s="17" t="n">
        <v>1</v>
      </c>
      <c r="M2377" s="11" t="n">
        <v>1</v>
      </c>
      <c r="N2377" s="17" t="n"/>
      <c r="O2377" s="17" t="n"/>
      <c r="P2377" s="17" t="n"/>
      <c r="Q2377" s="17" t="n"/>
      <c r="R2377" s="17" t="n"/>
      <c r="S2377" s="17" t="n"/>
      <c r="T2377" s="17" t="n"/>
      <c r="U2377" s="17" t="n"/>
      <c r="V2377" s="17" t="n"/>
      <c r="W2377" s="17" t="n"/>
      <c r="X2377" s="17" t="n"/>
      <c r="Y2377" s="17" t="n">
        <v>1</v>
      </c>
      <c r="Z2377" s="13">
        <f>SUMPRODUCT(N2377:Y2377,$N$2:$Y$2)*$K2377*$L2377*$M2377</f>
        <v/>
      </c>
      <c r="AA2377" s="14">
        <f>SUM(N2377:Y2377)</f>
        <v/>
      </c>
      <c r="AB2377" s="14">
        <f>IFERROR(IF(UPPER($E2377)="L",SUMPRODUCT(N2377:Y2377,$N$3:$Y$3,$N$2:$Y$2),SUMPRODUCT(N2377:Y2377,$N$4:$Y$4,$N$2:$Y$2))/(Z2377/($K2377*$L2377*$M2377)),"")</f>
        <v/>
      </c>
      <c r="AC2377" s="18" t="n"/>
    </row>
    <row r="2378">
      <c r="A2378" s="9" t="n">
        <v>800345</v>
      </c>
      <c r="B2378" s="9" t="inlineStr">
        <is>
          <t>Juan Baez</t>
        </is>
      </c>
      <c r="C2378" s="9" t="inlineStr">
        <is>
          <t>MIL</t>
        </is>
      </c>
      <c r="D2378" s="9" t="n">
        <v>25</v>
      </c>
      <c r="E2378" s="16" t="inlineStr">
        <is>
          <t>R</t>
        </is>
      </c>
      <c r="F2378" s="16" t="n"/>
      <c r="G2378" s="9" t="n">
        <v>62.35897435897436</v>
      </c>
      <c r="H2378" s="9" t="n">
        <v>62.35897435897436</v>
      </c>
      <c r="I2378" s="9" t="inlineStr">
        <is>
          <t>Depth (no MLB PA)</t>
        </is>
      </c>
      <c r="J2378" s="16" t="inlineStr">
        <is>
          <t>Opening Day</t>
        </is>
      </c>
      <c r="K2378" s="11">
        <f>IFERROR(INDEX(Roles!$B$17:$B$20,MATCH(J2378,Roles!$A$17:$A$20,0)),1)</f>
        <v/>
      </c>
      <c r="L2378" s="17" t="n">
        <v>1</v>
      </c>
      <c r="M2378" s="11" t="n">
        <v>1</v>
      </c>
      <c r="N2378" s="17" t="n"/>
      <c r="O2378" s="17" t="n"/>
      <c r="P2378" s="17" t="n"/>
      <c r="Q2378" s="17" t="n"/>
      <c r="R2378" s="17" t="n"/>
      <c r="S2378" s="17" t="n"/>
      <c r="T2378" s="17" t="n"/>
      <c r="U2378" s="17" t="n"/>
      <c r="V2378" s="17" t="n"/>
      <c r="W2378" s="17" t="n"/>
      <c r="X2378" s="17" t="n"/>
      <c r="Y2378" s="17" t="n">
        <v>1</v>
      </c>
      <c r="Z2378" s="13">
        <f>SUMPRODUCT(N2378:Y2378,$N$2:$Y$2)*$K2378*$L2378*$M2378</f>
        <v/>
      </c>
      <c r="AA2378" s="14">
        <f>SUM(N2378:Y2378)</f>
        <v/>
      </c>
      <c r="AB2378" s="14">
        <f>IFERROR(IF(UPPER($E2378)="L",SUMPRODUCT(N2378:Y2378,$N$3:$Y$3,$N$2:$Y$2),SUMPRODUCT(N2378:Y2378,$N$4:$Y$4,$N$2:$Y$2))/(Z2378/($K2378*$L2378*$M2378)),"")</f>
        <v/>
      </c>
      <c r="AC2378" s="18" t="n"/>
    </row>
    <row r="2379">
      <c r="A2379" s="9" t="n">
        <v>824742</v>
      </c>
      <c r="B2379" s="9" t="inlineStr">
        <is>
          <t>Logan Braunschweig</t>
        </is>
      </c>
      <c r="C2379" s="9" t="inlineStr">
        <is>
          <t>ATL</t>
        </is>
      </c>
      <c r="D2379" s="9" t="n">
        <v>25</v>
      </c>
      <c r="E2379" s="16" t="inlineStr">
        <is>
          <t>L</t>
        </is>
      </c>
      <c r="F2379" s="16" t="n"/>
      <c r="G2379" s="9" t="n">
        <v>49.17948717948718</v>
      </c>
      <c r="H2379" s="9" t="n">
        <v>49.17948717948718</v>
      </c>
      <c r="I2379" s="9" t="inlineStr">
        <is>
          <t>Depth (no MLB PA)</t>
        </is>
      </c>
      <c r="J2379" s="16" t="inlineStr">
        <is>
          <t>Opening Day</t>
        </is>
      </c>
      <c r="K2379" s="11">
        <f>IFERROR(INDEX(Roles!$B$17:$B$20,MATCH(J2379,Roles!$A$17:$A$20,0)),1)</f>
        <v/>
      </c>
      <c r="L2379" s="17" t="n">
        <v>1</v>
      </c>
      <c r="M2379" s="11" t="n">
        <v>1</v>
      </c>
      <c r="N2379" s="17" t="n"/>
      <c r="O2379" s="17" t="n"/>
      <c r="P2379" s="17" t="n"/>
      <c r="Q2379" s="17" t="n"/>
      <c r="R2379" s="17" t="n"/>
      <c r="S2379" s="17" t="n"/>
      <c r="T2379" s="17" t="n"/>
      <c r="U2379" s="17" t="n"/>
      <c r="V2379" s="17" t="n"/>
      <c r="W2379" s="17" t="n"/>
      <c r="X2379" s="17" t="n"/>
      <c r="Y2379" s="17" t="n">
        <v>1</v>
      </c>
      <c r="Z2379" s="13">
        <f>SUMPRODUCT(N2379:Y2379,$N$2:$Y$2)*$K2379*$L2379*$M2379</f>
        <v/>
      </c>
      <c r="AA2379" s="14">
        <f>SUM(N2379:Y2379)</f>
        <v/>
      </c>
      <c r="AB2379" s="14">
        <f>IFERROR(IF(UPPER($E2379)="L",SUMPRODUCT(N2379:Y2379,$N$3:$Y$3,$N$2:$Y$2),SUMPRODUCT(N2379:Y2379,$N$4:$Y$4,$N$2:$Y$2))/(Z2379/($K2379*$L2379*$M2379)),"")</f>
        <v/>
      </c>
      <c r="AC2379" s="18" t="n"/>
    </row>
    <row r="2380">
      <c r="A2380" s="9" t="n">
        <v>621433</v>
      </c>
      <c r="B2380" s="9" t="inlineStr">
        <is>
          <t>Brett Phillips</t>
        </is>
      </c>
      <c r="C2380" s="9" t="inlineStr">
        <is>
          <t>LAA</t>
        </is>
      </c>
      <c r="D2380" s="9" t="n">
        <v>33</v>
      </c>
      <c r="E2380" s="16" t="inlineStr">
        <is>
          <t>L</t>
        </is>
      </c>
      <c r="F2380" s="16" t="inlineStr">
        <is>
          <t>CF</t>
        </is>
      </c>
      <c r="G2380" s="9" t="n">
        <v>71</v>
      </c>
      <c r="H2380" s="9" t="n">
        <v>296</v>
      </c>
      <c r="I2380" s="9" t="inlineStr">
        <is>
          <t>Depth (no MLB PA)</t>
        </is>
      </c>
      <c r="J2380" s="16" t="inlineStr">
        <is>
          <t>Opening Day</t>
        </is>
      </c>
      <c r="K2380" s="11">
        <f>IFERROR(INDEX(Roles!$B$17:$B$20,MATCH(J2380,Roles!$A$17:$A$20,0)),1)</f>
        <v/>
      </c>
      <c r="L2380" s="17" t="n">
        <v>1</v>
      </c>
      <c r="M2380" s="11" t="n">
        <v>1</v>
      </c>
      <c r="N2380" s="17" t="n"/>
      <c r="O2380" s="17" t="n"/>
      <c r="P2380" s="17" t="n"/>
      <c r="Q2380" s="17" t="n"/>
      <c r="R2380" s="17" t="n"/>
      <c r="S2380" s="17" t="n"/>
      <c r="T2380" s="17" t="n"/>
      <c r="U2380" s="17" t="n"/>
      <c r="V2380" s="17" t="n"/>
      <c r="W2380" s="17" t="n"/>
      <c r="X2380" s="17" t="n"/>
      <c r="Y2380" s="17" t="n">
        <v>1</v>
      </c>
      <c r="Z2380" s="13">
        <f>SUMPRODUCT(N2380:Y2380,$N$2:$Y$2)*$K2380*$L2380*$M2380</f>
        <v/>
      </c>
      <c r="AA2380" s="14">
        <f>SUM(N2380:Y2380)</f>
        <v/>
      </c>
      <c r="AB2380" s="14">
        <f>IFERROR(IF(UPPER($E2380)="L",SUMPRODUCT(N2380:Y2380,$N$3:$Y$3,$N$2:$Y$2),SUMPRODUCT(N2380:Y2380,$N$4:$Y$4,$N$2:$Y$2))/(Z2380/($K2380*$L2380*$M2380)),"")</f>
        <v/>
      </c>
      <c r="AC2380" s="18" t="n"/>
    </row>
    <row r="2381">
      <c r="A2381" s="9" t="n">
        <v>800332</v>
      </c>
      <c r="B2381" s="9" t="inlineStr">
        <is>
          <t>Victor Rodrigues</t>
        </is>
      </c>
      <c r="C2381" s="9" t="inlineStr">
        <is>
          <t>LAD</t>
        </is>
      </c>
      <c r="D2381" s="9" t="n">
        <v>25</v>
      </c>
      <c r="E2381" s="16" t="inlineStr">
        <is>
          <t>R</t>
        </is>
      </c>
      <c r="F2381" s="16" t="n"/>
      <c r="G2381" s="9" t="n">
        <v>61.74358974358975</v>
      </c>
      <c r="H2381" s="9" t="n">
        <v>61.74358974358975</v>
      </c>
      <c r="I2381" s="9" t="inlineStr">
        <is>
          <t>Depth (no MLB PA)</t>
        </is>
      </c>
      <c r="J2381" s="16" t="inlineStr">
        <is>
          <t>Opening Day</t>
        </is>
      </c>
      <c r="K2381" s="11">
        <f>IFERROR(INDEX(Roles!$B$17:$B$20,MATCH(J2381,Roles!$A$17:$A$20,0)),1)</f>
        <v/>
      </c>
      <c r="L2381" s="17" t="n">
        <v>1</v>
      </c>
      <c r="M2381" s="11" t="n">
        <v>1</v>
      </c>
      <c r="N2381" s="17" t="n"/>
      <c r="O2381" s="17" t="n"/>
      <c r="P2381" s="17" t="n"/>
      <c r="Q2381" s="17" t="n"/>
      <c r="R2381" s="17" t="n"/>
      <c r="S2381" s="17" t="n"/>
      <c r="T2381" s="17" t="n"/>
      <c r="U2381" s="17" t="n"/>
      <c r="V2381" s="17" t="n"/>
      <c r="W2381" s="17" t="n"/>
      <c r="X2381" s="17" t="n"/>
      <c r="Y2381" s="17" t="n">
        <v>1</v>
      </c>
      <c r="Z2381" s="13">
        <f>SUMPRODUCT(N2381:Y2381,$N$2:$Y$2)*$K2381*$L2381*$M2381</f>
        <v/>
      </c>
      <c r="AA2381" s="14">
        <f>SUM(N2381:Y2381)</f>
        <v/>
      </c>
      <c r="AB2381" s="14">
        <f>IFERROR(IF(UPPER($E2381)="L",SUMPRODUCT(N2381:Y2381,$N$3:$Y$3,$N$2:$Y$2),SUMPRODUCT(N2381:Y2381,$N$4:$Y$4,$N$2:$Y$2))/(Z2381/($K2381*$L2381*$M2381)),"")</f>
        <v/>
      </c>
      <c r="AC2381" s="18" t="n"/>
    </row>
    <row r="2382">
      <c r="A2382" s="9" t="n">
        <v>687597</v>
      </c>
      <c r="B2382" s="9" t="inlineStr">
        <is>
          <t>Jordan Beck</t>
        </is>
      </c>
      <c r="C2382" s="9" t="inlineStr">
        <is>
          <t>COL</t>
        </is>
      </c>
      <c r="D2382" s="9" t="n">
        <v>26</v>
      </c>
      <c r="E2382" s="16" t="inlineStr">
        <is>
          <t>R</t>
        </is>
      </c>
      <c r="F2382" s="16" t="inlineStr">
        <is>
          <t>RF</t>
        </is>
      </c>
      <c r="G2382" s="9" t="n">
        <v>180</v>
      </c>
      <c r="H2382" s="9" t="n">
        <v>952</v>
      </c>
      <c r="I2382" s="9" t="inlineStr">
        <is>
          <t>Full Time</t>
        </is>
      </c>
      <c r="J2382" s="16" t="inlineStr">
        <is>
          <t>Opening Day</t>
        </is>
      </c>
      <c r="K2382" s="11">
        <f>IFERROR(INDEX(Roles!$B$17:$B$20,MATCH(J2382,Roles!$A$17:$A$20,0)),1)</f>
        <v/>
      </c>
      <c r="L2382" s="17" t="n">
        <v>1</v>
      </c>
      <c r="M2382" s="11" t="n">
        <v>0.830158268517504</v>
      </c>
      <c r="N2382" s="17" t="n">
        <v>1</v>
      </c>
      <c r="O2382" s="17" t="n"/>
      <c r="P2382" s="17" t="n"/>
      <c r="Q2382" s="17" t="n"/>
      <c r="R2382" s="17" t="n"/>
      <c r="S2382" s="17" t="n"/>
      <c r="T2382" s="17" t="n"/>
      <c r="U2382" s="17" t="n"/>
      <c r="V2382" s="17" t="n"/>
      <c r="W2382" s="17" t="n"/>
      <c r="X2382" s="17" t="n"/>
      <c r="Y2382" s="17" t="n"/>
      <c r="Z2382" s="13">
        <f>SUMPRODUCT(N2382:Y2382,$N$2:$Y$2)*$K2382*$L2382*$M2382</f>
        <v/>
      </c>
      <c r="AA2382" s="14">
        <f>SUM(N2382:Y2382)</f>
        <v/>
      </c>
      <c r="AB2382" s="14">
        <f>IFERROR(IF(UPPER($E2382)="L",SUMPRODUCT(N2382:Y2382,$N$3:$Y$3,$N$2:$Y$2),SUMPRODUCT(N2382:Y2382,$N$4:$Y$4,$N$2:$Y$2))/(Z2382/($K2382*$L2382*$M2382)),"")</f>
        <v/>
      </c>
      <c r="AC2382" s="18" t="n"/>
    </row>
    <row r="2383">
      <c r="A2383" s="9" t="n">
        <v>691913</v>
      </c>
      <c r="B2383" s="9" t="inlineStr">
        <is>
          <t>Jesus Castillo</t>
        </is>
      </c>
      <c r="C2383" s="9" t="inlineStr">
        <is>
          <t>PIT</t>
        </is>
      </c>
      <c r="D2383" s="9" t="n">
        <v>25</v>
      </c>
      <c r="E2383" s="16" t="inlineStr">
        <is>
          <t>R</t>
        </is>
      </c>
      <c r="F2383" s="16" t="n"/>
      <c r="G2383" s="9" t="n">
        <v>52.46153846153847</v>
      </c>
      <c r="H2383" s="9" t="n">
        <v>52.46153846153847</v>
      </c>
      <c r="I2383" s="9" t="inlineStr">
        <is>
          <t>Depth (no MLB PA)</t>
        </is>
      </c>
      <c r="J2383" s="16" t="inlineStr">
        <is>
          <t>Opening Day</t>
        </is>
      </c>
      <c r="K2383" s="11">
        <f>IFERROR(INDEX(Roles!$B$17:$B$20,MATCH(J2383,Roles!$A$17:$A$20,0)),1)</f>
        <v/>
      </c>
      <c r="L2383" s="17" t="n">
        <v>1</v>
      </c>
      <c r="M2383" s="11" t="n">
        <v>1</v>
      </c>
      <c r="N2383" s="17" t="n"/>
      <c r="O2383" s="17" t="n"/>
      <c r="P2383" s="17" t="n"/>
      <c r="Q2383" s="17" t="n"/>
      <c r="R2383" s="17" t="n"/>
      <c r="S2383" s="17" t="n"/>
      <c r="T2383" s="17" t="n"/>
      <c r="U2383" s="17" t="n"/>
      <c r="V2383" s="17" t="n"/>
      <c r="W2383" s="17" t="n"/>
      <c r="X2383" s="17" t="n"/>
      <c r="Y2383" s="17" t="n">
        <v>1</v>
      </c>
      <c r="Z2383" s="13">
        <f>SUMPRODUCT(N2383:Y2383,$N$2:$Y$2)*$K2383*$L2383*$M2383</f>
        <v/>
      </c>
      <c r="AA2383" s="14">
        <f>SUM(N2383:Y2383)</f>
        <v/>
      </c>
      <c r="AB2383" s="14">
        <f>IFERROR(IF(UPPER($E2383)="L",SUMPRODUCT(N2383:Y2383,$N$3:$Y$3,$N$2:$Y$2),SUMPRODUCT(N2383:Y2383,$N$4:$Y$4,$N$2:$Y$2))/(Z2383/($K2383*$L2383*$M2383)),"")</f>
        <v/>
      </c>
      <c r="AC2383" s="18" t="n"/>
    </row>
    <row r="2384">
      <c r="A2384" s="9" t="n">
        <v>703161</v>
      </c>
      <c r="B2384" s="9" t="inlineStr">
        <is>
          <t>Alexis Hernandez</t>
        </is>
      </c>
      <c r="C2384" s="9" t="inlineStr">
        <is>
          <t>CHC</t>
        </is>
      </c>
      <c r="D2384" s="9" t="n">
        <v>25</v>
      </c>
      <c r="E2384" s="16" t="inlineStr">
        <is>
          <t>R</t>
        </is>
      </c>
      <c r="F2384" s="16" t="n"/>
      <c r="G2384" s="9" t="n">
        <v>58.95384615384615</v>
      </c>
      <c r="H2384" s="9" t="n">
        <v>58.95384615384615</v>
      </c>
      <c r="I2384" s="9" t="inlineStr">
        <is>
          <t>Depth (no MLB PA)</t>
        </is>
      </c>
      <c r="J2384" s="16" t="inlineStr">
        <is>
          <t>Opening Day</t>
        </is>
      </c>
      <c r="K2384" s="11">
        <f>IFERROR(INDEX(Roles!$B$17:$B$20,MATCH(J2384,Roles!$A$17:$A$20,0)),1)</f>
        <v/>
      </c>
      <c r="L2384" s="17" t="n">
        <v>1</v>
      </c>
      <c r="M2384" s="11" t="n">
        <v>1</v>
      </c>
      <c r="N2384" s="17" t="n"/>
      <c r="O2384" s="17" t="n"/>
      <c r="P2384" s="17" t="n"/>
      <c r="Q2384" s="17" t="n"/>
      <c r="R2384" s="17" t="n"/>
      <c r="S2384" s="17" t="n"/>
      <c r="T2384" s="17" t="n"/>
      <c r="U2384" s="17" t="n"/>
      <c r="V2384" s="17" t="n"/>
      <c r="W2384" s="17" t="n"/>
      <c r="X2384" s="17" t="n"/>
      <c r="Y2384" s="17" t="n">
        <v>1</v>
      </c>
      <c r="Z2384" s="13">
        <f>SUMPRODUCT(N2384:Y2384,$N$2:$Y$2)*$K2384*$L2384*$M2384</f>
        <v/>
      </c>
      <c r="AA2384" s="14">
        <f>SUM(N2384:Y2384)</f>
        <v/>
      </c>
      <c r="AB2384" s="14">
        <f>IFERROR(IF(UPPER($E2384)="L",SUMPRODUCT(N2384:Y2384,$N$3:$Y$3,$N$2:$Y$2),SUMPRODUCT(N2384:Y2384,$N$4:$Y$4,$N$2:$Y$2))/(Z2384/($K2384*$L2384*$M2384)),"")</f>
        <v/>
      </c>
      <c r="AC2384" s="18" t="n"/>
    </row>
    <row r="2385">
      <c r="A2385" s="9" t="n">
        <v>672018</v>
      </c>
      <c r="B2385" s="9" t="inlineStr">
        <is>
          <t>Dasan Brown</t>
        </is>
      </c>
      <c r="C2385" s="9" t="inlineStr">
        <is>
          <t>MIL</t>
        </is>
      </c>
      <c r="D2385" s="9" t="n">
        <v>25</v>
      </c>
      <c r="E2385" s="16" t="inlineStr">
        <is>
          <t>R</t>
        </is>
      </c>
      <c r="F2385" s="16" t="n"/>
      <c r="G2385" s="9" t="n">
        <v>58.15384615384615</v>
      </c>
      <c r="H2385" s="9" t="n">
        <v>58.15384615384615</v>
      </c>
      <c r="I2385" s="9" t="inlineStr">
        <is>
          <t>Depth (no MLB PA)</t>
        </is>
      </c>
      <c r="J2385" s="16" t="inlineStr">
        <is>
          <t>Opening Day</t>
        </is>
      </c>
      <c r="K2385" s="11">
        <f>IFERROR(INDEX(Roles!$B$17:$B$20,MATCH(J2385,Roles!$A$17:$A$20,0)),1)</f>
        <v/>
      </c>
      <c r="L2385" s="17" t="n">
        <v>1</v>
      </c>
      <c r="M2385" s="11" t="n">
        <v>1</v>
      </c>
      <c r="N2385" s="17" t="n"/>
      <c r="O2385" s="17" t="n"/>
      <c r="P2385" s="17" t="n"/>
      <c r="Q2385" s="17" t="n"/>
      <c r="R2385" s="17" t="n"/>
      <c r="S2385" s="17" t="n"/>
      <c r="T2385" s="17" t="n"/>
      <c r="U2385" s="17" t="n"/>
      <c r="V2385" s="17" t="n"/>
      <c r="W2385" s="17" t="n"/>
      <c r="X2385" s="17" t="n"/>
      <c r="Y2385" s="17" t="n">
        <v>1</v>
      </c>
      <c r="Z2385" s="13">
        <f>SUMPRODUCT(N2385:Y2385,$N$2:$Y$2)*$K2385*$L2385*$M2385</f>
        <v/>
      </c>
      <c r="AA2385" s="14">
        <f>SUM(N2385:Y2385)</f>
        <v/>
      </c>
      <c r="AB2385" s="14">
        <f>IFERROR(IF(UPPER($E2385)="L",SUMPRODUCT(N2385:Y2385,$N$3:$Y$3,$N$2:$Y$2),SUMPRODUCT(N2385:Y2385,$N$4:$Y$4,$N$2:$Y$2))/(Z2385/($K2385*$L2385*$M2385)),"")</f>
        <v/>
      </c>
      <c r="AC2385" s="18" t="n"/>
    </row>
    <row r="2386">
      <c r="A2386" s="9" t="n">
        <v>679788</v>
      </c>
      <c r="B2386" s="9" t="inlineStr">
        <is>
          <t>Jack Rogers</t>
        </is>
      </c>
      <c r="C2386" s="9" t="inlineStr">
        <is>
          <t>WSH</t>
        </is>
      </c>
      <c r="D2386" s="9" t="n">
        <v>25</v>
      </c>
      <c r="E2386" s="16" t="inlineStr">
        <is>
          <t>L</t>
        </is>
      </c>
      <c r="F2386" s="16" t="n"/>
      <c r="G2386" s="9" t="n">
        <v>47.74358974358974</v>
      </c>
      <c r="H2386" s="9" t="n">
        <v>47.74358974358974</v>
      </c>
      <c r="I2386" s="9" t="inlineStr">
        <is>
          <t>Depth (no MLB PA)</t>
        </is>
      </c>
      <c r="J2386" s="16" t="inlineStr">
        <is>
          <t>Opening Day</t>
        </is>
      </c>
      <c r="K2386" s="11">
        <f>IFERROR(INDEX(Roles!$B$17:$B$20,MATCH(J2386,Roles!$A$17:$A$20,0)),1)</f>
        <v/>
      </c>
      <c r="L2386" s="17" t="n">
        <v>1</v>
      </c>
      <c r="M2386" s="11" t="n">
        <v>1</v>
      </c>
      <c r="N2386" s="17" t="n"/>
      <c r="O2386" s="17" t="n"/>
      <c r="P2386" s="17" t="n"/>
      <c r="Q2386" s="17" t="n"/>
      <c r="R2386" s="17" t="n"/>
      <c r="S2386" s="17" t="n"/>
      <c r="T2386" s="17" t="n"/>
      <c r="U2386" s="17" t="n"/>
      <c r="V2386" s="17" t="n"/>
      <c r="W2386" s="17" t="n"/>
      <c r="X2386" s="17" t="n"/>
      <c r="Y2386" s="17" t="n">
        <v>1</v>
      </c>
      <c r="Z2386" s="13">
        <f>SUMPRODUCT(N2386:Y2386,$N$2:$Y$2)*$K2386*$L2386*$M2386</f>
        <v/>
      </c>
      <c r="AA2386" s="14">
        <f>SUM(N2386:Y2386)</f>
        <v/>
      </c>
      <c r="AB2386" s="14">
        <f>IFERROR(IF(UPPER($E2386)="L",SUMPRODUCT(N2386:Y2386,$N$3:$Y$3,$N$2:$Y$2),SUMPRODUCT(N2386:Y2386,$N$4:$Y$4,$N$2:$Y$2))/(Z2386/($K2386*$L2386*$M2386)),"")</f>
        <v/>
      </c>
      <c r="AC2386" s="18" t="n"/>
    </row>
    <row r="2387">
      <c r="A2387" s="9" t="n">
        <v>669242</v>
      </c>
      <c r="B2387" s="9" t="inlineStr">
        <is>
          <t>Tommy Edman</t>
        </is>
      </c>
      <c r="C2387" s="9" t="inlineStr">
        <is>
          <t>LAD</t>
        </is>
      </c>
      <c r="D2387" s="9" t="n">
        <v>32</v>
      </c>
      <c r="E2387" s="16" t="inlineStr">
        <is>
          <t>S</t>
        </is>
      </c>
      <c r="F2387" s="16" t="inlineStr">
        <is>
          <t>2B</t>
        </is>
      </c>
      <c r="G2387" s="9" t="n">
        <v>331</v>
      </c>
      <c r="H2387" s="9" t="n">
        <v>2019</v>
      </c>
      <c r="I2387" s="9" t="inlineStr">
        <is>
          <t>Full Time</t>
        </is>
      </c>
      <c r="J2387" s="16" t="inlineStr">
        <is>
          <t>Opening Day</t>
        </is>
      </c>
      <c r="K2387" s="11">
        <f>IFERROR(INDEX(Roles!$B$17:$B$20,MATCH(J2387,Roles!$A$17:$A$20,0)),1)</f>
        <v/>
      </c>
      <c r="L2387" s="17" t="n">
        <v>1</v>
      </c>
      <c r="M2387" s="11" t="n">
        <v>0.830158268517504</v>
      </c>
      <c r="N2387" s="17" t="n">
        <v>0.7</v>
      </c>
      <c r="O2387" s="17" t="n"/>
      <c r="P2387" s="17" t="n">
        <v>0.3</v>
      </c>
      <c r="Q2387" s="17" t="n"/>
      <c r="R2387" s="17" t="n"/>
      <c r="S2387" s="17" t="n"/>
      <c r="T2387" s="17" t="n"/>
      <c r="U2387" s="17" t="n"/>
      <c r="V2387" s="17" t="n"/>
      <c r="W2387" s="17" t="n"/>
      <c r="X2387" s="17" t="n"/>
      <c r="Y2387" s="17" t="n"/>
      <c r="Z2387" s="13">
        <f>SUMPRODUCT(N2387:Y2387,$N$2:$Y$2)*$K2387*$L2387*$M2387</f>
        <v/>
      </c>
      <c r="AA2387" s="14">
        <f>SUM(N2387:Y2387)</f>
        <v/>
      </c>
      <c r="AB2387" s="14">
        <f>IFERROR(IF(UPPER($E2387)="L",SUMPRODUCT(N2387:Y2387,$N$3:$Y$3,$N$2:$Y$2),SUMPRODUCT(N2387:Y2387,$N$4:$Y$4,$N$2:$Y$2))/(Z2387/($K2387*$L2387*$M2387)),"")</f>
        <v/>
      </c>
      <c r="AC2387" s="18" t="n"/>
    </row>
    <row r="2388">
      <c r="A2388" s="9" t="n">
        <v>687071</v>
      </c>
      <c r="B2388" s="9" t="inlineStr">
        <is>
          <t>Shane Sasaki</t>
        </is>
      </c>
      <c r="C2388" s="9" t="inlineStr">
        <is>
          <t>CIN</t>
        </is>
      </c>
      <c r="D2388" s="9" t="n">
        <v>25</v>
      </c>
      <c r="E2388" s="16" t="inlineStr">
        <is>
          <t>R</t>
        </is>
      </c>
      <c r="F2388" s="16" t="n"/>
      <c r="G2388" s="9" t="n">
        <v>69.64102564102564</v>
      </c>
      <c r="H2388" s="9" t="n">
        <v>69.64102564102564</v>
      </c>
      <c r="I2388" s="9" t="inlineStr">
        <is>
          <t>Depth (no MLB PA)</t>
        </is>
      </c>
      <c r="J2388" s="16" t="inlineStr">
        <is>
          <t>Opening Day</t>
        </is>
      </c>
      <c r="K2388" s="11">
        <f>IFERROR(INDEX(Roles!$B$17:$B$20,MATCH(J2388,Roles!$A$17:$A$20,0)),1)</f>
        <v/>
      </c>
      <c r="L2388" s="17" t="n">
        <v>1</v>
      </c>
      <c r="M2388" s="11" t="n">
        <v>1</v>
      </c>
      <c r="N2388" s="17" t="n"/>
      <c r="O2388" s="17" t="n"/>
      <c r="P2388" s="17" t="n"/>
      <c r="Q2388" s="17" t="n"/>
      <c r="R2388" s="17" t="n"/>
      <c r="S2388" s="17" t="n"/>
      <c r="T2388" s="17" t="n"/>
      <c r="U2388" s="17" t="n"/>
      <c r="V2388" s="17" t="n"/>
      <c r="W2388" s="17" t="n"/>
      <c r="X2388" s="17" t="n"/>
      <c r="Y2388" s="17" t="n">
        <v>1</v>
      </c>
      <c r="Z2388" s="13">
        <f>SUMPRODUCT(N2388:Y2388,$N$2:$Y$2)*$K2388*$L2388*$M2388</f>
        <v/>
      </c>
      <c r="AA2388" s="14">
        <f>SUM(N2388:Y2388)</f>
        <v/>
      </c>
      <c r="AB2388" s="14">
        <f>IFERROR(IF(UPPER($E2388)="L",SUMPRODUCT(N2388:Y2388,$N$3:$Y$3,$N$2:$Y$2),SUMPRODUCT(N2388:Y2388,$N$4:$Y$4,$N$2:$Y$2))/(Z2388/($K2388*$L2388*$M2388)),"")</f>
        <v/>
      </c>
      <c r="AC2388" s="18" t="n"/>
    </row>
    <row r="2389">
      <c r="A2389" s="9" t="n">
        <v>814299</v>
      </c>
      <c r="B2389" s="9" t="inlineStr">
        <is>
          <t>Pascanel Ferreras</t>
        </is>
      </c>
      <c r="C2389" s="9" t="inlineStr">
        <is>
          <t>HOU</t>
        </is>
      </c>
      <c r="D2389" s="9" t="n">
        <v>25</v>
      </c>
      <c r="E2389" s="16" t="inlineStr">
        <is>
          <t>R</t>
        </is>
      </c>
      <c r="F2389" s="16" t="n"/>
      <c r="G2389" s="9" t="n">
        <v>164.7179487179487</v>
      </c>
      <c r="H2389" s="9" t="n">
        <v>164.7179487179487</v>
      </c>
      <c r="I2389" s="9" t="inlineStr">
        <is>
          <t>Depth (no MLB PA)</t>
        </is>
      </c>
      <c r="J2389" s="16" t="inlineStr">
        <is>
          <t>Opening Day</t>
        </is>
      </c>
      <c r="K2389" s="11">
        <f>IFERROR(INDEX(Roles!$B$17:$B$20,MATCH(J2389,Roles!$A$17:$A$20,0)),1)</f>
        <v/>
      </c>
      <c r="L2389" s="17" t="n">
        <v>1</v>
      </c>
      <c r="M2389" s="11" t="n">
        <v>1</v>
      </c>
      <c r="N2389" s="17" t="n"/>
      <c r="O2389" s="17" t="n"/>
      <c r="P2389" s="17" t="n"/>
      <c r="Q2389" s="17" t="n"/>
      <c r="R2389" s="17" t="n"/>
      <c r="S2389" s="17" t="n"/>
      <c r="T2389" s="17" t="n"/>
      <c r="U2389" s="17" t="n"/>
      <c r="V2389" s="17" t="n"/>
      <c r="W2389" s="17" t="n"/>
      <c r="X2389" s="17" t="n"/>
      <c r="Y2389" s="17" t="n">
        <v>1</v>
      </c>
      <c r="Z2389" s="13">
        <f>SUMPRODUCT(N2389:Y2389,$N$2:$Y$2)*$K2389*$L2389*$M2389</f>
        <v/>
      </c>
      <c r="AA2389" s="14">
        <f>SUM(N2389:Y2389)</f>
        <v/>
      </c>
      <c r="AB2389" s="14">
        <f>IFERROR(IF(UPPER($E2389)="L",SUMPRODUCT(N2389:Y2389,$N$3:$Y$3,$N$2:$Y$2),SUMPRODUCT(N2389:Y2389,$N$4:$Y$4,$N$2:$Y$2))/(Z2389/($K2389*$L2389*$M2389)),"")</f>
        <v/>
      </c>
      <c r="AC2389" s="18" t="n"/>
    </row>
    <row r="2390">
      <c r="A2390" s="9" t="n">
        <v>669701</v>
      </c>
      <c r="B2390" s="9" t="inlineStr">
        <is>
          <t>Josh Smith</t>
        </is>
      </c>
      <c r="C2390" s="9" t="inlineStr">
        <is>
          <t>TOR</t>
        </is>
      </c>
      <c r="D2390" s="9" t="n">
        <v>29</v>
      </c>
      <c r="E2390" s="16" t="inlineStr">
        <is>
          <t>L</t>
        </is>
      </c>
      <c r="F2390" s="16" t="inlineStr">
        <is>
          <t>2B</t>
        </is>
      </c>
      <c r="G2390" s="9" t="n">
        <v>243</v>
      </c>
      <c r="H2390" s="9" t="n">
        <v>1883</v>
      </c>
      <c r="I2390" s="9" t="inlineStr">
        <is>
          <t>Strong Side Platoon</t>
        </is>
      </c>
      <c r="J2390" s="16" t="inlineStr">
        <is>
          <t>Opening Day</t>
        </is>
      </c>
      <c r="K2390" s="11">
        <f>IFERROR(INDEX(Roles!$B$17:$B$20,MATCH(J2390,Roles!$A$17:$A$20,0)),1)</f>
        <v/>
      </c>
      <c r="L2390" s="17" t="n">
        <v>1</v>
      </c>
      <c r="M2390" s="11" t="n">
        <v>1.019641819865523</v>
      </c>
      <c r="N2390" s="17" t="n">
        <v>0.4</v>
      </c>
      <c r="O2390" s="17" t="n"/>
      <c r="P2390" s="17" t="n">
        <v>0.6</v>
      </c>
      <c r="Q2390" s="17" t="n"/>
      <c r="R2390" s="17" t="n"/>
      <c r="S2390" s="17" t="n"/>
      <c r="T2390" s="17" t="n"/>
      <c r="U2390" s="17" t="n"/>
      <c r="V2390" s="17" t="n"/>
      <c r="W2390" s="17" t="n"/>
      <c r="X2390" s="17" t="n"/>
      <c r="Y2390" s="17" t="n"/>
      <c r="Z2390" s="13">
        <f>SUMPRODUCT(N2390:Y2390,$N$2:$Y$2)*$K2390*$L2390*$M2390</f>
        <v/>
      </c>
      <c r="AA2390" s="14">
        <f>SUM(N2390:Y2390)</f>
        <v/>
      </c>
      <c r="AB2390" s="14">
        <f>IFERROR(IF(UPPER($E2390)="L",SUMPRODUCT(N2390:Y2390,$N$3:$Y$3,$N$2:$Y$2),SUMPRODUCT(N2390:Y2390,$N$4:$Y$4,$N$2:$Y$2))/(Z2390/($K2390*$L2390*$M2390)),"")</f>
        <v/>
      </c>
      <c r="AC2390" s="18" t="n"/>
    </row>
    <row r="2391">
      <c r="A2391" s="9" t="n">
        <v>692222</v>
      </c>
      <c r="B2391" s="9" t="inlineStr">
        <is>
          <t>Jose Izarra</t>
        </is>
      </c>
      <c r="C2391" s="9" t="inlineStr">
        <is>
          <t>LAD</t>
        </is>
      </c>
      <c r="D2391" s="9" t="n">
        <v>25</v>
      </c>
      <c r="E2391" s="16" t="inlineStr">
        <is>
          <t>R</t>
        </is>
      </c>
      <c r="F2391" s="16" t="n"/>
      <c r="G2391" s="9" t="n">
        <v>62.46153846153845</v>
      </c>
      <c r="H2391" s="9" t="n">
        <v>62.46153846153845</v>
      </c>
      <c r="I2391" s="9" t="inlineStr">
        <is>
          <t>Depth (no MLB PA)</t>
        </is>
      </c>
      <c r="J2391" s="16" t="inlineStr">
        <is>
          <t>Opening Day</t>
        </is>
      </c>
      <c r="K2391" s="11">
        <f>IFERROR(INDEX(Roles!$B$17:$B$20,MATCH(J2391,Roles!$A$17:$A$20,0)),1)</f>
        <v/>
      </c>
      <c r="L2391" s="17" t="n">
        <v>1</v>
      </c>
      <c r="M2391" s="11" t="n">
        <v>1</v>
      </c>
      <c r="N2391" s="17" t="n"/>
      <c r="O2391" s="17" t="n"/>
      <c r="P2391" s="17" t="n"/>
      <c r="Q2391" s="17" t="n"/>
      <c r="R2391" s="17" t="n"/>
      <c r="S2391" s="17" t="n"/>
      <c r="T2391" s="17" t="n"/>
      <c r="U2391" s="17" t="n"/>
      <c r="V2391" s="17" t="n"/>
      <c r="W2391" s="17" t="n"/>
      <c r="X2391" s="17" t="n"/>
      <c r="Y2391" s="17" t="n">
        <v>1</v>
      </c>
      <c r="Z2391" s="13">
        <f>SUMPRODUCT(N2391:Y2391,$N$2:$Y$2)*$K2391*$L2391*$M2391</f>
        <v/>
      </c>
      <c r="AA2391" s="14">
        <f>SUM(N2391:Y2391)</f>
        <v/>
      </c>
      <c r="AB2391" s="14">
        <f>IFERROR(IF(UPPER($E2391)="L",SUMPRODUCT(N2391:Y2391,$N$3:$Y$3,$N$2:$Y$2),SUMPRODUCT(N2391:Y2391,$N$4:$Y$4,$N$2:$Y$2))/(Z2391/($K2391*$L2391*$M2391)),"")</f>
        <v/>
      </c>
      <c r="AC2391" s="18" t="n"/>
    </row>
    <row r="2392">
      <c r="A2392" s="9" t="n">
        <v>681909</v>
      </c>
      <c r="B2392" s="9" t="inlineStr">
        <is>
          <t>Justin Dean</t>
        </is>
      </c>
      <c r="C2392" s="9" t="inlineStr">
        <is>
          <t>CHC</t>
        </is>
      </c>
      <c r="D2392" s="9" t="n">
        <v>30</v>
      </c>
      <c r="E2392" s="16" t="inlineStr">
        <is>
          <t>R</t>
        </is>
      </c>
      <c r="F2392" s="16" t="inlineStr">
        <is>
          <t>RF</t>
        </is>
      </c>
      <c r="G2392" s="9" t="n">
        <v>10</v>
      </c>
      <c r="H2392" s="9" t="n">
        <v>12</v>
      </c>
      <c r="I2392" s="9" t="inlineStr">
        <is>
          <t>Depth (no MLB PA)</t>
        </is>
      </c>
      <c r="J2392" s="16" t="inlineStr">
        <is>
          <t>Opening Day</t>
        </is>
      </c>
      <c r="K2392" s="11">
        <f>IFERROR(INDEX(Roles!$B$17:$B$20,MATCH(J2392,Roles!$A$17:$A$20,0)),1)</f>
        <v/>
      </c>
      <c r="L2392" s="17" t="n">
        <v>1</v>
      </c>
      <c r="M2392" s="11" t="n">
        <v>1</v>
      </c>
      <c r="N2392" s="17" t="n"/>
      <c r="O2392" s="17" t="n"/>
      <c r="P2392" s="17" t="n"/>
      <c r="Q2392" s="17" t="n"/>
      <c r="R2392" s="17" t="n"/>
      <c r="S2392" s="17" t="n"/>
      <c r="T2392" s="17" t="n"/>
      <c r="U2392" s="17" t="n"/>
      <c r="V2392" s="17" t="n"/>
      <c r="W2392" s="17" t="n"/>
      <c r="X2392" s="17" t="n"/>
      <c r="Y2392" s="17" t="n">
        <v>1</v>
      </c>
      <c r="Z2392" s="13">
        <f>SUMPRODUCT(N2392:Y2392,$N$2:$Y$2)*$K2392*$L2392*$M2392</f>
        <v/>
      </c>
      <c r="AA2392" s="14">
        <f>SUM(N2392:Y2392)</f>
        <v/>
      </c>
      <c r="AB2392" s="14">
        <f>IFERROR(IF(UPPER($E2392)="L",SUMPRODUCT(N2392:Y2392,$N$3:$Y$3,$N$2:$Y$2),SUMPRODUCT(N2392:Y2392,$N$4:$Y$4,$N$2:$Y$2))/(Z2392/($K2392*$L2392*$M2392)),"")</f>
        <v/>
      </c>
      <c r="AC2392" s="18" t="n"/>
    </row>
    <row r="2393">
      <c r="A2393" s="9" t="n">
        <v>805075</v>
      </c>
      <c r="B2393" s="9" t="inlineStr">
        <is>
          <t>Erick Torres</t>
        </is>
      </c>
      <c r="C2393" s="9" t="inlineStr">
        <is>
          <t>KC</t>
        </is>
      </c>
      <c r="D2393" s="9" t="n">
        <v>25</v>
      </c>
      <c r="E2393" s="16" t="inlineStr">
        <is>
          <t>R</t>
        </is>
      </c>
      <c r="F2393" s="16" t="n"/>
      <c r="G2393" s="9" t="n">
        <v>71.38461538461539</v>
      </c>
      <c r="H2393" s="9" t="n">
        <v>71.38461538461539</v>
      </c>
      <c r="I2393" s="9" t="inlineStr">
        <is>
          <t>Depth (no MLB PA)</t>
        </is>
      </c>
      <c r="J2393" s="16" t="inlineStr">
        <is>
          <t>Opening Day</t>
        </is>
      </c>
      <c r="K2393" s="11">
        <f>IFERROR(INDEX(Roles!$B$17:$B$20,MATCH(J2393,Roles!$A$17:$A$20,0)),1)</f>
        <v/>
      </c>
      <c r="L2393" s="17" t="n">
        <v>1</v>
      </c>
      <c r="M2393" s="11" t="n">
        <v>1</v>
      </c>
      <c r="N2393" s="17" t="n"/>
      <c r="O2393" s="17" t="n"/>
      <c r="P2393" s="17" t="n"/>
      <c r="Q2393" s="17" t="n"/>
      <c r="R2393" s="17" t="n"/>
      <c r="S2393" s="17" t="n"/>
      <c r="T2393" s="17" t="n"/>
      <c r="U2393" s="17" t="n"/>
      <c r="V2393" s="17" t="n"/>
      <c r="W2393" s="17" t="n"/>
      <c r="X2393" s="17" t="n"/>
      <c r="Y2393" s="17" t="n">
        <v>1</v>
      </c>
      <c r="Z2393" s="13">
        <f>SUMPRODUCT(N2393:Y2393,$N$2:$Y$2)*$K2393*$L2393*$M2393</f>
        <v/>
      </c>
      <c r="AA2393" s="14">
        <f>SUM(N2393:Y2393)</f>
        <v/>
      </c>
      <c r="AB2393" s="14">
        <f>IFERROR(IF(UPPER($E2393)="L",SUMPRODUCT(N2393:Y2393,$N$3:$Y$3,$N$2:$Y$2),SUMPRODUCT(N2393:Y2393,$N$4:$Y$4,$N$2:$Y$2))/(Z2393/($K2393*$L2393*$M2393)),"")</f>
        <v/>
      </c>
      <c r="AC2393" s="18" t="n"/>
    </row>
    <row r="2394">
      <c r="A2394" s="9" t="n">
        <v>672696</v>
      </c>
      <c r="B2394" s="9" t="inlineStr">
        <is>
          <t>Francisco Acuna</t>
        </is>
      </c>
      <c r="C2394" s="9" t="inlineStr">
        <is>
          <t>SD</t>
        </is>
      </c>
      <c r="D2394" s="9" t="n">
        <v>25</v>
      </c>
      <c r="E2394" s="16" t="inlineStr">
        <is>
          <t>R</t>
        </is>
      </c>
      <c r="F2394" s="16" t="n"/>
      <c r="G2394" s="9" t="n">
        <v>112</v>
      </c>
      <c r="H2394" s="9" t="n">
        <v>112</v>
      </c>
      <c r="I2394" s="9" t="inlineStr">
        <is>
          <t>Depth (no MLB PA)</t>
        </is>
      </c>
      <c r="J2394" s="16" t="inlineStr">
        <is>
          <t>Opening Day</t>
        </is>
      </c>
      <c r="K2394" s="11">
        <f>IFERROR(INDEX(Roles!$B$17:$B$20,MATCH(J2394,Roles!$A$17:$A$20,0)),1)</f>
        <v/>
      </c>
      <c r="L2394" s="17" t="n">
        <v>1</v>
      </c>
      <c r="M2394" s="11" t="n">
        <v>1</v>
      </c>
      <c r="N2394" s="17" t="n"/>
      <c r="O2394" s="17" t="n"/>
      <c r="P2394" s="17" t="n"/>
      <c r="Q2394" s="17" t="n"/>
      <c r="R2394" s="17" t="n"/>
      <c r="S2394" s="17" t="n"/>
      <c r="T2394" s="17" t="n"/>
      <c r="U2394" s="17" t="n"/>
      <c r="V2394" s="17" t="n"/>
      <c r="W2394" s="17" t="n"/>
      <c r="X2394" s="17" t="n"/>
      <c r="Y2394" s="17" t="n">
        <v>1</v>
      </c>
      <c r="Z2394" s="13">
        <f>SUMPRODUCT(N2394:Y2394,$N$2:$Y$2)*$K2394*$L2394*$M2394</f>
        <v/>
      </c>
      <c r="AA2394" s="14">
        <f>SUM(N2394:Y2394)</f>
        <v/>
      </c>
      <c r="AB2394" s="14">
        <f>IFERROR(IF(UPPER($E2394)="L",SUMPRODUCT(N2394:Y2394,$N$3:$Y$3,$N$2:$Y$2),SUMPRODUCT(N2394:Y2394,$N$4:$Y$4,$N$2:$Y$2))/(Z2394/($K2394*$L2394*$M2394)),"")</f>
        <v/>
      </c>
      <c r="AC2394" s="18" t="n"/>
    </row>
    <row r="2395">
      <c r="A2395" s="9" t="n">
        <v>802474</v>
      </c>
      <c r="B2395" s="9" t="inlineStr">
        <is>
          <t>Cameron Leary</t>
        </is>
      </c>
      <c r="C2395" s="9" t="inlineStr">
        <is>
          <t>OAK</t>
        </is>
      </c>
      <c r="D2395" s="9" t="n">
        <v>25</v>
      </c>
      <c r="E2395" s="16" t="inlineStr">
        <is>
          <t>L</t>
        </is>
      </c>
      <c r="F2395" s="16" t="n"/>
      <c r="G2395" s="9" t="n">
        <v>173.3846153846154</v>
      </c>
      <c r="H2395" s="9" t="n">
        <v>173.3846153846154</v>
      </c>
      <c r="I2395" s="9" t="inlineStr">
        <is>
          <t>Depth (no MLB PA)</t>
        </is>
      </c>
      <c r="J2395" s="16" t="inlineStr">
        <is>
          <t>Opening Day</t>
        </is>
      </c>
      <c r="K2395" s="11">
        <f>IFERROR(INDEX(Roles!$B$17:$B$20,MATCH(J2395,Roles!$A$17:$A$20,0)),1)</f>
        <v/>
      </c>
      <c r="L2395" s="17" t="n">
        <v>1</v>
      </c>
      <c r="M2395" s="11" t="n">
        <v>1</v>
      </c>
      <c r="N2395" s="17" t="n"/>
      <c r="O2395" s="17" t="n"/>
      <c r="P2395" s="17" t="n"/>
      <c r="Q2395" s="17" t="n"/>
      <c r="R2395" s="17" t="n"/>
      <c r="S2395" s="17" t="n"/>
      <c r="T2395" s="17" t="n"/>
      <c r="U2395" s="17" t="n"/>
      <c r="V2395" s="17" t="n"/>
      <c r="W2395" s="17" t="n"/>
      <c r="X2395" s="17" t="n"/>
      <c r="Y2395" s="17" t="n">
        <v>1</v>
      </c>
      <c r="Z2395" s="13">
        <f>SUMPRODUCT(N2395:Y2395,$N$2:$Y$2)*$K2395*$L2395*$M2395</f>
        <v/>
      </c>
      <c r="AA2395" s="14">
        <f>SUM(N2395:Y2395)</f>
        <v/>
      </c>
      <c r="AB2395" s="14">
        <f>IFERROR(IF(UPPER($E2395)="L",SUMPRODUCT(N2395:Y2395,$N$3:$Y$3,$N$2:$Y$2),SUMPRODUCT(N2395:Y2395,$N$4:$Y$4,$N$2:$Y$2))/(Z2395/($K2395*$L2395*$M2395)),"")</f>
        <v/>
      </c>
      <c r="AC2395" s="18" t="n"/>
    </row>
    <row r="2396">
      <c r="A2396" s="9" t="n">
        <v>702616</v>
      </c>
      <c r="B2396" s="9" t="inlineStr">
        <is>
          <t>Jackson Holliday</t>
        </is>
      </c>
      <c r="C2396" s="9" t="inlineStr">
        <is>
          <t>BAL</t>
        </is>
      </c>
      <c r="D2396" s="9" t="n">
        <v>23</v>
      </c>
      <c r="E2396" s="16" t="inlineStr">
        <is>
          <t>L</t>
        </is>
      </c>
      <c r="F2396" s="16" t="inlineStr">
        <is>
          <t>2B</t>
        </is>
      </c>
      <c r="G2396" s="9" t="n">
        <v>354</v>
      </c>
      <c r="H2396" s="9" t="n">
        <v>1211</v>
      </c>
      <c r="I2396" s="9" t="inlineStr">
        <is>
          <t>Full Time</t>
        </is>
      </c>
      <c r="J2396" s="16" t="inlineStr">
        <is>
          <t>Opening Day</t>
        </is>
      </c>
      <c r="K2396" s="11">
        <f>IFERROR(INDEX(Roles!$B$17:$B$20,MATCH(J2396,Roles!$A$17:$A$20,0)),1)</f>
        <v/>
      </c>
      <c r="L2396" s="17" t="n">
        <v>1</v>
      </c>
      <c r="M2396" s="11" t="n">
        <v>0.94065232065889</v>
      </c>
      <c r="N2396" s="17" t="n">
        <v>1</v>
      </c>
      <c r="O2396" s="17" t="n"/>
      <c r="P2396" s="17" t="n"/>
      <c r="Q2396" s="17" t="n"/>
      <c r="R2396" s="17" t="n"/>
      <c r="S2396" s="17" t="n"/>
      <c r="T2396" s="17" t="n"/>
      <c r="U2396" s="17" t="n"/>
      <c r="V2396" s="17" t="n"/>
      <c r="W2396" s="17" t="n"/>
      <c r="X2396" s="17" t="n"/>
      <c r="Y2396" s="17" t="n"/>
      <c r="Z2396" s="13">
        <f>SUMPRODUCT(N2396:Y2396,$N$2:$Y$2)*$K2396*$L2396*$M2396</f>
        <v/>
      </c>
      <c r="AA2396" s="14">
        <f>SUM(N2396:Y2396)</f>
        <v/>
      </c>
      <c r="AB2396" s="14">
        <f>IFERROR(IF(UPPER($E2396)="L",SUMPRODUCT(N2396:Y2396,$N$3:$Y$3,$N$2:$Y$2),SUMPRODUCT(N2396:Y2396,$N$4:$Y$4,$N$2:$Y$2))/(Z2396/($K2396*$L2396*$M2396)),"")</f>
        <v/>
      </c>
      <c r="AC2396" s="18" t="n"/>
    </row>
    <row r="2397">
      <c r="A2397" s="9" t="n">
        <v>701587</v>
      </c>
      <c r="B2397" s="9" t="inlineStr">
        <is>
          <t>Rodney Green Jr.</t>
        </is>
      </c>
      <c r="C2397" s="9" t="inlineStr">
        <is>
          <t>OAK</t>
        </is>
      </c>
      <c r="D2397" s="9" t="n">
        <v>25</v>
      </c>
      <c r="E2397" s="16" t="inlineStr">
        <is>
          <t>L</t>
        </is>
      </c>
      <c r="F2397" s="16" t="n"/>
      <c r="G2397" s="9" t="n">
        <v>91.4871794871795</v>
      </c>
      <c r="H2397" s="9" t="n">
        <v>91.4871794871795</v>
      </c>
      <c r="I2397" s="9" t="inlineStr">
        <is>
          <t>Depth (no MLB PA)</t>
        </is>
      </c>
      <c r="J2397" s="16" t="inlineStr">
        <is>
          <t>Opening Day</t>
        </is>
      </c>
      <c r="K2397" s="11">
        <f>IFERROR(INDEX(Roles!$B$17:$B$20,MATCH(J2397,Roles!$A$17:$A$20,0)),1)</f>
        <v/>
      </c>
      <c r="L2397" s="17" t="n">
        <v>1</v>
      </c>
      <c r="M2397" s="11" t="n">
        <v>1</v>
      </c>
      <c r="N2397" s="17" t="n"/>
      <c r="O2397" s="17" t="n"/>
      <c r="P2397" s="17" t="n"/>
      <c r="Q2397" s="17" t="n"/>
      <c r="R2397" s="17" t="n"/>
      <c r="S2397" s="17" t="n"/>
      <c r="T2397" s="17" t="n"/>
      <c r="U2397" s="17" t="n"/>
      <c r="V2397" s="17" t="n"/>
      <c r="W2397" s="17" t="n"/>
      <c r="X2397" s="17" t="n"/>
      <c r="Y2397" s="17" t="n">
        <v>1</v>
      </c>
      <c r="Z2397" s="13">
        <f>SUMPRODUCT(N2397:Y2397,$N$2:$Y$2)*$K2397*$L2397*$M2397</f>
        <v/>
      </c>
      <c r="AA2397" s="14">
        <f>SUM(N2397:Y2397)</f>
        <v/>
      </c>
      <c r="AB2397" s="14">
        <f>IFERROR(IF(UPPER($E2397)="L",SUMPRODUCT(N2397:Y2397,$N$3:$Y$3,$N$2:$Y$2),SUMPRODUCT(N2397:Y2397,$N$4:$Y$4,$N$2:$Y$2))/(Z2397/($K2397*$L2397*$M2397)),"")</f>
        <v/>
      </c>
      <c r="AC2397" s="18" t="n"/>
    </row>
    <row r="2398">
      <c r="A2398" s="9" t="n">
        <v>687724</v>
      </c>
      <c r="B2398" s="9" t="inlineStr">
        <is>
          <t>Jake Holton</t>
        </is>
      </c>
      <c r="C2398" s="9" t="inlineStr">
        <is>
          <t>SF</t>
        </is>
      </c>
      <c r="D2398" s="9" t="n">
        <v>25</v>
      </c>
      <c r="E2398" s="16" t="inlineStr">
        <is>
          <t>R</t>
        </is>
      </c>
      <c r="F2398" s="16" t="n"/>
      <c r="G2398" s="9" t="n">
        <v>166.4102564102564</v>
      </c>
      <c r="H2398" s="9" t="n">
        <v>166.4102564102564</v>
      </c>
      <c r="I2398" s="9" t="inlineStr">
        <is>
          <t>Depth (no MLB PA)</t>
        </is>
      </c>
      <c r="J2398" s="16" t="inlineStr">
        <is>
          <t>Opening Day</t>
        </is>
      </c>
      <c r="K2398" s="11">
        <f>IFERROR(INDEX(Roles!$B$17:$B$20,MATCH(J2398,Roles!$A$17:$A$20,0)),1)</f>
        <v/>
      </c>
      <c r="L2398" s="17" t="n">
        <v>1</v>
      </c>
      <c r="M2398" s="11" t="n">
        <v>1</v>
      </c>
      <c r="N2398" s="17" t="n"/>
      <c r="O2398" s="17" t="n"/>
      <c r="P2398" s="17" t="n"/>
      <c r="Q2398" s="17" t="n"/>
      <c r="R2398" s="17" t="n"/>
      <c r="S2398" s="17" t="n"/>
      <c r="T2398" s="17" t="n"/>
      <c r="U2398" s="17" t="n"/>
      <c r="V2398" s="17" t="n"/>
      <c r="W2398" s="17" t="n"/>
      <c r="X2398" s="17" t="n"/>
      <c r="Y2398" s="17" t="n">
        <v>1</v>
      </c>
      <c r="Z2398" s="13">
        <f>SUMPRODUCT(N2398:Y2398,$N$2:$Y$2)*$K2398*$L2398*$M2398</f>
        <v/>
      </c>
      <c r="AA2398" s="14">
        <f>SUM(N2398:Y2398)</f>
        <v/>
      </c>
      <c r="AB2398" s="14">
        <f>IFERROR(IF(UPPER($E2398)="L",SUMPRODUCT(N2398:Y2398,$N$3:$Y$3,$N$2:$Y$2),SUMPRODUCT(N2398:Y2398,$N$4:$Y$4,$N$2:$Y$2))/(Z2398/($K2398*$L2398*$M2398)),"")</f>
        <v/>
      </c>
      <c r="AC2398" s="18" t="n"/>
    </row>
    <row r="2399">
      <c r="A2399" s="9" t="n">
        <v>702679</v>
      </c>
      <c r="B2399" s="9" t="inlineStr">
        <is>
          <t>Demetrio Crisantes</t>
        </is>
      </c>
      <c r="C2399" s="9" t="inlineStr">
        <is>
          <t>ARI</t>
        </is>
      </c>
      <c r="D2399" s="9" t="n">
        <v>23</v>
      </c>
      <c r="E2399" s="16" t="inlineStr">
        <is>
          <t>R</t>
        </is>
      </c>
      <c r="F2399" s="16" t="n"/>
      <c r="G2399" s="9" t="n">
        <v>115.6410256410256</v>
      </c>
      <c r="H2399" s="9" t="n">
        <v>115.6410256410256</v>
      </c>
      <c r="I2399" s="9" t="inlineStr">
        <is>
          <t>Bench Bat</t>
        </is>
      </c>
      <c r="J2399" s="16" t="inlineStr">
        <is>
          <t>Mid Season (~July)</t>
        </is>
      </c>
      <c r="K2399" s="11">
        <f>IFERROR(INDEX(Roles!$B$17:$B$20,MATCH(J2399,Roles!$A$17:$A$20,0)),1)</f>
        <v/>
      </c>
      <c r="L2399" s="17" t="n">
        <v>1</v>
      </c>
      <c r="M2399" s="11" t="n">
        <v>1</v>
      </c>
      <c r="N2399" s="17" t="n"/>
      <c r="O2399" s="17" t="n"/>
      <c r="P2399" s="17" t="n">
        <v>0.35</v>
      </c>
      <c r="Q2399" s="17" t="n"/>
      <c r="R2399" s="17" t="n"/>
      <c r="S2399" s="17" t="n"/>
      <c r="T2399" s="17" t="n"/>
      <c r="U2399" s="17" t="n"/>
      <c r="V2399" s="17" t="n"/>
      <c r="W2399" s="17" t="n">
        <v>0.45</v>
      </c>
      <c r="X2399" s="17" t="n">
        <v>0.2</v>
      </c>
      <c r="Y2399" s="17" t="n"/>
      <c r="Z2399" s="13">
        <f>SUMPRODUCT(N2399:Y2399,$N$2:$Y$2)*$K2399*$L2399*$M2399</f>
        <v/>
      </c>
      <c r="AA2399" s="14">
        <f>SUM(N2399:Y2399)</f>
        <v/>
      </c>
      <c r="AB2399" s="14">
        <f>IFERROR(IF(UPPER($E2399)="L",SUMPRODUCT(N2399:Y2399,$N$3:$Y$3,$N$2:$Y$2),SUMPRODUCT(N2399:Y2399,$N$4:$Y$4,$N$2:$Y$2))/(Z2399/($K2399*$L2399*$M2399)),"")</f>
        <v/>
      </c>
      <c r="AC2399" s="18" t="n"/>
    </row>
    <row r="2400">
      <c r="A2400" s="9" t="n">
        <v>702409</v>
      </c>
      <c r="B2400" s="9" t="inlineStr">
        <is>
          <t>Jorge Ruiz</t>
        </is>
      </c>
      <c r="C2400" s="9" t="inlineStr">
        <is>
          <t>LAA</t>
        </is>
      </c>
      <c r="D2400" s="9" t="n">
        <v>25</v>
      </c>
      <c r="E2400" s="16" t="inlineStr">
        <is>
          <t>L</t>
        </is>
      </c>
      <c r="F2400" s="16" t="n"/>
      <c r="G2400" s="9" t="n">
        <v>84.30769230769232</v>
      </c>
      <c r="H2400" s="9" t="n">
        <v>84.30769230769232</v>
      </c>
      <c r="I2400" s="9" t="inlineStr">
        <is>
          <t>Depth (no MLB PA)</t>
        </is>
      </c>
      <c r="J2400" s="16" t="inlineStr">
        <is>
          <t>Opening Day</t>
        </is>
      </c>
      <c r="K2400" s="11">
        <f>IFERROR(INDEX(Roles!$B$17:$B$20,MATCH(J2400,Roles!$A$17:$A$20,0)),1)</f>
        <v/>
      </c>
      <c r="L2400" s="17" t="n">
        <v>1</v>
      </c>
      <c r="M2400" s="11" t="n">
        <v>1</v>
      </c>
      <c r="N2400" s="17" t="n"/>
      <c r="O2400" s="17" t="n"/>
      <c r="P2400" s="17" t="n"/>
      <c r="Q2400" s="17" t="n"/>
      <c r="R2400" s="17" t="n"/>
      <c r="S2400" s="17" t="n"/>
      <c r="T2400" s="17" t="n"/>
      <c r="U2400" s="17" t="n"/>
      <c r="V2400" s="17" t="n"/>
      <c r="W2400" s="17" t="n"/>
      <c r="X2400" s="17" t="n"/>
      <c r="Y2400" s="17" t="n">
        <v>1</v>
      </c>
      <c r="Z2400" s="13">
        <f>SUMPRODUCT(N2400:Y2400,$N$2:$Y$2)*$K2400*$L2400*$M2400</f>
        <v/>
      </c>
      <c r="AA2400" s="14">
        <f>SUM(N2400:Y2400)</f>
        <v/>
      </c>
      <c r="AB2400" s="14">
        <f>IFERROR(IF(UPPER($E2400)="L",SUMPRODUCT(N2400:Y2400,$N$3:$Y$3,$N$2:$Y$2),SUMPRODUCT(N2400:Y2400,$N$4:$Y$4,$N$2:$Y$2))/(Z2400/($K2400*$L2400*$M2400)),"")</f>
        <v/>
      </c>
      <c r="AC2400" s="18" t="n"/>
    </row>
    <row r="2401">
      <c r="A2401" s="9" t="n">
        <v>680890</v>
      </c>
      <c r="B2401" s="9" t="inlineStr">
        <is>
          <t>Jax Biggers</t>
        </is>
      </c>
      <c r="C2401" s="9" t="inlineStr">
        <is>
          <t>HOU</t>
        </is>
      </c>
      <c r="D2401" s="9" t="n">
        <v>25</v>
      </c>
      <c r="E2401" s="16" t="inlineStr">
        <is>
          <t>L</t>
        </is>
      </c>
      <c r="F2401" s="16" t="n"/>
      <c r="G2401" s="9" t="n">
        <v>89.69230769230771</v>
      </c>
      <c r="H2401" s="9" t="n">
        <v>89.69230769230771</v>
      </c>
      <c r="I2401" s="9" t="inlineStr">
        <is>
          <t>Depth (no MLB PA)</t>
        </is>
      </c>
      <c r="J2401" s="16" t="inlineStr">
        <is>
          <t>Opening Day</t>
        </is>
      </c>
      <c r="K2401" s="11">
        <f>IFERROR(INDEX(Roles!$B$17:$B$20,MATCH(J2401,Roles!$A$17:$A$20,0)),1)</f>
        <v/>
      </c>
      <c r="L2401" s="17" t="n">
        <v>1</v>
      </c>
      <c r="M2401" s="11" t="n">
        <v>1</v>
      </c>
      <c r="N2401" s="17" t="n"/>
      <c r="O2401" s="17" t="n"/>
      <c r="P2401" s="17" t="n"/>
      <c r="Q2401" s="17" t="n"/>
      <c r="R2401" s="17" t="n"/>
      <c r="S2401" s="17" t="n"/>
      <c r="T2401" s="17" t="n"/>
      <c r="U2401" s="17" t="n"/>
      <c r="V2401" s="17" t="n"/>
      <c r="W2401" s="17" t="n"/>
      <c r="X2401" s="17" t="n"/>
      <c r="Y2401" s="17" t="n">
        <v>1</v>
      </c>
      <c r="Z2401" s="13">
        <f>SUMPRODUCT(N2401:Y2401,$N$2:$Y$2)*$K2401*$L2401*$M2401</f>
        <v/>
      </c>
      <c r="AA2401" s="14">
        <f>SUM(N2401:Y2401)</f>
        <v/>
      </c>
      <c r="AB2401" s="14">
        <f>IFERROR(IF(UPPER($E2401)="L",SUMPRODUCT(N2401:Y2401,$N$3:$Y$3,$N$2:$Y$2),SUMPRODUCT(N2401:Y2401,$N$4:$Y$4,$N$2:$Y$2))/(Z2401/($K2401*$L2401*$M2401)),"")</f>
        <v/>
      </c>
      <c r="AC2401" s="18" t="n"/>
    </row>
    <row r="2402">
      <c r="A2402" s="9" t="n">
        <v>676572</v>
      </c>
      <c r="B2402" s="9" t="inlineStr">
        <is>
          <t>Eric Wagaman</t>
        </is>
      </c>
      <c r="C2402" s="9" t="inlineStr">
        <is>
          <t>NYM</t>
        </is>
      </c>
      <c r="D2402" s="9" t="n">
        <v>29</v>
      </c>
      <c r="E2402" s="16" t="inlineStr">
        <is>
          <t>R</t>
        </is>
      </c>
      <c r="F2402" s="16" t="inlineStr">
        <is>
          <t>1B</t>
        </is>
      </c>
      <c r="G2402" s="9" t="n">
        <v>52</v>
      </c>
      <c r="H2402" s="9" t="n">
        <v>640</v>
      </c>
      <c r="I2402" s="9" t="inlineStr">
        <is>
          <t>Everyday DH / 1B-DH</t>
        </is>
      </c>
      <c r="J2402" s="16" t="inlineStr">
        <is>
          <t>Opening Day</t>
        </is>
      </c>
      <c r="K2402" s="11">
        <f>IFERROR(INDEX(Roles!$B$17:$B$20,MATCH(J2402,Roles!$A$17:$A$20,0)),1)</f>
        <v/>
      </c>
      <c r="L2402" s="17" t="n">
        <v>1</v>
      </c>
      <c r="M2402" s="11" t="n">
        <v>0.706667342583142</v>
      </c>
      <c r="N2402" s="17" t="n"/>
      <c r="O2402" s="17" t="n">
        <v>1</v>
      </c>
      <c r="P2402" s="17" t="n"/>
      <c r="Q2402" s="17" t="n"/>
      <c r="R2402" s="17" t="n"/>
      <c r="S2402" s="17" t="n"/>
      <c r="T2402" s="17" t="n"/>
      <c r="U2402" s="17" t="n"/>
      <c r="V2402" s="17" t="n"/>
      <c r="W2402" s="17" t="n"/>
      <c r="X2402" s="17" t="n"/>
      <c r="Y2402" s="17" t="n"/>
      <c r="Z2402" s="13">
        <f>SUMPRODUCT(N2402:Y2402,$N$2:$Y$2)*$K2402*$L2402*$M2402</f>
        <v/>
      </c>
      <c r="AA2402" s="14">
        <f>SUM(N2402:Y2402)</f>
        <v/>
      </c>
      <c r="AB2402" s="14">
        <f>IFERROR(IF(UPPER($E2402)="L",SUMPRODUCT(N2402:Y2402,$N$3:$Y$3,$N$2:$Y$2),SUMPRODUCT(N2402:Y2402,$N$4:$Y$4,$N$2:$Y$2))/(Z2402/($K2402*$L2402*$M2402)),"")</f>
        <v/>
      </c>
      <c r="AC2402" s="18" t="n"/>
    </row>
    <row r="2403">
      <c r="A2403" s="9" t="n">
        <v>676463</v>
      </c>
      <c r="B2403" s="9" t="inlineStr">
        <is>
          <t>Hayden Cantrelle</t>
        </is>
      </c>
      <c r="C2403" s="9" t="inlineStr">
        <is>
          <t>CHC</t>
        </is>
      </c>
      <c r="D2403" s="9" t="n">
        <v>25</v>
      </c>
      <c r="E2403" s="16" t="inlineStr">
        <is>
          <t>S</t>
        </is>
      </c>
      <c r="F2403" s="16" t="n"/>
      <c r="G2403" s="9" t="n">
        <v>86.30769230769232</v>
      </c>
      <c r="H2403" s="9" t="n">
        <v>86.30769230769232</v>
      </c>
      <c r="I2403" s="9" t="inlineStr">
        <is>
          <t>Depth (no MLB PA)</t>
        </is>
      </c>
      <c r="J2403" s="16" t="inlineStr">
        <is>
          <t>Opening Day</t>
        </is>
      </c>
      <c r="K2403" s="11">
        <f>IFERROR(INDEX(Roles!$B$17:$B$20,MATCH(J2403,Roles!$A$17:$A$20,0)),1)</f>
        <v/>
      </c>
      <c r="L2403" s="17" t="n">
        <v>1</v>
      </c>
      <c r="M2403" s="11" t="n">
        <v>1</v>
      </c>
      <c r="N2403" s="17" t="n"/>
      <c r="O2403" s="17" t="n"/>
      <c r="P2403" s="17" t="n"/>
      <c r="Q2403" s="17" t="n"/>
      <c r="R2403" s="17" t="n"/>
      <c r="S2403" s="17" t="n"/>
      <c r="T2403" s="17" t="n"/>
      <c r="U2403" s="17" t="n"/>
      <c r="V2403" s="17" t="n"/>
      <c r="W2403" s="17" t="n"/>
      <c r="X2403" s="17" t="n"/>
      <c r="Y2403" s="17" t="n">
        <v>1</v>
      </c>
      <c r="Z2403" s="13">
        <f>SUMPRODUCT(N2403:Y2403,$N$2:$Y$2)*$K2403*$L2403*$M2403</f>
        <v/>
      </c>
      <c r="AA2403" s="14">
        <f>SUM(N2403:Y2403)</f>
        <v/>
      </c>
      <c r="AB2403" s="14">
        <f>IFERROR(IF(UPPER($E2403)="L",SUMPRODUCT(N2403:Y2403,$N$3:$Y$3,$N$2:$Y$2),SUMPRODUCT(N2403:Y2403,$N$4:$Y$4,$N$2:$Y$2))/(Z2403/($K2403*$L2403*$M2403)),"")</f>
        <v/>
      </c>
      <c r="AC2403" s="18" t="n"/>
    </row>
    <row r="2404">
      <c r="A2404" s="9" t="n">
        <v>690991</v>
      </c>
      <c r="B2404" s="9" t="inlineStr">
        <is>
          <t>Mac Horvath</t>
        </is>
      </c>
      <c r="C2404" s="9" t="inlineStr">
        <is>
          <t>TB</t>
        </is>
      </c>
      <c r="D2404" s="9" t="n">
        <v>25</v>
      </c>
      <c r="E2404" s="16" t="inlineStr">
        <is>
          <t>R</t>
        </is>
      </c>
      <c r="F2404" s="16" t="n"/>
      <c r="G2404" s="9" t="n">
        <v>180.2051282051282</v>
      </c>
      <c r="H2404" s="9" t="n">
        <v>180.2051282051282</v>
      </c>
      <c r="I2404" s="9" t="inlineStr">
        <is>
          <t>Depth (no MLB PA)</t>
        </is>
      </c>
      <c r="J2404" s="16" t="inlineStr">
        <is>
          <t>Opening Day</t>
        </is>
      </c>
      <c r="K2404" s="11">
        <f>IFERROR(INDEX(Roles!$B$17:$B$20,MATCH(J2404,Roles!$A$17:$A$20,0)),1)</f>
        <v/>
      </c>
      <c r="L2404" s="17" t="n">
        <v>1</v>
      </c>
      <c r="M2404" s="11" t="n">
        <v>1</v>
      </c>
      <c r="N2404" s="17" t="n"/>
      <c r="O2404" s="17" t="n"/>
      <c r="P2404" s="17" t="n"/>
      <c r="Q2404" s="17" t="n"/>
      <c r="R2404" s="17" t="n"/>
      <c r="S2404" s="17" t="n"/>
      <c r="T2404" s="17" t="n"/>
      <c r="U2404" s="17" t="n"/>
      <c r="V2404" s="17" t="n"/>
      <c r="W2404" s="17" t="n"/>
      <c r="X2404" s="17" t="n"/>
      <c r="Y2404" s="17" t="n">
        <v>1</v>
      </c>
      <c r="Z2404" s="13">
        <f>SUMPRODUCT(N2404:Y2404,$N$2:$Y$2)*$K2404*$L2404*$M2404</f>
        <v/>
      </c>
      <c r="AA2404" s="14">
        <f>SUM(N2404:Y2404)</f>
        <v/>
      </c>
      <c r="AB2404" s="14">
        <f>IFERROR(IF(UPPER($E2404)="L",SUMPRODUCT(N2404:Y2404,$N$3:$Y$3,$N$2:$Y$2),SUMPRODUCT(N2404:Y2404,$N$4:$Y$4,$N$2:$Y$2))/(Z2404/($K2404*$L2404*$M2404)),"")</f>
        <v/>
      </c>
      <c r="AC2404" s="18" t="n"/>
    </row>
    <row r="2405">
      <c r="A2405" s="9" t="n">
        <v>622761</v>
      </c>
      <c r="B2405" s="9" t="inlineStr">
        <is>
          <t>Jorge Mateo</t>
        </is>
      </c>
      <c r="C2405" s="9" t="inlineStr">
        <is>
          <t>TB</t>
        </is>
      </c>
      <c r="D2405" s="9" t="n">
        <v>32</v>
      </c>
      <c r="E2405" s="16" t="inlineStr">
        <is>
          <t>R</t>
        </is>
      </c>
      <c r="F2405" s="16" t="inlineStr">
        <is>
          <t>SS</t>
        </is>
      </c>
      <c r="G2405" s="9" t="n">
        <v>221</v>
      </c>
      <c r="H2405" s="9" t="n">
        <v>1395</v>
      </c>
      <c r="I2405" s="9" t="inlineStr">
        <is>
          <t>Weak Side Platoon</t>
        </is>
      </c>
      <c r="J2405" s="16" t="inlineStr">
        <is>
          <t>Opening Day</t>
        </is>
      </c>
      <c r="K2405" s="11">
        <f>IFERROR(INDEX(Roles!$B$17:$B$20,MATCH(J2405,Roles!$A$17:$A$20,0)),1)</f>
        <v/>
      </c>
      <c r="L2405" s="17" t="n">
        <v>1</v>
      </c>
      <c r="M2405" s="11" t="n">
        <v>1</v>
      </c>
      <c r="N2405" s="17" t="n"/>
      <c r="O2405" s="17" t="n"/>
      <c r="P2405" s="17" t="n"/>
      <c r="Q2405" s="17" t="n">
        <v>0.6</v>
      </c>
      <c r="R2405" s="17" t="n"/>
      <c r="S2405" s="17" t="n"/>
      <c r="T2405" s="17" t="n"/>
      <c r="U2405" s="17" t="n">
        <v>0.4</v>
      </c>
      <c r="V2405" s="17" t="n"/>
      <c r="W2405" s="17" t="n"/>
      <c r="X2405" s="17" t="n"/>
      <c r="Y2405" s="17" t="n"/>
      <c r="Z2405" s="13">
        <f>SUMPRODUCT(N2405:Y2405,$N$2:$Y$2)*$K2405*$L2405*$M2405</f>
        <v/>
      </c>
      <c r="AA2405" s="14">
        <f>SUM(N2405:Y2405)</f>
        <v/>
      </c>
      <c r="AB2405" s="14">
        <f>IFERROR(IF(UPPER($E2405)="L",SUMPRODUCT(N2405:Y2405,$N$3:$Y$3,$N$2:$Y$2),SUMPRODUCT(N2405:Y2405,$N$4:$Y$4,$N$2:$Y$2))/(Z2405/($K2405*$L2405*$M2405)),"")</f>
        <v/>
      </c>
      <c r="AC2405" s="18" t="n"/>
    </row>
    <row r="2406">
      <c r="A2406" s="9" t="n">
        <v>670232</v>
      </c>
      <c r="B2406" s="9" t="inlineStr">
        <is>
          <t>Ramón Rodríguez</t>
        </is>
      </c>
      <c r="C2406" s="9" t="inlineStr">
        <is>
          <t>MIL</t>
        </is>
      </c>
      <c r="D2406" s="9" t="n">
        <v>25</v>
      </c>
      <c r="E2406" s="16" t="inlineStr">
        <is>
          <t>R</t>
        </is>
      </c>
      <c r="F2406" s="16" t="n"/>
      <c r="G2406" s="9" t="n">
        <v>117.8974358974359</v>
      </c>
      <c r="H2406" s="9" t="n">
        <v>117.8974358974359</v>
      </c>
      <c r="I2406" s="9" t="inlineStr">
        <is>
          <t>Depth (no MLB PA)</t>
        </is>
      </c>
      <c r="J2406" s="16" t="inlineStr">
        <is>
          <t>Opening Day</t>
        </is>
      </c>
      <c r="K2406" s="11">
        <f>IFERROR(INDEX(Roles!$B$17:$B$20,MATCH(J2406,Roles!$A$17:$A$20,0)),1)</f>
        <v/>
      </c>
      <c r="L2406" s="17" t="n">
        <v>1</v>
      </c>
      <c r="M2406" s="11" t="n">
        <v>1</v>
      </c>
      <c r="N2406" s="17" t="n"/>
      <c r="O2406" s="17" t="n"/>
      <c r="P2406" s="17" t="n"/>
      <c r="Q2406" s="17" t="n"/>
      <c r="R2406" s="17" t="n"/>
      <c r="S2406" s="17" t="n"/>
      <c r="T2406" s="17" t="n"/>
      <c r="U2406" s="17" t="n"/>
      <c r="V2406" s="17" t="n"/>
      <c r="W2406" s="17" t="n"/>
      <c r="X2406" s="17" t="n"/>
      <c r="Y2406" s="17" t="n">
        <v>1</v>
      </c>
      <c r="Z2406" s="13">
        <f>SUMPRODUCT(N2406:Y2406,$N$2:$Y$2)*$K2406*$L2406*$M2406</f>
        <v/>
      </c>
      <c r="AA2406" s="14">
        <f>SUM(N2406:Y2406)</f>
        <v/>
      </c>
      <c r="AB2406" s="14">
        <f>IFERROR(IF(UPPER($E2406)="L",SUMPRODUCT(N2406:Y2406,$N$3:$Y$3,$N$2:$Y$2),SUMPRODUCT(N2406:Y2406,$N$4:$Y$4,$N$2:$Y$2))/(Z2406/($K2406*$L2406*$M2406)),"")</f>
        <v/>
      </c>
      <c r="AC2406" s="18" t="n"/>
    </row>
    <row r="2407">
      <c r="A2407" s="9" t="n">
        <v>694388</v>
      </c>
      <c r="B2407" s="9" t="inlineStr">
        <is>
          <t>Joey Loperfido</t>
        </is>
      </c>
      <c r="C2407" s="9" t="inlineStr">
        <is>
          <t>HOU</t>
        </is>
      </c>
      <c r="D2407" s="9" t="n">
        <v>28</v>
      </c>
      <c r="E2407" s="16" t="inlineStr">
        <is>
          <t>L</t>
        </is>
      </c>
      <c r="F2407" s="16" t="inlineStr">
        <is>
          <t>LF</t>
        </is>
      </c>
      <c r="G2407" s="9" t="n">
        <v>121</v>
      </c>
      <c r="H2407" s="9" t="n">
        <v>487</v>
      </c>
      <c r="I2407" s="9" t="inlineStr">
        <is>
          <t>Bench Bat</t>
        </is>
      </c>
      <c r="J2407" s="16" t="inlineStr">
        <is>
          <t>Opening Day</t>
        </is>
      </c>
      <c r="K2407" s="11">
        <f>IFERROR(INDEX(Roles!$B$17:$B$20,MATCH(J2407,Roles!$A$17:$A$20,0)),1)</f>
        <v/>
      </c>
      <c r="L2407" s="17" t="n">
        <v>1</v>
      </c>
      <c r="M2407" s="11" t="n">
        <v>1</v>
      </c>
      <c r="N2407" s="17" t="n"/>
      <c r="O2407" s="17" t="n"/>
      <c r="P2407" s="17" t="n"/>
      <c r="Q2407" s="17" t="n"/>
      <c r="R2407" s="17" t="n"/>
      <c r="S2407" s="17" t="n"/>
      <c r="T2407" s="17" t="n"/>
      <c r="U2407" s="17" t="n"/>
      <c r="V2407" s="17" t="n"/>
      <c r="W2407" s="17" t="n">
        <v>1</v>
      </c>
      <c r="X2407" s="17" t="n"/>
      <c r="Y2407" s="17" t="n"/>
      <c r="Z2407" s="13">
        <f>SUMPRODUCT(N2407:Y2407,$N$2:$Y$2)*$K2407*$L2407*$M2407</f>
        <v/>
      </c>
      <c r="AA2407" s="14">
        <f>SUM(N2407:Y2407)</f>
        <v/>
      </c>
      <c r="AB2407" s="14">
        <f>IFERROR(IF(UPPER($E2407)="L",SUMPRODUCT(N2407:Y2407,$N$3:$Y$3,$N$2:$Y$2),SUMPRODUCT(N2407:Y2407,$N$4:$Y$4,$N$2:$Y$2))/(Z2407/($K2407*$L2407*$M2407)),"")</f>
        <v/>
      </c>
      <c r="AC2407" s="18" t="n"/>
    </row>
    <row r="2408">
      <c r="A2408" s="9" t="n">
        <v>669722</v>
      </c>
      <c r="B2408" s="9" t="inlineStr">
        <is>
          <t>Logan Davidson</t>
        </is>
      </c>
      <c r="C2408" s="9" t="inlineStr">
        <is>
          <t>LAA</t>
        </is>
      </c>
      <c r="D2408" s="9" t="n">
        <v>29</v>
      </c>
      <c r="E2408" s="16" t="inlineStr">
        <is>
          <t>S</t>
        </is>
      </c>
      <c r="F2408" s="16" t="inlineStr">
        <is>
          <t>1B</t>
        </is>
      </c>
      <c r="G2408" s="9" t="n">
        <v>47</v>
      </c>
      <c r="H2408" s="9" t="n">
        <v>47</v>
      </c>
      <c r="I2408" s="9" t="inlineStr">
        <is>
          <t>Bench Bat</t>
        </is>
      </c>
      <c r="J2408" s="16" t="inlineStr">
        <is>
          <t>Opening Day</t>
        </is>
      </c>
      <c r="K2408" s="11">
        <f>IFERROR(INDEX(Roles!$B$17:$B$20,MATCH(J2408,Roles!$A$17:$A$20,0)),1)</f>
        <v/>
      </c>
      <c r="L2408" s="17" t="n">
        <v>1</v>
      </c>
      <c r="M2408" s="11" t="n">
        <v>1</v>
      </c>
      <c r="N2408" s="17" t="n"/>
      <c r="O2408" s="17" t="n"/>
      <c r="P2408" s="17" t="n"/>
      <c r="Q2408" s="17" t="n"/>
      <c r="R2408" s="17" t="n"/>
      <c r="S2408" s="17" t="n"/>
      <c r="T2408" s="17" t="n"/>
      <c r="U2408" s="17" t="n"/>
      <c r="V2408" s="17" t="n"/>
      <c r="W2408" s="17" t="n">
        <v>1</v>
      </c>
      <c r="X2408" s="17" t="n"/>
      <c r="Y2408" s="17" t="n"/>
      <c r="Z2408" s="13">
        <f>SUMPRODUCT(N2408:Y2408,$N$2:$Y$2)*$K2408*$L2408*$M2408</f>
        <v/>
      </c>
      <c r="AA2408" s="14">
        <f>SUM(N2408:Y2408)</f>
        <v/>
      </c>
      <c r="AB2408" s="14">
        <f>IFERROR(IF(UPPER($E2408)="L",SUMPRODUCT(N2408:Y2408,$N$3:$Y$3,$N$2:$Y$2),SUMPRODUCT(N2408:Y2408,$N$4:$Y$4,$N$2:$Y$2))/(Z2408/($K2408*$L2408*$M2408)),"")</f>
        <v/>
      </c>
      <c r="AC2408" s="18" t="n"/>
    </row>
    <row r="2409">
      <c r="A2409" s="9" t="n">
        <v>686810</v>
      </c>
      <c r="B2409" s="9" t="inlineStr">
        <is>
          <t>Brennan Milone</t>
        </is>
      </c>
      <c r="C2409" s="9" t="inlineStr">
        <is>
          <t>OAK</t>
        </is>
      </c>
      <c r="D2409" s="9" t="n">
        <v>25</v>
      </c>
      <c r="E2409" s="16" t="inlineStr">
        <is>
          <t>R</t>
        </is>
      </c>
      <c r="F2409" s="16" t="n"/>
      <c r="G2409" s="9" t="n">
        <v>142.8717948717949</v>
      </c>
      <c r="H2409" s="9" t="n">
        <v>142.8717948717949</v>
      </c>
      <c r="I2409" s="9" t="inlineStr">
        <is>
          <t>Depth (no MLB PA)</t>
        </is>
      </c>
      <c r="J2409" s="16" t="inlineStr">
        <is>
          <t>Opening Day</t>
        </is>
      </c>
      <c r="K2409" s="11">
        <f>IFERROR(INDEX(Roles!$B$17:$B$20,MATCH(J2409,Roles!$A$17:$A$20,0)),1)</f>
        <v/>
      </c>
      <c r="L2409" s="17" t="n">
        <v>1</v>
      </c>
      <c r="M2409" s="11" t="n">
        <v>1</v>
      </c>
      <c r="N2409" s="17" t="n"/>
      <c r="O2409" s="17" t="n"/>
      <c r="P2409" s="17" t="n"/>
      <c r="Q2409" s="17" t="n"/>
      <c r="R2409" s="17" t="n"/>
      <c r="S2409" s="17" t="n"/>
      <c r="T2409" s="17" t="n"/>
      <c r="U2409" s="17" t="n"/>
      <c r="V2409" s="17" t="n"/>
      <c r="W2409" s="17" t="n"/>
      <c r="X2409" s="17" t="n"/>
      <c r="Y2409" s="17" t="n">
        <v>1</v>
      </c>
      <c r="Z2409" s="13">
        <f>SUMPRODUCT(N2409:Y2409,$N$2:$Y$2)*$K2409*$L2409*$M2409</f>
        <v/>
      </c>
      <c r="AA2409" s="14">
        <f>SUM(N2409:Y2409)</f>
        <v/>
      </c>
      <c r="AB2409" s="14">
        <f>IFERROR(IF(UPPER($E2409)="L",SUMPRODUCT(N2409:Y2409,$N$3:$Y$3,$N$2:$Y$2),SUMPRODUCT(N2409:Y2409,$N$4:$Y$4,$N$2:$Y$2))/(Z2409/($K2409*$L2409*$M2409)),"")</f>
        <v/>
      </c>
      <c r="AC2409" s="18" t="n"/>
    </row>
    <row r="2410">
      <c r="A2410" s="9" t="n">
        <v>624431</v>
      </c>
      <c r="B2410" s="9" t="inlineStr">
        <is>
          <t>Jose Trevino</t>
        </is>
      </c>
      <c r="C2410" s="9" t="inlineStr">
        <is>
          <t>CIN</t>
        </is>
      </c>
      <c r="D2410" s="9" t="n">
        <v>34</v>
      </c>
      <c r="E2410" s="16" t="inlineStr">
        <is>
          <t>R</t>
        </is>
      </c>
      <c r="F2410" s="16" t="inlineStr">
        <is>
          <t>C</t>
        </is>
      </c>
      <c r="G2410" s="9" t="n">
        <v>156</v>
      </c>
      <c r="H2410" s="9" t="n">
        <v>1213</v>
      </c>
      <c r="I2410" s="9" t="inlineStr">
        <is>
          <t>Weak Side Platoon</t>
        </is>
      </c>
      <c r="J2410" s="16" t="inlineStr">
        <is>
          <t>Opening Day</t>
        </is>
      </c>
      <c r="K2410" s="11">
        <f>IFERROR(INDEX(Roles!$B$17:$B$20,MATCH(J2410,Roles!$A$17:$A$20,0)),1)</f>
        <v/>
      </c>
      <c r="L2410" s="17" t="n">
        <v>1</v>
      </c>
      <c r="M2410" s="11" t="n">
        <v>1</v>
      </c>
      <c r="N2410" s="17" t="n"/>
      <c r="O2410" s="17" t="n"/>
      <c r="P2410" s="17" t="n"/>
      <c r="Q2410" s="17" t="n">
        <v>0.6</v>
      </c>
      <c r="R2410" s="17" t="n"/>
      <c r="S2410" s="17" t="n"/>
      <c r="T2410" s="17" t="n">
        <v>0.4</v>
      </c>
      <c r="U2410" s="17" t="n"/>
      <c r="V2410" s="17" t="n"/>
      <c r="W2410" s="17" t="n"/>
      <c r="X2410" s="17" t="n"/>
      <c r="Y2410" s="17" t="n"/>
      <c r="Z2410" s="13">
        <f>SUMPRODUCT(N2410:Y2410,$N$2:$Y$2)*$K2410*$L2410*$M2410</f>
        <v/>
      </c>
      <c r="AA2410" s="14">
        <f>SUM(N2410:Y2410)</f>
        <v/>
      </c>
      <c r="AB2410" s="14">
        <f>IFERROR(IF(UPPER($E2410)="L",SUMPRODUCT(N2410:Y2410,$N$3:$Y$3,$N$2:$Y$2),SUMPRODUCT(N2410:Y2410,$N$4:$Y$4,$N$2:$Y$2))/(Z2410/($K2410*$L2410*$M2410)),"")</f>
        <v/>
      </c>
      <c r="AC2410" s="18" t="n"/>
    </row>
    <row r="2411">
      <c r="A2411" s="9" t="n">
        <v>620443</v>
      </c>
      <c r="B2411" s="9" t="inlineStr">
        <is>
          <t>Luis Torrens</t>
        </is>
      </c>
      <c r="C2411" s="9" t="inlineStr">
        <is>
          <t>NYM</t>
        </is>
      </c>
      <c r="D2411" s="9" t="n">
        <v>31</v>
      </c>
      <c r="E2411" s="16" t="inlineStr">
        <is>
          <t>R</t>
        </is>
      </c>
      <c r="F2411" s="16" t="inlineStr">
        <is>
          <t>C</t>
        </is>
      </c>
      <c r="G2411" s="9" t="n">
        <v>281</v>
      </c>
      <c r="H2411" s="9" t="n">
        <v>890</v>
      </c>
      <c r="I2411" s="9" t="inlineStr">
        <is>
          <t>Catcher - Backup</t>
        </is>
      </c>
      <c r="J2411" s="16" t="inlineStr">
        <is>
          <t>Opening Day</t>
        </is>
      </c>
      <c r="K2411" s="11">
        <f>IFERROR(INDEX(Roles!$B$17:$B$20,MATCH(J2411,Roles!$A$17:$A$20,0)),1)</f>
        <v/>
      </c>
      <c r="L2411" s="17" t="n">
        <v>1</v>
      </c>
      <c r="M2411" s="11" t="n">
        <v>1</v>
      </c>
      <c r="N2411" s="17" t="n"/>
      <c r="O2411" s="17" t="n"/>
      <c r="P2411" s="17" t="n"/>
      <c r="Q2411" s="17" t="n"/>
      <c r="R2411" s="17" t="n"/>
      <c r="S2411" s="17" t="n"/>
      <c r="T2411" s="17" t="n">
        <v>0.7</v>
      </c>
      <c r="U2411" s="17" t="n"/>
      <c r="V2411" s="17" t="n"/>
      <c r="W2411" s="17" t="n">
        <v>0.3</v>
      </c>
      <c r="X2411" s="17" t="n"/>
      <c r="Y2411" s="17" t="n"/>
      <c r="Z2411" s="13">
        <f>SUMPRODUCT(N2411:Y2411,$N$2:$Y$2)*$K2411*$L2411*$M2411</f>
        <v/>
      </c>
      <c r="AA2411" s="14">
        <f>SUM(N2411:Y2411)</f>
        <v/>
      </c>
      <c r="AB2411" s="14">
        <f>IFERROR(IF(UPPER($E2411)="L",SUMPRODUCT(N2411:Y2411,$N$3:$Y$3,$N$2:$Y$2),SUMPRODUCT(N2411:Y2411,$N$4:$Y$4,$N$2:$Y$2))/(Z2411/($K2411*$L2411*$M2411)),"")</f>
        <v/>
      </c>
      <c r="AC2411" s="18" t="n"/>
    </row>
    <row r="2412">
      <c r="A2412" s="9" t="n">
        <v>689288</v>
      </c>
      <c r="B2412" s="9" t="inlineStr">
        <is>
          <t>Matt Koperniak</t>
        </is>
      </c>
      <c r="C2412" s="9" t="inlineStr">
        <is>
          <t>STL</t>
        </is>
      </c>
      <c r="D2412" s="9" t="n">
        <v>25</v>
      </c>
      <c r="E2412" s="16" t="inlineStr">
        <is>
          <t>L</t>
        </is>
      </c>
      <c r="F2412" s="16" t="n"/>
      <c r="G2412" s="9" t="n">
        <v>116.2051282051282</v>
      </c>
      <c r="H2412" s="9" t="n">
        <v>116.2051282051282</v>
      </c>
      <c r="I2412" s="9" t="inlineStr">
        <is>
          <t>Depth (no MLB PA)</t>
        </is>
      </c>
      <c r="J2412" s="16" t="inlineStr">
        <is>
          <t>Opening Day</t>
        </is>
      </c>
      <c r="K2412" s="11">
        <f>IFERROR(INDEX(Roles!$B$17:$B$20,MATCH(J2412,Roles!$A$17:$A$20,0)),1)</f>
        <v/>
      </c>
      <c r="L2412" s="17" t="n">
        <v>1</v>
      </c>
      <c r="M2412" s="11" t="n">
        <v>1</v>
      </c>
      <c r="N2412" s="17" t="n"/>
      <c r="O2412" s="17" t="n"/>
      <c r="P2412" s="17" t="n"/>
      <c r="Q2412" s="17" t="n"/>
      <c r="R2412" s="17" t="n"/>
      <c r="S2412" s="17" t="n"/>
      <c r="T2412" s="17" t="n"/>
      <c r="U2412" s="17" t="n"/>
      <c r="V2412" s="17" t="n"/>
      <c r="W2412" s="17" t="n"/>
      <c r="X2412" s="17" t="n"/>
      <c r="Y2412" s="17" t="n">
        <v>1</v>
      </c>
      <c r="Z2412" s="13">
        <f>SUMPRODUCT(N2412:Y2412,$N$2:$Y$2)*$K2412*$L2412*$M2412</f>
        <v/>
      </c>
      <c r="AA2412" s="14">
        <f>SUM(N2412:Y2412)</f>
        <v/>
      </c>
      <c r="AB2412" s="14">
        <f>IFERROR(IF(UPPER($E2412)="L",SUMPRODUCT(N2412:Y2412,$N$3:$Y$3,$N$2:$Y$2),SUMPRODUCT(N2412:Y2412,$N$4:$Y$4,$N$2:$Y$2))/(Z2412/($K2412*$L2412*$M2412)),"")</f>
        <v/>
      </c>
      <c r="AC2412" s="18" t="n"/>
    </row>
    <row r="2413">
      <c r="A2413" s="9" t="n">
        <v>800440</v>
      </c>
      <c r="B2413" s="9" t="inlineStr">
        <is>
          <t>Narciso Polanco</t>
        </is>
      </c>
      <c r="C2413" s="9" t="inlineStr">
        <is>
          <t>TB</t>
        </is>
      </c>
      <c r="D2413" s="9" t="n">
        <v>25</v>
      </c>
      <c r="E2413" s="16" t="inlineStr">
        <is>
          <t>L</t>
        </is>
      </c>
      <c r="F2413" s="16" t="n"/>
      <c r="G2413" s="9" t="n">
        <v>101.3333333333333</v>
      </c>
      <c r="H2413" s="9" t="n">
        <v>101.3333333333333</v>
      </c>
      <c r="I2413" s="9" t="inlineStr">
        <is>
          <t>Depth (no MLB PA)</t>
        </is>
      </c>
      <c r="J2413" s="16" t="inlineStr">
        <is>
          <t>Opening Day</t>
        </is>
      </c>
      <c r="K2413" s="11">
        <f>IFERROR(INDEX(Roles!$B$17:$B$20,MATCH(J2413,Roles!$A$17:$A$20,0)),1)</f>
        <v/>
      </c>
      <c r="L2413" s="17" t="n">
        <v>1</v>
      </c>
      <c r="M2413" s="11" t="n">
        <v>1</v>
      </c>
      <c r="N2413" s="17" t="n"/>
      <c r="O2413" s="17" t="n"/>
      <c r="P2413" s="17" t="n"/>
      <c r="Q2413" s="17" t="n"/>
      <c r="R2413" s="17" t="n"/>
      <c r="S2413" s="17" t="n"/>
      <c r="T2413" s="17" t="n"/>
      <c r="U2413" s="17" t="n"/>
      <c r="V2413" s="17" t="n"/>
      <c r="W2413" s="17" t="n"/>
      <c r="X2413" s="17" t="n"/>
      <c r="Y2413" s="17" t="n">
        <v>1</v>
      </c>
      <c r="Z2413" s="13">
        <f>SUMPRODUCT(N2413:Y2413,$N$2:$Y$2)*$K2413*$L2413*$M2413</f>
        <v/>
      </c>
      <c r="AA2413" s="14">
        <f>SUM(N2413:Y2413)</f>
        <v/>
      </c>
      <c r="AB2413" s="14">
        <f>IFERROR(IF(UPPER($E2413)="L",SUMPRODUCT(N2413:Y2413,$N$3:$Y$3,$N$2:$Y$2),SUMPRODUCT(N2413:Y2413,$N$4:$Y$4,$N$2:$Y$2))/(Z2413/($K2413*$L2413*$M2413)),"")</f>
        <v/>
      </c>
      <c r="AC2413" s="18" t="n"/>
    </row>
    <row r="2414">
      <c r="A2414" s="9" t="n">
        <v>807951</v>
      </c>
      <c r="B2414" s="9" t="inlineStr">
        <is>
          <t>Rafhlmil Torres</t>
        </is>
      </c>
      <c r="C2414" s="9" t="inlineStr">
        <is>
          <t>CIN</t>
        </is>
      </c>
      <c r="D2414" s="9" t="n">
        <v>25</v>
      </c>
      <c r="E2414" s="16" t="inlineStr">
        <is>
          <t>S</t>
        </is>
      </c>
      <c r="F2414" s="16" t="n"/>
      <c r="G2414" s="9" t="n">
        <v>61.53846153846153</v>
      </c>
      <c r="H2414" s="9" t="n">
        <v>61.53846153846153</v>
      </c>
      <c r="I2414" s="9" t="inlineStr">
        <is>
          <t>Depth (no MLB PA)</t>
        </is>
      </c>
      <c r="J2414" s="16" t="inlineStr">
        <is>
          <t>Opening Day</t>
        </is>
      </c>
      <c r="K2414" s="11">
        <f>IFERROR(INDEX(Roles!$B$17:$B$20,MATCH(J2414,Roles!$A$17:$A$20,0)),1)</f>
        <v/>
      </c>
      <c r="L2414" s="17" t="n">
        <v>1</v>
      </c>
      <c r="M2414" s="11" t="n">
        <v>1</v>
      </c>
      <c r="N2414" s="17" t="n"/>
      <c r="O2414" s="17" t="n"/>
      <c r="P2414" s="17" t="n"/>
      <c r="Q2414" s="17" t="n"/>
      <c r="R2414" s="17" t="n"/>
      <c r="S2414" s="17" t="n"/>
      <c r="T2414" s="17" t="n"/>
      <c r="U2414" s="17" t="n"/>
      <c r="V2414" s="17" t="n"/>
      <c r="W2414" s="17" t="n"/>
      <c r="X2414" s="17" t="n"/>
      <c r="Y2414" s="17" t="n">
        <v>1</v>
      </c>
      <c r="Z2414" s="13">
        <f>SUMPRODUCT(N2414:Y2414,$N$2:$Y$2)*$K2414*$L2414*$M2414</f>
        <v/>
      </c>
      <c r="AA2414" s="14">
        <f>SUM(N2414:Y2414)</f>
        <v/>
      </c>
      <c r="AB2414" s="14">
        <f>IFERROR(IF(UPPER($E2414)="L",SUMPRODUCT(N2414:Y2414,$N$3:$Y$3,$N$2:$Y$2),SUMPRODUCT(N2414:Y2414,$N$4:$Y$4,$N$2:$Y$2))/(Z2414/($K2414*$L2414*$M2414)),"")</f>
        <v/>
      </c>
      <c r="AC2414" s="18" t="n"/>
    </row>
    <row r="2415">
      <c r="A2415" s="9" t="n">
        <v>807511</v>
      </c>
      <c r="B2415" s="9" t="inlineStr">
        <is>
          <t>Nelly Taylor</t>
        </is>
      </c>
      <c r="C2415" s="9" t="inlineStr">
        <is>
          <t>BOS</t>
        </is>
      </c>
      <c r="D2415" s="9" t="n">
        <v>25</v>
      </c>
      <c r="E2415" s="16" t="inlineStr">
        <is>
          <t>L</t>
        </is>
      </c>
      <c r="F2415" s="16" t="n"/>
      <c r="G2415" s="9" t="n">
        <v>133.1794871794872</v>
      </c>
      <c r="H2415" s="9" t="n">
        <v>133.1794871794872</v>
      </c>
      <c r="I2415" s="9" t="inlineStr">
        <is>
          <t>Depth (no MLB PA)</t>
        </is>
      </c>
      <c r="J2415" s="16" t="inlineStr">
        <is>
          <t>Opening Day</t>
        </is>
      </c>
      <c r="K2415" s="11">
        <f>IFERROR(INDEX(Roles!$B$17:$B$20,MATCH(J2415,Roles!$A$17:$A$20,0)),1)</f>
        <v/>
      </c>
      <c r="L2415" s="17" t="n">
        <v>1</v>
      </c>
      <c r="M2415" s="11" t="n">
        <v>1</v>
      </c>
      <c r="N2415" s="17" t="n"/>
      <c r="O2415" s="17" t="n"/>
      <c r="P2415" s="17" t="n"/>
      <c r="Q2415" s="17" t="n"/>
      <c r="R2415" s="17" t="n"/>
      <c r="S2415" s="17" t="n"/>
      <c r="T2415" s="17" t="n"/>
      <c r="U2415" s="17" t="n"/>
      <c r="V2415" s="17" t="n"/>
      <c r="W2415" s="17" t="n"/>
      <c r="X2415" s="17" t="n"/>
      <c r="Y2415" s="17" t="n">
        <v>1</v>
      </c>
      <c r="Z2415" s="13">
        <f>SUMPRODUCT(N2415:Y2415,$N$2:$Y$2)*$K2415*$L2415*$M2415</f>
        <v/>
      </c>
      <c r="AA2415" s="14">
        <f>SUM(N2415:Y2415)</f>
        <v/>
      </c>
      <c r="AB2415" s="14">
        <f>IFERROR(IF(UPPER($E2415)="L",SUMPRODUCT(N2415:Y2415,$N$3:$Y$3,$N$2:$Y$2),SUMPRODUCT(N2415:Y2415,$N$4:$Y$4,$N$2:$Y$2))/(Z2415/($K2415*$L2415*$M2415)),"")</f>
        <v/>
      </c>
      <c r="AC2415" s="18" t="n"/>
    </row>
    <row r="2416">
      <c r="A2416" s="9" t="n">
        <v>702601</v>
      </c>
      <c r="B2416" s="9" t="inlineStr">
        <is>
          <t>Lamar King Jr.</t>
        </is>
      </c>
      <c r="C2416" s="9" t="inlineStr">
        <is>
          <t>SD</t>
        </is>
      </c>
      <c r="D2416" s="9" t="n">
        <v>25</v>
      </c>
      <c r="E2416" s="16" t="inlineStr">
        <is>
          <t>R</t>
        </is>
      </c>
      <c r="F2416" s="16" t="n"/>
      <c r="G2416" s="9" t="n">
        <v>74.87179487179488</v>
      </c>
      <c r="H2416" s="9" t="n">
        <v>74.87179487179488</v>
      </c>
      <c r="I2416" s="9" t="inlineStr">
        <is>
          <t>Depth (no MLB PA)</t>
        </is>
      </c>
      <c r="J2416" s="16" t="inlineStr">
        <is>
          <t>Opening Day</t>
        </is>
      </c>
      <c r="K2416" s="11">
        <f>IFERROR(INDEX(Roles!$B$17:$B$20,MATCH(J2416,Roles!$A$17:$A$20,0)),1)</f>
        <v/>
      </c>
      <c r="L2416" s="17" t="n">
        <v>1</v>
      </c>
      <c r="M2416" s="11" t="n">
        <v>1</v>
      </c>
      <c r="N2416" s="17" t="n"/>
      <c r="O2416" s="17" t="n"/>
      <c r="P2416" s="17" t="n"/>
      <c r="Q2416" s="17" t="n"/>
      <c r="R2416" s="17" t="n"/>
      <c r="S2416" s="17" t="n"/>
      <c r="T2416" s="17" t="n"/>
      <c r="U2416" s="17" t="n"/>
      <c r="V2416" s="17" t="n"/>
      <c r="W2416" s="17" t="n"/>
      <c r="X2416" s="17" t="n"/>
      <c r="Y2416" s="17" t="n">
        <v>1</v>
      </c>
      <c r="Z2416" s="13">
        <f>SUMPRODUCT(N2416:Y2416,$N$2:$Y$2)*$K2416*$L2416*$M2416</f>
        <v/>
      </c>
      <c r="AA2416" s="14">
        <f>SUM(N2416:Y2416)</f>
        <v/>
      </c>
      <c r="AB2416" s="14">
        <f>IFERROR(IF(UPPER($E2416)="L",SUMPRODUCT(N2416:Y2416,$N$3:$Y$3,$N$2:$Y$2),SUMPRODUCT(N2416:Y2416,$N$4:$Y$4,$N$2:$Y$2))/(Z2416/($K2416*$L2416*$M2416)),"")</f>
        <v/>
      </c>
      <c r="AC2416" s="18" t="n"/>
    </row>
    <row r="2417">
      <c r="A2417" s="9" t="n">
        <v>804240</v>
      </c>
      <c r="B2417" s="9" t="inlineStr">
        <is>
          <t>Jacob Burke</t>
        </is>
      </c>
      <c r="C2417" s="9" t="inlineStr">
        <is>
          <t>CWS</t>
        </is>
      </c>
      <c r="D2417" s="9" t="n">
        <v>25</v>
      </c>
      <c r="E2417" s="16" t="inlineStr">
        <is>
          <t>R</t>
        </is>
      </c>
      <c r="F2417" s="16" t="n"/>
      <c r="G2417" s="9" t="n">
        <v>110.5641025641026</v>
      </c>
      <c r="H2417" s="9" t="n">
        <v>110.5641025641026</v>
      </c>
      <c r="I2417" s="9" t="inlineStr">
        <is>
          <t>Depth (no MLB PA)</t>
        </is>
      </c>
      <c r="J2417" s="16" t="inlineStr">
        <is>
          <t>Opening Day</t>
        </is>
      </c>
      <c r="K2417" s="11">
        <f>IFERROR(INDEX(Roles!$B$17:$B$20,MATCH(J2417,Roles!$A$17:$A$20,0)),1)</f>
        <v/>
      </c>
      <c r="L2417" s="17" t="n">
        <v>1</v>
      </c>
      <c r="M2417" s="11" t="n">
        <v>1</v>
      </c>
      <c r="N2417" s="17" t="n"/>
      <c r="O2417" s="17" t="n"/>
      <c r="P2417" s="17" t="n"/>
      <c r="Q2417" s="17" t="n"/>
      <c r="R2417" s="17" t="n"/>
      <c r="S2417" s="17" t="n"/>
      <c r="T2417" s="17" t="n"/>
      <c r="U2417" s="17" t="n"/>
      <c r="V2417" s="17" t="n"/>
      <c r="W2417" s="17" t="n"/>
      <c r="X2417" s="17" t="n"/>
      <c r="Y2417" s="17" t="n">
        <v>1</v>
      </c>
      <c r="Z2417" s="13">
        <f>SUMPRODUCT(N2417:Y2417,$N$2:$Y$2)*$K2417*$L2417*$M2417</f>
        <v/>
      </c>
      <c r="AA2417" s="14">
        <f>SUM(N2417:Y2417)</f>
        <v/>
      </c>
      <c r="AB2417" s="14">
        <f>IFERROR(IF(UPPER($E2417)="L",SUMPRODUCT(N2417:Y2417,$N$3:$Y$3,$N$2:$Y$2),SUMPRODUCT(N2417:Y2417,$N$4:$Y$4,$N$2:$Y$2))/(Z2417/($K2417*$L2417*$M2417)),"")</f>
        <v/>
      </c>
      <c r="AC2417" s="18" t="n"/>
    </row>
    <row r="2418">
      <c r="A2418" s="9" t="n">
        <v>822966</v>
      </c>
      <c r="B2418" s="9" t="inlineStr">
        <is>
          <t>John Taylor</t>
        </is>
      </c>
      <c r="C2418" s="9" t="inlineStr">
        <is>
          <t>TEX</t>
        </is>
      </c>
      <c r="D2418" s="9" t="n">
        <v>25</v>
      </c>
      <c r="E2418" s="16" t="inlineStr">
        <is>
          <t>L</t>
        </is>
      </c>
      <c r="F2418" s="16" t="n"/>
      <c r="G2418" s="9" t="n">
        <v>207.0256410256411</v>
      </c>
      <c r="H2418" s="9" t="n">
        <v>207.0256410256411</v>
      </c>
      <c r="I2418" s="9" t="inlineStr">
        <is>
          <t>Depth (no MLB PA)</t>
        </is>
      </c>
      <c r="J2418" s="16" t="inlineStr">
        <is>
          <t>Opening Day</t>
        </is>
      </c>
      <c r="K2418" s="11">
        <f>IFERROR(INDEX(Roles!$B$17:$B$20,MATCH(J2418,Roles!$A$17:$A$20,0)),1)</f>
        <v/>
      </c>
      <c r="L2418" s="17" t="n">
        <v>1</v>
      </c>
      <c r="M2418" s="11" t="n">
        <v>1</v>
      </c>
      <c r="N2418" s="17" t="n"/>
      <c r="O2418" s="17" t="n"/>
      <c r="P2418" s="17" t="n"/>
      <c r="Q2418" s="17" t="n"/>
      <c r="R2418" s="17" t="n"/>
      <c r="S2418" s="17" t="n"/>
      <c r="T2418" s="17" t="n"/>
      <c r="U2418" s="17" t="n"/>
      <c r="V2418" s="17" t="n"/>
      <c r="W2418" s="17" t="n"/>
      <c r="X2418" s="17" t="n"/>
      <c r="Y2418" s="17" t="n">
        <v>1</v>
      </c>
      <c r="Z2418" s="13">
        <f>SUMPRODUCT(N2418:Y2418,$N$2:$Y$2)*$K2418*$L2418*$M2418</f>
        <v/>
      </c>
      <c r="AA2418" s="14">
        <f>SUM(N2418:Y2418)</f>
        <v/>
      </c>
      <c r="AB2418" s="14">
        <f>IFERROR(IF(UPPER($E2418)="L",SUMPRODUCT(N2418:Y2418,$N$3:$Y$3,$N$2:$Y$2),SUMPRODUCT(N2418:Y2418,$N$4:$Y$4,$N$2:$Y$2))/(Z2418/($K2418*$L2418*$M2418)),"")</f>
        <v/>
      </c>
      <c r="AC2418" s="18" t="n"/>
    </row>
    <row r="2419">
      <c r="A2419" s="9" t="n">
        <v>689414</v>
      </c>
      <c r="B2419" s="9" t="inlineStr">
        <is>
          <t>Liam Hicks</t>
        </is>
      </c>
      <c r="C2419" s="9" t="inlineStr">
        <is>
          <t>TB</t>
        </is>
      </c>
      <c r="D2419" s="9" t="n">
        <v>28</v>
      </c>
      <c r="E2419" s="16" t="inlineStr">
        <is>
          <t>L</t>
        </is>
      </c>
      <c r="F2419" s="16" t="inlineStr">
        <is>
          <t>C</t>
        </is>
      </c>
      <c r="G2419" s="9" t="n">
        <v>554</v>
      </c>
      <c r="H2419" s="9" t="n">
        <v>944</v>
      </c>
      <c r="I2419" s="9" t="inlineStr">
        <is>
          <t>Strong Side Platoon</t>
        </is>
      </c>
      <c r="J2419" s="16" t="inlineStr">
        <is>
          <t>Opening Day</t>
        </is>
      </c>
      <c r="K2419" s="11">
        <f>IFERROR(INDEX(Roles!$B$17:$B$20,MATCH(J2419,Roles!$A$17:$A$20,0)),1)</f>
        <v/>
      </c>
      <c r="L2419" s="17" t="n">
        <v>1</v>
      </c>
      <c r="M2419" s="11" t="n">
        <v>1.08332085006109</v>
      </c>
      <c r="N2419" s="17" t="n"/>
      <c r="O2419" s="17" t="n"/>
      <c r="P2419" s="17" t="n">
        <v>0.6</v>
      </c>
      <c r="Q2419" s="17" t="n"/>
      <c r="R2419" s="17" t="n">
        <v>0.4</v>
      </c>
      <c r="S2419" s="17" t="n"/>
      <c r="T2419" s="17" t="n"/>
      <c r="U2419" s="17" t="n"/>
      <c r="V2419" s="17" t="n"/>
      <c r="W2419" s="17" t="n"/>
      <c r="X2419" s="17" t="n"/>
      <c r="Y2419" s="17" t="n"/>
      <c r="Z2419" s="13">
        <f>SUMPRODUCT(N2419:Y2419,$N$2:$Y$2)*$K2419*$L2419*$M2419</f>
        <v/>
      </c>
      <c r="AA2419" s="14">
        <f>SUM(N2419:Y2419)</f>
        <v/>
      </c>
      <c r="AB2419" s="14">
        <f>IFERROR(IF(UPPER($E2419)="L",SUMPRODUCT(N2419:Y2419,$N$3:$Y$3,$N$2:$Y$2),SUMPRODUCT(N2419:Y2419,$N$4:$Y$4,$N$2:$Y$2))/(Z2419/($K2419*$L2419*$M2419)),"")</f>
        <v/>
      </c>
      <c r="AC2419" s="18" t="n"/>
    </row>
    <row r="2420">
      <c r="A2420" s="9" t="n">
        <v>700032</v>
      </c>
      <c r="B2420" s="9" t="inlineStr">
        <is>
          <t>Victor Labrada</t>
        </is>
      </c>
      <c r="C2420" s="9" t="inlineStr">
        <is>
          <t>SEA</t>
        </is>
      </c>
      <c r="D2420" s="9" t="n">
        <v>25</v>
      </c>
      <c r="E2420" s="16" t="inlineStr">
        <is>
          <t>L</t>
        </is>
      </c>
      <c r="F2420" s="16" t="n"/>
      <c r="G2420" s="9" t="n">
        <v>269.0769230769231</v>
      </c>
      <c r="H2420" s="9" t="n">
        <v>269.0769230769231</v>
      </c>
      <c r="I2420" s="9" t="inlineStr">
        <is>
          <t>Depth (no MLB PA)</t>
        </is>
      </c>
      <c r="J2420" s="16" t="inlineStr">
        <is>
          <t>Opening Day</t>
        </is>
      </c>
      <c r="K2420" s="11">
        <f>IFERROR(INDEX(Roles!$B$17:$B$20,MATCH(J2420,Roles!$A$17:$A$20,0)),1)</f>
        <v/>
      </c>
      <c r="L2420" s="17" t="n">
        <v>1</v>
      </c>
      <c r="M2420" s="11" t="n">
        <v>1</v>
      </c>
      <c r="N2420" s="17" t="n"/>
      <c r="O2420" s="17" t="n"/>
      <c r="P2420" s="17" t="n"/>
      <c r="Q2420" s="17" t="n"/>
      <c r="R2420" s="17" t="n"/>
      <c r="S2420" s="17" t="n"/>
      <c r="T2420" s="17" t="n"/>
      <c r="U2420" s="17" t="n"/>
      <c r="V2420" s="17" t="n"/>
      <c r="W2420" s="17" t="n"/>
      <c r="X2420" s="17" t="n"/>
      <c r="Y2420" s="17" t="n">
        <v>1</v>
      </c>
      <c r="Z2420" s="13">
        <f>SUMPRODUCT(N2420:Y2420,$N$2:$Y$2)*$K2420*$L2420*$M2420</f>
        <v/>
      </c>
      <c r="AA2420" s="14">
        <f>SUM(N2420:Y2420)</f>
        <v/>
      </c>
      <c r="AB2420" s="14">
        <f>IFERROR(IF(UPPER($E2420)="L",SUMPRODUCT(N2420:Y2420,$N$3:$Y$3,$N$2:$Y$2),SUMPRODUCT(N2420:Y2420,$N$4:$Y$4,$N$2:$Y$2))/(Z2420/($K2420*$L2420*$M2420)),"")</f>
        <v/>
      </c>
      <c r="AC2420" s="18" t="n"/>
    </row>
    <row r="2421">
      <c r="A2421" s="9" t="n">
        <v>691285</v>
      </c>
      <c r="B2421" s="9" t="inlineStr">
        <is>
          <t>Junior Franco</t>
        </is>
      </c>
      <c r="C2421" s="9" t="inlineStr">
        <is>
          <t>ARI</t>
        </is>
      </c>
      <c r="D2421" s="9" t="n">
        <v>25</v>
      </c>
      <c r="E2421" s="16" t="inlineStr">
        <is>
          <t>L</t>
        </is>
      </c>
      <c r="F2421" s="16" t="n"/>
      <c r="G2421" s="9" t="n">
        <v>130.6666666666667</v>
      </c>
      <c r="H2421" s="9" t="n">
        <v>130.6666666666667</v>
      </c>
      <c r="I2421" s="9" t="inlineStr">
        <is>
          <t>Depth (no MLB PA)</t>
        </is>
      </c>
      <c r="J2421" s="16" t="inlineStr">
        <is>
          <t>Opening Day</t>
        </is>
      </c>
      <c r="K2421" s="11">
        <f>IFERROR(INDEX(Roles!$B$17:$B$20,MATCH(J2421,Roles!$A$17:$A$20,0)),1)</f>
        <v/>
      </c>
      <c r="L2421" s="17" t="n">
        <v>1</v>
      </c>
      <c r="M2421" s="11" t="n">
        <v>1</v>
      </c>
      <c r="N2421" s="17" t="n"/>
      <c r="O2421" s="17" t="n"/>
      <c r="P2421" s="17" t="n"/>
      <c r="Q2421" s="17" t="n"/>
      <c r="R2421" s="17" t="n"/>
      <c r="S2421" s="17" t="n"/>
      <c r="T2421" s="17" t="n"/>
      <c r="U2421" s="17" t="n"/>
      <c r="V2421" s="17" t="n"/>
      <c r="W2421" s="17" t="n"/>
      <c r="X2421" s="17" t="n"/>
      <c r="Y2421" s="17" t="n">
        <v>1</v>
      </c>
      <c r="Z2421" s="13">
        <f>SUMPRODUCT(N2421:Y2421,$N$2:$Y$2)*$K2421*$L2421*$M2421</f>
        <v/>
      </c>
      <c r="AA2421" s="14">
        <f>SUM(N2421:Y2421)</f>
        <v/>
      </c>
      <c r="AB2421" s="14">
        <f>IFERROR(IF(UPPER($E2421)="L",SUMPRODUCT(N2421:Y2421,$N$3:$Y$3,$N$2:$Y$2),SUMPRODUCT(N2421:Y2421,$N$4:$Y$4,$N$2:$Y$2))/(Z2421/($K2421*$L2421*$M2421)),"")</f>
        <v/>
      </c>
      <c r="AC2421" s="18" t="n"/>
    </row>
    <row r="2422">
      <c r="A2422" s="9" t="n">
        <v>804614</v>
      </c>
      <c r="B2422" s="9" t="inlineStr">
        <is>
          <t>Marco Vargas</t>
        </is>
      </c>
      <c r="C2422" s="9" t="inlineStr">
        <is>
          <t>NYM</t>
        </is>
      </c>
      <c r="D2422" s="9" t="n">
        <v>25</v>
      </c>
      <c r="E2422" s="16" t="inlineStr">
        <is>
          <t>L</t>
        </is>
      </c>
      <c r="F2422" s="16" t="n"/>
      <c r="G2422" s="9" t="n">
        <v>84.71794871794872</v>
      </c>
      <c r="H2422" s="9" t="n">
        <v>84.71794871794872</v>
      </c>
      <c r="I2422" s="9" t="inlineStr">
        <is>
          <t>Depth (no MLB PA)</t>
        </is>
      </c>
      <c r="J2422" s="16" t="inlineStr">
        <is>
          <t>Opening Day</t>
        </is>
      </c>
      <c r="K2422" s="11">
        <f>IFERROR(INDEX(Roles!$B$17:$B$20,MATCH(J2422,Roles!$A$17:$A$20,0)),1)</f>
        <v/>
      </c>
      <c r="L2422" s="17" t="n">
        <v>1</v>
      </c>
      <c r="M2422" s="11" t="n">
        <v>1</v>
      </c>
      <c r="N2422" s="17" t="n"/>
      <c r="O2422" s="17" t="n"/>
      <c r="P2422" s="17" t="n"/>
      <c r="Q2422" s="17" t="n"/>
      <c r="R2422" s="17" t="n"/>
      <c r="S2422" s="17" t="n"/>
      <c r="T2422" s="17" t="n"/>
      <c r="U2422" s="17" t="n"/>
      <c r="V2422" s="17" t="n"/>
      <c r="W2422" s="17" t="n"/>
      <c r="X2422" s="17" t="n"/>
      <c r="Y2422" s="17" t="n">
        <v>1</v>
      </c>
      <c r="Z2422" s="13">
        <f>SUMPRODUCT(N2422:Y2422,$N$2:$Y$2)*$K2422*$L2422*$M2422</f>
        <v/>
      </c>
      <c r="AA2422" s="14">
        <f>SUM(N2422:Y2422)</f>
        <v/>
      </c>
      <c r="AB2422" s="14">
        <f>IFERROR(IF(UPPER($E2422)="L",SUMPRODUCT(N2422:Y2422,$N$3:$Y$3,$N$2:$Y$2),SUMPRODUCT(N2422:Y2422,$N$4:$Y$4,$N$2:$Y$2))/(Z2422/($K2422*$L2422*$M2422)),"")</f>
        <v/>
      </c>
      <c r="AC2422" s="18" t="n"/>
    </row>
    <row r="2423">
      <c r="A2423" s="9" t="n">
        <v>679881</v>
      </c>
      <c r="B2423" s="9" t="inlineStr">
        <is>
          <t>J.P. Martínez</t>
        </is>
      </c>
      <c r="C2423" s="9" t="inlineStr">
        <is>
          <t>TEX</t>
        </is>
      </c>
      <c r="D2423" s="9" t="n">
        <v>31</v>
      </c>
      <c r="E2423" s="16" t="inlineStr">
        <is>
          <t>L</t>
        </is>
      </c>
      <c r="F2423" s="16" t="inlineStr">
        <is>
          <t>RF</t>
        </is>
      </c>
      <c r="G2423" s="9" t="n">
        <v>10</v>
      </c>
      <c r="H2423" s="9" t="n">
        <v>54</v>
      </c>
      <c r="I2423" s="9" t="inlineStr">
        <is>
          <t>Depth (no MLB PA)</t>
        </is>
      </c>
      <c r="J2423" s="16" t="inlineStr">
        <is>
          <t>Opening Day</t>
        </is>
      </c>
      <c r="K2423" s="11">
        <f>IFERROR(INDEX(Roles!$B$17:$B$20,MATCH(J2423,Roles!$A$17:$A$20,0)),1)</f>
        <v/>
      </c>
      <c r="L2423" s="17" t="n">
        <v>1</v>
      </c>
      <c r="M2423" s="11" t="n">
        <v>1</v>
      </c>
      <c r="N2423" s="17" t="n"/>
      <c r="O2423" s="17" t="n"/>
      <c r="P2423" s="17" t="n"/>
      <c r="Q2423" s="17" t="n"/>
      <c r="R2423" s="17" t="n"/>
      <c r="S2423" s="17" t="n"/>
      <c r="T2423" s="17" t="n"/>
      <c r="U2423" s="17" t="n"/>
      <c r="V2423" s="17" t="n"/>
      <c r="W2423" s="17" t="n"/>
      <c r="X2423" s="17" t="n"/>
      <c r="Y2423" s="17" t="n">
        <v>1</v>
      </c>
      <c r="Z2423" s="13">
        <f>SUMPRODUCT(N2423:Y2423,$N$2:$Y$2)*$K2423*$L2423*$M2423</f>
        <v/>
      </c>
      <c r="AA2423" s="14">
        <f>SUM(N2423:Y2423)</f>
        <v/>
      </c>
      <c r="AB2423" s="14">
        <f>IFERROR(IF(UPPER($E2423)="L",SUMPRODUCT(N2423:Y2423,$N$3:$Y$3,$N$2:$Y$2),SUMPRODUCT(N2423:Y2423,$N$4:$Y$4,$N$2:$Y$2))/(Z2423/($K2423*$L2423*$M2423)),"")</f>
        <v/>
      </c>
      <c r="AC2423" s="18" t="n"/>
    </row>
    <row r="2424">
      <c r="A2424" s="9" t="n">
        <v>686676</v>
      </c>
      <c r="B2424" s="9" t="inlineStr">
        <is>
          <t>Korey Lee</t>
        </is>
      </c>
      <c r="C2424" s="9" t="inlineStr">
        <is>
          <t>CWS</t>
        </is>
      </c>
      <c r="D2424" s="9" t="n">
        <v>28</v>
      </c>
      <c r="E2424" s="16" t="inlineStr">
        <is>
          <t>R</t>
        </is>
      </c>
      <c r="F2424" s="16" t="inlineStr">
        <is>
          <t>C</t>
        </is>
      </c>
      <c r="G2424" s="9" t="n">
        <v>40</v>
      </c>
      <c r="H2424" s="9" t="n">
        <v>530</v>
      </c>
      <c r="I2424" s="9" t="inlineStr">
        <is>
          <t>Catcher - Backup</t>
        </is>
      </c>
      <c r="J2424" s="16" t="inlineStr">
        <is>
          <t>Opening Day</t>
        </is>
      </c>
      <c r="K2424" s="11">
        <f>IFERROR(INDEX(Roles!$B$17:$B$20,MATCH(J2424,Roles!$A$17:$A$20,0)),1)</f>
        <v/>
      </c>
      <c r="L2424" s="17" t="n">
        <v>1</v>
      </c>
      <c r="M2424" s="11" t="n">
        <v>1.041753903212299</v>
      </c>
      <c r="N2424" s="17" t="n"/>
      <c r="O2424" s="17" t="n"/>
      <c r="P2424" s="17" t="n"/>
      <c r="Q2424" s="17" t="n"/>
      <c r="R2424" s="17" t="n"/>
      <c r="S2424" s="17" t="n"/>
      <c r="T2424" s="17" t="n">
        <v>1</v>
      </c>
      <c r="U2424" s="17" t="n"/>
      <c r="V2424" s="17" t="n"/>
      <c r="W2424" s="17" t="n"/>
      <c r="X2424" s="17" t="n"/>
      <c r="Y2424" s="17" t="n"/>
      <c r="Z2424" s="13">
        <f>SUMPRODUCT(N2424:Y2424,$N$2:$Y$2)*$K2424*$L2424*$M2424</f>
        <v/>
      </c>
      <c r="AA2424" s="14">
        <f>SUM(N2424:Y2424)</f>
        <v/>
      </c>
      <c r="AB2424" s="14">
        <f>IFERROR(IF(UPPER($E2424)="L",SUMPRODUCT(N2424:Y2424,$N$3:$Y$3,$N$2:$Y$2),SUMPRODUCT(N2424:Y2424,$N$4:$Y$4,$N$2:$Y$2))/(Z2424/($K2424*$L2424*$M2424)),"")</f>
        <v/>
      </c>
      <c r="AC2424" s="18" t="n"/>
    </row>
    <row r="2425">
      <c r="A2425" s="9" t="n">
        <v>808285</v>
      </c>
      <c r="B2425" s="9" t="inlineStr">
        <is>
          <t>Alberth Palma</t>
        </is>
      </c>
      <c r="C2425" s="9" t="inlineStr">
        <is>
          <t>TB</t>
        </is>
      </c>
      <c r="D2425" s="9" t="n">
        <v>25</v>
      </c>
      <c r="E2425" s="16" t="inlineStr">
        <is>
          <t>R</t>
        </is>
      </c>
      <c r="F2425" s="16" t="n"/>
      <c r="G2425" s="9" t="n">
        <v>57.84615384615384</v>
      </c>
      <c r="H2425" s="9" t="n">
        <v>57.84615384615384</v>
      </c>
      <c r="I2425" s="9" t="inlineStr">
        <is>
          <t>Depth (no MLB PA)</t>
        </is>
      </c>
      <c r="J2425" s="16" t="inlineStr">
        <is>
          <t>Opening Day</t>
        </is>
      </c>
      <c r="K2425" s="11">
        <f>IFERROR(INDEX(Roles!$B$17:$B$20,MATCH(J2425,Roles!$A$17:$A$20,0)),1)</f>
        <v/>
      </c>
      <c r="L2425" s="17" t="n">
        <v>1</v>
      </c>
      <c r="M2425" s="11" t="n">
        <v>1</v>
      </c>
      <c r="N2425" s="17" t="n"/>
      <c r="O2425" s="17" t="n"/>
      <c r="P2425" s="17" t="n"/>
      <c r="Q2425" s="17" t="n"/>
      <c r="R2425" s="17" t="n"/>
      <c r="S2425" s="17" t="n"/>
      <c r="T2425" s="17" t="n"/>
      <c r="U2425" s="17" t="n"/>
      <c r="V2425" s="17" t="n"/>
      <c r="W2425" s="17" t="n"/>
      <c r="X2425" s="17" t="n"/>
      <c r="Y2425" s="17" t="n">
        <v>1</v>
      </c>
      <c r="Z2425" s="13">
        <f>SUMPRODUCT(N2425:Y2425,$N$2:$Y$2)*$K2425*$L2425*$M2425</f>
        <v/>
      </c>
      <c r="AA2425" s="14">
        <f>SUM(N2425:Y2425)</f>
        <v/>
      </c>
      <c r="AB2425" s="14">
        <f>IFERROR(IF(UPPER($E2425)="L",SUMPRODUCT(N2425:Y2425,$N$3:$Y$3,$N$2:$Y$2),SUMPRODUCT(N2425:Y2425,$N$4:$Y$4,$N$2:$Y$2))/(Z2425/($K2425*$L2425*$M2425)),"")</f>
        <v/>
      </c>
      <c r="AC2425" s="18" t="n"/>
    </row>
    <row r="2426">
      <c r="A2426" s="9" t="n">
        <v>828262</v>
      </c>
      <c r="B2426" s="9" t="inlineStr">
        <is>
          <t>Jaden Fauske</t>
        </is>
      </c>
      <c r="C2426" s="9" t="inlineStr">
        <is>
          <t>CWS</t>
        </is>
      </c>
      <c r="D2426" s="9" t="n">
        <v>21</v>
      </c>
      <c r="E2426" s="16" t="inlineStr">
        <is>
          <t>L</t>
        </is>
      </c>
      <c r="F2426" s="16" t="n"/>
      <c r="G2426" s="9" t="n">
        <v>65.23076923076924</v>
      </c>
      <c r="H2426" s="9" t="n">
        <v>65.23076923076924</v>
      </c>
      <c r="I2426" s="9" t="inlineStr">
        <is>
          <t>Depth (no MLB PA)</t>
        </is>
      </c>
      <c r="J2426" s="16" t="inlineStr">
        <is>
          <t>Opening Day</t>
        </is>
      </c>
      <c r="K2426" s="11">
        <f>IFERROR(INDEX(Roles!$B$17:$B$20,MATCH(J2426,Roles!$A$17:$A$20,0)),1)</f>
        <v/>
      </c>
      <c r="L2426" s="17" t="n">
        <v>1</v>
      </c>
      <c r="M2426" s="11" t="n">
        <v>1</v>
      </c>
      <c r="N2426" s="17" t="n"/>
      <c r="O2426" s="17" t="n"/>
      <c r="P2426" s="17" t="n"/>
      <c r="Q2426" s="17" t="n"/>
      <c r="R2426" s="17" t="n"/>
      <c r="S2426" s="17" t="n"/>
      <c r="T2426" s="17" t="n"/>
      <c r="U2426" s="17" t="n"/>
      <c r="V2426" s="17" t="n"/>
      <c r="W2426" s="17" t="n"/>
      <c r="X2426" s="17" t="n"/>
      <c r="Y2426" s="17" t="n">
        <v>1</v>
      </c>
      <c r="Z2426" s="13">
        <f>SUMPRODUCT(N2426:Y2426,$N$2:$Y$2)*$K2426*$L2426*$M2426</f>
        <v/>
      </c>
      <c r="AA2426" s="14">
        <f>SUM(N2426:Y2426)</f>
        <v/>
      </c>
      <c r="AB2426" s="14">
        <f>IFERROR(IF(UPPER($E2426)="L",SUMPRODUCT(N2426:Y2426,$N$3:$Y$3,$N$2:$Y$2),SUMPRODUCT(N2426:Y2426,$N$4:$Y$4,$N$2:$Y$2))/(Z2426/($K2426*$L2426*$M2426)),"")</f>
        <v/>
      </c>
      <c r="AC2426" s="18" t="n"/>
    </row>
    <row r="2427">
      <c r="A2427" s="9" t="n">
        <v>647351</v>
      </c>
      <c r="B2427" s="9" t="inlineStr">
        <is>
          <t>Abraham Toro</t>
        </is>
      </c>
      <c r="C2427" s="9" t="inlineStr">
        <is>
          <t>BOS</t>
        </is>
      </c>
      <c r="D2427" s="9" t="n">
        <v>30</v>
      </c>
      <c r="E2427" s="16" t="inlineStr">
        <is>
          <t>S</t>
        </is>
      </c>
      <c r="F2427" s="16" t="inlineStr">
        <is>
          <t>1B</t>
        </is>
      </c>
      <c r="G2427" s="9" t="n">
        <v>284</v>
      </c>
      <c r="H2427" s="9" t="n">
        <v>1021</v>
      </c>
      <c r="I2427" s="9" t="inlineStr">
        <is>
          <t>Utility IF</t>
        </is>
      </c>
      <c r="J2427" s="16" t="inlineStr">
        <is>
          <t>Opening Day</t>
        </is>
      </c>
      <c r="K2427" s="11">
        <f>IFERROR(INDEX(Roles!$B$17:$B$20,MATCH(J2427,Roles!$A$17:$A$20,0)),1)</f>
        <v/>
      </c>
      <c r="L2427" s="17" t="n">
        <v>1</v>
      </c>
      <c r="M2427" s="11" t="n">
        <v>1</v>
      </c>
      <c r="N2427" s="17" t="n"/>
      <c r="O2427" s="17" t="n"/>
      <c r="P2427" s="17" t="n"/>
      <c r="Q2427" s="17" t="n"/>
      <c r="R2427" s="17" t="n"/>
      <c r="S2427" s="17" t="n"/>
      <c r="T2427" s="17" t="n"/>
      <c r="U2427" s="17" t="n">
        <v>1</v>
      </c>
      <c r="V2427" s="17" t="n"/>
      <c r="W2427" s="17" t="n"/>
      <c r="X2427" s="17" t="n"/>
      <c r="Y2427" s="17" t="n"/>
      <c r="Z2427" s="13">
        <f>SUMPRODUCT(N2427:Y2427,$N$2:$Y$2)*$K2427*$L2427*$M2427</f>
        <v/>
      </c>
      <c r="AA2427" s="14">
        <f>SUM(N2427:Y2427)</f>
        <v/>
      </c>
      <c r="AB2427" s="14">
        <f>IFERROR(IF(UPPER($E2427)="L",SUMPRODUCT(N2427:Y2427,$N$3:$Y$3,$N$2:$Y$2),SUMPRODUCT(N2427:Y2427,$N$4:$Y$4,$N$2:$Y$2))/(Z2427/($K2427*$L2427*$M2427)),"")</f>
        <v/>
      </c>
      <c r="AC2427" s="18" t="n"/>
    </row>
    <row r="2428">
      <c r="A2428" s="9" t="n">
        <v>682679</v>
      </c>
      <c r="B2428" s="9" t="inlineStr">
        <is>
          <t>Dayan Frias</t>
        </is>
      </c>
      <c r="C2428" s="9" t="inlineStr">
        <is>
          <t>CLE</t>
        </is>
      </c>
      <c r="D2428" s="9" t="n">
        <v>25</v>
      </c>
      <c r="E2428" s="16" t="inlineStr">
        <is>
          <t>S</t>
        </is>
      </c>
      <c r="F2428" s="16" t="n"/>
      <c r="G2428" s="9" t="n">
        <v>191.7948717948719</v>
      </c>
      <c r="H2428" s="9" t="n">
        <v>191.7948717948719</v>
      </c>
      <c r="I2428" s="9" t="inlineStr">
        <is>
          <t>Depth (no MLB PA)</t>
        </is>
      </c>
      <c r="J2428" s="16" t="inlineStr">
        <is>
          <t>Opening Day</t>
        </is>
      </c>
      <c r="K2428" s="11">
        <f>IFERROR(INDEX(Roles!$B$17:$B$20,MATCH(J2428,Roles!$A$17:$A$20,0)),1)</f>
        <v/>
      </c>
      <c r="L2428" s="17" t="n">
        <v>1</v>
      </c>
      <c r="M2428" s="11" t="n">
        <v>1</v>
      </c>
      <c r="N2428" s="17" t="n"/>
      <c r="O2428" s="17" t="n"/>
      <c r="P2428" s="17" t="n"/>
      <c r="Q2428" s="17" t="n"/>
      <c r="R2428" s="17" t="n"/>
      <c r="S2428" s="17" t="n"/>
      <c r="T2428" s="17" t="n"/>
      <c r="U2428" s="17" t="n"/>
      <c r="V2428" s="17" t="n"/>
      <c r="W2428" s="17" t="n"/>
      <c r="X2428" s="17" t="n"/>
      <c r="Y2428" s="17" t="n">
        <v>1</v>
      </c>
      <c r="Z2428" s="13">
        <f>SUMPRODUCT(N2428:Y2428,$N$2:$Y$2)*$K2428*$L2428*$M2428</f>
        <v/>
      </c>
      <c r="AA2428" s="14">
        <f>SUM(N2428:Y2428)</f>
        <v/>
      </c>
      <c r="AB2428" s="14">
        <f>IFERROR(IF(UPPER($E2428)="L",SUMPRODUCT(N2428:Y2428,$N$3:$Y$3,$N$2:$Y$2),SUMPRODUCT(N2428:Y2428,$N$4:$Y$4,$N$2:$Y$2))/(Z2428/($K2428*$L2428*$M2428)),"")</f>
        <v/>
      </c>
      <c r="AC2428" s="18" t="n"/>
    </row>
    <row r="2429">
      <c r="A2429" s="9" t="n">
        <v>809143</v>
      </c>
      <c r="B2429" s="9" t="inlineStr">
        <is>
          <t>Kyle Walker</t>
        </is>
      </c>
      <c r="C2429" s="9" t="inlineStr">
        <is>
          <t>HOU</t>
        </is>
      </c>
      <c r="D2429" s="9" t="n">
        <v>25</v>
      </c>
      <c r="E2429" s="16" t="inlineStr">
        <is>
          <t>R</t>
        </is>
      </c>
      <c r="F2429" s="16" t="n"/>
      <c r="G2429" s="9" t="n">
        <v>84.30769230769232</v>
      </c>
      <c r="H2429" s="9" t="n">
        <v>84.30769230769232</v>
      </c>
      <c r="I2429" s="9" t="inlineStr">
        <is>
          <t>Depth (no MLB PA)</t>
        </is>
      </c>
      <c r="J2429" s="16" t="inlineStr">
        <is>
          <t>Opening Day</t>
        </is>
      </c>
      <c r="K2429" s="11">
        <f>IFERROR(INDEX(Roles!$B$17:$B$20,MATCH(J2429,Roles!$A$17:$A$20,0)),1)</f>
        <v/>
      </c>
      <c r="L2429" s="17" t="n">
        <v>1</v>
      </c>
      <c r="M2429" s="11" t="n">
        <v>1</v>
      </c>
      <c r="N2429" s="17" t="n"/>
      <c r="O2429" s="17" t="n"/>
      <c r="P2429" s="17" t="n"/>
      <c r="Q2429" s="17" t="n"/>
      <c r="R2429" s="17" t="n"/>
      <c r="S2429" s="17" t="n"/>
      <c r="T2429" s="17" t="n"/>
      <c r="U2429" s="17" t="n"/>
      <c r="V2429" s="17" t="n"/>
      <c r="W2429" s="17" t="n"/>
      <c r="X2429" s="17" t="n"/>
      <c r="Y2429" s="17" t="n">
        <v>1</v>
      </c>
      <c r="Z2429" s="13">
        <f>SUMPRODUCT(N2429:Y2429,$N$2:$Y$2)*$K2429*$L2429*$M2429</f>
        <v/>
      </c>
      <c r="AA2429" s="14">
        <f>SUM(N2429:Y2429)</f>
        <v/>
      </c>
      <c r="AB2429" s="14">
        <f>IFERROR(IF(UPPER($E2429)="L",SUMPRODUCT(N2429:Y2429,$N$3:$Y$3,$N$2:$Y$2),SUMPRODUCT(N2429:Y2429,$N$4:$Y$4,$N$2:$Y$2))/(Z2429/($K2429*$L2429*$M2429)),"")</f>
        <v/>
      </c>
      <c r="AC2429" s="18" t="n"/>
    </row>
    <row r="2430">
      <c r="A2430" s="9" t="n">
        <v>813880</v>
      </c>
      <c r="B2430" s="9" t="inlineStr">
        <is>
          <t>Devin Saltiban</t>
        </is>
      </c>
      <c r="C2430" s="9" t="inlineStr">
        <is>
          <t>PHI</t>
        </is>
      </c>
      <c r="D2430" s="9" t="n">
        <v>25</v>
      </c>
      <c r="E2430" s="16" t="inlineStr">
        <is>
          <t>R</t>
        </is>
      </c>
      <c r="F2430" s="16" t="n"/>
      <c r="G2430" s="9" t="n">
        <v>92.1025641025641</v>
      </c>
      <c r="H2430" s="9" t="n">
        <v>92.1025641025641</v>
      </c>
      <c r="I2430" s="9" t="inlineStr">
        <is>
          <t>Depth (no MLB PA)</t>
        </is>
      </c>
      <c r="J2430" s="16" t="inlineStr">
        <is>
          <t>Opening Day</t>
        </is>
      </c>
      <c r="K2430" s="11">
        <f>IFERROR(INDEX(Roles!$B$17:$B$20,MATCH(J2430,Roles!$A$17:$A$20,0)),1)</f>
        <v/>
      </c>
      <c r="L2430" s="17" t="n">
        <v>1</v>
      </c>
      <c r="M2430" s="11" t="n">
        <v>1</v>
      </c>
      <c r="N2430" s="17" t="n"/>
      <c r="O2430" s="17" t="n"/>
      <c r="P2430" s="17" t="n"/>
      <c r="Q2430" s="17" t="n"/>
      <c r="R2430" s="17" t="n"/>
      <c r="S2430" s="17" t="n"/>
      <c r="T2430" s="17" t="n"/>
      <c r="U2430" s="17" t="n"/>
      <c r="V2430" s="17" t="n"/>
      <c r="W2430" s="17" t="n"/>
      <c r="X2430" s="17" t="n"/>
      <c r="Y2430" s="17" t="n">
        <v>1</v>
      </c>
      <c r="Z2430" s="13">
        <f>SUMPRODUCT(N2430:Y2430,$N$2:$Y$2)*$K2430*$L2430*$M2430</f>
        <v/>
      </c>
      <c r="AA2430" s="14">
        <f>SUM(N2430:Y2430)</f>
        <v/>
      </c>
      <c r="AB2430" s="14">
        <f>IFERROR(IF(UPPER($E2430)="L",SUMPRODUCT(N2430:Y2430,$N$3:$Y$3,$N$2:$Y$2),SUMPRODUCT(N2430:Y2430,$N$4:$Y$4,$N$2:$Y$2))/(Z2430/($K2430*$L2430*$M2430)),"")</f>
        <v/>
      </c>
      <c r="AC2430" s="18" t="n"/>
    </row>
    <row r="2431">
      <c r="A2431" s="9" t="n">
        <v>686793</v>
      </c>
      <c r="B2431" s="9" t="inlineStr">
        <is>
          <t>J.T. Arruda</t>
        </is>
      </c>
      <c r="C2431" s="9" t="inlineStr">
        <is>
          <t>TB</t>
        </is>
      </c>
      <c r="D2431" s="9" t="n">
        <v>25</v>
      </c>
      <c r="E2431" s="16" t="inlineStr">
        <is>
          <t>S</t>
        </is>
      </c>
      <c r="F2431" s="16" t="n"/>
      <c r="G2431" s="9" t="n">
        <v>117.3846153846154</v>
      </c>
      <c r="H2431" s="9" t="n">
        <v>117.3846153846154</v>
      </c>
      <c r="I2431" s="9" t="inlineStr">
        <is>
          <t>Depth (no MLB PA)</t>
        </is>
      </c>
      <c r="J2431" s="16" t="inlineStr">
        <is>
          <t>Opening Day</t>
        </is>
      </c>
      <c r="K2431" s="11">
        <f>IFERROR(INDEX(Roles!$B$17:$B$20,MATCH(J2431,Roles!$A$17:$A$20,0)),1)</f>
        <v/>
      </c>
      <c r="L2431" s="17" t="n">
        <v>1</v>
      </c>
      <c r="M2431" s="11" t="n">
        <v>1</v>
      </c>
      <c r="N2431" s="17" t="n"/>
      <c r="O2431" s="17" t="n"/>
      <c r="P2431" s="17" t="n"/>
      <c r="Q2431" s="17" t="n"/>
      <c r="R2431" s="17" t="n"/>
      <c r="S2431" s="17" t="n"/>
      <c r="T2431" s="17" t="n"/>
      <c r="U2431" s="17" t="n"/>
      <c r="V2431" s="17" t="n"/>
      <c r="W2431" s="17" t="n"/>
      <c r="X2431" s="17" t="n"/>
      <c r="Y2431" s="17" t="n">
        <v>1</v>
      </c>
      <c r="Z2431" s="13">
        <f>SUMPRODUCT(N2431:Y2431,$N$2:$Y$2)*$K2431*$L2431*$M2431</f>
        <v/>
      </c>
      <c r="AA2431" s="14">
        <f>SUM(N2431:Y2431)</f>
        <v/>
      </c>
      <c r="AB2431" s="14">
        <f>IFERROR(IF(UPPER($E2431)="L",SUMPRODUCT(N2431:Y2431,$N$3:$Y$3,$N$2:$Y$2),SUMPRODUCT(N2431:Y2431,$N$4:$Y$4,$N$2:$Y$2))/(Z2431/($K2431*$L2431*$M2431)),"")</f>
        <v/>
      </c>
      <c r="AC2431" s="18" t="n"/>
    </row>
    <row r="2432">
      <c r="A2432" s="9" t="n">
        <v>692568</v>
      </c>
      <c r="B2432" s="9" t="inlineStr">
        <is>
          <t>Miguel Ugueto</t>
        </is>
      </c>
      <c r="C2432" s="9" t="inlineStr">
        <is>
          <t>STL</t>
        </is>
      </c>
      <c r="D2432" s="9" t="n">
        <v>25</v>
      </c>
      <c r="E2432" s="16" t="inlineStr">
        <is>
          <t>R</t>
        </is>
      </c>
      <c r="F2432" s="16" t="n"/>
      <c r="G2432" s="9" t="n">
        <v>115.2307692307692</v>
      </c>
      <c r="H2432" s="9" t="n">
        <v>115.2307692307692</v>
      </c>
      <c r="I2432" s="9" t="inlineStr">
        <is>
          <t>Depth (no MLB PA)</t>
        </is>
      </c>
      <c r="J2432" s="16" t="inlineStr">
        <is>
          <t>Opening Day</t>
        </is>
      </c>
      <c r="K2432" s="11">
        <f>IFERROR(INDEX(Roles!$B$17:$B$20,MATCH(J2432,Roles!$A$17:$A$20,0)),1)</f>
        <v/>
      </c>
      <c r="L2432" s="17" t="n">
        <v>1</v>
      </c>
      <c r="M2432" s="11" t="n">
        <v>1</v>
      </c>
      <c r="N2432" s="17" t="n"/>
      <c r="O2432" s="17" t="n"/>
      <c r="P2432" s="17" t="n"/>
      <c r="Q2432" s="17" t="n"/>
      <c r="R2432" s="17" t="n"/>
      <c r="S2432" s="17" t="n"/>
      <c r="T2432" s="17" t="n"/>
      <c r="U2432" s="17" t="n"/>
      <c r="V2432" s="17" t="n"/>
      <c r="W2432" s="17" t="n"/>
      <c r="X2432" s="17" t="n"/>
      <c r="Y2432" s="17" t="n">
        <v>1</v>
      </c>
      <c r="Z2432" s="13">
        <f>SUMPRODUCT(N2432:Y2432,$N$2:$Y$2)*$K2432*$L2432*$M2432</f>
        <v/>
      </c>
      <c r="AA2432" s="14">
        <f>SUM(N2432:Y2432)</f>
        <v/>
      </c>
      <c r="AB2432" s="14">
        <f>IFERROR(IF(UPPER($E2432)="L",SUMPRODUCT(N2432:Y2432,$N$3:$Y$3,$N$2:$Y$2),SUMPRODUCT(N2432:Y2432,$N$4:$Y$4,$N$2:$Y$2))/(Z2432/($K2432*$L2432*$M2432)),"")</f>
        <v/>
      </c>
      <c r="AC2432" s="18" t="n"/>
    </row>
    <row r="2433">
      <c r="A2433" s="9" t="n">
        <v>811289</v>
      </c>
      <c r="B2433" s="9" t="inlineStr">
        <is>
          <t>Spencer Nivens</t>
        </is>
      </c>
      <c r="C2433" s="9" t="inlineStr">
        <is>
          <t>KC</t>
        </is>
      </c>
      <c r="D2433" s="9" t="n">
        <v>25</v>
      </c>
      <c r="E2433" s="16" t="inlineStr">
        <is>
          <t>L</t>
        </is>
      </c>
      <c r="F2433" s="16" t="n"/>
      <c r="G2433" s="9" t="n">
        <v>158.3076923076923</v>
      </c>
      <c r="H2433" s="9" t="n">
        <v>158.3076923076923</v>
      </c>
      <c r="I2433" s="9" t="inlineStr">
        <is>
          <t>Depth (no MLB PA)</t>
        </is>
      </c>
      <c r="J2433" s="16" t="inlineStr">
        <is>
          <t>Opening Day</t>
        </is>
      </c>
      <c r="K2433" s="11">
        <f>IFERROR(INDEX(Roles!$B$17:$B$20,MATCH(J2433,Roles!$A$17:$A$20,0)),1)</f>
        <v/>
      </c>
      <c r="L2433" s="17" t="n">
        <v>1</v>
      </c>
      <c r="M2433" s="11" t="n">
        <v>1</v>
      </c>
      <c r="N2433" s="17" t="n"/>
      <c r="O2433" s="17" t="n"/>
      <c r="P2433" s="17" t="n"/>
      <c r="Q2433" s="17" t="n"/>
      <c r="R2433" s="17" t="n"/>
      <c r="S2433" s="17" t="n"/>
      <c r="T2433" s="17" t="n"/>
      <c r="U2433" s="17" t="n"/>
      <c r="V2433" s="17" t="n"/>
      <c r="W2433" s="17" t="n"/>
      <c r="X2433" s="17" t="n"/>
      <c r="Y2433" s="17" t="n">
        <v>1</v>
      </c>
      <c r="Z2433" s="13">
        <f>SUMPRODUCT(N2433:Y2433,$N$2:$Y$2)*$K2433*$L2433*$M2433</f>
        <v/>
      </c>
      <c r="AA2433" s="14">
        <f>SUM(N2433:Y2433)</f>
        <v/>
      </c>
      <c r="AB2433" s="14">
        <f>IFERROR(IF(UPPER($E2433)="L",SUMPRODUCT(N2433:Y2433,$N$3:$Y$3,$N$2:$Y$2),SUMPRODUCT(N2433:Y2433,$N$4:$Y$4,$N$2:$Y$2))/(Z2433/($K2433*$L2433*$M2433)),"")</f>
        <v/>
      </c>
      <c r="AC2433" s="18" t="n"/>
    </row>
    <row r="2434">
      <c r="A2434" s="9" t="n">
        <v>664068</v>
      </c>
      <c r="B2434" s="9" t="inlineStr">
        <is>
          <t>Scott Kingery</t>
        </is>
      </c>
      <c r="C2434" s="9" t="inlineStr">
        <is>
          <t>LAA</t>
        </is>
      </c>
      <c r="D2434" s="9" t="n">
        <v>33</v>
      </c>
      <c r="E2434" s="16" t="inlineStr">
        <is>
          <t>R</t>
        </is>
      </c>
      <c r="F2434" s="16" t="inlineStr">
        <is>
          <t>3B</t>
        </is>
      </c>
      <c r="G2434" s="9" t="n">
        <v>4</v>
      </c>
      <c r="H2434" s="9" t="n">
        <v>33</v>
      </c>
      <c r="I2434" s="9" t="inlineStr">
        <is>
          <t>Bench Bat</t>
        </is>
      </c>
      <c r="J2434" s="16" t="inlineStr">
        <is>
          <t>Opening Day</t>
        </is>
      </c>
      <c r="K2434" s="11">
        <f>IFERROR(INDEX(Roles!$B$17:$B$20,MATCH(J2434,Roles!$A$17:$A$20,0)),1)</f>
        <v/>
      </c>
      <c r="L2434" s="17" t="n">
        <v>1</v>
      </c>
      <c r="M2434" s="11" t="n">
        <v>1</v>
      </c>
      <c r="N2434" s="17" t="n"/>
      <c r="O2434" s="17" t="n"/>
      <c r="P2434" s="17" t="n"/>
      <c r="Q2434" s="17" t="n"/>
      <c r="R2434" s="17" t="n"/>
      <c r="S2434" s="17" t="n"/>
      <c r="T2434" s="17" t="n"/>
      <c r="U2434" s="17" t="n"/>
      <c r="V2434" s="17" t="n"/>
      <c r="W2434" s="17" t="n">
        <v>1</v>
      </c>
      <c r="X2434" s="17" t="n"/>
      <c r="Y2434" s="17" t="n"/>
      <c r="Z2434" s="13">
        <f>SUMPRODUCT(N2434:Y2434,$N$2:$Y$2)*$K2434*$L2434*$M2434</f>
        <v/>
      </c>
      <c r="AA2434" s="14">
        <f>SUM(N2434:Y2434)</f>
        <v/>
      </c>
      <c r="AB2434" s="14">
        <f>IFERROR(IF(UPPER($E2434)="L",SUMPRODUCT(N2434:Y2434,$N$3:$Y$3,$N$2:$Y$2),SUMPRODUCT(N2434:Y2434,$N$4:$Y$4,$N$2:$Y$2))/(Z2434/($K2434*$L2434*$M2434)),"")</f>
        <v/>
      </c>
      <c r="AC2434" s="18" t="n"/>
    </row>
    <row r="2435">
      <c r="A2435" s="9" t="n">
        <v>806068</v>
      </c>
      <c r="B2435" s="9" t="inlineStr">
        <is>
          <t>Colt Emerson</t>
        </is>
      </c>
      <c r="C2435" s="9" t="inlineStr">
        <is>
          <t>SEA</t>
        </is>
      </c>
      <c r="D2435" s="9" t="n">
        <v>21</v>
      </c>
      <c r="E2435" s="16" t="inlineStr">
        <is>
          <t>L</t>
        </is>
      </c>
      <c r="F2435" s="16" t="inlineStr">
        <is>
          <t>SS</t>
        </is>
      </c>
      <c r="G2435" s="9" t="n">
        <v>241</v>
      </c>
      <c r="H2435" s="9" t="n">
        <v>241</v>
      </c>
      <c r="I2435" s="9" t="inlineStr">
        <is>
          <t>Bench Bat</t>
        </is>
      </c>
      <c r="J2435" s="16" t="inlineStr">
        <is>
          <t>Opening Day</t>
        </is>
      </c>
      <c r="K2435" s="11">
        <f>IFERROR(INDEX(Roles!$B$17:$B$20,MATCH(J2435,Roles!$A$17:$A$20,0)),1)</f>
        <v/>
      </c>
      <c r="L2435" s="17" t="n">
        <v>1</v>
      </c>
      <c r="M2435" s="11" t="n">
        <v>1</v>
      </c>
      <c r="N2435" s="17" t="n"/>
      <c r="O2435" s="17" t="n"/>
      <c r="P2435" s="17" t="n"/>
      <c r="Q2435" s="17" t="n"/>
      <c r="R2435" s="17" t="n"/>
      <c r="S2435" s="17" t="n"/>
      <c r="T2435" s="17" t="n"/>
      <c r="U2435" s="17" t="n"/>
      <c r="V2435" s="17" t="n"/>
      <c r="W2435" s="17" t="n">
        <v>0.85</v>
      </c>
      <c r="X2435" s="17" t="n">
        <v>0.15</v>
      </c>
      <c r="Y2435" s="17" t="n"/>
      <c r="Z2435" s="13">
        <f>SUMPRODUCT(N2435:Y2435,$N$2:$Y$2)*$K2435*$L2435*$M2435</f>
        <v/>
      </c>
      <c r="AA2435" s="14">
        <f>SUM(N2435:Y2435)</f>
        <v/>
      </c>
      <c r="AB2435" s="14">
        <f>IFERROR(IF(UPPER($E2435)="L",SUMPRODUCT(N2435:Y2435,$N$3:$Y$3,$N$2:$Y$2),SUMPRODUCT(N2435:Y2435,$N$4:$Y$4,$N$2:$Y$2))/(Z2435/($K2435*$L2435*$M2435)),"")</f>
        <v/>
      </c>
      <c r="AC2435" s="18" t="n"/>
    </row>
    <row r="2436">
      <c r="A2436" s="9" t="n">
        <v>703448</v>
      </c>
      <c r="B2436" s="9" t="inlineStr">
        <is>
          <t>Cam Cannarella</t>
        </is>
      </c>
      <c r="C2436" s="9" t="inlineStr">
        <is>
          <t>MIA</t>
        </is>
      </c>
      <c r="D2436" s="9" t="n">
        <v>24</v>
      </c>
      <c r="E2436" s="16" t="inlineStr">
        <is>
          <t>L</t>
        </is>
      </c>
      <c r="F2436" s="16" t="n"/>
      <c r="G2436" s="9" t="n">
        <v>114.5128205128205</v>
      </c>
      <c r="H2436" s="9" t="n">
        <v>114.5128205128205</v>
      </c>
      <c r="I2436" s="9" t="inlineStr">
        <is>
          <t>Bench Bat</t>
        </is>
      </c>
      <c r="J2436" s="16" t="inlineStr">
        <is>
          <t>Mid Season (~July)</t>
        </is>
      </c>
      <c r="K2436" s="11">
        <f>IFERROR(INDEX(Roles!$B$17:$B$20,MATCH(J2436,Roles!$A$17:$A$20,0)),1)</f>
        <v/>
      </c>
      <c r="L2436" s="17" t="n">
        <v>1</v>
      </c>
      <c r="M2436" s="11" t="n">
        <v>1</v>
      </c>
      <c r="N2436" s="17" t="n">
        <v>0.34</v>
      </c>
      <c r="O2436" s="17" t="n"/>
      <c r="P2436" s="17" t="n">
        <v>0.3</v>
      </c>
      <c r="Q2436" s="17" t="n"/>
      <c r="R2436" s="17" t="n"/>
      <c r="S2436" s="17" t="n"/>
      <c r="T2436" s="17" t="n"/>
      <c r="U2436" s="17" t="n"/>
      <c r="V2436" s="17" t="n"/>
      <c r="W2436" s="17" t="n">
        <v>0.36</v>
      </c>
      <c r="X2436" s="17" t="n"/>
      <c r="Y2436" s="17" t="n"/>
      <c r="Z2436" s="13">
        <f>SUMPRODUCT(N2436:Y2436,$N$2:$Y$2)*$K2436*$L2436*$M2436</f>
        <v/>
      </c>
      <c r="AA2436" s="14">
        <f>SUM(N2436:Y2436)</f>
        <v/>
      </c>
      <c r="AB2436" s="14">
        <f>IFERROR(IF(UPPER($E2436)="L",SUMPRODUCT(N2436:Y2436,$N$3:$Y$3,$N$2:$Y$2),SUMPRODUCT(N2436:Y2436,$N$4:$Y$4,$N$2:$Y$2))/(Z2436/($K2436*$L2436*$M2436)),"")</f>
        <v/>
      </c>
      <c r="AC2436" s="18" t="n"/>
    </row>
    <row r="2437">
      <c r="A2437" s="9" t="n">
        <v>815906</v>
      </c>
      <c r="B2437" s="9" t="inlineStr">
        <is>
          <t>Angel Feliz</t>
        </is>
      </c>
      <c r="C2437" s="9" t="inlineStr">
        <is>
          <t>WSH</t>
        </is>
      </c>
      <c r="D2437" s="9" t="n">
        <v>25</v>
      </c>
      <c r="E2437" s="16" t="inlineStr">
        <is>
          <t>R</t>
        </is>
      </c>
      <c r="F2437" s="16" t="n"/>
      <c r="G2437" s="9" t="n">
        <v>99.4871794871795</v>
      </c>
      <c r="H2437" s="9" t="n">
        <v>99.4871794871795</v>
      </c>
      <c r="I2437" s="9" t="inlineStr">
        <is>
          <t>Depth (no MLB PA)</t>
        </is>
      </c>
      <c r="J2437" s="16" t="inlineStr">
        <is>
          <t>Opening Day</t>
        </is>
      </c>
      <c r="K2437" s="11">
        <f>IFERROR(INDEX(Roles!$B$17:$B$20,MATCH(J2437,Roles!$A$17:$A$20,0)),1)</f>
        <v/>
      </c>
      <c r="L2437" s="17" t="n">
        <v>1</v>
      </c>
      <c r="M2437" s="11" t="n">
        <v>1</v>
      </c>
      <c r="N2437" s="17" t="n"/>
      <c r="O2437" s="17" t="n"/>
      <c r="P2437" s="17" t="n"/>
      <c r="Q2437" s="17" t="n"/>
      <c r="R2437" s="17" t="n"/>
      <c r="S2437" s="17" t="n"/>
      <c r="T2437" s="17" t="n"/>
      <c r="U2437" s="17" t="n"/>
      <c r="V2437" s="17" t="n"/>
      <c r="W2437" s="17" t="n"/>
      <c r="X2437" s="17" t="n"/>
      <c r="Y2437" s="17" t="n">
        <v>1</v>
      </c>
      <c r="Z2437" s="13">
        <f>SUMPRODUCT(N2437:Y2437,$N$2:$Y$2)*$K2437*$L2437*$M2437</f>
        <v/>
      </c>
      <c r="AA2437" s="14">
        <f>SUM(N2437:Y2437)</f>
        <v/>
      </c>
      <c r="AB2437" s="14">
        <f>IFERROR(IF(UPPER($E2437)="L",SUMPRODUCT(N2437:Y2437,$N$3:$Y$3,$N$2:$Y$2),SUMPRODUCT(N2437:Y2437,$N$4:$Y$4,$N$2:$Y$2))/(Z2437/($K2437*$L2437*$M2437)),"")</f>
        <v/>
      </c>
      <c r="AC2437" s="18" t="n"/>
    </row>
    <row r="2438">
      <c r="A2438" s="9" t="n">
        <v>685382</v>
      </c>
      <c r="B2438" s="9" t="inlineStr">
        <is>
          <t>Andrew Navigato</t>
        </is>
      </c>
      <c r="C2438" s="9" t="inlineStr">
        <is>
          <t>DET</t>
        </is>
      </c>
      <c r="D2438" s="9" t="n">
        <v>25</v>
      </c>
      <c r="E2438" s="16" t="inlineStr">
        <is>
          <t>R</t>
        </is>
      </c>
      <c r="F2438" s="16" t="n"/>
      <c r="G2438" s="9" t="n">
        <v>140.4615384615385</v>
      </c>
      <c r="H2438" s="9" t="n">
        <v>140.4615384615385</v>
      </c>
      <c r="I2438" s="9" t="inlineStr">
        <is>
          <t>Depth (no MLB PA)</t>
        </is>
      </c>
      <c r="J2438" s="16" t="inlineStr">
        <is>
          <t>Opening Day</t>
        </is>
      </c>
      <c r="K2438" s="11">
        <f>IFERROR(INDEX(Roles!$B$17:$B$20,MATCH(J2438,Roles!$A$17:$A$20,0)),1)</f>
        <v/>
      </c>
      <c r="L2438" s="17" t="n">
        <v>1</v>
      </c>
      <c r="M2438" s="11" t="n">
        <v>1</v>
      </c>
      <c r="N2438" s="17" t="n"/>
      <c r="O2438" s="17" t="n"/>
      <c r="P2438" s="17" t="n"/>
      <c r="Q2438" s="17" t="n"/>
      <c r="R2438" s="17" t="n"/>
      <c r="S2438" s="17" t="n"/>
      <c r="T2438" s="17" t="n"/>
      <c r="U2438" s="17" t="n"/>
      <c r="V2438" s="17" t="n"/>
      <c r="W2438" s="17" t="n"/>
      <c r="X2438" s="17" t="n"/>
      <c r="Y2438" s="17" t="n">
        <v>1</v>
      </c>
      <c r="Z2438" s="13">
        <f>SUMPRODUCT(N2438:Y2438,$N$2:$Y$2)*$K2438*$L2438*$M2438</f>
        <v/>
      </c>
      <c r="AA2438" s="14">
        <f>SUM(N2438:Y2438)</f>
        <v/>
      </c>
      <c r="AB2438" s="14">
        <f>IFERROR(IF(UPPER($E2438)="L",SUMPRODUCT(N2438:Y2438,$N$3:$Y$3,$N$2:$Y$2),SUMPRODUCT(N2438:Y2438,$N$4:$Y$4,$N$2:$Y$2))/(Z2438/($K2438*$L2438*$M2438)),"")</f>
        <v/>
      </c>
      <c r="AC2438" s="18" t="n"/>
    </row>
    <row r="2439">
      <c r="A2439" s="9" t="n">
        <v>669222</v>
      </c>
      <c r="B2439" s="9" t="inlineStr">
        <is>
          <t>Nick Senzel</t>
        </is>
      </c>
      <c r="C2439" s="9" t="inlineStr">
        <is>
          <t>CWS</t>
        </is>
      </c>
      <c r="D2439" s="9" t="n">
        <v>32</v>
      </c>
      <c r="E2439" s="16" t="inlineStr">
        <is>
          <t>R</t>
        </is>
      </c>
      <c r="F2439" s="16" t="inlineStr">
        <is>
          <t>3B</t>
        </is>
      </c>
      <c r="G2439" s="9" t="n">
        <v>267</v>
      </c>
      <c r="H2439" s="9" t="n">
        <v>1017</v>
      </c>
      <c r="I2439" s="9" t="inlineStr">
        <is>
          <t>Depth (no MLB PA)</t>
        </is>
      </c>
      <c r="J2439" s="16" t="inlineStr">
        <is>
          <t>Opening Day</t>
        </is>
      </c>
      <c r="K2439" s="11">
        <f>IFERROR(INDEX(Roles!$B$17:$B$20,MATCH(J2439,Roles!$A$17:$A$20,0)),1)</f>
        <v/>
      </c>
      <c r="L2439" s="17" t="n">
        <v>1</v>
      </c>
      <c r="M2439" s="11" t="n">
        <v>1</v>
      </c>
      <c r="N2439" s="17" t="n"/>
      <c r="O2439" s="17" t="n"/>
      <c r="P2439" s="17" t="n"/>
      <c r="Q2439" s="17" t="n"/>
      <c r="R2439" s="17" t="n"/>
      <c r="S2439" s="17" t="n"/>
      <c r="T2439" s="17" t="n"/>
      <c r="U2439" s="17" t="n"/>
      <c r="V2439" s="17" t="n"/>
      <c r="W2439" s="17" t="n"/>
      <c r="X2439" s="17" t="n"/>
      <c r="Y2439" s="17" t="n">
        <v>1</v>
      </c>
      <c r="Z2439" s="13">
        <f>SUMPRODUCT(N2439:Y2439,$N$2:$Y$2)*$K2439*$L2439*$M2439</f>
        <v/>
      </c>
      <c r="AA2439" s="14">
        <f>SUM(N2439:Y2439)</f>
        <v/>
      </c>
      <c r="AB2439" s="14">
        <f>IFERROR(IF(UPPER($E2439)="L",SUMPRODUCT(N2439:Y2439,$N$3:$Y$3,$N$2:$Y$2),SUMPRODUCT(N2439:Y2439,$N$4:$Y$4,$N$2:$Y$2))/(Z2439/($K2439*$L2439*$M2439)),"")</f>
        <v/>
      </c>
      <c r="AC2439" s="18" t="n"/>
    </row>
    <row r="2440">
      <c r="A2440" s="9" t="n">
        <v>689196</v>
      </c>
      <c r="B2440" s="9" t="inlineStr">
        <is>
          <t>Owen Ayers</t>
        </is>
      </c>
      <c r="C2440" s="9" t="inlineStr">
        <is>
          <t>CHC</t>
        </is>
      </c>
      <c r="D2440" s="9" t="n">
        <v>26</v>
      </c>
      <c r="E2440" s="16" t="inlineStr">
        <is>
          <t>S</t>
        </is>
      </c>
      <c r="F2440" s="16" t="n"/>
      <c r="G2440" s="9" t="n">
        <v>116.2051282051282</v>
      </c>
      <c r="H2440" s="9" t="n">
        <v>116.2051282051282</v>
      </c>
      <c r="I2440" s="9" t="inlineStr">
        <is>
          <t>Depth (no MLB PA)</t>
        </is>
      </c>
      <c r="J2440" s="16" t="inlineStr">
        <is>
          <t>Opening Day</t>
        </is>
      </c>
      <c r="K2440" s="11">
        <f>IFERROR(INDEX(Roles!$B$17:$B$20,MATCH(J2440,Roles!$A$17:$A$20,0)),1)</f>
        <v/>
      </c>
      <c r="L2440" s="17" t="n">
        <v>1</v>
      </c>
      <c r="M2440" s="11" t="n">
        <v>1</v>
      </c>
      <c r="N2440" s="17" t="n"/>
      <c r="O2440" s="17" t="n"/>
      <c r="P2440" s="17" t="n"/>
      <c r="Q2440" s="17" t="n"/>
      <c r="R2440" s="17" t="n"/>
      <c r="S2440" s="17" t="n"/>
      <c r="T2440" s="17" t="n"/>
      <c r="U2440" s="17" t="n"/>
      <c r="V2440" s="17" t="n"/>
      <c r="W2440" s="17" t="n"/>
      <c r="X2440" s="17" t="n"/>
      <c r="Y2440" s="17" t="n">
        <v>1</v>
      </c>
      <c r="Z2440" s="13">
        <f>SUMPRODUCT(N2440:Y2440,$N$2:$Y$2)*$K2440*$L2440*$M2440</f>
        <v/>
      </c>
      <c r="AA2440" s="14">
        <f>SUM(N2440:Y2440)</f>
        <v/>
      </c>
      <c r="AB2440" s="14">
        <f>IFERROR(IF(UPPER($E2440)="L",SUMPRODUCT(N2440:Y2440,$N$3:$Y$3,$N$2:$Y$2),SUMPRODUCT(N2440:Y2440,$N$4:$Y$4,$N$2:$Y$2))/(Z2440/($K2440*$L2440*$M2440)),"")</f>
        <v/>
      </c>
      <c r="AC2440" s="18" t="n"/>
    </row>
    <row r="2441">
      <c r="A2441" s="9" t="n">
        <v>694896</v>
      </c>
      <c r="B2441" s="9" t="inlineStr">
        <is>
          <t>Caden Rose</t>
        </is>
      </c>
      <c r="C2441" s="9" t="inlineStr">
        <is>
          <t>BOS</t>
        </is>
      </c>
      <c r="D2441" s="9" t="n">
        <v>25</v>
      </c>
      <c r="E2441" s="16" t="inlineStr">
        <is>
          <t>R</t>
        </is>
      </c>
      <c r="F2441" s="16" t="n"/>
      <c r="G2441" s="9" t="n">
        <v>87.23076923076923</v>
      </c>
      <c r="H2441" s="9" t="n">
        <v>87.23076923076923</v>
      </c>
      <c r="I2441" s="9" t="inlineStr">
        <is>
          <t>Depth (no MLB PA)</t>
        </is>
      </c>
      <c r="J2441" s="16" t="inlineStr">
        <is>
          <t>Opening Day</t>
        </is>
      </c>
      <c r="K2441" s="11">
        <f>IFERROR(INDEX(Roles!$B$17:$B$20,MATCH(J2441,Roles!$A$17:$A$20,0)),1)</f>
        <v/>
      </c>
      <c r="L2441" s="17" t="n">
        <v>1</v>
      </c>
      <c r="M2441" s="11" t="n">
        <v>1</v>
      </c>
      <c r="N2441" s="17" t="n"/>
      <c r="O2441" s="17" t="n"/>
      <c r="P2441" s="17" t="n"/>
      <c r="Q2441" s="17" t="n"/>
      <c r="R2441" s="17" t="n"/>
      <c r="S2441" s="17" t="n"/>
      <c r="T2441" s="17" t="n"/>
      <c r="U2441" s="17" t="n"/>
      <c r="V2441" s="17" t="n"/>
      <c r="W2441" s="17" t="n"/>
      <c r="X2441" s="17" t="n"/>
      <c r="Y2441" s="17" t="n">
        <v>1</v>
      </c>
      <c r="Z2441" s="13">
        <f>SUMPRODUCT(N2441:Y2441,$N$2:$Y$2)*$K2441*$L2441*$M2441</f>
        <v/>
      </c>
      <c r="AA2441" s="14">
        <f>SUM(N2441:Y2441)</f>
        <v/>
      </c>
      <c r="AB2441" s="14">
        <f>IFERROR(IF(UPPER($E2441)="L",SUMPRODUCT(N2441:Y2441,$N$3:$Y$3,$N$2:$Y$2),SUMPRODUCT(N2441:Y2441,$N$4:$Y$4,$N$2:$Y$2))/(Z2441/($K2441*$L2441*$M2441)),"")</f>
        <v/>
      </c>
      <c r="AC2441" s="18" t="n"/>
    </row>
    <row r="2442">
      <c r="A2442" s="9" t="n">
        <v>572204</v>
      </c>
      <c r="B2442" s="9" t="inlineStr">
        <is>
          <t>Trayce Thompson</t>
        </is>
      </c>
      <c r="C2442" s="9" t="inlineStr">
        <is>
          <t>CWS</t>
        </is>
      </c>
      <c r="D2442" s="9" t="n">
        <v>36</v>
      </c>
      <c r="E2442" s="16" t="inlineStr">
        <is>
          <t>R</t>
        </is>
      </c>
      <c r="F2442" s="16" t="inlineStr">
        <is>
          <t>CF</t>
        </is>
      </c>
      <c r="G2442" s="9" t="n">
        <v>179</v>
      </c>
      <c r="H2442" s="9" t="n">
        <v>434</v>
      </c>
      <c r="I2442" s="9" t="inlineStr">
        <is>
          <t>Depth (no MLB PA)</t>
        </is>
      </c>
      <c r="J2442" s="16" t="inlineStr">
        <is>
          <t>Opening Day</t>
        </is>
      </c>
      <c r="K2442" s="11">
        <f>IFERROR(INDEX(Roles!$B$17:$B$20,MATCH(J2442,Roles!$A$17:$A$20,0)),1)</f>
        <v/>
      </c>
      <c r="L2442" s="17" t="n">
        <v>1</v>
      </c>
      <c r="M2442" s="11" t="n">
        <v>1</v>
      </c>
      <c r="N2442" s="17" t="n"/>
      <c r="O2442" s="17" t="n"/>
      <c r="P2442" s="17" t="n"/>
      <c r="Q2442" s="17" t="n"/>
      <c r="R2442" s="17" t="n"/>
      <c r="S2442" s="17" t="n"/>
      <c r="T2442" s="17" t="n"/>
      <c r="U2442" s="17" t="n"/>
      <c r="V2442" s="17" t="n"/>
      <c r="W2442" s="17" t="n"/>
      <c r="X2442" s="17" t="n"/>
      <c r="Y2442" s="17" t="n">
        <v>1</v>
      </c>
      <c r="Z2442" s="13">
        <f>SUMPRODUCT(N2442:Y2442,$N$2:$Y$2)*$K2442*$L2442*$M2442</f>
        <v/>
      </c>
      <c r="AA2442" s="14">
        <f>SUM(N2442:Y2442)</f>
        <v/>
      </c>
      <c r="AB2442" s="14">
        <f>IFERROR(IF(UPPER($E2442)="L",SUMPRODUCT(N2442:Y2442,$N$3:$Y$3,$N$2:$Y$2),SUMPRODUCT(N2442:Y2442,$N$4:$Y$4,$N$2:$Y$2))/(Z2442/($K2442*$L2442*$M2442)),"")</f>
        <v/>
      </c>
      <c r="AC2442" s="18" t="n"/>
    </row>
    <row r="2443">
      <c r="A2443" s="9" t="n">
        <v>806210</v>
      </c>
      <c r="B2443" s="9" t="inlineStr">
        <is>
          <t>Alfonsin Rosario</t>
        </is>
      </c>
      <c r="C2443" s="9" t="inlineStr">
        <is>
          <t>CLE</t>
        </is>
      </c>
      <c r="D2443" s="9" t="n">
        <v>25</v>
      </c>
      <c r="E2443" s="16" t="inlineStr">
        <is>
          <t>R</t>
        </is>
      </c>
      <c r="F2443" s="16" t="n"/>
      <c r="G2443" s="9" t="n">
        <v>91.3846153846154</v>
      </c>
      <c r="H2443" s="9" t="n">
        <v>91.3846153846154</v>
      </c>
      <c r="I2443" s="9" t="inlineStr">
        <is>
          <t>Depth (no MLB PA)</t>
        </is>
      </c>
      <c r="J2443" s="16" t="inlineStr">
        <is>
          <t>Opening Day</t>
        </is>
      </c>
      <c r="K2443" s="11">
        <f>IFERROR(INDEX(Roles!$B$17:$B$20,MATCH(J2443,Roles!$A$17:$A$20,0)),1)</f>
        <v/>
      </c>
      <c r="L2443" s="17" t="n">
        <v>1</v>
      </c>
      <c r="M2443" s="11" t="n">
        <v>1</v>
      </c>
      <c r="N2443" s="17" t="n"/>
      <c r="O2443" s="17" t="n"/>
      <c r="P2443" s="17" t="n"/>
      <c r="Q2443" s="17" t="n"/>
      <c r="R2443" s="17" t="n"/>
      <c r="S2443" s="17" t="n"/>
      <c r="T2443" s="17" t="n"/>
      <c r="U2443" s="17" t="n"/>
      <c r="V2443" s="17" t="n"/>
      <c r="W2443" s="17" t="n"/>
      <c r="X2443" s="17" t="n"/>
      <c r="Y2443" s="17" t="n">
        <v>1</v>
      </c>
      <c r="Z2443" s="13">
        <f>SUMPRODUCT(N2443:Y2443,$N$2:$Y$2)*$K2443*$L2443*$M2443</f>
        <v/>
      </c>
      <c r="AA2443" s="14">
        <f>SUM(N2443:Y2443)</f>
        <v/>
      </c>
      <c r="AB2443" s="14">
        <f>IFERROR(IF(UPPER($E2443)="L",SUMPRODUCT(N2443:Y2443,$N$3:$Y$3,$N$2:$Y$2),SUMPRODUCT(N2443:Y2443,$N$4:$Y$4,$N$2:$Y$2))/(Z2443/($K2443*$L2443*$M2443)),"")</f>
        <v/>
      </c>
      <c r="AC2443" s="18" t="n"/>
    </row>
    <row r="2444">
      <c r="A2444" s="9" t="n">
        <v>501303</v>
      </c>
      <c r="B2444" s="9" t="inlineStr">
        <is>
          <t>Ehire Adrianza</t>
        </is>
      </c>
      <c r="C2444" s="9" t="inlineStr">
        <is>
          <t>LAA</t>
        </is>
      </c>
      <c r="D2444" s="9" t="n">
        <v>37</v>
      </c>
      <c r="E2444" s="16" t="inlineStr">
        <is>
          <t>S</t>
        </is>
      </c>
      <c r="F2444" s="16" t="inlineStr">
        <is>
          <t>3B</t>
        </is>
      </c>
      <c r="G2444" s="9" t="n">
        <v>28</v>
      </c>
      <c r="H2444" s="9" t="n">
        <v>149</v>
      </c>
      <c r="I2444" s="9" t="inlineStr">
        <is>
          <t>Depth (no MLB PA)</t>
        </is>
      </c>
      <c r="J2444" s="16" t="inlineStr">
        <is>
          <t>Opening Day</t>
        </is>
      </c>
      <c r="K2444" s="11">
        <f>IFERROR(INDEX(Roles!$B$17:$B$20,MATCH(J2444,Roles!$A$17:$A$20,0)),1)</f>
        <v/>
      </c>
      <c r="L2444" s="17" t="n">
        <v>1</v>
      </c>
      <c r="M2444" s="11" t="n">
        <v>1</v>
      </c>
      <c r="N2444" s="17" t="n"/>
      <c r="O2444" s="17" t="n"/>
      <c r="P2444" s="17" t="n"/>
      <c r="Q2444" s="17" t="n"/>
      <c r="R2444" s="17" t="n"/>
      <c r="S2444" s="17" t="n"/>
      <c r="T2444" s="17" t="n"/>
      <c r="U2444" s="17" t="n"/>
      <c r="V2444" s="17" t="n"/>
      <c r="W2444" s="17" t="n"/>
      <c r="X2444" s="17" t="n"/>
      <c r="Y2444" s="17" t="n">
        <v>1</v>
      </c>
      <c r="Z2444" s="13">
        <f>SUMPRODUCT(N2444:Y2444,$N$2:$Y$2)*$K2444*$L2444*$M2444</f>
        <v/>
      </c>
      <c r="AA2444" s="14">
        <f>SUM(N2444:Y2444)</f>
        <v/>
      </c>
      <c r="AB2444" s="14">
        <f>IFERROR(IF(UPPER($E2444)="L",SUMPRODUCT(N2444:Y2444,$N$3:$Y$3,$N$2:$Y$2),SUMPRODUCT(N2444:Y2444,$N$4:$Y$4,$N$2:$Y$2))/(Z2444/($K2444*$L2444*$M2444)),"")</f>
        <v/>
      </c>
      <c r="AC2444" s="18" t="n"/>
    </row>
    <row r="2445">
      <c r="A2445" s="9" t="n">
        <v>682634</v>
      </c>
      <c r="B2445" s="9" t="inlineStr">
        <is>
          <t>Kevin Alcántara</t>
        </is>
      </c>
      <c r="C2445" s="9" t="inlineStr">
        <is>
          <t>CHC</t>
        </is>
      </c>
      <c r="D2445" s="9" t="n">
        <v>24</v>
      </c>
      <c r="E2445" s="16" t="inlineStr">
        <is>
          <t>R</t>
        </is>
      </c>
      <c r="F2445" s="16" t="inlineStr">
        <is>
          <t>LF</t>
        </is>
      </c>
      <c r="G2445" s="9" t="n">
        <v>28</v>
      </c>
      <c r="H2445" s="9" t="n">
        <v>50</v>
      </c>
      <c r="I2445" s="9" t="inlineStr">
        <is>
          <t>Bench Bat</t>
        </is>
      </c>
      <c r="J2445" s="16" t="inlineStr">
        <is>
          <t>Opening Day</t>
        </is>
      </c>
      <c r="K2445" s="11">
        <f>IFERROR(INDEX(Roles!$B$17:$B$20,MATCH(J2445,Roles!$A$17:$A$20,0)),1)</f>
        <v/>
      </c>
      <c r="L2445" s="17" t="n">
        <v>1</v>
      </c>
      <c r="M2445" s="11" t="n">
        <v>1</v>
      </c>
      <c r="N2445" s="17" t="n"/>
      <c r="O2445" s="17" t="n"/>
      <c r="P2445" s="17" t="n"/>
      <c r="Q2445" s="17" t="n"/>
      <c r="R2445" s="17" t="n"/>
      <c r="S2445" s="17" t="n"/>
      <c r="T2445" s="17" t="n"/>
      <c r="U2445" s="17" t="n"/>
      <c r="V2445" s="17" t="n"/>
      <c r="W2445" s="17" t="n">
        <v>1</v>
      </c>
      <c r="X2445" s="17" t="n"/>
      <c r="Y2445" s="17" t="n"/>
      <c r="Z2445" s="13">
        <f>SUMPRODUCT(N2445:Y2445,$N$2:$Y$2)*$K2445*$L2445*$M2445</f>
        <v/>
      </c>
      <c r="AA2445" s="14">
        <f>SUM(N2445:Y2445)</f>
        <v/>
      </c>
      <c r="AB2445" s="14">
        <f>IFERROR(IF(UPPER($E2445)="L",SUMPRODUCT(N2445:Y2445,$N$3:$Y$3,$N$2:$Y$2),SUMPRODUCT(N2445:Y2445,$N$4:$Y$4,$N$2:$Y$2))/(Z2445/($K2445*$L2445*$M2445)),"")</f>
        <v/>
      </c>
      <c r="AC2445" s="18" t="n"/>
    </row>
    <row r="2446">
      <c r="A2446" s="9" t="n">
        <v>621458</v>
      </c>
      <c r="B2446" s="9" t="inlineStr">
        <is>
          <t>Edwin Rios</t>
        </is>
      </c>
      <c r="C2446" s="9" t="inlineStr">
        <is>
          <t>CHC</t>
        </is>
      </c>
      <c r="D2446" s="9" t="n">
        <v>33</v>
      </c>
      <c r="E2446" s="16" t="inlineStr">
        <is>
          <t>L</t>
        </is>
      </c>
      <c r="F2446" s="16" t="inlineStr">
        <is>
          <t>1B</t>
        </is>
      </c>
      <c r="G2446" s="9" t="n">
        <v>10</v>
      </c>
      <c r="H2446" s="9" t="n">
        <v>136</v>
      </c>
      <c r="I2446" s="9" t="inlineStr">
        <is>
          <t>Depth (no MLB PA)</t>
        </is>
      </c>
      <c r="J2446" s="16" t="inlineStr">
        <is>
          <t>Opening Day</t>
        </is>
      </c>
      <c r="K2446" s="11">
        <f>IFERROR(INDEX(Roles!$B$17:$B$20,MATCH(J2446,Roles!$A$17:$A$20,0)),1)</f>
        <v/>
      </c>
      <c r="L2446" s="17" t="n">
        <v>1</v>
      </c>
      <c r="M2446" s="11" t="n">
        <v>1</v>
      </c>
      <c r="N2446" s="17" t="n"/>
      <c r="O2446" s="17" t="n"/>
      <c r="P2446" s="17" t="n"/>
      <c r="Q2446" s="17" t="n"/>
      <c r="R2446" s="17" t="n"/>
      <c r="S2446" s="17" t="n"/>
      <c r="T2446" s="17" t="n"/>
      <c r="U2446" s="17" t="n"/>
      <c r="V2446" s="17" t="n"/>
      <c r="W2446" s="17" t="n"/>
      <c r="X2446" s="17" t="n"/>
      <c r="Y2446" s="17" t="n">
        <v>1</v>
      </c>
      <c r="Z2446" s="13">
        <f>SUMPRODUCT(N2446:Y2446,$N$2:$Y$2)*$K2446*$L2446*$M2446</f>
        <v/>
      </c>
      <c r="AA2446" s="14">
        <f>SUM(N2446:Y2446)</f>
        <v/>
      </c>
      <c r="AB2446" s="14">
        <f>IFERROR(IF(UPPER($E2446)="L",SUMPRODUCT(N2446:Y2446,$N$3:$Y$3,$N$2:$Y$2),SUMPRODUCT(N2446:Y2446,$N$4:$Y$4,$N$2:$Y$2))/(Z2446/($K2446*$L2446*$M2446)),"")</f>
        <v/>
      </c>
      <c r="AC2446" s="18" t="n"/>
    </row>
    <row r="2447">
      <c r="A2447" s="9" t="n">
        <v>661733</v>
      </c>
      <c r="B2447" s="9" t="inlineStr">
        <is>
          <t>Max Burt</t>
        </is>
      </c>
      <c r="C2447" s="9" t="inlineStr">
        <is>
          <t>DET</t>
        </is>
      </c>
      <c r="D2447" s="9" t="n">
        <v>25</v>
      </c>
      <c r="E2447" s="16" t="inlineStr">
        <is>
          <t>R</t>
        </is>
      </c>
      <c r="F2447" s="16" t="n"/>
      <c r="G2447" s="9" t="n">
        <v>135.948717948718</v>
      </c>
      <c r="H2447" s="9" t="n">
        <v>135.948717948718</v>
      </c>
      <c r="I2447" s="9" t="inlineStr">
        <is>
          <t>Depth (no MLB PA)</t>
        </is>
      </c>
      <c r="J2447" s="16" t="inlineStr">
        <is>
          <t>Opening Day</t>
        </is>
      </c>
      <c r="K2447" s="11">
        <f>IFERROR(INDEX(Roles!$B$17:$B$20,MATCH(J2447,Roles!$A$17:$A$20,0)),1)</f>
        <v/>
      </c>
      <c r="L2447" s="17" t="n">
        <v>1</v>
      </c>
      <c r="M2447" s="11" t="n">
        <v>1</v>
      </c>
      <c r="N2447" s="17" t="n"/>
      <c r="O2447" s="17" t="n"/>
      <c r="P2447" s="17" t="n"/>
      <c r="Q2447" s="17" t="n"/>
      <c r="R2447" s="17" t="n"/>
      <c r="S2447" s="17" t="n"/>
      <c r="T2447" s="17" t="n"/>
      <c r="U2447" s="17" t="n"/>
      <c r="V2447" s="17" t="n"/>
      <c r="W2447" s="17" t="n"/>
      <c r="X2447" s="17" t="n"/>
      <c r="Y2447" s="17" t="n">
        <v>1</v>
      </c>
      <c r="Z2447" s="13">
        <f>SUMPRODUCT(N2447:Y2447,$N$2:$Y$2)*$K2447*$L2447*$M2447</f>
        <v/>
      </c>
      <c r="AA2447" s="14">
        <f>SUM(N2447:Y2447)</f>
        <v/>
      </c>
      <c r="AB2447" s="14">
        <f>IFERROR(IF(UPPER($E2447)="L",SUMPRODUCT(N2447:Y2447,$N$3:$Y$3,$N$2:$Y$2),SUMPRODUCT(N2447:Y2447,$N$4:$Y$4,$N$2:$Y$2))/(Z2447/($K2447*$L2447*$M2447)),"")</f>
        <v/>
      </c>
      <c r="AC2447" s="18" t="n"/>
    </row>
    <row r="2448">
      <c r="A2448" s="9" t="n">
        <v>641487</v>
      </c>
      <c r="B2448" s="9" t="inlineStr">
        <is>
          <t>J.P. Crawford</t>
        </is>
      </c>
      <c r="C2448" s="9" t="inlineStr">
        <is>
          <t>SEA</t>
        </is>
      </c>
      <c r="D2448" s="9" t="n">
        <v>32</v>
      </c>
      <c r="E2448" s="16" t="inlineStr">
        <is>
          <t>L</t>
        </is>
      </c>
      <c r="F2448" s="16" t="inlineStr">
        <is>
          <t>SS</t>
        </is>
      </c>
      <c r="G2448" s="9" t="n">
        <v>489</v>
      </c>
      <c r="H2448" s="9" t="n">
        <v>2835</v>
      </c>
      <c r="I2448" s="9" t="inlineStr">
        <is>
          <t>Full Time</t>
        </is>
      </c>
      <c r="J2448" s="16" t="inlineStr">
        <is>
          <t>Opening Day</t>
        </is>
      </c>
      <c r="K2448" s="11">
        <f>IFERROR(INDEX(Roles!$B$17:$B$20,MATCH(J2448,Roles!$A$17:$A$20,0)),1)</f>
        <v/>
      </c>
      <c r="L2448" s="17" t="n">
        <v>1</v>
      </c>
      <c r="M2448" s="11" t="n">
        <v>1.034147287855448</v>
      </c>
      <c r="N2448" s="17" t="n">
        <v>1</v>
      </c>
      <c r="O2448" s="17" t="n"/>
      <c r="P2448" s="17" t="n"/>
      <c r="Q2448" s="17" t="n"/>
      <c r="R2448" s="17" t="n"/>
      <c r="S2448" s="17" t="n"/>
      <c r="T2448" s="17" t="n"/>
      <c r="U2448" s="17" t="n"/>
      <c r="V2448" s="17" t="n"/>
      <c r="W2448" s="17" t="n"/>
      <c r="X2448" s="17" t="n"/>
      <c r="Y2448" s="17" t="n"/>
      <c r="Z2448" s="13">
        <f>SUMPRODUCT(N2448:Y2448,$N$2:$Y$2)*$K2448*$L2448*$M2448</f>
        <v/>
      </c>
      <c r="AA2448" s="14">
        <f>SUM(N2448:Y2448)</f>
        <v/>
      </c>
      <c r="AB2448" s="14">
        <f>IFERROR(IF(UPPER($E2448)="L",SUMPRODUCT(N2448:Y2448,$N$3:$Y$3,$N$2:$Y$2),SUMPRODUCT(N2448:Y2448,$N$4:$Y$4,$N$2:$Y$2))/(Z2448/($K2448*$L2448*$M2448)),"")</f>
        <v/>
      </c>
      <c r="AC2448" s="18" t="n"/>
    </row>
    <row r="2449">
      <c r="A2449" s="9" t="n">
        <v>823073</v>
      </c>
      <c r="B2449" s="9" t="inlineStr">
        <is>
          <t>Nolan Sailors</t>
        </is>
      </c>
      <c r="C2449" s="9" t="inlineStr">
        <is>
          <t>KC</t>
        </is>
      </c>
      <c r="D2449" s="9" t="n">
        <v>25</v>
      </c>
      <c r="E2449" s="16" t="inlineStr">
        <is>
          <t>L</t>
        </is>
      </c>
      <c r="F2449" s="16" t="n"/>
      <c r="G2449" s="9" t="n">
        <v>89.02564102564104</v>
      </c>
      <c r="H2449" s="9" t="n">
        <v>89.02564102564104</v>
      </c>
      <c r="I2449" s="9" t="inlineStr">
        <is>
          <t>Depth (no MLB PA)</t>
        </is>
      </c>
      <c r="J2449" s="16" t="inlineStr">
        <is>
          <t>Opening Day</t>
        </is>
      </c>
      <c r="K2449" s="11">
        <f>IFERROR(INDEX(Roles!$B$17:$B$20,MATCH(J2449,Roles!$A$17:$A$20,0)),1)</f>
        <v/>
      </c>
      <c r="L2449" s="17" t="n">
        <v>1</v>
      </c>
      <c r="M2449" s="11" t="n">
        <v>1</v>
      </c>
      <c r="N2449" s="17" t="n"/>
      <c r="O2449" s="17" t="n"/>
      <c r="P2449" s="17" t="n"/>
      <c r="Q2449" s="17" t="n"/>
      <c r="R2449" s="17" t="n"/>
      <c r="S2449" s="17" t="n"/>
      <c r="T2449" s="17" t="n"/>
      <c r="U2449" s="17" t="n"/>
      <c r="V2449" s="17" t="n"/>
      <c r="W2449" s="17" t="n"/>
      <c r="X2449" s="17" t="n"/>
      <c r="Y2449" s="17" t="n">
        <v>1</v>
      </c>
      <c r="Z2449" s="13">
        <f>SUMPRODUCT(N2449:Y2449,$N$2:$Y$2)*$K2449*$L2449*$M2449</f>
        <v/>
      </c>
      <c r="AA2449" s="14">
        <f>SUM(N2449:Y2449)</f>
        <v/>
      </c>
      <c r="AB2449" s="14">
        <f>IFERROR(IF(UPPER($E2449)="L",SUMPRODUCT(N2449:Y2449,$N$3:$Y$3,$N$2:$Y$2),SUMPRODUCT(N2449:Y2449,$N$4:$Y$4,$N$2:$Y$2))/(Z2449/($K2449*$L2449*$M2449)),"")</f>
        <v/>
      </c>
      <c r="AC2449" s="18" t="n"/>
    </row>
    <row r="2450">
      <c r="A2450" s="9" t="n">
        <v>681036</v>
      </c>
      <c r="B2450" s="9" t="inlineStr">
        <is>
          <t>Anthony Vilar</t>
        </is>
      </c>
      <c r="C2450" s="9" t="inlineStr">
        <is>
          <t>SD</t>
        </is>
      </c>
      <c r="D2450" s="9" t="n">
        <v>25</v>
      </c>
      <c r="E2450" s="16" t="inlineStr">
        <is>
          <t>L</t>
        </is>
      </c>
      <c r="F2450" s="16" t="n"/>
      <c r="G2450" s="9" t="n">
        <v>114.5128205128205</v>
      </c>
      <c r="H2450" s="9" t="n">
        <v>114.5128205128205</v>
      </c>
      <c r="I2450" s="9" t="inlineStr">
        <is>
          <t>Depth (no MLB PA)</t>
        </is>
      </c>
      <c r="J2450" s="16" t="inlineStr">
        <is>
          <t>Opening Day</t>
        </is>
      </c>
      <c r="K2450" s="11">
        <f>IFERROR(INDEX(Roles!$B$17:$B$20,MATCH(J2450,Roles!$A$17:$A$20,0)),1)</f>
        <v/>
      </c>
      <c r="L2450" s="17" t="n">
        <v>1</v>
      </c>
      <c r="M2450" s="11" t="n">
        <v>1</v>
      </c>
      <c r="N2450" s="17" t="n"/>
      <c r="O2450" s="17" t="n"/>
      <c r="P2450" s="17" t="n"/>
      <c r="Q2450" s="17" t="n"/>
      <c r="R2450" s="17" t="n"/>
      <c r="S2450" s="17" t="n"/>
      <c r="T2450" s="17" t="n"/>
      <c r="U2450" s="17" t="n"/>
      <c r="V2450" s="17" t="n"/>
      <c r="W2450" s="17" t="n"/>
      <c r="X2450" s="17" t="n"/>
      <c r="Y2450" s="17" t="n">
        <v>1</v>
      </c>
      <c r="Z2450" s="13">
        <f>SUMPRODUCT(N2450:Y2450,$N$2:$Y$2)*$K2450*$L2450*$M2450</f>
        <v/>
      </c>
      <c r="AA2450" s="14">
        <f>SUM(N2450:Y2450)</f>
        <v/>
      </c>
      <c r="AB2450" s="14">
        <f>IFERROR(IF(UPPER($E2450)="L",SUMPRODUCT(N2450:Y2450,$N$3:$Y$3,$N$2:$Y$2),SUMPRODUCT(N2450:Y2450,$N$4:$Y$4,$N$2:$Y$2))/(Z2450/($K2450*$L2450*$M2450)),"")</f>
        <v/>
      </c>
      <c r="AC2450" s="18" t="n"/>
    </row>
    <row r="2451">
      <c r="A2451" s="9" t="n">
        <v>666198</v>
      </c>
      <c r="B2451" s="9" t="inlineStr">
        <is>
          <t>Carter Kieboom</t>
        </is>
      </c>
      <c r="C2451" s="9" t="inlineStr">
        <is>
          <t>WSH</t>
        </is>
      </c>
      <c r="D2451" s="9" t="n">
        <v>29</v>
      </c>
      <c r="E2451" s="16" t="inlineStr">
        <is>
          <t>R</t>
        </is>
      </c>
      <c r="F2451" s="16" t="inlineStr">
        <is>
          <t>1B</t>
        </is>
      </c>
      <c r="G2451" s="9" t="n">
        <v>8</v>
      </c>
      <c r="H2451" s="9" t="n">
        <v>102</v>
      </c>
      <c r="I2451" s="9" t="inlineStr">
        <is>
          <t>Depth (no MLB PA)</t>
        </is>
      </c>
      <c r="J2451" s="16" t="inlineStr">
        <is>
          <t>Opening Day</t>
        </is>
      </c>
      <c r="K2451" s="11">
        <f>IFERROR(INDEX(Roles!$B$17:$B$20,MATCH(J2451,Roles!$A$17:$A$20,0)),1)</f>
        <v/>
      </c>
      <c r="L2451" s="17" t="n">
        <v>1</v>
      </c>
      <c r="M2451" s="11" t="n">
        <v>1</v>
      </c>
      <c r="N2451" s="17" t="n"/>
      <c r="O2451" s="17" t="n"/>
      <c r="P2451" s="17" t="n"/>
      <c r="Q2451" s="17" t="n"/>
      <c r="R2451" s="17" t="n"/>
      <c r="S2451" s="17" t="n"/>
      <c r="T2451" s="17" t="n"/>
      <c r="U2451" s="17" t="n"/>
      <c r="V2451" s="17" t="n"/>
      <c r="W2451" s="17" t="n"/>
      <c r="X2451" s="17" t="n"/>
      <c r="Y2451" s="17" t="n">
        <v>1</v>
      </c>
      <c r="Z2451" s="13">
        <f>SUMPRODUCT(N2451:Y2451,$N$2:$Y$2)*$K2451*$L2451*$M2451</f>
        <v/>
      </c>
      <c r="AA2451" s="14">
        <f>SUM(N2451:Y2451)</f>
        <v/>
      </c>
      <c r="AB2451" s="14">
        <f>IFERROR(IF(UPPER($E2451)="L",SUMPRODUCT(N2451:Y2451,$N$3:$Y$3,$N$2:$Y$2),SUMPRODUCT(N2451:Y2451,$N$4:$Y$4,$N$2:$Y$2))/(Z2451/($K2451*$L2451*$M2451)),"")</f>
        <v/>
      </c>
      <c r="AC2451" s="18" t="n"/>
    </row>
    <row r="2452">
      <c r="A2452" s="9" t="n">
        <v>681962</v>
      </c>
      <c r="B2452" s="9" t="inlineStr">
        <is>
          <t>Vinny Capra</t>
        </is>
      </c>
      <c r="C2452" s="9" t="inlineStr">
        <is>
          <t>CWS</t>
        </is>
      </c>
      <c r="D2452" s="9" t="n">
        <v>30</v>
      </c>
      <c r="E2452" s="16" t="inlineStr">
        <is>
          <t>R</t>
        </is>
      </c>
      <c r="F2452" s="16" t="inlineStr">
        <is>
          <t>3B</t>
        </is>
      </c>
      <c r="G2452" s="9" t="n">
        <v>105</v>
      </c>
      <c r="H2452" s="9" t="n">
        <v>142</v>
      </c>
      <c r="I2452" s="9" t="inlineStr">
        <is>
          <t>Bench Bat</t>
        </is>
      </c>
      <c r="J2452" s="16" t="inlineStr">
        <is>
          <t>Opening Day</t>
        </is>
      </c>
      <c r="K2452" s="11">
        <f>IFERROR(INDEX(Roles!$B$17:$B$20,MATCH(J2452,Roles!$A$17:$A$20,0)),1)</f>
        <v/>
      </c>
      <c r="L2452" s="17" t="n">
        <v>1</v>
      </c>
      <c r="M2452" s="11" t="n">
        <v>1</v>
      </c>
      <c r="N2452" s="17" t="n"/>
      <c r="O2452" s="17" t="n"/>
      <c r="P2452" s="17" t="n"/>
      <c r="Q2452" s="17" t="n"/>
      <c r="R2452" s="17" t="n"/>
      <c r="S2452" s="17" t="n"/>
      <c r="T2452" s="17" t="n"/>
      <c r="U2452" s="17" t="n"/>
      <c r="V2452" s="17" t="n"/>
      <c r="W2452" s="17" t="n">
        <v>1</v>
      </c>
      <c r="X2452" s="17" t="n"/>
      <c r="Y2452" s="17" t="n"/>
      <c r="Z2452" s="13">
        <f>SUMPRODUCT(N2452:Y2452,$N$2:$Y$2)*$K2452*$L2452*$M2452</f>
        <v/>
      </c>
      <c r="AA2452" s="14">
        <f>SUM(N2452:Y2452)</f>
        <v/>
      </c>
      <c r="AB2452" s="14">
        <f>IFERROR(IF(UPPER($E2452)="L",SUMPRODUCT(N2452:Y2452,$N$3:$Y$3,$N$2:$Y$2),SUMPRODUCT(N2452:Y2452,$N$4:$Y$4,$N$2:$Y$2))/(Z2452/($K2452*$L2452*$M2452)),"")</f>
        <v/>
      </c>
      <c r="AC2452" s="18" t="n"/>
    </row>
    <row r="2453">
      <c r="A2453" s="9" t="n">
        <v>690474</v>
      </c>
      <c r="B2453" s="9" t="inlineStr">
        <is>
          <t>Tommy Sacco Jr.</t>
        </is>
      </c>
      <c r="C2453" s="9" t="inlineStr">
        <is>
          <t>HOU</t>
        </is>
      </c>
      <c r="D2453" s="9" t="n">
        <v>25</v>
      </c>
      <c r="E2453" s="16" t="inlineStr">
        <is>
          <t>S</t>
        </is>
      </c>
      <c r="F2453" s="16" t="n"/>
      <c r="G2453" s="9" t="n">
        <v>97.02564102564104</v>
      </c>
      <c r="H2453" s="9" t="n">
        <v>97.02564102564104</v>
      </c>
      <c r="I2453" s="9" t="inlineStr">
        <is>
          <t>Depth (no MLB PA)</t>
        </is>
      </c>
      <c r="J2453" s="16" t="inlineStr">
        <is>
          <t>Opening Day</t>
        </is>
      </c>
      <c r="K2453" s="11">
        <f>IFERROR(INDEX(Roles!$B$17:$B$20,MATCH(J2453,Roles!$A$17:$A$20,0)),1)</f>
        <v/>
      </c>
      <c r="L2453" s="17" t="n">
        <v>1</v>
      </c>
      <c r="M2453" s="11" t="n">
        <v>1</v>
      </c>
      <c r="N2453" s="17" t="n"/>
      <c r="O2453" s="17" t="n"/>
      <c r="P2453" s="17" t="n"/>
      <c r="Q2453" s="17" t="n"/>
      <c r="R2453" s="17" t="n"/>
      <c r="S2453" s="17" t="n"/>
      <c r="T2453" s="17" t="n"/>
      <c r="U2453" s="17" t="n"/>
      <c r="V2453" s="17" t="n"/>
      <c r="W2453" s="17" t="n"/>
      <c r="X2453" s="17" t="n"/>
      <c r="Y2453" s="17" t="n">
        <v>1</v>
      </c>
      <c r="Z2453" s="13">
        <f>SUMPRODUCT(N2453:Y2453,$N$2:$Y$2)*$K2453*$L2453*$M2453</f>
        <v/>
      </c>
      <c r="AA2453" s="14">
        <f>SUM(N2453:Y2453)</f>
        <v/>
      </c>
      <c r="AB2453" s="14">
        <f>IFERROR(IF(UPPER($E2453)="L",SUMPRODUCT(N2453:Y2453,$N$3:$Y$3,$N$2:$Y$2),SUMPRODUCT(N2453:Y2453,$N$4:$Y$4,$N$2:$Y$2))/(Z2453/($K2453*$L2453*$M2453)),"")</f>
        <v/>
      </c>
      <c r="AC2453" s="18" t="n"/>
    </row>
    <row r="2454">
      <c r="A2454" s="9" t="n">
        <v>802959</v>
      </c>
      <c r="B2454" s="9" t="inlineStr">
        <is>
          <t>Max Holy</t>
        </is>
      </c>
      <c r="C2454" s="9" t="inlineStr">
        <is>
          <t>HOU</t>
        </is>
      </c>
      <c r="D2454" s="9" t="n">
        <v>25</v>
      </c>
      <c r="E2454" s="16" t="inlineStr">
        <is>
          <t>R</t>
        </is>
      </c>
      <c r="F2454" s="16" t="n"/>
      <c r="G2454" s="9" t="n">
        <v>129.2307692307692</v>
      </c>
      <c r="H2454" s="9" t="n">
        <v>129.2307692307692</v>
      </c>
      <c r="I2454" s="9" t="inlineStr">
        <is>
          <t>Depth (no MLB PA)</t>
        </is>
      </c>
      <c r="J2454" s="16" t="inlineStr">
        <is>
          <t>Opening Day</t>
        </is>
      </c>
      <c r="K2454" s="11">
        <f>IFERROR(INDEX(Roles!$B$17:$B$20,MATCH(J2454,Roles!$A$17:$A$20,0)),1)</f>
        <v/>
      </c>
      <c r="L2454" s="17" t="n">
        <v>1</v>
      </c>
      <c r="M2454" s="11" t="n">
        <v>1</v>
      </c>
      <c r="N2454" s="17" t="n"/>
      <c r="O2454" s="17" t="n"/>
      <c r="P2454" s="17" t="n"/>
      <c r="Q2454" s="17" t="n"/>
      <c r="R2454" s="17" t="n"/>
      <c r="S2454" s="17" t="n"/>
      <c r="T2454" s="17" t="n"/>
      <c r="U2454" s="17" t="n"/>
      <c r="V2454" s="17" t="n"/>
      <c r="W2454" s="17" t="n"/>
      <c r="X2454" s="17" t="n"/>
      <c r="Y2454" s="17" t="n">
        <v>1</v>
      </c>
      <c r="Z2454" s="13">
        <f>SUMPRODUCT(N2454:Y2454,$N$2:$Y$2)*$K2454*$L2454*$M2454</f>
        <v/>
      </c>
      <c r="AA2454" s="14">
        <f>SUM(N2454:Y2454)</f>
        <v/>
      </c>
      <c r="AB2454" s="14">
        <f>IFERROR(IF(UPPER($E2454)="L",SUMPRODUCT(N2454:Y2454,$N$3:$Y$3,$N$2:$Y$2),SUMPRODUCT(N2454:Y2454,$N$4:$Y$4,$N$2:$Y$2))/(Z2454/($K2454*$L2454*$M2454)),"")</f>
        <v/>
      </c>
      <c r="AC2454" s="18" t="n"/>
    </row>
    <row r="2455">
      <c r="A2455" s="9" t="n">
        <v>695257</v>
      </c>
      <c r="B2455" s="9" t="inlineStr">
        <is>
          <t>Billy Cook</t>
        </is>
      </c>
      <c r="C2455" s="9" t="inlineStr">
        <is>
          <t>PIT</t>
        </is>
      </c>
      <c r="D2455" s="9" t="n">
        <v>28</v>
      </c>
      <c r="E2455" s="16" t="inlineStr">
        <is>
          <t>R</t>
        </is>
      </c>
      <c r="F2455" s="16" t="inlineStr">
        <is>
          <t>CF</t>
        </is>
      </c>
      <c r="G2455" s="9" t="n">
        <v>58</v>
      </c>
      <c r="H2455" s="9" t="n">
        <v>113</v>
      </c>
      <c r="I2455" s="9" t="inlineStr">
        <is>
          <t>Bench Bat</t>
        </is>
      </c>
      <c r="J2455" s="16" t="inlineStr">
        <is>
          <t>Opening Day</t>
        </is>
      </c>
      <c r="K2455" s="11">
        <f>IFERROR(INDEX(Roles!$B$17:$B$20,MATCH(J2455,Roles!$A$17:$A$20,0)),1)</f>
        <v/>
      </c>
      <c r="L2455" s="17" t="n">
        <v>1</v>
      </c>
      <c r="M2455" s="11" t="n">
        <v>1</v>
      </c>
      <c r="N2455" s="17" t="n"/>
      <c r="O2455" s="17" t="n"/>
      <c r="P2455" s="17" t="n"/>
      <c r="Q2455" s="17" t="n"/>
      <c r="R2455" s="17" t="n"/>
      <c r="S2455" s="17" t="n"/>
      <c r="T2455" s="17" t="n"/>
      <c r="U2455" s="17" t="n"/>
      <c r="V2455" s="17" t="n">
        <v>0.4</v>
      </c>
      <c r="W2455" s="17" t="n">
        <v>0.6</v>
      </c>
      <c r="X2455" s="17" t="n"/>
      <c r="Y2455" s="17" t="n"/>
      <c r="Z2455" s="13">
        <f>SUMPRODUCT(N2455:Y2455,$N$2:$Y$2)*$K2455*$L2455*$M2455</f>
        <v/>
      </c>
      <c r="AA2455" s="14">
        <f>SUM(N2455:Y2455)</f>
        <v/>
      </c>
      <c r="AB2455" s="14">
        <f>IFERROR(IF(UPPER($E2455)="L",SUMPRODUCT(N2455:Y2455,$N$3:$Y$3,$N$2:$Y$2),SUMPRODUCT(N2455:Y2455,$N$4:$Y$4,$N$2:$Y$2))/(Z2455/($K2455*$L2455*$M2455)),"")</f>
        <v/>
      </c>
      <c r="AC2455" s="18" t="n"/>
    </row>
    <row r="2456">
      <c r="A2456" s="9" t="n">
        <v>814414</v>
      </c>
      <c r="B2456" s="9" t="inlineStr">
        <is>
          <t>Kyle DeBarge</t>
        </is>
      </c>
      <c r="C2456" s="9" t="inlineStr">
        <is>
          <t>MIN</t>
        </is>
      </c>
      <c r="D2456" s="9" t="n">
        <v>25</v>
      </c>
      <c r="E2456" s="16" t="inlineStr">
        <is>
          <t>R</t>
        </is>
      </c>
      <c r="F2456" s="16" t="n"/>
      <c r="G2456" s="9" t="n">
        <v>187.7435897435897</v>
      </c>
      <c r="H2456" s="9" t="n">
        <v>187.7435897435897</v>
      </c>
      <c r="I2456" s="9" t="inlineStr">
        <is>
          <t>Depth (no MLB PA)</t>
        </is>
      </c>
      <c r="J2456" s="16" t="inlineStr">
        <is>
          <t>Opening Day</t>
        </is>
      </c>
      <c r="K2456" s="11">
        <f>IFERROR(INDEX(Roles!$B$17:$B$20,MATCH(J2456,Roles!$A$17:$A$20,0)),1)</f>
        <v/>
      </c>
      <c r="L2456" s="17" t="n">
        <v>1</v>
      </c>
      <c r="M2456" s="11" t="n">
        <v>1</v>
      </c>
      <c r="N2456" s="17" t="n"/>
      <c r="O2456" s="17" t="n"/>
      <c r="P2456" s="17" t="n"/>
      <c r="Q2456" s="17" t="n"/>
      <c r="R2456" s="17" t="n"/>
      <c r="S2456" s="17" t="n"/>
      <c r="T2456" s="17" t="n"/>
      <c r="U2456" s="17" t="n"/>
      <c r="V2456" s="17" t="n"/>
      <c r="W2456" s="17" t="n"/>
      <c r="X2456" s="17" t="n"/>
      <c r="Y2456" s="17" t="n">
        <v>1</v>
      </c>
      <c r="Z2456" s="13">
        <f>SUMPRODUCT(N2456:Y2456,$N$2:$Y$2)*$K2456*$L2456*$M2456</f>
        <v/>
      </c>
      <c r="AA2456" s="14">
        <f>SUM(N2456:Y2456)</f>
        <v/>
      </c>
      <c r="AB2456" s="14">
        <f>IFERROR(IF(UPPER($E2456)="L",SUMPRODUCT(N2456:Y2456,$N$3:$Y$3,$N$2:$Y$2),SUMPRODUCT(N2456:Y2456,$N$4:$Y$4,$N$2:$Y$2))/(Z2456/($K2456*$L2456*$M2456)),"")</f>
        <v/>
      </c>
      <c r="AC2456" s="18" t="n"/>
    </row>
    <row r="2457">
      <c r="A2457" s="9" t="n">
        <v>516782</v>
      </c>
      <c r="B2457" s="9" t="inlineStr">
        <is>
          <t>Starling Marte</t>
        </is>
      </c>
      <c r="C2457" s="9" t="inlineStr">
        <is>
          <t>KC</t>
        </is>
      </c>
      <c r="D2457" s="9" t="n">
        <v>38</v>
      </c>
      <c r="E2457" s="16" t="inlineStr">
        <is>
          <t>R</t>
        </is>
      </c>
      <c r="F2457" s="16" t="inlineStr">
        <is>
          <t>RF</t>
        </is>
      </c>
      <c r="G2457" s="9" t="n">
        <v>168</v>
      </c>
      <c r="H2457" s="9" t="n">
        <v>1713</v>
      </c>
      <c r="I2457" s="9" t="inlineStr">
        <is>
          <t>Weak Side Platoon</t>
        </is>
      </c>
      <c r="J2457" s="16" t="inlineStr">
        <is>
          <t>Opening Day</t>
        </is>
      </c>
      <c r="K2457" s="11">
        <f>IFERROR(INDEX(Roles!$B$17:$B$20,MATCH(J2457,Roles!$A$17:$A$20,0)),1)</f>
        <v/>
      </c>
      <c r="L2457" s="17" t="n">
        <v>1</v>
      </c>
      <c r="M2457" s="11" t="n">
        <v>1</v>
      </c>
      <c r="N2457" s="17" t="n"/>
      <c r="O2457" s="17" t="n"/>
      <c r="P2457" s="17" t="n"/>
      <c r="Q2457" s="17" t="n">
        <v>1</v>
      </c>
      <c r="R2457" s="17" t="n"/>
      <c r="S2457" s="17" t="n"/>
      <c r="T2457" s="17" t="n"/>
      <c r="U2457" s="17" t="n"/>
      <c r="V2457" s="17" t="n"/>
      <c r="W2457" s="17" t="n"/>
      <c r="X2457" s="17" t="n"/>
      <c r="Y2457" s="17" t="n"/>
      <c r="Z2457" s="13">
        <f>SUMPRODUCT(N2457:Y2457,$N$2:$Y$2)*$K2457*$L2457*$M2457</f>
        <v/>
      </c>
      <c r="AA2457" s="14">
        <f>SUM(N2457:Y2457)</f>
        <v/>
      </c>
      <c r="AB2457" s="14">
        <f>IFERROR(IF(UPPER($E2457)="L",SUMPRODUCT(N2457:Y2457,$N$3:$Y$3,$N$2:$Y$2),SUMPRODUCT(N2457:Y2457,$N$4:$Y$4,$N$2:$Y$2))/(Z2457/($K2457*$L2457*$M2457)),"")</f>
        <v/>
      </c>
      <c r="AC2457" s="18" t="n"/>
    </row>
    <row r="2458">
      <c r="A2458" s="9" t="n">
        <v>800169</v>
      </c>
      <c r="B2458" s="9" t="inlineStr">
        <is>
          <t>Aroon Escobar</t>
        </is>
      </c>
      <c r="C2458" s="9" t="inlineStr">
        <is>
          <t>PHI</t>
        </is>
      </c>
      <c r="D2458" s="9" t="n">
        <v>25</v>
      </c>
      <c r="E2458" s="16" t="inlineStr">
        <is>
          <t>R</t>
        </is>
      </c>
      <c r="F2458" s="16" t="n"/>
      <c r="G2458" s="9" t="n">
        <v>198.8717948717949</v>
      </c>
      <c r="H2458" s="9" t="n">
        <v>198.8717948717949</v>
      </c>
      <c r="I2458" s="9" t="inlineStr">
        <is>
          <t>Depth (no MLB PA)</t>
        </is>
      </c>
      <c r="J2458" s="16" t="inlineStr">
        <is>
          <t>Opening Day</t>
        </is>
      </c>
      <c r="K2458" s="11">
        <f>IFERROR(INDEX(Roles!$B$17:$B$20,MATCH(J2458,Roles!$A$17:$A$20,0)),1)</f>
        <v/>
      </c>
      <c r="L2458" s="17" t="n">
        <v>1</v>
      </c>
      <c r="M2458" s="11" t="n">
        <v>1</v>
      </c>
      <c r="N2458" s="17" t="n"/>
      <c r="O2458" s="17" t="n"/>
      <c r="P2458" s="17" t="n"/>
      <c r="Q2458" s="17" t="n"/>
      <c r="R2458" s="17" t="n"/>
      <c r="S2458" s="17" t="n"/>
      <c r="T2458" s="17" t="n"/>
      <c r="U2458" s="17" t="n"/>
      <c r="V2458" s="17" t="n"/>
      <c r="W2458" s="17" t="n"/>
      <c r="X2458" s="17" t="n"/>
      <c r="Y2458" s="17" t="n">
        <v>1</v>
      </c>
      <c r="Z2458" s="13">
        <f>SUMPRODUCT(N2458:Y2458,$N$2:$Y$2)*$K2458*$L2458*$M2458</f>
        <v/>
      </c>
      <c r="AA2458" s="14">
        <f>SUM(N2458:Y2458)</f>
        <v/>
      </c>
      <c r="AB2458" s="14">
        <f>IFERROR(IF(UPPER($E2458)="L",SUMPRODUCT(N2458:Y2458,$N$3:$Y$3,$N$2:$Y$2),SUMPRODUCT(N2458:Y2458,$N$4:$Y$4,$N$2:$Y$2))/(Z2458/($K2458*$L2458*$M2458)),"")</f>
        <v/>
      </c>
      <c r="AC2458" s="18" t="n"/>
    </row>
    <row r="2459">
      <c r="A2459" s="9" t="n">
        <v>809975</v>
      </c>
      <c r="B2459" s="9" t="inlineStr">
        <is>
          <t>Kodey Shojinaga</t>
        </is>
      </c>
      <c r="C2459" s="9" t="inlineStr">
        <is>
          <t>PHI</t>
        </is>
      </c>
      <c r="D2459" s="9" t="n">
        <v>25</v>
      </c>
      <c r="E2459" s="16" t="inlineStr">
        <is>
          <t>R</t>
        </is>
      </c>
      <c r="F2459" s="16" t="n"/>
      <c r="G2459" s="9" t="n">
        <v>75.07692307692308</v>
      </c>
      <c r="H2459" s="9" t="n">
        <v>75.07692307692308</v>
      </c>
      <c r="I2459" s="9" t="inlineStr">
        <is>
          <t>Depth (no MLB PA)</t>
        </is>
      </c>
      <c r="J2459" s="16" t="inlineStr">
        <is>
          <t>Opening Day</t>
        </is>
      </c>
      <c r="K2459" s="11">
        <f>IFERROR(INDEX(Roles!$B$17:$B$20,MATCH(J2459,Roles!$A$17:$A$20,0)),1)</f>
        <v/>
      </c>
      <c r="L2459" s="17" t="n">
        <v>1</v>
      </c>
      <c r="M2459" s="11" t="n">
        <v>1</v>
      </c>
      <c r="N2459" s="17" t="n"/>
      <c r="O2459" s="17" t="n"/>
      <c r="P2459" s="17" t="n"/>
      <c r="Q2459" s="17" t="n"/>
      <c r="R2459" s="17" t="n"/>
      <c r="S2459" s="17" t="n"/>
      <c r="T2459" s="17" t="n"/>
      <c r="U2459" s="17" t="n"/>
      <c r="V2459" s="17" t="n"/>
      <c r="W2459" s="17" t="n"/>
      <c r="X2459" s="17" t="n"/>
      <c r="Y2459" s="17" t="n">
        <v>1</v>
      </c>
      <c r="Z2459" s="13">
        <f>SUMPRODUCT(N2459:Y2459,$N$2:$Y$2)*$K2459*$L2459*$M2459</f>
        <v/>
      </c>
      <c r="AA2459" s="14">
        <f>SUM(N2459:Y2459)</f>
        <v/>
      </c>
      <c r="AB2459" s="14">
        <f>IFERROR(IF(UPPER($E2459)="L",SUMPRODUCT(N2459:Y2459,$N$3:$Y$3,$N$2:$Y$2),SUMPRODUCT(N2459:Y2459,$N$4:$Y$4,$N$2:$Y$2))/(Z2459/($K2459*$L2459*$M2459)),"")</f>
        <v/>
      </c>
      <c r="AC2459" s="18" t="n"/>
    </row>
    <row r="2460">
      <c r="A2460" s="9" t="n">
        <v>687005</v>
      </c>
      <c r="B2460" s="9" t="inlineStr">
        <is>
          <t>Kellen Strahm</t>
        </is>
      </c>
      <c r="C2460" s="9" t="inlineStr">
        <is>
          <t>HOU</t>
        </is>
      </c>
      <c r="D2460" s="9" t="n">
        <v>25</v>
      </c>
      <c r="E2460" s="16" t="inlineStr">
        <is>
          <t>R</t>
        </is>
      </c>
      <c r="F2460" s="16" t="n"/>
      <c r="G2460" s="9" t="n">
        <v>120.7179487179487</v>
      </c>
      <c r="H2460" s="9" t="n">
        <v>120.7179487179487</v>
      </c>
      <c r="I2460" s="9" t="inlineStr">
        <is>
          <t>Depth (no MLB PA)</t>
        </is>
      </c>
      <c r="J2460" s="16" t="inlineStr">
        <is>
          <t>Opening Day</t>
        </is>
      </c>
      <c r="K2460" s="11">
        <f>IFERROR(INDEX(Roles!$B$17:$B$20,MATCH(J2460,Roles!$A$17:$A$20,0)),1)</f>
        <v/>
      </c>
      <c r="L2460" s="17" t="n">
        <v>1</v>
      </c>
      <c r="M2460" s="11" t="n">
        <v>1</v>
      </c>
      <c r="N2460" s="17" t="n"/>
      <c r="O2460" s="17" t="n"/>
      <c r="P2460" s="17" t="n"/>
      <c r="Q2460" s="17" t="n"/>
      <c r="R2460" s="17" t="n"/>
      <c r="S2460" s="17" t="n"/>
      <c r="T2460" s="17" t="n"/>
      <c r="U2460" s="17" t="n"/>
      <c r="V2460" s="17" t="n"/>
      <c r="W2460" s="17" t="n"/>
      <c r="X2460" s="17" t="n"/>
      <c r="Y2460" s="17" t="n">
        <v>1</v>
      </c>
      <c r="Z2460" s="13">
        <f>SUMPRODUCT(N2460:Y2460,$N$2:$Y$2)*$K2460*$L2460*$M2460</f>
        <v/>
      </c>
      <c r="AA2460" s="14">
        <f>SUM(N2460:Y2460)</f>
        <v/>
      </c>
      <c r="AB2460" s="14">
        <f>IFERROR(IF(UPPER($E2460)="L",SUMPRODUCT(N2460:Y2460,$N$3:$Y$3,$N$2:$Y$2),SUMPRODUCT(N2460:Y2460,$N$4:$Y$4,$N$2:$Y$2))/(Z2460/($K2460*$L2460*$M2460)),"")</f>
        <v/>
      </c>
      <c r="AC2460" s="18" t="n"/>
    </row>
    <row r="2461">
      <c r="A2461" s="9" t="n">
        <v>694497</v>
      </c>
      <c r="B2461" s="9" t="inlineStr">
        <is>
          <t>Evan Carter</t>
        </is>
      </c>
      <c r="C2461" s="9" t="inlineStr">
        <is>
          <t>TEX</t>
        </is>
      </c>
      <c r="D2461" s="9" t="n">
        <v>24</v>
      </c>
      <c r="E2461" s="16" t="inlineStr">
        <is>
          <t>L</t>
        </is>
      </c>
      <c r="F2461" s="16" t="inlineStr">
        <is>
          <t>CF</t>
        </is>
      </c>
      <c r="G2461" s="9" t="n">
        <v>455</v>
      </c>
      <c r="H2461" s="9" t="n">
        <v>912</v>
      </c>
      <c r="I2461" s="9" t="inlineStr">
        <is>
          <t>Strong Side Platoon</t>
        </is>
      </c>
      <c r="J2461" s="16" t="inlineStr">
        <is>
          <t>Opening Day</t>
        </is>
      </c>
      <c r="K2461" s="11">
        <f>IFERROR(INDEX(Roles!$B$17:$B$20,MATCH(J2461,Roles!$A$17:$A$20,0)),1)</f>
        <v/>
      </c>
      <c r="L2461" s="17" t="n">
        <v>1</v>
      </c>
      <c r="M2461" s="11" t="n">
        <v>0.9206829007533536</v>
      </c>
      <c r="N2461" s="17" t="n">
        <v>0.4</v>
      </c>
      <c r="O2461" s="17" t="n"/>
      <c r="P2461" s="17" t="n">
        <v>0.6</v>
      </c>
      <c r="Q2461" s="17" t="n"/>
      <c r="R2461" s="17" t="n"/>
      <c r="S2461" s="17" t="n"/>
      <c r="T2461" s="17" t="n"/>
      <c r="U2461" s="17" t="n"/>
      <c r="V2461" s="17" t="n"/>
      <c r="W2461" s="17" t="n"/>
      <c r="X2461" s="17" t="n"/>
      <c r="Y2461" s="17" t="n"/>
      <c r="Z2461" s="13">
        <f>SUMPRODUCT(N2461:Y2461,$N$2:$Y$2)*$K2461*$L2461*$M2461</f>
        <v/>
      </c>
      <c r="AA2461" s="14">
        <f>SUM(N2461:Y2461)</f>
        <v/>
      </c>
      <c r="AB2461" s="14">
        <f>IFERROR(IF(UPPER($E2461)="L",SUMPRODUCT(N2461:Y2461,$N$3:$Y$3,$N$2:$Y$2),SUMPRODUCT(N2461:Y2461,$N$4:$Y$4,$N$2:$Y$2))/(Z2461/($K2461*$L2461*$M2461)),"")</f>
        <v/>
      </c>
      <c r="AC2461" s="18" t="n"/>
    </row>
    <row r="2462">
      <c r="A2462" s="9" t="n">
        <v>802355</v>
      </c>
      <c r="B2462" s="9" t="inlineStr">
        <is>
          <t>Tanner Schobel</t>
        </is>
      </c>
      <c r="C2462" s="9" t="inlineStr">
        <is>
          <t>MIN</t>
        </is>
      </c>
      <c r="D2462" s="9" t="n">
        <v>25</v>
      </c>
      <c r="E2462" s="16" t="inlineStr">
        <is>
          <t>R</t>
        </is>
      </c>
      <c r="F2462" s="16" t="n"/>
      <c r="G2462" s="9" t="n">
        <v>203.0769230769231</v>
      </c>
      <c r="H2462" s="9" t="n">
        <v>203.0769230769231</v>
      </c>
      <c r="I2462" s="9" t="inlineStr">
        <is>
          <t>Depth (no MLB PA)</t>
        </is>
      </c>
      <c r="J2462" s="16" t="inlineStr">
        <is>
          <t>Opening Day</t>
        </is>
      </c>
      <c r="K2462" s="11">
        <f>IFERROR(INDEX(Roles!$B$17:$B$20,MATCH(J2462,Roles!$A$17:$A$20,0)),1)</f>
        <v/>
      </c>
      <c r="L2462" s="17" t="n">
        <v>1</v>
      </c>
      <c r="M2462" s="11" t="n">
        <v>1</v>
      </c>
      <c r="N2462" s="17" t="n"/>
      <c r="O2462" s="17" t="n"/>
      <c r="P2462" s="17" t="n"/>
      <c r="Q2462" s="17" t="n"/>
      <c r="R2462" s="17" t="n"/>
      <c r="S2462" s="17" t="n"/>
      <c r="T2462" s="17" t="n"/>
      <c r="U2462" s="17" t="n"/>
      <c r="V2462" s="17" t="n"/>
      <c r="W2462" s="17" t="n"/>
      <c r="X2462" s="17" t="n"/>
      <c r="Y2462" s="17" t="n">
        <v>1</v>
      </c>
      <c r="Z2462" s="13">
        <f>SUMPRODUCT(N2462:Y2462,$N$2:$Y$2)*$K2462*$L2462*$M2462</f>
        <v/>
      </c>
      <c r="AA2462" s="14">
        <f>SUM(N2462:Y2462)</f>
        <v/>
      </c>
      <c r="AB2462" s="14">
        <f>IFERROR(IF(UPPER($E2462)="L",SUMPRODUCT(N2462:Y2462,$N$3:$Y$3,$N$2:$Y$2),SUMPRODUCT(N2462:Y2462,$N$4:$Y$4,$N$2:$Y$2))/(Z2462/($K2462*$L2462*$M2462)),"")</f>
        <v/>
      </c>
      <c r="AC2462" s="18" t="n"/>
    </row>
    <row r="2463">
      <c r="A2463" s="9" t="n">
        <v>671083</v>
      </c>
      <c r="B2463" s="9" t="inlineStr">
        <is>
          <t>Buddy Kennedy</t>
        </is>
      </c>
      <c r="C2463" s="9" t="inlineStr">
        <is>
          <t>SF</t>
        </is>
      </c>
      <c r="D2463" s="9" t="n">
        <v>28</v>
      </c>
      <c r="E2463" s="16" t="inlineStr">
        <is>
          <t>R</t>
        </is>
      </c>
      <c r="F2463" s="16" t="inlineStr">
        <is>
          <t>3B</t>
        </is>
      </c>
      <c r="G2463" s="9" t="n">
        <v>49</v>
      </c>
      <c r="H2463" s="9" t="n">
        <v>230</v>
      </c>
      <c r="I2463" s="9" t="inlineStr">
        <is>
          <t>Bench Bat</t>
        </is>
      </c>
      <c r="J2463" s="16" t="inlineStr">
        <is>
          <t>Opening Day</t>
        </is>
      </c>
      <c r="K2463" s="11">
        <f>IFERROR(INDEX(Roles!$B$17:$B$20,MATCH(J2463,Roles!$A$17:$A$20,0)),1)</f>
        <v/>
      </c>
      <c r="L2463" s="17" t="n">
        <v>1</v>
      </c>
      <c r="M2463" s="11" t="n">
        <v>1</v>
      </c>
      <c r="N2463" s="17" t="n"/>
      <c r="O2463" s="17" t="n"/>
      <c r="P2463" s="17" t="n"/>
      <c r="Q2463" s="17" t="n"/>
      <c r="R2463" s="17" t="n"/>
      <c r="S2463" s="17" t="n"/>
      <c r="T2463" s="17" t="n"/>
      <c r="U2463" s="17" t="n"/>
      <c r="V2463" s="17" t="n"/>
      <c r="W2463" s="17" t="n">
        <v>1</v>
      </c>
      <c r="X2463" s="17" t="n"/>
      <c r="Y2463" s="17" t="n"/>
      <c r="Z2463" s="13">
        <f>SUMPRODUCT(N2463:Y2463,$N$2:$Y$2)*$K2463*$L2463*$M2463</f>
        <v/>
      </c>
      <c r="AA2463" s="14">
        <f>SUM(N2463:Y2463)</f>
        <v/>
      </c>
      <c r="AB2463" s="14">
        <f>IFERROR(IF(UPPER($E2463)="L",SUMPRODUCT(N2463:Y2463,$N$3:$Y$3,$N$2:$Y$2),SUMPRODUCT(N2463:Y2463,$N$4:$Y$4,$N$2:$Y$2))/(Z2463/($K2463*$L2463*$M2463)),"")</f>
        <v/>
      </c>
      <c r="AC2463" s="18" t="n"/>
    </row>
    <row r="2464">
      <c r="A2464" s="9" t="n">
        <v>689041</v>
      </c>
      <c r="B2464" s="9" t="inlineStr">
        <is>
          <t>Rhylan Thomas</t>
        </is>
      </c>
      <c r="C2464" s="9" t="inlineStr">
        <is>
          <t>SEA</t>
        </is>
      </c>
      <c r="D2464" s="9" t="n">
        <v>27</v>
      </c>
      <c r="E2464" s="16" t="inlineStr">
        <is>
          <t>L</t>
        </is>
      </c>
      <c r="F2464" s="16" t="inlineStr">
        <is>
          <t>RF</t>
        </is>
      </c>
      <c r="G2464" s="9" t="n">
        <v>10</v>
      </c>
      <c r="H2464" s="9" t="n">
        <v>10</v>
      </c>
      <c r="I2464" s="9" t="inlineStr">
        <is>
          <t>Depth (no MLB PA)</t>
        </is>
      </c>
      <c r="J2464" s="16" t="inlineStr">
        <is>
          <t>Opening Day</t>
        </is>
      </c>
      <c r="K2464" s="11">
        <f>IFERROR(INDEX(Roles!$B$17:$B$20,MATCH(J2464,Roles!$A$17:$A$20,0)),1)</f>
        <v/>
      </c>
      <c r="L2464" s="17" t="n">
        <v>1</v>
      </c>
      <c r="M2464" s="11" t="n">
        <v>1</v>
      </c>
      <c r="N2464" s="17" t="n"/>
      <c r="O2464" s="17" t="n"/>
      <c r="P2464" s="17" t="n"/>
      <c r="Q2464" s="17" t="n"/>
      <c r="R2464" s="17" t="n"/>
      <c r="S2464" s="17" t="n"/>
      <c r="T2464" s="17" t="n"/>
      <c r="U2464" s="17" t="n"/>
      <c r="V2464" s="17" t="n"/>
      <c r="W2464" s="17" t="n"/>
      <c r="X2464" s="17" t="n"/>
      <c r="Y2464" s="17" t="n">
        <v>1</v>
      </c>
      <c r="Z2464" s="13">
        <f>SUMPRODUCT(N2464:Y2464,$N$2:$Y$2)*$K2464*$L2464*$M2464</f>
        <v/>
      </c>
      <c r="AA2464" s="14">
        <f>SUM(N2464:Y2464)</f>
        <v/>
      </c>
      <c r="AB2464" s="14">
        <f>IFERROR(IF(UPPER($E2464)="L",SUMPRODUCT(N2464:Y2464,$N$3:$Y$3,$N$2:$Y$2),SUMPRODUCT(N2464:Y2464,$N$4:$Y$4,$N$2:$Y$2))/(Z2464/($K2464*$L2464*$M2464)),"")</f>
        <v/>
      </c>
      <c r="AC2464" s="18" t="n"/>
    </row>
    <row r="2465">
      <c r="A2465" s="9" t="n">
        <v>682276</v>
      </c>
      <c r="B2465" s="9" t="inlineStr">
        <is>
          <t>Jose Cordova</t>
        </is>
      </c>
      <c r="C2465" s="9" t="inlineStr">
        <is>
          <t>COL</t>
        </is>
      </c>
      <c r="D2465" s="9" t="n">
        <v>25</v>
      </c>
      <c r="E2465" s="16" t="inlineStr">
        <is>
          <t>R</t>
        </is>
      </c>
      <c r="F2465" s="16" t="n"/>
      <c r="G2465" s="9" t="n">
        <v>108.3076923076923</v>
      </c>
      <c r="H2465" s="9" t="n">
        <v>108.3076923076923</v>
      </c>
      <c r="I2465" s="9" t="inlineStr">
        <is>
          <t>Depth (no MLB PA)</t>
        </is>
      </c>
      <c r="J2465" s="16" t="inlineStr">
        <is>
          <t>Opening Day</t>
        </is>
      </c>
      <c r="K2465" s="11">
        <f>IFERROR(INDEX(Roles!$B$17:$B$20,MATCH(J2465,Roles!$A$17:$A$20,0)),1)</f>
        <v/>
      </c>
      <c r="L2465" s="17" t="n">
        <v>1</v>
      </c>
      <c r="M2465" s="11" t="n">
        <v>1</v>
      </c>
      <c r="N2465" s="17" t="n"/>
      <c r="O2465" s="17" t="n"/>
      <c r="P2465" s="17" t="n"/>
      <c r="Q2465" s="17" t="n"/>
      <c r="R2465" s="17" t="n"/>
      <c r="S2465" s="17" t="n"/>
      <c r="T2465" s="17" t="n"/>
      <c r="U2465" s="17" t="n"/>
      <c r="V2465" s="17" t="n"/>
      <c r="W2465" s="17" t="n"/>
      <c r="X2465" s="17" t="n"/>
      <c r="Y2465" s="17" t="n">
        <v>1</v>
      </c>
      <c r="Z2465" s="13">
        <f>SUMPRODUCT(N2465:Y2465,$N$2:$Y$2)*$K2465*$L2465*$M2465</f>
        <v/>
      </c>
      <c r="AA2465" s="14">
        <f>SUM(N2465:Y2465)</f>
        <v/>
      </c>
      <c r="AB2465" s="14">
        <f>IFERROR(IF(UPPER($E2465)="L",SUMPRODUCT(N2465:Y2465,$N$3:$Y$3,$N$2:$Y$2),SUMPRODUCT(N2465:Y2465,$N$4:$Y$4,$N$2:$Y$2))/(Z2465/($K2465*$L2465*$M2465)),"")</f>
        <v/>
      </c>
      <c r="AC2465" s="18" t="n"/>
    </row>
    <row r="2466">
      <c r="A2466" s="9" t="n">
        <v>814431</v>
      </c>
      <c r="B2466" s="9" t="inlineStr">
        <is>
          <t>Jackson Castillo</t>
        </is>
      </c>
      <c r="C2466" s="9" t="inlineStr">
        <is>
          <t>NYY</t>
        </is>
      </c>
      <c r="D2466" s="9" t="n">
        <v>25</v>
      </c>
      <c r="E2466" s="16" t="inlineStr">
        <is>
          <t>L</t>
        </is>
      </c>
      <c r="F2466" s="16" t="n"/>
      <c r="G2466" s="9" t="n">
        <v>162.9743589743589</v>
      </c>
      <c r="H2466" s="9" t="n">
        <v>162.9743589743589</v>
      </c>
      <c r="I2466" s="9" t="inlineStr">
        <is>
          <t>Depth (no MLB PA)</t>
        </is>
      </c>
      <c r="J2466" s="16" t="inlineStr">
        <is>
          <t>Opening Day</t>
        </is>
      </c>
      <c r="K2466" s="11">
        <f>IFERROR(INDEX(Roles!$B$17:$B$20,MATCH(J2466,Roles!$A$17:$A$20,0)),1)</f>
        <v/>
      </c>
      <c r="L2466" s="17" t="n">
        <v>1</v>
      </c>
      <c r="M2466" s="11" t="n">
        <v>1</v>
      </c>
      <c r="N2466" s="17" t="n"/>
      <c r="O2466" s="17" t="n"/>
      <c r="P2466" s="17" t="n"/>
      <c r="Q2466" s="17" t="n"/>
      <c r="R2466" s="17" t="n"/>
      <c r="S2466" s="17" t="n"/>
      <c r="T2466" s="17" t="n"/>
      <c r="U2466" s="17" t="n"/>
      <c r="V2466" s="17" t="n"/>
      <c r="W2466" s="17" t="n"/>
      <c r="X2466" s="17" t="n"/>
      <c r="Y2466" s="17" t="n">
        <v>1</v>
      </c>
      <c r="Z2466" s="13">
        <f>SUMPRODUCT(N2466:Y2466,$N$2:$Y$2)*$K2466*$L2466*$M2466</f>
        <v/>
      </c>
      <c r="AA2466" s="14">
        <f>SUM(N2466:Y2466)</f>
        <v/>
      </c>
      <c r="AB2466" s="14">
        <f>IFERROR(IF(UPPER($E2466)="L",SUMPRODUCT(N2466:Y2466,$N$3:$Y$3,$N$2:$Y$2),SUMPRODUCT(N2466:Y2466,$N$4:$Y$4,$N$2:$Y$2))/(Z2466/($K2466*$L2466*$M2466)),"")</f>
        <v/>
      </c>
      <c r="AC2466" s="18" t="n"/>
    </row>
    <row r="2467">
      <c r="A2467" s="9" t="n">
        <v>666185</v>
      </c>
      <c r="B2467" s="9" t="inlineStr">
        <is>
          <t>Dylan Carlson</t>
        </is>
      </c>
      <c r="C2467" s="9" t="inlineStr">
        <is>
          <t>BAL</t>
        </is>
      </c>
      <c r="D2467" s="9" t="n">
        <v>28</v>
      </c>
      <c r="E2467" s="16" t="inlineStr">
        <is>
          <t>S</t>
        </is>
      </c>
      <c r="F2467" s="16" t="inlineStr">
        <is>
          <t>LF</t>
        </is>
      </c>
      <c r="G2467" s="9" t="n">
        <v>4</v>
      </c>
      <c r="H2467" s="9" t="n">
        <v>1253</v>
      </c>
      <c r="I2467" s="9" t="inlineStr">
        <is>
          <t>Utility OF / 4th OF</t>
        </is>
      </c>
      <c r="J2467" s="16" t="inlineStr">
        <is>
          <t>Opening Day</t>
        </is>
      </c>
      <c r="K2467" s="11">
        <f>IFERROR(INDEX(Roles!$B$17:$B$20,MATCH(J2467,Roles!$A$17:$A$20,0)),1)</f>
        <v/>
      </c>
      <c r="L2467" s="17" t="n">
        <v>1</v>
      </c>
      <c r="M2467" s="11" t="n">
        <v>1</v>
      </c>
      <c r="N2467" s="17" t="n"/>
      <c r="O2467" s="17" t="n"/>
      <c r="P2467" s="17" t="n"/>
      <c r="Q2467" s="17" t="n"/>
      <c r="R2467" s="17" t="n"/>
      <c r="S2467" s="17" t="n"/>
      <c r="T2467" s="17" t="n"/>
      <c r="U2467" s="17" t="n"/>
      <c r="V2467" s="17" t="n">
        <v>1</v>
      </c>
      <c r="W2467" s="17" t="n"/>
      <c r="X2467" s="17" t="n"/>
      <c r="Y2467" s="17" t="n"/>
      <c r="Z2467" s="13">
        <f>SUMPRODUCT(N2467:Y2467,$N$2:$Y$2)*$K2467*$L2467*$M2467</f>
        <v/>
      </c>
      <c r="AA2467" s="14">
        <f>SUM(N2467:Y2467)</f>
        <v/>
      </c>
      <c r="AB2467" s="14">
        <f>IFERROR(IF(UPPER($E2467)="L",SUMPRODUCT(N2467:Y2467,$N$3:$Y$3,$N$2:$Y$2),SUMPRODUCT(N2467:Y2467,$N$4:$Y$4,$N$2:$Y$2))/(Z2467/($K2467*$L2467*$M2467)),"")</f>
        <v/>
      </c>
      <c r="AC2467" s="18" t="n"/>
    </row>
    <row r="2468">
      <c r="A2468" s="9" t="n">
        <v>802143</v>
      </c>
      <c r="B2468" s="9" t="inlineStr">
        <is>
          <t>Dayne Leonard</t>
        </is>
      </c>
      <c r="C2468" s="9" t="inlineStr">
        <is>
          <t>CIN</t>
        </is>
      </c>
      <c r="D2468" s="9" t="n">
        <v>25</v>
      </c>
      <c r="E2468" s="16" t="inlineStr">
        <is>
          <t>R</t>
        </is>
      </c>
      <c r="F2468" s="16" t="n"/>
      <c r="G2468" s="9" t="n">
        <v>59.7948717948718</v>
      </c>
      <c r="H2468" s="9" t="n">
        <v>59.7948717948718</v>
      </c>
      <c r="I2468" s="9" t="inlineStr">
        <is>
          <t>Depth (no MLB PA)</t>
        </is>
      </c>
      <c r="J2468" s="16" t="inlineStr">
        <is>
          <t>Opening Day</t>
        </is>
      </c>
      <c r="K2468" s="11">
        <f>IFERROR(INDEX(Roles!$B$17:$B$20,MATCH(J2468,Roles!$A$17:$A$20,0)),1)</f>
        <v/>
      </c>
      <c r="L2468" s="17" t="n">
        <v>1</v>
      </c>
      <c r="M2468" s="11" t="n">
        <v>1</v>
      </c>
      <c r="N2468" s="17" t="n"/>
      <c r="O2468" s="17" t="n"/>
      <c r="P2468" s="17" t="n"/>
      <c r="Q2468" s="17" t="n"/>
      <c r="R2468" s="17" t="n"/>
      <c r="S2468" s="17" t="n"/>
      <c r="T2468" s="17" t="n"/>
      <c r="U2468" s="17" t="n"/>
      <c r="V2468" s="17" t="n"/>
      <c r="W2468" s="17" t="n"/>
      <c r="X2468" s="17" t="n"/>
      <c r="Y2468" s="17" t="n">
        <v>1</v>
      </c>
      <c r="Z2468" s="13">
        <f>SUMPRODUCT(N2468:Y2468,$N$2:$Y$2)*$K2468*$L2468*$M2468</f>
        <v/>
      </c>
      <c r="AA2468" s="14">
        <f>SUM(N2468:Y2468)</f>
        <v/>
      </c>
      <c r="AB2468" s="14">
        <f>IFERROR(IF(UPPER($E2468)="L",SUMPRODUCT(N2468:Y2468,$N$3:$Y$3,$N$2:$Y$2),SUMPRODUCT(N2468:Y2468,$N$4:$Y$4,$N$2:$Y$2))/(Z2468/($K2468*$L2468*$M2468)),"")</f>
        <v/>
      </c>
      <c r="AC2468" s="18" t="n"/>
    </row>
    <row r="2469">
      <c r="A2469" s="9" t="n">
        <v>701496</v>
      </c>
      <c r="B2469" s="9" t="inlineStr">
        <is>
          <t>Ben Cowles</t>
        </is>
      </c>
      <c r="C2469" s="9" t="inlineStr">
        <is>
          <t>CHC</t>
        </is>
      </c>
      <c r="D2469" s="9" t="n">
        <v>25</v>
      </c>
      <c r="E2469" s="16" t="inlineStr">
        <is>
          <t>R</t>
        </is>
      </c>
      <c r="F2469" s="16" t="n"/>
      <c r="G2469" s="9" t="n">
        <v>243.1282051282052</v>
      </c>
      <c r="H2469" s="9" t="n">
        <v>243.1282051282052</v>
      </c>
      <c r="I2469" s="9" t="inlineStr">
        <is>
          <t>Depth (no MLB PA)</t>
        </is>
      </c>
      <c r="J2469" s="16" t="inlineStr">
        <is>
          <t>Opening Day</t>
        </is>
      </c>
      <c r="K2469" s="11">
        <f>IFERROR(INDEX(Roles!$B$17:$B$20,MATCH(J2469,Roles!$A$17:$A$20,0)),1)</f>
        <v/>
      </c>
      <c r="L2469" s="17" t="n">
        <v>1</v>
      </c>
      <c r="M2469" s="11" t="n">
        <v>1</v>
      </c>
      <c r="N2469" s="17" t="n"/>
      <c r="O2469" s="17" t="n"/>
      <c r="P2469" s="17" t="n"/>
      <c r="Q2469" s="17" t="n"/>
      <c r="R2469" s="17" t="n"/>
      <c r="S2469" s="17" t="n"/>
      <c r="T2469" s="17" t="n"/>
      <c r="U2469" s="17" t="n"/>
      <c r="V2469" s="17" t="n"/>
      <c r="W2469" s="17" t="n"/>
      <c r="X2469" s="17" t="n"/>
      <c r="Y2469" s="17" t="n">
        <v>1</v>
      </c>
      <c r="Z2469" s="13">
        <f>SUMPRODUCT(N2469:Y2469,$N$2:$Y$2)*$K2469*$L2469*$M2469</f>
        <v/>
      </c>
      <c r="AA2469" s="14">
        <f>SUM(N2469:Y2469)</f>
        <v/>
      </c>
      <c r="AB2469" s="14">
        <f>IFERROR(IF(UPPER($E2469)="L",SUMPRODUCT(N2469:Y2469,$N$3:$Y$3,$N$2:$Y$2),SUMPRODUCT(N2469:Y2469,$N$4:$Y$4,$N$2:$Y$2))/(Z2469/($K2469*$L2469*$M2469)),"")</f>
        <v/>
      </c>
      <c r="AC2469" s="18" t="n"/>
    </row>
    <row r="2470">
      <c r="A2470" s="9" t="n">
        <v>804114</v>
      </c>
      <c r="B2470" s="9" t="inlineStr">
        <is>
          <t>Luke Pelzer</t>
        </is>
      </c>
      <c r="C2470" s="9" t="inlineStr">
        <is>
          <t>KC</t>
        </is>
      </c>
      <c r="D2470" s="9" t="n">
        <v>25</v>
      </c>
      <c r="E2470" s="16" t="inlineStr">
        <is>
          <t>L</t>
        </is>
      </c>
      <c r="F2470" s="16" t="n"/>
      <c r="G2470" s="9" t="n">
        <v>65.69230769230769</v>
      </c>
      <c r="H2470" s="9" t="n">
        <v>65.69230769230769</v>
      </c>
      <c r="I2470" s="9" t="inlineStr">
        <is>
          <t>Depth (no MLB PA)</t>
        </is>
      </c>
      <c r="J2470" s="16" t="inlineStr">
        <is>
          <t>Opening Day</t>
        </is>
      </c>
      <c r="K2470" s="11">
        <f>IFERROR(INDEX(Roles!$B$17:$B$20,MATCH(J2470,Roles!$A$17:$A$20,0)),1)</f>
        <v/>
      </c>
      <c r="L2470" s="17" t="n">
        <v>1</v>
      </c>
      <c r="M2470" s="11" t="n">
        <v>1</v>
      </c>
      <c r="N2470" s="17" t="n"/>
      <c r="O2470" s="17" t="n"/>
      <c r="P2470" s="17" t="n"/>
      <c r="Q2470" s="17" t="n"/>
      <c r="R2470" s="17" t="n"/>
      <c r="S2470" s="17" t="n"/>
      <c r="T2470" s="17" t="n"/>
      <c r="U2470" s="17" t="n"/>
      <c r="V2470" s="17" t="n"/>
      <c r="W2470" s="17" t="n"/>
      <c r="X2470" s="17" t="n"/>
      <c r="Y2470" s="17" t="n">
        <v>1</v>
      </c>
      <c r="Z2470" s="13">
        <f>SUMPRODUCT(N2470:Y2470,$N$2:$Y$2)*$K2470*$L2470*$M2470</f>
        <v/>
      </c>
      <c r="AA2470" s="14">
        <f>SUM(N2470:Y2470)</f>
        <v/>
      </c>
      <c r="AB2470" s="14">
        <f>IFERROR(IF(UPPER($E2470)="L",SUMPRODUCT(N2470:Y2470,$N$3:$Y$3,$N$2:$Y$2),SUMPRODUCT(N2470:Y2470,$N$4:$Y$4,$N$2:$Y$2))/(Z2470/($K2470*$L2470*$M2470)),"")</f>
        <v/>
      </c>
      <c r="AC2470" s="18" t="n"/>
    </row>
    <row r="2471">
      <c r="A2471" s="9" t="n">
        <v>805956</v>
      </c>
      <c r="B2471" s="9" t="inlineStr">
        <is>
          <t>Kai Roberts</t>
        </is>
      </c>
      <c r="C2471" s="9" t="inlineStr">
        <is>
          <t>SD</t>
        </is>
      </c>
      <c r="D2471" s="9" t="n">
        <v>25</v>
      </c>
      <c r="E2471" s="16" t="inlineStr">
        <is>
          <t>L</t>
        </is>
      </c>
      <c r="F2471" s="16" t="n"/>
      <c r="G2471" s="9" t="n">
        <v>112</v>
      </c>
      <c r="H2471" s="9" t="n">
        <v>112</v>
      </c>
      <c r="I2471" s="9" t="inlineStr">
        <is>
          <t>Depth (no MLB PA)</t>
        </is>
      </c>
      <c r="J2471" s="16" t="inlineStr">
        <is>
          <t>Opening Day</t>
        </is>
      </c>
      <c r="K2471" s="11">
        <f>IFERROR(INDEX(Roles!$B$17:$B$20,MATCH(J2471,Roles!$A$17:$A$20,0)),1)</f>
        <v/>
      </c>
      <c r="L2471" s="17" t="n">
        <v>1</v>
      </c>
      <c r="M2471" s="11" t="n">
        <v>1</v>
      </c>
      <c r="N2471" s="17" t="n"/>
      <c r="O2471" s="17" t="n"/>
      <c r="P2471" s="17" t="n"/>
      <c r="Q2471" s="17" t="n"/>
      <c r="R2471" s="17" t="n"/>
      <c r="S2471" s="17" t="n"/>
      <c r="T2471" s="17" t="n"/>
      <c r="U2471" s="17" t="n"/>
      <c r="V2471" s="17" t="n"/>
      <c r="W2471" s="17" t="n"/>
      <c r="X2471" s="17" t="n"/>
      <c r="Y2471" s="17" t="n">
        <v>1</v>
      </c>
      <c r="Z2471" s="13">
        <f>SUMPRODUCT(N2471:Y2471,$N$2:$Y$2)*$K2471*$L2471*$M2471</f>
        <v/>
      </c>
      <c r="AA2471" s="14">
        <f>SUM(N2471:Y2471)</f>
        <v/>
      </c>
      <c r="AB2471" s="14">
        <f>IFERROR(IF(UPPER($E2471)="L",SUMPRODUCT(N2471:Y2471,$N$3:$Y$3,$N$2:$Y$2),SUMPRODUCT(N2471:Y2471,$N$4:$Y$4,$N$2:$Y$2))/(Z2471/($K2471*$L2471*$M2471)),"")</f>
        <v/>
      </c>
      <c r="AC2471" s="18" t="n"/>
    </row>
    <row r="2472">
      <c r="A2472" s="9" t="n">
        <v>800050</v>
      </c>
      <c r="B2472" s="9" t="inlineStr">
        <is>
          <t>Chase DeLauter</t>
        </is>
      </c>
      <c r="C2472" s="9" t="inlineStr">
        <is>
          <t>CLE</t>
        </is>
      </c>
      <c r="D2472" s="9" t="n">
        <v>25</v>
      </c>
      <c r="E2472" s="16" t="inlineStr">
        <is>
          <t>L</t>
        </is>
      </c>
      <c r="F2472" s="16" t="inlineStr">
        <is>
          <t>RF</t>
        </is>
      </c>
      <c r="G2472" s="9" t="n">
        <v>559</v>
      </c>
      <c r="H2472" s="9" t="n">
        <v>559</v>
      </c>
      <c r="I2472" s="9" t="inlineStr">
        <is>
          <t>Full Time</t>
        </is>
      </c>
      <c r="J2472" s="16" t="inlineStr">
        <is>
          <t>Opening Day</t>
        </is>
      </c>
      <c r="K2472" s="11">
        <f>IFERROR(INDEX(Roles!$B$17:$B$20,MATCH(J2472,Roles!$A$17:$A$20,0)),1)</f>
        <v/>
      </c>
      <c r="L2472" s="17" t="n">
        <v>1</v>
      </c>
      <c r="M2472" s="11" t="n">
        <v>0.9883683892285738</v>
      </c>
      <c r="N2472" s="17" t="n">
        <v>1</v>
      </c>
      <c r="O2472" s="17" t="n"/>
      <c r="P2472" s="17" t="n"/>
      <c r="Q2472" s="17" t="n"/>
      <c r="R2472" s="17" t="n"/>
      <c r="S2472" s="17" t="n"/>
      <c r="T2472" s="17" t="n"/>
      <c r="U2472" s="17" t="n"/>
      <c r="V2472" s="17" t="n"/>
      <c r="W2472" s="17" t="n"/>
      <c r="X2472" s="17" t="n"/>
      <c r="Y2472" s="17" t="n"/>
      <c r="Z2472" s="13">
        <f>SUMPRODUCT(N2472:Y2472,$N$2:$Y$2)*$K2472*$L2472*$M2472</f>
        <v/>
      </c>
      <c r="AA2472" s="14">
        <f>SUM(N2472:Y2472)</f>
        <v/>
      </c>
      <c r="AB2472" s="14">
        <f>IFERROR(IF(UPPER($E2472)="L",SUMPRODUCT(N2472:Y2472,$N$3:$Y$3,$N$2:$Y$2),SUMPRODUCT(N2472:Y2472,$N$4:$Y$4,$N$2:$Y$2))/(Z2472/($K2472*$L2472*$M2472)),"")</f>
        <v/>
      </c>
      <c r="AC2472" s="18" t="n"/>
    </row>
    <row r="2473">
      <c r="A2473" s="9" t="n">
        <v>672463</v>
      </c>
      <c r="B2473" s="9" t="inlineStr">
        <is>
          <t>Rafael Lantigua</t>
        </is>
      </c>
      <c r="C2473" s="9" t="inlineStr">
        <is>
          <t>TOR</t>
        </is>
      </c>
      <c r="D2473" s="9" t="n">
        <v>25</v>
      </c>
      <c r="E2473" s="16" t="inlineStr">
        <is>
          <t>R</t>
        </is>
      </c>
      <c r="F2473" s="16" t="n"/>
      <c r="G2473" s="9" t="n">
        <v>124.6666666666667</v>
      </c>
      <c r="H2473" s="9" t="n">
        <v>124.6666666666667</v>
      </c>
      <c r="I2473" s="9" t="inlineStr">
        <is>
          <t>Depth (no MLB PA)</t>
        </is>
      </c>
      <c r="J2473" s="16" t="inlineStr">
        <is>
          <t>Opening Day</t>
        </is>
      </c>
      <c r="K2473" s="11">
        <f>IFERROR(INDEX(Roles!$B$17:$B$20,MATCH(J2473,Roles!$A$17:$A$20,0)),1)</f>
        <v/>
      </c>
      <c r="L2473" s="17" t="n">
        <v>1</v>
      </c>
      <c r="M2473" s="11" t="n">
        <v>1</v>
      </c>
      <c r="N2473" s="17" t="n"/>
      <c r="O2473" s="17" t="n"/>
      <c r="P2473" s="17" t="n"/>
      <c r="Q2473" s="17" t="n"/>
      <c r="R2473" s="17" t="n"/>
      <c r="S2473" s="17" t="n"/>
      <c r="T2473" s="17" t="n"/>
      <c r="U2473" s="17" t="n"/>
      <c r="V2473" s="17" t="n"/>
      <c r="W2473" s="17" t="n"/>
      <c r="X2473" s="17" t="n"/>
      <c r="Y2473" s="17" t="n">
        <v>1</v>
      </c>
      <c r="Z2473" s="13">
        <f>SUMPRODUCT(N2473:Y2473,$N$2:$Y$2)*$K2473*$L2473*$M2473</f>
        <v/>
      </c>
      <c r="AA2473" s="14">
        <f>SUM(N2473:Y2473)</f>
        <v/>
      </c>
      <c r="AB2473" s="14">
        <f>IFERROR(IF(UPPER($E2473)="L",SUMPRODUCT(N2473:Y2473,$N$3:$Y$3,$N$2:$Y$2),SUMPRODUCT(N2473:Y2473,$N$4:$Y$4,$N$2:$Y$2))/(Z2473/($K2473*$L2473*$M2473)),"")</f>
        <v/>
      </c>
      <c r="AC2473" s="18" t="n"/>
    </row>
    <row r="2474">
      <c r="A2474" s="9" t="n">
        <v>701648</v>
      </c>
      <c r="B2474" s="9" t="inlineStr">
        <is>
          <t>Aaron Zavala</t>
        </is>
      </c>
      <c r="C2474" s="9" t="inlineStr">
        <is>
          <t>TEX</t>
        </is>
      </c>
      <c r="D2474" s="9" t="n">
        <v>25</v>
      </c>
      <c r="E2474" s="16" t="inlineStr">
        <is>
          <t>L</t>
        </is>
      </c>
      <c r="F2474" s="16" t="n"/>
      <c r="G2474" s="9" t="n">
        <v>282.0512820512821</v>
      </c>
      <c r="H2474" s="9" t="n">
        <v>282.0512820512821</v>
      </c>
      <c r="I2474" s="9" t="inlineStr">
        <is>
          <t>Depth (no MLB PA)</t>
        </is>
      </c>
      <c r="J2474" s="16" t="inlineStr">
        <is>
          <t>Opening Day</t>
        </is>
      </c>
      <c r="K2474" s="11">
        <f>IFERROR(INDEX(Roles!$B$17:$B$20,MATCH(J2474,Roles!$A$17:$A$20,0)),1)</f>
        <v/>
      </c>
      <c r="L2474" s="17" t="n">
        <v>1</v>
      </c>
      <c r="M2474" s="11" t="n">
        <v>1</v>
      </c>
      <c r="N2474" s="17" t="n"/>
      <c r="O2474" s="17" t="n"/>
      <c r="P2474" s="17" t="n"/>
      <c r="Q2474" s="17" t="n"/>
      <c r="R2474" s="17" t="n"/>
      <c r="S2474" s="17" t="n"/>
      <c r="T2474" s="17" t="n"/>
      <c r="U2474" s="17" t="n"/>
      <c r="V2474" s="17" t="n"/>
      <c r="W2474" s="17" t="n"/>
      <c r="X2474" s="17" t="n"/>
      <c r="Y2474" s="17" t="n">
        <v>1</v>
      </c>
      <c r="Z2474" s="13">
        <f>SUMPRODUCT(N2474:Y2474,$N$2:$Y$2)*$K2474*$L2474*$M2474</f>
        <v/>
      </c>
      <c r="AA2474" s="14">
        <f>SUM(N2474:Y2474)</f>
        <v/>
      </c>
      <c r="AB2474" s="14">
        <f>IFERROR(IF(UPPER($E2474)="L",SUMPRODUCT(N2474:Y2474,$N$3:$Y$3,$N$2:$Y$2),SUMPRODUCT(N2474:Y2474,$N$4:$Y$4,$N$2:$Y$2))/(Z2474/($K2474*$L2474*$M2474)),"")</f>
        <v/>
      </c>
      <c r="AC2474" s="18" t="n"/>
    </row>
    <row r="2475">
      <c r="A2475" s="9" t="n">
        <v>814528</v>
      </c>
      <c r="B2475" s="9" t="inlineStr">
        <is>
          <t>Sam Kulasingam</t>
        </is>
      </c>
      <c r="C2475" s="9" t="inlineStr">
        <is>
          <t>KC</t>
        </is>
      </c>
      <c r="D2475" s="9" t="n">
        <v>25</v>
      </c>
      <c r="E2475" s="16" t="inlineStr">
        <is>
          <t>S</t>
        </is>
      </c>
      <c r="F2475" s="16" t="n"/>
      <c r="G2475" s="9" t="n">
        <v>197.4358974358974</v>
      </c>
      <c r="H2475" s="9" t="n">
        <v>197.4358974358974</v>
      </c>
      <c r="I2475" s="9" t="inlineStr">
        <is>
          <t>Depth (no MLB PA)</t>
        </is>
      </c>
      <c r="J2475" s="16" t="inlineStr">
        <is>
          <t>Opening Day</t>
        </is>
      </c>
      <c r="K2475" s="11">
        <f>IFERROR(INDEX(Roles!$B$17:$B$20,MATCH(J2475,Roles!$A$17:$A$20,0)),1)</f>
        <v/>
      </c>
      <c r="L2475" s="17" t="n">
        <v>1</v>
      </c>
      <c r="M2475" s="11" t="n">
        <v>1</v>
      </c>
      <c r="N2475" s="17" t="n"/>
      <c r="O2475" s="17" t="n"/>
      <c r="P2475" s="17" t="n"/>
      <c r="Q2475" s="17" t="n"/>
      <c r="R2475" s="17" t="n"/>
      <c r="S2475" s="17" t="n"/>
      <c r="T2475" s="17" t="n"/>
      <c r="U2475" s="17" t="n"/>
      <c r="V2475" s="17" t="n"/>
      <c r="W2475" s="17" t="n"/>
      <c r="X2475" s="17" t="n"/>
      <c r="Y2475" s="17" t="n">
        <v>1</v>
      </c>
      <c r="Z2475" s="13">
        <f>SUMPRODUCT(N2475:Y2475,$N$2:$Y$2)*$K2475*$L2475*$M2475</f>
        <v/>
      </c>
      <c r="AA2475" s="14">
        <f>SUM(N2475:Y2475)</f>
        <v/>
      </c>
      <c r="AB2475" s="14">
        <f>IFERROR(IF(UPPER($E2475)="L",SUMPRODUCT(N2475:Y2475,$N$3:$Y$3,$N$2:$Y$2),SUMPRODUCT(N2475:Y2475,$N$4:$Y$4,$N$2:$Y$2))/(Z2475/($K2475*$L2475*$M2475)),"")</f>
        <v/>
      </c>
      <c r="AC2475" s="18" t="n"/>
    </row>
    <row r="2476">
      <c r="A2476" s="9" t="n">
        <v>815154</v>
      </c>
      <c r="B2476" s="9" t="inlineStr">
        <is>
          <t>Slade Caldwell</t>
        </is>
      </c>
      <c r="C2476" s="9" t="inlineStr">
        <is>
          <t>ARI</t>
        </is>
      </c>
      <c r="D2476" s="9" t="n">
        <v>25</v>
      </c>
      <c r="E2476" s="16" t="inlineStr">
        <is>
          <t>L</t>
        </is>
      </c>
      <c r="F2476" s="16" t="n"/>
      <c r="G2476" s="9" t="n">
        <v>92.30769230769232</v>
      </c>
      <c r="H2476" s="9" t="n">
        <v>92.30769230769232</v>
      </c>
      <c r="I2476" s="9" t="inlineStr">
        <is>
          <t>Depth (no MLB PA)</t>
        </is>
      </c>
      <c r="J2476" s="16" t="inlineStr">
        <is>
          <t>Opening Day</t>
        </is>
      </c>
      <c r="K2476" s="11">
        <f>IFERROR(INDEX(Roles!$B$17:$B$20,MATCH(J2476,Roles!$A$17:$A$20,0)),1)</f>
        <v/>
      </c>
      <c r="L2476" s="17" t="n">
        <v>1</v>
      </c>
      <c r="M2476" s="11" t="n">
        <v>1</v>
      </c>
      <c r="N2476" s="17" t="n"/>
      <c r="O2476" s="17" t="n"/>
      <c r="P2476" s="17" t="n"/>
      <c r="Q2476" s="17" t="n"/>
      <c r="R2476" s="17" t="n"/>
      <c r="S2476" s="17" t="n"/>
      <c r="T2476" s="17" t="n"/>
      <c r="U2476" s="17" t="n"/>
      <c r="V2476" s="17" t="n"/>
      <c r="W2476" s="17" t="n"/>
      <c r="X2476" s="17" t="n"/>
      <c r="Y2476" s="17" t="n">
        <v>1</v>
      </c>
      <c r="Z2476" s="13">
        <f>SUMPRODUCT(N2476:Y2476,$N$2:$Y$2)*$K2476*$L2476*$M2476</f>
        <v/>
      </c>
      <c r="AA2476" s="14">
        <f>SUM(N2476:Y2476)</f>
        <v/>
      </c>
      <c r="AB2476" s="14">
        <f>IFERROR(IF(UPPER($E2476)="L",SUMPRODUCT(N2476:Y2476,$N$3:$Y$3,$N$2:$Y$2),SUMPRODUCT(N2476:Y2476,$N$4:$Y$4,$N$2:$Y$2))/(Z2476/($K2476*$L2476*$M2476)),"")</f>
        <v/>
      </c>
      <c r="AC2476" s="18" t="n"/>
    </row>
    <row r="2477">
      <c r="A2477" s="9" t="n">
        <v>801978</v>
      </c>
      <c r="B2477" s="9" t="inlineStr">
        <is>
          <t>Callan Moss</t>
        </is>
      </c>
      <c r="C2477" s="9" t="inlineStr">
        <is>
          <t>PIT</t>
        </is>
      </c>
      <c r="D2477" s="9" t="n">
        <v>25</v>
      </c>
      <c r="E2477" s="16" t="inlineStr">
        <is>
          <t>R</t>
        </is>
      </c>
      <c r="F2477" s="16" t="n"/>
      <c r="G2477" s="9" t="n">
        <v>187.0256410256411</v>
      </c>
      <c r="H2477" s="9" t="n">
        <v>187.0256410256411</v>
      </c>
      <c r="I2477" s="9" t="inlineStr">
        <is>
          <t>Depth (no MLB PA)</t>
        </is>
      </c>
      <c r="J2477" s="16" t="inlineStr">
        <is>
          <t>Opening Day</t>
        </is>
      </c>
      <c r="K2477" s="11">
        <f>IFERROR(INDEX(Roles!$B$17:$B$20,MATCH(J2477,Roles!$A$17:$A$20,0)),1)</f>
        <v/>
      </c>
      <c r="L2477" s="17" t="n">
        <v>1</v>
      </c>
      <c r="M2477" s="11" t="n">
        <v>1</v>
      </c>
      <c r="N2477" s="17" t="n"/>
      <c r="O2477" s="17" t="n"/>
      <c r="P2477" s="17" t="n"/>
      <c r="Q2477" s="17" t="n"/>
      <c r="R2477" s="17" t="n"/>
      <c r="S2477" s="17" t="n"/>
      <c r="T2477" s="17" t="n"/>
      <c r="U2477" s="17" t="n"/>
      <c r="V2477" s="17" t="n"/>
      <c r="W2477" s="17" t="n"/>
      <c r="X2477" s="17" t="n"/>
      <c r="Y2477" s="17" t="n">
        <v>1</v>
      </c>
      <c r="Z2477" s="13">
        <f>SUMPRODUCT(N2477:Y2477,$N$2:$Y$2)*$K2477*$L2477*$M2477</f>
        <v/>
      </c>
      <c r="AA2477" s="14">
        <f>SUM(N2477:Y2477)</f>
        <v/>
      </c>
      <c r="AB2477" s="14">
        <f>IFERROR(IF(UPPER($E2477)="L",SUMPRODUCT(N2477:Y2477,$N$3:$Y$3,$N$2:$Y$2),SUMPRODUCT(N2477:Y2477,$N$4:$Y$4,$N$2:$Y$2))/(Z2477/($K2477*$L2477*$M2477)),"")</f>
        <v/>
      </c>
      <c r="AC2477" s="18" t="n"/>
    </row>
    <row r="2478">
      <c r="A2478" s="9" t="n">
        <v>694930</v>
      </c>
      <c r="B2478" s="9" t="inlineStr">
        <is>
          <t>Carson Taylor</t>
        </is>
      </c>
      <c r="C2478" s="9" t="inlineStr">
        <is>
          <t>SEA</t>
        </is>
      </c>
      <c r="D2478" s="9" t="n">
        <v>25</v>
      </c>
      <c r="E2478" s="16" t="inlineStr">
        <is>
          <t>L</t>
        </is>
      </c>
      <c r="F2478" s="16" t="n"/>
      <c r="G2478" s="9" t="n">
        <v>125.7948717948718</v>
      </c>
      <c r="H2478" s="9" t="n">
        <v>125.7948717948718</v>
      </c>
      <c r="I2478" s="9" t="inlineStr">
        <is>
          <t>Depth (no MLB PA)</t>
        </is>
      </c>
      <c r="J2478" s="16" t="inlineStr">
        <is>
          <t>Opening Day</t>
        </is>
      </c>
      <c r="K2478" s="11">
        <f>IFERROR(INDEX(Roles!$B$17:$B$20,MATCH(J2478,Roles!$A$17:$A$20,0)),1)</f>
        <v/>
      </c>
      <c r="L2478" s="17" t="n">
        <v>1</v>
      </c>
      <c r="M2478" s="11" t="n">
        <v>1</v>
      </c>
      <c r="N2478" s="17" t="n"/>
      <c r="O2478" s="17" t="n"/>
      <c r="P2478" s="17" t="n"/>
      <c r="Q2478" s="17" t="n"/>
      <c r="R2478" s="17" t="n"/>
      <c r="S2478" s="17" t="n"/>
      <c r="T2478" s="17" t="n"/>
      <c r="U2478" s="17" t="n"/>
      <c r="V2478" s="17" t="n"/>
      <c r="W2478" s="17" t="n"/>
      <c r="X2478" s="17" t="n"/>
      <c r="Y2478" s="17" t="n">
        <v>1</v>
      </c>
      <c r="Z2478" s="13">
        <f>SUMPRODUCT(N2478:Y2478,$N$2:$Y$2)*$K2478*$L2478*$M2478</f>
        <v/>
      </c>
      <c r="AA2478" s="14">
        <f>SUM(N2478:Y2478)</f>
        <v/>
      </c>
      <c r="AB2478" s="14">
        <f>IFERROR(IF(UPPER($E2478)="L",SUMPRODUCT(N2478:Y2478,$N$3:$Y$3,$N$2:$Y$2),SUMPRODUCT(N2478:Y2478,$N$4:$Y$4,$N$2:$Y$2))/(Z2478/($K2478*$L2478*$M2478)),"")</f>
        <v/>
      </c>
      <c r="AC2478" s="18" t="n"/>
    </row>
    <row r="2479">
      <c r="A2479" s="9" t="n">
        <v>800370</v>
      </c>
      <c r="B2479" s="9" t="inlineStr">
        <is>
          <t>Eduardo Guerrero</t>
        </is>
      </c>
      <c r="C2479" s="9" t="inlineStr">
        <is>
          <t>LAD</t>
        </is>
      </c>
      <c r="D2479" s="9" t="n">
        <v>25</v>
      </c>
      <c r="E2479" s="16" t="inlineStr">
        <is>
          <t>S</t>
        </is>
      </c>
      <c r="F2479" s="16" t="n"/>
      <c r="G2479" s="9" t="n">
        <v>93.94871794871796</v>
      </c>
      <c r="H2479" s="9" t="n">
        <v>93.94871794871796</v>
      </c>
      <c r="I2479" s="9" t="inlineStr">
        <is>
          <t>Depth (no MLB PA)</t>
        </is>
      </c>
      <c r="J2479" s="16" t="inlineStr">
        <is>
          <t>Opening Day</t>
        </is>
      </c>
      <c r="K2479" s="11">
        <f>IFERROR(INDEX(Roles!$B$17:$B$20,MATCH(J2479,Roles!$A$17:$A$20,0)),1)</f>
        <v/>
      </c>
      <c r="L2479" s="17" t="n">
        <v>1</v>
      </c>
      <c r="M2479" s="11" t="n">
        <v>1</v>
      </c>
      <c r="N2479" s="17" t="n"/>
      <c r="O2479" s="17" t="n"/>
      <c r="P2479" s="17" t="n"/>
      <c r="Q2479" s="17" t="n"/>
      <c r="R2479" s="17" t="n"/>
      <c r="S2479" s="17" t="n"/>
      <c r="T2479" s="17" t="n"/>
      <c r="U2479" s="17" t="n"/>
      <c r="V2479" s="17" t="n"/>
      <c r="W2479" s="17" t="n"/>
      <c r="X2479" s="17" t="n"/>
      <c r="Y2479" s="17" t="n">
        <v>1</v>
      </c>
      <c r="Z2479" s="13">
        <f>SUMPRODUCT(N2479:Y2479,$N$2:$Y$2)*$K2479*$L2479*$M2479</f>
        <v/>
      </c>
      <c r="AA2479" s="14">
        <f>SUM(N2479:Y2479)</f>
        <v/>
      </c>
      <c r="AB2479" s="14">
        <f>IFERROR(IF(UPPER($E2479)="L",SUMPRODUCT(N2479:Y2479,$N$3:$Y$3,$N$2:$Y$2),SUMPRODUCT(N2479:Y2479,$N$4:$Y$4,$N$2:$Y$2))/(Z2479/($K2479*$L2479*$M2479)),"")</f>
        <v/>
      </c>
      <c r="AC2479" s="18" t="n"/>
    </row>
    <row r="2480">
      <c r="A2480" s="9" t="n">
        <v>686523</v>
      </c>
      <c r="B2480" s="9" t="inlineStr">
        <is>
          <t>Peyton Wilson</t>
        </is>
      </c>
      <c r="C2480" s="9" t="inlineStr">
        <is>
          <t>KC</t>
        </is>
      </c>
      <c r="D2480" s="9" t="n">
        <v>25</v>
      </c>
      <c r="E2480" s="16" t="inlineStr">
        <is>
          <t>S</t>
        </is>
      </c>
      <c r="F2480" s="16" t="n"/>
      <c r="G2480" s="9" t="n">
        <v>204.2051282051282</v>
      </c>
      <c r="H2480" s="9" t="n">
        <v>204.2051282051282</v>
      </c>
      <c r="I2480" s="9" t="inlineStr">
        <is>
          <t>Depth (no MLB PA)</t>
        </is>
      </c>
      <c r="J2480" s="16" t="inlineStr">
        <is>
          <t>Opening Day</t>
        </is>
      </c>
      <c r="K2480" s="11">
        <f>IFERROR(INDEX(Roles!$B$17:$B$20,MATCH(J2480,Roles!$A$17:$A$20,0)),1)</f>
        <v/>
      </c>
      <c r="L2480" s="17" t="n">
        <v>1</v>
      </c>
      <c r="M2480" s="11" t="n">
        <v>1</v>
      </c>
      <c r="N2480" s="17" t="n"/>
      <c r="O2480" s="17" t="n"/>
      <c r="P2480" s="17" t="n"/>
      <c r="Q2480" s="17" t="n"/>
      <c r="R2480" s="17" t="n"/>
      <c r="S2480" s="17" t="n"/>
      <c r="T2480" s="17" t="n"/>
      <c r="U2480" s="17" t="n"/>
      <c r="V2480" s="17" t="n"/>
      <c r="W2480" s="17" t="n"/>
      <c r="X2480" s="17" t="n"/>
      <c r="Y2480" s="17" t="n">
        <v>1</v>
      </c>
      <c r="Z2480" s="13">
        <f>SUMPRODUCT(N2480:Y2480,$N$2:$Y$2)*$K2480*$L2480*$M2480</f>
        <v/>
      </c>
      <c r="AA2480" s="14">
        <f>SUM(N2480:Y2480)</f>
        <v/>
      </c>
      <c r="AB2480" s="14">
        <f>IFERROR(IF(UPPER($E2480)="L",SUMPRODUCT(N2480:Y2480,$N$3:$Y$3,$N$2:$Y$2),SUMPRODUCT(N2480:Y2480,$N$4:$Y$4,$N$2:$Y$2))/(Z2480/($K2480*$L2480*$M2480)),"")</f>
        <v/>
      </c>
      <c r="AC2480" s="18" t="n"/>
    </row>
    <row r="2481">
      <c r="A2481" s="9" t="n">
        <v>829649</v>
      </c>
      <c r="B2481" s="9" t="inlineStr">
        <is>
          <t>Colin Yeaman</t>
        </is>
      </c>
      <c r="C2481" s="9" t="inlineStr">
        <is>
          <t>BAL</t>
        </is>
      </c>
      <c r="D2481" s="9" t="n">
        <v>25</v>
      </c>
      <c r="E2481" s="16" t="inlineStr">
        <is>
          <t>R</t>
        </is>
      </c>
      <c r="F2481" s="16" t="n"/>
      <c r="G2481" s="9" t="n">
        <v>78.56410256410257</v>
      </c>
      <c r="H2481" s="9" t="n">
        <v>78.56410256410257</v>
      </c>
      <c r="I2481" s="9" t="inlineStr">
        <is>
          <t>Depth (no MLB PA)</t>
        </is>
      </c>
      <c r="J2481" s="16" t="inlineStr">
        <is>
          <t>Opening Day</t>
        </is>
      </c>
      <c r="K2481" s="11">
        <f>IFERROR(INDEX(Roles!$B$17:$B$20,MATCH(J2481,Roles!$A$17:$A$20,0)),1)</f>
        <v/>
      </c>
      <c r="L2481" s="17" t="n">
        <v>1</v>
      </c>
      <c r="M2481" s="11" t="n">
        <v>1</v>
      </c>
      <c r="N2481" s="17" t="n"/>
      <c r="O2481" s="17" t="n"/>
      <c r="P2481" s="17" t="n"/>
      <c r="Q2481" s="17" t="n"/>
      <c r="R2481" s="17" t="n"/>
      <c r="S2481" s="17" t="n"/>
      <c r="T2481" s="17" t="n"/>
      <c r="U2481" s="17" t="n"/>
      <c r="V2481" s="17" t="n"/>
      <c r="W2481" s="17" t="n"/>
      <c r="X2481" s="17" t="n"/>
      <c r="Y2481" s="17" t="n">
        <v>1</v>
      </c>
      <c r="Z2481" s="13">
        <f>SUMPRODUCT(N2481:Y2481,$N$2:$Y$2)*$K2481*$L2481*$M2481</f>
        <v/>
      </c>
      <c r="AA2481" s="14">
        <f>SUM(N2481:Y2481)</f>
        <v/>
      </c>
      <c r="AB2481" s="14">
        <f>IFERROR(IF(UPPER($E2481)="L",SUMPRODUCT(N2481:Y2481,$N$3:$Y$3,$N$2:$Y$2),SUMPRODUCT(N2481:Y2481,$N$4:$Y$4,$N$2:$Y$2))/(Z2481/($K2481*$L2481*$M2481)),"")</f>
        <v/>
      </c>
      <c r="AC2481" s="18" t="n"/>
    </row>
    <row r="2482">
      <c r="A2482" s="9" t="n">
        <v>542208</v>
      </c>
      <c r="B2482" s="9" t="inlineStr">
        <is>
          <t>Carlos Pérez</t>
        </is>
      </c>
      <c r="C2482" s="9" t="inlineStr">
        <is>
          <t>OAK</t>
        </is>
      </c>
      <c r="D2482" s="9" t="n">
        <v>36</v>
      </c>
      <c r="E2482" s="16" t="inlineStr">
        <is>
          <t>R</t>
        </is>
      </c>
      <c r="F2482" s="16" t="inlineStr">
        <is>
          <t>C</t>
        </is>
      </c>
      <c r="G2482" s="9" t="n">
        <v>189</v>
      </c>
      <c r="H2482" s="9" t="n">
        <v>189</v>
      </c>
      <c r="I2482" s="9" t="inlineStr">
        <is>
          <t>Depth (no MLB PA)</t>
        </is>
      </c>
      <c r="J2482" s="16" t="inlineStr">
        <is>
          <t>Opening Day</t>
        </is>
      </c>
      <c r="K2482" s="11">
        <f>IFERROR(INDEX(Roles!$B$17:$B$20,MATCH(J2482,Roles!$A$17:$A$20,0)),1)</f>
        <v/>
      </c>
      <c r="L2482" s="17" t="n">
        <v>1</v>
      </c>
      <c r="M2482" s="11" t="n">
        <v>1</v>
      </c>
      <c r="N2482" s="17" t="n"/>
      <c r="O2482" s="17" t="n"/>
      <c r="P2482" s="17" t="n"/>
      <c r="Q2482" s="17" t="n"/>
      <c r="R2482" s="17" t="n"/>
      <c r="S2482" s="17" t="n"/>
      <c r="T2482" s="17" t="n"/>
      <c r="U2482" s="17" t="n"/>
      <c r="V2482" s="17" t="n"/>
      <c r="W2482" s="17" t="n"/>
      <c r="X2482" s="17" t="n"/>
      <c r="Y2482" s="17" t="n">
        <v>1</v>
      </c>
      <c r="Z2482" s="13">
        <f>SUMPRODUCT(N2482:Y2482,$N$2:$Y$2)*$K2482*$L2482*$M2482</f>
        <v/>
      </c>
      <c r="AA2482" s="14">
        <f>SUM(N2482:Y2482)</f>
        <v/>
      </c>
      <c r="AB2482" s="14">
        <f>IFERROR(IF(UPPER($E2482)="L",SUMPRODUCT(N2482:Y2482,$N$3:$Y$3,$N$2:$Y$2),SUMPRODUCT(N2482:Y2482,$N$4:$Y$4,$N$2:$Y$2))/(Z2482/($K2482*$L2482*$M2482)),"")</f>
        <v/>
      </c>
      <c r="AC2482" s="18" t="n"/>
    </row>
    <row r="2483">
      <c r="A2483" s="9" t="n">
        <v>672724</v>
      </c>
      <c r="B2483" s="9" t="inlineStr">
        <is>
          <t>Oswald Peraza</t>
        </is>
      </c>
      <c r="C2483" s="9" t="inlineStr">
        <is>
          <t>LAA</t>
        </is>
      </c>
      <c r="D2483" s="9" t="n">
        <v>27</v>
      </c>
      <c r="E2483" s="16" t="inlineStr">
        <is>
          <t>R</t>
        </is>
      </c>
      <c r="F2483" s="16" t="inlineStr">
        <is>
          <t>2B</t>
        </is>
      </c>
      <c r="G2483" s="9" t="n">
        <v>370</v>
      </c>
      <c r="H2483" s="9" t="n">
        <v>894</v>
      </c>
      <c r="I2483" s="9" t="inlineStr">
        <is>
          <t>Utility IF</t>
        </is>
      </c>
      <c r="J2483" s="16" t="inlineStr">
        <is>
          <t>Opening Day</t>
        </is>
      </c>
      <c r="K2483" s="11">
        <f>IFERROR(INDEX(Roles!$B$17:$B$20,MATCH(J2483,Roles!$A$17:$A$20,0)),1)</f>
        <v/>
      </c>
      <c r="L2483" s="17" t="n">
        <v>1</v>
      </c>
      <c r="M2483" s="11" t="n">
        <v>1.020437212784458</v>
      </c>
      <c r="N2483" s="17" t="n"/>
      <c r="O2483" s="17" t="n"/>
      <c r="P2483" s="17" t="n"/>
      <c r="Q2483" s="17" t="n"/>
      <c r="R2483" s="17" t="n"/>
      <c r="S2483" s="17" t="n"/>
      <c r="T2483" s="17" t="n"/>
      <c r="U2483" s="17" t="n">
        <v>0.7</v>
      </c>
      <c r="V2483" s="17" t="n"/>
      <c r="W2483" s="17" t="n">
        <v>0.3</v>
      </c>
      <c r="X2483" s="17" t="n"/>
      <c r="Y2483" s="17" t="n"/>
      <c r="Z2483" s="13">
        <f>SUMPRODUCT(N2483:Y2483,$N$2:$Y$2)*$K2483*$L2483*$M2483</f>
        <v/>
      </c>
      <c r="AA2483" s="14">
        <f>SUM(N2483:Y2483)</f>
        <v/>
      </c>
      <c r="AB2483" s="14">
        <f>IFERROR(IF(UPPER($E2483)="L",SUMPRODUCT(N2483:Y2483,$N$3:$Y$3,$N$2:$Y$2),SUMPRODUCT(N2483:Y2483,$N$4:$Y$4,$N$2:$Y$2))/(Z2483/($K2483*$L2483*$M2483)),"")</f>
        <v/>
      </c>
      <c r="AC2483" s="18" t="n"/>
    </row>
    <row r="2484">
      <c r="A2484" s="9" t="n">
        <v>680636</v>
      </c>
      <c r="B2484" s="9" t="inlineStr">
        <is>
          <t>Ramon Mendoza</t>
        </is>
      </c>
      <c r="C2484" s="9" t="inlineStr">
        <is>
          <t>STL</t>
        </is>
      </c>
      <c r="D2484" s="9" t="n">
        <v>25</v>
      </c>
      <c r="E2484" s="16" t="inlineStr">
        <is>
          <t>R</t>
        </is>
      </c>
      <c r="F2484" s="16" t="n"/>
      <c r="G2484" s="9" t="n">
        <v>256.1025641025641</v>
      </c>
      <c r="H2484" s="9" t="n">
        <v>256.1025641025641</v>
      </c>
      <c r="I2484" s="9" t="inlineStr">
        <is>
          <t>Depth (no MLB PA)</t>
        </is>
      </c>
      <c r="J2484" s="16" t="inlineStr">
        <is>
          <t>Opening Day</t>
        </is>
      </c>
      <c r="K2484" s="11">
        <f>IFERROR(INDEX(Roles!$B$17:$B$20,MATCH(J2484,Roles!$A$17:$A$20,0)),1)</f>
        <v/>
      </c>
      <c r="L2484" s="17" t="n">
        <v>1</v>
      </c>
      <c r="M2484" s="11" t="n">
        <v>1</v>
      </c>
      <c r="N2484" s="17" t="n"/>
      <c r="O2484" s="17" t="n"/>
      <c r="P2484" s="17" t="n"/>
      <c r="Q2484" s="17" t="n"/>
      <c r="R2484" s="17" t="n"/>
      <c r="S2484" s="17" t="n"/>
      <c r="T2484" s="17" t="n"/>
      <c r="U2484" s="17" t="n"/>
      <c r="V2484" s="17" t="n"/>
      <c r="W2484" s="17" t="n"/>
      <c r="X2484" s="17" t="n"/>
      <c r="Y2484" s="17" t="n">
        <v>1</v>
      </c>
      <c r="Z2484" s="13">
        <f>SUMPRODUCT(N2484:Y2484,$N$2:$Y$2)*$K2484*$L2484*$M2484</f>
        <v/>
      </c>
      <c r="AA2484" s="14">
        <f>SUM(N2484:Y2484)</f>
        <v/>
      </c>
      <c r="AB2484" s="14">
        <f>IFERROR(IF(UPPER($E2484)="L",SUMPRODUCT(N2484:Y2484,$N$3:$Y$3,$N$2:$Y$2),SUMPRODUCT(N2484:Y2484,$N$4:$Y$4,$N$2:$Y$2))/(Z2484/($K2484*$L2484*$M2484)),"")</f>
        <v/>
      </c>
      <c r="AC2484" s="18" t="n"/>
    </row>
    <row r="2485">
      <c r="A2485" s="9" t="n">
        <v>694552</v>
      </c>
      <c r="B2485" s="9" t="inlineStr">
        <is>
          <t>Jack Payton</t>
        </is>
      </c>
      <c r="C2485" s="9" t="inlineStr">
        <is>
          <t>SF</t>
        </is>
      </c>
      <c r="D2485" s="9" t="n">
        <v>25</v>
      </c>
      <c r="E2485" s="16" t="inlineStr">
        <is>
          <t>R</t>
        </is>
      </c>
      <c r="F2485" s="16" t="n"/>
      <c r="G2485" s="9" t="n">
        <v>103.7435897435897</v>
      </c>
      <c r="H2485" s="9" t="n">
        <v>103.7435897435897</v>
      </c>
      <c r="I2485" s="9" t="inlineStr">
        <is>
          <t>Depth (no MLB PA)</t>
        </is>
      </c>
      <c r="J2485" s="16" t="inlineStr">
        <is>
          <t>Opening Day</t>
        </is>
      </c>
      <c r="K2485" s="11">
        <f>IFERROR(INDEX(Roles!$B$17:$B$20,MATCH(J2485,Roles!$A$17:$A$20,0)),1)</f>
        <v/>
      </c>
      <c r="L2485" s="17" t="n">
        <v>1</v>
      </c>
      <c r="M2485" s="11" t="n">
        <v>1</v>
      </c>
      <c r="N2485" s="17" t="n"/>
      <c r="O2485" s="17" t="n"/>
      <c r="P2485" s="17" t="n"/>
      <c r="Q2485" s="17" t="n"/>
      <c r="R2485" s="17" t="n"/>
      <c r="S2485" s="17" t="n"/>
      <c r="T2485" s="17" t="n"/>
      <c r="U2485" s="17" t="n"/>
      <c r="V2485" s="17" t="n"/>
      <c r="W2485" s="17" t="n"/>
      <c r="X2485" s="17" t="n"/>
      <c r="Y2485" s="17" t="n">
        <v>1</v>
      </c>
      <c r="Z2485" s="13">
        <f>SUMPRODUCT(N2485:Y2485,$N$2:$Y$2)*$K2485*$L2485*$M2485</f>
        <v/>
      </c>
      <c r="AA2485" s="14">
        <f>SUM(N2485:Y2485)</f>
        <v/>
      </c>
      <c r="AB2485" s="14">
        <f>IFERROR(IF(UPPER($E2485)="L",SUMPRODUCT(N2485:Y2485,$N$3:$Y$3,$N$2:$Y$2),SUMPRODUCT(N2485:Y2485,$N$4:$Y$4,$N$2:$Y$2))/(Z2485/($K2485*$L2485*$M2485)),"")</f>
        <v/>
      </c>
      <c r="AC2485" s="18" t="n"/>
    </row>
    <row r="2486">
      <c r="A2486" s="9" t="n">
        <v>813883</v>
      </c>
      <c r="B2486" s="9" t="inlineStr">
        <is>
          <t>Ryan Ignoffo</t>
        </is>
      </c>
      <c r="C2486" s="9" t="inlineStr">
        <is>
          <t>MIA</t>
        </is>
      </c>
      <c r="D2486" s="9" t="n">
        <v>25</v>
      </c>
      <c r="E2486" s="16" t="inlineStr">
        <is>
          <t>R</t>
        </is>
      </c>
      <c r="F2486" s="16" t="n"/>
      <c r="G2486" s="9" t="n">
        <v>108.051282051282</v>
      </c>
      <c r="H2486" s="9" t="n">
        <v>108.051282051282</v>
      </c>
      <c r="I2486" s="9" t="inlineStr">
        <is>
          <t>Depth (no MLB PA)</t>
        </is>
      </c>
      <c r="J2486" s="16" t="inlineStr">
        <is>
          <t>Opening Day</t>
        </is>
      </c>
      <c r="K2486" s="11">
        <f>IFERROR(INDEX(Roles!$B$17:$B$20,MATCH(J2486,Roles!$A$17:$A$20,0)),1)</f>
        <v/>
      </c>
      <c r="L2486" s="17" t="n">
        <v>1</v>
      </c>
      <c r="M2486" s="11" t="n">
        <v>1</v>
      </c>
      <c r="N2486" s="17" t="n"/>
      <c r="O2486" s="17" t="n"/>
      <c r="P2486" s="17" t="n"/>
      <c r="Q2486" s="17" t="n"/>
      <c r="R2486" s="17" t="n"/>
      <c r="S2486" s="17" t="n"/>
      <c r="T2486" s="17" t="n"/>
      <c r="U2486" s="17" t="n"/>
      <c r="V2486" s="17" t="n"/>
      <c r="W2486" s="17" t="n"/>
      <c r="X2486" s="17" t="n"/>
      <c r="Y2486" s="17" t="n">
        <v>1</v>
      </c>
      <c r="Z2486" s="13">
        <f>SUMPRODUCT(N2486:Y2486,$N$2:$Y$2)*$K2486*$L2486*$M2486</f>
        <v/>
      </c>
      <c r="AA2486" s="14">
        <f>SUM(N2486:Y2486)</f>
        <v/>
      </c>
      <c r="AB2486" s="14">
        <f>IFERROR(IF(UPPER($E2486)="L",SUMPRODUCT(N2486:Y2486,$N$3:$Y$3,$N$2:$Y$2),SUMPRODUCT(N2486:Y2486,$N$4:$Y$4,$N$2:$Y$2))/(Z2486/($K2486*$L2486*$M2486)),"")</f>
        <v/>
      </c>
      <c r="AC2486" s="18" t="n"/>
    </row>
    <row r="2487">
      <c r="A2487" s="9" t="n">
        <v>695653</v>
      </c>
      <c r="B2487" s="9" t="inlineStr">
        <is>
          <t>Noah Miller</t>
        </is>
      </c>
      <c r="C2487" s="9" t="inlineStr">
        <is>
          <t>LAD</t>
        </is>
      </c>
      <c r="D2487" s="9" t="n">
        <v>25</v>
      </c>
      <c r="E2487" s="16" t="inlineStr">
        <is>
          <t>S</t>
        </is>
      </c>
      <c r="F2487" s="16" t="n"/>
      <c r="G2487" s="9" t="n">
        <v>320.974358974359</v>
      </c>
      <c r="H2487" s="9" t="n">
        <v>320.974358974359</v>
      </c>
      <c r="I2487" s="9" t="inlineStr">
        <is>
          <t>Depth (no MLB PA)</t>
        </is>
      </c>
      <c r="J2487" s="16" t="inlineStr">
        <is>
          <t>Opening Day</t>
        </is>
      </c>
      <c r="K2487" s="11">
        <f>IFERROR(INDEX(Roles!$B$17:$B$20,MATCH(J2487,Roles!$A$17:$A$20,0)),1)</f>
        <v/>
      </c>
      <c r="L2487" s="17" t="n">
        <v>1</v>
      </c>
      <c r="M2487" s="11" t="n">
        <v>1</v>
      </c>
      <c r="N2487" s="17" t="n"/>
      <c r="O2487" s="17" t="n"/>
      <c r="P2487" s="17" t="n"/>
      <c r="Q2487" s="17" t="n"/>
      <c r="R2487" s="17" t="n"/>
      <c r="S2487" s="17" t="n"/>
      <c r="T2487" s="17" t="n"/>
      <c r="U2487" s="17" t="n"/>
      <c r="V2487" s="17" t="n"/>
      <c r="W2487" s="17" t="n"/>
      <c r="X2487" s="17" t="n"/>
      <c r="Y2487" s="17" t="n">
        <v>1</v>
      </c>
      <c r="Z2487" s="13">
        <f>SUMPRODUCT(N2487:Y2487,$N$2:$Y$2)*$K2487*$L2487*$M2487</f>
        <v/>
      </c>
      <c r="AA2487" s="14">
        <f>SUM(N2487:Y2487)</f>
        <v/>
      </c>
      <c r="AB2487" s="14">
        <f>IFERROR(IF(UPPER($E2487)="L",SUMPRODUCT(N2487:Y2487,$N$3:$Y$3,$N$2:$Y$2),SUMPRODUCT(N2487:Y2487,$N$4:$Y$4,$N$2:$Y$2))/(Z2487/($K2487*$L2487*$M2487)),"")</f>
        <v/>
      </c>
      <c r="AC2487" s="18" t="n"/>
    </row>
    <row r="2488">
      <c r="A2488" s="9" t="n">
        <v>690984</v>
      </c>
      <c r="B2488" s="9" t="inlineStr">
        <is>
          <t>Petey Halpin</t>
        </is>
      </c>
      <c r="C2488" s="9" t="inlineStr">
        <is>
          <t>CLE</t>
        </is>
      </c>
      <c r="D2488" s="9" t="n">
        <v>25</v>
      </c>
      <c r="E2488" s="16" t="inlineStr">
        <is>
          <t>L</t>
        </is>
      </c>
      <c r="F2488" s="16" t="inlineStr">
        <is>
          <t>CF</t>
        </is>
      </c>
      <c r="G2488" s="9" t="n">
        <v>195</v>
      </c>
      <c r="H2488" s="9" t="n">
        <v>203</v>
      </c>
      <c r="I2488" s="9" t="inlineStr">
        <is>
          <t>Bench Bat</t>
        </is>
      </c>
      <c r="J2488" s="16" t="inlineStr">
        <is>
          <t>Opening Day</t>
        </is>
      </c>
      <c r="K2488" s="11">
        <f>IFERROR(INDEX(Roles!$B$17:$B$20,MATCH(J2488,Roles!$A$17:$A$20,0)),1)</f>
        <v/>
      </c>
      <c r="L2488" s="17" t="n">
        <v>1</v>
      </c>
      <c r="M2488" s="11" t="n">
        <v>1</v>
      </c>
      <c r="N2488" s="17" t="n"/>
      <c r="O2488" s="17" t="n"/>
      <c r="P2488" s="17" t="n"/>
      <c r="Q2488" s="17" t="n"/>
      <c r="R2488" s="17" t="n"/>
      <c r="S2488" s="17" t="n"/>
      <c r="T2488" s="17" t="n"/>
      <c r="U2488" s="17" t="n"/>
      <c r="V2488" s="17" t="n">
        <v>0.4</v>
      </c>
      <c r="W2488" s="17" t="n">
        <v>0.6</v>
      </c>
      <c r="X2488" s="17" t="n"/>
      <c r="Y2488" s="17" t="n"/>
      <c r="Z2488" s="13">
        <f>SUMPRODUCT(N2488:Y2488,$N$2:$Y$2)*$K2488*$L2488*$M2488</f>
        <v/>
      </c>
      <c r="AA2488" s="14">
        <f>SUM(N2488:Y2488)</f>
        <v/>
      </c>
      <c r="AB2488" s="14">
        <f>IFERROR(IF(UPPER($E2488)="L",SUMPRODUCT(N2488:Y2488,$N$3:$Y$3,$N$2:$Y$2),SUMPRODUCT(N2488:Y2488,$N$4:$Y$4,$N$2:$Y$2))/(Z2488/($K2488*$L2488*$M2488)),"")</f>
        <v/>
      </c>
      <c r="AC2488" s="18" t="n"/>
    </row>
    <row r="2489">
      <c r="A2489" s="9" t="n">
        <v>807276</v>
      </c>
      <c r="B2489" s="9" t="inlineStr">
        <is>
          <t>Dante Nori</t>
        </is>
      </c>
      <c r="C2489" s="9" t="inlineStr">
        <is>
          <t>PHI</t>
        </is>
      </c>
      <c r="D2489" s="9" t="n">
        <v>25</v>
      </c>
      <c r="E2489" s="16" t="inlineStr">
        <is>
          <t>L</t>
        </is>
      </c>
      <c r="F2489" s="16" t="n"/>
      <c r="G2489" s="9" t="n">
        <v>108.7692307692308</v>
      </c>
      <c r="H2489" s="9" t="n">
        <v>108.7692307692308</v>
      </c>
      <c r="I2489" s="9" t="inlineStr">
        <is>
          <t>Depth (no MLB PA)</t>
        </is>
      </c>
      <c r="J2489" s="16" t="inlineStr">
        <is>
          <t>Opening Day</t>
        </is>
      </c>
      <c r="K2489" s="11">
        <f>IFERROR(INDEX(Roles!$B$17:$B$20,MATCH(J2489,Roles!$A$17:$A$20,0)),1)</f>
        <v/>
      </c>
      <c r="L2489" s="17" t="n">
        <v>1</v>
      </c>
      <c r="M2489" s="11" t="n">
        <v>1</v>
      </c>
      <c r="N2489" s="17" t="n"/>
      <c r="O2489" s="17" t="n"/>
      <c r="P2489" s="17" t="n"/>
      <c r="Q2489" s="17" t="n"/>
      <c r="R2489" s="17" t="n"/>
      <c r="S2489" s="17" t="n"/>
      <c r="T2489" s="17" t="n"/>
      <c r="U2489" s="17" t="n"/>
      <c r="V2489" s="17" t="n"/>
      <c r="W2489" s="17" t="n"/>
      <c r="X2489" s="17" t="n"/>
      <c r="Y2489" s="17" t="n">
        <v>1</v>
      </c>
      <c r="Z2489" s="13">
        <f>SUMPRODUCT(N2489:Y2489,$N$2:$Y$2)*$K2489*$L2489*$M2489</f>
        <v/>
      </c>
      <c r="AA2489" s="14">
        <f>SUM(N2489:Y2489)</f>
        <v/>
      </c>
      <c r="AB2489" s="14">
        <f>IFERROR(IF(UPPER($E2489)="L",SUMPRODUCT(N2489:Y2489,$N$3:$Y$3,$N$2:$Y$2),SUMPRODUCT(N2489:Y2489,$N$4:$Y$4,$N$2:$Y$2))/(Z2489/($K2489*$L2489*$M2489)),"")</f>
        <v/>
      </c>
      <c r="AC2489" s="18" t="n"/>
    </row>
    <row r="2490">
      <c r="A2490" s="9" t="n">
        <v>702261</v>
      </c>
      <c r="B2490" s="9" t="inlineStr">
        <is>
          <t>Termarr Johnson</t>
        </is>
      </c>
      <c r="C2490" s="9" t="inlineStr">
        <is>
          <t>PIT</t>
        </is>
      </c>
      <c r="D2490" s="9" t="n">
        <v>25</v>
      </c>
      <c r="E2490" s="16" t="inlineStr">
        <is>
          <t>L</t>
        </is>
      </c>
      <c r="F2490" s="16" t="n"/>
      <c r="G2490" s="9" t="n">
        <v>225.6410256410257</v>
      </c>
      <c r="H2490" s="9" t="n">
        <v>225.6410256410257</v>
      </c>
      <c r="I2490" s="9" t="inlineStr">
        <is>
          <t>Depth (no MLB PA)</t>
        </is>
      </c>
      <c r="J2490" s="16" t="inlineStr">
        <is>
          <t>Opening Day</t>
        </is>
      </c>
      <c r="K2490" s="11">
        <f>IFERROR(INDEX(Roles!$B$17:$B$20,MATCH(J2490,Roles!$A$17:$A$20,0)),1)</f>
        <v/>
      </c>
      <c r="L2490" s="17" t="n">
        <v>1</v>
      </c>
      <c r="M2490" s="11" t="n">
        <v>1</v>
      </c>
      <c r="N2490" s="17" t="n"/>
      <c r="O2490" s="17" t="n"/>
      <c r="P2490" s="17" t="n"/>
      <c r="Q2490" s="17" t="n"/>
      <c r="R2490" s="17" t="n"/>
      <c r="S2490" s="17" t="n"/>
      <c r="T2490" s="17" t="n"/>
      <c r="U2490" s="17" t="n"/>
      <c r="V2490" s="17" t="n"/>
      <c r="W2490" s="17" t="n"/>
      <c r="X2490" s="17" t="n"/>
      <c r="Y2490" s="17" t="n">
        <v>1</v>
      </c>
      <c r="Z2490" s="13">
        <f>SUMPRODUCT(N2490:Y2490,$N$2:$Y$2)*$K2490*$L2490*$M2490</f>
        <v/>
      </c>
      <c r="AA2490" s="14">
        <f>SUM(N2490:Y2490)</f>
        <v/>
      </c>
      <c r="AB2490" s="14">
        <f>IFERROR(IF(UPPER($E2490)="L",SUMPRODUCT(N2490:Y2490,$N$3:$Y$3,$N$2:$Y$2),SUMPRODUCT(N2490:Y2490,$N$4:$Y$4,$N$2:$Y$2))/(Z2490/($K2490*$L2490*$M2490)),"")</f>
        <v/>
      </c>
      <c r="AC2490" s="18" t="n"/>
    </row>
    <row r="2491">
      <c r="A2491" s="9" t="n">
        <v>655316</v>
      </c>
      <c r="B2491" s="9" t="inlineStr">
        <is>
          <t>Andruw Monasterio</t>
        </is>
      </c>
      <c r="C2491" s="9" t="inlineStr">
        <is>
          <t>BOS</t>
        </is>
      </c>
      <c r="D2491" s="9" t="n">
        <v>30</v>
      </c>
      <c r="E2491" s="16" t="inlineStr">
        <is>
          <t>R</t>
        </is>
      </c>
      <c r="F2491" s="16" t="inlineStr">
        <is>
          <t>SS</t>
        </is>
      </c>
      <c r="G2491" s="9" t="n">
        <v>347</v>
      </c>
      <c r="H2491" s="9" t="n">
        <v>939</v>
      </c>
      <c r="I2491" s="9" t="inlineStr">
        <is>
          <t>Strong Side Platoon</t>
        </is>
      </c>
      <c r="J2491" s="16" t="inlineStr">
        <is>
          <t>Opening Day</t>
        </is>
      </c>
      <c r="K2491" s="11">
        <f>IFERROR(INDEX(Roles!$B$17:$B$20,MATCH(J2491,Roles!$A$17:$A$20,0)),1)</f>
        <v/>
      </c>
      <c r="L2491" s="17" t="n">
        <v>1</v>
      </c>
      <c r="M2491" s="11" t="n">
        <v>0.8457950700738739</v>
      </c>
      <c r="N2491" s="17" t="n"/>
      <c r="O2491" s="17" t="n"/>
      <c r="P2491" s="17" t="n">
        <v>0.6</v>
      </c>
      <c r="Q2491" s="17" t="n"/>
      <c r="R2491" s="17" t="n"/>
      <c r="S2491" s="17" t="n"/>
      <c r="T2491" s="17" t="n"/>
      <c r="U2491" s="17" t="n">
        <v>0.4</v>
      </c>
      <c r="V2491" s="17" t="n"/>
      <c r="W2491" s="17" t="n"/>
      <c r="X2491" s="17" t="n"/>
      <c r="Y2491" s="17" t="n"/>
      <c r="Z2491" s="13">
        <f>SUMPRODUCT(N2491:Y2491,$N$2:$Y$2)*$K2491*$L2491*$M2491</f>
        <v/>
      </c>
      <c r="AA2491" s="14">
        <f>SUM(N2491:Y2491)</f>
        <v/>
      </c>
      <c r="AB2491" s="14">
        <f>IFERROR(IF(UPPER($E2491)="L",SUMPRODUCT(N2491:Y2491,$N$3:$Y$3,$N$2:$Y$2),SUMPRODUCT(N2491:Y2491,$N$4:$Y$4,$N$2:$Y$2))/(Z2491/($K2491*$L2491*$M2491)),"")</f>
        <v/>
      </c>
      <c r="AC2491" s="18" t="n"/>
    </row>
    <row r="2492">
      <c r="A2492" s="9" t="n">
        <v>607680</v>
      </c>
      <c r="B2492" s="9" t="inlineStr">
        <is>
          <t>Kevin Pillar</t>
        </is>
      </c>
      <c r="C2492" s="9" t="inlineStr">
        <is>
          <t>TEX</t>
        </is>
      </c>
      <c r="D2492" s="9" t="n">
        <v>38</v>
      </c>
      <c r="E2492" s="16" t="inlineStr">
        <is>
          <t>R</t>
        </is>
      </c>
      <c r="F2492" s="16" t="inlineStr">
        <is>
          <t>CF</t>
        </is>
      </c>
      <c r="G2492" s="9" t="n">
        <v>43</v>
      </c>
      <c r="H2492" s="9" t="n">
        <v>576</v>
      </c>
      <c r="I2492" s="9" t="inlineStr">
        <is>
          <t>Bench Bat</t>
        </is>
      </c>
      <c r="J2492" s="16" t="inlineStr">
        <is>
          <t>Opening Day</t>
        </is>
      </c>
      <c r="K2492" s="11">
        <f>IFERROR(INDEX(Roles!$B$17:$B$20,MATCH(J2492,Roles!$A$17:$A$20,0)),1)</f>
        <v/>
      </c>
      <c r="L2492" s="17" t="n">
        <v>1</v>
      </c>
      <c r="M2492" s="11" t="n">
        <v>0.7979304335073534</v>
      </c>
      <c r="N2492" s="17" t="n"/>
      <c r="O2492" s="17" t="n"/>
      <c r="P2492" s="17" t="n"/>
      <c r="Q2492" s="17" t="n"/>
      <c r="R2492" s="17" t="n"/>
      <c r="S2492" s="17" t="n"/>
      <c r="T2492" s="17" t="n"/>
      <c r="U2492" s="17" t="n"/>
      <c r="V2492" s="17" t="n"/>
      <c r="W2492" s="17" t="n">
        <v>1</v>
      </c>
      <c r="X2492" s="17" t="n"/>
      <c r="Y2492" s="17" t="n"/>
      <c r="Z2492" s="13">
        <f>SUMPRODUCT(N2492:Y2492,$N$2:$Y$2)*$K2492*$L2492*$M2492</f>
        <v/>
      </c>
      <c r="AA2492" s="14">
        <f>SUM(N2492:Y2492)</f>
        <v/>
      </c>
      <c r="AB2492" s="14">
        <f>IFERROR(IF(UPPER($E2492)="L",SUMPRODUCT(N2492:Y2492,$N$3:$Y$3,$N$2:$Y$2),SUMPRODUCT(N2492:Y2492,$N$4:$Y$4,$N$2:$Y$2))/(Z2492/($K2492*$L2492*$M2492)),"")</f>
        <v/>
      </c>
      <c r="AC2492" s="18" t="n"/>
    </row>
    <row r="2493">
      <c r="A2493" s="9" t="n">
        <v>823153</v>
      </c>
      <c r="B2493" s="9" t="inlineStr">
        <is>
          <t>Matt King</t>
        </is>
      </c>
      <c r="C2493" s="9" t="inlineStr">
        <is>
          <t>PIT</t>
        </is>
      </c>
      <c r="D2493" s="9" t="n">
        <v>25</v>
      </c>
      <c r="E2493" s="16" t="inlineStr">
        <is>
          <t>R</t>
        </is>
      </c>
      <c r="F2493" s="16" t="n"/>
      <c r="G2493" s="9" t="n">
        <v>73.94871794871796</v>
      </c>
      <c r="H2493" s="9" t="n">
        <v>73.94871794871796</v>
      </c>
      <c r="I2493" s="9" t="inlineStr">
        <is>
          <t>Depth (no MLB PA)</t>
        </is>
      </c>
      <c r="J2493" s="16" t="inlineStr">
        <is>
          <t>Opening Day</t>
        </is>
      </c>
      <c r="K2493" s="11">
        <f>IFERROR(INDEX(Roles!$B$17:$B$20,MATCH(J2493,Roles!$A$17:$A$20,0)),1)</f>
        <v/>
      </c>
      <c r="L2493" s="17" t="n">
        <v>1</v>
      </c>
      <c r="M2493" s="11" t="n">
        <v>1</v>
      </c>
      <c r="N2493" s="17" t="n"/>
      <c r="O2493" s="17" t="n"/>
      <c r="P2493" s="17" t="n"/>
      <c r="Q2493" s="17" t="n"/>
      <c r="R2493" s="17" t="n"/>
      <c r="S2493" s="17" t="n"/>
      <c r="T2493" s="17" t="n"/>
      <c r="U2493" s="17" t="n"/>
      <c r="V2493" s="17" t="n"/>
      <c r="W2493" s="17" t="n"/>
      <c r="X2493" s="17" t="n"/>
      <c r="Y2493" s="17" t="n">
        <v>1</v>
      </c>
      <c r="Z2493" s="13">
        <f>SUMPRODUCT(N2493:Y2493,$N$2:$Y$2)*$K2493*$L2493*$M2493</f>
        <v/>
      </c>
      <c r="AA2493" s="14">
        <f>SUM(N2493:Y2493)</f>
        <v/>
      </c>
      <c r="AB2493" s="14">
        <f>IFERROR(IF(UPPER($E2493)="L",SUMPRODUCT(N2493:Y2493,$N$3:$Y$3,$N$2:$Y$2),SUMPRODUCT(N2493:Y2493,$N$4:$Y$4,$N$2:$Y$2))/(Z2493/($K2493*$L2493*$M2493)),"")</f>
        <v/>
      </c>
      <c r="AC2493" s="18" t="n"/>
    </row>
    <row r="2494">
      <c r="A2494" s="9" t="n">
        <v>670276</v>
      </c>
      <c r="B2494" s="9" t="inlineStr">
        <is>
          <t>Cal Stevenson</t>
        </is>
      </c>
      <c r="C2494" s="9" t="inlineStr">
        <is>
          <t>PHI</t>
        </is>
      </c>
      <c r="D2494" s="9" t="n">
        <v>30</v>
      </c>
      <c r="E2494" s="16" t="inlineStr">
        <is>
          <t>L</t>
        </is>
      </c>
      <c r="F2494" s="16" t="inlineStr">
        <is>
          <t>CF</t>
        </is>
      </c>
      <c r="G2494" s="9" t="n">
        <v>8</v>
      </c>
      <c r="H2494" s="9" t="n">
        <v>118</v>
      </c>
      <c r="I2494" s="9" t="inlineStr">
        <is>
          <t>Depth (no MLB PA)</t>
        </is>
      </c>
      <c r="J2494" s="16" t="inlineStr">
        <is>
          <t>Opening Day</t>
        </is>
      </c>
      <c r="K2494" s="11">
        <f>IFERROR(INDEX(Roles!$B$17:$B$20,MATCH(J2494,Roles!$A$17:$A$20,0)),1)</f>
        <v/>
      </c>
      <c r="L2494" s="17" t="n">
        <v>1</v>
      </c>
      <c r="M2494" s="11" t="n">
        <v>1</v>
      </c>
      <c r="N2494" s="17" t="n"/>
      <c r="O2494" s="17" t="n"/>
      <c r="P2494" s="17" t="n"/>
      <c r="Q2494" s="17" t="n"/>
      <c r="R2494" s="17" t="n"/>
      <c r="S2494" s="17" t="n"/>
      <c r="T2494" s="17" t="n"/>
      <c r="U2494" s="17" t="n"/>
      <c r="V2494" s="17" t="n"/>
      <c r="W2494" s="17" t="n"/>
      <c r="X2494" s="17" t="n"/>
      <c r="Y2494" s="17" t="n">
        <v>1</v>
      </c>
      <c r="Z2494" s="13">
        <f>SUMPRODUCT(N2494:Y2494,$N$2:$Y$2)*$K2494*$L2494*$M2494</f>
        <v/>
      </c>
      <c r="AA2494" s="14">
        <f>SUM(N2494:Y2494)</f>
        <v/>
      </c>
      <c r="AB2494" s="14">
        <f>IFERROR(IF(UPPER($E2494)="L",SUMPRODUCT(N2494:Y2494,$N$3:$Y$3,$N$2:$Y$2),SUMPRODUCT(N2494:Y2494,$N$4:$Y$4,$N$2:$Y$2))/(Z2494/($K2494*$L2494*$M2494)),"")</f>
        <v/>
      </c>
      <c r="AC2494" s="18" t="n"/>
    </row>
    <row r="2495">
      <c r="A2495" s="9" t="n">
        <v>702693</v>
      </c>
      <c r="B2495" s="9" t="inlineStr">
        <is>
          <t>Jaison Chourio</t>
        </is>
      </c>
      <c r="C2495" s="9" t="inlineStr">
        <is>
          <t>CLE</t>
        </is>
      </c>
      <c r="D2495" s="9" t="n">
        <v>22</v>
      </c>
      <c r="E2495" s="16" t="inlineStr">
        <is>
          <t>S</t>
        </is>
      </c>
      <c r="F2495" s="16" t="n"/>
      <c r="G2495" s="9" t="n">
        <v>148.9743589743589</v>
      </c>
      <c r="H2495" s="9" t="n">
        <v>148.9743589743589</v>
      </c>
      <c r="I2495" s="9" t="inlineStr">
        <is>
          <t>Depth (no MLB PA)</t>
        </is>
      </c>
      <c r="J2495" s="16" t="inlineStr">
        <is>
          <t>Opening Day</t>
        </is>
      </c>
      <c r="K2495" s="11">
        <f>IFERROR(INDEX(Roles!$B$17:$B$20,MATCH(J2495,Roles!$A$17:$A$20,0)),1)</f>
        <v/>
      </c>
      <c r="L2495" s="17" t="n">
        <v>1</v>
      </c>
      <c r="M2495" s="11" t="n">
        <v>1</v>
      </c>
      <c r="N2495" s="17" t="n"/>
      <c r="O2495" s="17" t="n"/>
      <c r="P2495" s="17" t="n"/>
      <c r="Q2495" s="17" t="n"/>
      <c r="R2495" s="17" t="n"/>
      <c r="S2495" s="17" t="n"/>
      <c r="T2495" s="17" t="n"/>
      <c r="U2495" s="17" t="n"/>
      <c r="V2495" s="17" t="n"/>
      <c r="W2495" s="17" t="n"/>
      <c r="X2495" s="17" t="n"/>
      <c r="Y2495" s="17" t="n">
        <v>1</v>
      </c>
      <c r="Z2495" s="13">
        <f>SUMPRODUCT(N2495:Y2495,$N$2:$Y$2)*$K2495*$L2495*$M2495</f>
        <v/>
      </c>
      <c r="AA2495" s="14">
        <f>SUM(N2495:Y2495)</f>
        <v/>
      </c>
      <c r="AB2495" s="14">
        <f>IFERROR(IF(UPPER($E2495)="L",SUMPRODUCT(N2495:Y2495,$N$3:$Y$3,$N$2:$Y$2),SUMPRODUCT(N2495:Y2495,$N$4:$Y$4,$N$2:$Y$2))/(Z2495/($K2495*$L2495*$M2495)),"")</f>
        <v/>
      </c>
      <c r="AC2495" s="18" t="n"/>
    </row>
    <row r="2496">
      <c r="A2496" s="9" t="n">
        <v>692225</v>
      </c>
      <c r="B2496" s="9" t="inlineStr">
        <is>
          <t>Kristian Campbell</t>
        </is>
      </c>
      <c r="C2496" s="9" t="inlineStr">
        <is>
          <t>BOS</t>
        </is>
      </c>
      <c r="D2496" s="9" t="n">
        <v>25</v>
      </c>
      <c r="E2496" s="16" t="inlineStr">
        <is>
          <t>R</t>
        </is>
      </c>
      <c r="F2496" s="16" t="inlineStr">
        <is>
          <t>2B</t>
        </is>
      </c>
      <c r="G2496" s="9" t="n">
        <v>263</v>
      </c>
      <c r="H2496" s="9" t="n">
        <v>263</v>
      </c>
      <c r="I2496" s="9" t="inlineStr">
        <is>
          <t>Utility IF</t>
        </is>
      </c>
      <c r="J2496" s="16" t="inlineStr">
        <is>
          <t>Opening Day</t>
        </is>
      </c>
      <c r="K2496" s="11">
        <f>IFERROR(INDEX(Roles!$B$17:$B$20,MATCH(J2496,Roles!$A$17:$A$20,0)),1)</f>
        <v/>
      </c>
      <c r="L2496" s="17" t="n">
        <v>1</v>
      </c>
      <c r="M2496" s="11" t="n">
        <v>1</v>
      </c>
      <c r="N2496" s="17" t="n"/>
      <c r="O2496" s="17" t="n"/>
      <c r="P2496" s="17" t="n"/>
      <c r="Q2496" s="17" t="n"/>
      <c r="R2496" s="17" t="n"/>
      <c r="S2496" s="17" t="n"/>
      <c r="T2496" s="17" t="n"/>
      <c r="U2496" s="17" t="n">
        <v>1</v>
      </c>
      <c r="V2496" s="17" t="n"/>
      <c r="W2496" s="17" t="n"/>
      <c r="X2496" s="17" t="n"/>
      <c r="Y2496" s="17" t="n"/>
      <c r="Z2496" s="13">
        <f>SUMPRODUCT(N2496:Y2496,$N$2:$Y$2)*$K2496*$L2496*$M2496</f>
        <v/>
      </c>
      <c r="AA2496" s="14">
        <f>SUM(N2496:Y2496)</f>
        <v/>
      </c>
      <c r="AB2496" s="14">
        <f>IFERROR(IF(UPPER($E2496)="L",SUMPRODUCT(N2496:Y2496,$N$3:$Y$3,$N$2:$Y$2),SUMPRODUCT(N2496:Y2496,$N$4:$Y$4,$N$2:$Y$2))/(Z2496/($K2496*$L2496*$M2496)),"")</f>
        <v/>
      </c>
      <c r="AC2496" s="18" t="n"/>
    </row>
    <row r="2497">
      <c r="A2497" s="9" t="n">
        <v>687918</v>
      </c>
      <c r="B2497" s="9" t="inlineStr">
        <is>
          <t>Braylen Wimmer</t>
        </is>
      </c>
      <c r="C2497" s="9" t="inlineStr">
        <is>
          <t>COL</t>
        </is>
      </c>
      <c r="D2497" s="9" t="n">
        <v>25</v>
      </c>
      <c r="E2497" s="16" t="inlineStr">
        <is>
          <t>R</t>
        </is>
      </c>
      <c r="F2497" s="16" t="n"/>
      <c r="G2497" s="9" t="n">
        <v>109.4871794871795</v>
      </c>
      <c r="H2497" s="9" t="n">
        <v>109.4871794871795</v>
      </c>
      <c r="I2497" s="9" t="inlineStr">
        <is>
          <t>Depth (no MLB PA)</t>
        </is>
      </c>
      <c r="J2497" s="16" t="inlineStr">
        <is>
          <t>Opening Day</t>
        </is>
      </c>
      <c r="K2497" s="11">
        <f>IFERROR(INDEX(Roles!$B$17:$B$20,MATCH(J2497,Roles!$A$17:$A$20,0)),1)</f>
        <v/>
      </c>
      <c r="L2497" s="17" t="n">
        <v>1</v>
      </c>
      <c r="M2497" s="11" t="n">
        <v>1</v>
      </c>
      <c r="N2497" s="17" t="n"/>
      <c r="O2497" s="17" t="n"/>
      <c r="P2497" s="17" t="n"/>
      <c r="Q2497" s="17" t="n"/>
      <c r="R2497" s="17" t="n"/>
      <c r="S2497" s="17" t="n"/>
      <c r="T2497" s="17" t="n"/>
      <c r="U2497" s="17" t="n"/>
      <c r="V2497" s="17" t="n"/>
      <c r="W2497" s="17" t="n"/>
      <c r="X2497" s="17" t="n"/>
      <c r="Y2497" s="17" t="n">
        <v>1</v>
      </c>
      <c r="Z2497" s="13">
        <f>SUMPRODUCT(N2497:Y2497,$N$2:$Y$2)*$K2497*$L2497*$M2497</f>
        <v/>
      </c>
      <c r="AA2497" s="14">
        <f>SUM(N2497:Y2497)</f>
        <v/>
      </c>
      <c r="AB2497" s="14">
        <f>IFERROR(IF(UPPER($E2497)="L",SUMPRODUCT(N2497:Y2497,$N$3:$Y$3,$N$2:$Y$2),SUMPRODUCT(N2497:Y2497,$N$4:$Y$4,$N$2:$Y$2))/(Z2497/($K2497*$L2497*$M2497)),"")</f>
        <v/>
      </c>
      <c r="AC2497" s="18" t="n"/>
    </row>
    <row r="2498">
      <c r="A2498" s="9" t="n">
        <v>815589</v>
      </c>
      <c r="B2498" s="9" t="inlineStr">
        <is>
          <t>Bo Davidson</t>
        </is>
      </c>
      <c r="C2498" s="9" t="inlineStr">
        <is>
          <t>SF</t>
        </is>
      </c>
      <c r="D2498" s="9" t="n">
        <v>24</v>
      </c>
      <c r="E2498" s="16" t="inlineStr">
        <is>
          <t>L</t>
        </is>
      </c>
      <c r="F2498" s="16" t="inlineStr">
        <is>
          <t>RF</t>
        </is>
      </c>
      <c r="G2498" s="9" t="n">
        <v>22</v>
      </c>
      <c r="H2498" s="9" t="n">
        <v>22</v>
      </c>
      <c r="I2498" s="9" t="inlineStr">
        <is>
          <t>Full Time</t>
        </is>
      </c>
      <c r="J2498" s="16" t="inlineStr">
        <is>
          <t>Opening Day</t>
        </is>
      </c>
      <c r="K2498" s="11">
        <f>IFERROR(INDEX(Roles!$B$17:$B$20,MATCH(J2498,Roles!$A$17:$A$20,0)),1)</f>
        <v/>
      </c>
      <c r="L2498" s="17" t="n">
        <v>1</v>
      </c>
      <c r="M2498" s="11" t="n">
        <v>1</v>
      </c>
      <c r="N2498" s="17" t="n">
        <v>0.85</v>
      </c>
      <c r="O2498" s="17" t="n"/>
      <c r="P2498" s="17" t="n">
        <v>0.15</v>
      </c>
      <c r="Q2498" s="17" t="n"/>
      <c r="R2498" s="17" t="n"/>
      <c r="S2498" s="17" t="n"/>
      <c r="T2498" s="17" t="n"/>
      <c r="U2498" s="17" t="n"/>
      <c r="V2498" s="17" t="n"/>
      <c r="W2498" s="17" t="n"/>
      <c r="X2498" s="17" t="n"/>
      <c r="Y2498" s="17" t="n"/>
      <c r="Z2498" s="13">
        <f>SUMPRODUCT(N2498:Y2498,$N$2:$Y$2)*$K2498*$L2498*$M2498</f>
        <v/>
      </c>
      <c r="AA2498" s="14">
        <f>SUM(N2498:Y2498)</f>
        <v/>
      </c>
      <c r="AB2498" s="14">
        <f>IFERROR(IF(UPPER($E2498)="L",SUMPRODUCT(N2498:Y2498,$N$3:$Y$3,$N$2:$Y$2),SUMPRODUCT(N2498:Y2498,$N$4:$Y$4,$N$2:$Y$2))/(Z2498/($K2498*$L2498*$M2498)),"")</f>
        <v/>
      </c>
      <c r="AC2498" s="18" t="n"/>
    </row>
    <row r="2499">
      <c r="A2499" s="9" t="n">
        <v>643265</v>
      </c>
      <c r="B2499" s="9" t="inlineStr">
        <is>
          <t>Garrett Cooper</t>
        </is>
      </c>
      <c r="C2499" s="9" t="inlineStr">
        <is>
          <t>BOS</t>
        </is>
      </c>
      <c r="D2499" s="9" t="n">
        <v>36</v>
      </c>
      <c r="E2499" s="16" t="inlineStr">
        <is>
          <t>R</t>
        </is>
      </c>
      <c r="F2499" s="16" t="inlineStr">
        <is>
          <t>1B</t>
        </is>
      </c>
      <c r="G2499" s="9" t="n">
        <v>116</v>
      </c>
      <c r="H2499" s="9" t="n">
        <v>1042</v>
      </c>
      <c r="I2499" s="9" t="inlineStr">
        <is>
          <t>Depth (no MLB PA)</t>
        </is>
      </c>
      <c r="J2499" s="16" t="inlineStr">
        <is>
          <t>Opening Day</t>
        </is>
      </c>
      <c r="K2499" s="11">
        <f>IFERROR(INDEX(Roles!$B$17:$B$20,MATCH(J2499,Roles!$A$17:$A$20,0)),1)</f>
        <v/>
      </c>
      <c r="L2499" s="17" t="n">
        <v>1</v>
      </c>
      <c r="M2499" s="11" t="n">
        <v>1</v>
      </c>
      <c r="N2499" s="17" t="n"/>
      <c r="O2499" s="17" t="n"/>
      <c r="P2499" s="17" t="n"/>
      <c r="Q2499" s="17" t="n"/>
      <c r="R2499" s="17" t="n"/>
      <c r="S2499" s="17" t="n"/>
      <c r="T2499" s="17" t="n"/>
      <c r="U2499" s="17" t="n"/>
      <c r="V2499" s="17" t="n"/>
      <c r="W2499" s="17" t="n"/>
      <c r="X2499" s="17" t="n"/>
      <c r="Y2499" s="17" t="n">
        <v>1</v>
      </c>
      <c r="Z2499" s="13">
        <f>SUMPRODUCT(N2499:Y2499,$N$2:$Y$2)*$K2499*$L2499*$M2499</f>
        <v/>
      </c>
      <c r="AA2499" s="14">
        <f>SUM(N2499:Y2499)</f>
        <v/>
      </c>
      <c r="AB2499" s="14">
        <f>IFERROR(IF(UPPER($E2499)="L",SUMPRODUCT(N2499:Y2499,$N$3:$Y$3,$N$2:$Y$2),SUMPRODUCT(N2499:Y2499,$N$4:$Y$4,$N$2:$Y$2))/(Z2499/($K2499*$L2499*$M2499)),"")</f>
        <v/>
      </c>
      <c r="AC2499" s="18" t="n"/>
    </row>
    <row r="2500">
      <c r="A2500" s="9" t="n">
        <v>663503</v>
      </c>
      <c r="B2500" s="9" t="inlineStr">
        <is>
          <t>Elih Marrero</t>
        </is>
      </c>
      <c r="C2500" s="9" t="inlineStr">
        <is>
          <t>KC</t>
        </is>
      </c>
      <c r="D2500" s="9" t="n">
        <v>25</v>
      </c>
      <c r="E2500" s="16" t="inlineStr">
        <is>
          <t>S</t>
        </is>
      </c>
      <c r="F2500" s="16" t="n"/>
      <c r="G2500" s="9" t="n">
        <v>73.33333333333334</v>
      </c>
      <c r="H2500" s="9" t="n">
        <v>73.33333333333334</v>
      </c>
      <c r="I2500" s="9" t="inlineStr">
        <is>
          <t>Depth (no MLB PA)</t>
        </is>
      </c>
      <c r="J2500" s="16" t="inlineStr">
        <is>
          <t>Opening Day</t>
        </is>
      </c>
      <c r="K2500" s="11">
        <f>IFERROR(INDEX(Roles!$B$17:$B$20,MATCH(J2500,Roles!$A$17:$A$20,0)),1)</f>
        <v/>
      </c>
      <c r="L2500" s="17" t="n">
        <v>1</v>
      </c>
      <c r="M2500" s="11" t="n">
        <v>1</v>
      </c>
      <c r="N2500" s="17" t="n"/>
      <c r="O2500" s="17" t="n"/>
      <c r="P2500" s="17" t="n"/>
      <c r="Q2500" s="17" t="n"/>
      <c r="R2500" s="17" t="n"/>
      <c r="S2500" s="17" t="n"/>
      <c r="T2500" s="17" t="n"/>
      <c r="U2500" s="17" t="n"/>
      <c r="V2500" s="17" t="n"/>
      <c r="W2500" s="17" t="n"/>
      <c r="X2500" s="17" t="n"/>
      <c r="Y2500" s="17" t="n">
        <v>1</v>
      </c>
      <c r="Z2500" s="13">
        <f>SUMPRODUCT(N2500:Y2500,$N$2:$Y$2)*$K2500*$L2500*$M2500</f>
        <v/>
      </c>
      <c r="AA2500" s="14">
        <f>SUM(N2500:Y2500)</f>
        <v/>
      </c>
      <c r="AB2500" s="14">
        <f>IFERROR(IF(UPPER($E2500)="L",SUMPRODUCT(N2500:Y2500,$N$3:$Y$3,$N$2:$Y$2),SUMPRODUCT(N2500:Y2500,$N$4:$Y$4,$N$2:$Y$2))/(Z2500/($K2500*$L2500*$M2500)),"")</f>
        <v/>
      </c>
      <c r="AC2500" s="18" t="n"/>
    </row>
    <row r="2501">
      <c r="A2501" s="9" t="n">
        <v>680519</v>
      </c>
      <c r="B2501" s="9" t="inlineStr">
        <is>
          <t>Mario Camilletti</t>
        </is>
      </c>
      <c r="C2501" s="9" t="inlineStr">
        <is>
          <t>CWS</t>
        </is>
      </c>
      <c r="D2501" s="9" t="n">
        <v>25</v>
      </c>
      <c r="E2501" s="16" t="inlineStr">
        <is>
          <t>L</t>
        </is>
      </c>
      <c r="F2501" s="16" t="n"/>
      <c r="G2501" s="9" t="n">
        <v>252.1538461538462</v>
      </c>
      <c r="H2501" s="9" t="n">
        <v>252.1538461538462</v>
      </c>
      <c r="I2501" s="9" t="inlineStr">
        <is>
          <t>Depth (no MLB PA)</t>
        </is>
      </c>
      <c r="J2501" s="16" t="inlineStr">
        <is>
          <t>Opening Day</t>
        </is>
      </c>
      <c r="K2501" s="11">
        <f>IFERROR(INDEX(Roles!$B$17:$B$20,MATCH(J2501,Roles!$A$17:$A$20,0)),1)</f>
        <v/>
      </c>
      <c r="L2501" s="17" t="n">
        <v>1</v>
      </c>
      <c r="M2501" s="11" t="n">
        <v>1</v>
      </c>
      <c r="N2501" s="17" t="n"/>
      <c r="O2501" s="17" t="n"/>
      <c r="P2501" s="17" t="n"/>
      <c r="Q2501" s="17" t="n"/>
      <c r="R2501" s="17" t="n"/>
      <c r="S2501" s="17" t="n"/>
      <c r="T2501" s="17" t="n"/>
      <c r="U2501" s="17" t="n"/>
      <c r="V2501" s="17" t="n"/>
      <c r="W2501" s="17" t="n"/>
      <c r="X2501" s="17" t="n"/>
      <c r="Y2501" s="17" t="n">
        <v>1</v>
      </c>
      <c r="Z2501" s="13">
        <f>SUMPRODUCT(N2501:Y2501,$N$2:$Y$2)*$K2501*$L2501*$M2501</f>
        <v/>
      </c>
      <c r="AA2501" s="14">
        <f>SUM(N2501:Y2501)</f>
        <v/>
      </c>
      <c r="AB2501" s="14">
        <f>IFERROR(IF(UPPER($E2501)="L",SUMPRODUCT(N2501:Y2501,$N$3:$Y$3,$N$2:$Y$2),SUMPRODUCT(N2501:Y2501,$N$4:$Y$4,$N$2:$Y$2))/(Z2501/($K2501*$L2501*$M2501)),"")</f>
        <v/>
      </c>
      <c r="AC2501" s="18" t="n"/>
    </row>
    <row r="2502">
      <c r="A2502" s="9" t="n">
        <v>682988</v>
      </c>
      <c r="B2502" s="9" t="inlineStr">
        <is>
          <t>Tyler Locklear</t>
        </is>
      </c>
      <c r="C2502" s="9" t="inlineStr">
        <is>
          <t>ARI</t>
        </is>
      </c>
      <c r="D2502" s="9" t="n">
        <v>26</v>
      </c>
      <c r="E2502" s="16" t="inlineStr">
        <is>
          <t>R</t>
        </is>
      </c>
      <c r="F2502" s="16" t="inlineStr">
        <is>
          <t>1B</t>
        </is>
      </c>
      <c r="G2502" s="9" t="n">
        <v>42</v>
      </c>
      <c r="H2502" s="9" t="n">
        <v>207</v>
      </c>
      <c r="I2502" s="9" t="inlineStr">
        <is>
          <t>Bench Bat</t>
        </is>
      </c>
      <c r="J2502" s="16" t="inlineStr">
        <is>
          <t>Opening Day</t>
        </is>
      </c>
      <c r="K2502" s="11">
        <f>IFERROR(INDEX(Roles!$B$17:$B$20,MATCH(J2502,Roles!$A$17:$A$20,0)),1)</f>
        <v/>
      </c>
      <c r="L2502" s="17" t="n">
        <v>1</v>
      </c>
      <c r="M2502" s="11" t="n">
        <v>1</v>
      </c>
      <c r="N2502" s="17" t="n"/>
      <c r="O2502" s="17" t="n"/>
      <c r="P2502" s="17" t="n"/>
      <c r="Q2502" s="17" t="n"/>
      <c r="R2502" s="17" t="n"/>
      <c r="S2502" s="17" t="n"/>
      <c r="T2502" s="17" t="n"/>
      <c r="U2502" s="17" t="n"/>
      <c r="V2502" s="17" t="n"/>
      <c r="W2502" s="17" t="n">
        <v>0.7</v>
      </c>
      <c r="X2502" s="17" t="n">
        <v>0.3</v>
      </c>
      <c r="Y2502" s="17" t="n"/>
      <c r="Z2502" s="13">
        <f>SUMPRODUCT(N2502:Y2502,$N$2:$Y$2)*$K2502*$L2502*$M2502</f>
        <v/>
      </c>
      <c r="AA2502" s="14">
        <f>SUM(N2502:Y2502)</f>
        <v/>
      </c>
      <c r="AB2502" s="14">
        <f>IFERROR(IF(UPPER($E2502)="L",SUMPRODUCT(N2502:Y2502,$N$3:$Y$3,$N$2:$Y$2),SUMPRODUCT(N2502:Y2502,$N$4:$Y$4,$N$2:$Y$2))/(Z2502/($K2502*$L2502*$M2502)),"")</f>
        <v/>
      </c>
      <c r="AC2502" s="18" t="n"/>
    </row>
    <row r="2503">
      <c r="A2503" s="9" t="n">
        <v>813666</v>
      </c>
      <c r="B2503" s="9" t="inlineStr">
        <is>
          <t>Ariel Armas</t>
        </is>
      </c>
      <c r="C2503" s="9" t="inlineStr">
        <is>
          <t>CHC</t>
        </is>
      </c>
      <c r="D2503" s="9" t="n">
        <v>25</v>
      </c>
      <c r="E2503" s="16" t="inlineStr">
        <is>
          <t>R</t>
        </is>
      </c>
      <c r="F2503" s="16" t="n"/>
      <c r="G2503" s="9" t="n">
        <v>152.5641025641026</v>
      </c>
      <c r="H2503" s="9" t="n">
        <v>152.5641025641026</v>
      </c>
      <c r="I2503" s="9" t="inlineStr">
        <is>
          <t>Depth (no MLB PA)</t>
        </is>
      </c>
      <c r="J2503" s="16" t="inlineStr">
        <is>
          <t>Opening Day</t>
        </is>
      </c>
      <c r="K2503" s="11">
        <f>IFERROR(INDEX(Roles!$B$17:$B$20,MATCH(J2503,Roles!$A$17:$A$20,0)),1)</f>
        <v/>
      </c>
      <c r="L2503" s="17" t="n">
        <v>1</v>
      </c>
      <c r="M2503" s="11" t="n">
        <v>1</v>
      </c>
      <c r="N2503" s="17" t="n"/>
      <c r="O2503" s="17" t="n"/>
      <c r="P2503" s="17" t="n"/>
      <c r="Q2503" s="17" t="n"/>
      <c r="R2503" s="17" t="n"/>
      <c r="S2503" s="17" t="n"/>
      <c r="T2503" s="17" t="n"/>
      <c r="U2503" s="17" t="n"/>
      <c r="V2503" s="17" t="n"/>
      <c r="W2503" s="17" t="n"/>
      <c r="X2503" s="17" t="n"/>
      <c r="Y2503" s="17" t="n">
        <v>1</v>
      </c>
      <c r="Z2503" s="13">
        <f>SUMPRODUCT(N2503:Y2503,$N$2:$Y$2)*$K2503*$L2503*$M2503</f>
        <v/>
      </c>
      <c r="AA2503" s="14">
        <f>SUM(N2503:Y2503)</f>
        <v/>
      </c>
      <c r="AB2503" s="14">
        <f>IFERROR(IF(UPPER($E2503)="L",SUMPRODUCT(N2503:Y2503,$N$3:$Y$3,$N$2:$Y$2),SUMPRODUCT(N2503:Y2503,$N$4:$Y$4,$N$2:$Y$2))/(Z2503/($K2503*$L2503*$M2503)),"")</f>
        <v/>
      </c>
      <c r="AC2503" s="18" t="n"/>
    </row>
    <row r="2504">
      <c r="A2504" s="9" t="n">
        <v>595978</v>
      </c>
      <c r="B2504" s="9" t="inlineStr">
        <is>
          <t>Austin Hedges</t>
        </is>
      </c>
      <c r="C2504" s="9" t="inlineStr">
        <is>
          <t>CLE</t>
        </is>
      </c>
      <c r="D2504" s="9" t="n">
        <v>34</v>
      </c>
      <c r="E2504" s="16" t="inlineStr">
        <is>
          <t>R</t>
        </is>
      </c>
      <c r="F2504" s="16" t="inlineStr">
        <is>
          <t>C</t>
        </is>
      </c>
      <c r="G2504" s="9" t="n">
        <v>247</v>
      </c>
      <c r="H2504" s="9" t="n">
        <v>1123</v>
      </c>
      <c r="I2504" s="9" t="inlineStr">
        <is>
          <t>Weak Side Platoon</t>
        </is>
      </c>
      <c r="J2504" s="16" t="inlineStr">
        <is>
          <t>Opening Day</t>
        </is>
      </c>
      <c r="K2504" s="11">
        <f>IFERROR(INDEX(Roles!$B$17:$B$20,MATCH(J2504,Roles!$A$17:$A$20,0)),1)</f>
        <v/>
      </c>
      <c r="L2504" s="17" t="n">
        <v>1</v>
      </c>
      <c r="M2504" s="11" t="n">
        <v>1</v>
      </c>
      <c r="N2504" s="17" t="n"/>
      <c r="O2504" s="17" t="n"/>
      <c r="P2504" s="17" t="n"/>
      <c r="Q2504" s="17" t="n">
        <v>0.6</v>
      </c>
      <c r="R2504" s="17" t="n"/>
      <c r="S2504" s="17" t="n"/>
      <c r="T2504" s="17" t="n">
        <v>0.4</v>
      </c>
      <c r="U2504" s="17" t="n"/>
      <c r="V2504" s="17" t="n"/>
      <c r="W2504" s="17" t="n"/>
      <c r="X2504" s="17" t="n"/>
      <c r="Y2504" s="17" t="n"/>
      <c r="Z2504" s="13">
        <f>SUMPRODUCT(N2504:Y2504,$N$2:$Y$2)*$K2504*$L2504*$M2504</f>
        <v/>
      </c>
      <c r="AA2504" s="14">
        <f>SUM(N2504:Y2504)</f>
        <v/>
      </c>
      <c r="AB2504" s="14">
        <f>IFERROR(IF(UPPER($E2504)="L",SUMPRODUCT(N2504:Y2504,$N$3:$Y$3,$N$2:$Y$2),SUMPRODUCT(N2504:Y2504,$N$4:$Y$4,$N$2:$Y$2))/(Z2504/($K2504*$L2504*$M2504)),"")</f>
        <v/>
      </c>
      <c r="AC2504" s="18" t="n"/>
    </row>
    <row r="2505">
      <c r="A2505" s="9" t="n">
        <v>803142</v>
      </c>
      <c r="B2505" s="9" t="inlineStr">
        <is>
          <t>Tommy Hawke</t>
        </is>
      </c>
      <c r="C2505" s="9" t="inlineStr">
        <is>
          <t>CLE</t>
        </is>
      </c>
      <c r="D2505" s="9" t="n">
        <v>25</v>
      </c>
      <c r="E2505" s="16" t="inlineStr">
        <is>
          <t>L</t>
        </is>
      </c>
      <c r="F2505" s="16" t="n"/>
      <c r="G2505" s="9" t="n">
        <v>83.89743589743591</v>
      </c>
      <c r="H2505" s="9" t="n">
        <v>83.89743589743591</v>
      </c>
      <c r="I2505" s="9" t="inlineStr">
        <is>
          <t>Depth (no MLB PA)</t>
        </is>
      </c>
      <c r="J2505" s="16" t="inlineStr">
        <is>
          <t>Opening Day</t>
        </is>
      </c>
      <c r="K2505" s="11">
        <f>IFERROR(INDEX(Roles!$B$17:$B$20,MATCH(J2505,Roles!$A$17:$A$20,0)),1)</f>
        <v/>
      </c>
      <c r="L2505" s="17" t="n">
        <v>1</v>
      </c>
      <c r="M2505" s="11" t="n">
        <v>1</v>
      </c>
      <c r="N2505" s="17" t="n"/>
      <c r="O2505" s="17" t="n"/>
      <c r="P2505" s="17" t="n"/>
      <c r="Q2505" s="17" t="n"/>
      <c r="R2505" s="17" t="n"/>
      <c r="S2505" s="17" t="n"/>
      <c r="T2505" s="17" t="n"/>
      <c r="U2505" s="17" t="n"/>
      <c r="V2505" s="17" t="n"/>
      <c r="W2505" s="17" t="n"/>
      <c r="X2505" s="17" t="n"/>
      <c r="Y2505" s="17" t="n">
        <v>1</v>
      </c>
      <c r="Z2505" s="13">
        <f>SUMPRODUCT(N2505:Y2505,$N$2:$Y$2)*$K2505*$L2505*$M2505</f>
        <v/>
      </c>
      <c r="AA2505" s="14">
        <f>SUM(N2505:Y2505)</f>
        <v/>
      </c>
      <c r="AB2505" s="14">
        <f>IFERROR(IF(UPPER($E2505)="L",SUMPRODUCT(N2505:Y2505,$N$3:$Y$3,$N$2:$Y$2),SUMPRODUCT(N2505:Y2505,$N$4:$Y$4,$N$2:$Y$2))/(Z2505/($K2505*$L2505*$M2505)),"")</f>
        <v/>
      </c>
      <c r="AC2505" s="18" t="n"/>
    </row>
    <row r="2506">
      <c r="A2506" s="9" t="n">
        <v>800510</v>
      </c>
      <c r="B2506" s="9" t="inlineStr">
        <is>
          <t>Samuel Gil</t>
        </is>
      </c>
      <c r="C2506" s="9" t="inlineStr">
        <is>
          <t>DET</t>
        </is>
      </c>
      <c r="D2506" s="9" t="n">
        <v>25</v>
      </c>
      <c r="E2506" s="16" t="inlineStr">
        <is>
          <t>R</t>
        </is>
      </c>
      <c r="F2506" s="16" t="n"/>
      <c r="G2506" s="9" t="n">
        <v>82.66666666666667</v>
      </c>
      <c r="H2506" s="9" t="n">
        <v>82.66666666666667</v>
      </c>
      <c r="I2506" s="9" t="inlineStr">
        <is>
          <t>Depth (no MLB PA)</t>
        </is>
      </c>
      <c r="J2506" s="16" t="inlineStr">
        <is>
          <t>Opening Day</t>
        </is>
      </c>
      <c r="K2506" s="11">
        <f>IFERROR(INDEX(Roles!$B$17:$B$20,MATCH(J2506,Roles!$A$17:$A$20,0)),1)</f>
        <v/>
      </c>
      <c r="L2506" s="17" t="n">
        <v>1</v>
      </c>
      <c r="M2506" s="11" t="n">
        <v>1</v>
      </c>
      <c r="N2506" s="17" t="n"/>
      <c r="O2506" s="17" t="n"/>
      <c r="P2506" s="17" t="n"/>
      <c r="Q2506" s="17" t="n"/>
      <c r="R2506" s="17" t="n"/>
      <c r="S2506" s="17" t="n"/>
      <c r="T2506" s="17" t="n"/>
      <c r="U2506" s="17" t="n"/>
      <c r="V2506" s="17" t="n"/>
      <c r="W2506" s="17" t="n"/>
      <c r="X2506" s="17" t="n"/>
      <c r="Y2506" s="17" t="n">
        <v>1</v>
      </c>
      <c r="Z2506" s="13">
        <f>SUMPRODUCT(N2506:Y2506,$N$2:$Y$2)*$K2506*$L2506*$M2506</f>
        <v/>
      </c>
      <c r="AA2506" s="14">
        <f>SUM(N2506:Y2506)</f>
        <v/>
      </c>
      <c r="AB2506" s="14">
        <f>IFERROR(IF(UPPER($E2506)="L",SUMPRODUCT(N2506:Y2506,$N$3:$Y$3,$N$2:$Y$2),SUMPRODUCT(N2506:Y2506,$N$4:$Y$4,$N$2:$Y$2))/(Z2506/($K2506*$L2506*$M2506)),"")</f>
        <v/>
      </c>
      <c r="AC2506" s="18" t="n"/>
    </row>
    <row r="2507">
      <c r="A2507" s="9" t="n">
        <v>621545</v>
      </c>
      <c r="B2507" s="9" t="inlineStr">
        <is>
          <t>Zach Remillard</t>
        </is>
      </c>
      <c r="C2507" s="9" t="inlineStr">
        <is>
          <t>CWS</t>
        </is>
      </c>
      <c r="D2507" s="9" t="n">
        <v>33</v>
      </c>
      <c r="E2507" s="16" t="inlineStr">
        <is>
          <t>R</t>
        </is>
      </c>
      <c r="F2507" s="16" t="inlineStr">
        <is>
          <t>2B</t>
        </is>
      </c>
      <c r="G2507" s="9" t="n">
        <v>39</v>
      </c>
      <c r="H2507" s="9" t="n">
        <v>199</v>
      </c>
      <c r="I2507" s="9" t="inlineStr">
        <is>
          <t>Depth (no MLB PA)</t>
        </is>
      </c>
      <c r="J2507" s="16" t="inlineStr">
        <is>
          <t>Opening Day</t>
        </is>
      </c>
      <c r="K2507" s="11">
        <f>IFERROR(INDEX(Roles!$B$17:$B$20,MATCH(J2507,Roles!$A$17:$A$20,0)),1)</f>
        <v/>
      </c>
      <c r="L2507" s="17" t="n">
        <v>1</v>
      </c>
      <c r="M2507" s="11" t="n">
        <v>1</v>
      </c>
      <c r="N2507" s="17" t="n"/>
      <c r="O2507" s="17" t="n"/>
      <c r="P2507" s="17" t="n"/>
      <c r="Q2507" s="17" t="n"/>
      <c r="R2507" s="17" t="n"/>
      <c r="S2507" s="17" t="n"/>
      <c r="T2507" s="17" t="n"/>
      <c r="U2507" s="17" t="n"/>
      <c r="V2507" s="17" t="n"/>
      <c r="W2507" s="17" t="n"/>
      <c r="X2507" s="17" t="n"/>
      <c r="Y2507" s="17" t="n">
        <v>1</v>
      </c>
      <c r="Z2507" s="13">
        <f>SUMPRODUCT(N2507:Y2507,$N$2:$Y$2)*$K2507*$L2507*$M2507</f>
        <v/>
      </c>
      <c r="AA2507" s="14">
        <f>SUM(N2507:Y2507)</f>
        <v/>
      </c>
      <c r="AB2507" s="14">
        <f>IFERROR(IF(UPPER($E2507)="L",SUMPRODUCT(N2507:Y2507,$N$3:$Y$3,$N$2:$Y$2),SUMPRODUCT(N2507:Y2507,$N$4:$Y$4,$N$2:$Y$2))/(Z2507/($K2507*$L2507*$M2507)),"")</f>
        <v/>
      </c>
      <c r="AC2507" s="18" t="n"/>
    </row>
    <row r="2508">
      <c r="A2508" s="9" t="n">
        <v>689931</v>
      </c>
      <c r="B2508" s="9" t="inlineStr">
        <is>
          <t>Peyton Graham</t>
        </is>
      </c>
      <c r="C2508" s="9" t="inlineStr">
        <is>
          <t>DET</t>
        </is>
      </c>
      <c r="D2508" s="9" t="n">
        <v>25</v>
      </c>
      <c r="E2508" s="16" t="inlineStr">
        <is>
          <t>R</t>
        </is>
      </c>
      <c r="F2508" s="16" t="n"/>
      <c r="G2508" s="9" t="n">
        <v>175.1794871794872</v>
      </c>
      <c r="H2508" s="9" t="n">
        <v>175.1794871794872</v>
      </c>
      <c r="I2508" s="9" t="inlineStr">
        <is>
          <t>Depth (no MLB PA)</t>
        </is>
      </c>
      <c r="J2508" s="16" t="inlineStr">
        <is>
          <t>Opening Day</t>
        </is>
      </c>
      <c r="K2508" s="11">
        <f>IFERROR(INDEX(Roles!$B$17:$B$20,MATCH(J2508,Roles!$A$17:$A$20,0)),1)</f>
        <v/>
      </c>
      <c r="L2508" s="17" t="n">
        <v>1</v>
      </c>
      <c r="M2508" s="11" t="n">
        <v>1</v>
      </c>
      <c r="N2508" s="17" t="n"/>
      <c r="O2508" s="17" t="n"/>
      <c r="P2508" s="17" t="n"/>
      <c r="Q2508" s="17" t="n"/>
      <c r="R2508" s="17" t="n"/>
      <c r="S2508" s="17" t="n"/>
      <c r="T2508" s="17" t="n"/>
      <c r="U2508" s="17" t="n"/>
      <c r="V2508" s="17" t="n"/>
      <c r="W2508" s="17" t="n"/>
      <c r="X2508" s="17" t="n"/>
      <c r="Y2508" s="17" t="n">
        <v>1</v>
      </c>
      <c r="Z2508" s="13">
        <f>SUMPRODUCT(N2508:Y2508,$N$2:$Y$2)*$K2508*$L2508*$M2508</f>
        <v/>
      </c>
      <c r="AA2508" s="14">
        <f>SUM(N2508:Y2508)</f>
        <v/>
      </c>
      <c r="AB2508" s="14">
        <f>IFERROR(IF(UPPER($E2508)="L",SUMPRODUCT(N2508:Y2508,$N$3:$Y$3,$N$2:$Y$2),SUMPRODUCT(N2508:Y2508,$N$4:$Y$4,$N$2:$Y$2))/(Z2508/($K2508*$L2508*$M2508)),"")</f>
        <v/>
      </c>
      <c r="AC2508" s="18" t="n"/>
    </row>
    <row r="2509">
      <c r="A2509" s="9" t="n">
        <v>694387</v>
      </c>
      <c r="B2509" s="9" t="inlineStr">
        <is>
          <t>Christian Knapczyk</t>
        </is>
      </c>
      <c r="C2509" s="9" t="inlineStr">
        <is>
          <t>CLE</t>
        </is>
      </c>
      <c r="D2509" s="9" t="n">
        <v>25</v>
      </c>
      <c r="E2509" s="16" t="inlineStr">
        <is>
          <t>L</t>
        </is>
      </c>
      <c r="F2509" s="16" t="n"/>
      <c r="G2509" s="9" t="n">
        <v>91.8974358974359</v>
      </c>
      <c r="H2509" s="9" t="n">
        <v>91.8974358974359</v>
      </c>
      <c r="I2509" s="9" t="inlineStr">
        <is>
          <t>Depth (no MLB PA)</t>
        </is>
      </c>
      <c r="J2509" s="16" t="inlineStr">
        <is>
          <t>Opening Day</t>
        </is>
      </c>
      <c r="K2509" s="11">
        <f>IFERROR(INDEX(Roles!$B$17:$B$20,MATCH(J2509,Roles!$A$17:$A$20,0)),1)</f>
        <v/>
      </c>
      <c r="L2509" s="17" t="n">
        <v>1</v>
      </c>
      <c r="M2509" s="11" t="n">
        <v>1</v>
      </c>
      <c r="N2509" s="17" t="n"/>
      <c r="O2509" s="17" t="n"/>
      <c r="P2509" s="17" t="n"/>
      <c r="Q2509" s="17" t="n"/>
      <c r="R2509" s="17" t="n"/>
      <c r="S2509" s="17" t="n"/>
      <c r="T2509" s="17" t="n"/>
      <c r="U2509" s="17" t="n"/>
      <c r="V2509" s="17" t="n"/>
      <c r="W2509" s="17" t="n"/>
      <c r="X2509" s="17" t="n"/>
      <c r="Y2509" s="17" t="n">
        <v>1</v>
      </c>
      <c r="Z2509" s="13">
        <f>SUMPRODUCT(N2509:Y2509,$N$2:$Y$2)*$K2509*$L2509*$M2509</f>
        <v/>
      </c>
      <c r="AA2509" s="14">
        <f>SUM(N2509:Y2509)</f>
        <v/>
      </c>
      <c r="AB2509" s="14">
        <f>IFERROR(IF(UPPER($E2509)="L",SUMPRODUCT(N2509:Y2509,$N$3:$Y$3,$N$2:$Y$2),SUMPRODUCT(N2509:Y2509,$N$4:$Y$4,$N$2:$Y$2))/(Z2509/($K2509*$L2509*$M2509)),"")</f>
        <v/>
      </c>
      <c r="AC2509" s="18" t="n"/>
    </row>
    <row r="2510">
      <c r="A2510" s="9" t="n">
        <v>678009</v>
      </c>
      <c r="B2510" s="9" t="inlineStr">
        <is>
          <t>Parker Meadows</t>
        </is>
      </c>
      <c r="C2510" s="9" t="inlineStr">
        <is>
          <t>DET</t>
        </is>
      </c>
      <c r="D2510" s="9" t="n">
        <v>27</v>
      </c>
      <c r="E2510" s="16" t="inlineStr">
        <is>
          <t>L</t>
        </is>
      </c>
      <c r="F2510" s="16" t="inlineStr">
        <is>
          <t>CF</t>
        </is>
      </c>
      <c r="G2510" s="9" t="n">
        <v>39</v>
      </c>
      <c r="H2510" s="9" t="n">
        <v>695</v>
      </c>
      <c r="I2510" s="9" t="inlineStr">
        <is>
          <t>Injury Replacement / 26th Man</t>
        </is>
      </c>
      <c r="J2510" s="16" t="inlineStr">
        <is>
          <t>Opening Day</t>
        </is>
      </c>
      <c r="K2510" s="11">
        <f>IFERROR(INDEX(Roles!$B$17:$B$20,MATCH(J2510,Roles!$A$17:$A$20,0)),1)</f>
        <v/>
      </c>
      <c r="L2510" s="17" t="n">
        <v>1</v>
      </c>
      <c r="M2510" s="11" t="n">
        <v>1</v>
      </c>
      <c r="N2510" s="17" t="n"/>
      <c r="O2510" s="17" t="n"/>
      <c r="P2510" s="17" t="n"/>
      <c r="Q2510" s="17" t="n"/>
      <c r="R2510" s="17" t="n"/>
      <c r="S2510" s="17" t="n"/>
      <c r="T2510" s="17" t="n"/>
      <c r="U2510" s="17" t="n"/>
      <c r="V2510" s="17" t="n"/>
      <c r="W2510" s="17" t="n">
        <v>0.15</v>
      </c>
      <c r="X2510" s="17" t="n">
        <v>0.85</v>
      </c>
      <c r="Y2510" s="17" t="n"/>
      <c r="Z2510" s="13">
        <f>SUMPRODUCT(N2510:Y2510,$N$2:$Y$2)*$K2510*$L2510*$M2510</f>
        <v/>
      </c>
      <c r="AA2510" s="14">
        <f>SUM(N2510:Y2510)</f>
        <v/>
      </c>
      <c r="AB2510" s="14">
        <f>IFERROR(IF(UPPER($E2510)="L",SUMPRODUCT(N2510:Y2510,$N$3:$Y$3,$N$2:$Y$2),SUMPRODUCT(N2510:Y2510,$N$4:$Y$4,$N$2:$Y$2))/(Z2510/($K2510*$L2510*$M2510)),"")</f>
        <v/>
      </c>
      <c r="AC2510" s="18" t="n"/>
    </row>
    <row r="2511">
      <c r="A2511" s="9" t="n">
        <v>672640</v>
      </c>
      <c r="B2511" s="9" t="inlineStr">
        <is>
          <t>Otto Lopez</t>
        </is>
      </c>
      <c r="C2511" s="9" t="inlineStr">
        <is>
          <t>MIA</t>
        </is>
      </c>
      <c r="D2511" s="9" t="n">
        <v>28</v>
      </c>
      <c r="E2511" s="16" t="inlineStr">
        <is>
          <t>R</t>
        </is>
      </c>
      <c r="F2511" s="16" t="inlineStr">
        <is>
          <t>SS</t>
        </is>
      </c>
      <c r="G2511" s="9" t="n">
        <v>687</v>
      </c>
      <c r="H2511" s="9" t="n">
        <v>1725</v>
      </c>
      <c r="I2511" s="9" t="inlineStr">
        <is>
          <t>Full Time</t>
        </is>
      </c>
      <c r="J2511" s="16" t="inlineStr">
        <is>
          <t>Opening Day</t>
        </is>
      </c>
      <c r="K2511" s="11">
        <f>IFERROR(INDEX(Roles!$B$17:$B$20,MATCH(J2511,Roles!$A$17:$A$20,0)),1)</f>
        <v/>
      </c>
      <c r="L2511" s="17" t="n">
        <v>1</v>
      </c>
      <c r="M2511" s="11" t="n">
        <v>1.122542529568557</v>
      </c>
      <c r="N2511" s="17" t="n">
        <v>1</v>
      </c>
      <c r="O2511" s="17" t="n"/>
      <c r="P2511" s="17" t="n"/>
      <c r="Q2511" s="17" t="n"/>
      <c r="R2511" s="17" t="n"/>
      <c r="S2511" s="17" t="n"/>
      <c r="T2511" s="17" t="n"/>
      <c r="U2511" s="17" t="n"/>
      <c r="V2511" s="17" t="n"/>
      <c r="W2511" s="17" t="n"/>
      <c r="X2511" s="17" t="n"/>
      <c r="Y2511" s="17" t="n"/>
      <c r="Z2511" s="13">
        <f>SUMPRODUCT(N2511:Y2511,$N$2:$Y$2)*$K2511*$L2511*$M2511</f>
        <v/>
      </c>
      <c r="AA2511" s="14">
        <f>SUM(N2511:Y2511)</f>
        <v/>
      </c>
      <c r="AB2511" s="14">
        <f>IFERROR(IF(UPPER($E2511)="L",SUMPRODUCT(N2511:Y2511,$N$3:$Y$3,$N$2:$Y$2),SUMPRODUCT(N2511:Y2511,$N$4:$Y$4,$N$2:$Y$2))/(Z2511/($K2511*$L2511*$M2511)),"")</f>
        <v/>
      </c>
      <c r="AC2511" s="18" t="n"/>
    </row>
    <row r="2512">
      <c r="A2512" s="9" t="n">
        <v>694876</v>
      </c>
      <c r="B2512" s="9" t="inlineStr">
        <is>
          <t>Cooper Ingle</t>
        </is>
      </c>
      <c r="C2512" s="9" t="inlineStr">
        <is>
          <t>CLE</t>
        </is>
      </c>
      <c r="D2512" s="9" t="n">
        <v>25</v>
      </c>
      <c r="E2512" s="16" t="inlineStr">
        <is>
          <t>L</t>
        </is>
      </c>
      <c r="F2512" s="16" t="inlineStr">
        <is>
          <t>LF</t>
        </is>
      </c>
      <c r="G2512" s="9" t="n">
        <v>24</v>
      </c>
      <c r="H2512" s="9" t="n">
        <v>24</v>
      </c>
      <c r="I2512" s="9" t="inlineStr">
        <is>
          <t>Depth (no MLB PA)</t>
        </is>
      </c>
      <c r="J2512" s="16" t="inlineStr">
        <is>
          <t>Opening Day</t>
        </is>
      </c>
      <c r="K2512" s="11">
        <f>IFERROR(INDEX(Roles!$B$17:$B$20,MATCH(J2512,Roles!$A$17:$A$20,0)),1)</f>
        <v/>
      </c>
      <c r="L2512" s="17" t="n">
        <v>1</v>
      </c>
      <c r="M2512" s="11" t="n">
        <v>1</v>
      </c>
      <c r="N2512" s="17" t="n"/>
      <c r="O2512" s="17" t="n"/>
      <c r="P2512" s="17" t="n"/>
      <c r="Q2512" s="17" t="n"/>
      <c r="R2512" s="17" t="n"/>
      <c r="S2512" s="17" t="n"/>
      <c r="T2512" s="17" t="n"/>
      <c r="U2512" s="17" t="n"/>
      <c r="V2512" s="17" t="n"/>
      <c r="W2512" s="17" t="n"/>
      <c r="X2512" s="17" t="n"/>
      <c r="Y2512" s="17" t="n">
        <v>1</v>
      </c>
      <c r="Z2512" s="13">
        <f>SUMPRODUCT(N2512:Y2512,$N$2:$Y$2)*$K2512*$L2512*$M2512</f>
        <v/>
      </c>
      <c r="AA2512" s="14">
        <f>SUM(N2512:Y2512)</f>
        <v/>
      </c>
      <c r="AB2512" s="14">
        <f>IFERROR(IF(UPPER($E2512)="L",SUMPRODUCT(N2512:Y2512,$N$3:$Y$3,$N$2:$Y$2),SUMPRODUCT(N2512:Y2512,$N$4:$Y$4,$N$2:$Y$2))/(Z2512/($K2512*$L2512*$M2512)),"")</f>
        <v/>
      </c>
      <c r="AC2512" s="18" t="n"/>
    </row>
    <row r="2513">
      <c r="A2513" s="9" t="n">
        <v>664058</v>
      </c>
      <c r="B2513" s="9" t="inlineStr">
        <is>
          <t>David Fletcher</t>
        </is>
      </c>
      <c r="C2513" s="9" t="inlineStr">
        <is>
          <t>LAA</t>
        </is>
      </c>
      <c r="D2513" s="9" t="n">
        <v>33</v>
      </c>
      <c r="E2513" s="16" t="inlineStr">
        <is>
          <t>R</t>
        </is>
      </c>
      <c r="F2513" s="16" t="inlineStr">
        <is>
          <t>2B</t>
        </is>
      </c>
      <c r="G2513" s="9" t="n">
        <v>9</v>
      </c>
      <c r="H2513" s="9" t="n">
        <v>334</v>
      </c>
      <c r="I2513" s="9" t="inlineStr">
        <is>
          <t>Depth (no MLB PA)</t>
        </is>
      </c>
      <c r="J2513" s="16" t="inlineStr">
        <is>
          <t>Opening Day</t>
        </is>
      </c>
      <c r="K2513" s="11">
        <f>IFERROR(INDEX(Roles!$B$17:$B$20,MATCH(J2513,Roles!$A$17:$A$20,0)),1)</f>
        <v/>
      </c>
      <c r="L2513" s="17" t="n">
        <v>1</v>
      </c>
      <c r="M2513" s="11" t="n">
        <v>1</v>
      </c>
      <c r="N2513" s="17" t="n"/>
      <c r="O2513" s="17" t="n"/>
      <c r="P2513" s="17" t="n"/>
      <c r="Q2513" s="17" t="n"/>
      <c r="R2513" s="17" t="n"/>
      <c r="S2513" s="17" t="n"/>
      <c r="T2513" s="17" t="n"/>
      <c r="U2513" s="17" t="n"/>
      <c r="V2513" s="17" t="n"/>
      <c r="W2513" s="17" t="n"/>
      <c r="X2513" s="17" t="n"/>
      <c r="Y2513" s="17" t="n">
        <v>1</v>
      </c>
      <c r="Z2513" s="13">
        <f>SUMPRODUCT(N2513:Y2513,$N$2:$Y$2)*$K2513*$L2513*$M2513</f>
        <v/>
      </c>
      <c r="AA2513" s="14">
        <f>SUM(N2513:Y2513)</f>
        <v/>
      </c>
      <c r="AB2513" s="14">
        <f>IFERROR(IF(UPPER($E2513)="L",SUMPRODUCT(N2513:Y2513,$N$3:$Y$3,$N$2:$Y$2),SUMPRODUCT(N2513:Y2513,$N$4:$Y$4,$N$2:$Y$2))/(Z2513/($K2513*$L2513*$M2513)),"")</f>
        <v/>
      </c>
      <c r="AC2513" s="18" t="n"/>
    </row>
    <row r="2514">
      <c r="A2514" s="9" t="n">
        <v>807751</v>
      </c>
      <c r="B2514" s="9" t="inlineStr">
        <is>
          <t>Ethan O'Donnell</t>
        </is>
      </c>
      <c r="C2514" s="9" t="inlineStr">
        <is>
          <t>MIA</t>
        </is>
      </c>
      <c r="D2514" s="9" t="n">
        <v>25</v>
      </c>
      <c r="E2514" s="16" t="inlineStr">
        <is>
          <t>L</t>
        </is>
      </c>
      <c r="F2514" s="16" t="n"/>
      <c r="G2514" s="9" t="n">
        <v>130.3076923076923</v>
      </c>
      <c r="H2514" s="9" t="n">
        <v>130.3076923076923</v>
      </c>
      <c r="I2514" s="9" t="inlineStr">
        <is>
          <t>Depth (no MLB PA)</t>
        </is>
      </c>
      <c r="J2514" s="16" t="inlineStr">
        <is>
          <t>Opening Day</t>
        </is>
      </c>
      <c r="K2514" s="11">
        <f>IFERROR(INDEX(Roles!$B$17:$B$20,MATCH(J2514,Roles!$A$17:$A$20,0)),1)</f>
        <v/>
      </c>
      <c r="L2514" s="17" t="n">
        <v>1</v>
      </c>
      <c r="M2514" s="11" t="n">
        <v>1</v>
      </c>
      <c r="N2514" s="17" t="n"/>
      <c r="O2514" s="17" t="n"/>
      <c r="P2514" s="17" t="n"/>
      <c r="Q2514" s="17" t="n"/>
      <c r="R2514" s="17" t="n"/>
      <c r="S2514" s="17" t="n"/>
      <c r="T2514" s="17" t="n"/>
      <c r="U2514" s="17" t="n"/>
      <c r="V2514" s="17" t="n"/>
      <c r="W2514" s="17" t="n"/>
      <c r="X2514" s="17" t="n"/>
      <c r="Y2514" s="17" t="n">
        <v>1</v>
      </c>
      <c r="Z2514" s="13">
        <f>SUMPRODUCT(N2514:Y2514,$N$2:$Y$2)*$K2514*$L2514*$M2514</f>
        <v/>
      </c>
      <c r="AA2514" s="14">
        <f>SUM(N2514:Y2514)</f>
        <v/>
      </c>
      <c r="AB2514" s="14">
        <f>IFERROR(IF(UPPER($E2514)="L",SUMPRODUCT(N2514:Y2514,$N$3:$Y$3,$N$2:$Y$2),SUMPRODUCT(N2514:Y2514,$N$4:$Y$4,$N$2:$Y$2))/(Z2514/($K2514*$L2514*$M2514)),"")</f>
        <v/>
      </c>
      <c r="AC2514" s="18" t="n"/>
    </row>
    <row r="2515">
      <c r="A2515" s="9" t="n">
        <v>681098</v>
      </c>
      <c r="B2515" s="9" t="inlineStr">
        <is>
          <t>Bill Knight</t>
        </is>
      </c>
      <c r="C2515" s="9" t="inlineStr">
        <is>
          <t>SEA</t>
        </is>
      </c>
      <c r="D2515" s="9" t="n">
        <v>25</v>
      </c>
      <c r="E2515" s="16" t="inlineStr">
        <is>
          <t>R</t>
        </is>
      </c>
      <c r="F2515" s="16" t="n"/>
      <c r="G2515" s="9" t="n">
        <v>110.2051282051282</v>
      </c>
      <c r="H2515" s="9" t="n">
        <v>110.2051282051282</v>
      </c>
      <c r="I2515" s="9" t="inlineStr">
        <is>
          <t>Depth (no MLB PA)</t>
        </is>
      </c>
      <c r="J2515" s="16" t="inlineStr">
        <is>
          <t>Opening Day</t>
        </is>
      </c>
      <c r="K2515" s="11">
        <f>IFERROR(INDEX(Roles!$B$17:$B$20,MATCH(J2515,Roles!$A$17:$A$20,0)),1)</f>
        <v/>
      </c>
      <c r="L2515" s="17" t="n">
        <v>1</v>
      </c>
      <c r="M2515" s="11" t="n">
        <v>1</v>
      </c>
      <c r="N2515" s="17" t="n"/>
      <c r="O2515" s="17" t="n"/>
      <c r="P2515" s="17" t="n"/>
      <c r="Q2515" s="17" t="n"/>
      <c r="R2515" s="17" t="n"/>
      <c r="S2515" s="17" t="n"/>
      <c r="T2515" s="17" t="n"/>
      <c r="U2515" s="17" t="n"/>
      <c r="V2515" s="17" t="n"/>
      <c r="W2515" s="17" t="n"/>
      <c r="X2515" s="17" t="n"/>
      <c r="Y2515" s="17" t="n">
        <v>1</v>
      </c>
      <c r="Z2515" s="13">
        <f>SUMPRODUCT(N2515:Y2515,$N$2:$Y$2)*$K2515*$L2515*$M2515</f>
        <v/>
      </c>
      <c r="AA2515" s="14">
        <f>SUM(N2515:Y2515)</f>
        <v/>
      </c>
      <c r="AB2515" s="14">
        <f>IFERROR(IF(UPPER($E2515)="L",SUMPRODUCT(N2515:Y2515,$N$3:$Y$3,$N$2:$Y$2),SUMPRODUCT(N2515:Y2515,$N$4:$Y$4,$N$2:$Y$2))/(Z2515/($K2515*$L2515*$M2515)),"")</f>
        <v/>
      </c>
      <c r="AC2515" s="18" t="n"/>
    </row>
    <row r="2516">
      <c r="A2516" s="9" t="n">
        <v>669288</v>
      </c>
      <c r="B2516" s="9" t="inlineStr">
        <is>
          <t>Daniel Johnson</t>
        </is>
      </c>
      <c r="C2516" s="9" t="inlineStr">
        <is>
          <t>BAL</t>
        </is>
      </c>
      <c r="D2516" s="9" t="n">
        <v>31</v>
      </c>
      <c r="E2516" s="16" t="inlineStr">
        <is>
          <t>L</t>
        </is>
      </c>
      <c r="F2516" s="16" t="inlineStr">
        <is>
          <t>CF</t>
        </is>
      </c>
      <c r="G2516" s="9" t="n">
        <v>17</v>
      </c>
      <c r="H2516" s="9" t="n">
        <v>75</v>
      </c>
      <c r="I2516" s="9" t="inlineStr">
        <is>
          <t>Bench Bat</t>
        </is>
      </c>
      <c r="J2516" s="16" t="inlineStr">
        <is>
          <t>Opening Day</t>
        </is>
      </c>
      <c r="K2516" s="11">
        <f>IFERROR(INDEX(Roles!$B$17:$B$20,MATCH(J2516,Roles!$A$17:$A$20,0)),1)</f>
        <v/>
      </c>
      <c r="L2516" s="17" t="n">
        <v>1</v>
      </c>
      <c r="M2516" s="11" t="n">
        <v>1</v>
      </c>
      <c r="N2516" s="17" t="n"/>
      <c r="O2516" s="17" t="n"/>
      <c r="P2516" s="17" t="n"/>
      <c r="Q2516" s="17" t="n"/>
      <c r="R2516" s="17" t="n"/>
      <c r="S2516" s="17" t="n"/>
      <c r="T2516" s="17" t="n"/>
      <c r="U2516" s="17" t="n"/>
      <c r="V2516" s="17" t="n"/>
      <c r="W2516" s="17" t="n">
        <v>1</v>
      </c>
      <c r="X2516" s="17" t="n"/>
      <c r="Y2516" s="17" t="n"/>
      <c r="Z2516" s="13">
        <f>SUMPRODUCT(N2516:Y2516,$N$2:$Y$2)*$K2516*$L2516*$M2516</f>
        <v/>
      </c>
      <c r="AA2516" s="14">
        <f>SUM(N2516:Y2516)</f>
        <v/>
      </c>
      <c r="AB2516" s="14">
        <f>IFERROR(IF(UPPER($E2516)="L",SUMPRODUCT(N2516:Y2516,$N$3:$Y$3,$N$2:$Y$2),SUMPRODUCT(N2516:Y2516,$N$4:$Y$4,$N$2:$Y$2))/(Z2516/($K2516*$L2516*$M2516)),"")</f>
        <v/>
      </c>
      <c r="AC2516" s="18" t="n"/>
    </row>
    <row r="2517">
      <c r="A2517" s="9" t="n">
        <v>572761</v>
      </c>
      <c r="B2517" s="9" t="inlineStr">
        <is>
          <t>Matt Carpenter</t>
        </is>
      </c>
      <c r="C2517" s="9" t="inlineStr">
        <is>
          <t>STL</t>
        </is>
      </c>
      <c r="D2517" s="9" t="n">
        <v>41</v>
      </c>
      <c r="E2517" s="16" t="inlineStr">
        <is>
          <t>L</t>
        </is>
      </c>
      <c r="F2517" s="16" t="inlineStr">
        <is>
          <t>1B</t>
        </is>
      </c>
      <c r="G2517" s="9" t="n">
        <v>157</v>
      </c>
      <c r="H2517" s="9" t="n">
        <v>548</v>
      </c>
      <c r="I2517" s="9" t="inlineStr">
        <is>
          <t>Depth (no MLB PA)</t>
        </is>
      </c>
      <c r="J2517" s="16" t="inlineStr">
        <is>
          <t>Opening Day</t>
        </is>
      </c>
      <c r="K2517" s="11">
        <f>IFERROR(INDEX(Roles!$B$17:$B$20,MATCH(J2517,Roles!$A$17:$A$20,0)),1)</f>
        <v/>
      </c>
      <c r="L2517" s="17" t="n">
        <v>1</v>
      </c>
      <c r="M2517" s="11" t="n">
        <v>1</v>
      </c>
      <c r="N2517" s="17" t="n"/>
      <c r="O2517" s="17" t="n"/>
      <c r="P2517" s="17" t="n"/>
      <c r="Q2517" s="17" t="n"/>
      <c r="R2517" s="17" t="n"/>
      <c r="S2517" s="17" t="n"/>
      <c r="T2517" s="17" t="n"/>
      <c r="U2517" s="17" t="n"/>
      <c r="V2517" s="17" t="n"/>
      <c r="W2517" s="17" t="n"/>
      <c r="X2517" s="17" t="n"/>
      <c r="Y2517" s="17" t="n">
        <v>1</v>
      </c>
      <c r="Z2517" s="13">
        <f>SUMPRODUCT(N2517:Y2517,$N$2:$Y$2)*$K2517*$L2517*$M2517</f>
        <v/>
      </c>
      <c r="AA2517" s="14">
        <f>SUM(N2517:Y2517)</f>
        <v/>
      </c>
      <c r="AB2517" s="14">
        <f>IFERROR(IF(UPPER($E2517)="L",SUMPRODUCT(N2517:Y2517,$N$3:$Y$3,$N$2:$Y$2),SUMPRODUCT(N2517:Y2517,$N$4:$Y$4,$N$2:$Y$2))/(Z2517/($K2517*$L2517*$M2517)),"")</f>
        <v/>
      </c>
      <c r="AC2517" s="18" t="n"/>
    </row>
    <row r="2518">
      <c r="A2518" s="9" t="n">
        <v>623205</v>
      </c>
      <c r="B2518" s="9" t="inlineStr">
        <is>
          <t>Andrew Velazquez</t>
        </is>
      </c>
      <c r="C2518" s="9" t="inlineStr">
        <is>
          <t>LAA</t>
        </is>
      </c>
      <c r="D2518" s="9" t="n">
        <v>32</v>
      </c>
      <c r="E2518" s="16" t="inlineStr">
        <is>
          <t>S</t>
        </is>
      </c>
      <c r="F2518" s="16" t="inlineStr">
        <is>
          <t>SS</t>
        </is>
      </c>
      <c r="G2518" s="9" t="n">
        <v>15</v>
      </c>
      <c r="H2518" s="9" t="n">
        <v>458</v>
      </c>
      <c r="I2518" s="9" t="inlineStr">
        <is>
          <t>Depth (no MLB PA)</t>
        </is>
      </c>
      <c r="J2518" s="16" t="inlineStr">
        <is>
          <t>Opening Day</t>
        </is>
      </c>
      <c r="K2518" s="11">
        <f>IFERROR(INDEX(Roles!$B$17:$B$20,MATCH(J2518,Roles!$A$17:$A$20,0)),1)</f>
        <v/>
      </c>
      <c r="L2518" s="17" t="n">
        <v>1</v>
      </c>
      <c r="M2518" s="11" t="n">
        <v>1</v>
      </c>
      <c r="N2518" s="17" t="n"/>
      <c r="O2518" s="17" t="n"/>
      <c r="P2518" s="17" t="n"/>
      <c r="Q2518" s="17" t="n"/>
      <c r="R2518" s="17" t="n"/>
      <c r="S2518" s="17" t="n"/>
      <c r="T2518" s="17" t="n"/>
      <c r="U2518" s="17" t="n"/>
      <c r="V2518" s="17" t="n"/>
      <c r="W2518" s="17" t="n"/>
      <c r="X2518" s="17" t="n"/>
      <c r="Y2518" s="17" t="n">
        <v>1</v>
      </c>
      <c r="Z2518" s="13">
        <f>SUMPRODUCT(N2518:Y2518,$N$2:$Y$2)*$K2518*$L2518*$M2518</f>
        <v/>
      </c>
      <c r="AA2518" s="14">
        <f>SUM(N2518:Y2518)</f>
        <v/>
      </c>
      <c r="AB2518" s="14">
        <f>IFERROR(IF(UPPER($E2518)="L",SUMPRODUCT(N2518:Y2518,$N$3:$Y$3,$N$2:$Y$2),SUMPRODUCT(N2518:Y2518,$N$4:$Y$4,$N$2:$Y$2))/(Z2518/($K2518*$L2518*$M2518)),"")</f>
        <v/>
      </c>
      <c r="AC2518" s="18" t="n"/>
    </row>
    <row r="2519">
      <c r="A2519" s="9" t="n">
        <v>688394</v>
      </c>
      <c r="B2519" s="9" t="inlineStr">
        <is>
          <t>Jordan Sprinkle</t>
        </is>
      </c>
      <c r="C2519" s="9" t="inlineStr">
        <is>
          <t>CWS</t>
        </is>
      </c>
      <c r="D2519" s="9" t="n">
        <v>25</v>
      </c>
      <c r="E2519" s="16" t="inlineStr">
        <is>
          <t>R</t>
        </is>
      </c>
      <c r="F2519" s="16" t="n"/>
      <c r="G2519" s="9" t="n">
        <v>98</v>
      </c>
      <c r="H2519" s="9" t="n">
        <v>98</v>
      </c>
      <c r="I2519" s="9" t="inlineStr">
        <is>
          <t>Depth (no MLB PA)</t>
        </is>
      </c>
      <c r="J2519" s="16" t="inlineStr">
        <is>
          <t>Opening Day</t>
        </is>
      </c>
      <c r="K2519" s="11">
        <f>IFERROR(INDEX(Roles!$B$17:$B$20,MATCH(J2519,Roles!$A$17:$A$20,0)),1)</f>
        <v/>
      </c>
      <c r="L2519" s="17" t="n">
        <v>1</v>
      </c>
      <c r="M2519" s="11" t="n">
        <v>1</v>
      </c>
      <c r="N2519" s="17" t="n"/>
      <c r="O2519" s="17" t="n"/>
      <c r="P2519" s="17" t="n"/>
      <c r="Q2519" s="17" t="n"/>
      <c r="R2519" s="17" t="n"/>
      <c r="S2519" s="17" t="n"/>
      <c r="T2519" s="17" t="n"/>
      <c r="U2519" s="17" t="n"/>
      <c r="V2519" s="17" t="n"/>
      <c r="W2519" s="17" t="n"/>
      <c r="X2519" s="17" t="n"/>
      <c r="Y2519" s="17" t="n">
        <v>1</v>
      </c>
      <c r="Z2519" s="13">
        <f>SUMPRODUCT(N2519:Y2519,$N$2:$Y$2)*$K2519*$L2519*$M2519</f>
        <v/>
      </c>
      <c r="AA2519" s="14">
        <f>SUM(N2519:Y2519)</f>
        <v/>
      </c>
      <c r="AB2519" s="14">
        <f>IFERROR(IF(UPPER($E2519)="L",SUMPRODUCT(N2519:Y2519,$N$3:$Y$3,$N$2:$Y$2),SUMPRODUCT(N2519:Y2519,$N$4:$Y$4,$N$2:$Y$2))/(Z2519/($K2519*$L2519*$M2519)),"")</f>
        <v/>
      </c>
      <c r="AC2519" s="18" t="n"/>
    </row>
    <row r="2520">
      <c r="A2520" s="9" t="n">
        <v>801670</v>
      </c>
      <c r="B2520" s="9" t="inlineStr">
        <is>
          <t>Mike Boeve</t>
        </is>
      </c>
      <c r="C2520" s="9" t="inlineStr">
        <is>
          <t>MIL</t>
        </is>
      </c>
      <c r="D2520" s="9" t="n">
        <v>25</v>
      </c>
      <c r="E2520" s="16" t="inlineStr">
        <is>
          <t>L</t>
        </is>
      </c>
      <c r="F2520" s="16" t="n"/>
      <c r="G2520" s="9" t="n">
        <v>181.2820512820513</v>
      </c>
      <c r="H2520" s="9" t="n">
        <v>181.2820512820513</v>
      </c>
      <c r="I2520" s="9" t="inlineStr">
        <is>
          <t>Depth (no MLB PA)</t>
        </is>
      </c>
      <c r="J2520" s="16" t="inlineStr">
        <is>
          <t>Opening Day</t>
        </is>
      </c>
      <c r="K2520" s="11">
        <f>IFERROR(INDEX(Roles!$B$17:$B$20,MATCH(J2520,Roles!$A$17:$A$20,0)),1)</f>
        <v/>
      </c>
      <c r="L2520" s="17" t="n">
        <v>1</v>
      </c>
      <c r="M2520" s="11" t="n">
        <v>1</v>
      </c>
      <c r="N2520" s="17" t="n"/>
      <c r="O2520" s="17" t="n"/>
      <c r="P2520" s="17" t="n"/>
      <c r="Q2520" s="17" t="n"/>
      <c r="R2520" s="17" t="n"/>
      <c r="S2520" s="17" t="n"/>
      <c r="T2520" s="17" t="n"/>
      <c r="U2520" s="17" t="n"/>
      <c r="V2520" s="17" t="n"/>
      <c r="W2520" s="17" t="n"/>
      <c r="X2520" s="17" t="n"/>
      <c r="Y2520" s="17" t="n">
        <v>1</v>
      </c>
      <c r="Z2520" s="13">
        <f>SUMPRODUCT(N2520:Y2520,$N$2:$Y$2)*$K2520*$L2520*$M2520</f>
        <v/>
      </c>
      <c r="AA2520" s="14">
        <f>SUM(N2520:Y2520)</f>
        <v/>
      </c>
      <c r="AB2520" s="14">
        <f>IFERROR(IF(UPPER($E2520)="L",SUMPRODUCT(N2520:Y2520,$N$3:$Y$3,$N$2:$Y$2),SUMPRODUCT(N2520:Y2520,$N$4:$Y$4,$N$2:$Y$2))/(Z2520/($K2520*$L2520*$M2520)),"")</f>
        <v/>
      </c>
      <c r="AC2520" s="18" t="n"/>
    </row>
    <row r="2521">
      <c r="A2521" s="9" t="n">
        <v>694196</v>
      </c>
      <c r="B2521" s="9" t="inlineStr">
        <is>
          <t>Diego Velasquez</t>
        </is>
      </c>
      <c r="C2521" s="9" t="inlineStr">
        <is>
          <t>SF</t>
        </is>
      </c>
      <c r="D2521" s="9" t="n">
        <v>25</v>
      </c>
      <c r="E2521" s="16" t="inlineStr">
        <is>
          <t>S</t>
        </is>
      </c>
      <c r="F2521" s="16" t="n"/>
      <c r="G2521" s="9" t="n">
        <v>77.2820512820513</v>
      </c>
      <c r="H2521" s="9" t="n">
        <v>77.2820512820513</v>
      </c>
      <c r="I2521" s="9" t="inlineStr">
        <is>
          <t>Depth (no MLB PA)</t>
        </is>
      </c>
      <c r="J2521" s="16" t="inlineStr">
        <is>
          <t>Opening Day</t>
        </is>
      </c>
      <c r="K2521" s="11">
        <f>IFERROR(INDEX(Roles!$B$17:$B$20,MATCH(J2521,Roles!$A$17:$A$20,0)),1)</f>
        <v/>
      </c>
      <c r="L2521" s="17" t="n">
        <v>1</v>
      </c>
      <c r="M2521" s="11" t="n">
        <v>1</v>
      </c>
      <c r="N2521" s="17" t="n"/>
      <c r="O2521" s="17" t="n"/>
      <c r="P2521" s="17" t="n"/>
      <c r="Q2521" s="17" t="n"/>
      <c r="R2521" s="17" t="n"/>
      <c r="S2521" s="17" t="n"/>
      <c r="T2521" s="17" t="n"/>
      <c r="U2521" s="17" t="n"/>
      <c r="V2521" s="17" t="n"/>
      <c r="W2521" s="17" t="n"/>
      <c r="X2521" s="17" t="n"/>
      <c r="Y2521" s="17" t="n">
        <v>1</v>
      </c>
      <c r="Z2521" s="13">
        <f>SUMPRODUCT(N2521:Y2521,$N$2:$Y$2)*$K2521*$L2521*$M2521</f>
        <v/>
      </c>
      <c r="AA2521" s="14">
        <f>SUM(N2521:Y2521)</f>
        <v/>
      </c>
      <c r="AB2521" s="14">
        <f>IFERROR(IF(UPPER($E2521)="L",SUMPRODUCT(N2521:Y2521,$N$3:$Y$3,$N$2:$Y$2),SUMPRODUCT(N2521:Y2521,$N$4:$Y$4,$N$2:$Y$2))/(Z2521/($K2521*$L2521*$M2521)),"")</f>
        <v/>
      </c>
      <c r="AC2521" s="18" t="n"/>
    </row>
    <row r="2522">
      <c r="A2522" s="9" t="n">
        <v>630105</v>
      </c>
      <c r="B2522" s="9" t="inlineStr">
        <is>
          <t>Jake Cronenworth</t>
        </is>
      </c>
      <c r="C2522" s="9" t="inlineStr">
        <is>
          <t>SD</t>
        </is>
      </c>
      <c r="D2522" s="9" t="n">
        <v>33</v>
      </c>
      <c r="E2522" s="16" t="inlineStr">
        <is>
          <t>L</t>
        </is>
      </c>
      <c r="F2522" s="16" t="inlineStr">
        <is>
          <t>2B</t>
        </is>
      </c>
      <c r="G2522" s="9" t="n">
        <v>425</v>
      </c>
      <c r="H2522" s="9" t="n">
        <v>2802</v>
      </c>
      <c r="I2522" s="9" t="inlineStr">
        <is>
          <t>Full Time</t>
        </is>
      </c>
      <c r="J2522" s="16" t="inlineStr">
        <is>
          <t>Opening Day</t>
        </is>
      </c>
      <c r="K2522" s="11">
        <f>IFERROR(INDEX(Roles!$B$17:$B$20,MATCH(J2522,Roles!$A$17:$A$20,0)),1)</f>
        <v/>
      </c>
      <c r="L2522" s="17" t="n">
        <v>1</v>
      </c>
      <c r="M2522" s="11" t="n">
        <v>1.045196693069586</v>
      </c>
      <c r="N2522" s="17" t="n">
        <v>0.58</v>
      </c>
      <c r="O2522" s="17" t="n"/>
      <c r="P2522" s="17" t="n">
        <v>0.42</v>
      </c>
      <c r="Q2522" s="17" t="n"/>
      <c r="R2522" s="17" t="n"/>
      <c r="S2522" s="17" t="n"/>
      <c r="T2522" s="17" t="n"/>
      <c r="U2522" s="17" t="n"/>
      <c r="V2522" s="17" t="n"/>
      <c r="W2522" s="17" t="n"/>
      <c r="X2522" s="17" t="n"/>
      <c r="Y2522" s="17" t="n"/>
      <c r="Z2522" s="13">
        <f>SUMPRODUCT(N2522:Y2522,$N$2:$Y$2)*$K2522*$L2522*$M2522</f>
        <v/>
      </c>
      <c r="AA2522" s="14">
        <f>SUM(N2522:Y2522)</f>
        <v/>
      </c>
      <c r="AB2522" s="14">
        <f>IFERROR(IF(UPPER($E2522)="L",SUMPRODUCT(N2522:Y2522,$N$3:$Y$3,$N$2:$Y$2),SUMPRODUCT(N2522:Y2522,$N$4:$Y$4,$N$2:$Y$2))/(Z2522/($K2522*$L2522*$M2522)),"")</f>
        <v/>
      </c>
      <c r="AC2522" s="18" t="n"/>
    </row>
    <row r="2523">
      <c r="A2523" s="9" t="n">
        <v>665998</v>
      </c>
      <c r="B2523" s="9" t="inlineStr">
        <is>
          <t>Ismael Munguia</t>
        </is>
      </c>
      <c r="C2523" s="9" t="inlineStr">
        <is>
          <t>TOR</t>
        </is>
      </c>
      <c r="D2523" s="9" t="n">
        <v>25</v>
      </c>
      <c r="E2523" s="16" t="inlineStr">
        <is>
          <t>L</t>
        </is>
      </c>
      <c r="F2523" s="16" t="n"/>
      <c r="G2523" s="9" t="n">
        <v>127.4871794871795</v>
      </c>
      <c r="H2523" s="9" t="n">
        <v>127.4871794871795</v>
      </c>
      <c r="I2523" s="9" t="inlineStr">
        <is>
          <t>Depth (no MLB PA)</t>
        </is>
      </c>
      <c r="J2523" s="16" t="inlineStr">
        <is>
          <t>Opening Day</t>
        </is>
      </c>
      <c r="K2523" s="11">
        <f>IFERROR(INDEX(Roles!$B$17:$B$20,MATCH(J2523,Roles!$A$17:$A$20,0)),1)</f>
        <v/>
      </c>
      <c r="L2523" s="17" t="n">
        <v>1</v>
      </c>
      <c r="M2523" s="11" t="n">
        <v>1</v>
      </c>
      <c r="N2523" s="17" t="n"/>
      <c r="O2523" s="17" t="n"/>
      <c r="P2523" s="17" t="n"/>
      <c r="Q2523" s="17" t="n"/>
      <c r="R2523" s="17" t="n"/>
      <c r="S2523" s="17" t="n"/>
      <c r="T2523" s="17" t="n"/>
      <c r="U2523" s="17" t="n"/>
      <c r="V2523" s="17" t="n"/>
      <c r="W2523" s="17" t="n"/>
      <c r="X2523" s="17" t="n"/>
      <c r="Y2523" s="17" t="n">
        <v>1</v>
      </c>
      <c r="Z2523" s="13">
        <f>SUMPRODUCT(N2523:Y2523,$N$2:$Y$2)*$K2523*$L2523*$M2523</f>
        <v/>
      </c>
      <c r="AA2523" s="14">
        <f>SUM(N2523:Y2523)</f>
        <v/>
      </c>
      <c r="AB2523" s="14">
        <f>IFERROR(IF(UPPER($E2523)="L",SUMPRODUCT(N2523:Y2523,$N$3:$Y$3,$N$2:$Y$2),SUMPRODUCT(N2523:Y2523,$N$4:$Y$4,$N$2:$Y$2))/(Z2523/($K2523*$L2523*$M2523)),"")</f>
        <v/>
      </c>
      <c r="AC2523" s="18" t="n"/>
    </row>
    <row r="2524">
      <c r="A2524" s="9" t="n">
        <v>677587</v>
      </c>
      <c r="B2524" s="9" t="inlineStr">
        <is>
          <t>Brayan Rocchio</t>
        </is>
      </c>
      <c r="C2524" s="9" t="inlineStr">
        <is>
          <t>CLE</t>
        </is>
      </c>
      <c r="D2524" s="9" t="n">
        <v>26</v>
      </c>
      <c r="E2524" s="16" t="inlineStr">
        <is>
          <t>S</t>
        </is>
      </c>
      <c r="F2524" s="16" t="inlineStr">
        <is>
          <t>SS</t>
        </is>
      </c>
      <c r="G2524" s="9" t="n">
        <v>592</v>
      </c>
      <c r="H2524" s="9" t="n">
        <v>1503</v>
      </c>
      <c r="I2524" s="9" t="inlineStr">
        <is>
          <t>Full Time</t>
        </is>
      </c>
      <c r="J2524" s="16" t="inlineStr">
        <is>
          <t>Opening Day</t>
        </is>
      </c>
      <c r="K2524" s="11">
        <f>IFERROR(INDEX(Roles!$B$17:$B$20,MATCH(J2524,Roles!$A$17:$A$20,0)),1)</f>
        <v/>
      </c>
      <c r="L2524" s="17" t="n">
        <v>1</v>
      </c>
      <c r="M2524" s="11" t="n">
        <v>1.093644085162348</v>
      </c>
      <c r="N2524" s="17" t="n">
        <v>0.58</v>
      </c>
      <c r="O2524" s="17" t="n"/>
      <c r="P2524" s="17" t="n">
        <v>0.42</v>
      </c>
      <c r="Q2524" s="17" t="n"/>
      <c r="R2524" s="17" t="n"/>
      <c r="S2524" s="17" t="n"/>
      <c r="T2524" s="17" t="n"/>
      <c r="U2524" s="17" t="n"/>
      <c r="V2524" s="17" t="n"/>
      <c r="W2524" s="17" t="n"/>
      <c r="X2524" s="17" t="n"/>
      <c r="Y2524" s="17" t="n"/>
      <c r="Z2524" s="13">
        <f>SUMPRODUCT(N2524:Y2524,$N$2:$Y$2)*$K2524*$L2524*$M2524</f>
        <v/>
      </c>
      <c r="AA2524" s="14">
        <f>SUM(N2524:Y2524)</f>
        <v/>
      </c>
      <c r="AB2524" s="14">
        <f>IFERROR(IF(UPPER($E2524)="L",SUMPRODUCT(N2524:Y2524,$N$3:$Y$3,$N$2:$Y$2),SUMPRODUCT(N2524:Y2524,$N$4:$Y$4,$N$2:$Y$2))/(Z2524/($K2524*$L2524*$M2524)),"")</f>
        <v/>
      </c>
      <c r="AC2524" s="18" t="n"/>
    </row>
    <row r="2525">
      <c r="A2525" s="9" t="n">
        <v>685332</v>
      </c>
      <c r="B2525" s="9" t="inlineStr">
        <is>
          <t>Carlos Mendoza</t>
        </is>
      </c>
      <c r="C2525" s="9" t="inlineStr">
        <is>
          <t>TOR</t>
        </is>
      </c>
      <c r="D2525" s="9" t="n">
        <v>25</v>
      </c>
      <c r="E2525" s="16" t="inlineStr">
        <is>
          <t>L</t>
        </is>
      </c>
      <c r="F2525" s="16" t="n"/>
      <c r="G2525" s="9" t="n">
        <v>223.948717948718</v>
      </c>
      <c r="H2525" s="9" t="n">
        <v>223.948717948718</v>
      </c>
      <c r="I2525" s="9" t="inlineStr">
        <is>
          <t>Depth (no MLB PA)</t>
        </is>
      </c>
      <c r="J2525" s="16" t="inlineStr">
        <is>
          <t>Opening Day</t>
        </is>
      </c>
      <c r="K2525" s="11">
        <f>IFERROR(INDEX(Roles!$B$17:$B$20,MATCH(J2525,Roles!$A$17:$A$20,0)),1)</f>
        <v/>
      </c>
      <c r="L2525" s="17" t="n">
        <v>1</v>
      </c>
      <c r="M2525" s="11" t="n">
        <v>1</v>
      </c>
      <c r="N2525" s="17" t="n"/>
      <c r="O2525" s="17" t="n"/>
      <c r="P2525" s="17" t="n"/>
      <c r="Q2525" s="17" t="n"/>
      <c r="R2525" s="17" t="n"/>
      <c r="S2525" s="17" t="n"/>
      <c r="T2525" s="17" t="n"/>
      <c r="U2525" s="17" t="n"/>
      <c r="V2525" s="17" t="n"/>
      <c r="W2525" s="17" t="n"/>
      <c r="X2525" s="17" t="n"/>
      <c r="Y2525" s="17" t="n">
        <v>1</v>
      </c>
      <c r="Z2525" s="13">
        <f>SUMPRODUCT(N2525:Y2525,$N$2:$Y$2)*$K2525*$L2525*$M2525</f>
        <v/>
      </c>
      <c r="AA2525" s="14">
        <f>SUM(N2525:Y2525)</f>
        <v/>
      </c>
      <c r="AB2525" s="14">
        <f>IFERROR(IF(UPPER($E2525)="L",SUMPRODUCT(N2525:Y2525,$N$3:$Y$3,$N$2:$Y$2),SUMPRODUCT(N2525:Y2525,$N$4:$Y$4,$N$2:$Y$2))/(Z2525/($K2525*$L2525*$M2525)),"")</f>
        <v/>
      </c>
      <c r="AC2525" s="18" t="n"/>
    </row>
    <row r="2526">
      <c r="A2526" s="9" t="n">
        <v>677008</v>
      </c>
      <c r="B2526" s="9" t="inlineStr">
        <is>
          <t>Heston Kjerstad</t>
        </is>
      </c>
      <c r="C2526" s="9" t="inlineStr">
        <is>
          <t>BAL</t>
        </is>
      </c>
      <c r="D2526" s="9" t="n">
        <v>28</v>
      </c>
      <c r="E2526" s="16" t="inlineStr">
        <is>
          <t>L</t>
        </is>
      </c>
      <c r="F2526" s="16" t="inlineStr">
        <is>
          <t>RF</t>
        </is>
      </c>
      <c r="G2526" s="9" t="n">
        <v>19</v>
      </c>
      <c r="H2526" s="9" t="n">
        <v>333</v>
      </c>
      <c r="I2526" s="9" t="inlineStr">
        <is>
          <t>Bench Bat</t>
        </is>
      </c>
      <c r="J2526" s="16" t="inlineStr">
        <is>
          <t>Opening Day</t>
        </is>
      </c>
      <c r="K2526" s="11">
        <f>IFERROR(INDEX(Roles!$B$17:$B$20,MATCH(J2526,Roles!$A$17:$A$20,0)),1)</f>
        <v/>
      </c>
      <c r="L2526" s="17" t="n">
        <v>1</v>
      </c>
      <c r="M2526" s="11" t="n">
        <v>1</v>
      </c>
      <c r="N2526" s="17" t="n"/>
      <c r="O2526" s="17" t="n"/>
      <c r="P2526" s="17" t="n"/>
      <c r="Q2526" s="17" t="n"/>
      <c r="R2526" s="17" t="n"/>
      <c r="S2526" s="17" t="n"/>
      <c r="T2526" s="17" t="n"/>
      <c r="U2526" s="17" t="n"/>
      <c r="V2526" s="17" t="n">
        <v>0.4</v>
      </c>
      <c r="W2526" s="17" t="n">
        <v>0.6</v>
      </c>
      <c r="X2526" s="17" t="n"/>
      <c r="Y2526" s="17" t="n"/>
      <c r="Z2526" s="13">
        <f>SUMPRODUCT(N2526:Y2526,$N$2:$Y$2)*$K2526*$L2526*$M2526</f>
        <v/>
      </c>
      <c r="AA2526" s="14">
        <f>SUM(N2526:Y2526)</f>
        <v/>
      </c>
      <c r="AB2526" s="14">
        <f>IFERROR(IF(UPPER($E2526)="L",SUMPRODUCT(N2526:Y2526,$N$3:$Y$3,$N$2:$Y$2),SUMPRODUCT(N2526:Y2526,$N$4:$Y$4,$N$2:$Y$2))/(Z2526/($K2526*$L2526*$M2526)),"")</f>
        <v/>
      </c>
      <c r="AC2526" s="18" t="n"/>
    </row>
    <row r="2527">
      <c r="A2527" s="9" t="n">
        <v>699043</v>
      </c>
      <c r="B2527" s="9" t="inlineStr">
        <is>
          <t>Yamal Encarnacion</t>
        </is>
      </c>
      <c r="C2527" s="9" t="inlineStr">
        <is>
          <t>HOU</t>
        </is>
      </c>
      <c r="D2527" s="9" t="n">
        <v>25</v>
      </c>
      <c r="E2527" s="16" t="inlineStr">
        <is>
          <t>S</t>
        </is>
      </c>
      <c r="F2527" s="16" t="n"/>
      <c r="G2527" s="9" t="n">
        <v>138.5641025641026</v>
      </c>
      <c r="H2527" s="9" t="n">
        <v>138.5641025641026</v>
      </c>
      <c r="I2527" s="9" t="inlineStr">
        <is>
          <t>Depth (no MLB PA)</t>
        </is>
      </c>
      <c r="J2527" s="16" t="inlineStr">
        <is>
          <t>Opening Day</t>
        </is>
      </c>
      <c r="K2527" s="11">
        <f>IFERROR(INDEX(Roles!$B$17:$B$20,MATCH(J2527,Roles!$A$17:$A$20,0)),1)</f>
        <v/>
      </c>
      <c r="L2527" s="17" t="n">
        <v>1</v>
      </c>
      <c r="M2527" s="11" t="n">
        <v>1</v>
      </c>
      <c r="N2527" s="17" t="n"/>
      <c r="O2527" s="17" t="n"/>
      <c r="P2527" s="17" t="n"/>
      <c r="Q2527" s="17" t="n"/>
      <c r="R2527" s="17" t="n"/>
      <c r="S2527" s="17" t="n"/>
      <c r="T2527" s="17" t="n"/>
      <c r="U2527" s="17" t="n"/>
      <c r="V2527" s="17" t="n"/>
      <c r="W2527" s="17" t="n"/>
      <c r="X2527" s="17" t="n"/>
      <c r="Y2527" s="17" t="n">
        <v>1</v>
      </c>
      <c r="Z2527" s="13">
        <f>SUMPRODUCT(N2527:Y2527,$N$2:$Y$2)*$K2527*$L2527*$M2527</f>
        <v/>
      </c>
      <c r="AA2527" s="14">
        <f>SUM(N2527:Y2527)</f>
        <v/>
      </c>
      <c r="AB2527" s="14">
        <f>IFERROR(IF(UPPER($E2527)="L",SUMPRODUCT(N2527:Y2527,$N$3:$Y$3,$N$2:$Y$2),SUMPRODUCT(N2527:Y2527,$N$4:$Y$4,$N$2:$Y$2))/(Z2527/($K2527*$L2527*$M2527)),"")</f>
        <v/>
      </c>
      <c r="AC2527" s="18" t="n"/>
    </row>
    <row r="2528">
      <c r="A2528" s="9" t="n">
        <v>650402</v>
      </c>
      <c r="B2528" s="9" t="inlineStr">
        <is>
          <t>Gleyber Torres</t>
        </is>
      </c>
      <c r="C2528" s="9" t="inlineStr">
        <is>
          <t>DET</t>
        </is>
      </c>
      <c r="D2528" s="9" t="n">
        <v>30</v>
      </c>
      <c r="E2528" s="16" t="inlineStr">
        <is>
          <t>R</t>
        </is>
      </c>
      <c r="F2528" s="16" t="inlineStr">
        <is>
          <t>2B</t>
        </is>
      </c>
      <c r="G2528" s="9" t="n">
        <v>420</v>
      </c>
      <c r="H2528" s="9" t="n">
        <v>2957</v>
      </c>
      <c r="I2528" s="9" t="inlineStr">
        <is>
          <t>Everyday DH / 1B-DH</t>
        </is>
      </c>
      <c r="J2528" s="16" t="inlineStr">
        <is>
          <t>Opening Day</t>
        </is>
      </c>
      <c r="K2528" s="11">
        <f>IFERROR(INDEX(Roles!$B$17:$B$20,MATCH(J2528,Roles!$A$17:$A$20,0)),1)</f>
        <v/>
      </c>
      <c r="L2528" s="17" t="n">
        <v>1</v>
      </c>
      <c r="M2528" s="11" t="n">
        <v>0.9874031690291182</v>
      </c>
      <c r="N2528" s="17" t="n"/>
      <c r="O2528" s="17" t="n">
        <v>1</v>
      </c>
      <c r="P2528" s="17" t="n"/>
      <c r="Q2528" s="17" t="n"/>
      <c r="R2528" s="17" t="n"/>
      <c r="S2528" s="17" t="n"/>
      <c r="T2528" s="17" t="n"/>
      <c r="U2528" s="17" t="n"/>
      <c r="V2528" s="17" t="n"/>
      <c r="W2528" s="17" t="n"/>
      <c r="X2528" s="17" t="n"/>
      <c r="Y2528" s="17" t="n"/>
      <c r="Z2528" s="13">
        <f>SUMPRODUCT(N2528:Y2528,$N$2:$Y$2)*$K2528*$L2528*$M2528</f>
        <v/>
      </c>
      <c r="AA2528" s="14">
        <f>SUM(N2528:Y2528)</f>
        <v/>
      </c>
      <c r="AB2528" s="14">
        <f>IFERROR(IF(UPPER($E2528)="L",SUMPRODUCT(N2528:Y2528,$N$3:$Y$3,$N$2:$Y$2),SUMPRODUCT(N2528:Y2528,$N$4:$Y$4,$N$2:$Y$2))/(Z2528/($K2528*$L2528*$M2528)),"")</f>
        <v/>
      </c>
      <c r="AC2528" s="18" t="n"/>
    </row>
    <row r="2529">
      <c r="A2529" s="9" t="n">
        <v>593428</v>
      </c>
      <c r="B2529" s="9" t="inlineStr">
        <is>
          <t>Xander Bogaerts</t>
        </is>
      </c>
      <c r="C2529" s="9" t="inlineStr">
        <is>
          <t>SD</t>
        </is>
      </c>
      <c r="D2529" s="9" t="n">
        <v>34</v>
      </c>
      <c r="E2529" s="16" t="inlineStr">
        <is>
          <t>R</t>
        </is>
      </c>
      <c r="F2529" s="16" t="inlineStr">
        <is>
          <t>SS</t>
        </is>
      </c>
      <c r="G2529" s="9" t="n">
        <v>606</v>
      </c>
      <c r="H2529" s="9" t="n">
        <v>2917</v>
      </c>
      <c r="I2529" s="9" t="inlineStr">
        <is>
          <t>Full Time</t>
        </is>
      </c>
      <c r="J2529" s="16" t="inlineStr">
        <is>
          <t>Opening Day</t>
        </is>
      </c>
      <c r="K2529" s="11">
        <f>IFERROR(INDEX(Roles!$B$17:$B$20,MATCH(J2529,Roles!$A$17:$A$20,0)),1)</f>
        <v/>
      </c>
      <c r="L2529" s="17" t="n">
        <v>1</v>
      </c>
      <c r="M2529" s="11" t="n">
        <v>1.090244268173382</v>
      </c>
      <c r="N2529" s="17" t="n">
        <v>1</v>
      </c>
      <c r="O2529" s="17" t="n"/>
      <c r="P2529" s="17" t="n"/>
      <c r="Q2529" s="17" t="n"/>
      <c r="R2529" s="17" t="n"/>
      <c r="S2529" s="17" t="n"/>
      <c r="T2529" s="17" t="n"/>
      <c r="U2529" s="17" t="n"/>
      <c r="V2529" s="17" t="n"/>
      <c r="W2529" s="17" t="n"/>
      <c r="X2529" s="17" t="n"/>
      <c r="Y2529" s="17" t="n"/>
      <c r="Z2529" s="13">
        <f>SUMPRODUCT(N2529:Y2529,$N$2:$Y$2)*$K2529*$L2529*$M2529</f>
        <v/>
      </c>
      <c r="AA2529" s="14">
        <f>SUM(N2529:Y2529)</f>
        <v/>
      </c>
      <c r="AB2529" s="14">
        <f>IFERROR(IF(UPPER($E2529)="L",SUMPRODUCT(N2529:Y2529,$N$3:$Y$3,$N$2:$Y$2),SUMPRODUCT(N2529:Y2529,$N$4:$Y$4,$N$2:$Y$2))/(Z2529/($K2529*$L2529*$M2529)),"")</f>
        <v/>
      </c>
      <c r="AC2529" s="18" t="n"/>
    </row>
    <row r="2530">
      <c r="A2530" s="9" t="n">
        <v>680769</v>
      </c>
      <c r="B2530" s="9" t="inlineStr">
        <is>
          <t>CJ Alexander</t>
        </is>
      </c>
      <c r="C2530" s="9" t="inlineStr">
        <is>
          <t>OAK</t>
        </is>
      </c>
      <c r="D2530" s="9" t="n">
        <v>30</v>
      </c>
      <c r="E2530" s="16" t="inlineStr">
        <is>
          <t>L</t>
        </is>
      </c>
      <c r="F2530" s="16" t="inlineStr">
        <is>
          <t>1B</t>
        </is>
      </c>
      <c r="G2530" s="9" t="n">
        <v>17</v>
      </c>
      <c r="H2530" s="9" t="n">
        <v>25</v>
      </c>
      <c r="I2530" s="9" t="inlineStr">
        <is>
          <t>Depth (no MLB PA)</t>
        </is>
      </c>
      <c r="J2530" s="16" t="inlineStr">
        <is>
          <t>Opening Day</t>
        </is>
      </c>
      <c r="K2530" s="11">
        <f>IFERROR(INDEX(Roles!$B$17:$B$20,MATCH(J2530,Roles!$A$17:$A$20,0)),1)</f>
        <v/>
      </c>
      <c r="L2530" s="17" t="n">
        <v>1</v>
      </c>
      <c r="M2530" s="11" t="n">
        <v>1</v>
      </c>
      <c r="N2530" s="17" t="n"/>
      <c r="O2530" s="17" t="n"/>
      <c r="P2530" s="17" t="n"/>
      <c r="Q2530" s="17" t="n"/>
      <c r="R2530" s="17" t="n"/>
      <c r="S2530" s="17" t="n"/>
      <c r="T2530" s="17" t="n"/>
      <c r="U2530" s="17" t="n"/>
      <c r="V2530" s="17" t="n"/>
      <c r="W2530" s="17" t="n"/>
      <c r="X2530" s="17" t="n"/>
      <c r="Y2530" s="17" t="n">
        <v>1</v>
      </c>
      <c r="Z2530" s="13">
        <f>SUMPRODUCT(N2530:Y2530,$N$2:$Y$2)*$K2530*$L2530*$M2530</f>
        <v/>
      </c>
      <c r="AA2530" s="14">
        <f>SUM(N2530:Y2530)</f>
        <v/>
      </c>
      <c r="AB2530" s="14">
        <f>IFERROR(IF(UPPER($E2530)="L",SUMPRODUCT(N2530:Y2530,$N$3:$Y$3,$N$2:$Y$2),SUMPRODUCT(N2530:Y2530,$N$4:$Y$4,$N$2:$Y$2))/(Z2530/($K2530*$L2530*$M2530)),"")</f>
        <v/>
      </c>
      <c r="AC2530" s="18" t="n"/>
    </row>
    <row r="2531">
      <c r="A2531" s="9" t="n">
        <v>686499</v>
      </c>
      <c r="B2531" s="9" t="inlineStr">
        <is>
          <t>Clark Elliott</t>
        </is>
      </c>
      <c r="C2531" s="9" t="inlineStr">
        <is>
          <t>OAK</t>
        </is>
      </c>
      <c r="D2531" s="9" t="n">
        <v>25</v>
      </c>
      <c r="E2531" s="16" t="inlineStr">
        <is>
          <t>L</t>
        </is>
      </c>
      <c r="F2531" s="16" t="n"/>
      <c r="G2531" s="9" t="n">
        <v>160.1025641025641</v>
      </c>
      <c r="H2531" s="9" t="n">
        <v>160.1025641025641</v>
      </c>
      <c r="I2531" s="9" t="inlineStr">
        <is>
          <t>Depth (no MLB PA)</t>
        </is>
      </c>
      <c r="J2531" s="16" t="inlineStr">
        <is>
          <t>Opening Day</t>
        </is>
      </c>
      <c r="K2531" s="11">
        <f>IFERROR(INDEX(Roles!$B$17:$B$20,MATCH(J2531,Roles!$A$17:$A$20,0)),1)</f>
        <v/>
      </c>
      <c r="L2531" s="17" t="n">
        <v>1</v>
      </c>
      <c r="M2531" s="11" t="n">
        <v>1</v>
      </c>
      <c r="N2531" s="17" t="n"/>
      <c r="O2531" s="17" t="n"/>
      <c r="P2531" s="17" t="n"/>
      <c r="Q2531" s="17" t="n"/>
      <c r="R2531" s="17" t="n"/>
      <c r="S2531" s="17" t="n"/>
      <c r="T2531" s="17" t="n"/>
      <c r="U2531" s="17" t="n"/>
      <c r="V2531" s="17" t="n"/>
      <c r="W2531" s="17" t="n"/>
      <c r="X2531" s="17" t="n"/>
      <c r="Y2531" s="17" t="n">
        <v>1</v>
      </c>
      <c r="Z2531" s="13">
        <f>SUMPRODUCT(N2531:Y2531,$N$2:$Y$2)*$K2531*$L2531*$M2531</f>
        <v/>
      </c>
      <c r="AA2531" s="14">
        <f>SUM(N2531:Y2531)</f>
        <v/>
      </c>
      <c r="AB2531" s="14">
        <f>IFERROR(IF(UPPER($E2531)="L",SUMPRODUCT(N2531:Y2531,$N$3:$Y$3,$N$2:$Y$2),SUMPRODUCT(N2531:Y2531,$N$4:$Y$4,$N$2:$Y$2))/(Z2531/($K2531*$L2531*$M2531)),"")</f>
        <v/>
      </c>
      <c r="AC2531" s="18" t="n"/>
    </row>
    <row r="2532">
      <c r="A2532" s="9" t="n">
        <v>668472</v>
      </c>
      <c r="B2532" s="9" t="inlineStr">
        <is>
          <t>Nick Pratto</t>
        </is>
      </c>
      <c r="C2532" s="9" t="inlineStr">
        <is>
          <t>KC</t>
        </is>
      </c>
      <c r="D2532" s="9" t="n">
        <v>28</v>
      </c>
      <c r="E2532" s="16" t="inlineStr">
        <is>
          <t>L</t>
        </is>
      </c>
      <c r="F2532" s="16" t="inlineStr">
        <is>
          <t>P</t>
        </is>
      </c>
      <c r="G2532" s="9" t="n">
        <v>345</v>
      </c>
      <c r="H2532" s="9" t="n">
        <v>527</v>
      </c>
      <c r="I2532" s="9" t="inlineStr">
        <is>
          <t>Depth (no MLB PA)</t>
        </is>
      </c>
      <c r="J2532" s="16" t="inlineStr">
        <is>
          <t>Opening Day</t>
        </is>
      </c>
      <c r="K2532" s="11">
        <f>IFERROR(INDEX(Roles!$B$17:$B$20,MATCH(J2532,Roles!$A$17:$A$20,0)),1)</f>
        <v/>
      </c>
      <c r="L2532" s="17" t="n">
        <v>1</v>
      </c>
      <c r="M2532" s="11" t="n">
        <v>1</v>
      </c>
      <c r="N2532" s="17" t="n"/>
      <c r="O2532" s="17" t="n"/>
      <c r="P2532" s="17" t="n"/>
      <c r="Q2532" s="17" t="n"/>
      <c r="R2532" s="17" t="n"/>
      <c r="S2532" s="17" t="n"/>
      <c r="T2532" s="17" t="n"/>
      <c r="U2532" s="17" t="n"/>
      <c r="V2532" s="17" t="n"/>
      <c r="W2532" s="17" t="n"/>
      <c r="X2532" s="17" t="n"/>
      <c r="Y2532" s="17" t="n">
        <v>1</v>
      </c>
      <c r="Z2532" s="13">
        <f>SUMPRODUCT(N2532:Y2532,$N$2:$Y$2)*$K2532*$L2532*$M2532</f>
        <v/>
      </c>
      <c r="AA2532" s="14">
        <f>SUM(N2532:Y2532)</f>
        <v/>
      </c>
      <c r="AB2532" s="14">
        <f>IFERROR(IF(UPPER($E2532)="L",SUMPRODUCT(N2532:Y2532,$N$3:$Y$3,$N$2:$Y$2),SUMPRODUCT(N2532:Y2532,$N$4:$Y$4,$N$2:$Y$2))/(Z2532/($K2532*$L2532*$M2532)),"")</f>
        <v/>
      </c>
      <c r="AC2532" s="18" t="n"/>
    </row>
    <row r="2533">
      <c r="A2533" s="9" t="n">
        <v>836058</v>
      </c>
      <c r="B2533" s="9" t="inlineStr">
        <is>
          <t>Ely Brown</t>
        </is>
      </c>
      <c r="C2533" s="9" t="inlineStr">
        <is>
          <t>CWS</t>
        </is>
      </c>
      <c r="D2533" s="9" t="n">
        <v>25</v>
      </c>
      <c r="E2533" s="16" t="inlineStr">
        <is>
          <t>L</t>
        </is>
      </c>
      <c r="F2533" s="16" t="n"/>
      <c r="G2533" s="9" t="n">
        <v>106.8717948717949</v>
      </c>
      <c r="H2533" s="9" t="n">
        <v>106.8717948717949</v>
      </c>
      <c r="I2533" s="9" t="inlineStr">
        <is>
          <t>Depth (no MLB PA)</t>
        </is>
      </c>
      <c r="J2533" s="16" t="inlineStr">
        <is>
          <t>Opening Day</t>
        </is>
      </c>
      <c r="K2533" s="11">
        <f>IFERROR(INDEX(Roles!$B$17:$B$20,MATCH(J2533,Roles!$A$17:$A$20,0)),1)</f>
        <v/>
      </c>
      <c r="L2533" s="17" t="n">
        <v>1</v>
      </c>
      <c r="M2533" s="11" t="n">
        <v>1</v>
      </c>
      <c r="N2533" s="17" t="n"/>
      <c r="O2533" s="17" t="n"/>
      <c r="P2533" s="17" t="n"/>
      <c r="Q2533" s="17" t="n"/>
      <c r="R2533" s="17" t="n"/>
      <c r="S2533" s="17" t="n"/>
      <c r="T2533" s="17" t="n"/>
      <c r="U2533" s="17" t="n"/>
      <c r="V2533" s="17" t="n"/>
      <c r="W2533" s="17" t="n"/>
      <c r="X2533" s="17" t="n"/>
      <c r="Y2533" s="17" t="n">
        <v>1</v>
      </c>
      <c r="Z2533" s="13">
        <f>SUMPRODUCT(N2533:Y2533,$N$2:$Y$2)*$K2533*$L2533*$M2533</f>
        <v/>
      </c>
      <c r="AA2533" s="14">
        <f>SUM(N2533:Y2533)</f>
        <v/>
      </c>
      <c r="AB2533" s="14">
        <f>IFERROR(IF(UPPER($E2533)="L",SUMPRODUCT(N2533:Y2533,$N$3:$Y$3,$N$2:$Y$2),SUMPRODUCT(N2533:Y2533,$N$4:$Y$4,$N$2:$Y$2))/(Z2533/($K2533*$L2533*$M2533)),"")</f>
        <v/>
      </c>
      <c r="AC2533" s="18" t="n"/>
    </row>
    <row r="2534">
      <c r="A2534" s="9" t="n">
        <v>692348</v>
      </c>
      <c r="B2534" s="9" t="inlineStr">
        <is>
          <t>Aeverson Arteaga</t>
        </is>
      </c>
      <c r="C2534" s="9" t="inlineStr">
        <is>
          <t>SF</t>
        </is>
      </c>
      <c r="D2534" s="9" t="n">
        <v>25</v>
      </c>
      <c r="E2534" s="16" t="inlineStr">
        <is>
          <t>R</t>
        </is>
      </c>
      <c r="F2534" s="16" t="n"/>
      <c r="G2534" s="9" t="n">
        <v>163.5897435897436</v>
      </c>
      <c r="H2534" s="9" t="n">
        <v>163.5897435897436</v>
      </c>
      <c r="I2534" s="9" t="inlineStr">
        <is>
          <t>Depth (no MLB PA)</t>
        </is>
      </c>
      <c r="J2534" s="16" t="inlineStr">
        <is>
          <t>Opening Day</t>
        </is>
      </c>
      <c r="K2534" s="11">
        <f>IFERROR(INDEX(Roles!$B$17:$B$20,MATCH(J2534,Roles!$A$17:$A$20,0)),1)</f>
        <v/>
      </c>
      <c r="L2534" s="17" t="n">
        <v>1</v>
      </c>
      <c r="M2534" s="11" t="n">
        <v>1</v>
      </c>
      <c r="N2534" s="17" t="n"/>
      <c r="O2534" s="17" t="n"/>
      <c r="P2534" s="17" t="n"/>
      <c r="Q2534" s="17" t="n"/>
      <c r="R2534" s="17" t="n"/>
      <c r="S2534" s="17" t="n"/>
      <c r="T2534" s="17" t="n"/>
      <c r="U2534" s="17" t="n"/>
      <c r="V2534" s="17" t="n"/>
      <c r="W2534" s="17" t="n"/>
      <c r="X2534" s="17" t="n"/>
      <c r="Y2534" s="17" t="n">
        <v>1</v>
      </c>
      <c r="Z2534" s="13">
        <f>SUMPRODUCT(N2534:Y2534,$N$2:$Y$2)*$K2534*$L2534*$M2534</f>
        <v/>
      </c>
      <c r="AA2534" s="14">
        <f>SUM(N2534:Y2534)</f>
        <v/>
      </c>
      <c r="AB2534" s="14">
        <f>IFERROR(IF(UPPER($E2534)="L",SUMPRODUCT(N2534:Y2534,$N$3:$Y$3,$N$2:$Y$2),SUMPRODUCT(N2534:Y2534,$N$4:$Y$4,$N$2:$Y$2))/(Z2534/($K2534*$L2534*$M2534)),"")</f>
        <v/>
      </c>
      <c r="AC2534" s="18" t="n"/>
    </row>
    <row r="2535">
      <c r="A2535" s="9" t="n">
        <v>663494</v>
      </c>
      <c r="B2535" s="9" t="inlineStr">
        <is>
          <t>Bryan Torres</t>
        </is>
      </c>
      <c r="C2535" s="9" t="inlineStr">
        <is>
          <t>STL</t>
        </is>
      </c>
      <c r="D2535" s="9" t="n">
        <v>29</v>
      </c>
      <c r="E2535" s="16" t="inlineStr">
        <is>
          <t>L</t>
        </is>
      </c>
      <c r="F2535" s="16" t="inlineStr">
        <is>
          <t>LF</t>
        </is>
      </c>
      <c r="G2535" s="9" t="n">
        <v>189</v>
      </c>
      <c r="H2535" s="9" t="n">
        <v>189</v>
      </c>
      <c r="I2535" s="9" t="inlineStr">
        <is>
          <t>Strong Side Platoon</t>
        </is>
      </c>
      <c r="J2535" s="16" t="inlineStr">
        <is>
          <t>Opening Day</t>
        </is>
      </c>
      <c r="K2535" s="11">
        <f>IFERROR(INDEX(Roles!$B$17:$B$20,MATCH(J2535,Roles!$A$17:$A$20,0)),1)</f>
        <v/>
      </c>
      <c r="L2535" s="17" t="n">
        <v>1</v>
      </c>
      <c r="M2535" s="11" t="n">
        <v>1</v>
      </c>
      <c r="N2535" s="17" t="n">
        <v>0.4</v>
      </c>
      <c r="O2535" s="17" t="n"/>
      <c r="P2535" s="17" t="n">
        <v>0.6</v>
      </c>
      <c r="Q2535" s="17" t="n"/>
      <c r="R2535" s="17" t="n"/>
      <c r="S2535" s="17" t="n"/>
      <c r="T2535" s="17" t="n"/>
      <c r="U2535" s="17" t="n"/>
      <c r="V2535" s="17" t="n"/>
      <c r="W2535" s="17" t="n"/>
      <c r="X2535" s="17" t="n"/>
      <c r="Y2535" s="17" t="n"/>
      <c r="Z2535" s="13">
        <f>SUMPRODUCT(N2535:Y2535,$N$2:$Y$2)*$K2535*$L2535*$M2535</f>
        <v/>
      </c>
      <c r="AA2535" s="14">
        <f>SUM(N2535:Y2535)</f>
        <v/>
      </c>
      <c r="AB2535" s="14">
        <f>IFERROR(IF(UPPER($E2535)="L",SUMPRODUCT(N2535:Y2535,$N$3:$Y$3,$N$2:$Y$2),SUMPRODUCT(N2535:Y2535,$N$4:$Y$4,$N$2:$Y$2))/(Z2535/($K2535*$L2535*$M2535)),"")</f>
        <v/>
      </c>
      <c r="AC2535" s="18" t="n"/>
    </row>
    <row r="2536">
      <c r="A2536" s="9" t="n">
        <v>664774</v>
      </c>
      <c r="B2536" s="9" t="inlineStr">
        <is>
          <t>LaMonte Wade Jr.</t>
        </is>
      </c>
      <c r="C2536" s="9" t="inlineStr">
        <is>
          <t>HOU</t>
        </is>
      </c>
      <c r="D2536" s="9" t="n">
        <v>33</v>
      </c>
      <c r="E2536" s="16" t="inlineStr">
        <is>
          <t>L</t>
        </is>
      </c>
      <c r="F2536" s="16" t="inlineStr">
        <is>
          <t>LF</t>
        </is>
      </c>
      <c r="G2536" s="9" t="n">
        <v>146</v>
      </c>
      <c r="H2536" s="9" t="n">
        <v>1559</v>
      </c>
      <c r="I2536" s="9" t="inlineStr">
        <is>
          <t>Bench Bat</t>
        </is>
      </c>
      <c r="J2536" s="16" t="inlineStr">
        <is>
          <t>Opening Day</t>
        </is>
      </c>
      <c r="K2536" s="11">
        <f>IFERROR(INDEX(Roles!$B$17:$B$20,MATCH(J2536,Roles!$A$17:$A$20,0)),1)</f>
        <v/>
      </c>
      <c r="L2536" s="17" t="n">
        <v>1</v>
      </c>
      <c r="M2536" s="11" t="n">
        <v>0.856077783386808</v>
      </c>
      <c r="N2536" s="17" t="n"/>
      <c r="O2536" s="17" t="n"/>
      <c r="P2536" s="17" t="n"/>
      <c r="Q2536" s="17" t="n"/>
      <c r="R2536" s="17" t="n"/>
      <c r="S2536" s="17" t="n"/>
      <c r="T2536" s="17" t="n"/>
      <c r="U2536" s="17" t="n">
        <v>0.4</v>
      </c>
      <c r="V2536" s="17" t="n"/>
      <c r="W2536" s="17" t="n">
        <v>0.6</v>
      </c>
      <c r="X2536" s="17" t="n"/>
      <c r="Y2536" s="17" t="n"/>
      <c r="Z2536" s="13">
        <f>SUMPRODUCT(N2536:Y2536,$N$2:$Y$2)*$K2536*$L2536*$M2536</f>
        <v/>
      </c>
      <c r="AA2536" s="14">
        <f>SUM(N2536:Y2536)</f>
        <v/>
      </c>
      <c r="AB2536" s="14">
        <f>IFERROR(IF(UPPER($E2536)="L",SUMPRODUCT(N2536:Y2536,$N$3:$Y$3,$N$2:$Y$2),SUMPRODUCT(N2536:Y2536,$N$4:$Y$4,$N$2:$Y$2))/(Z2536/($K2536*$L2536*$M2536)),"")</f>
        <v/>
      </c>
      <c r="AC2536" s="18" t="n"/>
    </row>
    <row r="2537">
      <c r="A2537" s="9" t="n">
        <v>700321</v>
      </c>
      <c r="B2537" s="9" t="inlineStr">
        <is>
          <t>Andy Perez</t>
        </is>
      </c>
      <c r="C2537" s="9" t="inlineStr">
        <is>
          <t>COL</t>
        </is>
      </c>
      <c r="D2537" s="9" t="n">
        <v>25</v>
      </c>
      <c r="E2537" s="16" t="inlineStr">
        <is>
          <t>L</t>
        </is>
      </c>
      <c r="F2537" s="16" t="n"/>
      <c r="G2537" s="9" t="n">
        <v>195.2820512820513</v>
      </c>
      <c r="H2537" s="9" t="n">
        <v>195.2820512820513</v>
      </c>
      <c r="I2537" s="9" t="inlineStr">
        <is>
          <t>Depth (no MLB PA)</t>
        </is>
      </c>
      <c r="J2537" s="16" t="inlineStr">
        <is>
          <t>Opening Day</t>
        </is>
      </c>
      <c r="K2537" s="11">
        <f>IFERROR(INDEX(Roles!$B$17:$B$20,MATCH(J2537,Roles!$A$17:$A$20,0)),1)</f>
        <v/>
      </c>
      <c r="L2537" s="17" t="n">
        <v>1</v>
      </c>
      <c r="M2537" s="11" t="n">
        <v>1</v>
      </c>
      <c r="N2537" s="17" t="n"/>
      <c r="O2537" s="17" t="n"/>
      <c r="P2537" s="17" t="n"/>
      <c r="Q2537" s="17" t="n"/>
      <c r="R2537" s="17" t="n"/>
      <c r="S2537" s="17" t="n"/>
      <c r="T2537" s="17" t="n"/>
      <c r="U2537" s="17" t="n"/>
      <c r="V2537" s="17" t="n"/>
      <c r="W2537" s="17" t="n"/>
      <c r="X2537" s="17" t="n"/>
      <c r="Y2537" s="17" t="n">
        <v>1</v>
      </c>
      <c r="Z2537" s="13">
        <f>SUMPRODUCT(N2537:Y2537,$N$2:$Y$2)*$K2537*$L2537*$M2537</f>
        <v/>
      </c>
      <c r="AA2537" s="14">
        <f>SUM(N2537:Y2537)</f>
        <v/>
      </c>
      <c r="AB2537" s="14">
        <f>IFERROR(IF(UPPER($E2537)="L",SUMPRODUCT(N2537:Y2537,$N$3:$Y$3,$N$2:$Y$2),SUMPRODUCT(N2537:Y2537,$N$4:$Y$4,$N$2:$Y$2))/(Z2537/($K2537*$L2537*$M2537)),"")</f>
        <v/>
      </c>
      <c r="AC2537" s="18" t="n"/>
    </row>
    <row r="2538">
      <c r="A2538" s="9" t="n">
        <v>676609</v>
      </c>
      <c r="B2538" s="9" t="inlineStr">
        <is>
          <t>José Caballero</t>
        </is>
      </c>
      <c r="C2538" s="9" t="inlineStr">
        <is>
          <t>NYY</t>
        </is>
      </c>
      <c r="D2538" s="9" t="n">
        <v>30</v>
      </c>
      <c r="E2538" s="16" t="inlineStr">
        <is>
          <t>R</t>
        </is>
      </c>
      <c r="F2538" s="16" t="inlineStr">
        <is>
          <t>SS</t>
        </is>
      </c>
      <c r="G2538" s="9" t="n">
        <v>456</v>
      </c>
      <c r="H2538" s="9" t="n">
        <v>1589</v>
      </c>
      <c r="I2538" s="9" t="inlineStr">
        <is>
          <t>Utility IF</t>
        </is>
      </c>
      <c r="J2538" s="16" t="inlineStr">
        <is>
          <t>Opening Day</t>
        </is>
      </c>
      <c r="K2538" s="11">
        <f>IFERROR(INDEX(Roles!$B$17:$B$20,MATCH(J2538,Roles!$A$17:$A$20,0)),1)</f>
        <v/>
      </c>
      <c r="L2538" s="17" t="n">
        <v>1</v>
      </c>
      <c r="M2538" s="11" t="n">
        <v>1.15</v>
      </c>
      <c r="N2538" s="17" t="n"/>
      <c r="O2538" s="17" t="n"/>
      <c r="P2538" s="17" t="n"/>
      <c r="Q2538" s="17" t="n"/>
      <c r="R2538" s="17" t="n"/>
      <c r="S2538" s="17" t="n"/>
      <c r="T2538" s="17" t="n"/>
      <c r="U2538" s="17" t="n">
        <v>0.7</v>
      </c>
      <c r="V2538" s="17" t="n"/>
      <c r="W2538" s="17" t="n">
        <v>0.3</v>
      </c>
      <c r="X2538" s="17" t="n"/>
      <c r="Y2538" s="17" t="n"/>
      <c r="Z2538" s="13">
        <f>SUMPRODUCT(N2538:Y2538,$N$2:$Y$2)*$K2538*$L2538*$M2538</f>
        <v/>
      </c>
      <c r="AA2538" s="14">
        <f>SUM(N2538:Y2538)</f>
        <v/>
      </c>
      <c r="AB2538" s="14">
        <f>IFERROR(IF(UPPER($E2538)="L",SUMPRODUCT(N2538:Y2538,$N$3:$Y$3,$N$2:$Y$2),SUMPRODUCT(N2538:Y2538,$N$4:$Y$4,$N$2:$Y$2))/(Z2538/($K2538*$L2538*$M2538)),"")</f>
        <v/>
      </c>
      <c r="AC2538" s="18" t="n"/>
    </row>
    <row r="2539">
      <c r="A2539" s="9" t="n">
        <v>805999</v>
      </c>
      <c r="B2539" s="9" t="inlineStr">
        <is>
          <t>A.J. Ewing</t>
        </is>
      </c>
      <c r="C2539" s="9" t="inlineStr">
        <is>
          <t>NYM</t>
        </is>
      </c>
      <c r="D2539" s="9" t="n">
        <v>22</v>
      </c>
      <c r="E2539" s="16" t="inlineStr">
        <is>
          <t>L</t>
        </is>
      </c>
      <c r="F2539" s="16" t="inlineStr">
        <is>
          <t>CF</t>
        </is>
      </c>
      <c r="G2539" s="9" t="n">
        <v>492</v>
      </c>
      <c r="H2539" s="9" t="n">
        <v>492</v>
      </c>
      <c r="I2539" s="9" t="inlineStr">
        <is>
          <t>Full Time</t>
        </is>
      </c>
      <c r="J2539" s="16" t="inlineStr">
        <is>
          <t>Opening Day</t>
        </is>
      </c>
      <c r="K2539" s="11">
        <f>IFERROR(INDEX(Roles!$B$17:$B$20,MATCH(J2539,Roles!$A$17:$A$20,0)),1)</f>
        <v/>
      </c>
      <c r="L2539" s="17" t="n">
        <v>1</v>
      </c>
      <c r="M2539" s="11" t="n">
        <v>0.9827020275802976</v>
      </c>
      <c r="N2539" s="17" t="n">
        <v>1</v>
      </c>
      <c r="O2539" s="17" t="n"/>
      <c r="P2539" s="17" t="n"/>
      <c r="Q2539" s="17" t="n"/>
      <c r="R2539" s="17" t="n"/>
      <c r="S2539" s="17" t="n"/>
      <c r="T2539" s="17" t="n"/>
      <c r="U2539" s="17" t="n"/>
      <c r="V2539" s="17" t="n"/>
      <c r="W2539" s="17" t="n"/>
      <c r="X2539" s="17" t="n"/>
      <c r="Y2539" s="17" t="n"/>
      <c r="Z2539" s="13">
        <f>SUMPRODUCT(N2539:Y2539,$N$2:$Y$2)*$K2539*$L2539*$M2539</f>
        <v/>
      </c>
      <c r="AA2539" s="14">
        <f>SUM(N2539:Y2539)</f>
        <v/>
      </c>
      <c r="AB2539" s="14">
        <f>IFERROR(IF(UPPER($E2539)="L",SUMPRODUCT(N2539:Y2539,$N$3:$Y$3,$N$2:$Y$2),SUMPRODUCT(N2539:Y2539,$N$4:$Y$4,$N$2:$Y$2))/(Z2539/($K2539*$L2539*$M2539)),"")</f>
        <v/>
      </c>
      <c r="AC2539" s="18" t="n"/>
    </row>
    <row r="2540">
      <c r="A2540" s="9" t="n">
        <v>605204</v>
      </c>
      <c r="B2540" s="9" t="inlineStr">
        <is>
          <t>J.D. Davis</t>
        </is>
      </c>
      <c r="C2540" s="9" t="inlineStr">
        <is>
          <t>NYY</t>
        </is>
      </c>
      <c r="D2540" s="9" t="n">
        <v>34</v>
      </c>
      <c r="E2540" s="16" t="inlineStr">
        <is>
          <t>R</t>
        </is>
      </c>
      <c r="F2540" s="16" t="inlineStr">
        <is>
          <t>1B</t>
        </is>
      </c>
      <c r="G2540" s="9" t="n">
        <v>9</v>
      </c>
      <c r="H2540" s="9" t="n">
        <v>1077</v>
      </c>
      <c r="I2540" s="9" t="inlineStr">
        <is>
          <t>Depth (no MLB PA)</t>
        </is>
      </c>
      <c r="J2540" s="16" t="inlineStr">
        <is>
          <t>Opening Day</t>
        </is>
      </c>
      <c r="K2540" s="11">
        <f>IFERROR(INDEX(Roles!$B$17:$B$20,MATCH(J2540,Roles!$A$17:$A$20,0)),1)</f>
        <v/>
      </c>
      <c r="L2540" s="17" t="n">
        <v>1</v>
      </c>
      <c r="M2540" s="11" t="n">
        <v>1</v>
      </c>
      <c r="N2540" s="17" t="n"/>
      <c r="O2540" s="17" t="n"/>
      <c r="P2540" s="17" t="n"/>
      <c r="Q2540" s="17" t="n"/>
      <c r="R2540" s="17" t="n"/>
      <c r="S2540" s="17" t="n"/>
      <c r="T2540" s="17" t="n"/>
      <c r="U2540" s="17" t="n"/>
      <c r="V2540" s="17" t="n"/>
      <c r="W2540" s="17" t="n"/>
      <c r="X2540" s="17" t="n"/>
      <c r="Y2540" s="17" t="n">
        <v>1</v>
      </c>
      <c r="Z2540" s="13">
        <f>SUMPRODUCT(N2540:Y2540,$N$2:$Y$2)*$K2540*$L2540*$M2540</f>
        <v/>
      </c>
      <c r="AA2540" s="14">
        <f>SUM(N2540:Y2540)</f>
        <v/>
      </c>
      <c r="AB2540" s="14">
        <f>IFERROR(IF(UPPER($E2540)="L",SUMPRODUCT(N2540:Y2540,$N$3:$Y$3,$N$2:$Y$2),SUMPRODUCT(N2540:Y2540,$N$4:$Y$4,$N$2:$Y$2))/(Z2540/($K2540*$L2540*$M2540)),"")</f>
        <v/>
      </c>
      <c r="AC2540" s="18" t="n"/>
    </row>
    <row r="2541">
      <c r="A2541" s="9" t="n">
        <v>664761</v>
      </c>
      <c r="B2541" s="9" t="inlineStr">
        <is>
          <t>Alec Bohm</t>
        </is>
      </c>
      <c r="C2541" s="9" t="inlineStr">
        <is>
          <t>PHI</t>
        </is>
      </c>
      <c r="D2541" s="9" t="n">
        <v>30</v>
      </c>
      <c r="E2541" s="16" t="inlineStr">
        <is>
          <t>R</t>
        </is>
      </c>
      <c r="F2541" s="16" t="inlineStr">
        <is>
          <t>3B</t>
        </is>
      </c>
      <c r="G2541" s="9" t="n">
        <v>629</v>
      </c>
      <c r="H2541" s="9" t="n">
        <v>2981</v>
      </c>
      <c r="I2541" s="9" t="inlineStr">
        <is>
          <t>Full Time</t>
        </is>
      </c>
      <c r="J2541" s="16" t="inlineStr">
        <is>
          <t>Opening Day</t>
        </is>
      </c>
      <c r="K2541" s="11">
        <f>IFERROR(INDEX(Roles!$B$17:$B$20,MATCH(J2541,Roles!$A$17:$A$20,0)),1)</f>
        <v/>
      </c>
      <c r="L2541" s="17" t="n">
        <v>1</v>
      </c>
      <c r="M2541" s="11" t="n">
        <v>1.102993581882004</v>
      </c>
      <c r="N2541" s="17" t="n">
        <v>1</v>
      </c>
      <c r="O2541" s="17" t="n"/>
      <c r="P2541" s="17" t="n"/>
      <c r="Q2541" s="17" t="n"/>
      <c r="R2541" s="17" t="n"/>
      <c r="S2541" s="17" t="n"/>
      <c r="T2541" s="17" t="n"/>
      <c r="U2541" s="17" t="n"/>
      <c r="V2541" s="17" t="n"/>
      <c r="W2541" s="17" t="n"/>
      <c r="X2541" s="17" t="n"/>
      <c r="Y2541" s="17" t="n"/>
      <c r="Z2541" s="13">
        <f>SUMPRODUCT(N2541:Y2541,$N$2:$Y$2)*$K2541*$L2541*$M2541</f>
        <v/>
      </c>
      <c r="AA2541" s="14">
        <f>SUM(N2541:Y2541)</f>
        <v/>
      </c>
      <c r="AB2541" s="14">
        <f>IFERROR(IF(UPPER($E2541)="L",SUMPRODUCT(N2541:Y2541,$N$3:$Y$3,$N$2:$Y$2),SUMPRODUCT(N2541:Y2541,$N$4:$Y$4,$N$2:$Y$2))/(Z2541/($K2541*$L2541*$M2541)),"")</f>
        <v/>
      </c>
      <c r="AC2541" s="18" t="n"/>
    </row>
    <row r="2542">
      <c r="A2542" s="9" t="n">
        <v>813841</v>
      </c>
      <c r="B2542" s="9" t="inlineStr">
        <is>
          <t>Jonah Cox</t>
        </is>
      </c>
      <c r="C2542" s="9" t="inlineStr">
        <is>
          <t>SF</t>
        </is>
      </c>
      <c r="D2542" s="9" t="n">
        <v>25</v>
      </c>
      <c r="E2542" s="16" t="inlineStr">
        <is>
          <t>R</t>
        </is>
      </c>
      <c r="F2542" s="16" t="inlineStr">
        <is>
          <t>CF</t>
        </is>
      </c>
      <c r="G2542" s="9" t="n">
        <v>169</v>
      </c>
      <c r="H2542" s="9" t="n">
        <v>169</v>
      </c>
      <c r="I2542" s="9" t="inlineStr">
        <is>
          <t>Full Time</t>
        </is>
      </c>
      <c r="J2542" s="16" t="inlineStr">
        <is>
          <t>Opening Day</t>
        </is>
      </c>
      <c r="K2542" s="11">
        <f>IFERROR(INDEX(Roles!$B$17:$B$20,MATCH(J2542,Roles!$A$17:$A$20,0)),1)</f>
        <v/>
      </c>
      <c r="L2542" s="17" t="n">
        <v>1</v>
      </c>
      <c r="M2542" s="11" t="n">
        <v>1</v>
      </c>
      <c r="N2542" s="17" t="n">
        <v>0.9</v>
      </c>
      <c r="O2542" s="17" t="n"/>
      <c r="P2542" s="17" t="n">
        <v>0.1</v>
      </c>
      <c r="Q2542" s="17" t="n"/>
      <c r="R2542" s="17" t="n"/>
      <c r="S2542" s="17" t="n"/>
      <c r="T2542" s="17" t="n"/>
      <c r="U2542" s="17" t="n"/>
      <c r="V2542" s="17" t="n"/>
      <c r="W2542" s="17" t="n"/>
      <c r="X2542" s="17" t="n"/>
      <c r="Y2542" s="17" t="n"/>
      <c r="Z2542" s="13">
        <f>SUMPRODUCT(N2542:Y2542,$N$2:$Y$2)*$K2542*$L2542*$M2542</f>
        <v/>
      </c>
      <c r="AA2542" s="14">
        <f>SUM(N2542:Y2542)</f>
        <v/>
      </c>
      <c r="AB2542" s="14">
        <f>IFERROR(IF(UPPER($E2542)="L",SUMPRODUCT(N2542:Y2542,$N$3:$Y$3,$N$2:$Y$2),SUMPRODUCT(N2542:Y2542,$N$4:$Y$4,$N$2:$Y$2))/(Z2542/($K2542*$L2542*$M2542)),"")</f>
        <v/>
      </c>
      <c r="AC2542" s="18" t="n"/>
    </row>
    <row r="2543">
      <c r="A2543" s="9" t="n">
        <v>702789</v>
      </c>
      <c r="B2543" s="9" t="inlineStr">
        <is>
          <t>Austin Gauthier</t>
        </is>
      </c>
      <c r="C2543" s="9" t="inlineStr">
        <is>
          <t>LAD</t>
        </is>
      </c>
      <c r="D2543" s="9" t="n">
        <v>25</v>
      </c>
      <c r="E2543" s="16" t="inlineStr">
        <is>
          <t>R</t>
        </is>
      </c>
      <c r="F2543" s="16" t="n"/>
      <c r="G2543" s="9" t="n">
        <v>201.948717948718</v>
      </c>
      <c r="H2543" s="9" t="n">
        <v>201.948717948718</v>
      </c>
      <c r="I2543" s="9" t="inlineStr">
        <is>
          <t>Depth (no MLB PA)</t>
        </is>
      </c>
      <c r="J2543" s="16" t="inlineStr">
        <is>
          <t>Opening Day</t>
        </is>
      </c>
      <c r="K2543" s="11">
        <f>IFERROR(INDEX(Roles!$B$17:$B$20,MATCH(J2543,Roles!$A$17:$A$20,0)),1)</f>
        <v/>
      </c>
      <c r="L2543" s="17" t="n">
        <v>1</v>
      </c>
      <c r="M2543" s="11" t="n">
        <v>1</v>
      </c>
      <c r="N2543" s="17" t="n"/>
      <c r="O2543" s="17" t="n"/>
      <c r="P2543" s="17" t="n"/>
      <c r="Q2543" s="17" t="n"/>
      <c r="R2543" s="17" t="n"/>
      <c r="S2543" s="17" t="n"/>
      <c r="T2543" s="17" t="n"/>
      <c r="U2543" s="17" t="n"/>
      <c r="V2543" s="17" t="n"/>
      <c r="W2543" s="17" t="n"/>
      <c r="X2543" s="17" t="n"/>
      <c r="Y2543" s="17" t="n">
        <v>1</v>
      </c>
      <c r="Z2543" s="13">
        <f>SUMPRODUCT(N2543:Y2543,$N$2:$Y$2)*$K2543*$L2543*$M2543</f>
        <v/>
      </c>
      <c r="AA2543" s="14">
        <f>SUM(N2543:Y2543)</f>
        <v/>
      </c>
      <c r="AB2543" s="14">
        <f>IFERROR(IF(UPPER($E2543)="L",SUMPRODUCT(N2543:Y2543,$N$3:$Y$3,$N$2:$Y$2),SUMPRODUCT(N2543:Y2543,$N$4:$Y$4,$N$2:$Y$2))/(Z2543/($K2543*$L2543*$M2543)),"")</f>
        <v/>
      </c>
      <c r="AC2543" s="18" t="n"/>
    </row>
    <row r="2544">
      <c r="A2544" s="9" t="n">
        <v>691740</v>
      </c>
      <c r="B2544" s="9" t="inlineStr">
        <is>
          <t>Daniel Susac</t>
        </is>
      </c>
      <c r="C2544" s="9" t="inlineStr">
        <is>
          <t>SF</t>
        </is>
      </c>
      <c r="D2544" s="9" t="n">
        <v>26</v>
      </c>
      <c r="E2544" s="16" t="inlineStr">
        <is>
          <t>R</t>
        </is>
      </c>
      <c r="F2544" s="16" t="inlineStr">
        <is>
          <t>C</t>
        </is>
      </c>
      <c r="G2544" s="9" t="n">
        <v>161</v>
      </c>
      <c r="H2544" s="9" t="n">
        <v>161</v>
      </c>
      <c r="I2544" s="9" t="inlineStr">
        <is>
          <t>Bench Bat</t>
        </is>
      </c>
      <c r="J2544" s="16" t="inlineStr">
        <is>
          <t>Opening Day</t>
        </is>
      </c>
      <c r="K2544" s="11">
        <f>IFERROR(INDEX(Roles!$B$17:$B$20,MATCH(J2544,Roles!$A$17:$A$20,0)),1)</f>
        <v/>
      </c>
      <c r="L2544" s="17" t="n">
        <v>1</v>
      </c>
      <c r="M2544" s="11" t="n">
        <v>1</v>
      </c>
      <c r="N2544" s="17" t="n"/>
      <c r="O2544" s="17" t="n"/>
      <c r="P2544" s="17" t="n"/>
      <c r="Q2544" s="17" t="n"/>
      <c r="R2544" s="17" t="n"/>
      <c r="S2544" s="17" t="n"/>
      <c r="T2544" s="17" t="n"/>
      <c r="U2544" s="17" t="n"/>
      <c r="V2544" s="17" t="n"/>
      <c r="W2544" s="17" t="n">
        <v>0.85</v>
      </c>
      <c r="X2544" s="17" t="n">
        <v>0.15</v>
      </c>
      <c r="Y2544" s="17" t="n"/>
      <c r="Z2544" s="13">
        <f>SUMPRODUCT(N2544:Y2544,$N$2:$Y$2)*$K2544*$L2544*$M2544</f>
        <v/>
      </c>
      <c r="AA2544" s="14">
        <f>SUM(N2544:Y2544)</f>
        <v/>
      </c>
      <c r="AB2544" s="14">
        <f>IFERROR(IF(UPPER($E2544)="L",SUMPRODUCT(N2544:Y2544,$N$3:$Y$3,$N$2:$Y$2),SUMPRODUCT(N2544:Y2544,$N$4:$Y$4,$N$2:$Y$2))/(Z2544/($K2544*$L2544*$M2544)),"")</f>
        <v/>
      </c>
      <c r="AC2544" s="18" t="n"/>
    </row>
    <row r="2545">
      <c r="A2545" s="9" t="n">
        <v>693306</v>
      </c>
      <c r="B2545" s="9" t="inlineStr">
        <is>
          <t>Aaron Sabato</t>
        </is>
      </c>
      <c r="C2545" s="9" t="inlineStr">
        <is>
          <t>MIN</t>
        </is>
      </c>
      <c r="D2545" s="9" t="n">
        <v>28</v>
      </c>
      <c r="E2545" s="16" t="inlineStr">
        <is>
          <t>R</t>
        </is>
      </c>
      <c r="F2545" s="16" t="inlineStr">
        <is>
          <t>1B</t>
        </is>
      </c>
      <c r="G2545" s="9" t="n">
        <v>6</v>
      </c>
      <c r="H2545" s="9" t="n">
        <v>6</v>
      </c>
      <c r="I2545" s="9" t="inlineStr">
        <is>
          <t>Strong Side Platoon</t>
        </is>
      </c>
      <c r="J2545" s="16" t="inlineStr">
        <is>
          <t>Opening Day</t>
        </is>
      </c>
      <c r="K2545" s="11">
        <f>IFERROR(INDEX(Roles!$B$17:$B$20,MATCH(J2545,Roles!$A$17:$A$20,0)),1)</f>
        <v/>
      </c>
      <c r="L2545" s="17" t="n">
        <v>1</v>
      </c>
      <c r="M2545" s="11" t="n">
        <v>1</v>
      </c>
      <c r="N2545" s="17" t="n">
        <v>0.4</v>
      </c>
      <c r="O2545" s="17" t="n"/>
      <c r="P2545" s="17" t="n">
        <v>0.6</v>
      </c>
      <c r="Q2545" s="17" t="n"/>
      <c r="R2545" s="17" t="n"/>
      <c r="S2545" s="17" t="n"/>
      <c r="T2545" s="17" t="n"/>
      <c r="U2545" s="17" t="n"/>
      <c r="V2545" s="17" t="n"/>
      <c r="W2545" s="17" t="n"/>
      <c r="X2545" s="17" t="n"/>
      <c r="Y2545" s="17" t="n"/>
      <c r="Z2545" s="13">
        <f>SUMPRODUCT(N2545:Y2545,$N$2:$Y$2)*$K2545*$L2545*$M2545</f>
        <v/>
      </c>
      <c r="AA2545" s="14">
        <f>SUM(N2545:Y2545)</f>
        <v/>
      </c>
      <c r="AB2545" s="14">
        <f>IFERROR(IF(UPPER($E2545)="L",SUMPRODUCT(N2545:Y2545,$N$3:$Y$3,$N$2:$Y$2),SUMPRODUCT(N2545:Y2545,$N$4:$Y$4,$N$2:$Y$2))/(Z2545/($K2545*$L2545*$M2545)),"")</f>
        <v/>
      </c>
      <c r="AC2545" s="18" t="n"/>
    </row>
    <row r="2546">
      <c r="A2546" s="9" t="n">
        <v>677942</v>
      </c>
      <c r="B2546" s="9" t="inlineStr">
        <is>
          <t>Blaze Alexander</t>
        </is>
      </c>
      <c r="C2546" s="9" t="inlineStr">
        <is>
          <t>BAL</t>
        </is>
      </c>
      <c r="D2546" s="9" t="n">
        <v>28</v>
      </c>
      <c r="E2546" s="16" t="inlineStr">
        <is>
          <t>R</t>
        </is>
      </c>
      <c r="F2546" s="16" t="inlineStr">
        <is>
          <t>3B</t>
        </is>
      </c>
      <c r="G2546" s="9" t="n">
        <v>289</v>
      </c>
      <c r="H2546" s="9" t="n">
        <v>740</v>
      </c>
      <c r="I2546" s="9" t="inlineStr">
        <is>
          <t>Bench Bat</t>
        </is>
      </c>
      <c r="J2546" s="16" t="inlineStr">
        <is>
          <t>Opening Day</t>
        </is>
      </c>
      <c r="K2546" s="11">
        <f>IFERROR(INDEX(Roles!$B$17:$B$20,MATCH(J2546,Roles!$A$17:$A$20,0)),1)</f>
        <v/>
      </c>
      <c r="L2546" s="17" t="n">
        <v>1</v>
      </c>
      <c r="M2546" s="11" t="n">
        <v>1.003378008756485</v>
      </c>
      <c r="N2546" s="17" t="n">
        <v>0.4</v>
      </c>
      <c r="O2546" s="17" t="n"/>
      <c r="P2546" s="17" t="n"/>
      <c r="Q2546" s="17" t="n"/>
      <c r="R2546" s="17" t="n"/>
      <c r="S2546" s="17" t="n"/>
      <c r="T2546" s="17" t="n"/>
      <c r="U2546" s="17" t="n"/>
      <c r="V2546" s="17" t="n"/>
      <c r="W2546" s="17" t="n">
        <v>0.6</v>
      </c>
      <c r="X2546" s="17" t="n"/>
      <c r="Y2546" s="17" t="n"/>
      <c r="Z2546" s="13">
        <f>SUMPRODUCT(N2546:Y2546,$N$2:$Y$2)*$K2546*$L2546*$M2546</f>
        <v/>
      </c>
      <c r="AA2546" s="14">
        <f>SUM(N2546:Y2546)</f>
        <v/>
      </c>
      <c r="AB2546" s="14">
        <f>IFERROR(IF(UPPER($E2546)="L",SUMPRODUCT(N2546:Y2546,$N$3:$Y$3,$N$2:$Y$2),SUMPRODUCT(N2546:Y2546,$N$4:$Y$4,$N$2:$Y$2))/(Z2546/($K2546*$L2546*$M2546)),"")</f>
        <v/>
      </c>
      <c r="AC2546" s="18" t="n"/>
    </row>
    <row r="2547">
      <c r="A2547" s="9" t="n">
        <v>691720</v>
      </c>
      <c r="B2547" s="9" t="inlineStr">
        <is>
          <t>Kyle Karros</t>
        </is>
      </c>
      <c r="C2547" s="9" t="inlineStr">
        <is>
          <t>COL</t>
        </is>
      </c>
      <c r="D2547" s="9" t="n">
        <v>24</v>
      </c>
      <c r="E2547" s="16" t="inlineStr">
        <is>
          <t>R</t>
        </is>
      </c>
      <c r="F2547" s="16" t="inlineStr">
        <is>
          <t>3B</t>
        </is>
      </c>
      <c r="G2547" s="9" t="n">
        <v>475</v>
      </c>
      <c r="H2547" s="9" t="n">
        <v>631</v>
      </c>
      <c r="I2547" s="9" t="inlineStr">
        <is>
          <t>Full Time</t>
        </is>
      </c>
      <c r="J2547" s="16" t="inlineStr">
        <is>
          <t>Opening Day</t>
        </is>
      </c>
      <c r="K2547" s="11">
        <f>IFERROR(INDEX(Roles!$B$17:$B$20,MATCH(J2547,Roles!$A$17:$A$20,0)),1)</f>
        <v/>
      </c>
      <c r="L2547" s="17" t="n">
        <v>1</v>
      </c>
      <c r="M2547" s="11" t="n">
        <v>0.8713192917493695</v>
      </c>
      <c r="N2547" s="17" t="n">
        <v>0.75</v>
      </c>
      <c r="O2547" s="17" t="n"/>
      <c r="P2547" s="17" t="n">
        <v>0.25</v>
      </c>
      <c r="Q2547" s="17" t="n"/>
      <c r="R2547" s="17" t="n"/>
      <c r="S2547" s="17" t="n"/>
      <c r="T2547" s="17" t="n"/>
      <c r="U2547" s="17" t="n"/>
      <c r="V2547" s="17" t="n"/>
      <c r="W2547" s="17" t="n"/>
      <c r="X2547" s="17" t="n"/>
      <c r="Y2547" s="17" t="n"/>
      <c r="Z2547" s="13">
        <f>SUMPRODUCT(N2547:Y2547,$N$2:$Y$2)*$K2547*$L2547*$M2547</f>
        <v/>
      </c>
      <c r="AA2547" s="14">
        <f>SUM(N2547:Y2547)</f>
        <v/>
      </c>
      <c r="AB2547" s="14">
        <f>IFERROR(IF(UPPER($E2547)="L",SUMPRODUCT(N2547:Y2547,$N$3:$Y$3,$N$2:$Y$2),SUMPRODUCT(N2547:Y2547,$N$4:$Y$4,$N$2:$Y$2))/(Z2547/($K2547*$L2547*$M2547)),"")</f>
        <v/>
      </c>
      <c r="AC2547" s="18" t="n"/>
    </row>
    <row r="2548">
      <c r="A2548" s="9" t="n">
        <v>691186</v>
      </c>
      <c r="B2548" s="9" t="inlineStr">
        <is>
          <t>Arol Vera</t>
        </is>
      </c>
      <c r="C2548" s="9" t="inlineStr">
        <is>
          <t>LAA</t>
        </is>
      </c>
      <c r="D2548" s="9" t="n">
        <v>25</v>
      </c>
      <c r="E2548" s="16" t="inlineStr">
        <is>
          <t>S</t>
        </is>
      </c>
      <c r="F2548" s="16" t="n"/>
      <c r="G2548" s="9" t="n">
        <v>81.23076923076924</v>
      </c>
      <c r="H2548" s="9" t="n">
        <v>81.23076923076924</v>
      </c>
      <c r="I2548" s="9" t="inlineStr">
        <is>
          <t>Depth (no MLB PA)</t>
        </is>
      </c>
      <c r="J2548" s="16" t="inlineStr">
        <is>
          <t>Opening Day</t>
        </is>
      </c>
      <c r="K2548" s="11">
        <f>IFERROR(INDEX(Roles!$B$17:$B$20,MATCH(J2548,Roles!$A$17:$A$20,0)),1)</f>
        <v/>
      </c>
      <c r="L2548" s="17" t="n">
        <v>1</v>
      </c>
      <c r="M2548" s="11" t="n">
        <v>1</v>
      </c>
      <c r="N2548" s="17" t="n"/>
      <c r="O2548" s="17" t="n"/>
      <c r="P2548" s="17" t="n"/>
      <c r="Q2548" s="17" t="n"/>
      <c r="R2548" s="17" t="n"/>
      <c r="S2548" s="17" t="n"/>
      <c r="T2548" s="17" t="n"/>
      <c r="U2548" s="17" t="n"/>
      <c r="V2548" s="17" t="n"/>
      <c r="W2548" s="17" t="n"/>
      <c r="X2548" s="17" t="n"/>
      <c r="Y2548" s="17" t="n">
        <v>1</v>
      </c>
      <c r="Z2548" s="13">
        <f>SUMPRODUCT(N2548:Y2548,$N$2:$Y$2)*$K2548*$L2548*$M2548</f>
        <v/>
      </c>
      <c r="AA2548" s="14">
        <f>SUM(N2548:Y2548)</f>
        <v/>
      </c>
      <c r="AB2548" s="14">
        <f>IFERROR(IF(UPPER($E2548)="L",SUMPRODUCT(N2548:Y2548,$N$3:$Y$3,$N$2:$Y$2),SUMPRODUCT(N2548:Y2548,$N$4:$Y$4,$N$2:$Y$2))/(Z2548/($K2548*$L2548*$M2548)),"")</f>
        <v/>
      </c>
      <c r="AC2548" s="18" t="n"/>
    </row>
    <row r="2549">
      <c r="A2549" s="9" t="n">
        <v>605361</v>
      </c>
      <c r="B2549" s="9" t="inlineStr">
        <is>
          <t>Nick Martini</t>
        </is>
      </c>
      <c r="C2549" s="9" t="inlineStr">
        <is>
          <t>COL</t>
        </is>
      </c>
      <c r="D2549" s="9" t="n">
        <v>37</v>
      </c>
      <c r="E2549" s="16" t="inlineStr">
        <is>
          <t>L</t>
        </is>
      </c>
      <c r="F2549" s="16" t="inlineStr">
        <is>
          <t>RF</t>
        </is>
      </c>
      <c r="G2549" s="9" t="n">
        <v>111</v>
      </c>
      <c r="H2549" s="9" t="n">
        <v>353</v>
      </c>
      <c r="I2549" s="9" t="inlineStr">
        <is>
          <t>Bench Bat</t>
        </is>
      </c>
      <c r="J2549" s="16" t="inlineStr">
        <is>
          <t>Opening Day</t>
        </is>
      </c>
      <c r="K2549" s="11">
        <f>IFERROR(INDEX(Roles!$B$17:$B$20,MATCH(J2549,Roles!$A$17:$A$20,0)),1)</f>
        <v/>
      </c>
      <c r="L2549" s="17" t="n">
        <v>1</v>
      </c>
      <c r="M2549" s="11" t="n">
        <v>1</v>
      </c>
      <c r="N2549" s="17" t="n"/>
      <c r="O2549" s="17" t="n"/>
      <c r="P2549" s="17" t="n"/>
      <c r="Q2549" s="17" t="n"/>
      <c r="R2549" s="17" t="n"/>
      <c r="S2549" s="17" t="n"/>
      <c r="T2549" s="17" t="n"/>
      <c r="U2549" s="17" t="n"/>
      <c r="V2549" s="17" t="n"/>
      <c r="W2549" s="17" t="n">
        <v>1</v>
      </c>
      <c r="X2549" s="17" t="n"/>
      <c r="Y2549" s="17" t="n"/>
      <c r="Z2549" s="13">
        <f>SUMPRODUCT(N2549:Y2549,$N$2:$Y$2)*$K2549*$L2549*$M2549</f>
        <v/>
      </c>
      <c r="AA2549" s="14">
        <f>SUM(N2549:Y2549)</f>
        <v/>
      </c>
      <c r="AB2549" s="14">
        <f>IFERROR(IF(UPPER($E2549)="L",SUMPRODUCT(N2549:Y2549,$N$3:$Y$3,$N$2:$Y$2),SUMPRODUCT(N2549:Y2549,$N$4:$Y$4,$N$2:$Y$2))/(Z2549/($K2549*$L2549*$M2549)),"")</f>
        <v/>
      </c>
      <c r="AC2549" s="18" t="n"/>
    </row>
    <row r="2550">
      <c r="A2550" s="9" t="n">
        <v>641584</v>
      </c>
      <c r="B2550" s="9" t="inlineStr">
        <is>
          <t>Jake Fraley</t>
        </is>
      </c>
      <c r="C2550" s="9" t="inlineStr">
        <is>
          <t>TB</t>
        </is>
      </c>
      <c r="D2550" s="9" t="n">
        <v>32</v>
      </c>
      <c r="E2550" s="16" t="inlineStr">
        <is>
          <t>L</t>
        </is>
      </c>
      <c r="F2550" s="16" t="inlineStr">
        <is>
          <t>RF</t>
        </is>
      </c>
      <c r="G2550" s="9" t="n">
        <v>97</v>
      </c>
      <c r="H2550" s="9" t="n">
        <v>1323</v>
      </c>
      <c r="I2550" s="9" t="inlineStr">
        <is>
          <t>Bench Bat</t>
        </is>
      </c>
      <c r="J2550" s="16" t="inlineStr">
        <is>
          <t>Opening Day</t>
        </is>
      </c>
      <c r="K2550" s="11">
        <f>IFERROR(INDEX(Roles!$B$17:$B$20,MATCH(J2550,Roles!$A$17:$A$20,0)),1)</f>
        <v/>
      </c>
      <c r="L2550" s="17" t="n">
        <v>1</v>
      </c>
      <c r="M2550" s="11" t="n">
        <v>0.7981735568621762</v>
      </c>
      <c r="N2550" s="17" t="n"/>
      <c r="O2550" s="17" t="n"/>
      <c r="P2550" s="17" t="n"/>
      <c r="Q2550" s="17" t="n"/>
      <c r="R2550" s="17" t="n"/>
      <c r="S2550" s="17" t="n"/>
      <c r="T2550" s="17" t="n"/>
      <c r="U2550" s="17" t="n"/>
      <c r="V2550" s="17" t="n"/>
      <c r="W2550" s="17" t="n">
        <v>1</v>
      </c>
      <c r="X2550" s="17" t="n"/>
      <c r="Y2550" s="17" t="n"/>
      <c r="Z2550" s="13">
        <f>SUMPRODUCT(N2550:Y2550,$N$2:$Y$2)*$K2550*$L2550*$M2550</f>
        <v/>
      </c>
      <c r="AA2550" s="14">
        <f>SUM(N2550:Y2550)</f>
        <v/>
      </c>
      <c r="AB2550" s="14">
        <f>IFERROR(IF(UPPER($E2550)="L",SUMPRODUCT(N2550:Y2550,$N$3:$Y$3,$N$2:$Y$2),SUMPRODUCT(N2550:Y2550,$N$4:$Y$4,$N$2:$Y$2))/(Z2550/($K2550*$L2550*$M2550)),"")</f>
        <v/>
      </c>
      <c r="AC2550" s="18" t="n"/>
    </row>
    <row r="2551">
      <c r="A2551" s="9" t="n">
        <v>804645</v>
      </c>
      <c r="B2551" s="9" t="inlineStr">
        <is>
          <t>Caden Connor</t>
        </is>
      </c>
      <c r="C2551" s="9" t="inlineStr">
        <is>
          <t>CWS</t>
        </is>
      </c>
      <c r="D2551" s="9" t="n">
        <v>25</v>
      </c>
      <c r="E2551" s="16" t="inlineStr">
        <is>
          <t>L</t>
        </is>
      </c>
      <c r="F2551" s="16" t="n"/>
      <c r="G2551" s="9" t="n">
        <v>220</v>
      </c>
      <c r="H2551" s="9" t="n">
        <v>220</v>
      </c>
      <c r="I2551" s="9" t="inlineStr">
        <is>
          <t>Depth (no MLB PA)</t>
        </is>
      </c>
      <c r="J2551" s="16" t="inlineStr">
        <is>
          <t>Opening Day</t>
        </is>
      </c>
      <c r="K2551" s="11">
        <f>IFERROR(INDEX(Roles!$B$17:$B$20,MATCH(J2551,Roles!$A$17:$A$20,0)),1)</f>
        <v/>
      </c>
      <c r="L2551" s="17" t="n">
        <v>1</v>
      </c>
      <c r="M2551" s="11" t="n">
        <v>1</v>
      </c>
      <c r="N2551" s="17" t="n"/>
      <c r="O2551" s="17" t="n"/>
      <c r="P2551" s="17" t="n"/>
      <c r="Q2551" s="17" t="n"/>
      <c r="R2551" s="17" t="n"/>
      <c r="S2551" s="17" t="n"/>
      <c r="T2551" s="17" t="n"/>
      <c r="U2551" s="17" t="n"/>
      <c r="V2551" s="17" t="n"/>
      <c r="W2551" s="17" t="n"/>
      <c r="X2551" s="17" t="n"/>
      <c r="Y2551" s="17" t="n">
        <v>1</v>
      </c>
      <c r="Z2551" s="13">
        <f>SUMPRODUCT(N2551:Y2551,$N$2:$Y$2)*$K2551*$L2551*$M2551</f>
        <v/>
      </c>
      <c r="AA2551" s="14">
        <f>SUM(N2551:Y2551)</f>
        <v/>
      </c>
      <c r="AB2551" s="14">
        <f>IFERROR(IF(UPPER($E2551)="L",SUMPRODUCT(N2551:Y2551,$N$3:$Y$3,$N$2:$Y$2),SUMPRODUCT(N2551:Y2551,$N$4:$Y$4,$N$2:$Y$2))/(Z2551/($K2551*$L2551*$M2551)),"")</f>
        <v/>
      </c>
      <c r="AC2551" s="18" t="n"/>
    </row>
    <row r="2552">
      <c r="A2552" s="9" t="n">
        <v>681146</v>
      </c>
      <c r="B2552" s="9" t="inlineStr">
        <is>
          <t>Jonah Bride</t>
        </is>
      </c>
      <c r="C2552" s="9" t="inlineStr">
        <is>
          <t>MIN</t>
        </is>
      </c>
      <c r="D2552" s="9" t="n">
        <v>31</v>
      </c>
      <c r="E2552" s="16" t="inlineStr">
        <is>
          <t>R</t>
        </is>
      </c>
      <c r="F2552" s="16" t="inlineStr">
        <is>
          <t>3B</t>
        </is>
      </c>
      <c r="G2552" s="9" t="n">
        <v>6</v>
      </c>
      <c r="H2552" s="9" t="n">
        <v>696</v>
      </c>
      <c r="I2552" s="9" t="inlineStr">
        <is>
          <t>Bench Bat</t>
        </is>
      </c>
      <c r="J2552" s="16" t="inlineStr">
        <is>
          <t>Opening Day</t>
        </is>
      </c>
      <c r="K2552" s="11">
        <f>IFERROR(INDEX(Roles!$B$17:$B$20,MATCH(J2552,Roles!$A$17:$A$20,0)),1)</f>
        <v/>
      </c>
      <c r="L2552" s="17" t="n">
        <v>1</v>
      </c>
      <c r="M2552" s="11" t="n">
        <v>1</v>
      </c>
      <c r="N2552" s="17" t="n"/>
      <c r="O2552" s="17" t="n"/>
      <c r="P2552" s="17" t="n"/>
      <c r="Q2552" s="17" t="n"/>
      <c r="R2552" s="17" t="n"/>
      <c r="S2552" s="17" t="n"/>
      <c r="T2552" s="17" t="n"/>
      <c r="U2552" s="17" t="n"/>
      <c r="V2552" s="17" t="n"/>
      <c r="W2552" s="17" t="n">
        <v>1</v>
      </c>
      <c r="X2552" s="17" t="n"/>
      <c r="Y2552" s="17" t="n"/>
      <c r="Z2552" s="13">
        <f>SUMPRODUCT(N2552:Y2552,$N$2:$Y$2)*$K2552*$L2552*$M2552</f>
        <v/>
      </c>
      <c r="AA2552" s="14">
        <f>SUM(N2552:Y2552)</f>
        <v/>
      </c>
      <c r="AB2552" s="14">
        <f>IFERROR(IF(UPPER($E2552)="L",SUMPRODUCT(N2552:Y2552,$N$3:$Y$3,$N$2:$Y$2),SUMPRODUCT(N2552:Y2552,$N$4:$Y$4,$N$2:$Y$2))/(Z2552/($K2552*$L2552*$M2552)),"")</f>
        <v/>
      </c>
      <c r="AC2552" s="18" t="n"/>
    </row>
    <row r="2553">
      <c r="A2553" s="9" t="n">
        <v>803172</v>
      </c>
      <c r="B2553" s="9" t="inlineStr">
        <is>
          <t>Griff O'Ferrall</t>
        </is>
      </c>
      <c r="C2553" s="9" t="inlineStr">
        <is>
          <t>BAL</t>
        </is>
      </c>
      <c r="D2553" s="9" t="n">
        <v>25</v>
      </c>
      <c r="E2553" s="16" t="inlineStr">
        <is>
          <t>R</t>
        </is>
      </c>
      <c r="F2553" s="16" t="n"/>
      <c r="G2553" s="9" t="n">
        <v>166.2051282051282</v>
      </c>
      <c r="H2553" s="9" t="n">
        <v>166.2051282051282</v>
      </c>
      <c r="I2553" s="9" t="inlineStr">
        <is>
          <t>Depth (no MLB PA)</t>
        </is>
      </c>
      <c r="J2553" s="16" t="inlineStr">
        <is>
          <t>Opening Day</t>
        </is>
      </c>
      <c r="K2553" s="11">
        <f>IFERROR(INDEX(Roles!$B$17:$B$20,MATCH(J2553,Roles!$A$17:$A$20,0)),1)</f>
        <v/>
      </c>
      <c r="L2553" s="17" t="n">
        <v>1</v>
      </c>
      <c r="M2553" s="11" t="n">
        <v>1</v>
      </c>
      <c r="N2553" s="17" t="n"/>
      <c r="O2553" s="17" t="n"/>
      <c r="P2553" s="17" t="n"/>
      <c r="Q2553" s="17" t="n"/>
      <c r="R2553" s="17" t="n"/>
      <c r="S2553" s="17" t="n"/>
      <c r="T2553" s="17" t="n"/>
      <c r="U2553" s="17" t="n"/>
      <c r="V2553" s="17" t="n"/>
      <c r="W2553" s="17" t="n"/>
      <c r="X2553" s="17" t="n"/>
      <c r="Y2553" s="17" t="n">
        <v>1</v>
      </c>
      <c r="Z2553" s="13">
        <f>SUMPRODUCT(N2553:Y2553,$N$2:$Y$2)*$K2553*$L2553*$M2553</f>
        <v/>
      </c>
      <c r="AA2553" s="14">
        <f>SUM(N2553:Y2553)</f>
        <v/>
      </c>
      <c r="AB2553" s="14">
        <f>IFERROR(IF(UPPER($E2553)="L",SUMPRODUCT(N2553:Y2553,$N$3:$Y$3,$N$2:$Y$2),SUMPRODUCT(N2553:Y2553,$N$4:$Y$4,$N$2:$Y$2))/(Z2553/($K2553*$L2553*$M2553)),"")</f>
        <v/>
      </c>
      <c r="AC2553" s="18" t="n"/>
    </row>
    <row r="2554">
      <c r="A2554" s="9" t="n">
        <v>703673</v>
      </c>
      <c r="B2554" s="9" t="inlineStr">
        <is>
          <t>Kasen Wells</t>
        </is>
      </c>
      <c r="C2554" s="9" t="inlineStr">
        <is>
          <t>SD</t>
        </is>
      </c>
      <c r="D2554" s="9" t="n">
        <v>25</v>
      </c>
      <c r="E2554" s="16" t="inlineStr">
        <is>
          <t>L</t>
        </is>
      </c>
      <c r="F2554" s="16" t="n"/>
      <c r="G2554" s="9" t="n">
        <v>94.97435897435898</v>
      </c>
      <c r="H2554" s="9" t="n">
        <v>94.97435897435898</v>
      </c>
      <c r="I2554" s="9" t="inlineStr">
        <is>
          <t>Depth (no MLB PA)</t>
        </is>
      </c>
      <c r="J2554" s="16" t="inlineStr">
        <is>
          <t>Opening Day</t>
        </is>
      </c>
      <c r="K2554" s="11">
        <f>IFERROR(INDEX(Roles!$B$17:$B$20,MATCH(J2554,Roles!$A$17:$A$20,0)),1)</f>
        <v/>
      </c>
      <c r="L2554" s="17" t="n">
        <v>1</v>
      </c>
      <c r="M2554" s="11" t="n">
        <v>1</v>
      </c>
      <c r="N2554" s="17" t="n"/>
      <c r="O2554" s="17" t="n"/>
      <c r="P2554" s="17" t="n"/>
      <c r="Q2554" s="17" t="n"/>
      <c r="R2554" s="17" t="n"/>
      <c r="S2554" s="17" t="n"/>
      <c r="T2554" s="17" t="n"/>
      <c r="U2554" s="17" t="n"/>
      <c r="V2554" s="17" t="n"/>
      <c r="W2554" s="17" t="n"/>
      <c r="X2554" s="17" t="n"/>
      <c r="Y2554" s="17" t="n">
        <v>1</v>
      </c>
      <c r="Z2554" s="13">
        <f>SUMPRODUCT(N2554:Y2554,$N$2:$Y$2)*$K2554*$L2554*$M2554</f>
        <v/>
      </c>
      <c r="AA2554" s="14">
        <f>SUM(N2554:Y2554)</f>
        <v/>
      </c>
      <c r="AB2554" s="14">
        <f>IFERROR(IF(UPPER($E2554)="L",SUMPRODUCT(N2554:Y2554,$N$3:$Y$3,$N$2:$Y$2),SUMPRODUCT(N2554:Y2554,$N$4:$Y$4,$N$2:$Y$2))/(Z2554/($K2554*$L2554*$M2554)),"")</f>
        <v/>
      </c>
      <c r="AC2554" s="18" t="n"/>
    </row>
    <row r="2555">
      <c r="A2555" s="9" t="n">
        <v>665750</v>
      </c>
      <c r="B2555" s="9" t="inlineStr">
        <is>
          <t>Leody Taveras</t>
        </is>
      </c>
      <c r="C2555" s="9" t="inlineStr">
        <is>
          <t>BAL</t>
        </is>
      </c>
      <c r="D2555" s="9" t="n">
        <v>28</v>
      </c>
      <c r="E2555" s="16" t="inlineStr">
        <is>
          <t>S</t>
        </is>
      </c>
      <c r="F2555" s="16" t="inlineStr">
        <is>
          <t>CF</t>
        </is>
      </c>
      <c r="G2555" s="9" t="n">
        <v>482</v>
      </c>
      <c r="H2555" s="9" t="n">
        <v>2086</v>
      </c>
      <c r="I2555" s="9" t="inlineStr">
        <is>
          <t>Full Time</t>
        </is>
      </c>
      <c r="J2555" s="16" t="inlineStr">
        <is>
          <t>Opening Day</t>
        </is>
      </c>
      <c r="K2555" s="11">
        <f>IFERROR(INDEX(Roles!$B$17:$B$20,MATCH(J2555,Roles!$A$17:$A$20,0)),1)</f>
        <v/>
      </c>
      <c r="L2555" s="17" t="n">
        <v>1</v>
      </c>
      <c r="M2555" s="11" t="n">
        <v>0.979750216031996</v>
      </c>
      <c r="N2555" s="17" t="n">
        <v>0.6</v>
      </c>
      <c r="O2555" s="17" t="n"/>
      <c r="P2555" s="17" t="n"/>
      <c r="Q2555" s="17" t="n"/>
      <c r="R2555" s="17" t="n"/>
      <c r="S2555" s="17" t="n"/>
      <c r="T2555" s="17" t="n"/>
      <c r="U2555" s="17" t="n"/>
      <c r="V2555" s="17" t="n">
        <v>0.4</v>
      </c>
      <c r="W2555" s="17" t="n"/>
      <c r="X2555" s="17" t="n"/>
      <c r="Y2555" s="17" t="n"/>
      <c r="Z2555" s="13">
        <f>SUMPRODUCT(N2555:Y2555,$N$2:$Y$2)*$K2555*$L2555*$M2555</f>
        <v/>
      </c>
      <c r="AA2555" s="14">
        <f>SUM(N2555:Y2555)</f>
        <v/>
      </c>
      <c r="AB2555" s="14">
        <f>IFERROR(IF(UPPER($E2555)="L",SUMPRODUCT(N2555:Y2555,$N$3:$Y$3,$N$2:$Y$2),SUMPRODUCT(N2555:Y2555,$N$4:$Y$4,$N$2:$Y$2))/(Z2555/($K2555*$L2555*$M2555)),"")</f>
        <v/>
      </c>
      <c r="AC2555" s="18" t="n"/>
    </row>
    <row r="2556">
      <c r="A2556" s="9" t="n">
        <v>571945</v>
      </c>
      <c r="B2556" s="9" t="inlineStr">
        <is>
          <t>Miles Mikolas</t>
        </is>
      </c>
      <c r="C2556" s="9" t="inlineStr">
        <is>
          <t>WSH</t>
        </is>
      </c>
      <c r="D2556" s="9" t="n">
        <v>38</v>
      </c>
      <c r="E2556" s="16" t="inlineStr">
        <is>
          <t>R</t>
        </is>
      </c>
      <c r="F2556" s="16" t="inlineStr">
        <is>
          <t>P</t>
        </is>
      </c>
      <c r="G2556" s="9" t="n">
        <v>1</v>
      </c>
      <c r="H2556" s="9" t="n">
        <v>1</v>
      </c>
      <c r="I2556" s="9" t="inlineStr">
        <is>
          <t>Depth (no MLB PA)</t>
        </is>
      </c>
      <c r="J2556" s="16" t="inlineStr">
        <is>
          <t>Opening Day</t>
        </is>
      </c>
      <c r="K2556" s="11">
        <f>IFERROR(INDEX(Roles!$B$17:$B$20,MATCH(J2556,Roles!$A$17:$A$20,0)),1)</f>
        <v/>
      </c>
      <c r="L2556" s="17" t="n">
        <v>1</v>
      </c>
      <c r="M2556" s="11" t="n">
        <v>1</v>
      </c>
      <c r="N2556" s="17" t="n"/>
      <c r="O2556" s="17" t="n"/>
      <c r="P2556" s="17" t="n"/>
      <c r="Q2556" s="17" t="n"/>
      <c r="R2556" s="17" t="n"/>
      <c r="S2556" s="17" t="n"/>
      <c r="T2556" s="17" t="n"/>
      <c r="U2556" s="17" t="n"/>
      <c r="V2556" s="17" t="n"/>
      <c r="W2556" s="17" t="n"/>
      <c r="X2556" s="17" t="n"/>
      <c r="Y2556" s="17" t="n">
        <v>1</v>
      </c>
      <c r="Z2556" s="13">
        <f>SUMPRODUCT(N2556:Y2556,$N$2:$Y$2)*$K2556*$L2556*$M2556</f>
        <v/>
      </c>
      <c r="AA2556" s="14">
        <f>SUM(N2556:Y2556)</f>
        <v/>
      </c>
      <c r="AB2556" s="14">
        <f>IFERROR(IF(UPPER($E2556)="L",SUMPRODUCT(N2556:Y2556,$N$3:$Y$3,$N$2:$Y$2),SUMPRODUCT(N2556:Y2556,$N$4:$Y$4,$N$2:$Y$2))/(Z2556/($K2556*$L2556*$M2556)),"")</f>
        <v/>
      </c>
      <c r="AC2556" s="18" t="n"/>
    </row>
    <row r="2557">
      <c r="A2557" s="9" t="n">
        <v>691458</v>
      </c>
      <c r="B2557" s="9" t="inlineStr">
        <is>
          <t>Blaze Jordan</t>
        </is>
      </c>
      <c r="C2557" s="9" t="inlineStr">
        <is>
          <t>STL</t>
        </is>
      </c>
      <c r="D2557" s="9" t="n">
        <v>24</v>
      </c>
      <c r="E2557" s="16" t="inlineStr">
        <is>
          <t>R</t>
        </is>
      </c>
      <c r="F2557" s="16" t="inlineStr">
        <is>
          <t>3B</t>
        </is>
      </c>
      <c r="G2557" s="9" t="n">
        <v>199</v>
      </c>
      <c r="H2557" s="9" t="n">
        <v>199</v>
      </c>
      <c r="I2557" s="9" t="inlineStr">
        <is>
          <t>Bench Bat</t>
        </is>
      </c>
      <c r="J2557" s="16" t="inlineStr">
        <is>
          <t>Opening Day</t>
        </is>
      </c>
      <c r="K2557" s="11">
        <f>IFERROR(INDEX(Roles!$B$17:$B$20,MATCH(J2557,Roles!$A$17:$A$20,0)),1)</f>
        <v/>
      </c>
      <c r="L2557" s="17" t="n">
        <v>1</v>
      </c>
      <c r="M2557" s="11" t="n">
        <v>1</v>
      </c>
      <c r="N2557" s="17" t="n"/>
      <c r="O2557" s="17" t="n"/>
      <c r="P2557" s="17" t="n"/>
      <c r="Q2557" s="17" t="n"/>
      <c r="R2557" s="17" t="n"/>
      <c r="S2557" s="17" t="n"/>
      <c r="T2557" s="17" t="n"/>
      <c r="U2557" s="17" t="n"/>
      <c r="V2557" s="17" t="n"/>
      <c r="W2557" s="17" t="n">
        <v>0.85</v>
      </c>
      <c r="X2557" s="17" t="n">
        <v>0.15</v>
      </c>
      <c r="Y2557" s="17" t="n"/>
      <c r="Z2557" s="13">
        <f>SUMPRODUCT(N2557:Y2557,$N$2:$Y$2)*$K2557*$L2557*$M2557</f>
        <v/>
      </c>
      <c r="AA2557" s="14">
        <f>SUM(N2557:Y2557)</f>
        <v/>
      </c>
      <c r="AB2557" s="14">
        <f>IFERROR(IF(UPPER($E2557)="L",SUMPRODUCT(N2557:Y2557,$N$3:$Y$3,$N$2:$Y$2),SUMPRODUCT(N2557:Y2557,$N$4:$Y$4,$N$2:$Y$2))/(Z2557/($K2557*$L2557*$M2557)),"")</f>
        <v/>
      </c>
      <c r="AC2557" s="18" t="n"/>
    </row>
    <row r="2558">
      <c r="A2558" s="9" t="n">
        <v>683011</v>
      </c>
      <c r="B2558" s="9" t="inlineStr">
        <is>
          <t>Anthony Volpe</t>
        </is>
      </c>
      <c r="C2558" s="9" t="inlineStr">
        <is>
          <t>NYY</t>
        </is>
      </c>
      <c r="D2558" s="9" t="n">
        <v>26</v>
      </c>
      <c r="E2558" s="16" t="inlineStr">
        <is>
          <t>R</t>
        </is>
      </c>
      <c r="F2558" s="16" t="inlineStr">
        <is>
          <t>SS</t>
        </is>
      </c>
      <c r="G2558" s="9" t="n">
        <v>246</v>
      </c>
      <c r="H2558" s="9" t="n">
        <v>2132</v>
      </c>
      <c r="I2558" s="9" t="inlineStr">
        <is>
          <t>Utility IF</t>
        </is>
      </c>
      <c r="J2558" s="16" t="inlineStr">
        <is>
          <t>Opening Day</t>
        </is>
      </c>
      <c r="K2558" s="11">
        <f>IFERROR(INDEX(Roles!$B$17:$B$20,MATCH(J2558,Roles!$A$17:$A$20,0)),1)</f>
        <v/>
      </c>
      <c r="L2558" s="17" t="n">
        <v>1</v>
      </c>
      <c r="M2558" s="11" t="n">
        <v>1.094885260559471</v>
      </c>
      <c r="N2558" s="17" t="n"/>
      <c r="O2558" s="17" t="n"/>
      <c r="P2558" s="17" t="n"/>
      <c r="Q2558" s="17" t="n"/>
      <c r="R2558" s="17" t="n"/>
      <c r="S2558" s="17" t="n"/>
      <c r="T2558" s="17" t="n"/>
      <c r="U2558" s="17" t="n">
        <v>0.7</v>
      </c>
      <c r="V2558" s="17" t="n"/>
      <c r="W2558" s="17" t="n">
        <v>0.3</v>
      </c>
      <c r="X2558" s="17" t="n"/>
      <c r="Y2558" s="17" t="n"/>
      <c r="Z2558" s="13">
        <f>SUMPRODUCT(N2558:Y2558,$N$2:$Y$2)*$K2558*$L2558*$M2558</f>
        <v/>
      </c>
      <c r="AA2558" s="14">
        <f>SUM(N2558:Y2558)</f>
        <v/>
      </c>
      <c r="AB2558" s="14">
        <f>IFERROR(IF(UPPER($E2558)="L",SUMPRODUCT(N2558:Y2558,$N$3:$Y$3,$N$2:$Y$2),SUMPRODUCT(N2558:Y2558,$N$4:$Y$4,$N$2:$Y$2))/(Z2558/($K2558*$L2558*$M2558)),"")</f>
        <v/>
      </c>
      <c r="AC2558" s="18" t="n"/>
    </row>
    <row r="2559">
      <c r="A2559" s="9" t="n">
        <v>808706</v>
      </c>
      <c r="B2559" s="9" t="inlineStr">
        <is>
          <t>Asbel Gonzalez</t>
        </is>
      </c>
      <c r="C2559" s="9" t="inlineStr">
        <is>
          <t>KC</t>
        </is>
      </c>
      <c r="D2559" s="9" t="n">
        <v>25</v>
      </c>
      <c r="E2559" s="16" t="inlineStr">
        <is>
          <t>R</t>
        </is>
      </c>
      <c r="F2559" s="16" t="n"/>
      <c r="G2559" s="9" t="n">
        <v>98.25641025641026</v>
      </c>
      <c r="H2559" s="9" t="n">
        <v>98.25641025641026</v>
      </c>
      <c r="I2559" s="9" t="inlineStr">
        <is>
          <t>Depth (no MLB PA)</t>
        </is>
      </c>
      <c r="J2559" s="16" t="inlineStr">
        <is>
          <t>Opening Day</t>
        </is>
      </c>
      <c r="K2559" s="11">
        <f>IFERROR(INDEX(Roles!$B$17:$B$20,MATCH(J2559,Roles!$A$17:$A$20,0)),1)</f>
        <v/>
      </c>
      <c r="L2559" s="17" t="n">
        <v>1</v>
      </c>
      <c r="M2559" s="11" t="n">
        <v>1</v>
      </c>
      <c r="N2559" s="17" t="n"/>
      <c r="O2559" s="17" t="n"/>
      <c r="P2559" s="17" t="n"/>
      <c r="Q2559" s="17" t="n"/>
      <c r="R2559" s="17" t="n"/>
      <c r="S2559" s="17" t="n"/>
      <c r="T2559" s="17" t="n"/>
      <c r="U2559" s="17" t="n"/>
      <c r="V2559" s="17" t="n"/>
      <c r="W2559" s="17" t="n"/>
      <c r="X2559" s="17" t="n"/>
      <c r="Y2559" s="17" t="n">
        <v>1</v>
      </c>
      <c r="Z2559" s="13">
        <f>SUMPRODUCT(N2559:Y2559,$N$2:$Y$2)*$K2559*$L2559*$M2559</f>
        <v/>
      </c>
      <c r="AA2559" s="14">
        <f>SUM(N2559:Y2559)</f>
        <v/>
      </c>
      <c r="AB2559" s="14">
        <f>IFERROR(IF(UPPER($E2559)="L",SUMPRODUCT(N2559:Y2559,$N$3:$Y$3,$N$2:$Y$2),SUMPRODUCT(N2559:Y2559,$N$4:$Y$4,$N$2:$Y$2))/(Z2559/($K2559*$L2559*$M2559)),"")</f>
        <v/>
      </c>
      <c r="AC2559" s="18" t="n"/>
    </row>
    <row r="2560">
      <c r="A2560" s="9" t="n">
        <v>702331</v>
      </c>
      <c r="B2560" s="9" t="inlineStr">
        <is>
          <t>Noah Mendlinger</t>
        </is>
      </c>
      <c r="C2560" s="9" t="inlineStr">
        <is>
          <t>STL</t>
        </is>
      </c>
      <c r="D2560" s="9" t="n">
        <v>25</v>
      </c>
      <c r="E2560" s="16" t="inlineStr">
        <is>
          <t>L</t>
        </is>
      </c>
      <c r="F2560" s="16" t="n"/>
      <c r="G2560" s="9" t="n">
        <v>137.0769230769231</v>
      </c>
      <c r="H2560" s="9" t="n">
        <v>137.0769230769231</v>
      </c>
      <c r="I2560" s="9" t="inlineStr">
        <is>
          <t>Depth (no MLB PA)</t>
        </is>
      </c>
      <c r="J2560" s="16" t="inlineStr">
        <is>
          <t>Opening Day</t>
        </is>
      </c>
      <c r="K2560" s="11">
        <f>IFERROR(INDEX(Roles!$B$17:$B$20,MATCH(J2560,Roles!$A$17:$A$20,0)),1)</f>
        <v/>
      </c>
      <c r="L2560" s="17" t="n">
        <v>1</v>
      </c>
      <c r="M2560" s="11" t="n">
        <v>1</v>
      </c>
      <c r="N2560" s="17" t="n"/>
      <c r="O2560" s="17" t="n"/>
      <c r="P2560" s="17" t="n"/>
      <c r="Q2560" s="17" t="n"/>
      <c r="R2560" s="17" t="n"/>
      <c r="S2560" s="17" t="n"/>
      <c r="T2560" s="17" t="n"/>
      <c r="U2560" s="17" t="n"/>
      <c r="V2560" s="17" t="n"/>
      <c r="W2560" s="17" t="n"/>
      <c r="X2560" s="17" t="n"/>
      <c r="Y2560" s="17" t="n">
        <v>1</v>
      </c>
      <c r="Z2560" s="13">
        <f>SUMPRODUCT(N2560:Y2560,$N$2:$Y$2)*$K2560*$L2560*$M2560</f>
        <v/>
      </c>
      <c r="AA2560" s="14">
        <f>SUM(N2560:Y2560)</f>
        <v/>
      </c>
      <c r="AB2560" s="14">
        <f>IFERROR(IF(UPPER($E2560)="L",SUMPRODUCT(N2560:Y2560,$N$3:$Y$3,$N$2:$Y$2),SUMPRODUCT(N2560:Y2560,$N$4:$Y$4,$N$2:$Y$2))/(Z2560/($K2560*$L2560*$M2560)),"")</f>
        <v/>
      </c>
      <c r="AC2560" s="18" t="n"/>
    </row>
    <row r="2561">
      <c r="A2561" s="9" t="n">
        <v>679845</v>
      </c>
      <c r="B2561" s="9" t="inlineStr">
        <is>
          <t>Nick Loftin</t>
        </is>
      </c>
      <c r="C2561" s="9" t="inlineStr">
        <is>
          <t>KC</t>
        </is>
      </c>
      <c r="D2561" s="9" t="n">
        <v>28</v>
      </c>
      <c r="E2561" s="16" t="inlineStr">
        <is>
          <t>R</t>
        </is>
      </c>
      <c r="F2561" s="16" t="inlineStr">
        <is>
          <t>3B</t>
        </is>
      </c>
      <c r="G2561" s="9" t="n">
        <v>426</v>
      </c>
      <c r="H2561" s="9" t="n">
        <v>853</v>
      </c>
      <c r="I2561" s="9" t="inlineStr">
        <is>
          <t>Bench Bat</t>
        </is>
      </c>
      <c r="J2561" s="16" t="inlineStr">
        <is>
          <t>Opening Day</t>
        </is>
      </c>
      <c r="K2561" s="11">
        <f>IFERROR(INDEX(Roles!$B$17:$B$20,MATCH(J2561,Roles!$A$17:$A$20,0)),1)</f>
        <v/>
      </c>
      <c r="L2561" s="17" t="n">
        <v>1</v>
      </c>
      <c r="M2561" s="11" t="n">
        <v>1.0582346444114</v>
      </c>
      <c r="N2561" s="17" t="n"/>
      <c r="O2561" s="17" t="n"/>
      <c r="P2561" s="17" t="n"/>
      <c r="Q2561" s="17" t="n"/>
      <c r="R2561" s="17" t="n"/>
      <c r="S2561" s="17" t="n"/>
      <c r="T2561" s="17" t="n"/>
      <c r="U2561" s="17" t="n">
        <v>0.4</v>
      </c>
      <c r="V2561" s="17" t="n"/>
      <c r="W2561" s="17" t="n">
        <v>0.6</v>
      </c>
      <c r="X2561" s="17" t="n"/>
      <c r="Y2561" s="17" t="n"/>
      <c r="Z2561" s="13">
        <f>SUMPRODUCT(N2561:Y2561,$N$2:$Y$2)*$K2561*$L2561*$M2561</f>
        <v/>
      </c>
      <c r="AA2561" s="14">
        <f>SUM(N2561:Y2561)</f>
        <v/>
      </c>
      <c r="AB2561" s="14">
        <f>IFERROR(IF(UPPER($E2561)="L",SUMPRODUCT(N2561:Y2561,$N$3:$Y$3,$N$2:$Y$2),SUMPRODUCT(N2561:Y2561,$N$4:$Y$4,$N$2:$Y$2))/(Z2561/($K2561*$L2561*$M2561)),"")</f>
        <v/>
      </c>
      <c r="AC2561" s="18" t="n"/>
    </row>
    <row r="2562">
      <c r="A2562" s="9" t="n">
        <v>660766</v>
      </c>
      <c r="B2562" s="9" t="inlineStr">
        <is>
          <t>Juan Yepez</t>
        </is>
      </c>
      <c r="C2562" s="9" t="inlineStr">
        <is>
          <t>WSH</t>
        </is>
      </c>
      <c r="D2562" s="9" t="n">
        <v>29</v>
      </c>
      <c r="E2562" s="16" t="inlineStr">
        <is>
          <t>R</t>
        </is>
      </c>
      <c r="F2562" s="16" t="inlineStr">
        <is>
          <t>1B</t>
        </is>
      </c>
      <c r="G2562" s="9" t="n">
        <v>249</v>
      </c>
      <c r="H2562" s="9" t="n">
        <v>588</v>
      </c>
      <c r="I2562" s="9" t="inlineStr">
        <is>
          <t>Depth (no MLB PA)</t>
        </is>
      </c>
      <c r="J2562" s="16" t="inlineStr">
        <is>
          <t>Opening Day</t>
        </is>
      </c>
      <c r="K2562" s="11">
        <f>IFERROR(INDEX(Roles!$B$17:$B$20,MATCH(J2562,Roles!$A$17:$A$20,0)),1)</f>
        <v/>
      </c>
      <c r="L2562" s="17" t="n">
        <v>1</v>
      </c>
      <c r="M2562" s="11" t="n">
        <v>1</v>
      </c>
      <c r="N2562" s="17" t="n"/>
      <c r="O2562" s="17" t="n"/>
      <c r="P2562" s="17" t="n"/>
      <c r="Q2562" s="17" t="n"/>
      <c r="R2562" s="17" t="n"/>
      <c r="S2562" s="17" t="n"/>
      <c r="T2562" s="17" t="n"/>
      <c r="U2562" s="17" t="n"/>
      <c r="V2562" s="17" t="n"/>
      <c r="W2562" s="17" t="n"/>
      <c r="X2562" s="17" t="n"/>
      <c r="Y2562" s="17" t="n">
        <v>1</v>
      </c>
      <c r="Z2562" s="13">
        <f>SUMPRODUCT(N2562:Y2562,$N$2:$Y$2)*$K2562*$L2562*$M2562</f>
        <v/>
      </c>
      <c r="AA2562" s="14">
        <f>SUM(N2562:Y2562)</f>
        <v/>
      </c>
      <c r="AB2562" s="14">
        <f>IFERROR(IF(UPPER($E2562)="L",SUMPRODUCT(N2562:Y2562,$N$3:$Y$3,$N$2:$Y$2),SUMPRODUCT(N2562:Y2562,$N$4:$Y$4,$N$2:$Y$2))/(Z2562/($K2562*$L2562*$M2562)),"")</f>
        <v/>
      </c>
      <c r="AC2562" s="18" t="n"/>
    </row>
    <row r="2563">
      <c r="A2563" s="9" t="n">
        <v>814455</v>
      </c>
      <c r="B2563" s="9" t="inlineStr">
        <is>
          <t>Nick Mitchell</t>
        </is>
      </c>
      <c r="C2563" s="9" t="inlineStr">
        <is>
          <t>WSH</t>
        </is>
      </c>
      <c r="D2563" s="9" t="n">
        <v>25</v>
      </c>
      <c r="E2563" s="16" t="inlineStr">
        <is>
          <t>L</t>
        </is>
      </c>
      <c r="F2563" s="16" t="n"/>
      <c r="G2563" s="9" t="n">
        <v>162.2564102564102</v>
      </c>
      <c r="H2563" s="9" t="n">
        <v>162.2564102564102</v>
      </c>
      <c r="I2563" s="9" t="inlineStr">
        <is>
          <t>Depth (no MLB PA)</t>
        </is>
      </c>
      <c r="J2563" s="16" t="inlineStr">
        <is>
          <t>Opening Day</t>
        </is>
      </c>
      <c r="K2563" s="11">
        <f>IFERROR(INDEX(Roles!$B$17:$B$20,MATCH(J2563,Roles!$A$17:$A$20,0)),1)</f>
        <v/>
      </c>
      <c r="L2563" s="17" t="n">
        <v>1</v>
      </c>
      <c r="M2563" s="11" t="n">
        <v>1</v>
      </c>
      <c r="N2563" s="17" t="n"/>
      <c r="O2563" s="17" t="n"/>
      <c r="P2563" s="17" t="n"/>
      <c r="Q2563" s="17" t="n"/>
      <c r="R2563" s="17" t="n"/>
      <c r="S2563" s="17" t="n"/>
      <c r="T2563" s="17" t="n"/>
      <c r="U2563" s="17" t="n"/>
      <c r="V2563" s="17" t="n"/>
      <c r="W2563" s="17" t="n"/>
      <c r="X2563" s="17" t="n"/>
      <c r="Y2563" s="17" t="n">
        <v>1</v>
      </c>
      <c r="Z2563" s="13">
        <f>SUMPRODUCT(N2563:Y2563,$N$2:$Y$2)*$K2563*$L2563*$M2563</f>
        <v/>
      </c>
      <c r="AA2563" s="14">
        <f>SUM(N2563:Y2563)</f>
        <v/>
      </c>
      <c r="AB2563" s="14">
        <f>IFERROR(IF(UPPER($E2563)="L",SUMPRODUCT(N2563:Y2563,$N$3:$Y$3,$N$2:$Y$2),SUMPRODUCT(N2563:Y2563,$N$4:$Y$4,$N$2:$Y$2))/(Z2563/($K2563*$L2563*$M2563)),"")</f>
        <v/>
      </c>
      <c r="AC2563" s="18" t="n"/>
    </row>
    <row r="2564">
      <c r="A2564" s="9" t="n">
        <v>690924</v>
      </c>
      <c r="B2564" s="9" t="inlineStr">
        <is>
          <t>Braxton Fulford</t>
        </is>
      </c>
      <c r="C2564" s="9" t="inlineStr">
        <is>
          <t>COL</t>
        </is>
      </c>
      <c r="D2564" s="9" t="n">
        <v>28</v>
      </c>
      <c r="E2564" s="16" t="inlineStr">
        <is>
          <t>R</t>
        </is>
      </c>
      <c r="F2564" s="16" t="inlineStr">
        <is>
          <t>C</t>
        </is>
      </c>
      <c r="G2564" s="9" t="n">
        <v>85</v>
      </c>
      <c r="H2564" s="9" t="n">
        <v>205</v>
      </c>
      <c r="I2564" s="9" t="inlineStr">
        <is>
          <t>Bench Bat</t>
        </is>
      </c>
      <c r="J2564" s="16" t="inlineStr">
        <is>
          <t>Opening Day</t>
        </is>
      </c>
      <c r="K2564" s="11">
        <f>IFERROR(INDEX(Roles!$B$17:$B$20,MATCH(J2564,Roles!$A$17:$A$20,0)),1)</f>
        <v/>
      </c>
      <c r="L2564" s="17" t="n">
        <v>1</v>
      </c>
      <c r="M2564" s="11" t="n">
        <v>1</v>
      </c>
      <c r="N2564" s="17" t="n"/>
      <c r="O2564" s="17" t="n"/>
      <c r="P2564" s="17" t="n"/>
      <c r="Q2564" s="17" t="n"/>
      <c r="R2564" s="17" t="n"/>
      <c r="S2564" s="17" t="n"/>
      <c r="T2564" s="17" t="n"/>
      <c r="U2564" s="17" t="n"/>
      <c r="V2564" s="17" t="n"/>
      <c r="W2564" s="17" t="n">
        <v>0.85</v>
      </c>
      <c r="X2564" s="17" t="n">
        <v>0.15</v>
      </c>
      <c r="Y2564" s="17" t="n"/>
      <c r="Z2564" s="13">
        <f>SUMPRODUCT(N2564:Y2564,$N$2:$Y$2)*$K2564*$L2564*$M2564</f>
        <v/>
      </c>
      <c r="AA2564" s="14">
        <f>SUM(N2564:Y2564)</f>
        <v/>
      </c>
      <c r="AB2564" s="14">
        <f>IFERROR(IF(UPPER($E2564)="L",SUMPRODUCT(N2564:Y2564,$N$3:$Y$3,$N$2:$Y$2),SUMPRODUCT(N2564:Y2564,$N$4:$Y$4,$N$2:$Y$2))/(Z2564/($K2564*$L2564*$M2564)),"")</f>
        <v/>
      </c>
      <c r="AC2564" s="18" t="n"/>
    </row>
    <row r="2565">
      <c r="A2565" s="9" t="n">
        <v>614173</v>
      </c>
      <c r="B2565" s="9" t="inlineStr">
        <is>
          <t>Franchy Cordero</t>
        </is>
      </c>
      <c r="C2565" s="9" t="inlineStr">
        <is>
          <t>NYY</t>
        </is>
      </c>
      <c r="D2565" s="9" t="n">
        <v>32</v>
      </c>
      <c r="E2565" s="16" t="inlineStr">
        <is>
          <t>L</t>
        </is>
      </c>
      <c r="F2565" s="16" t="inlineStr">
        <is>
          <t>RF</t>
        </is>
      </c>
      <c r="G2565" s="9" t="n">
        <v>71</v>
      </c>
      <c r="H2565" s="9" t="n">
        <v>346</v>
      </c>
      <c r="I2565" s="9" t="inlineStr">
        <is>
          <t>Depth (no MLB PA)</t>
        </is>
      </c>
      <c r="J2565" s="16" t="inlineStr">
        <is>
          <t>Opening Day</t>
        </is>
      </c>
      <c r="K2565" s="11">
        <f>IFERROR(INDEX(Roles!$B$17:$B$20,MATCH(J2565,Roles!$A$17:$A$20,0)),1)</f>
        <v/>
      </c>
      <c r="L2565" s="17" t="n">
        <v>1</v>
      </c>
      <c r="M2565" s="11" t="n">
        <v>1</v>
      </c>
      <c r="N2565" s="17" t="n"/>
      <c r="O2565" s="17" t="n"/>
      <c r="P2565" s="17" t="n"/>
      <c r="Q2565" s="17" t="n"/>
      <c r="R2565" s="17" t="n"/>
      <c r="S2565" s="17" t="n"/>
      <c r="T2565" s="17" t="n"/>
      <c r="U2565" s="17" t="n"/>
      <c r="V2565" s="17" t="n"/>
      <c r="W2565" s="17" t="n"/>
      <c r="X2565" s="17" t="n"/>
      <c r="Y2565" s="17" t="n">
        <v>1</v>
      </c>
      <c r="Z2565" s="13">
        <f>SUMPRODUCT(N2565:Y2565,$N$2:$Y$2)*$K2565*$L2565*$M2565</f>
        <v/>
      </c>
      <c r="AA2565" s="14">
        <f>SUM(N2565:Y2565)</f>
        <v/>
      </c>
      <c r="AB2565" s="14">
        <f>IFERROR(IF(UPPER($E2565)="L",SUMPRODUCT(N2565:Y2565,$N$3:$Y$3,$N$2:$Y$2),SUMPRODUCT(N2565:Y2565,$N$4:$Y$4,$N$2:$Y$2))/(Z2565/($K2565*$L2565*$M2565)),"")</f>
        <v/>
      </c>
      <c r="AC2565" s="18" t="n"/>
    </row>
    <row r="2566">
      <c r="A2566" s="9" t="n">
        <v>664983</v>
      </c>
      <c r="B2566" s="9" t="inlineStr">
        <is>
          <t>Jake McCarthy</t>
        </is>
      </c>
      <c r="C2566" s="9" t="inlineStr">
        <is>
          <t>COL</t>
        </is>
      </c>
      <c r="D2566" s="9" t="n">
        <v>29</v>
      </c>
      <c r="E2566" s="16" t="inlineStr">
        <is>
          <t>L</t>
        </is>
      </c>
      <c r="F2566" s="16" t="inlineStr">
        <is>
          <t>LF</t>
        </is>
      </c>
      <c r="G2566" s="9" t="n">
        <v>596</v>
      </c>
      <c r="H2566" s="9" t="n">
        <v>1979</v>
      </c>
      <c r="I2566" s="9" t="inlineStr">
        <is>
          <t>Full Time</t>
        </is>
      </c>
      <c r="J2566" s="16" t="inlineStr">
        <is>
          <t>Opening Day</t>
        </is>
      </c>
      <c r="K2566" s="11">
        <f>IFERROR(INDEX(Roles!$B$17:$B$20,MATCH(J2566,Roles!$A$17:$A$20,0)),1)</f>
        <v/>
      </c>
      <c r="L2566" s="17" t="n">
        <v>1</v>
      </c>
      <c r="M2566" s="11" t="n">
        <v>1.038397059091655</v>
      </c>
      <c r="N2566" s="17" t="n">
        <v>0.9</v>
      </c>
      <c r="O2566" s="17" t="n"/>
      <c r="P2566" s="17" t="n">
        <v>0.1</v>
      </c>
      <c r="Q2566" s="17" t="n"/>
      <c r="R2566" s="17" t="n"/>
      <c r="S2566" s="17" t="n"/>
      <c r="T2566" s="17" t="n"/>
      <c r="U2566" s="17" t="n"/>
      <c r="V2566" s="17" t="n"/>
      <c r="W2566" s="17" t="n"/>
      <c r="X2566" s="17" t="n"/>
      <c r="Y2566" s="17" t="n"/>
      <c r="Z2566" s="13">
        <f>SUMPRODUCT(N2566:Y2566,$N$2:$Y$2)*$K2566*$L2566*$M2566</f>
        <v/>
      </c>
      <c r="AA2566" s="14">
        <f>SUM(N2566:Y2566)</f>
        <v/>
      </c>
      <c r="AB2566" s="14">
        <f>IFERROR(IF(UPPER($E2566)="L",SUMPRODUCT(N2566:Y2566,$N$3:$Y$3,$N$2:$Y$2),SUMPRODUCT(N2566:Y2566,$N$4:$Y$4,$N$2:$Y$2))/(Z2566/($K2566*$L2566*$M2566)),"")</f>
        <v/>
      </c>
      <c r="AC2566" s="18" t="n"/>
    </row>
    <row r="2567">
      <c r="A2567" s="9" t="n">
        <v>691020</v>
      </c>
      <c r="B2567" s="9" t="inlineStr">
        <is>
          <t>Carson Tucker</t>
        </is>
      </c>
      <c r="C2567" s="9" t="inlineStr">
        <is>
          <t>SD</t>
        </is>
      </c>
      <c r="D2567" s="9" t="n">
        <v>25</v>
      </c>
      <c r="E2567" s="16" t="inlineStr">
        <is>
          <t>R</t>
        </is>
      </c>
      <c r="F2567" s="16" t="n"/>
      <c r="G2567" s="9" t="n">
        <v>109.4871794871795</v>
      </c>
      <c r="H2567" s="9" t="n">
        <v>109.4871794871795</v>
      </c>
      <c r="I2567" s="9" t="inlineStr">
        <is>
          <t>Depth (no MLB PA)</t>
        </is>
      </c>
      <c r="J2567" s="16" t="inlineStr">
        <is>
          <t>Opening Day</t>
        </is>
      </c>
      <c r="K2567" s="11">
        <f>IFERROR(INDEX(Roles!$B$17:$B$20,MATCH(J2567,Roles!$A$17:$A$20,0)),1)</f>
        <v/>
      </c>
      <c r="L2567" s="17" t="n">
        <v>1</v>
      </c>
      <c r="M2567" s="11" t="n">
        <v>1</v>
      </c>
      <c r="N2567" s="17" t="n"/>
      <c r="O2567" s="17" t="n"/>
      <c r="P2567" s="17" t="n"/>
      <c r="Q2567" s="17" t="n"/>
      <c r="R2567" s="17" t="n"/>
      <c r="S2567" s="17" t="n"/>
      <c r="T2567" s="17" t="n"/>
      <c r="U2567" s="17" t="n"/>
      <c r="V2567" s="17" t="n"/>
      <c r="W2567" s="17" t="n"/>
      <c r="X2567" s="17" t="n"/>
      <c r="Y2567" s="17" t="n">
        <v>1</v>
      </c>
      <c r="Z2567" s="13">
        <f>SUMPRODUCT(N2567:Y2567,$N$2:$Y$2)*$K2567*$L2567*$M2567</f>
        <v/>
      </c>
      <c r="AA2567" s="14">
        <f>SUM(N2567:Y2567)</f>
        <v/>
      </c>
      <c r="AB2567" s="14">
        <f>IFERROR(IF(UPPER($E2567)="L",SUMPRODUCT(N2567:Y2567,$N$3:$Y$3,$N$2:$Y$2),SUMPRODUCT(N2567:Y2567,$N$4:$Y$4,$N$2:$Y$2))/(Z2567/($K2567*$L2567*$M2567)),"")</f>
        <v/>
      </c>
      <c r="AC2567" s="18" t="n"/>
    </row>
    <row r="2568">
      <c r="A2568" s="9" t="n">
        <v>695336</v>
      </c>
      <c r="B2568" s="9" t="inlineStr">
        <is>
          <t>Thomas Saggese</t>
        </is>
      </c>
      <c r="C2568" s="9" t="inlineStr">
        <is>
          <t>STL</t>
        </is>
      </c>
      <c r="D2568" s="9" t="n">
        <v>25</v>
      </c>
      <c r="E2568" s="16" t="inlineStr">
        <is>
          <t>R</t>
        </is>
      </c>
      <c r="F2568" s="16" t="inlineStr">
        <is>
          <t>SS</t>
        </is>
      </c>
      <c r="G2568" s="9" t="n">
        <v>180</v>
      </c>
      <c r="H2568" s="9" t="n">
        <v>527</v>
      </c>
      <c r="I2568" s="9" t="inlineStr">
        <is>
          <t>Full Time</t>
        </is>
      </c>
      <c r="J2568" s="16" t="inlineStr">
        <is>
          <t>Opening Day</t>
        </is>
      </c>
      <c r="K2568" s="11">
        <f>IFERROR(INDEX(Roles!$B$17:$B$20,MATCH(J2568,Roles!$A$17:$A$20,0)),1)</f>
        <v/>
      </c>
      <c r="L2568" s="17" t="n">
        <v>1</v>
      </c>
      <c r="M2568" s="11" t="n">
        <v>1</v>
      </c>
      <c r="N2568" s="17" t="n">
        <v>0.68</v>
      </c>
      <c r="O2568" s="17" t="n"/>
      <c r="P2568" s="17" t="n">
        <v>0.32</v>
      </c>
      <c r="Q2568" s="17" t="n"/>
      <c r="R2568" s="17" t="n"/>
      <c r="S2568" s="17" t="n"/>
      <c r="T2568" s="17" t="n"/>
      <c r="U2568" s="17" t="n"/>
      <c r="V2568" s="17" t="n"/>
      <c r="W2568" s="17" t="n"/>
      <c r="X2568" s="17" t="n"/>
      <c r="Y2568" s="17" t="n"/>
      <c r="Z2568" s="13">
        <f>SUMPRODUCT(N2568:Y2568,$N$2:$Y$2)*$K2568*$L2568*$M2568</f>
        <v/>
      </c>
      <c r="AA2568" s="14">
        <f>SUM(N2568:Y2568)</f>
        <v/>
      </c>
      <c r="AB2568" s="14">
        <f>IFERROR(IF(UPPER($E2568)="L",SUMPRODUCT(N2568:Y2568,$N$3:$Y$3,$N$2:$Y$2),SUMPRODUCT(N2568:Y2568,$N$4:$Y$4,$N$2:$Y$2))/(Z2568/($K2568*$L2568*$M2568)),"")</f>
        <v/>
      </c>
      <c r="AC2568" s="18" t="n"/>
    </row>
    <row r="2569">
      <c r="A2569" s="9" t="n">
        <v>806077</v>
      </c>
      <c r="B2569" s="9" t="inlineStr">
        <is>
          <t>Kendall George</t>
        </is>
      </c>
      <c r="C2569" s="9" t="inlineStr">
        <is>
          <t>LAD</t>
        </is>
      </c>
      <c r="D2569" s="9" t="n">
        <v>23</v>
      </c>
      <c r="E2569" s="16" t="inlineStr">
        <is>
          <t>L</t>
        </is>
      </c>
      <c r="F2569" s="16" t="n"/>
      <c r="G2569" s="9" t="n">
        <v>91.17948717948715</v>
      </c>
      <c r="H2569" s="9" t="n">
        <v>91.17948717948715</v>
      </c>
      <c r="I2569" s="9" t="inlineStr">
        <is>
          <t>Depth (no MLB PA)</t>
        </is>
      </c>
      <c r="J2569" s="16" t="inlineStr">
        <is>
          <t>Opening Day</t>
        </is>
      </c>
      <c r="K2569" s="11">
        <f>IFERROR(INDEX(Roles!$B$17:$B$20,MATCH(J2569,Roles!$A$17:$A$20,0)),1)</f>
        <v/>
      </c>
      <c r="L2569" s="17" t="n">
        <v>1</v>
      </c>
      <c r="M2569" s="11" t="n">
        <v>1</v>
      </c>
      <c r="N2569" s="17" t="n"/>
      <c r="O2569" s="17" t="n"/>
      <c r="P2569" s="17" t="n"/>
      <c r="Q2569" s="17" t="n"/>
      <c r="R2569" s="17" t="n"/>
      <c r="S2569" s="17" t="n"/>
      <c r="T2569" s="17" t="n"/>
      <c r="U2569" s="17" t="n"/>
      <c r="V2569" s="17" t="n"/>
      <c r="W2569" s="17" t="n"/>
      <c r="X2569" s="17" t="n"/>
      <c r="Y2569" s="17" t="n">
        <v>1</v>
      </c>
      <c r="Z2569" s="13">
        <f>SUMPRODUCT(N2569:Y2569,$N$2:$Y$2)*$K2569*$L2569*$M2569</f>
        <v/>
      </c>
      <c r="AA2569" s="14">
        <f>SUM(N2569:Y2569)</f>
        <v/>
      </c>
      <c r="AB2569" s="14">
        <f>IFERROR(IF(UPPER($E2569)="L",SUMPRODUCT(N2569:Y2569,$N$3:$Y$3,$N$2:$Y$2),SUMPRODUCT(N2569:Y2569,$N$4:$Y$4,$N$2:$Y$2))/(Z2569/($K2569*$L2569*$M2569)),"")</f>
        <v/>
      </c>
      <c r="AC2569" s="18" t="n"/>
    </row>
    <row r="2570">
      <c r="A2570" s="9" t="n">
        <v>815151</v>
      </c>
      <c r="B2570" s="9" t="inlineStr">
        <is>
          <t>Mac McCroskey</t>
        </is>
      </c>
      <c r="C2570" s="9" t="inlineStr">
        <is>
          <t>LAA</t>
        </is>
      </c>
      <c r="D2570" s="9" t="n">
        <v>25</v>
      </c>
      <c r="E2570" s="16" t="inlineStr">
        <is>
          <t>R</t>
        </is>
      </c>
      <c r="F2570" s="16" t="n"/>
      <c r="G2570" s="9" t="n">
        <v>116.6666666666667</v>
      </c>
      <c r="H2570" s="9" t="n">
        <v>116.6666666666667</v>
      </c>
      <c r="I2570" s="9" t="inlineStr">
        <is>
          <t>Depth (no MLB PA)</t>
        </is>
      </c>
      <c r="J2570" s="16" t="inlineStr">
        <is>
          <t>Opening Day</t>
        </is>
      </c>
      <c r="K2570" s="11">
        <f>IFERROR(INDEX(Roles!$B$17:$B$20,MATCH(J2570,Roles!$A$17:$A$20,0)),1)</f>
        <v/>
      </c>
      <c r="L2570" s="17" t="n">
        <v>1</v>
      </c>
      <c r="M2570" s="11" t="n">
        <v>1</v>
      </c>
      <c r="N2570" s="17" t="n"/>
      <c r="O2570" s="17" t="n"/>
      <c r="P2570" s="17" t="n"/>
      <c r="Q2570" s="17" t="n"/>
      <c r="R2570" s="17" t="n"/>
      <c r="S2570" s="17" t="n"/>
      <c r="T2570" s="17" t="n"/>
      <c r="U2570" s="17" t="n"/>
      <c r="V2570" s="17" t="n"/>
      <c r="W2570" s="17" t="n"/>
      <c r="X2570" s="17" t="n"/>
      <c r="Y2570" s="17" t="n">
        <v>1</v>
      </c>
      <c r="Z2570" s="13">
        <f>SUMPRODUCT(N2570:Y2570,$N$2:$Y$2)*$K2570*$L2570*$M2570</f>
        <v/>
      </c>
      <c r="AA2570" s="14">
        <f>SUM(N2570:Y2570)</f>
        <v/>
      </c>
      <c r="AB2570" s="14">
        <f>IFERROR(IF(UPPER($E2570)="L",SUMPRODUCT(N2570:Y2570,$N$3:$Y$3,$N$2:$Y$2),SUMPRODUCT(N2570:Y2570,$N$4:$Y$4,$N$2:$Y$2))/(Z2570/($K2570*$L2570*$M2570)),"")</f>
        <v/>
      </c>
      <c r="AC2570" s="18" t="n"/>
    </row>
    <row r="2571">
      <c r="A2571" s="9" t="n">
        <v>696140</v>
      </c>
      <c r="B2571" s="9" t="inlineStr">
        <is>
          <t>Ethan Murray</t>
        </is>
      </c>
      <c r="C2571" s="9" t="inlineStr">
        <is>
          <t>MIL</t>
        </is>
      </c>
      <c r="D2571" s="9" t="n">
        <v>25</v>
      </c>
      <c r="E2571" s="16" t="inlineStr">
        <is>
          <t>R</t>
        </is>
      </c>
      <c r="F2571" s="16" t="n"/>
      <c r="G2571" s="9" t="n">
        <v>221.6923076923077</v>
      </c>
      <c r="H2571" s="9" t="n">
        <v>221.6923076923077</v>
      </c>
      <c r="I2571" s="9" t="inlineStr">
        <is>
          <t>Depth (no MLB PA)</t>
        </is>
      </c>
      <c r="J2571" s="16" t="inlineStr">
        <is>
          <t>Opening Day</t>
        </is>
      </c>
      <c r="K2571" s="11">
        <f>IFERROR(INDEX(Roles!$B$17:$B$20,MATCH(J2571,Roles!$A$17:$A$20,0)),1)</f>
        <v/>
      </c>
      <c r="L2571" s="17" t="n">
        <v>1</v>
      </c>
      <c r="M2571" s="11" t="n">
        <v>1</v>
      </c>
      <c r="N2571" s="17" t="n"/>
      <c r="O2571" s="17" t="n"/>
      <c r="P2571" s="17" t="n"/>
      <c r="Q2571" s="17" t="n"/>
      <c r="R2571" s="17" t="n"/>
      <c r="S2571" s="17" t="n"/>
      <c r="T2571" s="17" t="n"/>
      <c r="U2571" s="17" t="n"/>
      <c r="V2571" s="17" t="n"/>
      <c r="W2571" s="17" t="n"/>
      <c r="X2571" s="17" t="n"/>
      <c r="Y2571" s="17" t="n">
        <v>1</v>
      </c>
      <c r="Z2571" s="13">
        <f>SUMPRODUCT(N2571:Y2571,$N$2:$Y$2)*$K2571*$L2571*$M2571</f>
        <v/>
      </c>
      <c r="AA2571" s="14">
        <f>SUM(N2571:Y2571)</f>
        <v/>
      </c>
      <c r="AB2571" s="14">
        <f>IFERROR(IF(UPPER($E2571)="L",SUMPRODUCT(N2571:Y2571,$N$3:$Y$3,$N$2:$Y$2),SUMPRODUCT(N2571:Y2571,$N$4:$Y$4,$N$2:$Y$2))/(Z2571/($K2571*$L2571*$M2571)),"")</f>
        <v/>
      </c>
      <c r="AC2571" s="18" t="n"/>
    </row>
    <row r="2572">
      <c r="A2572" s="9" t="n">
        <v>666931</v>
      </c>
      <c r="B2572" s="9" t="inlineStr">
        <is>
          <t>Jared Oliva</t>
        </is>
      </c>
      <c r="C2572" s="9" t="inlineStr">
        <is>
          <t>SF</t>
        </is>
      </c>
      <c r="D2572" s="9" t="n">
        <v>31</v>
      </c>
      <c r="E2572" s="16" t="inlineStr">
        <is>
          <t>R</t>
        </is>
      </c>
      <c r="F2572" s="16" t="inlineStr">
        <is>
          <t>CF</t>
        </is>
      </c>
      <c r="G2572" s="9" t="n">
        <v>7</v>
      </c>
      <c r="H2572" s="9" t="n">
        <v>7</v>
      </c>
      <c r="I2572" s="9" t="inlineStr">
        <is>
          <t>Depth (no MLB PA)</t>
        </is>
      </c>
      <c r="J2572" s="16" t="inlineStr">
        <is>
          <t>Opening Day</t>
        </is>
      </c>
      <c r="K2572" s="11">
        <f>IFERROR(INDEX(Roles!$B$17:$B$20,MATCH(J2572,Roles!$A$17:$A$20,0)),1)</f>
        <v/>
      </c>
      <c r="L2572" s="17" t="n">
        <v>1</v>
      </c>
      <c r="M2572" s="11" t="n">
        <v>1</v>
      </c>
      <c r="N2572" s="17" t="n"/>
      <c r="O2572" s="17" t="n"/>
      <c r="P2572" s="17" t="n"/>
      <c r="Q2572" s="17" t="n"/>
      <c r="R2572" s="17" t="n"/>
      <c r="S2572" s="17" t="n"/>
      <c r="T2572" s="17" t="n"/>
      <c r="U2572" s="17" t="n"/>
      <c r="V2572" s="17" t="n"/>
      <c r="W2572" s="17" t="n"/>
      <c r="X2572" s="17" t="n"/>
      <c r="Y2572" s="17" t="n">
        <v>1</v>
      </c>
      <c r="Z2572" s="13">
        <f>SUMPRODUCT(N2572:Y2572,$N$2:$Y$2)*$K2572*$L2572*$M2572</f>
        <v/>
      </c>
      <c r="AA2572" s="14">
        <f>SUM(N2572:Y2572)</f>
        <v/>
      </c>
      <c r="AB2572" s="14">
        <f>IFERROR(IF(UPPER($E2572)="L",SUMPRODUCT(N2572:Y2572,$N$3:$Y$3,$N$2:$Y$2),SUMPRODUCT(N2572:Y2572,$N$4:$Y$4,$N$2:$Y$2))/(Z2572/($K2572*$L2572*$M2572)),"")</f>
        <v/>
      </c>
      <c r="AC2572" s="18" t="n"/>
    </row>
    <row r="2573">
      <c r="A2573" s="9" t="n">
        <v>660707</v>
      </c>
      <c r="B2573" s="9" t="inlineStr">
        <is>
          <t>Elehuris Montero</t>
        </is>
      </c>
      <c r="C2573" s="9" t="inlineStr">
        <is>
          <t>COL</t>
        </is>
      </c>
      <c r="D2573" s="9" t="n">
        <v>28</v>
      </c>
      <c r="E2573" s="16" t="inlineStr">
        <is>
          <t>R</t>
        </is>
      </c>
      <c r="F2573" s="16" t="inlineStr">
        <is>
          <t>1B</t>
        </is>
      </c>
      <c r="G2573" s="9" t="n">
        <v>247</v>
      </c>
      <c r="H2573" s="9" t="n">
        <v>739</v>
      </c>
      <c r="I2573" s="9" t="inlineStr">
        <is>
          <t>Depth (no MLB PA)</t>
        </is>
      </c>
      <c r="J2573" s="16" t="inlineStr">
        <is>
          <t>Opening Day</t>
        </is>
      </c>
      <c r="K2573" s="11">
        <f>IFERROR(INDEX(Roles!$B$17:$B$20,MATCH(J2573,Roles!$A$17:$A$20,0)),1)</f>
        <v/>
      </c>
      <c r="L2573" s="17" t="n">
        <v>1</v>
      </c>
      <c r="M2573" s="11" t="n">
        <v>1</v>
      </c>
      <c r="N2573" s="17" t="n"/>
      <c r="O2573" s="17" t="n"/>
      <c r="P2573" s="17" t="n"/>
      <c r="Q2573" s="17" t="n"/>
      <c r="R2573" s="17" t="n"/>
      <c r="S2573" s="17" t="n"/>
      <c r="T2573" s="17" t="n"/>
      <c r="U2573" s="17" t="n"/>
      <c r="V2573" s="17" t="n"/>
      <c r="W2573" s="17" t="n"/>
      <c r="X2573" s="17" t="n"/>
      <c r="Y2573" s="17" t="n">
        <v>1</v>
      </c>
      <c r="Z2573" s="13">
        <f>SUMPRODUCT(N2573:Y2573,$N$2:$Y$2)*$K2573*$L2573*$M2573</f>
        <v/>
      </c>
      <c r="AA2573" s="14">
        <f>SUM(N2573:Y2573)</f>
        <v/>
      </c>
      <c r="AB2573" s="14">
        <f>IFERROR(IF(UPPER($E2573)="L",SUMPRODUCT(N2573:Y2573,$N$3:$Y$3,$N$2:$Y$2),SUMPRODUCT(N2573:Y2573,$N$4:$Y$4,$N$2:$Y$2))/(Z2573/($K2573*$L2573*$M2573)),"")</f>
        <v/>
      </c>
      <c r="AC2573" s="18" t="n"/>
    </row>
    <row r="2574">
      <c r="A2574" s="9" t="n">
        <v>665561</v>
      </c>
      <c r="B2574" s="9" t="inlineStr">
        <is>
          <t>Rafael Marchán</t>
        </is>
      </c>
      <c r="C2574" s="9" t="inlineStr">
        <is>
          <t>PHI</t>
        </is>
      </c>
      <c r="D2574" s="9" t="n">
        <v>28</v>
      </c>
      <c r="E2574" s="16" t="inlineStr">
        <is>
          <t>S</t>
        </is>
      </c>
      <c r="F2574" s="16" t="inlineStr">
        <is>
          <t>C</t>
        </is>
      </c>
      <c r="G2574" s="9" t="n">
        <v>95</v>
      </c>
      <c r="H2574" s="9" t="n">
        <v>269</v>
      </c>
      <c r="I2574" s="9" t="inlineStr">
        <is>
          <t>Bench Bat</t>
        </is>
      </c>
      <c r="J2574" s="16" t="inlineStr">
        <is>
          <t>Opening Day</t>
        </is>
      </c>
      <c r="K2574" s="11">
        <f>IFERROR(INDEX(Roles!$B$17:$B$20,MATCH(J2574,Roles!$A$17:$A$20,0)),1)</f>
        <v/>
      </c>
      <c r="L2574" s="17" t="n">
        <v>1</v>
      </c>
      <c r="M2574" s="11" t="n">
        <v>1</v>
      </c>
      <c r="N2574" s="17" t="n"/>
      <c r="O2574" s="17" t="n"/>
      <c r="P2574" s="17" t="n"/>
      <c r="Q2574" s="17" t="n"/>
      <c r="R2574" s="17" t="n"/>
      <c r="S2574" s="17" t="n"/>
      <c r="T2574" s="17" t="n"/>
      <c r="U2574" s="17" t="n"/>
      <c r="V2574" s="17" t="n"/>
      <c r="W2574" s="17" t="n">
        <v>0.85</v>
      </c>
      <c r="X2574" s="17" t="n">
        <v>0.15</v>
      </c>
      <c r="Y2574" s="17" t="n"/>
      <c r="Z2574" s="13">
        <f>SUMPRODUCT(N2574:Y2574,$N$2:$Y$2)*$K2574*$L2574*$M2574</f>
        <v/>
      </c>
      <c r="AA2574" s="14">
        <f>SUM(N2574:Y2574)</f>
        <v/>
      </c>
      <c r="AB2574" s="14">
        <f>IFERROR(IF(UPPER($E2574)="L",SUMPRODUCT(N2574:Y2574,$N$3:$Y$3,$N$2:$Y$2),SUMPRODUCT(N2574:Y2574,$N$4:$Y$4,$N$2:$Y$2))/(Z2574/($K2574*$L2574*$M2574)),"")</f>
        <v/>
      </c>
      <c r="AC2574" s="18" t="n"/>
    </row>
    <row r="2575">
      <c r="A2575" s="9" t="n">
        <v>669304</v>
      </c>
      <c r="B2575" s="9" t="inlineStr">
        <is>
          <t>Jose F Miranda</t>
        </is>
      </c>
      <c r="C2575" s="9" t="inlineStr">
        <is>
          <t>MIN</t>
        </is>
      </c>
      <c r="D2575" s="9" t="n">
        <v>29</v>
      </c>
      <c r="E2575" s="16" t="inlineStr">
        <is>
          <t>R</t>
        </is>
      </c>
      <c r="F2575" s="16" t="inlineStr">
        <is>
          <t>3B</t>
        </is>
      </c>
      <c r="G2575" s="9" t="n">
        <v>36</v>
      </c>
      <c r="H2575" s="9" t="n">
        <v>1100</v>
      </c>
      <c r="I2575" s="9" t="inlineStr">
        <is>
          <t>Bench Bat</t>
        </is>
      </c>
      <c r="J2575" s="16" t="inlineStr">
        <is>
          <t>Opening Day</t>
        </is>
      </c>
      <c r="K2575" s="11">
        <f>IFERROR(INDEX(Roles!$B$17:$B$20,MATCH(J2575,Roles!$A$17:$A$20,0)),1)</f>
        <v/>
      </c>
      <c r="L2575" s="17" t="n">
        <v>1</v>
      </c>
      <c r="M2575" s="11" t="n">
        <v>0.8030097516235492</v>
      </c>
      <c r="N2575" s="17" t="n"/>
      <c r="O2575" s="17" t="n"/>
      <c r="P2575" s="17" t="n"/>
      <c r="Q2575" s="17" t="n"/>
      <c r="R2575" s="17" t="n"/>
      <c r="S2575" s="17" t="n"/>
      <c r="T2575" s="17" t="n"/>
      <c r="U2575" s="17" t="n"/>
      <c r="V2575" s="17" t="n"/>
      <c r="W2575" s="17" t="n">
        <v>1</v>
      </c>
      <c r="X2575" s="17" t="n"/>
      <c r="Y2575" s="17" t="n"/>
      <c r="Z2575" s="13">
        <f>SUMPRODUCT(N2575:Y2575,$N$2:$Y$2)*$K2575*$L2575*$M2575</f>
        <v/>
      </c>
      <c r="AA2575" s="14">
        <f>SUM(N2575:Y2575)</f>
        <v/>
      </c>
      <c r="AB2575" s="14">
        <f>IFERROR(IF(UPPER($E2575)="L",SUMPRODUCT(N2575:Y2575,$N$3:$Y$3,$N$2:$Y$2),SUMPRODUCT(N2575:Y2575,$N$4:$Y$4,$N$2:$Y$2))/(Z2575/($K2575*$L2575*$M2575)),"")</f>
        <v/>
      </c>
      <c r="AC2575" s="18" t="n"/>
    </row>
    <row r="2576">
      <c r="A2576" s="9" t="n">
        <v>680977</v>
      </c>
      <c r="B2576" s="9" t="inlineStr">
        <is>
          <t>Brendan Donovan</t>
        </is>
      </c>
      <c r="C2576" s="9" t="inlineStr">
        <is>
          <t>SEA</t>
        </is>
      </c>
      <c r="D2576" s="9" t="n">
        <v>30</v>
      </c>
      <c r="E2576" s="16" t="inlineStr">
        <is>
          <t>L</t>
        </is>
      </c>
      <c r="F2576" s="16" t="inlineStr">
        <is>
          <t>3B</t>
        </is>
      </c>
      <c r="G2576" s="9" t="n">
        <v>159</v>
      </c>
      <c r="H2576" s="9" t="n">
        <v>2165</v>
      </c>
      <c r="I2576" s="9" t="inlineStr">
        <is>
          <t>Bench Bat</t>
        </is>
      </c>
      <c r="J2576" s="16" t="inlineStr">
        <is>
          <t>Opening Day</t>
        </is>
      </c>
      <c r="K2576" s="11">
        <f>IFERROR(INDEX(Roles!$B$17:$B$20,MATCH(J2576,Roles!$A$17:$A$20,0)),1)</f>
        <v/>
      </c>
      <c r="L2576" s="17" t="n">
        <v>1</v>
      </c>
      <c r="M2576" s="11" t="n">
        <v>0.988140054407898</v>
      </c>
      <c r="N2576" s="17" t="n">
        <v>0.4</v>
      </c>
      <c r="O2576" s="17" t="n"/>
      <c r="P2576" s="17" t="n"/>
      <c r="Q2576" s="17" t="n"/>
      <c r="R2576" s="17" t="n"/>
      <c r="S2576" s="17" t="n"/>
      <c r="T2576" s="17" t="n"/>
      <c r="U2576" s="17" t="n"/>
      <c r="V2576" s="17" t="n"/>
      <c r="W2576" s="17" t="n">
        <v>0.6</v>
      </c>
      <c r="X2576" s="17" t="n"/>
      <c r="Y2576" s="17" t="n"/>
      <c r="Z2576" s="13">
        <f>SUMPRODUCT(N2576:Y2576,$N$2:$Y$2)*$K2576*$L2576*$M2576</f>
        <v/>
      </c>
      <c r="AA2576" s="14">
        <f>SUM(N2576:Y2576)</f>
        <v/>
      </c>
      <c r="AB2576" s="14">
        <f>IFERROR(IF(UPPER($E2576)="L",SUMPRODUCT(N2576:Y2576,$N$3:$Y$3,$N$2:$Y$2),SUMPRODUCT(N2576:Y2576,$N$4:$Y$4,$N$2:$Y$2))/(Z2576/($K2576*$L2576*$M2576)),"")</f>
        <v/>
      </c>
      <c r="AC2576" s="18" t="n"/>
    </row>
    <row r="2577">
      <c r="A2577" s="9" t="n">
        <v>682877</v>
      </c>
      <c r="B2577" s="9" t="inlineStr">
        <is>
          <t>Juan Brito</t>
        </is>
      </c>
      <c r="C2577" s="9" t="inlineStr">
        <is>
          <t>CIN</t>
        </is>
      </c>
      <c r="D2577" s="9" t="n">
        <v>25</v>
      </c>
      <c r="E2577" s="16" t="inlineStr">
        <is>
          <t>S</t>
        </is>
      </c>
      <c r="F2577" s="16" t="inlineStr">
        <is>
          <t>2B</t>
        </is>
      </c>
      <c r="G2577" s="9" t="n">
        <v>115</v>
      </c>
      <c r="H2577" s="9" t="n">
        <v>115</v>
      </c>
      <c r="I2577" s="9" t="inlineStr">
        <is>
          <t>Weak Side Platoon</t>
        </is>
      </c>
      <c r="J2577" s="16" t="inlineStr">
        <is>
          <t>Opening Day</t>
        </is>
      </c>
      <c r="K2577" s="11">
        <f>IFERROR(INDEX(Roles!$B$17:$B$20,MATCH(J2577,Roles!$A$17:$A$20,0)),1)</f>
        <v/>
      </c>
      <c r="L2577" s="17" t="n">
        <v>1</v>
      </c>
      <c r="M2577" s="11" t="n">
        <v>1</v>
      </c>
      <c r="N2577" s="17" t="n"/>
      <c r="O2577" s="17" t="n"/>
      <c r="P2577" s="17" t="n"/>
      <c r="Q2577" s="17" t="n">
        <v>0.6</v>
      </c>
      <c r="R2577" s="17" t="n"/>
      <c r="S2577" s="17" t="n"/>
      <c r="T2577" s="17" t="n"/>
      <c r="U2577" s="17" t="n">
        <v>0.4</v>
      </c>
      <c r="V2577" s="17" t="n"/>
      <c r="W2577" s="17" t="n"/>
      <c r="X2577" s="17" t="n"/>
      <c r="Y2577" s="17" t="n"/>
      <c r="Z2577" s="13">
        <f>SUMPRODUCT(N2577:Y2577,$N$2:$Y$2)*$K2577*$L2577*$M2577</f>
        <v/>
      </c>
      <c r="AA2577" s="14">
        <f>SUM(N2577:Y2577)</f>
        <v/>
      </c>
      <c r="AB2577" s="14">
        <f>IFERROR(IF(UPPER($E2577)="L",SUMPRODUCT(N2577:Y2577,$N$3:$Y$3,$N$2:$Y$2),SUMPRODUCT(N2577:Y2577,$N$4:$Y$4,$N$2:$Y$2))/(Z2577/($K2577*$L2577*$M2577)),"")</f>
        <v/>
      </c>
      <c r="AC2577" s="18" t="n"/>
    </row>
    <row r="2578">
      <c r="A2578" s="9" t="n">
        <v>650968</v>
      </c>
      <c r="B2578" s="9" t="inlineStr">
        <is>
          <t>Yohel Pozo</t>
        </is>
      </c>
      <c r="C2578" s="9" t="inlineStr">
        <is>
          <t>BAL</t>
        </is>
      </c>
      <c r="D2578" s="9" t="n">
        <v>30</v>
      </c>
      <c r="E2578" s="16" t="inlineStr">
        <is>
          <t>R</t>
        </is>
      </c>
      <c r="F2578" s="16" t="inlineStr">
        <is>
          <t>C</t>
        </is>
      </c>
      <c r="G2578" s="9" t="n">
        <v>62</v>
      </c>
      <c r="H2578" s="9" t="n">
        <v>230</v>
      </c>
      <c r="I2578" s="9" t="inlineStr">
        <is>
          <t>Bench Bat</t>
        </is>
      </c>
      <c r="J2578" s="16" t="inlineStr">
        <is>
          <t>Opening Day</t>
        </is>
      </c>
      <c r="K2578" s="11">
        <f>IFERROR(INDEX(Roles!$B$17:$B$20,MATCH(J2578,Roles!$A$17:$A$20,0)),1)</f>
        <v/>
      </c>
      <c r="L2578" s="17" t="n">
        <v>1</v>
      </c>
      <c r="M2578" s="11" t="n">
        <v>1</v>
      </c>
      <c r="N2578" s="17" t="n"/>
      <c r="O2578" s="17" t="n"/>
      <c r="P2578" s="17" t="n"/>
      <c r="Q2578" s="17" t="n"/>
      <c r="R2578" s="17" t="n"/>
      <c r="S2578" s="17" t="n"/>
      <c r="T2578" s="17" t="n">
        <v>0.4</v>
      </c>
      <c r="U2578" s="17" t="n"/>
      <c r="V2578" s="17" t="n"/>
      <c r="W2578" s="17" t="n">
        <v>0.6</v>
      </c>
      <c r="X2578" s="17" t="n"/>
      <c r="Y2578" s="17" t="n"/>
      <c r="Z2578" s="13">
        <f>SUMPRODUCT(N2578:Y2578,$N$2:$Y$2)*$K2578*$L2578*$M2578</f>
        <v/>
      </c>
      <c r="AA2578" s="14">
        <f>SUM(N2578:Y2578)</f>
        <v/>
      </c>
      <c r="AB2578" s="14">
        <f>IFERROR(IF(UPPER($E2578)="L",SUMPRODUCT(N2578:Y2578,$N$3:$Y$3,$N$2:$Y$2),SUMPRODUCT(N2578:Y2578,$N$4:$Y$4,$N$2:$Y$2))/(Z2578/($K2578*$L2578*$M2578)),"")</f>
        <v/>
      </c>
      <c r="AC2578" s="18" t="n"/>
    </row>
    <row r="2579">
      <c r="A2579" s="9" t="n">
        <v>801406</v>
      </c>
      <c r="B2579" s="9" t="inlineStr">
        <is>
          <t>Jared Dickey</t>
        </is>
      </c>
      <c r="C2579" s="9" t="inlineStr">
        <is>
          <t>OAK</t>
        </is>
      </c>
      <c r="D2579" s="9" t="n">
        <v>25</v>
      </c>
      <c r="E2579" s="16" t="inlineStr">
        <is>
          <t>L</t>
        </is>
      </c>
      <c r="F2579" s="16" t="n"/>
      <c r="G2579" s="9" t="n">
        <v>230.1538461538462</v>
      </c>
      <c r="H2579" s="9" t="n">
        <v>230.1538461538462</v>
      </c>
      <c r="I2579" s="9" t="inlineStr">
        <is>
          <t>Depth (no MLB PA)</t>
        </is>
      </c>
      <c r="J2579" s="16" t="inlineStr">
        <is>
          <t>Opening Day</t>
        </is>
      </c>
      <c r="K2579" s="11">
        <f>IFERROR(INDEX(Roles!$B$17:$B$20,MATCH(J2579,Roles!$A$17:$A$20,0)),1)</f>
        <v/>
      </c>
      <c r="L2579" s="17" t="n">
        <v>1</v>
      </c>
      <c r="M2579" s="11" t="n">
        <v>1</v>
      </c>
      <c r="N2579" s="17" t="n"/>
      <c r="O2579" s="17" t="n"/>
      <c r="P2579" s="17" t="n"/>
      <c r="Q2579" s="17" t="n"/>
      <c r="R2579" s="17" t="n"/>
      <c r="S2579" s="17" t="n"/>
      <c r="T2579" s="17" t="n"/>
      <c r="U2579" s="17" t="n"/>
      <c r="V2579" s="17" t="n"/>
      <c r="W2579" s="17" t="n"/>
      <c r="X2579" s="17" t="n"/>
      <c r="Y2579" s="17" t="n">
        <v>1</v>
      </c>
      <c r="Z2579" s="13">
        <f>SUMPRODUCT(N2579:Y2579,$N$2:$Y$2)*$K2579*$L2579*$M2579</f>
        <v/>
      </c>
      <c r="AA2579" s="14">
        <f>SUM(N2579:Y2579)</f>
        <v/>
      </c>
      <c r="AB2579" s="14">
        <f>IFERROR(IF(UPPER($E2579)="L",SUMPRODUCT(N2579:Y2579,$N$3:$Y$3,$N$2:$Y$2),SUMPRODUCT(N2579:Y2579,$N$4:$Y$4,$N$2:$Y$2))/(Z2579/($K2579*$L2579*$M2579)),"")</f>
        <v/>
      </c>
      <c r="AC2579" s="18" t="n"/>
    </row>
    <row r="2580">
      <c r="A2580" s="9" t="n">
        <v>688005</v>
      </c>
      <c r="B2580" s="9" t="inlineStr">
        <is>
          <t>Francisco Urbaez</t>
        </is>
      </c>
      <c r="C2580" s="9" t="inlineStr">
        <is>
          <t>CIN</t>
        </is>
      </c>
      <c r="D2580" s="9" t="n">
        <v>25</v>
      </c>
      <c r="E2580" s="16" t="inlineStr">
        <is>
          <t>R</t>
        </is>
      </c>
      <c r="F2580" s="16" t="n"/>
      <c r="G2580" s="9" t="n">
        <v>260.6153846153846</v>
      </c>
      <c r="H2580" s="9" t="n">
        <v>260.6153846153846</v>
      </c>
      <c r="I2580" s="9" t="inlineStr">
        <is>
          <t>Depth (no MLB PA)</t>
        </is>
      </c>
      <c r="J2580" s="16" t="inlineStr">
        <is>
          <t>Opening Day</t>
        </is>
      </c>
      <c r="K2580" s="11">
        <f>IFERROR(INDEX(Roles!$B$17:$B$20,MATCH(J2580,Roles!$A$17:$A$20,0)),1)</f>
        <v/>
      </c>
      <c r="L2580" s="17" t="n">
        <v>1</v>
      </c>
      <c r="M2580" s="11" t="n">
        <v>1</v>
      </c>
      <c r="N2580" s="17" t="n"/>
      <c r="O2580" s="17" t="n"/>
      <c r="P2580" s="17" t="n"/>
      <c r="Q2580" s="17" t="n"/>
      <c r="R2580" s="17" t="n"/>
      <c r="S2580" s="17" t="n"/>
      <c r="T2580" s="17" t="n"/>
      <c r="U2580" s="17" t="n"/>
      <c r="V2580" s="17" t="n"/>
      <c r="W2580" s="17" t="n"/>
      <c r="X2580" s="17" t="n"/>
      <c r="Y2580" s="17" t="n">
        <v>1</v>
      </c>
      <c r="Z2580" s="13">
        <f>SUMPRODUCT(N2580:Y2580,$N$2:$Y$2)*$K2580*$L2580*$M2580</f>
        <v/>
      </c>
      <c r="AA2580" s="14">
        <f>SUM(N2580:Y2580)</f>
        <v/>
      </c>
      <c r="AB2580" s="14">
        <f>IFERROR(IF(UPPER($E2580)="L",SUMPRODUCT(N2580:Y2580,$N$3:$Y$3,$N$2:$Y$2),SUMPRODUCT(N2580:Y2580,$N$4:$Y$4,$N$2:$Y$2))/(Z2580/($K2580*$L2580*$M2580)),"")</f>
        <v/>
      </c>
      <c r="AC2580" s="18" t="n"/>
    </row>
    <row r="2581">
      <c r="A2581" s="9" t="n">
        <v>690976</v>
      </c>
      <c r="B2581" s="9" t="inlineStr">
        <is>
          <t>Alex Freeland</t>
        </is>
      </c>
      <c r="C2581" s="9" t="inlineStr">
        <is>
          <t>LAD</t>
        </is>
      </c>
      <c r="D2581" s="9" t="n">
        <v>25</v>
      </c>
      <c r="E2581" s="16" t="inlineStr">
        <is>
          <t>S</t>
        </is>
      </c>
      <c r="F2581" s="16" t="inlineStr">
        <is>
          <t>2B</t>
        </is>
      </c>
      <c r="G2581" s="9" t="n">
        <v>269</v>
      </c>
      <c r="H2581" s="9" t="n">
        <v>366</v>
      </c>
      <c r="I2581" s="9" t="inlineStr">
        <is>
          <t>Utility IF</t>
        </is>
      </c>
      <c r="J2581" s="16" t="inlineStr">
        <is>
          <t>Opening Day</t>
        </is>
      </c>
      <c r="K2581" s="11">
        <f>IFERROR(INDEX(Roles!$B$17:$B$20,MATCH(J2581,Roles!$A$17:$A$20,0)),1)</f>
        <v/>
      </c>
      <c r="L2581" s="17" t="n">
        <v>1</v>
      </c>
      <c r="M2581" s="11" t="n">
        <v>1</v>
      </c>
      <c r="N2581" s="17" t="n"/>
      <c r="O2581" s="17" t="n"/>
      <c r="P2581" s="17" t="n"/>
      <c r="Q2581" s="17" t="n"/>
      <c r="R2581" s="17" t="n"/>
      <c r="S2581" s="17" t="n"/>
      <c r="T2581" s="17" t="n"/>
      <c r="U2581" s="17" t="n">
        <v>1</v>
      </c>
      <c r="V2581" s="17" t="n"/>
      <c r="W2581" s="17" t="n"/>
      <c r="X2581" s="17" t="n"/>
      <c r="Y2581" s="17" t="n"/>
      <c r="Z2581" s="13">
        <f>SUMPRODUCT(N2581:Y2581,$N$2:$Y$2)*$K2581*$L2581*$M2581</f>
        <v/>
      </c>
      <c r="AA2581" s="14">
        <f>SUM(N2581:Y2581)</f>
        <v/>
      </c>
      <c r="AB2581" s="14">
        <f>IFERROR(IF(UPPER($E2581)="L",SUMPRODUCT(N2581:Y2581,$N$3:$Y$3,$N$2:$Y$2),SUMPRODUCT(N2581:Y2581,$N$4:$Y$4,$N$2:$Y$2))/(Z2581/($K2581*$L2581*$M2581)),"")</f>
        <v/>
      </c>
      <c r="AC2581" s="18" t="n"/>
    </row>
    <row r="2582">
      <c r="A2582" s="9" t="n">
        <v>691785</v>
      </c>
      <c r="B2582" s="9" t="inlineStr">
        <is>
          <t>Marcelo Mayer</t>
        </is>
      </c>
      <c r="C2582" s="9" t="inlineStr">
        <is>
          <t>SF</t>
        </is>
      </c>
      <c r="D2582" s="9" t="n">
        <v>24</v>
      </c>
      <c r="E2582" s="16" t="inlineStr">
        <is>
          <t>L</t>
        </is>
      </c>
      <c r="F2582" s="16" t="inlineStr">
        <is>
          <t>2B</t>
        </is>
      </c>
      <c r="G2582" s="9" t="n">
        <v>245</v>
      </c>
      <c r="H2582" s="9" t="n">
        <v>381</v>
      </c>
      <c r="I2582" s="9" t="inlineStr">
        <is>
          <t>Strong Side Platoon</t>
        </is>
      </c>
      <c r="J2582" s="16" t="inlineStr">
        <is>
          <t>Opening Day</t>
        </is>
      </c>
      <c r="K2582" s="11">
        <f>IFERROR(INDEX(Roles!$B$17:$B$20,MATCH(J2582,Roles!$A$17:$A$20,0)),1)</f>
        <v/>
      </c>
      <c r="L2582" s="17" t="n">
        <v>1</v>
      </c>
      <c r="M2582" s="11" t="n">
        <v>1</v>
      </c>
      <c r="N2582" s="17" t="n"/>
      <c r="O2582" s="17" t="n">
        <v>0.4</v>
      </c>
      <c r="P2582" s="17" t="n">
        <v>0.6</v>
      </c>
      <c r="Q2582" s="17" t="n"/>
      <c r="R2582" s="17" t="n"/>
      <c r="S2582" s="17" t="n"/>
      <c r="T2582" s="17" t="n"/>
      <c r="U2582" s="17" t="n"/>
      <c r="V2582" s="17" t="n"/>
      <c r="W2582" s="17" t="n"/>
      <c r="X2582" s="17" t="n"/>
      <c r="Y2582" s="17" t="n"/>
      <c r="Z2582" s="13">
        <f>SUMPRODUCT(N2582:Y2582,$N$2:$Y$2)*$K2582*$L2582*$M2582</f>
        <v/>
      </c>
      <c r="AA2582" s="14">
        <f>SUM(N2582:Y2582)</f>
        <v/>
      </c>
      <c r="AB2582" s="14">
        <f>IFERROR(IF(UPPER($E2582)="L",SUMPRODUCT(N2582:Y2582,$N$3:$Y$3,$N$2:$Y$2),SUMPRODUCT(N2582:Y2582,$N$4:$Y$4,$N$2:$Y$2))/(Z2582/($K2582*$L2582*$M2582)),"")</f>
        <v/>
      </c>
      <c r="AC2582" s="18" t="n"/>
    </row>
    <row r="2583">
      <c r="A2583" s="9" t="n">
        <v>687605</v>
      </c>
      <c r="B2583" s="9" t="inlineStr">
        <is>
          <t>Andrew Pinckney</t>
        </is>
      </c>
      <c r="C2583" s="9" t="inlineStr">
        <is>
          <t>WSH</t>
        </is>
      </c>
      <c r="D2583" s="9" t="n">
        <v>26</v>
      </c>
      <c r="E2583" s="16" t="inlineStr">
        <is>
          <t>R</t>
        </is>
      </c>
      <c r="F2583" s="16" t="inlineStr">
        <is>
          <t>LF</t>
        </is>
      </c>
      <c r="G2583" s="9" t="n">
        <v>29</v>
      </c>
      <c r="H2583" s="9" t="n">
        <v>29</v>
      </c>
      <c r="I2583" s="9" t="inlineStr">
        <is>
          <t>Bench Bat</t>
        </is>
      </c>
      <c r="J2583" s="16" t="inlineStr">
        <is>
          <t>Opening Day</t>
        </is>
      </c>
      <c r="K2583" s="11">
        <f>IFERROR(INDEX(Roles!$B$17:$B$20,MATCH(J2583,Roles!$A$17:$A$20,0)),1)</f>
        <v/>
      </c>
      <c r="L2583" s="17" t="n">
        <v>1</v>
      </c>
      <c r="M2583" s="11" t="n">
        <v>1</v>
      </c>
      <c r="N2583" s="17" t="n"/>
      <c r="O2583" s="17" t="n"/>
      <c r="P2583" s="17" t="n"/>
      <c r="Q2583" s="17" t="n"/>
      <c r="R2583" s="17" t="n"/>
      <c r="S2583" s="17" t="n"/>
      <c r="T2583" s="17" t="n"/>
      <c r="U2583" s="17" t="n"/>
      <c r="V2583" s="17" t="n"/>
      <c r="W2583" s="17" t="n">
        <v>1</v>
      </c>
      <c r="X2583" s="17" t="n"/>
      <c r="Y2583" s="17" t="n"/>
      <c r="Z2583" s="13">
        <f>SUMPRODUCT(N2583:Y2583,$N$2:$Y$2)*$K2583*$L2583*$M2583</f>
        <v/>
      </c>
      <c r="AA2583" s="14">
        <f>SUM(N2583:Y2583)</f>
        <v/>
      </c>
      <c r="AB2583" s="14">
        <f>IFERROR(IF(UPPER($E2583)="L",SUMPRODUCT(N2583:Y2583,$N$3:$Y$3,$N$2:$Y$2),SUMPRODUCT(N2583:Y2583,$N$4:$Y$4,$N$2:$Y$2))/(Z2583/($K2583*$L2583*$M2583)),"")</f>
        <v/>
      </c>
      <c r="AC2583" s="18" t="n"/>
    </row>
    <row r="2584">
      <c r="A2584" s="9" t="n">
        <v>702690</v>
      </c>
      <c r="B2584" s="9" t="inlineStr">
        <is>
          <t>Cutter Coffey</t>
        </is>
      </c>
      <c r="C2584" s="9" t="inlineStr">
        <is>
          <t>TOR</t>
        </is>
      </c>
      <c r="D2584" s="9" t="n">
        <v>25</v>
      </c>
      <c r="E2584" s="16" t="inlineStr">
        <is>
          <t>R</t>
        </is>
      </c>
      <c r="F2584" s="16" t="n"/>
      <c r="G2584" s="9" t="n">
        <v>131.025641025641</v>
      </c>
      <c r="H2584" s="9" t="n">
        <v>131.025641025641</v>
      </c>
      <c r="I2584" s="9" t="inlineStr">
        <is>
          <t>Depth (no MLB PA)</t>
        </is>
      </c>
      <c r="J2584" s="16" t="inlineStr">
        <is>
          <t>Opening Day</t>
        </is>
      </c>
      <c r="K2584" s="11">
        <f>IFERROR(INDEX(Roles!$B$17:$B$20,MATCH(J2584,Roles!$A$17:$A$20,0)),1)</f>
        <v/>
      </c>
      <c r="L2584" s="17" t="n">
        <v>1</v>
      </c>
      <c r="M2584" s="11" t="n">
        <v>1</v>
      </c>
      <c r="N2584" s="17" t="n"/>
      <c r="O2584" s="17" t="n"/>
      <c r="P2584" s="17" t="n"/>
      <c r="Q2584" s="17" t="n"/>
      <c r="R2584" s="17" t="n"/>
      <c r="S2584" s="17" t="n"/>
      <c r="T2584" s="17" t="n"/>
      <c r="U2584" s="17" t="n"/>
      <c r="V2584" s="17" t="n"/>
      <c r="W2584" s="17" t="n"/>
      <c r="X2584" s="17" t="n"/>
      <c r="Y2584" s="17" t="n">
        <v>1</v>
      </c>
      <c r="Z2584" s="13">
        <f>SUMPRODUCT(N2584:Y2584,$N$2:$Y$2)*$K2584*$L2584*$M2584</f>
        <v/>
      </c>
      <c r="AA2584" s="14">
        <f>SUM(N2584:Y2584)</f>
        <v/>
      </c>
      <c r="AB2584" s="14">
        <f>IFERROR(IF(UPPER($E2584)="L",SUMPRODUCT(N2584:Y2584,$N$3:$Y$3,$N$2:$Y$2),SUMPRODUCT(N2584:Y2584,$N$4:$Y$4,$N$2:$Y$2))/(Z2584/($K2584*$L2584*$M2584)),"")</f>
        <v/>
      </c>
      <c r="AC2584" s="18" t="n"/>
    </row>
    <row r="2585">
      <c r="A2585" s="9" t="n">
        <v>691410</v>
      </c>
      <c r="B2585" s="9" t="inlineStr">
        <is>
          <t>Jose Devers</t>
        </is>
      </c>
      <c r="C2585" s="9" t="inlineStr">
        <is>
          <t>CLE</t>
        </is>
      </c>
      <c r="D2585" s="9" t="n">
        <v>25</v>
      </c>
      <c r="E2585" s="16" t="inlineStr">
        <is>
          <t>R</t>
        </is>
      </c>
      <c r="F2585" s="16" t="n"/>
      <c r="G2585" s="9" t="n">
        <v>112.7179487179487</v>
      </c>
      <c r="H2585" s="9" t="n">
        <v>112.7179487179487</v>
      </c>
      <c r="I2585" s="9" t="inlineStr">
        <is>
          <t>Depth (no MLB PA)</t>
        </is>
      </c>
      <c r="J2585" s="16" t="inlineStr">
        <is>
          <t>Opening Day</t>
        </is>
      </c>
      <c r="K2585" s="11">
        <f>IFERROR(INDEX(Roles!$B$17:$B$20,MATCH(J2585,Roles!$A$17:$A$20,0)),1)</f>
        <v/>
      </c>
      <c r="L2585" s="17" t="n">
        <v>1</v>
      </c>
      <c r="M2585" s="11" t="n">
        <v>1</v>
      </c>
      <c r="N2585" s="17" t="n"/>
      <c r="O2585" s="17" t="n"/>
      <c r="P2585" s="17" t="n"/>
      <c r="Q2585" s="17" t="n"/>
      <c r="R2585" s="17" t="n"/>
      <c r="S2585" s="17" t="n"/>
      <c r="T2585" s="17" t="n"/>
      <c r="U2585" s="17" t="n"/>
      <c r="V2585" s="17" t="n"/>
      <c r="W2585" s="17" t="n"/>
      <c r="X2585" s="17" t="n"/>
      <c r="Y2585" s="17" t="n">
        <v>1</v>
      </c>
      <c r="Z2585" s="13">
        <f>SUMPRODUCT(N2585:Y2585,$N$2:$Y$2)*$K2585*$L2585*$M2585</f>
        <v/>
      </c>
      <c r="AA2585" s="14">
        <f>SUM(N2585:Y2585)</f>
        <v/>
      </c>
      <c r="AB2585" s="14">
        <f>IFERROR(IF(UPPER($E2585)="L",SUMPRODUCT(N2585:Y2585,$N$3:$Y$3,$N$2:$Y$2),SUMPRODUCT(N2585:Y2585,$N$4:$Y$4,$N$2:$Y$2))/(Z2585/($K2585*$L2585*$M2585)),"")</f>
        <v/>
      </c>
      <c r="AC2585" s="18" t="n"/>
    </row>
    <row r="2586">
      <c r="A2586" s="9" t="n">
        <v>595879</v>
      </c>
      <c r="B2586" s="9" t="inlineStr">
        <is>
          <t>Javier Báez</t>
        </is>
      </c>
      <c r="C2586" s="9" t="inlineStr">
        <is>
          <t>DET</t>
        </is>
      </c>
      <c r="D2586" s="9" t="n">
        <v>34</v>
      </c>
      <c r="E2586" s="16" t="inlineStr">
        <is>
          <t>R</t>
        </is>
      </c>
      <c r="F2586" s="16" t="inlineStr">
        <is>
          <t>SS</t>
        </is>
      </c>
      <c r="G2586" s="9" t="n">
        <v>196</v>
      </c>
      <c r="H2586" s="9" t="n">
        <v>2059</v>
      </c>
      <c r="I2586" s="9" t="inlineStr">
        <is>
          <t>Bench Bat</t>
        </is>
      </c>
      <c r="J2586" s="16" t="inlineStr">
        <is>
          <t>Opening Day</t>
        </is>
      </c>
      <c r="K2586" s="11">
        <f>IFERROR(INDEX(Roles!$B$17:$B$20,MATCH(J2586,Roles!$A$17:$A$20,0)),1)</f>
        <v/>
      </c>
      <c r="L2586" s="17" t="n">
        <v>1</v>
      </c>
      <c r="M2586" s="11" t="n">
        <v>1.053155326295204</v>
      </c>
      <c r="N2586" s="17" t="n"/>
      <c r="O2586" s="17" t="n"/>
      <c r="P2586" s="17" t="n"/>
      <c r="Q2586" s="17" t="n"/>
      <c r="R2586" s="17" t="n"/>
      <c r="S2586" s="17" t="n"/>
      <c r="T2586" s="17" t="n"/>
      <c r="U2586" s="17" t="n"/>
      <c r="V2586" s="17" t="n">
        <v>0.4</v>
      </c>
      <c r="W2586" s="17" t="n">
        <v>0.6</v>
      </c>
      <c r="X2586" s="17" t="n"/>
      <c r="Y2586" s="17" t="n"/>
      <c r="Z2586" s="13">
        <f>SUMPRODUCT(N2586:Y2586,$N$2:$Y$2)*$K2586*$L2586*$M2586</f>
        <v/>
      </c>
      <c r="AA2586" s="14">
        <f>SUM(N2586:Y2586)</f>
        <v/>
      </c>
      <c r="AB2586" s="14">
        <f>IFERROR(IF(UPPER($E2586)="L",SUMPRODUCT(N2586:Y2586,$N$3:$Y$3,$N$2:$Y$2),SUMPRODUCT(N2586:Y2586,$N$4:$Y$4,$N$2:$Y$2))/(Z2586/($K2586*$L2586*$M2586)),"")</f>
        <v/>
      </c>
      <c r="AC2586" s="18" t="n"/>
    </row>
    <row r="2587">
      <c r="A2587" s="9" t="n">
        <v>668876</v>
      </c>
      <c r="B2587" s="9" t="inlineStr">
        <is>
          <t>Zach Humphreys</t>
        </is>
      </c>
      <c r="C2587" s="9" t="inlineStr">
        <is>
          <t>LAA</t>
        </is>
      </c>
      <c r="D2587" s="9" t="n">
        <v>25</v>
      </c>
      <c r="E2587" s="16" t="inlineStr">
        <is>
          <t>R</t>
        </is>
      </c>
      <c r="F2587" s="16" t="n"/>
      <c r="G2587" s="9" t="n">
        <v>91.3846153846154</v>
      </c>
      <c r="H2587" s="9" t="n">
        <v>91.3846153846154</v>
      </c>
      <c r="I2587" s="9" t="inlineStr">
        <is>
          <t>Depth (no MLB PA)</t>
        </is>
      </c>
      <c r="J2587" s="16" t="inlineStr">
        <is>
          <t>Opening Day</t>
        </is>
      </c>
      <c r="K2587" s="11">
        <f>IFERROR(INDEX(Roles!$B$17:$B$20,MATCH(J2587,Roles!$A$17:$A$20,0)),1)</f>
        <v/>
      </c>
      <c r="L2587" s="17" t="n">
        <v>1</v>
      </c>
      <c r="M2587" s="11" t="n">
        <v>1</v>
      </c>
      <c r="N2587" s="17" t="n"/>
      <c r="O2587" s="17" t="n"/>
      <c r="P2587" s="17" t="n"/>
      <c r="Q2587" s="17" t="n"/>
      <c r="R2587" s="17" t="n"/>
      <c r="S2587" s="17" t="n"/>
      <c r="T2587" s="17" t="n"/>
      <c r="U2587" s="17" t="n"/>
      <c r="V2587" s="17" t="n"/>
      <c r="W2587" s="17" t="n"/>
      <c r="X2587" s="17" t="n"/>
      <c r="Y2587" s="17" t="n">
        <v>1</v>
      </c>
      <c r="Z2587" s="13">
        <f>SUMPRODUCT(N2587:Y2587,$N$2:$Y$2)*$K2587*$L2587*$M2587</f>
        <v/>
      </c>
      <c r="AA2587" s="14">
        <f>SUM(N2587:Y2587)</f>
        <v/>
      </c>
      <c r="AB2587" s="14">
        <f>IFERROR(IF(UPPER($E2587)="L",SUMPRODUCT(N2587:Y2587,$N$3:$Y$3,$N$2:$Y$2),SUMPRODUCT(N2587:Y2587,$N$4:$Y$4,$N$2:$Y$2))/(Z2587/($K2587*$L2587*$M2587)),"")</f>
        <v/>
      </c>
      <c r="AC2587" s="18" t="n"/>
    </row>
    <row r="2588">
      <c r="A2588" s="9" t="n">
        <v>683766</v>
      </c>
      <c r="B2588" s="9" t="inlineStr">
        <is>
          <t>Christian Koss</t>
        </is>
      </c>
      <c r="C2588" s="9" t="inlineStr">
        <is>
          <t>SF</t>
        </is>
      </c>
      <c r="D2588" s="9" t="n">
        <v>29</v>
      </c>
      <c r="E2588" s="16" t="inlineStr">
        <is>
          <t>R</t>
        </is>
      </c>
      <c r="F2588" s="16" t="inlineStr">
        <is>
          <t>SS</t>
        </is>
      </c>
      <c r="G2588" s="9" t="n">
        <v>221</v>
      </c>
      <c r="H2588" s="9" t="n">
        <v>412</v>
      </c>
      <c r="I2588" s="9" t="inlineStr">
        <is>
          <t>Full Time</t>
        </is>
      </c>
      <c r="J2588" s="16" t="inlineStr">
        <is>
          <t>Opening Day</t>
        </is>
      </c>
      <c r="K2588" s="11">
        <f>IFERROR(INDEX(Roles!$B$17:$B$20,MATCH(J2588,Roles!$A$17:$A$20,0)),1)</f>
        <v/>
      </c>
      <c r="L2588" s="17" t="n">
        <v>1</v>
      </c>
      <c r="M2588" s="11" t="n">
        <v>1</v>
      </c>
      <c r="N2588" s="17" t="n">
        <v>0.6</v>
      </c>
      <c r="O2588" s="17" t="n"/>
      <c r="P2588" s="17" t="n"/>
      <c r="Q2588" s="17" t="n"/>
      <c r="R2588" s="17" t="n"/>
      <c r="S2588" s="17" t="n"/>
      <c r="T2588" s="17" t="n"/>
      <c r="U2588" s="17" t="n">
        <v>0.4</v>
      </c>
      <c r="V2588" s="17" t="n"/>
      <c r="W2588" s="17" t="n"/>
      <c r="X2588" s="17" t="n"/>
      <c r="Y2588" s="17" t="n"/>
      <c r="Z2588" s="13">
        <f>SUMPRODUCT(N2588:Y2588,$N$2:$Y$2)*$K2588*$L2588*$M2588</f>
        <v/>
      </c>
      <c r="AA2588" s="14">
        <f>SUM(N2588:Y2588)</f>
        <v/>
      </c>
      <c r="AB2588" s="14">
        <f>IFERROR(IF(UPPER($E2588)="L",SUMPRODUCT(N2588:Y2588,$N$3:$Y$3,$N$2:$Y$2),SUMPRODUCT(N2588:Y2588,$N$4:$Y$4,$N$2:$Y$2))/(Z2588/($K2588*$L2588*$M2588)),"")</f>
        <v/>
      </c>
      <c r="AC2588" s="18" t="n"/>
    </row>
    <row r="2589">
      <c r="A2589" s="9" t="n">
        <v>694757</v>
      </c>
      <c r="B2589" s="9" t="inlineStr">
        <is>
          <t>Maui Ahuna</t>
        </is>
      </c>
      <c r="C2589" s="9" t="inlineStr">
        <is>
          <t>SF</t>
        </is>
      </c>
      <c r="D2589" s="9" t="n">
        <v>25</v>
      </c>
      <c r="E2589" s="16" t="inlineStr">
        <is>
          <t>L</t>
        </is>
      </c>
      <c r="F2589" s="16" t="n"/>
      <c r="G2589" s="9" t="n">
        <v>159.3846153846154</v>
      </c>
      <c r="H2589" s="9" t="n">
        <v>159.3846153846154</v>
      </c>
      <c r="I2589" s="9" t="inlineStr">
        <is>
          <t>Depth (no MLB PA)</t>
        </is>
      </c>
      <c r="J2589" s="16" t="inlineStr">
        <is>
          <t>Opening Day</t>
        </is>
      </c>
      <c r="K2589" s="11">
        <f>IFERROR(INDEX(Roles!$B$17:$B$20,MATCH(J2589,Roles!$A$17:$A$20,0)),1)</f>
        <v/>
      </c>
      <c r="L2589" s="17" t="n">
        <v>1</v>
      </c>
      <c r="M2589" s="11" t="n">
        <v>1</v>
      </c>
      <c r="N2589" s="17" t="n"/>
      <c r="O2589" s="17" t="n"/>
      <c r="P2589" s="17" t="n"/>
      <c r="Q2589" s="17" t="n"/>
      <c r="R2589" s="17" t="n"/>
      <c r="S2589" s="17" t="n"/>
      <c r="T2589" s="17" t="n"/>
      <c r="U2589" s="17" t="n"/>
      <c r="V2589" s="17" t="n"/>
      <c r="W2589" s="17" t="n"/>
      <c r="X2589" s="17" t="n"/>
      <c r="Y2589" s="17" t="n">
        <v>1</v>
      </c>
      <c r="Z2589" s="13">
        <f>SUMPRODUCT(N2589:Y2589,$N$2:$Y$2)*$K2589*$L2589*$M2589</f>
        <v/>
      </c>
      <c r="AA2589" s="14">
        <f>SUM(N2589:Y2589)</f>
        <v/>
      </c>
      <c r="AB2589" s="14">
        <f>IFERROR(IF(UPPER($E2589)="L",SUMPRODUCT(N2589:Y2589,$N$3:$Y$3,$N$2:$Y$2),SUMPRODUCT(N2589:Y2589,$N$4:$Y$4,$N$2:$Y$2))/(Z2589/($K2589*$L2589*$M2589)),"")</f>
        <v/>
      </c>
      <c r="AC2589" s="18" t="n"/>
    </row>
    <row r="2590">
      <c r="A2590" s="9" t="n">
        <v>694203</v>
      </c>
      <c r="B2590" s="9" t="inlineStr">
        <is>
          <t>Denzer Guzman</t>
        </is>
      </c>
      <c r="C2590" s="9" t="inlineStr">
        <is>
          <t>LAA</t>
        </is>
      </c>
      <c r="D2590" s="9" t="n">
        <v>23</v>
      </c>
      <c r="E2590" s="16" t="inlineStr">
        <is>
          <t>R</t>
        </is>
      </c>
      <c r="F2590" s="16" t="inlineStr">
        <is>
          <t>3B</t>
        </is>
      </c>
      <c r="G2590" s="9" t="n">
        <v>304</v>
      </c>
      <c r="H2590" s="9" t="n">
        <v>347</v>
      </c>
      <c r="I2590" s="9" t="inlineStr">
        <is>
          <t>Full Time</t>
        </is>
      </c>
      <c r="J2590" s="16" t="inlineStr">
        <is>
          <t>Opening Day</t>
        </is>
      </c>
      <c r="K2590" s="11">
        <f>IFERROR(INDEX(Roles!$B$17:$B$20,MATCH(J2590,Roles!$A$17:$A$20,0)),1)</f>
        <v/>
      </c>
      <c r="L2590" s="17" t="n">
        <v>1</v>
      </c>
      <c r="M2590" s="11" t="n">
        <v>1</v>
      </c>
      <c r="N2590" s="17" t="n">
        <v>0.7</v>
      </c>
      <c r="O2590" s="17" t="n"/>
      <c r="P2590" s="17" t="n">
        <v>0.3</v>
      </c>
      <c r="Q2590" s="17" t="n"/>
      <c r="R2590" s="17" t="n"/>
      <c r="S2590" s="17" t="n"/>
      <c r="T2590" s="17" t="n"/>
      <c r="U2590" s="17" t="n"/>
      <c r="V2590" s="17" t="n"/>
      <c r="W2590" s="17" t="n"/>
      <c r="X2590" s="17" t="n"/>
      <c r="Y2590" s="17" t="n"/>
      <c r="Z2590" s="13">
        <f>SUMPRODUCT(N2590:Y2590,$N$2:$Y$2)*$K2590*$L2590*$M2590</f>
        <v/>
      </c>
      <c r="AA2590" s="14">
        <f>SUM(N2590:Y2590)</f>
        <v/>
      </c>
      <c r="AB2590" s="14">
        <f>IFERROR(IF(UPPER($E2590)="L",SUMPRODUCT(N2590:Y2590,$N$3:$Y$3,$N$2:$Y$2),SUMPRODUCT(N2590:Y2590,$N$4:$Y$4,$N$2:$Y$2))/(Z2590/($K2590*$L2590*$M2590)),"")</f>
        <v/>
      </c>
      <c r="AC2590" s="18" t="n"/>
    </row>
    <row r="2591">
      <c r="A2591" s="9" t="n">
        <v>804606</v>
      </c>
      <c r="B2591" s="9" t="inlineStr">
        <is>
          <t>Konnor Griffin</t>
        </is>
      </c>
      <c r="C2591" s="9" t="inlineStr">
        <is>
          <t>PIT</t>
        </is>
      </c>
      <c r="D2591" s="9" t="n">
        <v>21</v>
      </c>
      <c r="E2591" s="16" t="inlineStr">
        <is>
          <t>R</t>
        </is>
      </c>
      <c r="F2591" s="16" t="inlineStr">
        <is>
          <t>SS</t>
        </is>
      </c>
      <c r="G2591" s="9" t="n">
        <v>339</v>
      </c>
      <c r="H2591" s="9" t="n">
        <v>339</v>
      </c>
      <c r="I2591" s="9" t="inlineStr">
        <is>
          <t>Full Time</t>
        </is>
      </c>
      <c r="J2591" s="16" t="inlineStr">
        <is>
          <t>Opening Day</t>
        </is>
      </c>
      <c r="K2591" s="11">
        <f>IFERROR(INDEX(Roles!$B$17:$B$20,MATCH(J2591,Roles!$A$17:$A$20,0)),1)</f>
        <v/>
      </c>
      <c r="L2591" s="17" t="n">
        <v>1</v>
      </c>
      <c r="M2591" s="11" t="n">
        <v>1</v>
      </c>
      <c r="N2591" s="17" t="n">
        <v>1</v>
      </c>
      <c r="O2591" s="17" t="n"/>
      <c r="P2591" s="17" t="n"/>
      <c r="Q2591" s="17" t="n"/>
      <c r="R2591" s="17" t="n"/>
      <c r="S2591" s="17" t="n"/>
      <c r="T2591" s="17" t="n"/>
      <c r="U2591" s="17" t="n"/>
      <c r="V2591" s="17" t="n"/>
      <c r="W2591" s="17" t="n"/>
      <c r="X2591" s="17" t="n"/>
      <c r="Y2591" s="17" t="n"/>
      <c r="Z2591" s="13">
        <f>SUMPRODUCT(N2591:Y2591,$N$2:$Y$2)*$K2591*$L2591*$M2591</f>
        <v/>
      </c>
      <c r="AA2591" s="14">
        <f>SUM(N2591:Y2591)</f>
        <v/>
      </c>
      <c r="AB2591" s="14">
        <f>IFERROR(IF(UPPER($E2591)="L",SUMPRODUCT(N2591:Y2591,$N$3:$Y$3,$N$2:$Y$2),SUMPRODUCT(N2591:Y2591,$N$4:$Y$4,$N$2:$Y$2))/(Z2591/($K2591*$L2591*$M2591)),"")</f>
        <v/>
      </c>
      <c r="AC2591" s="18" t="n"/>
    </row>
    <row r="2592">
      <c r="A2592" s="9" t="n">
        <v>571875</v>
      </c>
      <c r="B2592" s="9" t="inlineStr">
        <is>
          <t>Jake Lamb</t>
        </is>
      </c>
      <c r="C2592" s="9" t="inlineStr">
        <is>
          <t>LAA</t>
        </is>
      </c>
      <c r="D2592" s="9" t="n">
        <v>36</v>
      </c>
      <c r="E2592" s="16" t="inlineStr">
        <is>
          <t>L</t>
        </is>
      </c>
      <c r="F2592" s="16" t="inlineStr">
        <is>
          <t>1B</t>
        </is>
      </c>
      <c r="G2592" s="9" t="n">
        <v>54</v>
      </c>
      <c r="H2592" s="9" t="n">
        <v>165</v>
      </c>
      <c r="I2592" s="9" t="inlineStr">
        <is>
          <t>Depth (no MLB PA)</t>
        </is>
      </c>
      <c r="J2592" s="16" t="inlineStr">
        <is>
          <t>Opening Day</t>
        </is>
      </c>
      <c r="K2592" s="11">
        <f>IFERROR(INDEX(Roles!$B$17:$B$20,MATCH(J2592,Roles!$A$17:$A$20,0)),1)</f>
        <v/>
      </c>
      <c r="L2592" s="17" t="n">
        <v>1</v>
      </c>
      <c r="M2592" s="11" t="n">
        <v>1</v>
      </c>
      <c r="N2592" s="17" t="n"/>
      <c r="O2592" s="17" t="n"/>
      <c r="P2592" s="17" t="n"/>
      <c r="Q2592" s="17" t="n"/>
      <c r="R2592" s="17" t="n"/>
      <c r="S2592" s="17" t="n"/>
      <c r="T2592" s="17" t="n"/>
      <c r="U2592" s="17" t="n"/>
      <c r="V2592" s="17" t="n"/>
      <c r="W2592" s="17" t="n"/>
      <c r="X2592" s="17" t="n"/>
      <c r="Y2592" s="17" t="n">
        <v>1</v>
      </c>
      <c r="Z2592" s="13">
        <f>SUMPRODUCT(N2592:Y2592,$N$2:$Y$2)*$K2592*$L2592*$M2592</f>
        <v/>
      </c>
      <c r="AA2592" s="14">
        <f>SUM(N2592:Y2592)</f>
        <v/>
      </c>
      <c r="AB2592" s="14">
        <f>IFERROR(IF(UPPER($E2592)="L",SUMPRODUCT(N2592:Y2592,$N$3:$Y$3,$N$2:$Y$2),SUMPRODUCT(N2592:Y2592,$N$4:$Y$4,$N$2:$Y$2))/(Z2592/($K2592*$L2592*$M2592)),"")</f>
        <v/>
      </c>
      <c r="AC2592" s="18" t="n"/>
    </row>
    <row r="2593">
      <c r="A2593" s="9" t="n">
        <v>823356</v>
      </c>
      <c r="B2593" s="9" t="inlineStr">
        <is>
          <t>Payton Eeles</t>
        </is>
      </c>
      <c r="C2593" s="9" t="inlineStr">
        <is>
          <t>BAL</t>
        </is>
      </c>
      <c r="D2593" s="9" t="n">
        <v>25</v>
      </c>
      <c r="E2593" s="16" t="inlineStr">
        <is>
          <t>L</t>
        </is>
      </c>
      <c r="F2593" s="16" t="n"/>
      <c r="G2593" s="9" t="n">
        <v>141.0256410256411</v>
      </c>
      <c r="H2593" s="9" t="n">
        <v>141.0256410256411</v>
      </c>
      <c r="I2593" s="9" t="inlineStr">
        <is>
          <t>Depth (no MLB PA)</t>
        </is>
      </c>
      <c r="J2593" s="16" t="inlineStr">
        <is>
          <t>Opening Day</t>
        </is>
      </c>
      <c r="K2593" s="11">
        <f>IFERROR(INDEX(Roles!$B$17:$B$20,MATCH(J2593,Roles!$A$17:$A$20,0)),1)</f>
        <v/>
      </c>
      <c r="L2593" s="17" t="n">
        <v>1</v>
      </c>
      <c r="M2593" s="11" t="n">
        <v>1</v>
      </c>
      <c r="N2593" s="17" t="n"/>
      <c r="O2593" s="17" t="n"/>
      <c r="P2593" s="17" t="n"/>
      <c r="Q2593" s="17" t="n"/>
      <c r="R2593" s="17" t="n"/>
      <c r="S2593" s="17" t="n"/>
      <c r="T2593" s="17" t="n"/>
      <c r="U2593" s="17" t="n"/>
      <c r="V2593" s="17" t="n"/>
      <c r="W2593" s="17" t="n"/>
      <c r="X2593" s="17" t="n"/>
      <c r="Y2593" s="17" t="n">
        <v>1</v>
      </c>
      <c r="Z2593" s="13">
        <f>SUMPRODUCT(N2593:Y2593,$N$2:$Y$2)*$K2593*$L2593*$M2593</f>
        <v/>
      </c>
      <c r="AA2593" s="14">
        <f>SUM(N2593:Y2593)</f>
        <v/>
      </c>
      <c r="AB2593" s="14">
        <f>IFERROR(IF(UPPER($E2593)="L",SUMPRODUCT(N2593:Y2593,$N$3:$Y$3,$N$2:$Y$2),SUMPRODUCT(N2593:Y2593,$N$4:$Y$4,$N$2:$Y$2))/(Z2593/($K2593*$L2593*$M2593)),"")</f>
        <v/>
      </c>
      <c r="AC2593" s="18" t="n"/>
    </row>
    <row r="2594">
      <c r="A2594" s="9" t="n">
        <v>607732</v>
      </c>
      <c r="B2594" s="9" t="inlineStr">
        <is>
          <t>Jacob Stallings</t>
        </is>
      </c>
      <c r="C2594" s="9" t="inlineStr">
        <is>
          <t>BAL</t>
        </is>
      </c>
      <c r="D2594" s="9" t="n">
        <v>37</v>
      </c>
      <c r="E2594" s="16" t="inlineStr">
        <is>
          <t>R</t>
        </is>
      </c>
      <c r="F2594" s="16" t="inlineStr">
        <is>
          <t>C</t>
        </is>
      </c>
      <c r="G2594" s="9" t="n">
        <v>129</v>
      </c>
      <c r="H2594" s="9" t="n">
        <v>1070</v>
      </c>
      <c r="I2594" s="9" t="inlineStr">
        <is>
          <t>Catcher - Backup</t>
        </is>
      </c>
      <c r="J2594" s="16" t="inlineStr">
        <is>
          <t>Opening Day</t>
        </is>
      </c>
      <c r="K2594" s="11">
        <f>IFERROR(INDEX(Roles!$B$17:$B$20,MATCH(J2594,Roles!$A$17:$A$20,0)),1)</f>
        <v/>
      </c>
      <c r="L2594" s="17" t="n">
        <v>1</v>
      </c>
      <c r="M2594" s="11" t="n">
        <v>1</v>
      </c>
      <c r="N2594" s="17" t="n"/>
      <c r="O2594" s="17" t="n"/>
      <c r="P2594" s="17" t="n"/>
      <c r="Q2594" s="17" t="n"/>
      <c r="R2594" s="17" t="n"/>
      <c r="S2594" s="17" t="n"/>
      <c r="T2594" s="17" t="n">
        <v>1</v>
      </c>
      <c r="U2594" s="17" t="n"/>
      <c r="V2594" s="17" t="n"/>
      <c r="W2594" s="17" t="n"/>
      <c r="X2594" s="17" t="n"/>
      <c r="Y2594" s="17" t="n"/>
      <c r="Z2594" s="13">
        <f>SUMPRODUCT(N2594:Y2594,$N$2:$Y$2)*$K2594*$L2594*$M2594</f>
        <v/>
      </c>
      <c r="AA2594" s="14">
        <f>SUM(N2594:Y2594)</f>
        <v/>
      </c>
      <c r="AB2594" s="14">
        <f>IFERROR(IF(UPPER($E2594)="L",SUMPRODUCT(N2594:Y2594,$N$3:$Y$3,$N$2:$Y$2),SUMPRODUCT(N2594:Y2594,$N$4:$Y$4,$N$2:$Y$2))/(Z2594/($K2594*$L2594*$M2594)),"")</f>
        <v/>
      </c>
      <c r="AC2594" s="18" t="n"/>
    </row>
    <row r="2595">
      <c r="A2595" s="9" t="n">
        <v>823702</v>
      </c>
      <c r="B2595" s="9" t="inlineStr">
        <is>
          <t>Alex Madera</t>
        </is>
      </c>
      <c r="C2595" s="9" t="inlineStr">
        <is>
          <t>CHC</t>
        </is>
      </c>
      <c r="D2595" s="9" t="n">
        <v>25</v>
      </c>
      <c r="E2595" s="16" t="inlineStr">
        <is>
          <t>L</t>
        </is>
      </c>
      <c r="F2595" s="16" t="n"/>
      <c r="G2595" s="9" t="n">
        <v>94.41025641025639</v>
      </c>
      <c r="H2595" s="9" t="n">
        <v>94.41025641025639</v>
      </c>
      <c r="I2595" s="9" t="inlineStr">
        <is>
          <t>Depth (no MLB PA)</t>
        </is>
      </c>
      <c r="J2595" s="16" t="inlineStr">
        <is>
          <t>Opening Day</t>
        </is>
      </c>
      <c r="K2595" s="11">
        <f>IFERROR(INDEX(Roles!$B$17:$B$20,MATCH(J2595,Roles!$A$17:$A$20,0)),1)</f>
        <v/>
      </c>
      <c r="L2595" s="17" t="n">
        <v>1</v>
      </c>
      <c r="M2595" s="11" t="n">
        <v>1</v>
      </c>
      <c r="N2595" s="17" t="n"/>
      <c r="O2595" s="17" t="n"/>
      <c r="P2595" s="17" t="n"/>
      <c r="Q2595" s="17" t="n"/>
      <c r="R2595" s="17" t="n"/>
      <c r="S2595" s="17" t="n"/>
      <c r="T2595" s="17" t="n"/>
      <c r="U2595" s="17" t="n"/>
      <c r="V2595" s="17" t="n"/>
      <c r="W2595" s="17" t="n"/>
      <c r="X2595" s="17" t="n"/>
      <c r="Y2595" s="17" t="n">
        <v>1</v>
      </c>
      <c r="Z2595" s="13">
        <f>SUMPRODUCT(N2595:Y2595,$N$2:$Y$2)*$K2595*$L2595*$M2595</f>
        <v/>
      </c>
      <c r="AA2595" s="14">
        <f>SUM(N2595:Y2595)</f>
        <v/>
      </c>
      <c r="AB2595" s="14">
        <f>IFERROR(IF(UPPER($E2595)="L",SUMPRODUCT(N2595:Y2595,$N$3:$Y$3,$N$2:$Y$2),SUMPRODUCT(N2595:Y2595,$N$4:$Y$4,$N$2:$Y$2))/(Z2595/($K2595*$L2595*$M2595)),"")</f>
        <v/>
      </c>
      <c r="AC2595" s="18" t="n"/>
    </row>
    <row r="2596">
      <c r="A2596" s="9" t="n">
        <v>643565</v>
      </c>
      <c r="B2596" s="9" t="inlineStr">
        <is>
          <t>Mike Tauchman</t>
        </is>
      </c>
      <c r="C2596" s="9" t="inlineStr">
        <is>
          <t>CWS</t>
        </is>
      </c>
      <c r="D2596" s="9" t="n">
        <v>36</v>
      </c>
      <c r="E2596" s="16" t="inlineStr">
        <is>
          <t>L</t>
        </is>
      </c>
      <c r="F2596" s="16" t="inlineStr">
        <is>
          <t>RF</t>
        </is>
      </c>
      <c r="G2596" s="9" t="n">
        <v>385</v>
      </c>
      <c r="H2596" s="9" t="n">
        <v>1136</v>
      </c>
      <c r="I2596" s="9" t="inlineStr">
        <is>
          <t>Full Time</t>
        </is>
      </c>
      <c r="J2596" s="16" t="inlineStr">
        <is>
          <t>Opening Day</t>
        </is>
      </c>
      <c r="K2596" s="11">
        <f>IFERROR(INDEX(Roles!$B$17:$B$20,MATCH(J2596,Roles!$A$17:$A$20,0)),1)</f>
        <v/>
      </c>
      <c r="L2596" s="17" t="n">
        <v>1</v>
      </c>
      <c r="M2596" s="11" t="n">
        <v>0.8758523810679905</v>
      </c>
      <c r="N2596" s="17" t="n">
        <v>1</v>
      </c>
      <c r="O2596" s="17" t="n"/>
      <c r="P2596" s="17" t="n"/>
      <c r="Q2596" s="17" t="n"/>
      <c r="R2596" s="17" t="n"/>
      <c r="S2596" s="17" t="n"/>
      <c r="T2596" s="17" t="n"/>
      <c r="U2596" s="17" t="n"/>
      <c r="V2596" s="17" t="n"/>
      <c r="W2596" s="17" t="n"/>
      <c r="X2596" s="17" t="n"/>
      <c r="Y2596" s="17" t="n"/>
      <c r="Z2596" s="13">
        <f>SUMPRODUCT(N2596:Y2596,$N$2:$Y$2)*$K2596*$L2596*$M2596</f>
        <v/>
      </c>
      <c r="AA2596" s="14">
        <f>SUM(N2596:Y2596)</f>
        <v/>
      </c>
      <c r="AB2596" s="14">
        <f>IFERROR(IF(UPPER($E2596)="L",SUMPRODUCT(N2596:Y2596,$N$3:$Y$3,$N$2:$Y$2),SUMPRODUCT(N2596:Y2596,$N$4:$Y$4,$N$2:$Y$2))/(Z2596/($K2596*$L2596*$M2596)),"")</f>
        <v/>
      </c>
      <c r="AC2596" s="18" t="n"/>
    </row>
    <row r="2597">
      <c r="A2597" s="9" t="n">
        <v>685274</v>
      </c>
      <c r="B2597" s="9" t="inlineStr">
        <is>
          <t>Braiden Ward</t>
        </is>
      </c>
      <c r="C2597" s="9" t="inlineStr">
        <is>
          <t>BOS</t>
        </is>
      </c>
      <c r="D2597" s="9" t="n">
        <v>25</v>
      </c>
      <c r="E2597" s="16" t="inlineStr">
        <is>
          <t>L</t>
        </is>
      </c>
      <c r="F2597" s="16" t="n"/>
      <c r="G2597" s="9" t="n">
        <v>238.0512820512821</v>
      </c>
      <c r="H2597" s="9" t="n">
        <v>238.0512820512821</v>
      </c>
      <c r="I2597" s="9" t="inlineStr">
        <is>
          <t>Depth (no MLB PA)</t>
        </is>
      </c>
      <c r="J2597" s="16" t="inlineStr">
        <is>
          <t>Opening Day</t>
        </is>
      </c>
      <c r="K2597" s="11">
        <f>IFERROR(INDEX(Roles!$B$17:$B$20,MATCH(J2597,Roles!$A$17:$A$20,0)),1)</f>
        <v/>
      </c>
      <c r="L2597" s="17" t="n">
        <v>1</v>
      </c>
      <c r="M2597" s="11" t="n">
        <v>1</v>
      </c>
      <c r="N2597" s="17" t="n"/>
      <c r="O2597" s="17" t="n"/>
      <c r="P2597" s="17" t="n"/>
      <c r="Q2597" s="17" t="n"/>
      <c r="R2597" s="17" t="n"/>
      <c r="S2597" s="17" t="n"/>
      <c r="T2597" s="17" t="n"/>
      <c r="U2597" s="17" t="n"/>
      <c r="V2597" s="17" t="n"/>
      <c r="W2597" s="17" t="n"/>
      <c r="X2597" s="17" t="n"/>
      <c r="Y2597" s="17" t="n">
        <v>1</v>
      </c>
      <c r="Z2597" s="13">
        <f>SUMPRODUCT(N2597:Y2597,$N$2:$Y$2)*$K2597*$L2597*$M2597</f>
        <v/>
      </c>
      <c r="AA2597" s="14">
        <f>SUM(N2597:Y2597)</f>
        <v/>
      </c>
      <c r="AB2597" s="14">
        <f>IFERROR(IF(UPPER($E2597)="L",SUMPRODUCT(N2597:Y2597,$N$3:$Y$3,$N$2:$Y$2),SUMPRODUCT(N2597:Y2597,$N$4:$Y$4,$N$2:$Y$2))/(Z2597/($K2597*$L2597*$M2597)),"")</f>
        <v/>
      </c>
      <c r="AC2597" s="18" t="n"/>
    </row>
    <row r="2598">
      <c r="A2598" s="9" t="n">
        <v>666134</v>
      </c>
      <c r="B2598" s="9" t="inlineStr">
        <is>
          <t>Nolan Jones</t>
        </is>
      </c>
      <c r="C2598" s="9" t="inlineStr">
        <is>
          <t>CLE</t>
        </is>
      </c>
      <c r="D2598" s="9" t="n">
        <v>29</v>
      </c>
      <c r="E2598" s="16" t="inlineStr">
        <is>
          <t>L</t>
        </is>
      </c>
      <c r="F2598" s="16" t="inlineStr">
        <is>
          <t>RF</t>
        </is>
      </c>
      <c r="G2598" s="9" t="n">
        <v>403</v>
      </c>
      <c r="H2598" s="9" t="n">
        <v>1218</v>
      </c>
      <c r="I2598" s="9" t="inlineStr">
        <is>
          <t>Utility OF / 4th OF</t>
        </is>
      </c>
      <c r="J2598" s="16" t="inlineStr">
        <is>
          <t>Opening Day</t>
        </is>
      </c>
      <c r="K2598" s="11">
        <f>IFERROR(INDEX(Roles!$B$17:$B$20,MATCH(J2598,Roles!$A$17:$A$20,0)),1)</f>
        <v/>
      </c>
      <c r="L2598" s="17" t="n">
        <v>1</v>
      </c>
      <c r="M2598" s="11" t="n">
        <v>1.123754906573723</v>
      </c>
      <c r="N2598" s="17" t="n"/>
      <c r="O2598" s="17" t="n"/>
      <c r="P2598" s="17" t="n"/>
      <c r="Q2598" s="17" t="n"/>
      <c r="R2598" s="17" t="n"/>
      <c r="S2598" s="17" t="n"/>
      <c r="T2598" s="17" t="n"/>
      <c r="U2598" s="17" t="n"/>
      <c r="V2598" s="17" t="n">
        <v>1</v>
      </c>
      <c r="W2598" s="17" t="n"/>
      <c r="X2598" s="17" t="n"/>
      <c r="Y2598" s="17" t="n"/>
      <c r="Z2598" s="13">
        <f>SUMPRODUCT(N2598:Y2598,$N$2:$Y$2)*$K2598*$L2598*$M2598</f>
        <v/>
      </c>
      <c r="AA2598" s="14">
        <f>SUM(N2598:Y2598)</f>
        <v/>
      </c>
      <c r="AB2598" s="14">
        <f>IFERROR(IF(UPPER($E2598)="L",SUMPRODUCT(N2598:Y2598,$N$3:$Y$3,$N$2:$Y$2),SUMPRODUCT(N2598:Y2598,$N$4:$Y$4,$N$2:$Y$2))/(Z2598/($K2598*$L2598*$M2598)),"")</f>
        <v/>
      </c>
      <c r="AC2598" s="18" t="n"/>
    </row>
    <row r="2599">
      <c r="A2599" s="9" t="n">
        <v>628451</v>
      </c>
      <c r="B2599" s="9" t="inlineStr">
        <is>
          <t>Andy Ibáñez</t>
        </is>
      </c>
      <c r="C2599" s="9" t="inlineStr">
        <is>
          <t>NYM</t>
        </is>
      </c>
      <c r="D2599" s="9" t="n">
        <v>34</v>
      </c>
      <c r="E2599" s="16" t="inlineStr">
        <is>
          <t>R</t>
        </is>
      </c>
      <c r="F2599" s="16" t="inlineStr">
        <is>
          <t>2B</t>
        </is>
      </c>
      <c r="G2599" s="9" t="n">
        <v>26</v>
      </c>
      <c r="H2599" s="9" t="n">
        <v>974</v>
      </c>
      <c r="I2599" s="9" t="inlineStr">
        <is>
          <t>Weak Side Platoon</t>
        </is>
      </c>
      <c r="J2599" s="16" t="inlineStr">
        <is>
          <t>Opening Day</t>
        </is>
      </c>
      <c r="K2599" s="11">
        <f>IFERROR(INDEX(Roles!$B$17:$B$20,MATCH(J2599,Roles!$A$17:$A$20,0)),1)</f>
        <v/>
      </c>
      <c r="L2599" s="17" t="n">
        <v>1</v>
      </c>
      <c r="M2599" s="11" t="n">
        <v>1</v>
      </c>
      <c r="N2599" s="17" t="n"/>
      <c r="O2599" s="17" t="n"/>
      <c r="P2599" s="17" t="n"/>
      <c r="Q2599" s="17" t="n">
        <v>1</v>
      </c>
      <c r="R2599" s="17" t="n"/>
      <c r="S2599" s="17" t="n"/>
      <c r="T2599" s="17" t="n"/>
      <c r="U2599" s="17" t="n"/>
      <c r="V2599" s="17" t="n"/>
      <c r="W2599" s="17" t="n"/>
      <c r="X2599" s="17" t="n"/>
      <c r="Y2599" s="17" t="n"/>
      <c r="Z2599" s="13">
        <f>SUMPRODUCT(N2599:Y2599,$N$2:$Y$2)*$K2599*$L2599*$M2599</f>
        <v/>
      </c>
      <c r="AA2599" s="14">
        <f>SUM(N2599:Y2599)</f>
        <v/>
      </c>
      <c r="AB2599" s="14">
        <f>IFERROR(IF(UPPER($E2599)="L",SUMPRODUCT(N2599:Y2599,$N$3:$Y$3,$N$2:$Y$2),SUMPRODUCT(N2599:Y2599,$N$4:$Y$4,$N$2:$Y$2))/(Z2599/($K2599*$L2599*$M2599)),"")</f>
        <v/>
      </c>
      <c r="AC2599" s="18" t="n"/>
    </row>
    <row r="2600">
      <c r="A2600" s="9" t="n">
        <v>681198</v>
      </c>
      <c r="B2600" s="9" t="inlineStr">
        <is>
          <t>TJ Rumfield</t>
        </is>
      </c>
      <c r="C2600" s="9" t="inlineStr">
        <is>
          <t>COL</t>
        </is>
      </c>
      <c r="D2600" s="9" t="n">
        <v>27</v>
      </c>
      <c r="E2600" s="16" t="inlineStr">
        <is>
          <t>L</t>
        </is>
      </c>
      <c r="F2600" s="16" t="inlineStr">
        <is>
          <t>1B</t>
        </is>
      </c>
      <c r="G2600" s="9" t="n">
        <v>631</v>
      </c>
      <c r="H2600" s="9" t="n">
        <v>631</v>
      </c>
      <c r="I2600" s="9" t="inlineStr">
        <is>
          <t>Full Time</t>
        </is>
      </c>
      <c r="J2600" s="16" t="inlineStr">
        <is>
          <t>Opening Day</t>
        </is>
      </c>
      <c r="K2600" s="11">
        <f>IFERROR(INDEX(Roles!$B$17:$B$20,MATCH(J2600,Roles!$A$17:$A$20,0)),1)</f>
        <v/>
      </c>
      <c r="L2600" s="17" t="n">
        <v>1</v>
      </c>
      <c r="M2600" s="11" t="n">
        <v>1.050698367359612</v>
      </c>
      <c r="N2600" s="17" t="n">
        <v>1</v>
      </c>
      <c r="O2600" s="17" t="n"/>
      <c r="P2600" s="17" t="n"/>
      <c r="Q2600" s="17" t="n"/>
      <c r="R2600" s="17" t="n"/>
      <c r="S2600" s="17" t="n"/>
      <c r="T2600" s="17" t="n"/>
      <c r="U2600" s="17" t="n"/>
      <c r="V2600" s="17" t="n"/>
      <c r="W2600" s="17" t="n"/>
      <c r="X2600" s="17" t="n"/>
      <c r="Y2600" s="17" t="n"/>
      <c r="Z2600" s="13">
        <f>SUMPRODUCT(N2600:Y2600,$N$2:$Y$2)*$K2600*$L2600*$M2600</f>
        <v/>
      </c>
      <c r="AA2600" s="14">
        <f>SUM(N2600:Y2600)</f>
        <v/>
      </c>
      <c r="AB2600" s="14">
        <f>IFERROR(IF(UPPER($E2600)="L",SUMPRODUCT(N2600:Y2600,$N$3:$Y$3,$N$2:$Y$2),SUMPRODUCT(N2600:Y2600,$N$4:$Y$4,$N$2:$Y$2))/(Z2600/($K2600*$L2600*$M2600)),"")</f>
        <v/>
      </c>
      <c r="AC2600" s="18" t="n"/>
    </row>
    <row r="2601">
      <c r="A2601" s="9" t="n">
        <v>641856</v>
      </c>
      <c r="B2601" s="9" t="inlineStr">
        <is>
          <t>Billy McKinney</t>
        </is>
      </c>
      <c r="C2601" s="9" t="inlineStr">
        <is>
          <t>PIT</t>
        </is>
      </c>
      <c r="D2601" s="9" t="n">
        <v>32</v>
      </c>
      <c r="E2601" s="16" t="inlineStr">
        <is>
          <t>L</t>
        </is>
      </c>
      <c r="F2601" s="16" t="inlineStr">
        <is>
          <t>RF</t>
        </is>
      </c>
      <c r="G2601" s="9" t="n">
        <v>21</v>
      </c>
      <c r="H2601" s="9" t="n">
        <v>253</v>
      </c>
      <c r="I2601" s="9" t="inlineStr">
        <is>
          <t>Depth (no MLB PA)</t>
        </is>
      </c>
      <c r="J2601" s="16" t="inlineStr">
        <is>
          <t>Opening Day</t>
        </is>
      </c>
      <c r="K2601" s="11">
        <f>IFERROR(INDEX(Roles!$B$17:$B$20,MATCH(J2601,Roles!$A$17:$A$20,0)),1)</f>
        <v/>
      </c>
      <c r="L2601" s="17" t="n">
        <v>1</v>
      </c>
      <c r="M2601" s="11" t="n">
        <v>1</v>
      </c>
      <c r="N2601" s="17" t="n"/>
      <c r="O2601" s="17" t="n"/>
      <c r="P2601" s="17" t="n"/>
      <c r="Q2601" s="17" t="n"/>
      <c r="R2601" s="17" t="n"/>
      <c r="S2601" s="17" t="n"/>
      <c r="T2601" s="17" t="n"/>
      <c r="U2601" s="17" t="n"/>
      <c r="V2601" s="17" t="n"/>
      <c r="W2601" s="17" t="n"/>
      <c r="X2601" s="17" t="n"/>
      <c r="Y2601" s="17" t="n">
        <v>1</v>
      </c>
      <c r="Z2601" s="13">
        <f>SUMPRODUCT(N2601:Y2601,$N$2:$Y$2)*$K2601*$L2601*$M2601</f>
        <v/>
      </c>
      <c r="AA2601" s="14">
        <f>SUM(N2601:Y2601)</f>
        <v/>
      </c>
      <c r="AB2601" s="14">
        <f>IFERROR(IF(UPPER($E2601)="L",SUMPRODUCT(N2601:Y2601,$N$3:$Y$3,$N$2:$Y$2),SUMPRODUCT(N2601:Y2601,$N$4:$Y$4,$N$2:$Y$2))/(Z2601/($K2601*$L2601*$M2601)),"")</f>
        <v/>
      </c>
      <c r="AC2601" s="18" t="n"/>
    </row>
    <row r="2602">
      <c r="A2602" s="9" t="n">
        <v>672695</v>
      </c>
      <c r="B2602" s="9" t="inlineStr">
        <is>
          <t>Geraldo Perdomo</t>
        </is>
      </c>
      <c r="C2602" s="9" t="inlineStr">
        <is>
          <t>ARI</t>
        </is>
      </c>
      <c r="D2602" s="9" t="n">
        <v>27</v>
      </c>
      <c r="E2602" s="16" t="inlineStr">
        <is>
          <t>S</t>
        </is>
      </c>
      <c r="F2602" s="16" t="inlineStr">
        <is>
          <t>SS</t>
        </is>
      </c>
      <c r="G2602" s="9" t="n">
        <v>680</v>
      </c>
      <c r="H2602" s="9" t="n">
        <v>2783</v>
      </c>
      <c r="I2602" s="9" t="inlineStr">
        <is>
          <t>Full Time</t>
        </is>
      </c>
      <c r="J2602" s="16" t="inlineStr">
        <is>
          <t>Opening Day</t>
        </is>
      </c>
      <c r="K2602" s="11">
        <f>IFERROR(INDEX(Roles!$B$17:$B$20,MATCH(J2602,Roles!$A$17:$A$20,0)),1)</f>
        <v/>
      </c>
      <c r="L2602" s="17" t="n">
        <v>1</v>
      </c>
      <c r="M2602" s="11" t="n">
        <v>1.131892026288212</v>
      </c>
      <c r="N2602" s="17" t="n">
        <v>1</v>
      </c>
      <c r="O2602" s="17" t="n"/>
      <c r="P2602" s="17" t="n"/>
      <c r="Q2602" s="17" t="n"/>
      <c r="R2602" s="17" t="n"/>
      <c r="S2602" s="17" t="n"/>
      <c r="T2602" s="17" t="n"/>
      <c r="U2602" s="17" t="n"/>
      <c r="V2602" s="17" t="n"/>
      <c r="W2602" s="17" t="n"/>
      <c r="X2602" s="17" t="n"/>
      <c r="Y2602" s="17" t="n"/>
      <c r="Z2602" s="13">
        <f>SUMPRODUCT(N2602:Y2602,$N$2:$Y$2)*$K2602*$L2602*$M2602</f>
        <v/>
      </c>
      <c r="AA2602" s="14">
        <f>SUM(N2602:Y2602)</f>
        <v/>
      </c>
      <c r="AB2602" s="14">
        <f>IFERROR(IF(UPPER($E2602)="L",SUMPRODUCT(N2602:Y2602,$N$3:$Y$3,$N$2:$Y$2),SUMPRODUCT(N2602:Y2602,$N$4:$Y$4,$N$2:$Y$2))/(Z2602/($K2602*$L2602*$M2602)),"")</f>
        <v/>
      </c>
      <c r="AC2602" s="18" t="n"/>
    </row>
    <row r="2603">
      <c r="A2603" s="9" t="n">
        <v>699126</v>
      </c>
      <c r="B2603" s="9" t="inlineStr">
        <is>
          <t>Gregory Barrios</t>
        </is>
      </c>
      <c r="C2603" s="9" t="inlineStr">
        <is>
          <t>TB</t>
        </is>
      </c>
      <c r="D2603" s="9" t="n">
        <v>25</v>
      </c>
      <c r="E2603" s="16" t="inlineStr">
        <is>
          <t>R</t>
        </is>
      </c>
      <c r="F2603" s="16" t="n"/>
      <c r="G2603" s="9" t="n">
        <v>153.6410256410256</v>
      </c>
      <c r="H2603" s="9" t="n">
        <v>153.6410256410256</v>
      </c>
      <c r="I2603" s="9" t="inlineStr">
        <is>
          <t>Depth (no MLB PA)</t>
        </is>
      </c>
      <c r="J2603" s="16" t="inlineStr">
        <is>
          <t>Opening Day</t>
        </is>
      </c>
      <c r="K2603" s="11">
        <f>IFERROR(INDEX(Roles!$B$17:$B$20,MATCH(J2603,Roles!$A$17:$A$20,0)),1)</f>
        <v/>
      </c>
      <c r="L2603" s="17" t="n">
        <v>1</v>
      </c>
      <c r="M2603" s="11" t="n">
        <v>1</v>
      </c>
      <c r="N2603" s="17" t="n"/>
      <c r="O2603" s="17" t="n"/>
      <c r="P2603" s="17" t="n"/>
      <c r="Q2603" s="17" t="n"/>
      <c r="R2603" s="17" t="n"/>
      <c r="S2603" s="17" t="n"/>
      <c r="T2603" s="17" t="n"/>
      <c r="U2603" s="17" t="n"/>
      <c r="V2603" s="17" t="n"/>
      <c r="W2603" s="17" t="n"/>
      <c r="X2603" s="17" t="n"/>
      <c r="Y2603" s="17" t="n">
        <v>1</v>
      </c>
      <c r="Z2603" s="13">
        <f>SUMPRODUCT(N2603:Y2603,$N$2:$Y$2)*$K2603*$L2603*$M2603</f>
        <v/>
      </c>
      <c r="AA2603" s="14">
        <f>SUM(N2603:Y2603)</f>
        <v/>
      </c>
      <c r="AB2603" s="14">
        <f>IFERROR(IF(UPPER($E2603)="L",SUMPRODUCT(N2603:Y2603,$N$3:$Y$3,$N$2:$Y$2),SUMPRODUCT(N2603:Y2603,$N$4:$Y$4,$N$2:$Y$2))/(Z2603/($K2603*$L2603*$M2603)),"")</f>
        <v/>
      </c>
      <c r="AC2603" s="18" t="n"/>
    </row>
    <row r="2604">
      <c r="A2604" s="9" t="n">
        <v>702258</v>
      </c>
      <c r="B2604" s="9" t="inlineStr">
        <is>
          <t>Druw Jones</t>
        </is>
      </c>
      <c r="C2604" s="9" t="inlineStr">
        <is>
          <t>ARI</t>
        </is>
      </c>
      <c r="D2604" s="9" t="n">
        <v>25</v>
      </c>
      <c r="E2604" s="16" t="inlineStr">
        <is>
          <t>R</t>
        </is>
      </c>
      <c r="F2604" s="16" t="n"/>
      <c r="G2604" s="9" t="n">
        <v>178.4102564102564</v>
      </c>
      <c r="H2604" s="9" t="n">
        <v>178.4102564102564</v>
      </c>
      <c r="I2604" s="9" t="inlineStr">
        <is>
          <t>Depth (no MLB PA)</t>
        </is>
      </c>
      <c r="J2604" s="16" t="inlineStr">
        <is>
          <t>Opening Day</t>
        </is>
      </c>
      <c r="K2604" s="11">
        <f>IFERROR(INDEX(Roles!$B$17:$B$20,MATCH(J2604,Roles!$A$17:$A$20,0)),1)</f>
        <v/>
      </c>
      <c r="L2604" s="17" t="n">
        <v>1</v>
      </c>
      <c r="M2604" s="11" t="n">
        <v>1</v>
      </c>
      <c r="N2604" s="17" t="n"/>
      <c r="O2604" s="17" t="n"/>
      <c r="P2604" s="17" t="n"/>
      <c r="Q2604" s="17" t="n"/>
      <c r="R2604" s="17" t="n"/>
      <c r="S2604" s="17" t="n"/>
      <c r="T2604" s="17" t="n"/>
      <c r="U2604" s="17" t="n"/>
      <c r="V2604" s="17" t="n"/>
      <c r="W2604" s="17" t="n"/>
      <c r="X2604" s="17" t="n"/>
      <c r="Y2604" s="17" t="n">
        <v>1</v>
      </c>
      <c r="Z2604" s="13">
        <f>SUMPRODUCT(N2604:Y2604,$N$2:$Y$2)*$K2604*$L2604*$M2604</f>
        <v/>
      </c>
      <c r="AA2604" s="14">
        <f>SUM(N2604:Y2604)</f>
        <v/>
      </c>
      <c r="AB2604" s="14">
        <f>IFERROR(IF(UPPER($E2604)="L",SUMPRODUCT(N2604:Y2604,$N$3:$Y$3,$N$2:$Y$2),SUMPRODUCT(N2604:Y2604,$N$4:$Y$4,$N$2:$Y$2))/(Z2604/($K2604*$L2604*$M2604)),"")</f>
        <v/>
      </c>
      <c r="AC2604" s="18" t="n"/>
    </row>
    <row r="2605">
      <c r="A2605" s="9" t="n">
        <v>703607</v>
      </c>
      <c r="B2605" s="9" t="inlineStr">
        <is>
          <t>Henry Bolte</t>
        </is>
      </c>
      <c r="C2605" s="9" t="inlineStr">
        <is>
          <t>OAK</t>
        </is>
      </c>
      <c r="D2605" s="9" t="n">
        <v>23</v>
      </c>
      <c r="E2605" s="16" t="inlineStr">
        <is>
          <t>R</t>
        </is>
      </c>
      <c r="F2605" s="16" t="inlineStr">
        <is>
          <t>CF</t>
        </is>
      </c>
      <c r="G2605" s="9" t="n">
        <v>473</v>
      </c>
      <c r="H2605" s="9" t="n">
        <v>473</v>
      </c>
      <c r="I2605" s="9" t="inlineStr">
        <is>
          <t>Full Time</t>
        </is>
      </c>
      <c r="J2605" s="16" t="inlineStr">
        <is>
          <t>Opening Day</t>
        </is>
      </c>
      <c r="K2605" s="11">
        <f>IFERROR(INDEX(Roles!$B$17:$B$20,MATCH(J2605,Roles!$A$17:$A$20,0)),1)</f>
        <v/>
      </c>
      <c r="L2605" s="17" t="n">
        <v>1</v>
      </c>
      <c r="M2605" s="11" t="n">
        <v>0.99403475087685</v>
      </c>
      <c r="N2605" s="17" t="n">
        <v>0.9</v>
      </c>
      <c r="O2605" s="17" t="n"/>
      <c r="P2605" s="17" t="n">
        <v>0.1</v>
      </c>
      <c r="Q2605" s="17" t="n"/>
      <c r="R2605" s="17" t="n"/>
      <c r="S2605" s="17" t="n"/>
      <c r="T2605" s="17" t="n"/>
      <c r="U2605" s="17" t="n"/>
      <c r="V2605" s="17" t="n"/>
      <c r="W2605" s="17" t="n"/>
      <c r="X2605" s="17" t="n"/>
      <c r="Y2605" s="17" t="n"/>
      <c r="Z2605" s="13">
        <f>SUMPRODUCT(N2605:Y2605,$N$2:$Y$2)*$K2605*$L2605*$M2605</f>
        <v/>
      </c>
      <c r="AA2605" s="14">
        <f>SUM(N2605:Y2605)</f>
        <v/>
      </c>
      <c r="AB2605" s="14">
        <f>IFERROR(IF(UPPER($E2605)="L",SUMPRODUCT(N2605:Y2605,$N$3:$Y$3,$N$2:$Y$2),SUMPRODUCT(N2605:Y2605,$N$4:$Y$4,$N$2:$Y$2))/(Z2605/($K2605*$L2605*$M2605)),"")</f>
        <v/>
      </c>
      <c r="AC2605" s="18" t="n"/>
    </row>
    <row r="2606">
      <c r="A2606" s="9" t="n">
        <v>683344</v>
      </c>
      <c r="B2606" s="9" t="inlineStr">
        <is>
          <t>Homer Bush Jr.</t>
        </is>
      </c>
      <c r="C2606" s="9" t="inlineStr">
        <is>
          <t>TB</t>
        </is>
      </c>
      <c r="D2606" s="9" t="n">
        <v>25</v>
      </c>
      <c r="E2606" s="16" t="inlineStr">
        <is>
          <t>R</t>
        </is>
      </c>
      <c r="F2606" s="16" t="n"/>
      <c r="G2606" s="9" t="n">
        <v>210.9743589743589</v>
      </c>
      <c r="H2606" s="9" t="n">
        <v>210.9743589743589</v>
      </c>
      <c r="I2606" s="9" t="inlineStr">
        <is>
          <t>Depth (no MLB PA)</t>
        </is>
      </c>
      <c r="J2606" s="16" t="inlineStr">
        <is>
          <t>Opening Day</t>
        </is>
      </c>
      <c r="K2606" s="11">
        <f>IFERROR(INDEX(Roles!$B$17:$B$20,MATCH(J2606,Roles!$A$17:$A$20,0)),1)</f>
        <v/>
      </c>
      <c r="L2606" s="17" t="n">
        <v>1</v>
      </c>
      <c r="M2606" s="11" t="n">
        <v>1</v>
      </c>
      <c r="N2606" s="17" t="n"/>
      <c r="O2606" s="17" t="n"/>
      <c r="P2606" s="17" t="n"/>
      <c r="Q2606" s="17" t="n"/>
      <c r="R2606" s="17" t="n"/>
      <c r="S2606" s="17" t="n"/>
      <c r="T2606" s="17" t="n"/>
      <c r="U2606" s="17" t="n"/>
      <c r="V2606" s="17" t="n"/>
      <c r="W2606" s="17" t="n"/>
      <c r="X2606" s="17" t="n"/>
      <c r="Y2606" s="17" t="n">
        <v>1</v>
      </c>
      <c r="Z2606" s="13">
        <f>SUMPRODUCT(N2606:Y2606,$N$2:$Y$2)*$K2606*$L2606*$M2606</f>
        <v/>
      </c>
      <c r="AA2606" s="14">
        <f>SUM(N2606:Y2606)</f>
        <v/>
      </c>
      <c r="AB2606" s="14">
        <f>IFERROR(IF(UPPER($E2606)="L",SUMPRODUCT(N2606:Y2606,$N$3:$Y$3,$N$2:$Y$2),SUMPRODUCT(N2606:Y2606,$N$4:$Y$4,$N$2:$Y$2))/(Z2606/($K2606*$L2606*$M2606)),"")</f>
        <v/>
      </c>
      <c r="AC2606" s="18" t="n"/>
    </row>
    <row r="2607">
      <c r="A2607" s="9" t="n">
        <v>678489</v>
      </c>
      <c r="B2607" s="9" t="inlineStr">
        <is>
          <t>Jorge Barrosa</t>
        </is>
      </c>
      <c r="C2607" s="9" t="inlineStr">
        <is>
          <t>HOU</t>
        </is>
      </c>
      <c r="D2607" s="9" t="n">
        <v>26</v>
      </c>
      <c r="E2607" s="16" t="inlineStr">
        <is>
          <t>S</t>
        </is>
      </c>
      <c r="F2607" s="16" t="inlineStr">
        <is>
          <t>CF</t>
        </is>
      </c>
      <c r="G2607" s="9" t="n">
        <v>174</v>
      </c>
      <c r="H2607" s="9" t="n">
        <v>269</v>
      </c>
      <c r="I2607" s="9" t="inlineStr">
        <is>
          <t>Weak Side Platoon</t>
        </is>
      </c>
      <c r="J2607" s="16" t="inlineStr">
        <is>
          <t>Opening Day</t>
        </is>
      </c>
      <c r="K2607" s="11">
        <f>IFERROR(INDEX(Roles!$B$17:$B$20,MATCH(J2607,Roles!$A$17:$A$20,0)),1)</f>
        <v/>
      </c>
      <c r="L2607" s="17" t="n">
        <v>1</v>
      </c>
      <c r="M2607" s="11" t="n">
        <v>0.8365189977441324</v>
      </c>
      <c r="N2607" s="17" t="n"/>
      <c r="O2607" s="17" t="n"/>
      <c r="P2607" s="17" t="n"/>
      <c r="Q2607" s="17" t="n">
        <v>0.6</v>
      </c>
      <c r="R2607" s="17" t="n"/>
      <c r="S2607" s="17" t="n"/>
      <c r="T2607" s="17" t="n"/>
      <c r="U2607" s="17" t="n"/>
      <c r="V2607" s="17" t="n">
        <v>0.4</v>
      </c>
      <c r="W2607" s="17" t="n"/>
      <c r="X2607" s="17" t="n"/>
      <c r="Y2607" s="17" t="n"/>
      <c r="Z2607" s="13">
        <f>SUMPRODUCT(N2607:Y2607,$N$2:$Y$2)*$K2607*$L2607*$M2607</f>
        <v/>
      </c>
      <c r="AA2607" s="14">
        <f>SUM(N2607:Y2607)</f>
        <v/>
      </c>
      <c r="AB2607" s="14">
        <f>IFERROR(IF(UPPER($E2607)="L",SUMPRODUCT(N2607:Y2607,$N$3:$Y$3,$N$2:$Y$2),SUMPRODUCT(N2607:Y2607,$N$4:$Y$4,$N$2:$Y$2))/(Z2607/($K2607*$L2607*$M2607)),"")</f>
        <v/>
      </c>
      <c r="AC2607" s="18" t="n"/>
    </row>
    <row r="2608">
      <c r="A2608" s="9" t="n">
        <v>694689</v>
      </c>
      <c r="B2608" s="9" t="inlineStr">
        <is>
          <t>Dominic Pitelli</t>
        </is>
      </c>
      <c r="C2608" s="9" t="inlineStr">
        <is>
          <t>CIN</t>
        </is>
      </c>
      <c r="D2608" s="9" t="n">
        <v>25</v>
      </c>
      <c r="E2608" s="16" t="inlineStr">
        <is>
          <t>L</t>
        </is>
      </c>
      <c r="F2608" s="16" t="n"/>
      <c r="G2608" s="9" t="n">
        <v>115.6410256410256</v>
      </c>
      <c r="H2608" s="9" t="n">
        <v>115.6410256410256</v>
      </c>
      <c r="I2608" s="9" t="inlineStr">
        <is>
          <t>Depth (no MLB PA)</t>
        </is>
      </c>
      <c r="J2608" s="16" t="inlineStr">
        <is>
          <t>Opening Day</t>
        </is>
      </c>
      <c r="K2608" s="11">
        <f>IFERROR(INDEX(Roles!$B$17:$B$20,MATCH(J2608,Roles!$A$17:$A$20,0)),1)</f>
        <v/>
      </c>
      <c r="L2608" s="17" t="n">
        <v>1</v>
      </c>
      <c r="M2608" s="11" t="n">
        <v>1</v>
      </c>
      <c r="N2608" s="17" t="n"/>
      <c r="O2608" s="17" t="n"/>
      <c r="P2608" s="17" t="n"/>
      <c r="Q2608" s="17" t="n"/>
      <c r="R2608" s="17" t="n"/>
      <c r="S2608" s="17" t="n"/>
      <c r="T2608" s="17" t="n"/>
      <c r="U2608" s="17" t="n"/>
      <c r="V2608" s="17" t="n"/>
      <c r="W2608" s="17" t="n"/>
      <c r="X2608" s="17" t="n"/>
      <c r="Y2608" s="17" t="n">
        <v>1</v>
      </c>
      <c r="Z2608" s="13">
        <f>SUMPRODUCT(N2608:Y2608,$N$2:$Y$2)*$K2608*$L2608*$M2608</f>
        <v/>
      </c>
      <c r="AA2608" s="14">
        <f>SUM(N2608:Y2608)</f>
        <v/>
      </c>
      <c r="AB2608" s="14">
        <f>IFERROR(IF(UPPER($E2608)="L",SUMPRODUCT(N2608:Y2608,$N$3:$Y$3,$N$2:$Y$2),SUMPRODUCT(N2608:Y2608,$N$4:$Y$4,$N$2:$Y$2))/(Z2608/($K2608*$L2608*$M2608)),"")</f>
        <v/>
      </c>
      <c r="AC2608" s="18" t="n"/>
    </row>
    <row r="2609">
      <c r="A2609" s="9" t="n">
        <v>696281</v>
      </c>
      <c r="B2609" s="9" t="inlineStr">
        <is>
          <t>Wyatt Young</t>
        </is>
      </c>
      <c r="C2609" s="9" t="inlineStr">
        <is>
          <t>NYM</t>
        </is>
      </c>
      <c r="D2609" s="9" t="n">
        <v>25</v>
      </c>
      <c r="E2609" s="16" t="inlineStr">
        <is>
          <t>L</t>
        </is>
      </c>
      <c r="F2609" s="16" t="n"/>
      <c r="G2609" s="9" t="n">
        <v>113.4358974358974</v>
      </c>
      <c r="H2609" s="9" t="n">
        <v>113.4358974358974</v>
      </c>
      <c r="I2609" s="9" t="inlineStr">
        <is>
          <t>Depth (no MLB PA)</t>
        </is>
      </c>
      <c r="J2609" s="16" t="inlineStr">
        <is>
          <t>Opening Day</t>
        </is>
      </c>
      <c r="K2609" s="11">
        <f>IFERROR(INDEX(Roles!$B$17:$B$20,MATCH(J2609,Roles!$A$17:$A$20,0)),1)</f>
        <v/>
      </c>
      <c r="L2609" s="17" t="n">
        <v>1</v>
      </c>
      <c r="M2609" s="11" t="n">
        <v>1</v>
      </c>
      <c r="N2609" s="17" t="n"/>
      <c r="O2609" s="17" t="n"/>
      <c r="P2609" s="17" t="n"/>
      <c r="Q2609" s="17" t="n"/>
      <c r="R2609" s="17" t="n"/>
      <c r="S2609" s="17" t="n"/>
      <c r="T2609" s="17" t="n"/>
      <c r="U2609" s="17" t="n"/>
      <c r="V2609" s="17" t="n"/>
      <c r="W2609" s="17" t="n"/>
      <c r="X2609" s="17" t="n"/>
      <c r="Y2609" s="17" t="n">
        <v>1</v>
      </c>
      <c r="Z2609" s="13">
        <f>SUMPRODUCT(N2609:Y2609,$N$2:$Y$2)*$K2609*$L2609*$M2609</f>
        <v/>
      </c>
      <c r="AA2609" s="14">
        <f>SUM(N2609:Y2609)</f>
        <v/>
      </c>
      <c r="AB2609" s="14">
        <f>IFERROR(IF(UPPER($E2609)="L",SUMPRODUCT(N2609:Y2609,$N$3:$Y$3,$N$2:$Y$2),SUMPRODUCT(N2609:Y2609,$N$4:$Y$4,$N$2:$Y$2))/(Z2609/($K2609*$L2609*$M2609)),"")</f>
        <v/>
      </c>
      <c r="AC2609" s="18" t="n"/>
    </row>
    <row r="2610">
      <c r="A2610" s="9" t="n">
        <v>695731</v>
      </c>
      <c r="B2610" s="9" t="inlineStr">
        <is>
          <t>Braden Montgomery</t>
        </is>
      </c>
      <c r="C2610" s="9" t="inlineStr">
        <is>
          <t>CWS</t>
        </is>
      </c>
      <c r="D2610" s="9" t="n">
        <v>24</v>
      </c>
      <c r="E2610" s="16" t="inlineStr">
        <is>
          <t>S</t>
        </is>
      </c>
      <c r="F2610" s="16" t="inlineStr">
        <is>
          <t>RF</t>
        </is>
      </c>
      <c r="G2610" s="9" t="n">
        <v>365</v>
      </c>
      <c r="H2610" s="9" t="n">
        <v>365</v>
      </c>
      <c r="I2610" s="9" t="inlineStr">
        <is>
          <t>Full Time</t>
        </is>
      </c>
      <c r="J2610" s="16" t="inlineStr">
        <is>
          <t>Opening Day</t>
        </is>
      </c>
      <c r="K2610" s="11">
        <f>IFERROR(INDEX(Roles!$B$17:$B$20,MATCH(J2610,Roles!$A$17:$A$20,0)),1)</f>
        <v/>
      </c>
      <c r="L2610" s="17" t="n">
        <v>1</v>
      </c>
      <c r="M2610" s="11" t="n">
        <v>1</v>
      </c>
      <c r="N2610" s="17" t="n">
        <v>0.7</v>
      </c>
      <c r="O2610" s="17" t="n"/>
      <c r="P2610" s="17" t="n">
        <v>0.3</v>
      </c>
      <c r="Q2610" s="17" t="n"/>
      <c r="R2610" s="17" t="n"/>
      <c r="S2610" s="17" t="n"/>
      <c r="T2610" s="17" t="n"/>
      <c r="U2610" s="17" t="n"/>
      <c r="V2610" s="17" t="n"/>
      <c r="W2610" s="17" t="n"/>
      <c r="X2610" s="17" t="n"/>
      <c r="Y2610" s="17" t="n"/>
      <c r="Z2610" s="13">
        <f>SUMPRODUCT(N2610:Y2610,$N$2:$Y$2)*$K2610*$L2610*$M2610</f>
        <v/>
      </c>
      <c r="AA2610" s="14">
        <f>SUM(N2610:Y2610)</f>
        <v/>
      </c>
      <c r="AB2610" s="14">
        <f>IFERROR(IF(UPPER($E2610)="L",SUMPRODUCT(N2610:Y2610,$N$3:$Y$3,$N$2:$Y$2),SUMPRODUCT(N2610:Y2610,$N$4:$Y$4,$N$2:$Y$2))/(Z2610/($K2610*$L2610*$M2610)),"")</f>
        <v/>
      </c>
      <c r="AC2610" s="18" t="n"/>
    </row>
    <row r="2611">
      <c r="A2611" s="9" t="n">
        <v>681082</v>
      </c>
      <c r="B2611" s="9" t="inlineStr">
        <is>
          <t>Bryson Stott</t>
        </is>
      </c>
      <c r="C2611" s="9" t="inlineStr">
        <is>
          <t>PHI</t>
        </is>
      </c>
      <c r="D2611" s="9" t="n">
        <v>29</v>
      </c>
      <c r="E2611" s="16" t="inlineStr">
        <is>
          <t>L</t>
        </is>
      </c>
      <c r="F2611" s="16" t="inlineStr">
        <is>
          <t>2B</t>
        </is>
      </c>
      <c r="G2611" s="9" t="n">
        <v>608</v>
      </c>
      <c r="H2611" s="9" t="n">
        <v>2845</v>
      </c>
      <c r="I2611" s="9" t="inlineStr">
        <is>
          <t>Full Time</t>
        </is>
      </c>
      <c r="J2611" s="16" t="inlineStr">
        <is>
          <t>Opening Day</t>
        </is>
      </c>
      <c r="K2611" s="11">
        <f>IFERROR(INDEX(Roles!$B$17:$B$20,MATCH(J2611,Roles!$A$17:$A$20,0)),1)</f>
        <v/>
      </c>
      <c r="L2611" s="17" t="n">
        <v>1</v>
      </c>
      <c r="M2611" s="11" t="n">
        <v>1.15</v>
      </c>
      <c r="N2611" s="17" t="n">
        <v>0.75</v>
      </c>
      <c r="O2611" s="17" t="n"/>
      <c r="P2611" s="17" t="n">
        <v>0.25</v>
      </c>
      <c r="Q2611" s="17" t="n"/>
      <c r="R2611" s="17" t="n"/>
      <c r="S2611" s="17" t="n"/>
      <c r="T2611" s="17" t="n"/>
      <c r="U2611" s="17" t="n"/>
      <c r="V2611" s="17" t="n"/>
      <c r="W2611" s="17" t="n"/>
      <c r="X2611" s="17" t="n"/>
      <c r="Y2611" s="17" t="n"/>
      <c r="Z2611" s="13">
        <f>SUMPRODUCT(N2611:Y2611,$N$2:$Y$2)*$K2611*$L2611*$M2611</f>
        <v/>
      </c>
      <c r="AA2611" s="14">
        <f>SUM(N2611:Y2611)</f>
        <v/>
      </c>
      <c r="AB2611" s="14">
        <f>IFERROR(IF(UPPER($E2611)="L",SUMPRODUCT(N2611:Y2611,$N$3:$Y$3,$N$2:$Y$2),SUMPRODUCT(N2611:Y2611,$N$4:$Y$4,$N$2:$Y$2))/(Z2611/($K2611*$L2611*$M2611)),"")</f>
        <v/>
      </c>
      <c r="AC2611" s="18" t="n"/>
    </row>
    <row r="2612">
      <c r="A2612" s="9" t="n">
        <v>650559</v>
      </c>
      <c r="B2612" s="9" t="inlineStr">
        <is>
          <t>Bryan De La Cruz</t>
        </is>
      </c>
      <c r="C2612" s="9" t="inlineStr">
        <is>
          <t>PHI</t>
        </is>
      </c>
      <c r="D2612" s="9" t="n">
        <v>30</v>
      </c>
      <c r="E2612" s="16" t="inlineStr">
        <is>
          <t>R</t>
        </is>
      </c>
      <c r="F2612" s="16" t="inlineStr">
        <is>
          <t>RF</t>
        </is>
      </c>
      <c r="G2612" s="9" t="n">
        <v>86</v>
      </c>
      <c r="H2612" s="9" t="n">
        <v>1739</v>
      </c>
      <c r="I2612" s="9" t="inlineStr">
        <is>
          <t>Weak Side Platoon</t>
        </is>
      </c>
      <c r="J2612" s="16" t="inlineStr">
        <is>
          <t>Opening Day</t>
        </is>
      </c>
      <c r="K2612" s="11">
        <f>IFERROR(INDEX(Roles!$B$17:$B$20,MATCH(J2612,Roles!$A$17:$A$20,0)),1)</f>
        <v/>
      </c>
      <c r="L2612" s="17" t="n">
        <v>1</v>
      </c>
      <c r="M2612" s="11" t="n">
        <v>0.739497231768607</v>
      </c>
      <c r="N2612" s="17" t="n"/>
      <c r="O2612" s="17" t="n"/>
      <c r="P2612" s="17" t="n"/>
      <c r="Q2612" s="17" t="n">
        <v>0.6</v>
      </c>
      <c r="R2612" s="17" t="n"/>
      <c r="S2612" s="17" t="n"/>
      <c r="T2612" s="17" t="n"/>
      <c r="U2612" s="17" t="n"/>
      <c r="V2612" s="17" t="n">
        <v>0.4</v>
      </c>
      <c r="W2612" s="17" t="n"/>
      <c r="X2612" s="17" t="n"/>
      <c r="Y2612" s="17" t="n"/>
      <c r="Z2612" s="13">
        <f>SUMPRODUCT(N2612:Y2612,$N$2:$Y$2)*$K2612*$L2612*$M2612</f>
        <v/>
      </c>
      <c r="AA2612" s="14">
        <f>SUM(N2612:Y2612)</f>
        <v/>
      </c>
      <c r="AB2612" s="14">
        <f>IFERROR(IF(UPPER($E2612)="L",SUMPRODUCT(N2612:Y2612,$N$3:$Y$3,$N$2:$Y$2),SUMPRODUCT(N2612:Y2612,$N$4:$Y$4,$N$2:$Y$2))/(Z2612/($K2612*$L2612*$M2612)),"")</f>
        <v/>
      </c>
      <c r="AC2612" s="18" t="n"/>
    </row>
    <row r="2613">
      <c r="A2613" s="9" t="n">
        <v>677060</v>
      </c>
      <c r="B2613" s="9" t="inlineStr">
        <is>
          <t>Chad Stevens</t>
        </is>
      </c>
      <c r="C2613" s="9" t="inlineStr">
        <is>
          <t>COL</t>
        </is>
      </c>
      <c r="D2613" s="9" t="n">
        <v>28</v>
      </c>
      <c r="E2613" s="16" t="inlineStr">
        <is>
          <t>R</t>
        </is>
      </c>
      <c r="F2613" s="16" t="inlineStr">
        <is>
          <t>2B</t>
        </is>
      </c>
      <c r="G2613" s="9" t="n">
        <v>34</v>
      </c>
      <c r="H2613" s="9" t="n">
        <v>48</v>
      </c>
      <c r="I2613" s="9" t="inlineStr">
        <is>
          <t>Bench Bat</t>
        </is>
      </c>
      <c r="J2613" s="16" t="inlineStr">
        <is>
          <t>Opening Day</t>
        </is>
      </c>
      <c r="K2613" s="11">
        <f>IFERROR(INDEX(Roles!$B$17:$B$20,MATCH(J2613,Roles!$A$17:$A$20,0)),1)</f>
        <v/>
      </c>
      <c r="L2613" s="17" t="n">
        <v>1</v>
      </c>
      <c r="M2613" s="11" t="n">
        <v>1</v>
      </c>
      <c r="N2613" s="17" t="n"/>
      <c r="O2613" s="17" t="n"/>
      <c r="P2613" s="17" t="n"/>
      <c r="Q2613" s="17" t="n"/>
      <c r="R2613" s="17" t="n"/>
      <c r="S2613" s="17" t="n"/>
      <c r="T2613" s="17" t="n"/>
      <c r="U2613" s="17" t="n"/>
      <c r="V2613" s="17" t="n"/>
      <c r="W2613" s="17" t="n">
        <v>1</v>
      </c>
      <c r="X2613" s="17" t="n"/>
      <c r="Y2613" s="17" t="n"/>
      <c r="Z2613" s="13">
        <f>SUMPRODUCT(N2613:Y2613,$N$2:$Y$2)*$K2613*$L2613*$M2613</f>
        <v/>
      </c>
      <c r="AA2613" s="14">
        <f>SUM(N2613:Y2613)</f>
        <v/>
      </c>
      <c r="AB2613" s="14">
        <f>IFERROR(IF(UPPER($E2613)="L",SUMPRODUCT(N2613:Y2613,$N$3:$Y$3,$N$2:$Y$2),SUMPRODUCT(N2613:Y2613,$N$4:$Y$4,$N$2:$Y$2))/(Z2613/($K2613*$L2613*$M2613)),"")</f>
        <v/>
      </c>
      <c r="AC2613" s="18" t="n"/>
    </row>
    <row r="2614">
      <c r="A2614" s="9" t="n">
        <v>456781</v>
      </c>
      <c r="B2614" s="9" t="inlineStr">
        <is>
          <t>Donovan Solano</t>
        </is>
      </c>
      <c r="C2614" s="9" t="inlineStr">
        <is>
          <t>TEX</t>
        </is>
      </c>
      <c r="D2614" s="9" t="n">
        <v>39</v>
      </c>
      <c r="E2614" s="16" t="inlineStr">
        <is>
          <t>R</t>
        </is>
      </c>
      <c r="F2614" s="16" t="inlineStr">
        <is>
          <t>1B</t>
        </is>
      </c>
      <c r="G2614" s="9" t="n">
        <v>179</v>
      </c>
      <c r="H2614" s="9" t="n">
        <v>1242</v>
      </c>
      <c r="I2614" s="9" t="inlineStr">
        <is>
          <t>Bench Bat</t>
        </is>
      </c>
      <c r="J2614" s="16" t="inlineStr">
        <is>
          <t>Opening Day</t>
        </is>
      </c>
      <c r="K2614" s="11">
        <f>IFERROR(INDEX(Roles!$B$17:$B$20,MATCH(J2614,Roles!$A$17:$A$20,0)),1)</f>
        <v/>
      </c>
      <c r="L2614" s="17" t="n">
        <v>1</v>
      </c>
      <c r="M2614" s="11" t="n">
        <v>1</v>
      </c>
      <c r="N2614" s="17" t="n"/>
      <c r="O2614" s="17" t="n"/>
      <c r="P2614" s="17" t="n"/>
      <c r="Q2614" s="17" t="n"/>
      <c r="R2614" s="17" t="n"/>
      <c r="S2614" s="17" t="n"/>
      <c r="T2614" s="17" t="n"/>
      <c r="U2614" s="17" t="n"/>
      <c r="V2614" s="17" t="n"/>
      <c r="W2614" s="17" t="n">
        <v>1</v>
      </c>
      <c r="X2614" s="17" t="n"/>
      <c r="Y2614" s="17" t="n"/>
      <c r="Z2614" s="13">
        <f>SUMPRODUCT(N2614:Y2614,$N$2:$Y$2)*$K2614*$L2614*$M2614</f>
        <v/>
      </c>
      <c r="AA2614" s="14">
        <f>SUM(N2614:Y2614)</f>
        <v/>
      </c>
      <c r="AB2614" s="14">
        <f>IFERROR(IF(UPPER($E2614)="L",SUMPRODUCT(N2614:Y2614,$N$3:$Y$3,$N$2:$Y$2),SUMPRODUCT(N2614:Y2614,$N$4:$Y$4,$N$2:$Y$2))/(Z2614/($K2614*$L2614*$M2614)),"")</f>
        <v/>
      </c>
      <c r="AC2614" s="18" t="n"/>
    </row>
    <row r="2615">
      <c r="A2615" s="9" t="n">
        <v>686976</v>
      </c>
      <c r="B2615" s="9" t="inlineStr">
        <is>
          <t>Silas Ardoin</t>
        </is>
      </c>
      <c r="C2615" s="9" t="inlineStr">
        <is>
          <t>BAL</t>
        </is>
      </c>
      <c r="D2615" s="9" t="n">
        <v>25</v>
      </c>
      <c r="E2615" s="16" t="inlineStr">
        <is>
          <t>R</t>
        </is>
      </c>
      <c r="F2615" s="16" t="n"/>
      <c r="G2615" s="9" t="n">
        <v>133.6923076923077</v>
      </c>
      <c r="H2615" s="9" t="n">
        <v>133.6923076923077</v>
      </c>
      <c r="I2615" s="9" t="inlineStr">
        <is>
          <t>Depth (no MLB PA)</t>
        </is>
      </c>
      <c r="J2615" s="16" t="inlineStr">
        <is>
          <t>Opening Day</t>
        </is>
      </c>
      <c r="K2615" s="11">
        <f>IFERROR(INDEX(Roles!$B$17:$B$20,MATCH(J2615,Roles!$A$17:$A$20,0)),1)</f>
        <v/>
      </c>
      <c r="L2615" s="17" t="n">
        <v>1</v>
      </c>
      <c r="M2615" s="11" t="n">
        <v>1</v>
      </c>
      <c r="N2615" s="17" t="n"/>
      <c r="O2615" s="17" t="n"/>
      <c r="P2615" s="17" t="n"/>
      <c r="Q2615" s="17" t="n"/>
      <c r="R2615" s="17" t="n"/>
      <c r="S2615" s="17" t="n"/>
      <c r="T2615" s="17" t="n"/>
      <c r="U2615" s="17" t="n"/>
      <c r="V2615" s="17" t="n"/>
      <c r="W2615" s="17" t="n"/>
      <c r="X2615" s="17" t="n"/>
      <c r="Y2615" s="17" t="n">
        <v>1</v>
      </c>
      <c r="Z2615" s="13">
        <f>SUMPRODUCT(N2615:Y2615,$N$2:$Y$2)*$K2615*$L2615*$M2615</f>
        <v/>
      </c>
      <c r="AA2615" s="14">
        <f>SUM(N2615:Y2615)</f>
        <v/>
      </c>
      <c r="AB2615" s="14">
        <f>IFERROR(IF(UPPER($E2615)="L",SUMPRODUCT(N2615:Y2615,$N$3:$Y$3,$N$2:$Y$2),SUMPRODUCT(N2615:Y2615,$N$4:$Y$4,$N$2:$Y$2))/(Z2615/($K2615*$L2615*$M2615)),"")</f>
        <v/>
      </c>
      <c r="AC2615" s="18" t="n"/>
    </row>
    <row r="2616">
      <c r="A2616" s="9" t="n">
        <v>694384</v>
      </c>
      <c r="B2616" s="9" t="inlineStr">
        <is>
          <t>Nolan Schanuel</t>
        </is>
      </c>
      <c r="C2616" s="9" t="inlineStr">
        <is>
          <t>LAA</t>
        </is>
      </c>
      <c r="D2616" s="9" t="n">
        <v>25</v>
      </c>
      <c r="E2616" s="16" t="inlineStr">
        <is>
          <t>L</t>
        </is>
      </c>
      <c r="F2616" s="16" t="inlineStr">
        <is>
          <t>1B</t>
        </is>
      </c>
      <c r="G2616" s="9" t="n">
        <v>446</v>
      </c>
      <c r="H2616" s="9" t="n">
        <v>1749</v>
      </c>
      <c r="I2616" s="9" t="inlineStr">
        <is>
          <t>Full Time</t>
        </is>
      </c>
      <c r="J2616" s="16" t="inlineStr">
        <is>
          <t>Opening Day</t>
        </is>
      </c>
      <c r="K2616" s="11">
        <f>IFERROR(INDEX(Roles!$B$17:$B$20,MATCH(J2616,Roles!$A$17:$A$20,0)),1)</f>
        <v/>
      </c>
      <c r="L2616" s="17" t="n">
        <v>1</v>
      </c>
      <c r="M2616" s="11" t="n">
        <v>0.991649575493376</v>
      </c>
      <c r="N2616" s="17" t="n">
        <v>1</v>
      </c>
      <c r="O2616" s="17" t="n"/>
      <c r="P2616" s="17" t="n"/>
      <c r="Q2616" s="17" t="n"/>
      <c r="R2616" s="17" t="n"/>
      <c r="S2616" s="17" t="n"/>
      <c r="T2616" s="17" t="n"/>
      <c r="U2616" s="17" t="n"/>
      <c r="V2616" s="17" t="n"/>
      <c r="W2616" s="17" t="n"/>
      <c r="X2616" s="17" t="n"/>
      <c r="Y2616" s="17" t="n"/>
      <c r="Z2616" s="13">
        <f>SUMPRODUCT(N2616:Y2616,$N$2:$Y$2)*$K2616*$L2616*$M2616</f>
        <v/>
      </c>
      <c r="AA2616" s="14">
        <f>SUM(N2616:Y2616)</f>
        <v/>
      </c>
      <c r="AB2616" s="14">
        <f>IFERROR(IF(UPPER($E2616)="L",SUMPRODUCT(N2616:Y2616,$N$3:$Y$3,$N$2:$Y$2),SUMPRODUCT(N2616:Y2616,$N$4:$Y$4,$N$2:$Y$2))/(Z2616/($K2616*$L2616*$M2616)),"")</f>
        <v/>
      </c>
      <c r="AC2616" s="18" t="n"/>
    </row>
    <row r="2617">
      <c r="A2617" s="9" t="n">
        <v>502054</v>
      </c>
      <c r="B2617" s="9" t="inlineStr">
        <is>
          <t>Tommy Pham</t>
        </is>
      </c>
      <c r="C2617" s="9" t="inlineStr">
        <is>
          <t>CWS</t>
        </is>
      </c>
      <c r="D2617" s="9" t="n">
        <v>39</v>
      </c>
      <c r="E2617" s="16" t="inlineStr">
        <is>
          <t>R</t>
        </is>
      </c>
      <c r="F2617" s="16" t="inlineStr">
        <is>
          <t>LF</t>
        </is>
      </c>
      <c r="G2617" s="9" t="n">
        <v>35</v>
      </c>
      <c r="H2617" s="9" t="n">
        <v>2065</v>
      </c>
      <c r="I2617" s="9" t="inlineStr">
        <is>
          <t>Utility OF / 4th OF</t>
        </is>
      </c>
      <c r="J2617" s="16" t="inlineStr">
        <is>
          <t>Opening Day</t>
        </is>
      </c>
      <c r="K2617" s="11">
        <f>IFERROR(INDEX(Roles!$B$17:$B$20,MATCH(J2617,Roles!$A$17:$A$20,0)),1)</f>
        <v/>
      </c>
      <c r="L2617" s="17" t="n">
        <v>1</v>
      </c>
      <c r="M2617" s="11" t="n">
        <v>0.8147956343804734</v>
      </c>
      <c r="N2617" s="17" t="n"/>
      <c r="O2617" s="17" t="n"/>
      <c r="P2617" s="17" t="n"/>
      <c r="Q2617" s="17" t="n"/>
      <c r="R2617" s="17" t="n"/>
      <c r="S2617" s="17" t="n"/>
      <c r="T2617" s="17" t="n"/>
      <c r="U2617" s="17" t="n"/>
      <c r="V2617" s="17" t="n">
        <v>0.7</v>
      </c>
      <c r="W2617" s="17" t="n">
        <v>0.3</v>
      </c>
      <c r="X2617" s="17" t="n"/>
      <c r="Y2617" s="17" t="n"/>
      <c r="Z2617" s="13">
        <f>SUMPRODUCT(N2617:Y2617,$N$2:$Y$2)*$K2617*$L2617*$M2617</f>
        <v/>
      </c>
      <c r="AA2617" s="14">
        <f>SUM(N2617:Y2617)</f>
        <v/>
      </c>
      <c r="AB2617" s="14">
        <f>IFERROR(IF(UPPER($E2617)="L",SUMPRODUCT(N2617:Y2617,$N$3:$Y$3,$N$2:$Y$2),SUMPRODUCT(N2617:Y2617,$N$4:$Y$4,$N$2:$Y$2))/(Z2617/($K2617*$L2617*$M2617)),"")</f>
        <v/>
      </c>
      <c r="AC2617" s="18" t="n"/>
    </row>
    <row r="2618">
      <c r="A2618" s="9" t="n">
        <v>669386</v>
      </c>
      <c r="B2618" s="9" t="inlineStr">
        <is>
          <t>Trevor Hauver</t>
        </is>
      </c>
      <c r="C2618" s="9" t="inlineStr">
        <is>
          <t>TEX</t>
        </is>
      </c>
      <c r="D2618" s="9" t="n">
        <v>25</v>
      </c>
      <c r="E2618" s="16" t="inlineStr">
        <is>
          <t>L</t>
        </is>
      </c>
      <c r="F2618" s="16" t="n"/>
      <c r="G2618" s="9" t="n">
        <v>281.4871794871795</v>
      </c>
      <c r="H2618" s="9" t="n">
        <v>281.4871794871795</v>
      </c>
      <c r="I2618" s="9" t="inlineStr">
        <is>
          <t>Depth (no MLB PA)</t>
        </is>
      </c>
      <c r="J2618" s="16" t="inlineStr">
        <is>
          <t>Opening Day</t>
        </is>
      </c>
      <c r="K2618" s="11">
        <f>IFERROR(INDEX(Roles!$B$17:$B$20,MATCH(J2618,Roles!$A$17:$A$20,0)),1)</f>
        <v/>
      </c>
      <c r="L2618" s="17" t="n">
        <v>1</v>
      </c>
      <c r="M2618" s="11" t="n">
        <v>1</v>
      </c>
      <c r="N2618" s="17" t="n"/>
      <c r="O2618" s="17" t="n"/>
      <c r="P2618" s="17" t="n"/>
      <c r="Q2618" s="17" t="n"/>
      <c r="R2618" s="17" t="n"/>
      <c r="S2618" s="17" t="n"/>
      <c r="T2618" s="17" t="n"/>
      <c r="U2618" s="17" t="n"/>
      <c r="V2618" s="17" t="n"/>
      <c r="W2618" s="17" t="n"/>
      <c r="X2618" s="17" t="n"/>
      <c r="Y2618" s="17" t="n">
        <v>1</v>
      </c>
      <c r="Z2618" s="13">
        <f>SUMPRODUCT(N2618:Y2618,$N$2:$Y$2)*$K2618*$L2618*$M2618</f>
        <v/>
      </c>
      <c r="AA2618" s="14">
        <f>SUM(N2618:Y2618)</f>
        <v/>
      </c>
      <c r="AB2618" s="14">
        <f>IFERROR(IF(UPPER($E2618)="L",SUMPRODUCT(N2618:Y2618,$N$3:$Y$3,$N$2:$Y$2),SUMPRODUCT(N2618:Y2618,$N$4:$Y$4,$N$2:$Y$2))/(Z2618/($K2618*$L2618*$M2618)),"")</f>
        <v/>
      </c>
      <c r="AC2618" s="18" t="n"/>
    </row>
    <row r="2619">
      <c r="A2619" s="9" t="n">
        <v>667472</v>
      </c>
      <c r="B2619" s="9" t="inlineStr">
        <is>
          <t>Dane Myers</t>
        </is>
      </c>
      <c r="C2619" s="9" t="inlineStr">
        <is>
          <t>CIN</t>
        </is>
      </c>
      <c r="D2619" s="9" t="n">
        <v>31</v>
      </c>
      <c r="E2619" s="16" t="inlineStr">
        <is>
          <t>R</t>
        </is>
      </c>
      <c r="F2619" s="16" t="inlineStr">
        <is>
          <t>CF</t>
        </is>
      </c>
      <c r="G2619" s="9" t="n">
        <v>334</v>
      </c>
      <c r="H2619" s="9" t="n">
        <v>845</v>
      </c>
      <c r="I2619" s="9" t="inlineStr">
        <is>
          <t>Weak Side Platoon</t>
        </is>
      </c>
      <c r="J2619" s="16" t="inlineStr">
        <is>
          <t>Opening Day</t>
        </is>
      </c>
      <c r="K2619" s="11">
        <f>IFERROR(INDEX(Roles!$B$17:$B$20,MATCH(J2619,Roles!$A$17:$A$20,0)),1)</f>
        <v/>
      </c>
      <c r="L2619" s="17" t="n">
        <v>1</v>
      </c>
      <c r="M2619" s="11" t="n">
        <v>1.051786041002329</v>
      </c>
      <c r="N2619" s="17" t="n"/>
      <c r="O2619" s="17" t="n"/>
      <c r="P2619" s="17" t="n"/>
      <c r="Q2619" s="17" t="n">
        <v>0.6</v>
      </c>
      <c r="R2619" s="17" t="n"/>
      <c r="S2619" s="17" t="n"/>
      <c r="T2619" s="17" t="n"/>
      <c r="U2619" s="17" t="n"/>
      <c r="V2619" s="17" t="n">
        <v>0.4</v>
      </c>
      <c r="W2619" s="17" t="n"/>
      <c r="X2619" s="17" t="n"/>
      <c r="Y2619" s="17" t="n"/>
      <c r="Z2619" s="13">
        <f>SUMPRODUCT(N2619:Y2619,$N$2:$Y$2)*$K2619*$L2619*$M2619</f>
        <v/>
      </c>
      <c r="AA2619" s="14">
        <f>SUM(N2619:Y2619)</f>
        <v/>
      </c>
      <c r="AB2619" s="14">
        <f>IFERROR(IF(UPPER($E2619)="L",SUMPRODUCT(N2619:Y2619,$N$3:$Y$3,$N$2:$Y$2),SUMPRODUCT(N2619:Y2619,$N$4:$Y$4,$N$2:$Y$2))/(Z2619/($K2619*$L2619*$M2619)),"")</f>
        <v/>
      </c>
      <c r="AC2619" s="18" t="n"/>
    </row>
    <row r="2620">
      <c r="A2620" s="9" t="n">
        <v>689302</v>
      </c>
      <c r="B2620" s="9" t="inlineStr">
        <is>
          <t>Karson Simas</t>
        </is>
      </c>
      <c r="C2620" s="9" t="inlineStr">
        <is>
          <t>CHC</t>
        </is>
      </c>
      <c r="D2620" s="9" t="n">
        <v>25</v>
      </c>
      <c r="E2620" s="16" t="inlineStr">
        <is>
          <t>R</t>
        </is>
      </c>
      <c r="F2620" s="16" t="n"/>
      <c r="G2620" s="9" t="n">
        <v>164.051282051282</v>
      </c>
      <c r="H2620" s="9" t="n">
        <v>164.051282051282</v>
      </c>
      <c r="I2620" s="9" t="inlineStr">
        <is>
          <t>Depth (no MLB PA)</t>
        </is>
      </c>
      <c r="J2620" s="16" t="inlineStr">
        <is>
          <t>Opening Day</t>
        </is>
      </c>
      <c r="K2620" s="11">
        <f>IFERROR(INDEX(Roles!$B$17:$B$20,MATCH(J2620,Roles!$A$17:$A$20,0)),1)</f>
        <v/>
      </c>
      <c r="L2620" s="17" t="n">
        <v>1</v>
      </c>
      <c r="M2620" s="11" t="n">
        <v>1</v>
      </c>
      <c r="N2620" s="17" t="n"/>
      <c r="O2620" s="17" t="n"/>
      <c r="P2620" s="17" t="n"/>
      <c r="Q2620" s="17" t="n"/>
      <c r="R2620" s="17" t="n"/>
      <c r="S2620" s="17" t="n"/>
      <c r="T2620" s="17" t="n"/>
      <c r="U2620" s="17" t="n"/>
      <c r="V2620" s="17" t="n"/>
      <c r="W2620" s="17" t="n"/>
      <c r="X2620" s="17" t="n"/>
      <c r="Y2620" s="17" t="n">
        <v>1</v>
      </c>
      <c r="Z2620" s="13">
        <f>SUMPRODUCT(N2620:Y2620,$N$2:$Y$2)*$K2620*$L2620*$M2620</f>
        <v/>
      </c>
      <c r="AA2620" s="14">
        <f>SUM(N2620:Y2620)</f>
        <v/>
      </c>
      <c r="AB2620" s="14">
        <f>IFERROR(IF(UPPER($E2620)="L",SUMPRODUCT(N2620:Y2620,$N$3:$Y$3,$N$2:$Y$2),SUMPRODUCT(N2620:Y2620,$N$4:$Y$4,$N$2:$Y$2))/(Z2620/($K2620*$L2620*$M2620)),"")</f>
        <v/>
      </c>
      <c r="AC2620" s="18" t="n"/>
    </row>
    <row r="2621">
      <c r="A2621" s="9" t="n">
        <v>690961</v>
      </c>
      <c r="B2621" s="9" t="inlineStr">
        <is>
          <t>Enrique Bradfield Jr.</t>
        </is>
      </c>
      <c r="C2621" s="9" t="inlineStr">
        <is>
          <t>BAL</t>
        </is>
      </c>
      <c r="D2621" s="9" t="n">
        <v>25</v>
      </c>
      <c r="E2621" s="16" t="inlineStr">
        <is>
          <t>L</t>
        </is>
      </c>
      <c r="F2621" s="16" t="n"/>
      <c r="G2621" s="9" t="n">
        <v>201.3846153846154</v>
      </c>
      <c r="H2621" s="9" t="n">
        <v>201.3846153846154</v>
      </c>
      <c r="I2621" s="9" t="inlineStr">
        <is>
          <t>Depth (no MLB PA)</t>
        </is>
      </c>
      <c r="J2621" s="16" t="inlineStr">
        <is>
          <t>Opening Day</t>
        </is>
      </c>
      <c r="K2621" s="11">
        <f>IFERROR(INDEX(Roles!$B$17:$B$20,MATCH(J2621,Roles!$A$17:$A$20,0)),1)</f>
        <v/>
      </c>
      <c r="L2621" s="17" t="n">
        <v>1</v>
      </c>
      <c r="M2621" s="11" t="n">
        <v>1</v>
      </c>
      <c r="N2621" s="17" t="n"/>
      <c r="O2621" s="17" t="n"/>
      <c r="P2621" s="17" t="n"/>
      <c r="Q2621" s="17" t="n"/>
      <c r="R2621" s="17" t="n"/>
      <c r="S2621" s="17" t="n"/>
      <c r="T2621" s="17" t="n"/>
      <c r="U2621" s="17" t="n"/>
      <c r="V2621" s="17" t="n"/>
      <c r="W2621" s="17" t="n"/>
      <c r="X2621" s="17" t="n"/>
      <c r="Y2621" s="17" t="n">
        <v>1</v>
      </c>
      <c r="Z2621" s="13">
        <f>SUMPRODUCT(N2621:Y2621,$N$2:$Y$2)*$K2621*$L2621*$M2621</f>
        <v/>
      </c>
      <c r="AA2621" s="14">
        <f>SUM(N2621:Y2621)</f>
        <v/>
      </c>
      <c r="AB2621" s="14">
        <f>IFERROR(IF(UPPER($E2621)="L",SUMPRODUCT(N2621:Y2621,$N$3:$Y$3,$N$2:$Y$2),SUMPRODUCT(N2621:Y2621,$N$4:$Y$4,$N$2:$Y$2))/(Z2621/($K2621*$L2621*$M2621)),"")</f>
        <v/>
      </c>
      <c r="AC2621" s="18" t="n"/>
    </row>
    <row r="2622">
      <c r="A2622" s="9" t="n">
        <v>605353</v>
      </c>
      <c r="B2622" s="9" t="inlineStr">
        <is>
          <t>Vimael Machín</t>
        </is>
      </c>
      <c r="C2622" s="9" t="inlineStr">
        <is>
          <t>OAK</t>
        </is>
      </c>
      <c r="D2622" s="9" t="n">
        <v>33</v>
      </c>
      <c r="E2622" s="16" t="inlineStr">
        <is>
          <t>L</t>
        </is>
      </c>
      <c r="F2622" s="16" t="inlineStr">
        <is>
          <t>3B</t>
        </is>
      </c>
      <c r="G2622" s="9" t="n">
        <v>6</v>
      </c>
      <c r="H2622" s="9" t="n">
        <v>271</v>
      </c>
      <c r="I2622" s="9" t="inlineStr">
        <is>
          <t>Depth (no MLB PA)</t>
        </is>
      </c>
      <c r="J2622" s="16" t="inlineStr">
        <is>
          <t>Opening Day</t>
        </is>
      </c>
      <c r="K2622" s="11">
        <f>IFERROR(INDEX(Roles!$B$17:$B$20,MATCH(J2622,Roles!$A$17:$A$20,0)),1)</f>
        <v/>
      </c>
      <c r="L2622" s="17" t="n">
        <v>1</v>
      </c>
      <c r="M2622" s="11" t="n">
        <v>1</v>
      </c>
      <c r="N2622" s="17" t="n"/>
      <c r="O2622" s="17" t="n"/>
      <c r="P2622" s="17" t="n"/>
      <c r="Q2622" s="17" t="n"/>
      <c r="R2622" s="17" t="n"/>
      <c r="S2622" s="17" t="n"/>
      <c r="T2622" s="17" t="n"/>
      <c r="U2622" s="17" t="n"/>
      <c r="V2622" s="17" t="n"/>
      <c r="W2622" s="17" t="n"/>
      <c r="X2622" s="17" t="n"/>
      <c r="Y2622" s="17" t="n">
        <v>1</v>
      </c>
      <c r="Z2622" s="13">
        <f>SUMPRODUCT(N2622:Y2622,$N$2:$Y$2)*$K2622*$L2622*$M2622</f>
        <v/>
      </c>
      <c r="AA2622" s="14">
        <f>SUM(N2622:Y2622)</f>
        <v/>
      </c>
      <c r="AB2622" s="14">
        <f>IFERROR(IF(UPPER($E2622)="L",SUMPRODUCT(N2622:Y2622,$N$3:$Y$3,$N$2:$Y$2),SUMPRODUCT(N2622:Y2622,$N$4:$Y$4,$N$2:$Y$2))/(Z2622/($K2622*$L2622*$M2622)),"")</f>
        <v/>
      </c>
      <c r="AC2622" s="18" t="n"/>
    </row>
    <row r="2623">
      <c r="A2623" s="9" t="n">
        <v>677649</v>
      </c>
      <c r="B2623" s="9" t="inlineStr">
        <is>
          <t>Ezequiel Duran</t>
        </is>
      </c>
      <c r="C2623" s="9" t="inlineStr">
        <is>
          <t>TEX</t>
        </is>
      </c>
      <c r="D2623" s="9" t="n">
        <v>28</v>
      </c>
      <c r="E2623" s="16" t="inlineStr">
        <is>
          <t>R</t>
        </is>
      </c>
      <c r="F2623" s="16" t="inlineStr">
        <is>
          <t>SS</t>
        </is>
      </c>
      <c r="G2623" s="9" t="n">
        <v>597</v>
      </c>
      <c r="H2623" s="9" t="n">
        <v>1760</v>
      </c>
      <c r="I2623" s="9" t="inlineStr">
        <is>
          <t>Full Time</t>
        </is>
      </c>
      <c r="J2623" s="16" t="inlineStr">
        <is>
          <t>Opening Day</t>
        </is>
      </c>
      <c r="K2623" s="11">
        <f>IFERROR(INDEX(Roles!$B$17:$B$20,MATCH(J2623,Roles!$A$17:$A$20,0)),1)</f>
        <v/>
      </c>
      <c r="L2623" s="17" t="n">
        <v>1</v>
      </c>
      <c r="M2623" s="11" t="n">
        <v>1.029897516619241</v>
      </c>
      <c r="N2623" s="17" t="n">
        <v>0.85</v>
      </c>
      <c r="O2623" s="17" t="n"/>
      <c r="P2623" s="17" t="n">
        <v>0.15</v>
      </c>
      <c r="Q2623" s="17" t="n"/>
      <c r="R2623" s="17" t="n"/>
      <c r="S2623" s="17" t="n"/>
      <c r="T2623" s="17" t="n"/>
      <c r="U2623" s="17" t="n"/>
      <c r="V2623" s="17" t="n"/>
      <c r="W2623" s="17" t="n"/>
      <c r="X2623" s="17" t="n"/>
      <c r="Y2623" s="17" t="n"/>
      <c r="Z2623" s="13">
        <f>SUMPRODUCT(N2623:Y2623,$N$2:$Y$2)*$K2623*$L2623*$M2623</f>
        <v/>
      </c>
      <c r="AA2623" s="14">
        <f>SUM(N2623:Y2623)</f>
        <v/>
      </c>
      <c r="AB2623" s="14">
        <f>IFERROR(IF(UPPER($E2623)="L",SUMPRODUCT(N2623:Y2623,$N$3:$Y$3,$N$2:$Y$2),SUMPRODUCT(N2623:Y2623,$N$4:$Y$4,$N$2:$Y$2))/(Z2623/($K2623*$L2623*$M2623)),"")</f>
        <v/>
      </c>
      <c r="AC2623" s="18" t="n"/>
    </row>
    <row r="2624">
      <c r="A2624" s="9" t="n">
        <v>677941</v>
      </c>
      <c r="B2624" s="9" t="inlineStr">
        <is>
          <t>Jordyn Adams</t>
        </is>
      </c>
      <c r="C2624" s="9" t="inlineStr">
        <is>
          <t>LAA</t>
        </is>
      </c>
      <c r="D2624" s="9" t="n">
        <v>27</v>
      </c>
      <c r="E2624" s="16" t="inlineStr">
        <is>
          <t>R</t>
        </is>
      </c>
      <c r="F2624" s="16" t="inlineStr">
        <is>
          <t>CF</t>
        </is>
      </c>
      <c r="G2624" s="9" t="n">
        <v>5</v>
      </c>
      <c r="H2624" s="9" t="n">
        <v>83</v>
      </c>
      <c r="I2624" s="9" t="inlineStr">
        <is>
          <t>Depth (no MLB PA)</t>
        </is>
      </c>
      <c r="J2624" s="16" t="inlineStr">
        <is>
          <t>Opening Day</t>
        </is>
      </c>
      <c r="K2624" s="11">
        <f>IFERROR(INDEX(Roles!$B$17:$B$20,MATCH(J2624,Roles!$A$17:$A$20,0)),1)</f>
        <v/>
      </c>
      <c r="L2624" s="17" t="n">
        <v>1</v>
      </c>
      <c r="M2624" s="11" t="n">
        <v>1</v>
      </c>
      <c r="N2624" s="17" t="n"/>
      <c r="O2624" s="17" t="n"/>
      <c r="P2624" s="17" t="n"/>
      <c r="Q2624" s="17" t="n"/>
      <c r="R2624" s="17" t="n"/>
      <c r="S2624" s="17" t="n"/>
      <c r="T2624" s="17" t="n"/>
      <c r="U2624" s="17" t="n"/>
      <c r="V2624" s="17" t="n"/>
      <c r="W2624" s="17" t="n"/>
      <c r="X2624" s="17" t="n"/>
      <c r="Y2624" s="17" t="n">
        <v>1</v>
      </c>
      <c r="Z2624" s="13">
        <f>SUMPRODUCT(N2624:Y2624,$N$2:$Y$2)*$K2624*$L2624*$M2624</f>
        <v/>
      </c>
      <c r="AA2624" s="14">
        <f>SUM(N2624:Y2624)</f>
        <v/>
      </c>
      <c r="AB2624" s="14">
        <f>IFERROR(IF(UPPER($E2624)="L",SUMPRODUCT(N2624:Y2624,$N$3:$Y$3,$N$2:$Y$2),SUMPRODUCT(N2624:Y2624,$N$4:$Y$4,$N$2:$Y$2))/(Z2624/($K2624*$L2624*$M2624)),"")</f>
        <v/>
      </c>
      <c r="AC2624" s="18" t="n"/>
    </row>
    <row r="2625">
      <c r="A2625" s="9" t="n">
        <v>676551</v>
      </c>
      <c r="B2625" s="9" t="inlineStr">
        <is>
          <t>Brewer Hicklen</t>
        </is>
      </c>
      <c r="C2625" s="9" t="inlineStr">
        <is>
          <t>ATL</t>
        </is>
      </c>
      <c r="D2625" s="9" t="n">
        <v>31</v>
      </c>
      <c r="E2625" s="16" t="inlineStr">
        <is>
          <t>R</t>
        </is>
      </c>
      <c r="F2625" s="16" t="inlineStr">
        <is>
          <t>RF</t>
        </is>
      </c>
      <c r="G2625" s="9" t="n">
        <v>47</v>
      </c>
      <c r="H2625" s="9" t="n">
        <v>60</v>
      </c>
      <c r="I2625" s="9" t="inlineStr">
        <is>
          <t>Bench Bat</t>
        </is>
      </c>
      <c r="J2625" s="16" t="inlineStr">
        <is>
          <t>Opening Day</t>
        </is>
      </c>
      <c r="K2625" s="11">
        <f>IFERROR(INDEX(Roles!$B$17:$B$20,MATCH(J2625,Roles!$A$17:$A$20,0)),1)</f>
        <v/>
      </c>
      <c r="L2625" s="17" t="n">
        <v>1</v>
      </c>
      <c r="M2625" s="11" t="n">
        <v>1</v>
      </c>
      <c r="N2625" s="17" t="n"/>
      <c r="O2625" s="17" t="n"/>
      <c r="P2625" s="17" t="n"/>
      <c r="Q2625" s="17" t="n"/>
      <c r="R2625" s="17" t="n"/>
      <c r="S2625" s="17" t="n"/>
      <c r="T2625" s="17" t="n"/>
      <c r="U2625" s="17" t="n"/>
      <c r="V2625" s="17" t="n">
        <v>0.4</v>
      </c>
      <c r="W2625" s="17" t="n">
        <v>0.6</v>
      </c>
      <c r="X2625" s="17" t="n"/>
      <c r="Y2625" s="17" t="n"/>
      <c r="Z2625" s="13">
        <f>SUMPRODUCT(N2625:Y2625,$N$2:$Y$2)*$K2625*$L2625*$M2625</f>
        <v/>
      </c>
      <c r="AA2625" s="14">
        <f>SUM(N2625:Y2625)</f>
        <v/>
      </c>
      <c r="AB2625" s="14">
        <f>IFERROR(IF(UPPER($E2625)="L",SUMPRODUCT(N2625:Y2625,$N$3:$Y$3,$N$2:$Y$2),SUMPRODUCT(N2625:Y2625,$N$4:$Y$4,$N$2:$Y$2))/(Z2625/($K2625*$L2625*$M2625)),"")</f>
        <v/>
      </c>
      <c r="AC2625" s="18" t="n"/>
    </row>
    <row r="2626">
      <c r="A2626" s="9" t="n">
        <v>691176</v>
      </c>
      <c r="B2626" s="9" t="inlineStr">
        <is>
          <t>Jasson Domínguez</t>
        </is>
      </c>
      <c r="C2626" s="9" t="inlineStr">
        <is>
          <t>NYY</t>
        </is>
      </c>
      <c r="D2626" s="9" t="n">
        <v>24</v>
      </c>
      <c r="E2626" s="16" t="inlineStr">
        <is>
          <t>S</t>
        </is>
      </c>
      <c r="F2626" s="16" t="inlineStr">
        <is>
          <t>RF</t>
        </is>
      </c>
      <c r="G2626" s="9" t="n">
        <v>222</v>
      </c>
      <c r="H2626" s="9" t="n">
        <v>751</v>
      </c>
      <c r="I2626" s="9" t="inlineStr">
        <is>
          <t>Full Time</t>
        </is>
      </c>
      <c r="J2626" s="16" t="inlineStr">
        <is>
          <t>Opening Day</t>
        </is>
      </c>
      <c r="K2626" s="11">
        <f>IFERROR(INDEX(Roles!$B$17:$B$20,MATCH(J2626,Roles!$A$17:$A$20,0)),1)</f>
        <v/>
      </c>
      <c r="L2626" s="17" t="n">
        <v>1</v>
      </c>
      <c r="M2626" s="11" t="n">
        <v>0.7315635758374978</v>
      </c>
      <c r="N2626" s="17" t="n">
        <v>1</v>
      </c>
      <c r="O2626" s="17" t="n"/>
      <c r="P2626" s="17" t="n"/>
      <c r="Q2626" s="17" t="n"/>
      <c r="R2626" s="17" t="n"/>
      <c r="S2626" s="17" t="n"/>
      <c r="T2626" s="17" t="n"/>
      <c r="U2626" s="17" t="n"/>
      <c r="V2626" s="17" t="n"/>
      <c r="W2626" s="17" t="n"/>
      <c r="X2626" s="17" t="n"/>
      <c r="Y2626" s="17" t="n"/>
      <c r="Z2626" s="13">
        <f>SUMPRODUCT(N2626:Y2626,$N$2:$Y$2)*$K2626*$L2626*$M2626</f>
        <v/>
      </c>
      <c r="AA2626" s="14">
        <f>SUM(N2626:Y2626)</f>
        <v/>
      </c>
      <c r="AB2626" s="14">
        <f>IFERROR(IF(UPPER($E2626)="L",SUMPRODUCT(N2626:Y2626,$N$3:$Y$3,$N$2:$Y$2),SUMPRODUCT(N2626:Y2626,$N$4:$Y$4,$N$2:$Y$2))/(Z2626/($K2626*$L2626*$M2626)),"")</f>
        <v/>
      </c>
      <c r="AC2626" s="18" t="n"/>
    </row>
    <row r="2627">
      <c r="A2627" s="9" t="n">
        <v>694025</v>
      </c>
      <c r="B2627" s="9" t="inlineStr">
        <is>
          <t>Felix Reyes</t>
        </is>
      </c>
      <c r="C2627" s="9" t="inlineStr">
        <is>
          <t>PHI</t>
        </is>
      </c>
      <c r="D2627" s="9" t="n">
        <v>26</v>
      </c>
      <c r="E2627" s="16" t="inlineStr">
        <is>
          <t>R</t>
        </is>
      </c>
      <c r="F2627" s="16" t="inlineStr">
        <is>
          <t>LF</t>
        </is>
      </c>
      <c r="G2627" s="9" t="n">
        <v>38</v>
      </c>
      <c r="H2627" s="9" t="n">
        <v>38</v>
      </c>
      <c r="I2627" s="9" t="inlineStr">
        <is>
          <t>Bench Bat</t>
        </is>
      </c>
      <c r="J2627" s="16" t="inlineStr">
        <is>
          <t>Opening Day</t>
        </is>
      </c>
      <c r="K2627" s="11">
        <f>IFERROR(INDEX(Roles!$B$17:$B$20,MATCH(J2627,Roles!$A$17:$A$20,0)),1)</f>
        <v/>
      </c>
      <c r="L2627" s="17" t="n">
        <v>1</v>
      </c>
      <c r="M2627" s="11" t="n">
        <v>1</v>
      </c>
      <c r="N2627" s="17" t="n"/>
      <c r="O2627" s="17" t="n"/>
      <c r="P2627" s="17" t="n"/>
      <c r="Q2627" s="17" t="n"/>
      <c r="R2627" s="17" t="n"/>
      <c r="S2627" s="17" t="n"/>
      <c r="T2627" s="17" t="n"/>
      <c r="U2627" s="17" t="n"/>
      <c r="V2627" s="17" t="n"/>
      <c r="W2627" s="17" t="n">
        <v>0.85</v>
      </c>
      <c r="X2627" s="17" t="n">
        <v>0.15</v>
      </c>
      <c r="Y2627" s="17" t="n"/>
      <c r="Z2627" s="13">
        <f>SUMPRODUCT(N2627:Y2627,$N$2:$Y$2)*$K2627*$L2627*$M2627</f>
        <v/>
      </c>
      <c r="AA2627" s="14">
        <f>SUM(N2627:Y2627)</f>
        <v/>
      </c>
      <c r="AB2627" s="14">
        <f>IFERROR(IF(UPPER($E2627)="L",SUMPRODUCT(N2627:Y2627,$N$3:$Y$3,$N$2:$Y$2),SUMPRODUCT(N2627:Y2627,$N$4:$Y$4,$N$2:$Y$2))/(Z2627/($K2627*$L2627*$M2627)),"")</f>
        <v/>
      </c>
      <c r="AC2627" s="18" t="n"/>
    </row>
    <row r="2628">
      <c r="A2628" s="9" t="n">
        <v>701852</v>
      </c>
      <c r="B2628" s="9" t="inlineStr">
        <is>
          <t>Drew Cavanaugh</t>
        </is>
      </c>
      <c r="C2628" s="9" t="inlineStr">
        <is>
          <t>SF</t>
        </is>
      </c>
      <c r="D2628" s="9" t="n">
        <v>25</v>
      </c>
      <c r="E2628" s="16" t="inlineStr">
        <is>
          <t>L</t>
        </is>
      </c>
      <c r="F2628" s="16" t="inlineStr">
        <is>
          <t>C</t>
        </is>
      </c>
      <c r="G2628" s="9" t="n">
        <v>166</v>
      </c>
      <c r="H2628" s="9" t="n">
        <v>166</v>
      </c>
      <c r="I2628" s="9" t="inlineStr">
        <is>
          <t>Strong Side Platoon</t>
        </is>
      </c>
      <c r="J2628" s="16" t="inlineStr">
        <is>
          <t>Opening Day</t>
        </is>
      </c>
      <c r="K2628" s="11">
        <f>IFERROR(INDEX(Roles!$B$17:$B$20,MATCH(J2628,Roles!$A$17:$A$20,0)),1)</f>
        <v/>
      </c>
      <c r="L2628" s="17" t="n">
        <v>1</v>
      </c>
      <c r="M2628" s="11" t="n">
        <v>1</v>
      </c>
      <c r="N2628" s="17" t="n"/>
      <c r="O2628" s="17" t="n"/>
      <c r="P2628" s="17" t="n">
        <v>0.6</v>
      </c>
      <c r="Q2628" s="17" t="n"/>
      <c r="R2628" s="17" t="n">
        <v>0.4</v>
      </c>
      <c r="S2628" s="17" t="n"/>
      <c r="T2628" s="17" t="n"/>
      <c r="U2628" s="17" t="n"/>
      <c r="V2628" s="17" t="n"/>
      <c r="W2628" s="17" t="n"/>
      <c r="X2628" s="17" t="n"/>
      <c r="Y2628" s="17" t="n"/>
      <c r="Z2628" s="13">
        <f>SUMPRODUCT(N2628:Y2628,$N$2:$Y$2)*$K2628*$L2628*$M2628</f>
        <v/>
      </c>
      <c r="AA2628" s="14">
        <f>SUM(N2628:Y2628)</f>
        <v/>
      </c>
      <c r="AB2628" s="14">
        <f>IFERROR(IF(UPPER($E2628)="L",SUMPRODUCT(N2628:Y2628,$N$3:$Y$3,$N$2:$Y$2),SUMPRODUCT(N2628:Y2628,$N$4:$Y$4,$N$2:$Y$2))/(Z2628/($K2628*$L2628*$M2628)),"")</f>
        <v/>
      </c>
      <c r="AC2628" s="18" t="n"/>
    </row>
    <row r="2629">
      <c r="A2629" s="9" t="n">
        <v>687749</v>
      </c>
      <c r="B2629" s="9" t="inlineStr">
        <is>
          <t>Jase Bowen</t>
        </is>
      </c>
      <c r="C2629" s="9" t="inlineStr">
        <is>
          <t>SD</t>
        </is>
      </c>
      <c r="D2629" s="9" t="n">
        <v>26</v>
      </c>
      <c r="E2629" s="16" t="inlineStr">
        <is>
          <t>R</t>
        </is>
      </c>
      <c r="F2629" s="16" t="inlineStr">
        <is>
          <t>LF</t>
        </is>
      </c>
      <c r="G2629" s="9" t="n">
        <v>103</v>
      </c>
      <c r="H2629" s="9" t="n">
        <v>103</v>
      </c>
      <c r="I2629" s="9" t="inlineStr">
        <is>
          <t>Bench Bat</t>
        </is>
      </c>
      <c r="J2629" s="16" t="inlineStr">
        <is>
          <t>Opening Day</t>
        </is>
      </c>
      <c r="K2629" s="11">
        <f>IFERROR(INDEX(Roles!$B$17:$B$20,MATCH(J2629,Roles!$A$17:$A$20,0)),1)</f>
        <v/>
      </c>
      <c r="L2629" s="17" t="n">
        <v>1</v>
      </c>
      <c r="M2629" s="11" t="n">
        <v>1</v>
      </c>
      <c r="N2629" s="17" t="n"/>
      <c r="O2629" s="17" t="n"/>
      <c r="P2629" s="17" t="n"/>
      <c r="Q2629" s="17" t="n"/>
      <c r="R2629" s="17" t="n"/>
      <c r="S2629" s="17" t="n"/>
      <c r="T2629" s="17" t="n"/>
      <c r="U2629" s="17" t="n"/>
      <c r="V2629" s="17" t="n">
        <v>0.4</v>
      </c>
      <c r="W2629" s="17" t="n">
        <v>0.6</v>
      </c>
      <c r="X2629" s="17" t="n"/>
      <c r="Y2629" s="17" t="n"/>
      <c r="Z2629" s="13">
        <f>SUMPRODUCT(N2629:Y2629,$N$2:$Y$2)*$K2629*$L2629*$M2629</f>
        <v/>
      </c>
      <c r="AA2629" s="14">
        <f>SUM(N2629:Y2629)</f>
        <v/>
      </c>
      <c r="AB2629" s="14">
        <f>IFERROR(IF(UPPER($E2629)="L",SUMPRODUCT(N2629:Y2629,$N$3:$Y$3,$N$2:$Y$2),SUMPRODUCT(N2629:Y2629,$N$4:$Y$4,$N$2:$Y$2))/(Z2629/($K2629*$L2629*$M2629)),"")</f>
        <v/>
      </c>
      <c r="AC2629" s="18" t="n"/>
    </row>
    <row r="2630">
      <c r="A2630" s="9" t="n">
        <v>802506</v>
      </c>
      <c r="B2630" s="9" t="inlineStr">
        <is>
          <t>Dylan O'Rae</t>
        </is>
      </c>
      <c r="C2630" s="9" t="inlineStr">
        <is>
          <t>MIL</t>
        </is>
      </c>
      <c r="D2630" s="9" t="n">
        <v>25</v>
      </c>
      <c r="E2630" s="16" t="inlineStr">
        <is>
          <t>L</t>
        </is>
      </c>
      <c r="F2630" s="16" t="n"/>
      <c r="G2630" s="9" t="n">
        <v>152.2051282051282</v>
      </c>
      <c r="H2630" s="9" t="n">
        <v>152.2051282051282</v>
      </c>
      <c r="I2630" s="9" t="inlineStr">
        <is>
          <t>Depth (no MLB PA)</t>
        </is>
      </c>
      <c r="J2630" s="16" t="inlineStr">
        <is>
          <t>Opening Day</t>
        </is>
      </c>
      <c r="K2630" s="11">
        <f>IFERROR(INDEX(Roles!$B$17:$B$20,MATCH(J2630,Roles!$A$17:$A$20,0)),1)</f>
        <v/>
      </c>
      <c r="L2630" s="17" t="n">
        <v>1</v>
      </c>
      <c r="M2630" s="11" t="n">
        <v>1</v>
      </c>
      <c r="N2630" s="17" t="n"/>
      <c r="O2630" s="17" t="n"/>
      <c r="P2630" s="17" t="n"/>
      <c r="Q2630" s="17" t="n"/>
      <c r="R2630" s="17" t="n"/>
      <c r="S2630" s="17" t="n"/>
      <c r="T2630" s="17" t="n"/>
      <c r="U2630" s="17" t="n"/>
      <c r="V2630" s="17" t="n"/>
      <c r="W2630" s="17" t="n"/>
      <c r="X2630" s="17" t="n"/>
      <c r="Y2630" s="17" t="n">
        <v>1</v>
      </c>
      <c r="Z2630" s="13">
        <f>SUMPRODUCT(N2630:Y2630,$N$2:$Y$2)*$K2630*$L2630*$M2630</f>
        <v/>
      </c>
      <c r="AA2630" s="14">
        <f>SUM(N2630:Y2630)</f>
        <v/>
      </c>
      <c r="AB2630" s="14">
        <f>IFERROR(IF(UPPER($E2630)="L",SUMPRODUCT(N2630:Y2630,$N$3:$Y$3,$N$2:$Y$2),SUMPRODUCT(N2630:Y2630,$N$4:$Y$4,$N$2:$Y$2))/(Z2630/($K2630*$L2630*$M2630)),"")</f>
        <v/>
      </c>
      <c r="AC2630" s="18" t="n"/>
    </row>
    <row r="2631">
      <c r="A2631" s="9" t="n">
        <v>606115</v>
      </c>
      <c r="B2631" s="9" t="inlineStr">
        <is>
          <t>Orlando Arcia</t>
        </is>
      </c>
      <c r="C2631" s="9" t="inlineStr">
        <is>
          <t>MIN</t>
        </is>
      </c>
      <c r="D2631" s="9" t="n">
        <v>32</v>
      </c>
      <c r="E2631" s="16" t="inlineStr">
        <is>
          <t>R</t>
        </is>
      </c>
      <c r="F2631" s="16" t="inlineStr">
        <is>
          <t>SS</t>
        </is>
      </c>
      <c r="G2631" s="9" t="n">
        <v>50</v>
      </c>
      <c r="H2631" s="9" t="n">
        <v>1633</v>
      </c>
      <c r="I2631" s="9" t="inlineStr">
        <is>
          <t>Bench Bat</t>
        </is>
      </c>
      <c r="J2631" s="16" t="inlineStr">
        <is>
          <t>Opening Day</t>
        </is>
      </c>
      <c r="K2631" s="11">
        <f>IFERROR(INDEX(Roles!$B$17:$B$20,MATCH(J2631,Roles!$A$17:$A$20,0)),1)</f>
        <v/>
      </c>
      <c r="L2631" s="17" t="n">
        <v>1</v>
      </c>
      <c r="M2631" s="11" t="n">
        <v>0.8408398290382206</v>
      </c>
      <c r="N2631" s="17" t="n"/>
      <c r="O2631" s="17" t="n"/>
      <c r="P2631" s="17" t="n"/>
      <c r="Q2631" s="17" t="n"/>
      <c r="R2631" s="17" t="n"/>
      <c r="S2631" s="17" t="n"/>
      <c r="T2631" s="17" t="n"/>
      <c r="U2631" s="17" t="n"/>
      <c r="V2631" s="17" t="n"/>
      <c r="W2631" s="17" t="n">
        <v>1</v>
      </c>
      <c r="X2631" s="17" t="n"/>
      <c r="Y2631" s="17" t="n"/>
      <c r="Z2631" s="13">
        <f>SUMPRODUCT(N2631:Y2631,$N$2:$Y$2)*$K2631*$L2631*$M2631</f>
        <v/>
      </c>
      <c r="AA2631" s="14">
        <f>SUM(N2631:Y2631)</f>
        <v/>
      </c>
      <c r="AB2631" s="14">
        <f>IFERROR(IF(UPPER($E2631)="L",SUMPRODUCT(N2631:Y2631,$N$3:$Y$3,$N$2:$Y$2),SUMPRODUCT(N2631:Y2631,$N$4:$Y$4,$N$2:$Y$2))/(Z2631/($K2631*$L2631*$M2631)),"")</f>
        <v/>
      </c>
      <c r="AC2631" s="18" t="n"/>
    </row>
    <row r="2632">
      <c r="A2632" s="9" t="n">
        <v>805367</v>
      </c>
      <c r="B2632" s="9" t="inlineStr">
        <is>
          <t>Chase Meidroth</t>
        </is>
      </c>
      <c r="C2632" s="9" t="inlineStr">
        <is>
          <t>CWS</t>
        </is>
      </c>
      <c r="D2632" s="9" t="n">
        <v>25</v>
      </c>
      <c r="E2632" s="16" t="inlineStr">
        <is>
          <t>R</t>
        </is>
      </c>
      <c r="F2632" s="16" t="inlineStr">
        <is>
          <t>2B</t>
        </is>
      </c>
      <c r="G2632" s="9" t="n">
        <v>643</v>
      </c>
      <c r="H2632" s="9" t="n">
        <v>1148</v>
      </c>
      <c r="I2632" s="9" t="inlineStr">
        <is>
          <t>Full Time</t>
        </is>
      </c>
      <c r="J2632" s="16" t="inlineStr">
        <is>
          <t>Opening Day</t>
        </is>
      </c>
      <c r="K2632" s="11">
        <f>IFERROR(INDEX(Roles!$B$17:$B$20,MATCH(J2632,Roles!$A$17:$A$20,0)),1)</f>
        <v/>
      </c>
      <c r="L2632" s="17" t="n">
        <v>1</v>
      </c>
      <c r="M2632" s="11" t="n">
        <v>1.11525616070766</v>
      </c>
      <c r="N2632" s="17" t="n">
        <v>1</v>
      </c>
      <c r="O2632" s="17" t="n"/>
      <c r="P2632" s="17" t="n"/>
      <c r="Q2632" s="17" t="n"/>
      <c r="R2632" s="17" t="n"/>
      <c r="S2632" s="17" t="n"/>
      <c r="T2632" s="17" t="n"/>
      <c r="U2632" s="17" t="n"/>
      <c r="V2632" s="17" t="n"/>
      <c r="W2632" s="17" t="n"/>
      <c r="X2632" s="17" t="n"/>
      <c r="Y2632" s="17" t="n"/>
      <c r="Z2632" s="13">
        <f>SUMPRODUCT(N2632:Y2632,$N$2:$Y$2)*$K2632*$L2632*$M2632</f>
        <v/>
      </c>
      <c r="AA2632" s="14">
        <f>SUM(N2632:Y2632)</f>
        <v/>
      </c>
      <c r="AB2632" s="14">
        <f>IFERROR(IF(UPPER($E2632)="L",SUMPRODUCT(N2632:Y2632,$N$3:$Y$3,$N$2:$Y$2),SUMPRODUCT(N2632:Y2632,$N$4:$Y$4,$N$2:$Y$2))/(Z2632/($K2632*$L2632*$M2632)),"")</f>
        <v/>
      </c>
      <c r="AC2632" s="18" t="n"/>
    </row>
    <row r="2633">
      <c r="A2633" s="9" t="n">
        <v>672642</v>
      </c>
      <c r="B2633" s="9" t="inlineStr">
        <is>
          <t>Steward Berroa</t>
        </is>
      </c>
      <c r="C2633" s="9" t="inlineStr">
        <is>
          <t>TOR</t>
        </is>
      </c>
      <c r="D2633" s="9" t="n">
        <v>28</v>
      </c>
      <c r="E2633" s="16" t="inlineStr">
        <is>
          <t>S</t>
        </is>
      </c>
      <c r="F2633" s="16" t="inlineStr">
        <is>
          <t>CF</t>
        </is>
      </c>
      <c r="G2633" s="9" t="n">
        <v>7</v>
      </c>
      <c r="H2633" s="9" t="n">
        <v>58</v>
      </c>
      <c r="I2633" s="9" t="inlineStr">
        <is>
          <t>Depth (no MLB PA)</t>
        </is>
      </c>
      <c r="J2633" s="16" t="inlineStr">
        <is>
          <t>Opening Day</t>
        </is>
      </c>
      <c r="K2633" s="11">
        <f>IFERROR(INDEX(Roles!$B$17:$B$20,MATCH(J2633,Roles!$A$17:$A$20,0)),1)</f>
        <v/>
      </c>
      <c r="L2633" s="17" t="n">
        <v>1</v>
      </c>
      <c r="M2633" s="11" t="n">
        <v>1</v>
      </c>
      <c r="N2633" s="17" t="n"/>
      <c r="O2633" s="17" t="n"/>
      <c r="P2633" s="17" t="n"/>
      <c r="Q2633" s="17" t="n"/>
      <c r="R2633" s="17" t="n"/>
      <c r="S2633" s="17" t="n"/>
      <c r="T2633" s="17" t="n"/>
      <c r="U2633" s="17" t="n"/>
      <c r="V2633" s="17" t="n"/>
      <c r="W2633" s="17" t="n"/>
      <c r="X2633" s="17" t="n"/>
      <c r="Y2633" s="17" t="n">
        <v>1</v>
      </c>
      <c r="Z2633" s="13">
        <f>SUMPRODUCT(N2633:Y2633,$N$2:$Y$2)*$K2633*$L2633*$M2633</f>
        <v/>
      </c>
      <c r="AA2633" s="14">
        <f>SUM(N2633:Y2633)</f>
        <v/>
      </c>
      <c r="AB2633" s="14">
        <f>IFERROR(IF(UPPER($E2633)="L",SUMPRODUCT(N2633:Y2633,$N$3:$Y$3,$N$2:$Y$2),SUMPRODUCT(N2633:Y2633,$N$4:$Y$4,$N$2:$Y$2))/(Z2633/($K2633*$L2633*$M2633)),"")</f>
        <v/>
      </c>
      <c r="AC2633" s="18" t="n"/>
    </row>
    <row r="2634">
      <c r="A2634" s="9" t="n">
        <v>519203</v>
      </c>
      <c r="B2634" s="9" t="inlineStr">
        <is>
          <t>Anthony Rizzo</t>
        </is>
      </c>
      <c r="C2634" s="9" t="inlineStr">
        <is>
          <t>NYY</t>
        </is>
      </c>
      <c r="D2634" s="9" t="n">
        <v>37</v>
      </c>
      <c r="E2634" s="16" t="inlineStr">
        <is>
          <t>L</t>
        </is>
      </c>
      <c r="F2634" s="16" t="inlineStr">
        <is>
          <t>1B</t>
        </is>
      </c>
      <c r="G2634" s="9" t="n">
        <v>375</v>
      </c>
      <c r="H2634" s="9" t="n">
        <v>1344</v>
      </c>
      <c r="I2634" s="9" t="inlineStr">
        <is>
          <t>Depth (no MLB PA)</t>
        </is>
      </c>
      <c r="J2634" s="16" t="inlineStr">
        <is>
          <t>Opening Day</t>
        </is>
      </c>
      <c r="K2634" s="11">
        <f>IFERROR(INDEX(Roles!$B$17:$B$20,MATCH(J2634,Roles!$A$17:$A$20,0)),1)</f>
        <v/>
      </c>
      <c r="L2634" s="17" t="n">
        <v>1</v>
      </c>
      <c r="M2634" s="11" t="n">
        <v>1</v>
      </c>
      <c r="N2634" s="17" t="n"/>
      <c r="O2634" s="17" t="n"/>
      <c r="P2634" s="17" t="n"/>
      <c r="Q2634" s="17" t="n"/>
      <c r="R2634" s="17" t="n"/>
      <c r="S2634" s="17" t="n"/>
      <c r="T2634" s="17" t="n"/>
      <c r="U2634" s="17" t="n"/>
      <c r="V2634" s="17" t="n"/>
      <c r="W2634" s="17" t="n"/>
      <c r="X2634" s="17" t="n"/>
      <c r="Y2634" s="17" t="n">
        <v>1</v>
      </c>
      <c r="Z2634" s="13">
        <f>SUMPRODUCT(N2634:Y2634,$N$2:$Y$2)*$K2634*$L2634*$M2634</f>
        <v/>
      </c>
      <c r="AA2634" s="14">
        <f>SUM(N2634:Y2634)</f>
        <v/>
      </c>
      <c r="AB2634" s="14">
        <f>IFERROR(IF(UPPER($E2634)="L",SUMPRODUCT(N2634:Y2634,$N$3:$Y$3,$N$2:$Y$2),SUMPRODUCT(N2634:Y2634,$N$4:$Y$4,$N$2:$Y$2))/(Z2634/($K2634*$L2634*$M2634)),"")</f>
        <v/>
      </c>
      <c r="AC2634" s="18" t="n"/>
    </row>
    <row r="2635">
      <c r="A2635" s="9" t="n">
        <v>678011</v>
      </c>
      <c r="B2635" s="9" t="inlineStr">
        <is>
          <t>Anthony Seigler</t>
        </is>
      </c>
      <c r="C2635" s="9" t="inlineStr">
        <is>
          <t>BOS</t>
        </is>
      </c>
      <c r="D2635" s="9" t="n">
        <v>28</v>
      </c>
      <c r="E2635" s="16" t="inlineStr">
        <is>
          <t>S</t>
        </is>
      </c>
      <c r="F2635" s="16" t="inlineStr">
        <is>
          <t>2B</t>
        </is>
      </c>
      <c r="G2635" s="9" t="n">
        <v>173</v>
      </c>
      <c r="H2635" s="9" t="n">
        <v>246</v>
      </c>
      <c r="I2635" s="9" t="inlineStr">
        <is>
          <t>Bench Bat</t>
        </is>
      </c>
      <c r="J2635" s="16" t="inlineStr">
        <is>
          <t>Opening Day</t>
        </is>
      </c>
      <c r="K2635" s="11">
        <f>IFERROR(INDEX(Roles!$B$17:$B$20,MATCH(J2635,Roles!$A$17:$A$20,0)),1)</f>
        <v/>
      </c>
      <c r="L2635" s="17" t="n">
        <v>1</v>
      </c>
      <c r="M2635" s="11" t="n">
        <v>1</v>
      </c>
      <c r="N2635" s="17" t="n"/>
      <c r="O2635" s="17" t="n"/>
      <c r="P2635" s="17" t="n"/>
      <c r="Q2635" s="17" t="n"/>
      <c r="R2635" s="17" t="n"/>
      <c r="S2635" s="17" t="n"/>
      <c r="T2635" s="17" t="n"/>
      <c r="U2635" s="17" t="n">
        <v>0.4</v>
      </c>
      <c r="V2635" s="17" t="n"/>
      <c r="W2635" s="17" t="n">
        <v>0.6</v>
      </c>
      <c r="X2635" s="17" t="n"/>
      <c r="Y2635" s="17" t="n"/>
      <c r="Z2635" s="13">
        <f>SUMPRODUCT(N2635:Y2635,$N$2:$Y$2)*$K2635*$L2635*$M2635</f>
        <v/>
      </c>
      <c r="AA2635" s="14">
        <f>SUM(N2635:Y2635)</f>
        <v/>
      </c>
      <c r="AB2635" s="14">
        <f>IFERROR(IF(UPPER($E2635)="L",SUMPRODUCT(N2635:Y2635,$N$3:$Y$3,$N$2:$Y$2),SUMPRODUCT(N2635:Y2635,$N$4:$Y$4,$N$2:$Y$2))/(Z2635/($K2635*$L2635*$M2635)),"")</f>
        <v/>
      </c>
      <c r="AC2635" s="18" t="n"/>
    </row>
    <row r="2636">
      <c r="A2636" s="9" t="n">
        <v>699232</v>
      </c>
      <c r="B2636" s="9" t="inlineStr">
        <is>
          <t>Anderdson Rojas</t>
        </is>
      </c>
      <c r="C2636" s="9" t="inlineStr">
        <is>
          <t>ARI</t>
        </is>
      </c>
      <c r="D2636" s="9" t="n">
        <v>25</v>
      </c>
      <c r="E2636" s="16" t="inlineStr">
        <is>
          <t>L</t>
        </is>
      </c>
      <c r="F2636" s="16" t="n"/>
      <c r="G2636" s="9" t="n">
        <v>249.3333333333334</v>
      </c>
      <c r="H2636" s="9" t="n">
        <v>249.3333333333334</v>
      </c>
      <c r="I2636" s="9" t="inlineStr">
        <is>
          <t>Depth (no MLB PA)</t>
        </is>
      </c>
      <c r="J2636" s="16" t="inlineStr">
        <is>
          <t>Opening Day</t>
        </is>
      </c>
      <c r="K2636" s="11">
        <f>IFERROR(INDEX(Roles!$B$17:$B$20,MATCH(J2636,Roles!$A$17:$A$20,0)),1)</f>
        <v/>
      </c>
      <c r="L2636" s="17" t="n">
        <v>1</v>
      </c>
      <c r="M2636" s="11" t="n">
        <v>1</v>
      </c>
      <c r="N2636" s="17" t="n"/>
      <c r="O2636" s="17" t="n"/>
      <c r="P2636" s="17" t="n"/>
      <c r="Q2636" s="17" t="n"/>
      <c r="R2636" s="17" t="n"/>
      <c r="S2636" s="17" t="n"/>
      <c r="T2636" s="17" t="n"/>
      <c r="U2636" s="17" t="n"/>
      <c r="V2636" s="17" t="n"/>
      <c r="W2636" s="17" t="n"/>
      <c r="X2636" s="17" t="n"/>
      <c r="Y2636" s="17" t="n">
        <v>1</v>
      </c>
      <c r="Z2636" s="13">
        <f>SUMPRODUCT(N2636:Y2636,$N$2:$Y$2)*$K2636*$L2636*$M2636</f>
        <v/>
      </c>
      <c r="AA2636" s="14">
        <f>SUM(N2636:Y2636)</f>
        <v/>
      </c>
      <c r="AB2636" s="14">
        <f>IFERROR(IF(UPPER($E2636)="L",SUMPRODUCT(N2636:Y2636,$N$3:$Y$3,$N$2:$Y$2),SUMPRODUCT(N2636:Y2636,$N$4:$Y$4,$N$2:$Y$2))/(Z2636/($K2636*$L2636*$M2636)),"")</f>
        <v/>
      </c>
      <c r="AC2636" s="18" t="n"/>
    </row>
    <row r="2637">
      <c r="A2637" s="9" t="n">
        <v>665877</v>
      </c>
      <c r="B2637" s="9" t="inlineStr">
        <is>
          <t>José Fermín</t>
        </is>
      </c>
      <c r="C2637" s="9" t="inlineStr">
        <is>
          <t>STL</t>
        </is>
      </c>
      <c r="D2637" s="9" t="n">
        <v>28</v>
      </c>
      <c r="E2637" s="16" t="inlineStr">
        <is>
          <t>R</t>
        </is>
      </c>
      <c r="F2637" s="16" t="inlineStr">
        <is>
          <t>3B</t>
        </is>
      </c>
      <c r="G2637" s="9" t="n">
        <v>370</v>
      </c>
      <c r="H2637" s="9" t="n">
        <v>580</v>
      </c>
      <c r="I2637" s="9" t="inlineStr">
        <is>
          <t>Full Time</t>
        </is>
      </c>
      <c r="J2637" s="16" t="inlineStr">
        <is>
          <t>Opening Day</t>
        </is>
      </c>
      <c r="K2637" s="11">
        <f>IFERROR(INDEX(Roles!$B$17:$B$20,MATCH(J2637,Roles!$A$17:$A$20,0)),1)</f>
        <v/>
      </c>
      <c r="L2637" s="17" t="n">
        <v>1</v>
      </c>
      <c r="M2637" s="11" t="n">
        <v>0.798709961369571</v>
      </c>
      <c r="N2637" s="17" t="n">
        <v>0.6</v>
      </c>
      <c r="O2637" s="17" t="n"/>
      <c r="P2637" s="17" t="n"/>
      <c r="Q2637" s="17" t="n"/>
      <c r="R2637" s="17" t="n"/>
      <c r="S2637" s="17" t="n"/>
      <c r="T2637" s="17" t="n"/>
      <c r="U2637" s="17" t="n">
        <v>0.4</v>
      </c>
      <c r="V2637" s="17" t="n"/>
      <c r="W2637" s="17" t="n"/>
      <c r="X2637" s="17" t="n"/>
      <c r="Y2637" s="17" t="n"/>
      <c r="Z2637" s="13">
        <f>SUMPRODUCT(N2637:Y2637,$N$2:$Y$2)*$K2637*$L2637*$M2637</f>
        <v/>
      </c>
      <c r="AA2637" s="14">
        <f>SUM(N2637:Y2637)</f>
        <v/>
      </c>
      <c r="AB2637" s="14">
        <f>IFERROR(IF(UPPER($E2637)="L",SUMPRODUCT(N2637:Y2637,$N$3:$Y$3,$N$2:$Y$2),SUMPRODUCT(N2637:Y2637,$N$4:$Y$4,$N$2:$Y$2))/(Z2637/($K2637*$L2637*$M2637)),"")</f>
        <v/>
      </c>
      <c r="AC2637" s="18" t="n"/>
    </row>
    <row r="2638">
      <c r="A2638" s="9" t="n">
        <v>699302</v>
      </c>
      <c r="B2638" s="9" t="inlineStr">
        <is>
          <t>Héctor Rodríguez</t>
        </is>
      </c>
      <c r="C2638" s="9" t="inlineStr">
        <is>
          <t>CIN</t>
        </is>
      </c>
      <c r="D2638" s="9" t="n">
        <v>23</v>
      </c>
      <c r="E2638" s="16" t="inlineStr">
        <is>
          <t>L</t>
        </is>
      </c>
      <c r="F2638" s="16" t="inlineStr">
        <is>
          <t>RF</t>
        </is>
      </c>
      <c r="G2638" s="9" t="n">
        <v>152</v>
      </c>
      <c r="H2638" s="9" t="n">
        <v>152</v>
      </c>
      <c r="I2638" s="9" t="inlineStr">
        <is>
          <t>Strong Side Platoon</t>
        </is>
      </c>
      <c r="J2638" s="16" t="inlineStr">
        <is>
          <t>Opening Day</t>
        </is>
      </c>
      <c r="K2638" s="11">
        <f>IFERROR(INDEX(Roles!$B$17:$B$20,MATCH(J2638,Roles!$A$17:$A$20,0)),1)</f>
        <v/>
      </c>
      <c r="L2638" s="17" t="n">
        <v>1</v>
      </c>
      <c r="M2638" s="11" t="n">
        <v>1</v>
      </c>
      <c r="N2638" s="17" t="n">
        <v>0.4</v>
      </c>
      <c r="O2638" s="17" t="n"/>
      <c r="P2638" s="17" t="n">
        <v>0.6</v>
      </c>
      <c r="Q2638" s="17" t="n"/>
      <c r="R2638" s="17" t="n"/>
      <c r="S2638" s="17" t="n"/>
      <c r="T2638" s="17" t="n"/>
      <c r="U2638" s="17" t="n"/>
      <c r="V2638" s="17" t="n"/>
      <c r="W2638" s="17" t="n"/>
      <c r="X2638" s="17" t="n"/>
      <c r="Y2638" s="17" t="n"/>
      <c r="Z2638" s="13">
        <f>SUMPRODUCT(N2638:Y2638,$N$2:$Y$2)*$K2638*$L2638*$M2638</f>
        <v/>
      </c>
      <c r="AA2638" s="14">
        <f>SUM(N2638:Y2638)</f>
        <v/>
      </c>
      <c r="AB2638" s="14">
        <f>IFERROR(IF(UPPER($E2638)="L",SUMPRODUCT(N2638:Y2638,$N$3:$Y$3,$N$2:$Y$2),SUMPRODUCT(N2638:Y2638,$N$4:$Y$4,$N$2:$Y$2))/(Z2638/($K2638*$L2638*$M2638)),"")</f>
        <v/>
      </c>
      <c r="AC2638" s="18" t="n"/>
    </row>
    <row r="2639">
      <c r="A2639" s="9" t="n">
        <v>664770</v>
      </c>
      <c r="B2639" s="9" t="inlineStr">
        <is>
          <t>Nathan Lukes</t>
        </is>
      </c>
      <c r="C2639" s="9" t="inlineStr">
        <is>
          <t>TOR</t>
        </is>
      </c>
      <c r="D2639" s="9" t="n">
        <v>32</v>
      </c>
      <c r="E2639" s="16" t="inlineStr">
        <is>
          <t>L</t>
        </is>
      </c>
      <c r="F2639" s="16" t="inlineStr">
        <is>
          <t>RF</t>
        </is>
      </c>
      <c r="G2639" s="9" t="n">
        <v>450</v>
      </c>
      <c r="H2639" s="9" t="n">
        <v>1010</v>
      </c>
      <c r="I2639" s="9" t="inlineStr">
        <is>
          <t>Full Time</t>
        </is>
      </c>
      <c r="J2639" s="16" t="inlineStr">
        <is>
          <t>Opening Day</t>
        </is>
      </c>
      <c r="K2639" s="11">
        <f>IFERROR(INDEX(Roles!$B$17:$B$20,MATCH(J2639,Roles!$A$17:$A$20,0)),1)</f>
        <v/>
      </c>
      <c r="L2639" s="17" t="n">
        <v>1</v>
      </c>
      <c r="M2639" s="11" t="n">
        <v>1.027347653877516</v>
      </c>
      <c r="N2639" s="17" t="n">
        <v>0.75</v>
      </c>
      <c r="O2639" s="17" t="n"/>
      <c r="P2639" s="17" t="n">
        <v>0.25</v>
      </c>
      <c r="Q2639" s="17" t="n"/>
      <c r="R2639" s="17" t="n"/>
      <c r="S2639" s="17" t="n"/>
      <c r="T2639" s="17" t="n"/>
      <c r="U2639" s="17" t="n"/>
      <c r="V2639" s="17" t="n"/>
      <c r="W2639" s="17" t="n"/>
      <c r="X2639" s="17" t="n"/>
      <c r="Y2639" s="17" t="n"/>
      <c r="Z2639" s="13">
        <f>SUMPRODUCT(N2639:Y2639,$N$2:$Y$2)*$K2639*$L2639*$M2639</f>
        <v/>
      </c>
      <c r="AA2639" s="14">
        <f>SUM(N2639:Y2639)</f>
        <v/>
      </c>
      <c r="AB2639" s="14">
        <f>IFERROR(IF(UPPER($E2639)="L",SUMPRODUCT(N2639:Y2639,$N$3:$Y$3,$N$2:$Y$2),SUMPRODUCT(N2639:Y2639,$N$4:$Y$4,$N$2:$Y$2))/(Z2639/($K2639*$L2639*$M2639)),"")</f>
        <v/>
      </c>
      <c r="AC2639" s="18" t="n"/>
    </row>
    <row r="2640">
      <c r="A2640" s="9" t="n">
        <v>801126</v>
      </c>
      <c r="B2640" s="9" t="inlineStr">
        <is>
          <t>Brock Rodden</t>
        </is>
      </c>
      <c r="C2640" s="9" t="inlineStr">
        <is>
          <t>SEA</t>
        </is>
      </c>
      <c r="D2640" s="9" t="n">
        <v>27</v>
      </c>
      <c r="E2640" s="16" t="inlineStr">
        <is>
          <t>S</t>
        </is>
      </c>
      <c r="F2640" s="16" t="inlineStr">
        <is>
          <t>3B</t>
        </is>
      </c>
      <c r="G2640" s="9" t="n">
        <v>72</v>
      </c>
      <c r="H2640" s="9" t="n">
        <v>72</v>
      </c>
      <c r="I2640" s="9" t="inlineStr">
        <is>
          <t>Bench Bat</t>
        </is>
      </c>
      <c r="J2640" s="16" t="inlineStr">
        <is>
          <t>Opening Day</t>
        </is>
      </c>
      <c r="K2640" s="11">
        <f>IFERROR(INDEX(Roles!$B$17:$B$20,MATCH(J2640,Roles!$A$17:$A$20,0)),1)</f>
        <v/>
      </c>
      <c r="L2640" s="17" t="n">
        <v>1</v>
      </c>
      <c r="M2640" s="11" t="n">
        <v>1</v>
      </c>
      <c r="N2640" s="17" t="n"/>
      <c r="O2640" s="17" t="n"/>
      <c r="P2640" s="17" t="n"/>
      <c r="Q2640" s="17" t="n"/>
      <c r="R2640" s="17" t="n"/>
      <c r="S2640" s="17" t="n"/>
      <c r="T2640" s="17" t="n"/>
      <c r="U2640" s="17" t="n">
        <v>0.4</v>
      </c>
      <c r="V2640" s="17" t="n"/>
      <c r="W2640" s="17" t="n">
        <v>0.6</v>
      </c>
      <c r="X2640" s="17" t="n"/>
      <c r="Y2640" s="17" t="n"/>
      <c r="Z2640" s="13">
        <f>SUMPRODUCT(N2640:Y2640,$N$2:$Y$2)*$K2640*$L2640*$M2640</f>
        <v/>
      </c>
      <c r="AA2640" s="14">
        <f>SUM(N2640:Y2640)</f>
        <v/>
      </c>
      <c r="AB2640" s="14">
        <f>IFERROR(IF(UPPER($E2640)="L",SUMPRODUCT(N2640:Y2640,$N$3:$Y$3,$N$2:$Y$2),SUMPRODUCT(N2640:Y2640,$N$4:$Y$4,$N$2:$Y$2))/(Z2640/($K2640*$L2640*$M2640)),"")</f>
        <v/>
      </c>
      <c r="AC2640" s="18" t="n"/>
    </row>
    <row r="2641">
      <c r="A2641" s="9" t="n">
        <v>595284</v>
      </c>
      <c r="B2641" s="9" t="inlineStr">
        <is>
          <t>Andrew Knapp</t>
        </is>
      </c>
      <c r="C2641" s="9" t="inlineStr">
        <is>
          <t>SF</t>
        </is>
      </c>
      <c r="D2641" s="9" t="n">
        <v>35</v>
      </c>
      <c r="E2641" s="16" t="inlineStr">
        <is>
          <t>S</t>
        </is>
      </c>
      <c r="F2641" s="16" t="inlineStr">
        <is>
          <t>C</t>
        </is>
      </c>
      <c r="G2641" s="9" t="n">
        <v>6</v>
      </c>
      <c r="H2641" s="9" t="n">
        <v>52</v>
      </c>
      <c r="I2641" s="9" t="inlineStr">
        <is>
          <t>Depth (no MLB PA)</t>
        </is>
      </c>
      <c r="J2641" s="16" t="inlineStr">
        <is>
          <t>Opening Day</t>
        </is>
      </c>
      <c r="K2641" s="11">
        <f>IFERROR(INDEX(Roles!$B$17:$B$20,MATCH(J2641,Roles!$A$17:$A$20,0)),1)</f>
        <v/>
      </c>
      <c r="L2641" s="17" t="n">
        <v>1</v>
      </c>
      <c r="M2641" s="11" t="n">
        <v>1</v>
      </c>
      <c r="N2641" s="17" t="n"/>
      <c r="O2641" s="17" t="n"/>
      <c r="P2641" s="17" t="n"/>
      <c r="Q2641" s="17" t="n"/>
      <c r="R2641" s="17" t="n"/>
      <c r="S2641" s="17" t="n"/>
      <c r="T2641" s="17" t="n"/>
      <c r="U2641" s="17" t="n"/>
      <c r="V2641" s="17" t="n"/>
      <c r="W2641" s="17" t="n"/>
      <c r="X2641" s="17" t="n"/>
      <c r="Y2641" s="17" t="n">
        <v>1</v>
      </c>
      <c r="Z2641" s="13">
        <f>SUMPRODUCT(N2641:Y2641,$N$2:$Y$2)*$K2641*$L2641*$M2641</f>
        <v/>
      </c>
      <c r="AA2641" s="14">
        <f>SUM(N2641:Y2641)</f>
        <v/>
      </c>
      <c r="AB2641" s="14">
        <f>IFERROR(IF(UPPER($E2641)="L",SUMPRODUCT(N2641:Y2641,$N$3:$Y$3,$N$2:$Y$2),SUMPRODUCT(N2641:Y2641,$N$4:$Y$4,$N$2:$Y$2))/(Z2641/($K2641*$L2641*$M2641)),"")</f>
        <v/>
      </c>
      <c r="AC2641" s="18" t="n"/>
    </row>
    <row r="2642">
      <c r="A2642" s="9" t="n">
        <v>805779</v>
      </c>
      <c r="B2642" s="9" t="inlineStr">
        <is>
          <t>Jacob Wilson</t>
        </is>
      </c>
      <c r="C2642" s="9" t="inlineStr">
        <is>
          <t>OAK</t>
        </is>
      </c>
      <c r="D2642" s="9" t="n">
        <v>25</v>
      </c>
      <c r="E2642" s="16" t="inlineStr">
        <is>
          <t>R</t>
        </is>
      </c>
      <c r="F2642" s="16" t="inlineStr">
        <is>
          <t>SS</t>
        </is>
      </c>
      <c r="G2642" s="9" t="n">
        <v>337</v>
      </c>
      <c r="H2642" s="9" t="n">
        <v>963</v>
      </c>
      <c r="I2642" s="9" t="inlineStr">
        <is>
          <t>Full Time</t>
        </is>
      </c>
      <c r="J2642" s="16" t="inlineStr">
        <is>
          <t>Opening Day</t>
        </is>
      </c>
      <c r="K2642" s="11">
        <f>IFERROR(INDEX(Roles!$B$17:$B$20,MATCH(J2642,Roles!$A$17:$A$20,0)),1)</f>
        <v/>
      </c>
      <c r="L2642" s="17" t="n">
        <v>1</v>
      </c>
      <c r="M2642" s="11" t="n">
        <v>0.8148590920671582</v>
      </c>
      <c r="N2642" s="17" t="n">
        <v>1</v>
      </c>
      <c r="O2642" s="17" t="n"/>
      <c r="P2642" s="17" t="n"/>
      <c r="Q2642" s="17" t="n"/>
      <c r="R2642" s="17" t="n"/>
      <c r="S2642" s="17" t="n"/>
      <c r="T2642" s="17" t="n"/>
      <c r="U2642" s="17" t="n"/>
      <c r="V2642" s="17" t="n"/>
      <c r="W2642" s="17" t="n"/>
      <c r="X2642" s="17" t="n"/>
      <c r="Y2642" s="17" t="n"/>
      <c r="Z2642" s="13">
        <f>SUMPRODUCT(N2642:Y2642,$N$2:$Y$2)*$K2642*$L2642*$M2642</f>
        <v/>
      </c>
      <c r="AA2642" s="14">
        <f>SUM(N2642:Y2642)</f>
        <v/>
      </c>
      <c r="AB2642" s="14">
        <f>IFERROR(IF(UPPER($E2642)="L",SUMPRODUCT(N2642:Y2642,$N$3:$Y$3,$N$2:$Y$2),SUMPRODUCT(N2642:Y2642,$N$4:$Y$4,$N$2:$Y$2))/(Z2642/($K2642*$L2642*$M2642)),"")</f>
        <v/>
      </c>
      <c r="AC2642" s="18" t="n"/>
    </row>
    <row r="2643">
      <c r="A2643" s="9" t="n">
        <v>669200</v>
      </c>
      <c r="B2643" s="9" t="inlineStr">
        <is>
          <t>Mason McCoy</t>
        </is>
      </c>
      <c r="C2643" s="9" t="inlineStr">
        <is>
          <t>SD</t>
        </is>
      </c>
      <c r="D2643" s="9" t="n">
        <v>32</v>
      </c>
      <c r="E2643" s="16" t="inlineStr">
        <is>
          <t>R</t>
        </is>
      </c>
      <c r="F2643" s="16" t="inlineStr">
        <is>
          <t>SS</t>
        </is>
      </c>
      <c r="G2643" s="9" t="n">
        <v>26</v>
      </c>
      <c r="H2643" s="9" t="n">
        <v>84</v>
      </c>
      <c r="I2643" s="9" t="inlineStr">
        <is>
          <t>Bench Bat</t>
        </is>
      </c>
      <c r="J2643" s="16" t="inlineStr">
        <is>
          <t>Opening Day</t>
        </is>
      </c>
      <c r="K2643" s="11">
        <f>IFERROR(INDEX(Roles!$B$17:$B$20,MATCH(J2643,Roles!$A$17:$A$20,0)),1)</f>
        <v/>
      </c>
      <c r="L2643" s="17" t="n">
        <v>1</v>
      </c>
      <c r="M2643" s="11" t="n">
        <v>1</v>
      </c>
      <c r="N2643" s="17" t="n"/>
      <c r="O2643" s="17" t="n"/>
      <c r="P2643" s="17" t="n"/>
      <c r="Q2643" s="17" t="n"/>
      <c r="R2643" s="17" t="n"/>
      <c r="S2643" s="17" t="n"/>
      <c r="T2643" s="17" t="n"/>
      <c r="U2643" s="17" t="n"/>
      <c r="V2643" s="17" t="n"/>
      <c r="W2643" s="17" t="n">
        <v>1</v>
      </c>
      <c r="X2643" s="17" t="n"/>
      <c r="Y2643" s="17" t="n"/>
      <c r="Z2643" s="13">
        <f>SUMPRODUCT(N2643:Y2643,$N$2:$Y$2)*$K2643*$L2643*$M2643</f>
        <v/>
      </c>
      <c r="AA2643" s="14">
        <f>SUM(N2643:Y2643)</f>
        <v/>
      </c>
      <c r="AB2643" s="14">
        <f>IFERROR(IF(UPPER($E2643)="L",SUMPRODUCT(N2643:Y2643,$N$3:$Y$3,$N$2:$Y$2),SUMPRODUCT(N2643:Y2643,$N$4:$Y$4,$N$2:$Y$2))/(Z2643/($K2643*$L2643*$M2643)),"")</f>
        <v/>
      </c>
      <c r="AC2643" s="18" t="n"/>
    </row>
    <row r="2644">
      <c r="A2644" s="9" t="n">
        <v>680577</v>
      </c>
      <c r="B2644" s="9" t="inlineStr">
        <is>
          <t>DaShawn Keirsey Jr.</t>
        </is>
      </c>
      <c r="C2644" s="9" t="inlineStr">
        <is>
          <t>MIN</t>
        </is>
      </c>
      <c r="D2644" s="9" t="n">
        <v>30</v>
      </c>
      <c r="E2644" s="16" t="inlineStr">
        <is>
          <t>L</t>
        </is>
      </c>
      <c r="F2644" s="16" t="inlineStr">
        <is>
          <t>CF</t>
        </is>
      </c>
      <c r="G2644" s="9" t="n">
        <v>5</v>
      </c>
      <c r="H2644" s="9" t="n">
        <v>107</v>
      </c>
      <c r="I2644" s="9" t="inlineStr">
        <is>
          <t>Bench Bat</t>
        </is>
      </c>
      <c r="J2644" s="16" t="inlineStr">
        <is>
          <t>Opening Day</t>
        </is>
      </c>
      <c r="K2644" s="11">
        <f>IFERROR(INDEX(Roles!$B$17:$B$20,MATCH(J2644,Roles!$A$17:$A$20,0)),1)</f>
        <v/>
      </c>
      <c r="L2644" s="17" t="n">
        <v>1</v>
      </c>
      <c r="M2644" s="11" t="n">
        <v>1</v>
      </c>
      <c r="N2644" s="17" t="n"/>
      <c r="O2644" s="17" t="n"/>
      <c r="P2644" s="17" t="n"/>
      <c r="Q2644" s="17" t="n"/>
      <c r="R2644" s="17" t="n"/>
      <c r="S2644" s="17" t="n"/>
      <c r="T2644" s="17" t="n"/>
      <c r="U2644" s="17" t="n"/>
      <c r="V2644" s="17" t="n">
        <v>0.4</v>
      </c>
      <c r="W2644" s="17" t="n">
        <v>0.6</v>
      </c>
      <c r="X2644" s="17" t="n"/>
      <c r="Y2644" s="17" t="n"/>
      <c r="Z2644" s="13">
        <f>SUMPRODUCT(N2644:Y2644,$N$2:$Y$2)*$K2644*$L2644*$M2644</f>
        <v/>
      </c>
      <c r="AA2644" s="14">
        <f>SUM(N2644:Y2644)</f>
        <v/>
      </c>
      <c r="AB2644" s="14">
        <f>IFERROR(IF(UPPER($E2644)="L",SUMPRODUCT(N2644:Y2644,$N$3:$Y$3,$N$2:$Y$2),SUMPRODUCT(N2644:Y2644,$N$4:$Y$4,$N$2:$Y$2))/(Z2644/($K2644*$L2644*$M2644)),"")</f>
        <v/>
      </c>
      <c r="AC2644" s="18" t="n"/>
    </row>
    <row r="2645">
      <c r="A2645" s="9" t="n">
        <v>668974</v>
      </c>
      <c r="B2645" s="9" t="inlineStr">
        <is>
          <t>Maverick Handley</t>
        </is>
      </c>
      <c r="C2645" s="9" t="inlineStr">
        <is>
          <t>BAL</t>
        </is>
      </c>
      <c r="D2645" s="9" t="n">
        <v>29</v>
      </c>
      <c r="E2645" s="16" t="inlineStr">
        <is>
          <t>R</t>
        </is>
      </c>
      <c r="F2645" s="16" t="inlineStr">
        <is>
          <t>C</t>
        </is>
      </c>
      <c r="G2645" s="9" t="n">
        <v>1</v>
      </c>
      <c r="H2645" s="9" t="n">
        <v>48</v>
      </c>
      <c r="I2645" s="9" t="inlineStr">
        <is>
          <t>Catcher - Backup</t>
        </is>
      </c>
      <c r="J2645" s="16" t="inlineStr">
        <is>
          <t>Opening Day</t>
        </is>
      </c>
      <c r="K2645" s="11">
        <f>IFERROR(INDEX(Roles!$B$17:$B$20,MATCH(J2645,Roles!$A$17:$A$20,0)),1)</f>
        <v/>
      </c>
      <c r="L2645" s="17" t="n">
        <v>1</v>
      </c>
      <c r="M2645" s="11" t="n">
        <v>1</v>
      </c>
      <c r="N2645" s="17" t="n"/>
      <c r="O2645" s="17" t="n"/>
      <c r="P2645" s="17" t="n"/>
      <c r="Q2645" s="17" t="n"/>
      <c r="R2645" s="17" t="n"/>
      <c r="S2645" s="17" t="n"/>
      <c r="T2645" s="17" t="n">
        <v>1</v>
      </c>
      <c r="U2645" s="17" t="n"/>
      <c r="V2645" s="17" t="n"/>
      <c r="W2645" s="17" t="n"/>
      <c r="X2645" s="17" t="n"/>
      <c r="Y2645" s="17" t="n"/>
      <c r="Z2645" s="13">
        <f>SUMPRODUCT(N2645:Y2645,$N$2:$Y$2)*$K2645*$L2645*$M2645</f>
        <v/>
      </c>
      <c r="AA2645" s="14">
        <f>SUM(N2645:Y2645)</f>
        <v/>
      </c>
      <c r="AB2645" s="14">
        <f>IFERROR(IF(UPPER($E2645)="L",SUMPRODUCT(N2645:Y2645,$N$3:$Y$3,$N$2:$Y$2),SUMPRODUCT(N2645:Y2645,$N$4:$Y$4,$N$2:$Y$2))/(Z2645/($K2645*$L2645*$M2645)),"")</f>
        <v/>
      </c>
      <c r="AC2645" s="18" t="n"/>
    </row>
    <row r="2646">
      <c r="A2646" s="9" t="n">
        <v>805300</v>
      </c>
      <c r="B2646" s="9" t="inlineStr">
        <is>
          <t>Jakob Marsee</t>
        </is>
      </c>
      <c r="C2646" s="9" t="inlineStr">
        <is>
          <t>MIA</t>
        </is>
      </c>
      <c r="D2646" s="9" t="n">
        <v>26</v>
      </c>
      <c r="E2646" s="16" t="inlineStr">
        <is>
          <t>L</t>
        </is>
      </c>
      <c r="F2646" s="16" t="inlineStr">
        <is>
          <t>CF</t>
        </is>
      </c>
      <c r="G2646" s="9" t="n">
        <v>616</v>
      </c>
      <c r="H2646" s="9" t="n">
        <v>850</v>
      </c>
      <c r="I2646" s="9" t="inlineStr">
        <is>
          <t>Full Time</t>
        </is>
      </c>
      <c r="J2646" s="16" t="inlineStr">
        <is>
          <t>Opening Day</t>
        </is>
      </c>
      <c r="K2646" s="11">
        <f>IFERROR(INDEX(Roles!$B$17:$B$20,MATCH(J2646,Roles!$A$17:$A$20,0)),1)</f>
        <v/>
      </c>
      <c r="L2646" s="17" t="n">
        <v>1</v>
      </c>
      <c r="M2646" s="11" t="n">
        <v>0.9639643046986855</v>
      </c>
      <c r="N2646" s="17" t="n">
        <v>1</v>
      </c>
      <c r="O2646" s="17" t="n"/>
      <c r="P2646" s="17" t="n"/>
      <c r="Q2646" s="17" t="n"/>
      <c r="R2646" s="17" t="n"/>
      <c r="S2646" s="17" t="n"/>
      <c r="T2646" s="17" t="n"/>
      <c r="U2646" s="17" t="n"/>
      <c r="V2646" s="17" t="n"/>
      <c r="W2646" s="17" t="n"/>
      <c r="X2646" s="17" t="n"/>
      <c r="Y2646" s="17" t="n"/>
      <c r="Z2646" s="13">
        <f>SUMPRODUCT(N2646:Y2646,$N$2:$Y$2)*$K2646*$L2646*$M2646</f>
        <v/>
      </c>
      <c r="AA2646" s="14">
        <f>SUM(N2646:Y2646)</f>
        <v/>
      </c>
      <c r="AB2646" s="14">
        <f>IFERROR(IF(UPPER($E2646)="L",SUMPRODUCT(N2646:Y2646,$N$3:$Y$3,$N$2:$Y$2),SUMPRODUCT(N2646:Y2646,$N$4:$Y$4,$N$2:$Y$2))/(Z2646/($K2646*$L2646*$M2646)),"")</f>
        <v/>
      </c>
      <c r="AC2646" s="18" t="n"/>
    </row>
    <row r="2647">
      <c r="A2647" s="9" t="n">
        <v>609280</v>
      </c>
      <c r="B2647" s="9" t="inlineStr">
        <is>
          <t>Miguel Andujar</t>
        </is>
      </c>
      <c r="C2647" s="9" t="inlineStr">
        <is>
          <t>SD</t>
        </is>
      </c>
      <c r="D2647" s="9" t="n">
        <v>32</v>
      </c>
      <c r="E2647" s="16" t="inlineStr">
        <is>
          <t>R</t>
        </is>
      </c>
      <c r="F2647" s="16" t="inlineStr">
        <is>
          <t>3B</t>
        </is>
      </c>
      <c r="G2647" s="9" t="n">
        <v>254</v>
      </c>
      <c r="H2647" s="9" t="n">
        <v>1144</v>
      </c>
      <c r="I2647" s="9" t="inlineStr">
        <is>
          <t>Bench Bat</t>
        </is>
      </c>
      <c r="J2647" s="16" t="inlineStr">
        <is>
          <t>Opening Day</t>
        </is>
      </c>
      <c r="K2647" s="11">
        <f>IFERROR(INDEX(Roles!$B$17:$B$20,MATCH(J2647,Roles!$A$17:$A$20,0)),1)</f>
        <v/>
      </c>
      <c r="L2647" s="17" t="n">
        <v>1</v>
      </c>
      <c r="M2647" s="11" t="n">
        <v>1</v>
      </c>
      <c r="N2647" s="17" t="n"/>
      <c r="O2647" s="17" t="n"/>
      <c r="P2647" s="17" t="n"/>
      <c r="Q2647" s="17" t="n"/>
      <c r="R2647" s="17" t="n"/>
      <c r="S2647" s="17" t="n"/>
      <c r="T2647" s="17" t="n"/>
      <c r="U2647" s="17" t="n">
        <v>0.4</v>
      </c>
      <c r="V2647" s="17" t="n"/>
      <c r="W2647" s="17" t="n">
        <v>0.6</v>
      </c>
      <c r="X2647" s="17" t="n"/>
      <c r="Y2647" s="17" t="n"/>
      <c r="Z2647" s="13">
        <f>SUMPRODUCT(N2647:Y2647,$N$2:$Y$2)*$K2647*$L2647*$M2647</f>
        <v/>
      </c>
      <c r="AA2647" s="14">
        <f>SUM(N2647:Y2647)</f>
        <v/>
      </c>
      <c r="AB2647" s="14">
        <f>IFERROR(IF(UPPER($E2647)="L",SUMPRODUCT(N2647:Y2647,$N$3:$Y$3,$N$2:$Y$2),SUMPRODUCT(N2647:Y2647,$N$4:$Y$4,$N$2:$Y$2))/(Z2647/($K2647*$L2647*$M2647)),"")</f>
        <v/>
      </c>
      <c r="AC2647" s="18" t="n"/>
    </row>
    <row r="2648">
      <c r="A2648" s="9" t="n">
        <v>665926</v>
      </c>
      <c r="B2648" s="9" t="inlineStr">
        <is>
          <t>Andrés Giménez</t>
        </is>
      </c>
      <c r="C2648" s="9" t="inlineStr">
        <is>
          <t>TOR</t>
        </is>
      </c>
      <c r="D2648" s="9" t="n">
        <v>28</v>
      </c>
      <c r="E2648" s="16" t="inlineStr">
        <is>
          <t>L</t>
        </is>
      </c>
      <c r="F2648" s="16" t="inlineStr">
        <is>
          <t>SS</t>
        </is>
      </c>
      <c r="G2648" s="9" t="n">
        <v>508</v>
      </c>
      <c r="H2648" s="9" t="n">
        <v>2683</v>
      </c>
      <c r="I2648" s="9" t="inlineStr">
        <is>
          <t>Strong Side Platoon</t>
        </is>
      </c>
      <c r="J2648" s="16" t="inlineStr">
        <is>
          <t>Opening Day</t>
        </is>
      </c>
      <c r="K2648" s="11">
        <f>IFERROR(INDEX(Roles!$B$17:$B$20,MATCH(J2648,Roles!$A$17:$A$20,0)),1)</f>
        <v/>
      </c>
      <c r="L2648" s="17" t="n">
        <v>1</v>
      </c>
      <c r="M2648" s="11" t="n">
        <v>1.10701095565825</v>
      </c>
      <c r="N2648" s="17" t="n">
        <v>0.4</v>
      </c>
      <c r="O2648" s="17" t="n"/>
      <c r="P2648" s="17" t="n">
        <v>0.6</v>
      </c>
      <c r="Q2648" s="17" t="n"/>
      <c r="R2648" s="17" t="n"/>
      <c r="S2648" s="17" t="n"/>
      <c r="T2648" s="17" t="n"/>
      <c r="U2648" s="17" t="n"/>
      <c r="V2648" s="17" t="n"/>
      <c r="W2648" s="17" t="n"/>
      <c r="X2648" s="17" t="n"/>
      <c r="Y2648" s="17" t="n"/>
      <c r="Z2648" s="13">
        <f>SUMPRODUCT(N2648:Y2648,$N$2:$Y$2)*$K2648*$L2648*$M2648</f>
        <v/>
      </c>
      <c r="AA2648" s="14">
        <f>SUM(N2648:Y2648)</f>
        <v/>
      </c>
      <c r="AB2648" s="14">
        <f>IFERROR(IF(UPPER($E2648)="L",SUMPRODUCT(N2648:Y2648,$N$3:$Y$3,$N$2:$Y$2),SUMPRODUCT(N2648:Y2648,$N$4:$Y$4,$N$2:$Y$2))/(Z2648/($K2648*$L2648*$M2648)),"")</f>
        <v/>
      </c>
      <c r="AC2648" s="18" t="n"/>
    </row>
    <row r="2649">
      <c r="A2649" s="9" t="n">
        <v>811965</v>
      </c>
      <c r="B2649" s="9" t="inlineStr">
        <is>
          <t>Joshua Kuroda-Grauer</t>
        </is>
      </c>
      <c r="C2649" s="9" t="inlineStr">
        <is>
          <t>OAK</t>
        </is>
      </c>
      <c r="D2649" s="9" t="n">
        <v>24</v>
      </c>
      <c r="E2649" s="16" t="inlineStr">
        <is>
          <t>R</t>
        </is>
      </c>
      <c r="F2649" s="16" t="inlineStr">
        <is>
          <t>3B</t>
        </is>
      </c>
      <c r="G2649" s="9" t="n">
        <v>74</v>
      </c>
      <c r="H2649" s="9" t="n">
        <v>74</v>
      </c>
      <c r="I2649" s="9" t="inlineStr">
        <is>
          <t>Weak Side Platoon</t>
        </is>
      </c>
      <c r="J2649" s="16" t="inlineStr">
        <is>
          <t>Opening Day</t>
        </is>
      </c>
      <c r="K2649" s="11">
        <f>IFERROR(INDEX(Roles!$B$17:$B$20,MATCH(J2649,Roles!$A$17:$A$20,0)),1)</f>
        <v/>
      </c>
      <c r="L2649" s="17" t="n">
        <v>1</v>
      </c>
      <c r="M2649" s="11" t="n">
        <v>1</v>
      </c>
      <c r="N2649" s="17" t="n"/>
      <c r="O2649" s="17" t="n"/>
      <c r="P2649" s="17" t="n"/>
      <c r="Q2649" s="17" t="n">
        <v>0.6</v>
      </c>
      <c r="R2649" s="17" t="n"/>
      <c r="S2649" s="17" t="n"/>
      <c r="T2649" s="17" t="n"/>
      <c r="U2649" s="17" t="n">
        <v>0.4</v>
      </c>
      <c r="V2649" s="17" t="n"/>
      <c r="W2649" s="17" t="n"/>
      <c r="X2649" s="17" t="n"/>
      <c r="Y2649" s="17" t="n"/>
      <c r="Z2649" s="13">
        <f>SUMPRODUCT(N2649:Y2649,$N$2:$Y$2)*$K2649*$L2649*$M2649</f>
        <v/>
      </c>
      <c r="AA2649" s="14">
        <f>SUM(N2649:Y2649)</f>
        <v/>
      </c>
      <c r="AB2649" s="14">
        <f>IFERROR(IF(UPPER($E2649)="L",SUMPRODUCT(N2649:Y2649,$N$3:$Y$3,$N$2:$Y$2),SUMPRODUCT(N2649:Y2649,$N$4:$Y$4,$N$2:$Y$2))/(Z2649/($K2649*$L2649*$M2649)),"")</f>
        <v/>
      </c>
      <c r="AC2649" s="18" t="n"/>
    </row>
    <row r="2650">
      <c r="A2650" s="9" t="n">
        <v>702332</v>
      </c>
      <c r="B2650" s="9" t="inlineStr">
        <is>
          <t>Caleb Durbin</t>
        </is>
      </c>
      <c r="C2650" s="9" t="inlineStr">
        <is>
          <t>BOS</t>
        </is>
      </c>
      <c r="D2650" s="9" t="n">
        <v>27</v>
      </c>
      <c r="E2650" s="16" t="inlineStr">
        <is>
          <t>R</t>
        </is>
      </c>
      <c r="F2650" s="16" t="inlineStr">
        <is>
          <t>3B</t>
        </is>
      </c>
      <c r="G2650" s="9" t="n">
        <v>586</v>
      </c>
      <c r="H2650" s="9" t="n">
        <v>1092</v>
      </c>
      <c r="I2650" s="9" t="inlineStr">
        <is>
          <t>Full Time</t>
        </is>
      </c>
      <c r="J2650" s="16" t="inlineStr">
        <is>
          <t>Opening Day</t>
        </is>
      </c>
      <c r="K2650" s="11">
        <f>IFERROR(INDEX(Roles!$B$17:$B$20,MATCH(J2650,Roles!$A$17:$A$20,0)),1)</f>
        <v/>
      </c>
      <c r="L2650" s="17" t="n">
        <v>1</v>
      </c>
      <c r="M2650" s="11" t="n">
        <v>1.099107030010074</v>
      </c>
      <c r="N2650" s="17" t="n">
        <v>0.68</v>
      </c>
      <c r="O2650" s="17" t="n"/>
      <c r="P2650" s="17" t="n">
        <v>0.32</v>
      </c>
      <c r="Q2650" s="17" t="n"/>
      <c r="R2650" s="17" t="n"/>
      <c r="S2650" s="17" t="n"/>
      <c r="T2650" s="17" t="n"/>
      <c r="U2650" s="17" t="n"/>
      <c r="V2650" s="17" t="n"/>
      <c r="W2650" s="17" t="n"/>
      <c r="X2650" s="17" t="n"/>
      <c r="Y2650" s="17" t="n"/>
      <c r="Z2650" s="13">
        <f>SUMPRODUCT(N2650:Y2650,$N$2:$Y$2)*$K2650*$L2650*$M2650</f>
        <v/>
      </c>
      <c r="AA2650" s="14">
        <f>SUM(N2650:Y2650)</f>
        <v/>
      </c>
      <c r="AB2650" s="14">
        <f>IFERROR(IF(UPPER($E2650)="L",SUMPRODUCT(N2650:Y2650,$N$3:$Y$3,$N$2:$Y$2),SUMPRODUCT(N2650:Y2650,$N$4:$Y$4,$N$2:$Y$2))/(Z2650/($K2650*$L2650*$M2650)),"")</f>
        <v/>
      </c>
      <c r="AC2650" s="18" t="n"/>
    </row>
    <row r="2651">
      <c r="A2651" s="9" t="n">
        <v>810838</v>
      </c>
      <c r="B2651" s="9" t="inlineStr">
        <is>
          <t>Ryan Jackson</t>
        </is>
      </c>
      <c r="C2651" s="9" t="inlineStr">
        <is>
          <t>SD</t>
        </is>
      </c>
      <c r="D2651" s="9" t="n">
        <v>25</v>
      </c>
      <c r="E2651" s="16" t="inlineStr">
        <is>
          <t>R</t>
        </is>
      </c>
      <c r="F2651" s="16" t="n"/>
      <c r="G2651" s="9" t="n">
        <v>178.4102564102564</v>
      </c>
      <c r="H2651" s="9" t="n">
        <v>178.4102564102564</v>
      </c>
      <c r="I2651" s="9" t="inlineStr">
        <is>
          <t>Depth (no MLB PA)</t>
        </is>
      </c>
      <c r="J2651" s="16" t="inlineStr">
        <is>
          <t>Opening Day</t>
        </is>
      </c>
      <c r="K2651" s="11">
        <f>IFERROR(INDEX(Roles!$B$17:$B$20,MATCH(J2651,Roles!$A$17:$A$20,0)),1)</f>
        <v/>
      </c>
      <c r="L2651" s="17" t="n">
        <v>1</v>
      </c>
      <c r="M2651" s="11" t="n">
        <v>1</v>
      </c>
      <c r="N2651" s="17" t="n"/>
      <c r="O2651" s="17" t="n"/>
      <c r="P2651" s="17" t="n"/>
      <c r="Q2651" s="17" t="n"/>
      <c r="R2651" s="17" t="n"/>
      <c r="S2651" s="17" t="n"/>
      <c r="T2651" s="17" t="n"/>
      <c r="U2651" s="17" t="n"/>
      <c r="V2651" s="17" t="n"/>
      <c r="W2651" s="17" t="n"/>
      <c r="X2651" s="17" t="n"/>
      <c r="Y2651" s="17" t="n">
        <v>1</v>
      </c>
      <c r="Z2651" s="13">
        <f>SUMPRODUCT(N2651:Y2651,$N$2:$Y$2)*$K2651*$L2651*$M2651</f>
        <v/>
      </c>
      <c r="AA2651" s="14">
        <f>SUM(N2651:Y2651)</f>
        <v/>
      </c>
      <c r="AB2651" s="14">
        <f>IFERROR(IF(UPPER($E2651)="L",SUMPRODUCT(N2651:Y2651,$N$3:$Y$3,$N$2:$Y$2),SUMPRODUCT(N2651:Y2651,$N$4:$Y$4,$N$2:$Y$2))/(Z2651/($K2651*$L2651*$M2651)),"")</f>
        <v/>
      </c>
      <c r="AC2651" s="18" t="n"/>
    </row>
    <row r="2652">
      <c r="A2652" s="9" t="n">
        <v>700931</v>
      </c>
      <c r="B2652" s="9" t="inlineStr">
        <is>
          <t>Seth Stephenson</t>
        </is>
      </c>
      <c r="C2652" s="9" t="inlineStr">
        <is>
          <t>DET</t>
        </is>
      </c>
      <c r="D2652" s="9" t="n">
        <v>25</v>
      </c>
      <c r="E2652" s="16" t="inlineStr">
        <is>
          <t>R</t>
        </is>
      </c>
      <c r="F2652" s="16" t="n"/>
      <c r="G2652" s="9" t="n">
        <v>161.5384615384615</v>
      </c>
      <c r="H2652" s="9" t="n">
        <v>161.5384615384615</v>
      </c>
      <c r="I2652" s="9" t="inlineStr">
        <is>
          <t>Depth (no MLB PA)</t>
        </is>
      </c>
      <c r="J2652" s="16" t="inlineStr">
        <is>
          <t>Opening Day</t>
        </is>
      </c>
      <c r="K2652" s="11">
        <f>IFERROR(INDEX(Roles!$B$17:$B$20,MATCH(J2652,Roles!$A$17:$A$20,0)),1)</f>
        <v/>
      </c>
      <c r="L2652" s="17" t="n">
        <v>1</v>
      </c>
      <c r="M2652" s="11" t="n">
        <v>1</v>
      </c>
      <c r="N2652" s="17" t="n"/>
      <c r="O2652" s="17" t="n"/>
      <c r="P2652" s="17" t="n"/>
      <c r="Q2652" s="17" t="n"/>
      <c r="R2652" s="17" t="n"/>
      <c r="S2652" s="17" t="n"/>
      <c r="T2652" s="17" t="n"/>
      <c r="U2652" s="17" t="n"/>
      <c r="V2652" s="17" t="n"/>
      <c r="W2652" s="17" t="n"/>
      <c r="X2652" s="17" t="n"/>
      <c r="Y2652" s="17" t="n">
        <v>1</v>
      </c>
      <c r="Z2652" s="13">
        <f>SUMPRODUCT(N2652:Y2652,$N$2:$Y$2)*$K2652*$L2652*$M2652</f>
        <v/>
      </c>
      <c r="AA2652" s="14">
        <f>SUM(N2652:Y2652)</f>
        <v/>
      </c>
      <c r="AB2652" s="14">
        <f>IFERROR(IF(UPPER($E2652)="L",SUMPRODUCT(N2652:Y2652,$N$3:$Y$3,$N$2:$Y$2),SUMPRODUCT(N2652:Y2652,$N$4:$Y$4,$N$2:$Y$2))/(Z2652/($K2652*$L2652*$M2652)),"")</f>
        <v/>
      </c>
      <c r="AC2652" s="18" t="n"/>
    </row>
    <row r="2653">
      <c r="A2653" s="9" t="n">
        <v>694187</v>
      </c>
      <c r="B2653" s="9" t="inlineStr">
        <is>
          <t>Daniel Vazquez</t>
        </is>
      </c>
      <c r="C2653" s="9" t="inlineStr">
        <is>
          <t>KC</t>
        </is>
      </c>
      <c r="D2653" s="9" t="n">
        <v>25</v>
      </c>
      <c r="E2653" s="16" t="inlineStr">
        <is>
          <t>R</t>
        </is>
      </c>
      <c r="F2653" s="16" t="n"/>
      <c r="G2653" s="9" t="n">
        <v>177.6923076923077</v>
      </c>
      <c r="H2653" s="9" t="n">
        <v>177.6923076923077</v>
      </c>
      <c r="I2653" s="9" t="inlineStr">
        <is>
          <t>Depth (no MLB PA)</t>
        </is>
      </c>
      <c r="J2653" s="16" t="inlineStr">
        <is>
          <t>Opening Day</t>
        </is>
      </c>
      <c r="K2653" s="11">
        <f>IFERROR(INDEX(Roles!$B$17:$B$20,MATCH(J2653,Roles!$A$17:$A$20,0)),1)</f>
        <v/>
      </c>
      <c r="L2653" s="17" t="n">
        <v>1</v>
      </c>
      <c r="M2653" s="11" t="n">
        <v>1</v>
      </c>
      <c r="N2653" s="17" t="n"/>
      <c r="O2653" s="17" t="n"/>
      <c r="P2653" s="17" t="n"/>
      <c r="Q2653" s="17" t="n"/>
      <c r="R2653" s="17" t="n"/>
      <c r="S2653" s="17" t="n"/>
      <c r="T2653" s="17" t="n"/>
      <c r="U2653" s="17" t="n"/>
      <c r="V2653" s="17" t="n"/>
      <c r="W2653" s="17" t="n"/>
      <c r="X2653" s="17" t="n"/>
      <c r="Y2653" s="17" t="n">
        <v>1</v>
      </c>
      <c r="Z2653" s="13">
        <f>SUMPRODUCT(N2653:Y2653,$N$2:$Y$2)*$K2653*$L2653*$M2653</f>
        <v/>
      </c>
      <c r="AA2653" s="14">
        <f>SUM(N2653:Y2653)</f>
        <v/>
      </c>
      <c r="AB2653" s="14">
        <f>IFERROR(IF(UPPER($E2653)="L",SUMPRODUCT(N2653:Y2653,$N$3:$Y$3,$N$2:$Y$2),SUMPRODUCT(N2653:Y2653,$N$4:$Y$4,$N$2:$Y$2))/(Z2653/($K2653*$L2653*$M2653)),"")</f>
        <v/>
      </c>
      <c r="AC2653" s="18" t="n"/>
    </row>
    <row r="2654">
      <c r="A2654" s="9" t="n">
        <v>677578</v>
      </c>
      <c r="B2654" s="9" t="inlineStr">
        <is>
          <t>Carlos Rodríguez</t>
        </is>
      </c>
      <c r="C2654" s="9" t="inlineStr">
        <is>
          <t>SD</t>
        </is>
      </c>
      <c r="D2654" s="9" t="n">
        <v>25</v>
      </c>
      <c r="E2654" s="16" t="inlineStr">
        <is>
          <t>L</t>
        </is>
      </c>
      <c r="F2654" s="16" t="n"/>
      <c r="G2654" s="9" t="n">
        <v>302.3589743589744</v>
      </c>
      <c r="H2654" s="9" t="n">
        <v>302.3589743589744</v>
      </c>
      <c r="I2654" s="9" t="inlineStr">
        <is>
          <t>Depth (no MLB PA)</t>
        </is>
      </c>
      <c r="J2654" s="16" t="inlineStr">
        <is>
          <t>Opening Day</t>
        </is>
      </c>
      <c r="K2654" s="11">
        <f>IFERROR(INDEX(Roles!$B$17:$B$20,MATCH(J2654,Roles!$A$17:$A$20,0)),1)</f>
        <v/>
      </c>
      <c r="L2654" s="17" t="n">
        <v>1</v>
      </c>
      <c r="M2654" s="11" t="n">
        <v>1</v>
      </c>
      <c r="N2654" s="17" t="n"/>
      <c r="O2654" s="17" t="n"/>
      <c r="P2654" s="17" t="n"/>
      <c r="Q2654" s="17" t="n"/>
      <c r="R2654" s="17" t="n"/>
      <c r="S2654" s="17" t="n"/>
      <c r="T2654" s="17" t="n"/>
      <c r="U2654" s="17" t="n"/>
      <c r="V2654" s="17" t="n"/>
      <c r="W2654" s="17" t="n"/>
      <c r="X2654" s="17" t="n"/>
      <c r="Y2654" s="17" t="n">
        <v>1</v>
      </c>
      <c r="Z2654" s="13">
        <f>SUMPRODUCT(N2654:Y2654,$N$2:$Y$2)*$K2654*$L2654*$M2654</f>
        <v/>
      </c>
      <c r="AA2654" s="14">
        <f>SUM(N2654:Y2654)</f>
        <v/>
      </c>
      <c r="AB2654" s="14">
        <f>IFERROR(IF(UPPER($E2654)="L",SUMPRODUCT(N2654:Y2654,$N$3:$Y$3,$N$2:$Y$2),SUMPRODUCT(N2654:Y2654,$N$4:$Y$4,$N$2:$Y$2))/(Z2654/($K2654*$L2654*$M2654)),"")</f>
        <v/>
      </c>
      <c r="AC2654" s="18" t="n"/>
    </row>
    <row r="2655">
      <c r="A2655" s="9" t="n">
        <v>676694</v>
      </c>
      <c r="B2655" s="9" t="inlineStr">
        <is>
          <t>Jake Meyers</t>
        </is>
      </c>
      <c r="C2655" s="9" t="inlineStr">
        <is>
          <t>HOU</t>
        </is>
      </c>
      <c r="D2655" s="9" t="n">
        <v>31</v>
      </c>
      <c r="E2655" s="16" t="inlineStr">
        <is>
          <t>R</t>
        </is>
      </c>
      <c r="F2655" s="16" t="inlineStr">
        <is>
          <t>CF</t>
        </is>
      </c>
      <c r="G2655" s="9" t="n">
        <v>153</v>
      </c>
      <c r="H2655" s="9" t="n">
        <v>1548</v>
      </c>
      <c r="I2655" s="9" t="inlineStr">
        <is>
          <t>Injury Replacement / 26th Man</t>
        </is>
      </c>
      <c r="J2655" s="16" t="inlineStr">
        <is>
          <t>Opening Day</t>
        </is>
      </c>
      <c r="K2655" s="11">
        <f>IFERROR(INDEX(Roles!$B$17:$B$20,MATCH(J2655,Roles!$A$17:$A$20,0)),1)</f>
        <v/>
      </c>
      <c r="L2655" s="17" t="n">
        <v>1</v>
      </c>
      <c r="M2655" s="11" t="n">
        <v>1.021834309792855</v>
      </c>
      <c r="N2655" s="17" t="n"/>
      <c r="O2655" s="17" t="n"/>
      <c r="P2655" s="17" t="n"/>
      <c r="Q2655" s="17" t="n"/>
      <c r="R2655" s="17" t="n"/>
      <c r="S2655" s="17" t="n"/>
      <c r="T2655" s="17" t="n"/>
      <c r="U2655" s="17" t="n"/>
      <c r="V2655" s="17" t="n"/>
      <c r="W2655" s="17" t="n">
        <v>0.15</v>
      </c>
      <c r="X2655" s="17" t="n">
        <v>0.85</v>
      </c>
      <c r="Y2655" s="17" t="n"/>
      <c r="Z2655" s="13">
        <f>SUMPRODUCT(N2655:Y2655,$N$2:$Y$2)*$K2655*$L2655*$M2655</f>
        <v/>
      </c>
      <c r="AA2655" s="14">
        <f>SUM(N2655:Y2655)</f>
        <v/>
      </c>
      <c r="AB2655" s="14">
        <f>IFERROR(IF(UPPER($E2655)="L",SUMPRODUCT(N2655:Y2655,$N$3:$Y$3,$N$2:$Y$2),SUMPRODUCT(N2655:Y2655,$N$4:$Y$4,$N$2:$Y$2))/(Z2655/($K2655*$L2655*$M2655)),"")</f>
        <v/>
      </c>
      <c r="AC2655" s="18" t="n"/>
    </row>
    <row r="2656">
      <c r="A2656" s="9" t="n">
        <v>643446</v>
      </c>
      <c r="B2656" s="9" t="inlineStr">
        <is>
          <t>Jeff McNeil</t>
        </is>
      </c>
      <c r="C2656" s="9" t="inlineStr">
        <is>
          <t>OAK</t>
        </is>
      </c>
      <c r="D2656" s="9" t="n">
        <v>35</v>
      </c>
      <c r="E2656" s="16" t="inlineStr">
        <is>
          <t>L</t>
        </is>
      </c>
      <c r="F2656" s="16" t="inlineStr">
        <is>
          <t>2B</t>
        </is>
      </c>
      <c r="G2656" s="9" t="n">
        <v>520</v>
      </c>
      <c r="H2656" s="9" t="n">
        <v>2691</v>
      </c>
      <c r="I2656" s="9" t="inlineStr">
        <is>
          <t>Strong Side Platoon</t>
        </is>
      </c>
      <c r="J2656" s="16" t="inlineStr">
        <is>
          <t>Opening Day</t>
        </is>
      </c>
      <c r="K2656" s="11">
        <f>IFERROR(INDEX(Roles!$B$17:$B$20,MATCH(J2656,Roles!$A$17:$A$20,0)),1)</f>
        <v/>
      </c>
      <c r="L2656" s="17" t="n">
        <v>1</v>
      </c>
      <c r="M2656" s="11" t="n">
        <v>1.15</v>
      </c>
      <c r="N2656" s="17" t="n">
        <v>0.4</v>
      </c>
      <c r="O2656" s="17" t="n"/>
      <c r="P2656" s="17" t="n">
        <v>0.6</v>
      </c>
      <c r="Q2656" s="17" t="n"/>
      <c r="R2656" s="17" t="n"/>
      <c r="S2656" s="17" t="n"/>
      <c r="T2656" s="17" t="n"/>
      <c r="U2656" s="17" t="n"/>
      <c r="V2656" s="17" t="n"/>
      <c r="W2656" s="17" t="n"/>
      <c r="X2656" s="17" t="n"/>
      <c r="Y2656" s="17" t="n"/>
      <c r="Z2656" s="13">
        <f>SUMPRODUCT(N2656:Y2656,$N$2:$Y$2)*$K2656*$L2656*$M2656</f>
        <v/>
      </c>
      <c r="AA2656" s="14">
        <f>SUM(N2656:Y2656)</f>
        <v/>
      </c>
      <c r="AB2656" s="14">
        <f>IFERROR(IF(UPPER($E2656)="L",SUMPRODUCT(N2656:Y2656,$N$3:$Y$3,$N$2:$Y$2),SUMPRODUCT(N2656:Y2656,$N$4:$Y$4,$N$2:$Y$2))/(Z2656/($K2656*$L2656*$M2656)),"")</f>
        <v/>
      </c>
      <c r="AC2656" s="18" t="n"/>
    </row>
    <row r="2657">
      <c r="A2657" s="9" t="n">
        <v>657136</v>
      </c>
      <c r="B2657" s="9" t="inlineStr">
        <is>
          <t>Connor Wong</t>
        </is>
      </c>
      <c r="C2657" s="9" t="inlineStr">
        <is>
          <t>BOS</t>
        </is>
      </c>
      <c r="D2657" s="9" t="n">
        <v>31</v>
      </c>
      <c r="E2657" s="16" t="inlineStr">
        <is>
          <t>R</t>
        </is>
      </c>
      <c r="F2657" s="16" t="inlineStr">
        <is>
          <t>C</t>
        </is>
      </c>
      <c r="G2657" s="9" t="n">
        <v>238</v>
      </c>
      <c r="H2657" s="9" t="n">
        <v>1372</v>
      </c>
      <c r="I2657" s="9" t="inlineStr">
        <is>
          <t>Bench Bat</t>
        </is>
      </c>
      <c r="J2657" s="16" t="inlineStr">
        <is>
          <t>Opening Day</t>
        </is>
      </c>
      <c r="K2657" s="11">
        <f>IFERROR(INDEX(Roles!$B$17:$B$20,MATCH(J2657,Roles!$A$17:$A$20,0)),1)</f>
        <v/>
      </c>
      <c r="L2657" s="17" t="n">
        <v>1</v>
      </c>
      <c r="M2657" s="11" t="n">
        <v>0.9464896458550928</v>
      </c>
      <c r="N2657" s="17" t="n"/>
      <c r="O2657" s="17" t="n"/>
      <c r="P2657" s="17" t="n"/>
      <c r="Q2657" s="17" t="n"/>
      <c r="R2657" s="17" t="n"/>
      <c r="S2657" s="17" t="n"/>
      <c r="T2657" s="17" t="n">
        <v>0.4</v>
      </c>
      <c r="U2657" s="17" t="n"/>
      <c r="V2657" s="17" t="n"/>
      <c r="W2657" s="17" t="n">
        <v>0.6</v>
      </c>
      <c r="X2657" s="17" t="n"/>
      <c r="Y2657" s="17" t="n"/>
      <c r="Z2657" s="13">
        <f>SUMPRODUCT(N2657:Y2657,$N$2:$Y$2)*$K2657*$L2657*$M2657</f>
        <v/>
      </c>
      <c r="AA2657" s="14">
        <f>SUM(N2657:Y2657)</f>
        <v/>
      </c>
      <c r="AB2657" s="14">
        <f>IFERROR(IF(UPPER($E2657)="L",SUMPRODUCT(N2657:Y2657,$N$3:$Y$3,$N$2:$Y$2),SUMPRODUCT(N2657:Y2657,$N$4:$Y$4,$N$2:$Y$2))/(Z2657/($K2657*$L2657*$M2657)),"")</f>
        <v/>
      </c>
      <c r="AC2657" s="18" t="n"/>
    </row>
    <row r="2658">
      <c r="A2658" s="9" t="n">
        <v>595281</v>
      </c>
      <c r="B2658" s="9" t="inlineStr">
        <is>
          <t>Kevin Kiermaier</t>
        </is>
      </c>
      <c r="C2658" s="9" t="inlineStr">
        <is>
          <t>LAD</t>
        </is>
      </c>
      <c r="D2658" s="9" t="n">
        <v>37</v>
      </c>
      <c r="E2658" s="16" t="inlineStr">
        <is>
          <t>L</t>
        </is>
      </c>
      <c r="F2658" s="16" t="inlineStr">
        <is>
          <t>CF</t>
        </is>
      </c>
      <c r="G2658" s="9" t="n">
        <v>281</v>
      </c>
      <c r="H2658" s="9" t="n">
        <v>910</v>
      </c>
      <c r="I2658" s="9" t="inlineStr">
        <is>
          <t>Depth (no MLB PA)</t>
        </is>
      </c>
      <c r="J2658" s="16" t="inlineStr">
        <is>
          <t>Opening Day</t>
        </is>
      </c>
      <c r="K2658" s="11">
        <f>IFERROR(INDEX(Roles!$B$17:$B$20,MATCH(J2658,Roles!$A$17:$A$20,0)),1)</f>
        <v/>
      </c>
      <c r="L2658" s="17" t="n">
        <v>1</v>
      </c>
      <c r="M2658" s="11" t="n">
        <v>1.15</v>
      </c>
      <c r="N2658" s="17" t="n"/>
      <c r="O2658" s="17" t="n"/>
      <c r="P2658" s="17" t="n"/>
      <c r="Q2658" s="17" t="n"/>
      <c r="R2658" s="17" t="n"/>
      <c r="S2658" s="17" t="n"/>
      <c r="T2658" s="17" t="n"/>
      <c r="U2658" s="17" t="n"/>
      <c r="V2658" s="17" t="n"/>
      <c r="W2658" s="17" t="n"/>
      <c r="X2658" s="17" t="n"/>
      <c r="Y2658" s="17" t="n">
        <v>1</v>
      </c>
      <c r="Z2658" s="13">
        <f>SUMPRODUCT(N2658:Y2658,$N$2:$Y$2)*$K2658*$L2658*$M2658</f>
        <v/>
      </c>
      <c r="AA2658" s="14">
        <f>SUM(N2658:Y2658)</f>
        <v/>
      </c>
      <c r="AB2658" s="14">
        <f>IFERROR(IF(UPPER($E2658)="L",SUMPRODUCT(N2658:Y2658,$N$3:$Y$3,$N$2:$Y$2),SUMPRODUCT(N2658:Y2658,$N$4:$Y$4,$N$2:$Y$2))/(Z2658/($K2658*$L2658*$M2658)),"")</f>
        <v/>
      </c>
      <c r="AC2658" s="18" t="n"/>
    </row>
    <row r="2659">
      <c r="A2659" s="9" t="n">
        <v>656248</v>
      </c>
      <c r="B2659" s="9" t="inlineStr">
        <is>
          <t>Sean Bouchard</t>
        </is>
      </c>
      <c r="C2659" s="9" t="inlineStr">
        <is>
          <t>COL</t>
        </is>
      </c>
      <c r="D2659" s="9" t="n">
        <v>31</v>
      </c>
      <c r="E2659" s="16" t="inlineStr">
        <is>
          <t>R</t>
        </is>
      </c>
      <c r="F2659" s="16" t="inlineStr">
        <is>
          <t>RF</t>
        </is>
      </c>
      <c r="G2659" s="9" t="n">
        <v>73</v>
      </c>
      <c r="H2659" s="9" t="n">
        <v>321</v>
      </c>
      <c r="I2659" s="9" t="inlineStr">
        <is>
          <t>Bench Bat</t>
        </is>
      </c>
      <c r="J2659" s="16" t="inlineStr">
        <is>
          <t>Opening Day</t>
        </is>
      </c>
      <c r="K2659" s="11">
        <f>IFERROR(INDEX(Roles!$B$17:$B$20,MATCH(J2659,Roles!$A$17:$A$20,0)),1)</f>
        <v/>
      </c>
      <c r="L2659" s="17" t="n">
        <v>1</v>
      </c>
      <c r="M2659" s="11" t="n">
        <v>1</v>
      </c>
      <c r="N2659" s="17" t="n"/>
      <c r="O2659" s="17" t="n"/>
      <c r="P2659" s="17" t="n"/>
      <c r="Q2659" s="17" t="n"/>
      <c r="R2659" s="17" t="n"/>
      <c r="S2659" s="17" t="n"/>
      <c r="T2659" s="17" t="n"/>
      <c r="U2659" s="17" t="n"/>
      <c r="V2659" s="17" t="n"/>
      <c r="W2659" s="17" t="n">
        <v>1</v>
      </c>
      <c r="X2659" s="17" t="n"/>
      <c r="Y2659" s="17" t="n"/>
      <c r="Z2659" s="13">
        <f>SUMPRODUCT(N2659:Y2659,$N$2:$Y$2)*$K2659*$L2659*$M2659</f>
        <v/>
      </c>
      <c r="AA2659" s="14">
        <f>SUM(N2659:Y2659)</f>
        <v/>
      </c>
      <c r="AB2659" s="14">
        <f>IFERROR(IF(UPPER($E2659)="L",SUMPRODUCT(N2659:Y2659,$N$3:$Y$3,$N$2:$Y$2),SUMPRODUCT(N2659:Y2659,$N$4:$Y$4,$N$2:$Y$2))/(Z2659/($K2659*$L2659*$M2659)),"")</f>
        <v/>
      </c>
      <c r="AC2659" s="18" t="n"/>
    </row>
    <row r="2660">
      <c r="A2660" s="9" t="n">
        <v>823795</v>
      </c>
      <c r="B2660" s="9" t="inlineStr">
        <is>
          <t>Nick Rodriguez</t>
        </is>
      </c>
      <c r="C2660" s="9" t="inlineStr">
        <is>
          <t>LAA</t>
        </is>
      </c>
      <c r="D2660" s="9" t="n">
        <v>25</v>
      </c>
      <c r="E2660" s="16" t="inlineStr">
        <is>
          <t>L</t>
        </is>
      </c>
      <c r="F2660" s="16" t="n"/>
      <c r="G2660" s="9" t="n">
        <v>189.1794871794872</v>
      </c>
      <c r="H2660" s="9" t="n">
        <v>189.1794871794872</v>
      </c>
      <c r="I2660" s="9" t="inlineStr">
        <is>
          <t>Depth (no MLB PA)</t>
        </is>
      </c>
      <c r="J2660" s="16" t="inlineStr">
        <is>
          <t>Opening Day</t>
        </is>
      </c>
      <c r="K2660" s="11">
        <f>IFERROR(INDEX(Roles!$B$17:$B$20,MATCH(J2660,Roles!$A$17:$A$20,0)),1)</f>
        <v/>
      </c>
      <c r="L2660" s="17" t="n">
        <v>1</v>
      </c>
      <c r="M2660" s="11" t="n">
        <v>1</v>
      </c>
      <c r="N2660" s="17" t="n"/>
      <c r="O2660" s="17" t="n"/>
      <c r="P2660" s="17" t="n"/>
      <c r="Q2660" s="17" t="n"/>
      <c r="R2660" s="17" t="n"/>
      <c r="S2660" s="17" t="n"/>
      <c r="T2660" s="17" t="n"/>
      <c r="U2660" s="17" t="n"/>
      <c r="V2660" s="17" t="n"/>
      <c r="W2660" s="17" t="n"/>
      <c r="X2660" s="17" t="n"/>
      <c r="Y2660" s="17" t="n">
        <v>1</v>
      </c>
      <c r="Z2660" s="13">
        <f>SUMPRODUCT(N2660:Y2660,$N$2:$Y$2)*$K2660*$L2660*$M2660</f>
        <v/>
      </c>
      <c r="AA2660" s="14">
        <f>SUM(N2660:Y2660)</f>
        <v/>
      </c>
      <c r="AB2660" s="14">
        <f>IFERROR(IF(UPPER($E2660)="L",SUMPRODUCT(N2660:Y2660,$N$3:$Y$3,$N$2:$Y$2),SUMPRODUCT(N2660:Y2660,$N$4:$Y$4,$N$2:$Y$2))/(Z2660/($K2660*$L2660*$M2660)),"")</f>
        <v/>
      </c>
      <c r="AC2660" s="18" t="n"/>
    </row>
    <row r="2661">
      <c r="A2661" s="9" t="n">
        <v>674441</v>
      </c>
      <c r="B2661" s="9" t="inlineStr">
        <is>
          <t>Jacob Hurtubise</t>
        </is>
      </c>
      <c r="C2661" s="9" t="inlineStr">
        <is>
          <t>CIN</t>
        </is>
      </c>
      <c r="D2661" s="9" t="n">
        <v>29</v>
      </c>
      <c r="E2661" s="16" t="inlineStr">
        <is>
          <t>L</t>
        </is>
      </c>
      <c r="F2661" s="16" t="inlineStr">
        <is>
          <t>LF</t>
        </is>
      </c>
      <c r="G2661" s="9" t="n">
        <v>15</v>
      </c>
      <c r="H2661" s="9" t="n">
        <v>83</v>
      </c>
      <c r="I2661" s="9" t="inlineStr">
        <is>
          <t>Depth (no MLB PA)</t>
        </is>
      </c>
      <c r="J2661" s="16" t="inlineStr">
        <is>
          <t>Opening Day</t>
        </is>
      </c>
      <c r="K2661" s="11">
        <f>IFERROR(INDEX(Roles!$B$17:$B$20,MATCH(J2661,Roles!$A$17:$A$20,0)),1)</f>
        <v/>
      </c>
      <c r="L2661" s="17" t="n">
        <v>1</v>
      </c>
      <c r="M2661" s="11" t="n">
        <v>1</v>
      </c>
      <c r="N2661" s="17" t="n"/>
      <c r="O2661" s="17" t="n"/>
      <c r="P2661" s="17" t="n"/>
      <c r="Q2661" s="17" t="n"/>
      <c r="R2661" s="17" t="n"/>
      <c r="S2661" s="17" t="n"/>
      <c r="T2661" s="17" t="n"/>
      <c r="U2661" s="17" t="n"/>
      <c r="V2661" s="17" t="n"/>
      <c r="W2661" s="17" t="n"/>
      <c r="X2661" s="17" t="n"/>
      <c r="Y2661" s="17" t="n">
        <v>1</v>
      </c>
      <c r="Z2661" s="13">
        <f>SUMPRODUCT(N2661:Y2661,$N$2:$Y$2)*$K2661*$L2661*$M2661</f>
        <v/>
      </c>
      <c r="AA2661" s="14">
        <f>SUM(N2661:Y2661)</f>
        <v/>
      </c>
      <c r="AB2661" s="14">
        <f>IFERROR(IF(UPPER($E2661)="L",SUMPRODUCT(N2661:Y2661,$N$3:$Y$3,$N$2:$Y$2),SUMPRODUCT(N2661:Y2661,$N$4:$Y$4,$N$2:$Y$2))/(Z2661/($K2661*$L2661*$M2661)),"")</f>
        <v/>
      </c>
      <c r="AC2661" s="18" t="n"/>
    </row>
    <row r="2662">
      <c r="A2662" s="9" t="n">
        <v>641820</v>
      </c>
      <c r="B2662" s="9" t="inlineStr">
        <is>
          <t>Trey Mancini</t>
        </is>
      </c>
      <c r="C2662" s="9" t="inlineStr">
        <is>
          <t>CHC</t>
        </is>
      </c>
      <c r="D2662" s="9" t="n">
        <v>35</v>
      </c>
      <c r="E2662" s="16" t="inlineStr">
        <is>
          <t>R</t>
        </is>
      </c>
      <c r="F2662" s="16" t="inlineStr">
        <is>
          <t>1B</t>
        </is>
      </c>
      <c r="G2662" s="9" t="n">
        <v>14</v>
      </c>
      <c r="H2662" s="9" t="n">
        <v>864</v>
      </c>
      <c r="I2662" s="9" t="inlineStr">
        <is>
          <t>Depth (no MLB PA)</t>
        </is>
      </c>
      <c r="J2662" s="16" t="inlineStr">
        <is>
          <t>Opening Day</t>
        </is>
      </c>
      <c r="K2662" s="11">
        <f>IFERROR(INDEX(Roles!$B$17:$B$20,MATCH(J2662,Roles!$A$17:$A$20,0)),1)</f>
        <v/>
      </c>
      <c r="L2662" s="17" t="n">
        <v>1</v>
      </c>
      <c r="M2662" s="11" t="n">
        <v>1</v>
      </c>
      <c r="N2662" s="17" t="n"/>
      <c r="O2662" s="17" t="n"/>
      <c r="P2662" s="17" t="n"/>
      <c r="Q2662" s="17" t="n"/>
      <c r="R2662" s="17" t="n"/>
      <c r="S2662" s="17" t="n"/>
      <c r="T2662" s="17" t="n"/>
      <c r="U2662" s="17" t="n"/>
      <c r="V2662" s="17" t="n"/>
      <c r="W2662" s="17" t="n"/>
      <c r="X2662" s="17" t="n"/>
      <c r="Y2662" s="17" t="n">
        <v>1</v>
      </c>
      <c r="Z2662" s="13">
        <f>SUMPRODUCT(N2662:Y2662,$N$2:$Y$2)*$K2662*$L2662*$M2662</f>
        <v/>
      </c>
      <c r="AA2662" s="14">
        <f>SUM(N2662:Y2662)</f>
        <v/>
      </c>
      <c r="AB2662" s="14">
        <f>IFERROR(IF(UPPER($E2662)="L",SUMPRODUCT(N2662:Y2662,$N$3:$Y$3,$N$2:$Y$2),SUMPRODUCT(N2662:Y2662,$N$4:$Y$4,$N$2:$Y$2))/(Z2662/($K2662*$L2662*$M2662)),"")</f>
        <v/>
      </c>
      <c r="AC2662" s="18" t="n"/>
    </row>
    <row r="2663">
      <c r="A2663" s="9" t="n">
        <v>807799</v>
      </c>
      <c r="B2663" s="9" t="inlineStr">
        <is>
          <t>Masataka Yoshida</t>
        </is>
      </c>
      <c r="C2663" s="9" t="inlineStr">
        <is>
          <t>BOS</t>
        </is>
      </c>
      <c r="D2663" s="9" t="n">
        <v>33</v>
      </c>
      <c r="E2663" s="16" t="inlineStr">
        <is>
          <t>L</t>
        </is>
      </c>
      <c r="F2663" s="16" t="inlineStr">
        <is>
          <t>LF</t>
        </is>
      </c>
      <c r="G2663" s="9" t="n">
        <v>297</v>
      </c>
      <c r="H2663" s="9" t="n">
        <v>1503</v>
      </c>
      <c r="I2663" s="9" t="inlineStr">
        <is>
          <t>Full Time</t>
        </is>
      </c>
      <c r="J2663" s="16" t="inlineStr">
        <is>
          <t>Opening Day</t>
        </is>
      </c>
      <c r="K2663" s="11">
        <f>IFERROR(INDEX(Roles!$B$17:$B$20,MATCH(J2663,Roles!$A$17:$A$20,0)),1)</f>
        <v/>
      </c>
      <c r="L2663" s="17" t="n">
        <v>1</v>
      </c>
      <c r="M2663" s="11" t="n">
        <v>0.7307136215902563</v>
      </c>
      <c r="N2663" s="17" t="n">
        <v>1</v>
      </c>
      <c r="O2663" s="17" t="n"/>
      <c r="P2663" s="17" t="n"/>
      <c r="Q2663" s="17" t="n"/>
      <c r="R2663" s="17" t="n"/>
      <c r="S2663" s="17" t="n"/>
      <c r="T2663" s="17" t="n"/>
      <c r="U2663" s="17" t="n"/>
      <c r="V2663" s="17" t="n"/>
      <c r="W2663" s="17" t="n"/>
      <c r="X2663" s="17" t="n"/>
      <c r="Y2663" s="17" t="n"/>
      <c r="Z2663" s="13">
        <f>SUMPRODUCT(N2663:Y2663,$N$2:$Y$2)*$K2663*$L2663*$M2663</f>
        <v/>
      </c>
      <c r="AA2663" s="14">
        <f>SUM(N2663:Y2663)</f>
        <v/>
      </c>
      <c r="AB2663" s="14">
        <f>IFERROR(IF(UPPER($E2663)="L",SUMPRODUCT(N2663:Y2663,$N$3:$Y$3,$N$2:$Y$2),SUMPRODUCT(N2663:Y2663,$N$4:$Y$4,$N$2:$Y$2))/(Z2663/($K2663*$L2663*$M2663)),"")</f>
        <v/>
      </c>
      <c r="AC2663" s="18" t="n"/>
    </row>
    <row r="2664">
      <c r="A2664" s="9" t="n">
        <v>677950</v>
      </c>
      <c r="B2664" s="9" t="inlineStr">
        <is>
          <t>Alek Thomas</t>
        </is>
      </c>
      <c r="C2664" s="9" t="inlineStr">
        <is>
          <t>LAD</t>
        </is>
      </c>
      <c r="D2664" s="9" t="n">
        <v>27</v>
      </c>
      <c r="E2664" s="16" t="inlineStr">
        <is>
          <t>L</t>
        </is>
      </c>
      <c r="F2664" s="16" t="inlineStr">
        <is>
          <t>CF</t>
        </is>
      </c>
      <c r="G2664" s="9" t="n">
        <v>120</v>
      </c>
      <c r="H2664" s="9" t="n">
        <v>1505</v>
      </c>
      <c r="I2664" s="9" t="inlineStr">
        <is>
          <t>Full Time</t>
        </is>
      </c>
      <c r="J2664" s="16" t="inlineStr">
        <is>
          <t>Opening Day</t>
        </is>
      </c>
      <c r="K2664" s="11">
        <f>IFERROR(INDEX(Roles!$B$17:$B$20,MATCH(J2664,Roles!$A$17:$A$20,0)),1)</f>
        <v/>
      </c>
      <c r="L2664" s="17" t="n">
        <v>1</v>
      </c>
      <c r="M2664" s="11" t="n">
        <v>0.729863667343015</v>
      </c>
      <c r="N2664" s="17" t="n">
        <v>1</v>
      </c>
      <c r="O2664" s="17" t="n"/>
      <c r="P2664" s="17" t="n"/>
      <c r="Q2664" s="17" t="n"/>
      <c r="R2664" s="17" t="n"/>
      <c r="S2664" s="17" t="n"/>
      <c r="T2664" s="17" t="n"/>
      <c r="U2664" s="17" t="n"/>
      <c r="V2664" s="17" t="n"/>
      <c r="W2664" s="17" t="n"/>
      <c r="X2664" s="17" t="n"/>
      <c r="Y2664" s="17" t="n"/>
      <c r="Z2664" s="13">
        <f>SUMPRODUCT(N2664:Y2664,$N$2:$Y$2)*$K2664*$L2664*$M2664</f>
        <v/>
      </c>
      <c r="AA2664" s="14">
        <f>SUM(N2664:Y2664)</f>
        <v/>
      </c>
      <c r="AB2664" s="14">
        <f>IFERROR(IF(UPPER($E2664)="L",SUMPRODUCT(N2664:Y2664,$N$3:$Y$3,$N$2:$Y$2),SUMPRODUCT(N2664:Y2664,$N$4:$Y$4,$N$2:$Y$2))/(Z2664/($K2664*$L2664*$M2664)),"")</f>
        <v/>
      </c>
      <c r="AC2664" s="18" t="n"/>
    </row>
    <row r="2665">
      <c r="A2665" s="9" t="n">
        <v>543877</v>
      </c>
      <c r="B2665" s="9" t="inlineStr">
        <is>
          <t>Christian Vázquez</t>
        </is>
      </c>
      <c r="C2665" s="9" t="inlineStr">
        <is>
          <t>HOU</t>
        </is>
      </c>
      <c r="D2665" s="9" t="n">
        <v>36</v>
      </c>
      <c r="E2665" s="16" t="inlineStr">
        <is>
          <t>R</t>
        </is>
      </c>
      <c r="F2665" s="16" t="inlineStr">
        <is>
          <t>C</t>
        </is>
      </c>
      <c r="G2665" s="9" t="n">
        <v>266</v>
      </c>
      <c r="H2665" s="9" t="n">
        <v>1576</v>
      </c>
      <c r="I2665" s="9" t="inlineStr">
        <is>
          <t>Bench Bat</t>
        </is>
      </c>
      <c r="J2665" s="16" t="inlineStr">
        <is>
          <t>Opening Day</t>
        </is>
      </c>
      <c r="K2665" s="11">
        <f>IFERROR(INDEX(Roles!$B$17:$B$20,MATCH(J2665,Roles!$A$17:$A$20,0)),1)</f>
        <v/>
      </c>
      <c r="L2665" s="17" t="n">
        <v>1</v>
      </c>
      <c r="M2665" s="11" t="n">
        <v>1</v>
      </c>
      <c r="N2665" s="17" t="n"/>
      <c r="O2665" s="17" t="n"/>
      <c r="P2665" s="17" t="n"/>
      <c r="Q2665" s="17" t="n"/>
      <c r="R2665" s="17" t="n"/>
      <c r="S2665" s="17" t="n"/>
      <c r="T2665" s="17" t="n">
        <v>0.4</v>
      </c>
      <c r="U2665" s="17" t="n"/>
      <c r="V2665" s="17" t="n"/>
      <c r="W2665" s="17" t="n">
        <v>0.6</v>
      </c>
      <c r="X2665" s="17" t="n"/>
      <c r="Y2665" s="17" t="n"/>
      <c r="Z2665" s="13">
        <f>SUMPRODUCT(N2665:Y2665,$N$2:$Y$2)*$K2665*$L2665*$M2665</f>
        <v/>
      </c>
      <c r="AA2665" s="14">
        <f>SUM(N2665:Y2665)</f>
        <v/>
      </c>
      <c r="AB2665" s="14">
        <f>IFERROR(IF(UPPER($E2665)="L",SUMPRODUCT(N2665:Y2665,$N$3:$Y$3,$N$2:$Y$2),SUMPRODUCT(N2665:Y2665,$N$4:$Y$4,$N$2:$Y$2))/(Z2665/($K2665*$L2665*$M2665)),"")</f>
        <v/>
      </c>
      <c r="AC2665" s="18" t="n"/>
    </row>
    <row r="2666">
      <c r="A2666" s="9" t="n">
        <v>680474</v>
      </c>
      <c r="B2666" s="9" t="inlineStr">
        <is>
          <t>Max Schuemann</t>
        </is>
      </c>
      <c r="C2666" s="9" t="inlineStr">
        <is>
          <t>NYY</t>
        </is>
      </c>
      <c r="D2666" s="9" t="n">
        <v>30</v>
      </c>
      <c r="E2666" s="16" t="inlineStr">
        <is>
          <t>R</t>
        </is>
      </c>
      <c r="F2666" s="16" t="inlineStr">
        <is>
          <t>LF</t>
        </is>
      </c>
      <c r="G2666" s="9" t="n">
        <v>87</v>
      </c>
      <c r="H2666" s="9" t="n">
        <v>759</v>
      </c>
      <c r="I2666" s="9" t="inlineStr">
        <is>
          <t>Bench Bat</t>
        </is>
      </c>
      <c r="J2666" s="16" t="inlineStr">
        <is>
          <t>Opening Day</t>
        </is>
      </c>
      <c r="K2666" s="11">
        <f>IFERROR(INDEX(Roles!$B$17:$B$20,MATCH(J2666,Roles!$A$17:$A$20,0)),1)</f>
        <v/>
      </c>
      <c r="L2666" s="17" t="n">
        <v>1</v>
      </c>
      <c r="M2666" s="11" t="n">
        <v>0.9210930552741138</v>
      </c>
      <c r="N2666" s="17" t="n"/>
      <c r="O2666" s="17" t="n"/>
      <c r="P2666" s="17" t="n"/>
      <c r="Q2666" s="17" t="n"/>
      <c r="R2666" s="17" t="n"/>
      <c r="S2666" s="17" t="n"/>
      <c r="T2666" s="17" t="n"/>
      <c r="U2666" s="17" t="n"/>
      <c r="V2666" s="17" t="n"/>
      <c r="W2666" s="17" t="n">
        <v>1</v>
      </c>
      <c r="X2666" s="17" t="n"/>
      <c r="Y2666" s="17" t="n"/>
      <c r="Z2666" s="13">
        <f>SUMPRODUCT(N2666:Y2666,$N$2:$Y$2)*$K2666*$L2666*$M2666</f>
        <v/>
      </c>
      <c r="AA2666" s="14">
        <f>SUM(N2666:Y2666)</f>
        <v/>
      </c>
      <c r="AB2666" s="14">
        <f>IFERROR(IF(UPPER($E2666)="L",SUMPRODUCT(N2666:Y2666,$N$3:$Y$3,$N$2:$Y$2),SUMPRODUCT(N2666:Y2666,$N$4:$Y$4,$N$2:$Y$2))/(Z2666/($K2666*$L2666*$M2666)),"")</f>
        <v/>
      </c>
      <c r="AC2666" s="18" t="n"/>
    </row>
    <row r="2667">
      <c r="A2667" s="9" t="n">
        <v>686765</v>
      </c>
      <c r="B2667" s="9" t="inlineStr">
        <is>
          <t>Nick Sogard</t>
        </is>
      </c>
      <c r="C2667" s="9" t="inlineStr">
        <is>
          <t>BOS</t>
        </is>
      </c>
      <c r="D2667" s="9" t="n">
        <v>29</v>
      </c>
      <c r="E2667" s="16" t="inlineStr">
        <is>
          <t>S</t>
        </is>
      </c>
      <c r="F2667" s="16" t="inlineStr">
        <is>
          <t>2B</t>
        </is>
      </c>
      <c r="G2667" s="9" t="n">
        <v>277</v>
      </c>
      <c r="H2667" s="9" t="n">
        <v>467</v>
      </c>
      <c r="I2667" s="9" t="inlineStr">
        <is>
          <t>Full Time</t>
        </is>
      </c>
      <c r="J2667" s="16" t="inlineStr">
        <is>
          <t>Opening Day</t>
        </is>
      </c>
      <c r="K2667" s="11">
        <f>IFERROR(INDEX(Roles!$B$17:$B$20,MATCH(J2667,Roles!$A$17:$A$20,0)),1)</f>
        <v/>
      </c>
      <c r="L2667" s="17" t="n">
        <v>1</v>
      </c>
      <c r="M2667" s="11" t="n">
        <v>1</v>
      </c>
      <c r="N2667" s="17" t="n">
        <v>0.85</v>
      </c>
      <c r="O2667" s="17" t="n"/>
      <c r="P2667" s="17" t="n">
        <v>0.15</v>
      </c>
      <c r="Q2667" s="17" t="n"/>
      <c r="R2667" s="17" t="n"/>
      <c r="S2667" s="17" t="n"/>
      <c r="T2667" s="17" t="n"/>
      <c r="U2667" s="17" t="n"/>
      <c r="V2667" s="17" t="n"/>
      <c r="W2667" s="17" t="n"/>
      <c r="X2667" s="17" t="n"/>
      <c r="Y2667" s="17" t="n"/>
      <c r="Z2667" s="13">
        <f>SUMPRODUCT(N2667:Y2667,$N$2:$Y$2)*$K2667*$L2667*$M2667</f>
        <v/>
      </c>
      <c r="AA2667" s="14">
        <f>SUM(N2667:Y2667)</f>
        <v/>
      </c>
      <c r="AB2667" s="14">
        <f>IFERROR(IF(UPPER($E2667)="L",SUMPRODUCT(N2667:Y2667,$N$3:$Y$3,$N$2:$Y$2),SUMPRODUCT(N2667:Y2667,$N$4:$Y$4,$N$2:$Y$2))/(Z2667/($K2667*$L2667*$M2667)),"")</f>
        <v/>
      </c>
      <c r="AC2667" s="18" t="n"/>
    </row>
    <row r="2668">
      <c r="A2668" s="9" t="n">
        <v>669326</v>
      </c>
      <c r="B2668" s="9" t="inlineStr">
        <is>
          <t>Bryce Teodosio</t>
        </is>
      </c>
      <c r="C2668" s="9" t="inlineStr">
        <is>
          <t>LAA</t>
        </is>
      </c>
      <c r="D2668" s="9" t="n">
        <v>28</v>
      </c>
      <c r="E2668" s="16" t="inlineStr">
        <is>
          <t>R</t>
        </is>
      </c>
      <c r="F2668" s="16" t="inlineStr">
        <is>
          <t>LF</t>
        </is>
      </c>
      <c r="G2668" s="9" t="n">
        <v>76</v>
      </c>
      <c r="H2668" s="9" t="n">
        <v>238</v>
      </c>
      <c r="I2668" s="9" t="inlineStr">
        <is>
          <t>Utility OF / 4th OF</t>
        </is>
      </c>
      <c r="J2668" s="16" t="inlineStr">
        <is>
          <t>Opening Day</t>
        </is>
      </c>
      <c r="K2668" s="11">
        <f>IFERROR(INDEX(Roles!$B$17:$B$20,MATCH(J2668,Roles!$A$17:$A$20,0)),1)</f>
        <v/>
      </c>
      <c r="L2668" s="17" t="n">
        <v>1</v>
      </c>
      <c r="M2668" s="11" t="n">
        <v>1</v>
      </c>
      <c r="N2668" s="17" t="n"/>
      <c r="O2668" s="17" t="n"/>
      <c r="P2668" s="17" t="n"/>
      <c r="Q2668" s="17" t="n"/>
      <c r="R2668" s="17" t="n"/>
      <c r="S2668" s="17" t="n"/>
      <c r="T2668" s="17" t="n"/>
      <c r="U2668" s="17" t="n"/>
      <c r="V2668" s="17" t="n">
        <v>0.7</v>
      </c>
      <c r="W2668" s="17" t="n">
        <v>0.3</v>
      </c>
      <c r="X2668" s="17" t="n"/>
      <c r="Y2668" s="17" t="n"/>
      <c r="Z2668" s="13">
        <f>SUMPRODUCT(N2668:Y2668,$N$2:$Y$2)*$K2668*$L2668*$M2668</f>
        <v/>
      </c>
      <c r="AA2668" s="14">
        <f>SUM(N2668:Y2668)</f>
        <v/>
      </c>
      <c r="AB2668" s="14">
        <f>IFERROR(IF(UPPER($E2668)="L",SUMPRODUCT(N2668:Y2668,$N$3:$Y$3,$N$2:$Y$2),SUMPRODUCT(N2668:Y2668,$N$4:$Y$4,$N$2:$Y$2))/(Z2668/($K2668*$L2668*$M2668)),"")</f>
        <v/>
      </c>
      <c r="AC2668" s="18" t="n"/>
    </row>
    <row r="2669">
      <c r="A2669" s="9" t="n">
        <v>689172</v>
      </c>
      <c r="B2669" s="9" t="inlineStr">
        <is>
          <t>Brett Wisely</t>
        </is>
      </c>
      <c r="C2669" s="9" t="inlineStr">
        <is>
          <t>ATL</t>
        </is>
      </c>
      <c r="D2669" s="9" t="n">
        <v>28</v>
      </c>
      <c r="E2669" s="16" t="inlineStr">
        <is>
          <t>L</t>
        </is>
      </c>
      <c r="F2669" s="16" t="inlineStr">
        <is>
          <t>2B</t>
        </is>
      </c>
      <c r="G2669" s="9" t="n">
        <v>63</v>
      </c>
      <c r="H2669" s="9" t="n">
        <v>466</v>
      </c>
      <c r="I2669" s="9" t="inlineStr">
        <is>
          <t>Bench Bat</t>
        </is>
      </c>
      <c r="J2669" s="16" t="inlineStr">
        <is>
          <t>Opening Day</t>
        </is>
      </c>
      <c r="K2669" s="11">
        <f>IFERROR(INDEX(Roles!$B$17:$B$20,MATCH(J2669,Roles!$A$17:$A$20,0)),1)</f>
        <v/>
      </c>
      <c r="L2669" s="17" t="n">
        <v>1</v>
      </c>
      <c r="M2669" s="11" t="n">
        <v>1</v>
      </c>
      <c r="N2669" s="17" t="n"/>
      <c r="O2669" s="17" t="n"/>
      <c r="P2669" s="17" t="n"/>
      <c r="Q2669" s="17" t="n"/>
      <c r="R2669" s="17" t="n"/>
      <c r="S2669" s="17" t="n"/>
      <c r="T2669" s="17" t="n"/>
      <c r="U2669" s="17" t="n"/>
      <c r="V2669" s="17" t="n"/>
      <c r="W2669" s="17" t="n">
        <v>1</v>
      </c>
      <c r="X2669" s="17" t="n"/>
      <c r="Y2669" s="17" t="n"/>
      <c r="Z2669" s="13">
        <f>SUMPRODUCT(N2669:Y2669,$N$2:$Y$2)*$K2669*$L2669*$M2669</f>
        <v/>
      </c>
      <c r="AA2669" s="14">
        <f>SUM(N2669:Y2669)</f>
        <v/>
      </c>
      <c r="AB2669" s="14">
        <f>IFERROR(IF(UPPER($E2669)="L",SUMPRODUCT(N2669:Y2669,$N$3:$Y$3,$N$2:$Y$2),SUMPRODUCT(N2669:Y2669,$N$4:$Y$4,$N$2:$Y$2))/(Z2669/($K2669*$L2669*$M2669)),"")</f>
        <v/>
      </c>
      <c r="AC2669" s="18" t="n"/>
    </row>
    <row r="2670">
      <c r="A2670" s="9" t="n">
        <v>595909</v>
      </c>
      <c r="B2670" s="9" t="inlineStr">
        <is>
          <t>Jake Cave</t>
        </is>
      </c>
      <c r="C2670" s="9" t="inlineStr">
        <is>
          <t>COL</t>
        </is>
      </c>
      <c r="D2670" s="9" t="n">
        <v>34</v>
      </c>
      <c r="E2670" s="16" t="inlineStr">
        <is>
          <t>L</t>
        </is>
      </c>
      <c r="F2670" s="16" t="inlineStr">
        <is>
          <t>RF</t>
        </is>
      </c>
      <c r="G2670" s="9" t="n">
        <v>346</v>
      </c>
      <c r="H2670" s="9" t="n">
        <v>726</v>
      </c>
      <c r="I2670" s="9" t="inlineStr">
        <is>
          <t>Depth (no MLB PA)</t>
        </is>
      </c>
      <c r="J2670" s="16" t="inlineStr">
        <is>
          <t>Opening Day</t>
        </is>
      </c>
      <c r="K2670" s="11">
        <f>IFERROR(INDEX(Roles!$B$17:$B$20,MATCH(J2670,Roles!$A$17:$A$20,0)),1)</f>
        <v/>
      </c>
      <c r="L2670" s="17" t="n">
        <v>1</v>
      </c>
      <c r="M2670" s="11" t="n">
        <v>1.15</v>
      </c>
      <c r="N2670" s="17" t="n"/>
      <c r="O2670" s="17" t="n"/>
      <c r="P2670" s="17" t="n"/>
      <c r="Q2670" s="17" t="n"/>
      <c r="R2670" s="17" t="n"/>
      <c r="S2670" s="17" t="n"/>
      <c r="T2670" s="17" t="n"/>
      <c r="U2670" s="17" t="n"/>
      <c r="V2670" s="17" t="n"/>
      <c r="W2670" s="17" t="n"/>
      <c r="X2670" s="17" t="n"/>
      <c r="Y2670" s="17" t="n">
        <v>1</v>
      </c>
      <c r="Z2670" s="13">
        <f>SUMPRODUCT(N2670:Y2670,$N$2:$Y$2)*$K2670*$L2670*$M2670</f>
        <v/>
      </c>
      <c r="AA2670" s="14">
        <f>SUM(N2670:Y2670)</f>
        <v/>
      </c>
      <c r="AB2670" s="14">
        <f>IFERROR(IF(UPPER($E2670)="L",SUMPRODUCT(N2670:Y2670,$N$3:$Y$3,$N$2:$Y$2),SUMPRODUCT(N2670:Y2670,$N$4:$Y$4,$N$2:$Y$2))/(Z2670/($K2670*$L2670*$M2670)),"")</f>
        <v/>
      </c>
      <c r="AC2670" s="18" t="n"/>
    </row>
    <row r="2671">
      <c r="A2671" s="9" t="n">
        <v>670770</v>
      </c>
      <c r="B2671" s="9" t="inlineStr">
        <is>
          <t>TJ Friedl</t>
        </is>
      </c>
      <c r="C2671" s="9" t="inlineStr">
        <is>
          <t>CIN</t>
        </is>
      </c>
      <c r="D2671" s="9" t="n">
        <v>31</v>
      </c>
      <c r="E2671" s="16" t="inlineStr">
        <is>
          <t>L</t>
        </is>
      </c>
      <c r="F2671" s="16" t="inlineStr">
        <is>
          <t>CF</t>
        </is>
      </c>
      <c r="G2671" s="9" t="n">
        <v>272</v>
      </c>
      <c r="H2671" s="9" t="n">
        <v>2112</v>
      </c>
      <c r="I2671" s="9" t="inlineStr">
        <is>
          <t>Full Time</t>
        </is>
      </c>
      <c r="J2671" s="16" t="inlineStr">
        <is>
          <t>Opening Day</t>
        </is>
      </c>
      <c r="K2671" s="11">
        <f>IFERROR(INDEX(Roles!$B$17:$B$20,MATCH(J2671,Roles!$A$17:$A$20,0)),1)</f>
        <v/>
      </c>
      <c r="L2671" s="17" t="n">
        <v>1</v>
      </c>
      <c r="M2671" s="11" t="n">
        <v>0.9831500330209616</v>
      </c>
      <c r="N2671" s="17" t="n">
        <v>1</v>
      </c>
      <c r="O2671" s="17" t="n"/>
      <c r="P2671" s="17" t="n"/>
      <c r="Q2671" s="17" t="n"/>
      <c r="R2671" s="17" t="n"/>
      <c r="S2671" s="17" t="n"/>
      <c r="T2671" s="17" t="n"/>
      <c r="U2671" s="17" t="n"/>
      <c r="V2671" s="17" t="n"/>
      <c r="W2671" s="17" t="n"/>
      <c r="X2671" s="17" t="n"/>
      <c r="Y2671" s="17" t="n"/>
      <c r="Z2671" s="13">
        <f>SUMPRODUCT(N2671:Y2671,$N$2:$Y$2)*$K2671*$L2671*$M2671</f>
        <v/>
      </c>
      <c r="AA2671" s="14">
        <f>SUM(N2671:Y2671)</f>
        <v/>
      </c>
      <c r="AB2671" s="14">
        <f>IFERROR(IF(UPPER($E2671)="L",SUMPRODUCT(N2671:Y2671,$N$3:$Y$3,$N$2:$Y$2),SUMPRODUCT(N2671:Y2671,$N$4:$Y$4,$N$2:$Y$2))/(Z2671/($K2671*$L2671*$M2671)),"")</f>
        <v/>
      </c>
      <c r="AC2671" s="18" t="n"/>
    </row>
    <row r="2672">
      <c r="A2672" s="9" t="n">
        <v>641555</v>
      </c>
      <c r="B2672" s="9" t="inlineStr">
        <is>
          <t>J.C. Escarra</t>
        </is>
      </c>
      <c r="C2672" s="9" t="inlineStr">
        <is>
          <t>NYY</t>
        </is>
      </c>
      <c r="D2672" s="9" t="n">
        <v>32</v>
      </c>
      <c r="E2672" s="16" t="inlineStr">
        <is>
          <t>L</t>
        </is>
      </c>
      <c r="F2672" s="16" t="inlineStr">
        <is>
          <t>C</t>
        </is>
      </c>
      <c r="G2672" s="9" t="n">
        <v>92</v>
      </c>
      <c r="H2672" s="9" t="n">
        <v>190</v>
      </c>
      <c r="I2672" s="9" t="inlineStr">
        <is>
          <t>Catcher - Backup</t>
        </is>
      </c>
      <c r="J2672" s="16" t="inlineStr">
        <is>
          <t>Opening Day</t>
        </is>
      </c>
      <c r="K2672" s="11">
        <f>IFERROR(INDEX(Roles!$B$17:$B$20,MATCH(J2672,Roles!$A$17:$A$20,0)),1)</f>
        <v/>
      </c>
      <c r="L2672" s="17" t="n">
        <v>1</v>
      </c>
      <c r="M2672" s="11" t="n">
        <v>1</v>
      </c>
      <c r="N2672" s="17" t="n"/>
      <c r="O2672" s="17" t="n"/>
      <c r="P2672" s="17" t="n"/>
      <c r="Q2672" s="17" t="n"/>
      <c r="R2672" s="17" t="n"/>
      <c r="S2672" s="17" t="n"/>
      <c r="T2672" s="17" t="n">
        <v>1</v>
      </c>
      <c r="U2672" s="17" t="n"/>
      <c r="V2672" s="17" t="n"/>
      <c r="W2672" s="17" t="n"/>
      <c r="X2672" s="17" t="n"/>
      <c r="Y2672" s="17" t="n"/>
      <c r="Z2672" s="13">
        <f>SUMPRODUCT(N2672:Y2672,$N$2:$Y$2)*$K2672*$L2672*$M2672</f>
        <v/>
      </c>
      <c r="AA2672" s="14">
        <f>SUM(N2672:Y2672)</f>
        <v/>
      </c>
      <c r="AB2672" s="14">
        <f>IFERROR(IF(UPPER($E2672)="L",SUMPRODUCT(N2672:Y2672,$N$3:$Y$3,$N$2:$Y$2),SUMPRODUCT(N2672:Y2672,$N$4:$Y$4,$N$2:$Y$2))/(Z2672/($K2672*$L2672*$M2672)),"")</f>
        <v/>
      </c>
      <c r="AC2672" s="18" t="n"/>
    </row>
    <row r="2673">
      <c r="A2673" s="9" t="n">
        <v>500743</v>
      </c>
      <c r="B2673" s="9" t="inlineStr">
        <is>
          <t>Miguel Rojas</t>
        </is>
      </c>
      <c r="C2673" s="9" t="inlineStr">
        <is>
          <t>LAD</t>
        </is>
      </c>
      <c r="D2673" s="9" t="n">
        <v>38</v>
      </c>
      <c r="E2673" s="16" t="inlineStr">
        <is>
          <t>R</t>
        </is>
      </c>
      <c r="F2673" s="16" t="inlineStr">
        <is>
          <t>2B</t>
        </is>
      </c>
      <c r="G2673" s="9" t="n">
        <v>252</v>
      </c>
      <c r="H2673" s="9" t="n">
        <v>1836</v>
      </c>
      <c r="I2673" s="9" t="inlineStr">
        <is>
          <t>Utility IF</t>
        </is>
      </c>
      <c r="J2673" s="16" t="inlineStr">
        <is>
          <t>Opening Day</t>
        </is>
      </c>
      <c r="K2673" s="11">
        <f>IFERROR(INDEX(Roles!$B$17:$B$20,MATCH(J2673,Roles!$A$17:$A$20,0)),1)</f>
        <v/>
      </c>
      <c r="L2673" s="17" t="n">
        <v>1</v>
      </c>
      <c r="M2673" s="11" t="n">
        <v>1.034151326848276</v>
      </c>
      <c r="N2673" s="17" t="n"/>
      <c r="O2673" s="17" t="n"/>
      <c r="P2673" s="17" t="n"/>
      <c r="Q2673" s="17" t="n"/>
      <c r="R2673" s="17" t="n"/>
      <c r="S2673" s="17" t="n"/>
      <c r="T2673" s="17" t="n"/>
      <c r="U2673" s="17" t="n">
        <v>0.7</v>
      </c>
      <c r="V2673" s="17" t="n"/>
      <c r="W2673" s="17" t="n">
        <v>0.3</v>
      </c>
      <c r="X2673" s="17" t="n"/>
      <c r="Y2673" s="17" t="n"/>
      <c r="Z2673" s="13">
        <f>SUMPRODUCT(N2673:Y2673,$N$2:$Y$2)*$K2673*$L2673*$M2673</f>
        <v/>
      </c>
      <c r="AA2673" s="14">
        <f>SUM(N2673:Y2673)</f>
        <v/>
      </c>
      <c r="AB2673" s="14">
        <f>IFERROR(IF(UPPER($E2673)="L",SUMPRODUCT(N2673:Y2673,$N$3:$Y$3,$N$2:$Y$2),SUMPRODUCT(N2673:Y2673,$N$4:$Y$4,$N$2:$Y$2))/(Z2673/($K2673*$L2673*$M2673)),"")</f>
        <v/>
      </c>
      <c r="AC2673" s="18" t="n"/>
    </row>
    <row r="2674">
      <c r="A2674" s="9" t="n">
        <v>663837</v>
      </c>
      <c r="B2674" s="9" t="inlineStr">
        <is>
          <t>Matt Vierling</t>
        </is>
      </c>
      <c r="C2674" s="9" t="inlineStr">
        <is>
          <t>DET</t>
        </is>
      </c>
      <c r="D2674" s="9" t="n">
        <v>30</v>
      </c>
      <c r="E2674" s="16" t="inlineStr">
        <is>
          <t>R</t>
        </is>
      </c>
      <c r="F2674" s="16" t="inlineStr">
        <is>
          <t>CF</t>
        </is>
      </c>
      <c r="G2674" s="9" t="n">
        <v>291</v>
      </c>
      <c r="H2674" s="9" t="n">
        <v>1845</v>
      </c>
      <c r="I2674" s="9" t="inlineStr">
        <is>
          <t>Bench Bat</t>
        </is>
      </c>
      <c r="J2674" s="16" t="inlineStr">
        <is>
          <t>Opening Day</t>
        </is>
      </c>
      <c r="K2674" s="11">
        <f>IFERROR(INDEX(Roles!$B$17:$B$20,MATCH(J2674,Roles!$A$17:$A$20,0)),1)</f>
        <v/>
      </c>
      <c r="L2674" s="17" t="n">
        <v>1</v>
      </c>
      <c r="M2674" s="11" t="n">
        <v>1.000330417886768</v>
      </c>
      <c r="N2674" s="17" t="n"/>
      <c r="O2674" s="17" t="n"/>
      <c r="P2674" s="17" t="n"/>
      <c r="Q2674" s="17" t="n"/>
      <c r="R2674" s="17" t="n"/>
      <c r="S2674" s="17" t="n"/>
      <c r="T2674" s="17" t="n"/>
      <c r="U2674" s="17" t="n"/>
      <c r="V2674" s="17" t="n"/>
      <c r="W2674" s="17" t="n">
        <v>0.85</v>
      </c>
      <c r="X2674" s="17" t="n">
        <v>0.15</v>
      </c>
      <c r="Y2674" s="17" t="n"/>
      <c r="Z2674" s="13">
        <f>SUMPRODUCT(N2674:Y2674,$N$2:$Y$2)*$K2674*$L2674*$M2674</f>
        <v/>
      </c>
      <c r="AA2674" s="14">
        <f>SUM(N2674:Y2674)</f>
        <v/>
      </c>
      <c r="AB2674" s="14">
        <f>IFERROR(IF(UPPER($E2674)="L",SUMPRODUCT(N2674:Y2674,$N$3:$Y$3,$N$2:$Y$2),SUMPRODUCT(N2674:Y2674,$N$4:$Y$4,$N$2:$Y$2))/(Z2674/($K2674*$L2674*$M2674)),"")</f>
        <v/>
      </c>
      <c r="AC2674" s="18" t="n"/>
    </row>
    <row r="2675">
      <c r="A2675" s="9" t="n">
        <v>663743</v>
      </c>
      <c r="B2675" s="9" t="inlineStr">
        <is>
          <t>Nick Fortes</t>
        </is>
      </c>
      <c r="C2675" s="9" t="inlineStr">
        <is>
          <t>TB</t>
        </is>
      </c>
      <c r="D2675" s="9" t="n">
        <v>30</v>
      </c>
      <c r="E2675" s="16" t="inlineStr">
        <is>
          <t>R</t>
        </is>
      </c>
      <c r="F2675" s="16" t="inlineStr">
        <is>
          <t>C</t>
        </is>
      </c>
      <c r="G2675" s="9" t="n">
        <v>323</v>
      </c>
      <c r="H2675" s="9" t="n">
        <v>1463</v>
      </c>
      <c r="I2675" s="9" t="inlineStr">
        <is>
          <t>Weak Side Platoon</t>
        </is>
      </c>
      <c r="J2675" s="16" t="inlineStr">
        <is>
          <t>Opening Day</t>
        </is>
      </c>
      <c r="K2675" s="11">
        <f>IFERROR(INDEX(Roles!$B$17:$B$20,MATCH(J2675,Roles!$A$17:$A$20,0)),1)</f>
        <v/>
      </c>
      <c r="L2675" s="17" t="n">
        <v>1</v>
      </c>
      <c r="M2675" s="11" t="n">
        <v>1.074020195705054</v>
      </c>
      <c r="N2675" s="17" t="n"/>
      <c r="O2675" s="17" t="n"/>
      <c r="P2675" s="17" t="n"/>
      <c r="Q2675" s="17" t="n">
        <v>0.6</v>
      </c>
      <c r="R2675" s="17" t="n"/>
      <c r="S2675" s="17" t="n"/>
      <c r="T2675" s="17" t="n">
        <v>0.4</v>
      </c>
      <c r="U2675" s="17" t="n"/>
      <c r="V2675" s="17" t="n"/>
      <c r="W2675" s="17" t="n"/>
      <c r="X2675" s="17" t="n"/>
      <c r="Y2675" s="17" t="n"/>
      <c r="Z2675" s="13">
        <f>SUMPRODUCT(N2675:Y2675,$N$2:$Y$2)*$K2675*$L2675*$M2675</f>
        <v/>
      </c>
      <c r="AA2675" s="14">
        <f>SUM(N2675:Y2675)</f>
        <v/>
      </c>
      <c r="AB2675" s="14">
        <f>IFERROR(IF(UPPER($E2675)="L",SUMPRODUCT(N2675:Y2675,$N$3:$Y$3,$N$2:$Y$2),SUMPRODUCT(N2675:Y2675,$N$4:$Y$4,$N$2:$Y$2))/(Z2675/($K2675*$L2675*$M2675)),"")</f>
        <v/>
      </c>
      <c r="AC2675" s="18" t="n"/>
    </row>
    <row r="2676">
      <c r="A2676" s="9" t="n">
        <v>656582</v>
      </c>
      <c r="B2676" s="9" t="inlineStr">
        <is>
          <t>Connor Joe</t>
        </is>
      </c>
      <c r="C2676" s="9" t="inlineStr">
        <is>
          <t>SEA</t>
        </is>
      </c>
      <c r="D2676" s="9" t="n">
        <v>34</v>
      </c>
      <c r="E2676" s="16" t="inlineStr">
        <is>
          <t>R</t>
        </is>
      </c>
      <c r="F2676" s="16" t="inlineStr">
        <is>
          <t>RF</t>
        </is>
      </c>
      <c r="G2676" s="9" t="n">
        <v>45</v>
      </c>
      <c r="H2676" s="9" t="n">
        <v>1480</v>
      </c>
      <c r="I2676" s="9" t="inlineStr">
        <is>
          <t>Bench Bat</t>
        </is>
      </c>
      <c r="J2676" s="16" t="inlineStr">
        <is>
          <t>Opening Day</t>
        </is>
      </c>
      <c r="K2676" s="11">
        <f>IFERROR(INDEX(Roles!$B$17:$B$20,MATCH(J2676,Roles!$A$17:$A$20,0)),1)</f>
        <v/>
      </c>
      <c r="L2676" s="17" t="n">
        <v>1</v>
      </c>
      <c r="M2676" s="11" t="n">
        <v>0.7250313759889572</v>
      </c>
      <c r="N2676" s="17" t="n"/>
      <c r="O2676" s="17" t="n"/>
      <c r="P2676" s="17" t="n"/>
      <c r="Q2676" s="17" t="n"/>
      <c r="R2676" s="17" t="n"/>
      <c r="S2676" s="17" t="n"/>
      <c r="T2676" s="17" t="n"/>
      <c r="U2676" s="17" t="n"/>
      <c r="V2676" s="17" t="n"/>
      <c r="W2676" s="17" t="n">
        <v>1</v>
      </c>
      <c r="X2676" s="17" t="n"/>
      <c r="Y2676" s="17" t="n"/>
      <c r="Z2676" s="13">
        <f>SUMPRODUCT(N2676:Y2676,$N$2:$Y$2)*$K2676*$L2676*$M2676</f>
        <v/>
      </c>
      <c r="AA2676" s="14">
        <f>SUM(N2676:Y2676)</f>
        <v/>
      </c>
      <c r="AB2676" s="14">
        <f>IFERROR(IF(UPPER($E2676)="L",SUMPRODUCT(N2676:Y2676,$N$3:$Y$3,$N$2:$Y$2),SUMPRODUCT(N2676:Y2676,$N$4:$Y$4,$N$2:$Y$2))/(Z2676/($K2676*$L2676*$M2676)),"")</f>
        <v/>
      </c>
      <c r="AC2676" s="18" t="n"/>
    </row>
    <row r="2677">
      <c r="A2677" s="9" t="n">
        <v>642731</v>
      </c>
      <c r="B2677" s="9" t="inlineStr">
        <is>
          <t>Thairo Estrada</t>
        </is>
      </c>
      <c r="C2677" s="9" t="inlineStr">
        <is>
          <t>COL</t>
        </is>
      </c>
      <c r="D2677" s="9" t="n">
        <v>31</v>
      </c>
      <c r="E2677" s="16" t="inlineStr">
        <is>
          <t>R</t>
        </is>
      </c>
      <c r="F2677" s="16" t="inlineStr">
        <is>
          <t>2B</t>
        </is>
      </c>
      <c r="G2677" s="9" t="n">
        <v>165</v>
      </c>
      <c r="H2677" s="9" t="n">
        <v>1617</v>
      </c>
      <c r="I2677" s="9" t="inlineStr">
        <is>
          <t>Full Time</t>
        </is>
      </c>
      <c r="J2677" s="16" t="inlineStr">
        <is>
          <t>Opening Day</t>
        </is>
      </c>
      <c r="K2677" s="11">
        <f>IFERROR(INDEX(Roles!$B$17:$B$20,MATCH(J2677,Roles!$A$17:$A$20,0)),1)</f>
        <v/>
      </c>
      <c r="L2677" s="17" t="n">
        <v>1</v>
      </c>
      <c r="M2677" s="11" t="n">
        <v>1</v>
      </c>
      <c r="N2677" s="17" t="n">
        <v>1</v>
      </c>
      <c r="O2677" s="17" t="n"/>
      <c r="P2677" s="17" t="n"/>
      <c r="Q2677" s="17" t="n"/>
      <c r="R2677" s="17" t="n"/>
      <c r="S2677" s="17" t="n"/>
      <c r="T2677" s="17" t="n"/>
      <c r="U2677" s="17" t="n"/>
      <c r="V2677" s="17" t="n"/>
      <c r="W2677" s="17" t="n"/>
      <c r="X2677" s="17" t="n"/>
      <c r="Y2677" s="17" t="n"/>
      <c r="Z2677" s="13">
        <f>SUMPRODUCT(N2677:Y2677,$N$2:$Y$2)*$K2677*$L2677*$M2677</f>
        <v/>
      </c>
      <c r="AA2677" s="14">
        <f>SUM(N2677:Y2677)</f>
        <v/>
      </c>
      <c r="AB2677" s="14">
        <f>IFERROR(IF(UPPER($E2677)="L",SUMPRODUCT(N2677:Y2677,$N$3:$Y$3,$N$2:$Y$2),SUMPRODUCT(N2677:Y2677,$N$4:$Y$4,$N$2:$Y$2))/(Z2677/($K2677*$L2677*$M2677)),"")</f>
        <v/>
      </c>
      <c r="AC2677" s="18" t="n"/>
    </row>
    <row r="2678">
      <c r="A2678" s="9" t="n">
        <v>676356</v>
      </c>
      <c r="B2678" s="9" t="inlineStr">
        <is>
          <t>Jonny DeLuca</t>
        </is>
      </c>
      <c r="C2678" s="9" t="inlineStr">
        <is>
          <t>TB</t>
        </is>
      </c>
      <c r="D2678" s="9" t="n">
        <v>28</v>
      </c>
      <c r="E2678" s="16" t="inlineStr">
        <is>
          <t>R</t>
        </is>
      </c>
      <c r="F2678" s="16" t="inlineStr">
        <is>
          <t>RF</t>
        </is>
      </c>
      <c r="G2678" s="9" t="n">
        <v>370</v>
      </c>
      <c r="H2678" s="9" t="n">
        <v>836</v>
      </c>
      <c r="I2678" s="9" t="inlineStr">
        <is>
          <t>Full Time</t>
        </is>
      </c>
      <c r="J2678" s="16" t="inlineStr">
        <is>
          <t>Opening Day</t>
        </is>
      </c>
      <c r="K2678" s="11">
        <f>IFERROR(INDEX(Roles!$B$17:$B$20,MATCH(J2678,Roles!$A$17:$A$20,0)),1)</f>
        <v/>
      </c>
      <c r="L2678" s="17" t="n">
        <v>1</v>
      </c>
      <c r="M2678" s="11" t="n">
        <v>0.8072095038419853</v>
      </c>
      <c r="N2678" s="17" t="n">
        <v>0.75</v>
      </c>
      <c r="O2678" s="17" t="n"/>
      <c r="P2678" s="17" t="n">
        <v>0.25</v>
      </c>
      <c r="Q2678" s="17" t="n"/>
      <c r="R2678" s="17" t="n"/>
      <c r="S2678" s="17" t="n"/>
      <c r="T2678" s="17" t="n"/>
      <c r="U2678" s="17" t="n"/>
      <c r="V2678" s="17" t="n"/>
      <c r="W2678" s="17" t="n"/>
      <c r="X2678" s="17" t="n"/>
      <c r="Y2678" s="17" t="n"/>
      <c r="Z2678" s="13">
        <f>SUMPRODUCT(N2678:Y2678,$N$2:$Y$2)*$K2678*$L2678*$M2678</f>
        <v/>
      </c>
      <c r="AA2678" s="14">
        <f>SUM(N2678:Y2678)</f>
        <v/>
      </c>
      <c r="AB2678" s="14">
        <f>IFERROR(IF(UPPER($E2678)="L",SUMPRODUCT(N2678:Y2678,$N$3:$Y$3,$N$2:$Y$2),SUMPRODUCT(N2678:Y2678,$N$4:$Y$4,$N$2:$Y$2))/(Z2678/($K2678*$L2678*$M2678)),"")</f>
        <v/>
      </c>
      <c r="AC2678" s="18" t="n"/>
    </row>
    <row r="2679">
      <c r="A2679" s="9" t="n">
        <v>690914</v>
      </c>
      <c r="B2679" s="9" t="inlineStr">
        <is>
          <t>Brody Moore</t>
        </is>
      </c>
      <c r="C2679" s="9" t="inlineStr">
        <is>
          <t>STL</t>
        </is>
      </c>
      <c r="D2679" s="9" t="n">
        <v>25</v>
      </c>
      <c r="E2679" s="16" t="inlineStr">
        <is>
          <t>R</t>
        </is>
      </c>
      <c r="F2679" s="16" t="n"/>
      <c r="G2679" s="9" t="n">
        <v>190.1025641025641</v>
      </c>
      <c r="H2679" s="9" t="n">
        <v>190.1025641025641</v>
      </c>
      <c r="I2679" s="9" t="inlineStr">
        <is>
          <t>Depth (no MLB PA)</t>
        </is>
      </c>
      <c r="J2679" s="16" t="inlineStr">
        <is>
          <t>Opening Day</t>
        </is>
      </c>
      <c r="K2679" s="11">
        <f>IFERROR(INDEX(Roles!$B$17:$B$20,MATCH(J2679,Roles!$A$17:$A$20,0)),1)</f>
        <v/>
      </c>
      <c r="L2679" s="17" t="n">
        <v>1</v>
      </c>
      <c r="M2679" s="11" t="n">
        <v>1</v>
      </c>
      <c r="N2679" s="17" t="n"/>
      <c r="O2679" s="17" t="n"/>
      <c r="P2679" s="17" t="n"/>
      <c r="Q2679" s="17" t="n"/>
      <c r="R2679" s="17" t="n"/>
      <c r="S2679" s="17" t="n"/>
      <c r="T2679" s="17" t="n"/>
      <c r="U2679" s="17" t="n"/>
      <c r="V2679" s="17" t="n"/>
      <c r="W2679" s="17" t="n"/>
      <c r="X2679" s="17" t="n"/>
      <c r="Y2679" s="17" t="n">
        <v>1</v>
      </c>
      <c r="Z2679" s="13">
        <f>SUMPRODUCT(N2679:Y2679,$N$2:$Y$2)*$K2679*$L2679*$M2679</f>
        <v/>
      </c>
      <c r="AA2679" s="14">
        <f>SUM(N2679:Y2679)</f>
        <v/>
      </c>
      <c r="AB2679" s="14">
        <f>IFERROR(IF(UPPER($E2679)="L",SUMPRODUCT(N2679:Y2679,$N$3:$Y$3,$N$2:$Y$2),SUMPRODUCT(N2679:Y2679,$N$4:$Y$4,$N$2:$Y$2))/(Z2679/($K2679*$L2679*$M2679)),"")</f>
        <v/>
      </c>
      <c r="AC2679" s="18" t="n"/>
    </row>
    <row r="2680">
      <c r="A2680" s="9" t="n">
        <v>701785</v>
      </c>
      <c r="B2680" s="9" t="inlineStr">
        <is>
          <t>Kaelen Culpepper</t>
        </is>
      </c>
      <c r="C2680" s="9" t="inlineStr">
        <is>
          <t>MIN</t>
        </is>
      </c>
      <c r="D2680" s="9" t="n">
        <v>24</v>
      </c>
      <c r="E2680" s="16" t="inlineStr">
        <is>
          <t>R</t>
        </is>
      </c>
      <c r="F2680" s="16" t="inlineStr">
        <is>
          <t>SS</t>
        </is>
      </c>
      <c r="G2680" s="9" t="n">
        <v>128</v>
      </c>
      <c r="H2680" s="9" t="n">
        <v>128</v>
      </c>
      <c r="I2680" s="9" t="inlineStr">
        <is>
          <t>Full Time</t>
        </is>
      </c>
      <c r="J2680" s="16" t="inlineStr">
        <is>
          <t>Opening Day</t>
        </is>
      </c>
      <c r="K2680" s="11">
        <f>IFERROR(INDEX(Roles!$B$17:$B$20,MATCH(J2680,Roles!$A$17:$A$20,0)),1)</f>
        <v/>
      </c>
      <c r="L2680" s="17" t="n">
        <v>1</v>
      </c>
      <c r="M2680" s="11" t="n">
        <v>1</v>
      </c>
      <c r="N2680" s="17" t="n">
        <v>0.62</v>
      </c>
      <c r="O2680" s="17" t="n"/>
      <c r="P2680" s="17" t="n">
        <v>0.38</v>
      </c>
      <c r="Q2680" s="17" t="n"/>
      <c r="R2680" s="17" t="n"/>
      <c r="S2680" s="17" t="n"/>
      <c r="T2680" s="17" t="n"/>
      <c r="U2680" s="17" t="n"/>
      <c r="V2680" s="17" t="n"/>
      <c r="W2680" s="17" t="n"/>
      <c r="X2680" s="17" t="n"/>
      <c r="Y2680" s="17" t="n"/>
      <c r="Z2680" s="13">
        <f>SUMPRODUCT(N2680:Y2680,$N$2:$Y$2)*$K2680*$L2680*$M2680</f>
        <v/>
      </c>
      <c r="AA2680" s="14">
        <f>SUM(N2680:Y2680)</f>
        <v/>
      </c>
      <c r="AB2680" s="14">
        <f>IFERROR(IF(UPPER($E2680)="L",SUMPRODUCT(N2680:Y2680,$N$3:$Y$3,$N$2:$Y$2),SUMPRODUCT(N2680:Y2680,$N$4:$Y$4,$N$2:$Y$2))/(Z2680/($K2680*$L2680*$M2680)),"")</f>
        <v/>
      </c>
      <c r="AC2680" s="18" t="n"/>
    </row>
    <row r="2681">
      <c r="A2681" s="9" t="n">
        <v>666023</v>
      </c>
      <c r="B2681" s="9" t="inlineStr">
        <is>
          <t>Freddy Fermin</t>
        </is>
      </c>
      <c r="C2681" s="9" t="inlineStr">
        <is>
          <t>SD</t>
        </is>
      </c>
      <c r="D2681" s="9" t="n">
        <v>32</v>
      </c>
      <c r="E2681" s="16" t="inlineStr">
        <is>
          <t>R</t>
        </is>
      </c>
      <c r="F2681" s="16" t="inlineStr">
        <is>
          <t>C</t>
        </is>
      </c>
      <c r="G2681" s="9" t="n">
        <v>265</v>
      </c>
      <c r="H2681" s="9" t="n">
        <v>1222</v>
      </c>
      <c r="I2681" s="9" t="inlineStr">
        <is>
          <t>Bench Bat</t>
        </is>
      </c>
      <c r="J2681" s="16" t="inlineStr">
        <is>
          <t>Opening Day</t>
        </is>
      </c>
      <c r="K2681" s="11">
        <f>IFERROR(INDEX(Roles!$B$17:$B$20,MATCH(J2681,Roles!$A$17:$A$20,0)),1)</f>
        <v/>
      </c>
      <c r="L2681" s="17" t="n">
        <v>1</v>
      </c>
      <c r="M2681" s="11" t="n">
        <v>1.072456735136748</v>
      </c>
      <c r="N2681" s="17" t="n"/>
      <c r="O2681" s="17" t="n"/>
      <c r="P2681" s="17" t="n"/>
      <c r="Q2681" s="17" t="n"/>
      <c r="R2681" s="17" t="n"/>
      <c r="S2681" s="17" t="n"/>
      <c r="T2681" s="17" t="n"/>
      <c r="U2681" s="17" t="n"/>
      <c r="V2681" s="17" t="n"/>
      <c r="W2681" s="17" t="n">
        <v>0.85</v>
      </c>
      <c r="X2681" s="17" t="n">
        <v>0.15</v>
      </c>
      <c r="Y2681" s="17" t="n"/>
      <c r="Z2681" s="13">
        <f>SUMPRODUCT(N2681:Y2681,$N$2:$Y$2)*$K2681*$L2681*$M2681</f>
        <v/>
      </c>
      <c r="AA2681" s="14">
        <f>SUM(N2681:Y2681)</f>
        <v/>
      </c>
      <c r="AB2681" s="14">
        <f>IFERROR(IF(UPPER($E2681)="L",SUMPRODUCT(N2681:Y2681,$N$3:$Y$3,$N$2:$Y$2),SUMPRODUCT(N2681:Y2681,$N$4:$Y$4,$N$2:$Y$2))/(Z2681/($K2681*$L2681*$M2681)),"")</f>
        <v/>
      </c>
      <c r="AC2681" s="18" t="n"/>
    </row>
    <row r="2682">
      <c r="A2682" s="9" t="n">
        <v>607054</v>
      </c>
      <c r="B2682" s="9" t="inlineStr">
        <is>
          <t>Jace Peterson</t>
        </is>
      </c>
      <c r="C2682" s="9" t="inlineStr">
        <is>
          <t>ARI</t>
        </is>
      </c>
      <c r="D2682" s="9" t="n">
        <v>37</v>
      </c>
      <c r="E2682" s="16" t="inlineStr">
        <is>
          <t>L</t>
        </is>
      </c>
      <c r="F2682" s="16" t="inlineStr">
        <is>
          <t>SS</t>
        </is>
      </c>
      <c r="G2682" s="9" t="n">
        <v>26</v>
      </c>
      <c r="H2682" s="9" t="n">
        <v>784</v>
      </c>
      <c r="I2682" s="9" t="inlineStr">
        <is>
          <t>Depth (no MLB PA)</t>
        </is>
      </c>
      <c r="J2682" s="16" t="inlineStr">
        <is>
          <t>Opening Day</t>
        </is>
      </c>
      <c r="K2682" s="11">
        <f>IFERROR(INDEX(Roles!$B$17:$B$20,MATCH(J2682,Roles!$A$17:$A$20,0)),1)</f>
        <v/>
      </c>
      <c r="L2682" s="17" t="n">
        <v>1</v>
      </c>
      <c r="M2682" s="11" t="n">
        <v>1</v>
      </c>
      <c r="N2682" s="17" t="n"/>
      <c r="O2682" s="17" t="n"/>
      <c r="P2682" s="17" t="n"/>
      <c r="Q2682" s="17" t="n"/>
      <c r="R2682" s="17" t="n"/>
      <c r="S2682" s="17" t="n"/>
      <c r="T2682" s="17" t="n"/>
      <c r="U2682" s="17" t="n"/>
      <c r="V2682" s="17" t="n"/>
      <c r="W2682" s="17" t="n"/>
      <c r="X2682" s="17" t="n"/>
      <c r="Y2682" s="17" t="n">
        <v>1</v>
      </c>
      <c r="Z2682" s="13">
        <f>SUMPRODUCT(N2682:Y2682,$N$2:$Y$2)*$K2682*$L2682*$M2682</f>
        <v/>
      </c>
      <c r="AA2682" s="14">
        <f>SUM(N2682:Y2682)</f>
        <v/>
      </c>
      <c r="AB2682" s="14">
        <f>IFERROR(IF(UPPER($E2682)="L",SUMPRODUCT(N2682:Y2682,$N$3:$Y$3,$N$2:$Y$2),SUMPRODUCT(N2682:Y2682,$N$4:$Y$4,$N$2:$Y$2))/(Z2682/($K2682*$L2682*$M2682)),"")</f>
        <v/>
      </c>
      <c r="AC2682" s="18" t="n"/>
    </row>
    <row r="2683">
      <c r="A2683" s="9" t="n">
        <v>668800</v>
      </c>
      <c r="B2683" s="9" t="inlineStr">
        <is>
          <t>Andrew Knizner</t>
        </is>
      </c>
      <c r="C2683" s="9" t="inlineStr">
        <is>
          <t>SF</t>
        </is>
      </c>
      <c r="D2683" s="9" t="n">
        <v>32</v>
      </c>
      <c r="E2683" s="16" t="inlineStr">
        <is>
          <t>R</t>
        </is>
      </c>
      <c r="F2683" s="16" t="inlineStr">
        <is>
          <t>C</t>
        </is>
      </c>
      <c r="G2683" s="9" t="n">
        <v>80</v>
      </c>
      <c r="H2683" s="9" t="n">
        <v>795</v>
      </c>
      <c r="I2683" s="9" t="inlineStr">
        <is>
          <t>Weak Side Platoon</t>
        </is>
      </c>
      <c r="J2683" s="16" t="inlineStr">
        <is>
          <t>Opening Day</t>
        </is>
      </c>
      <c r="K2683" s="11">
        <f>IFERROR(INDEX(Roles!$B$17:$B$20,MATCH(J2683,Roles!$A$17:$A$20,0)),1)</f>
        <v/>
      </c>
      <c r="L2683" s="17" t="n">
        <v>1</v>
      </c>
      <c r="M2683" s="11" t="n">
        <v>1</v>
      </c>
      <c r="N2683" s="17" t="n"/>
      <c r="O2683" s="17" t="n"/>
      <c r="P2683" s="17" t="n"/>
      <c r="Q2683" s="17" t="n">
        <v>0.6</v>
      </c>
      <c r="R2683" s="17" t="n"/>
      <c r="S2683" s="17" t="n"/>
      <c r="T2683" s="17" t="n">
        <v>0.4</v>
      </c>
      <c r="U2683" s="17" t="n"/>
      <c r="V2683" s="17" t="n"/>
      <c r="W2683" s="17" t="n"/>
      <c r="X2683" s="17" t="n"/>
      <c r="Y2683" s="17" t="n"/>
      <c r="Z2683" s="13">
        <f>SUMPRODUCT(N2683:Y2683,$N$2:$Y$2)*$K2683*$L2683*$M2683</f>
        <v/>
      </c>
      <c r="AA2683" s="14">
        <f>SUM(N2683:Y2683)</f>
        <v/>
      </c>
      <c r="AB2683" s="14">
        <f>IFERROR(IF(UPPER($E2683)="L",SUMPRODUCT(N2683:Y2683,$N$3:$Y$3,$N$2:$Y$2),SUMPRODUCT(N2683:Y2683,$N$4:$Y$4,$N$2:$Y$2))/(Z2683/($K2683*$L2683*$M2683)),"")</f>
        <v/>
      </c>
      <c r="AC2683" s="18" t="n"/>
    </row>
    <row r="2684">
      <c r="A2684" s="9" t="n">
        <v>807712</v>
      </c>
      <c r="B2684" s="9" t="inlineStr">
        <is>
          <t>Luke Keaschall</t>
        </is>
      </c>
      <c r="C2684" s="9" t="inlineStr">
        <is>
          <t>MIN</t>
        </is>
      </c>
      <c r="D2684" s="9" t="n">
        <v>24</v>
      </c>
      <c r="E2684" s="16" t="inlineStr">
        <is>
          <t>R</t>
        </is>
      </c>
      <c r="F2684" s="16" t="inlineStr">
        <is>
          <t>2B</t>
        </is>
      </c>
      <c r="G2684" s="9" t="n">
        <v>620</v>
      </c>
      <c r="H2684" s="9" t="n">
        <v>827</v>
      </c>
      <c r="I2684" s="9" t="inlineStr">
        <is>
          <t>Full Time</t>
        </is>
      </c>
      <c r="J2684" s="16" t="inlineStr">
        <is>
          <t>Opening Day</t>
        </is>
      </c>
      <c r="K2684" s="11">
        <f>IFERROR(INDEX(Roles!$B$17:$B$20,MATCH(J2684,Roles!$A$17:$A$20,0)),1)</f>
        <v/>
      </c>
      <c r="L2684" s="17" t="n">
        <v>1</v>
      </c>
      <c r="M2684" s="11" t="n">
        <v>0.952914899484547</v>
      </c>
      <c r="N2684" s="17" t="n">
        <v>1</v>
      </c>
      <c r="O2684" s="17" t="n"/>
      <c r="P2684" s="17" t="n"/>
      <c r="Q2684" s="17" t="n"/>
      <c r="R2684" s="17" t="n"/>
      <c r="S2684" s="17" t="n"/>
      <c r="T2684" s="17" t="n"/>
      <c r="U2684" s="17" t="n"/>
      <c r="V2684" s="17" t="n"/>
      <c r="W2684" s="17" t="n"/>
      <c r="X2684" s="17" t="n"/>
      <c r="Y2684" s="17" t="n"/>
      <c r="Z2684" s="13">
        <f>SUMPRODUCT(N2684:Y2684,$N$2:$Y$2)*$K2684*$L2684*$M2684</f>
        <v/>
      </c>
      <c r="AA2684" s="14">
        <f>SUM(N2684:Y2684)</f>
        <v/>
      </c>
      <c r="AB2684" s="14">
        <f>IFERROR(IF(UPPER($E2684)="L",SUMPRODUCT(N2684:Y2684,$N$3:$Y$3,$N$2:$Y$2),SUMPRODUCT(N2684:Y2684,$N$4:$Y$4,$N$2:$Y$2))/(Z2684/($K2684*$L2684*$M2684)),"")</f>
        <v/>
      </c>
      <c r="AC2684" s="18" t="n"/>
    </row>
    <row r="2685">
      <c r="A2685" s="9" t="n">
        <v>677870</v>
      </c>
      <c r="B2685" s="9" t="inlineStr">
        <is>
          <t>Leo Jiménez</t>
        </is>
      </c>
      <c r="C2685" s="9" t="inlineStr">
        <is>
          <t>MIA</t>
        </is>
      </c>
      <c r="D2685" s="9" t="n">
        <v>26</v>
      </c>
      <c r="E2685" s="16" t="inlineStr">
        <is>
          <t>R</t>
        </is>
      </c>
      <c r="F2685" s="16" t="inlineStr">
        <is>
          <t>3B</t>
        </is>
      </c>
      <c r="G2685" s="9" t="n">
        <v>194</v>
      </c>
      <c r="H2685" s="9" t="n">
        <v>436</v>
      </c>
      <c r="I2685" s="9" t="inlineStr">
        <is>
          <t>Bench Bat</t>
        </is>
      </c>
      <c r="J2685" s="16" t="inlineStr">
        <is>
          <t>Opening Day</t>
        </is>
      </c>
      <c r="K2685" s="11">
        <f>IFERROR(INDEX(Roles!$B$17:$B$20,MATCH(J2685,Roles!$A$17:$A$20,0)),1)</f>
        <v/>
      </c>
      <c r="L2685" s="17" t="n">
        <v>1</v>
      </c>
      <c r="M2685" s="11" t="n">
        <v>1</v>
      </c>
      <c r="N2685" s="17" t="n"/>
      <c r="O2685" s="17" t="n"/>
      <c r="P2685" s="17" t="n"/>
      <c r="Q2685" s="17" t="n"/>
      <c r="R2685" s="17" t="n"/>
      <c r="S2685" s="17" t="n"/>
      <c r="T2685" s="17" t="n"/>
      <c r="U2685" s="17" t="n"/>
      <c r="V2685" s="17" t="n"/>
      <c r="W2685" s="17" t="n">
        <v>1</v>
      </c>
      <c r="X2685" s="17" t="n"/>
      <c r="Y2685" s="17" t="n"/>
      <c r="Z2685" s="13">
        <f>SUMPRODUCT(N2685:Y2685,$N$2:$Y$2)*$K2685*$L2685*$M2685</f>
        <v/>
      </c>
      <c r="AA2685" s="14">
        <f>SUM(N2685:Y2685)</f>
        <v/>
      </c>
      <c r="AB2685" s="14">
        <f>IFERROR(IF(UPPER($E2685)="L",SUMPRODUCT(N2685:Y2685,$N$3:$Y$3,$N$2:$Y$2),SUMPRODUCT(N2685:Y2685,$N$4:$Y$4,$N$2:$Y$2))/(Z2685/($K2685*$L2685*$M2685)),"")</f>
        <v/>
      </c>
      <c r="AC2685" s="18" t="n"/>
    </row>
    <row r="2686">
      <c r="A2686" s="9" t="n">
        <v>806367</v>
      </c>
      <c r="B2686" s="9" t="inlineStr">
        <is>
          <t>Turner Hill</t>
        </is>
      </c>
      <c r="C2686" s="9" t="inlineStr">
        <is>
          <t>SF</t>
        </is>
      </c>
      <c r="D2686" s="9" t="n">
        <v>28</v>
      </c>
      <c r="E2686" s="16" t="inlineStr">
        <is>
          <t>L</t>
        </is>
      </c>
      <c r="F2686" s="16" t="inlineStr">
        <is>
          <t>LF</t>
        </is>
      </c>
      <c r="G2686" s="9" t="n">
        <v>124</v>
      </c>
      <c r="H2686" s="9" t="n">
        <v>124</v>
      </c>
      <c r="I2686" s="9" t="inlineStr">
        <is>
          <t>Bench Bat</t>
        </is>
      </c>
      <c r="J2686" s="16" t="inlineStr">
        <is>
          <t>Opening Day</t>
        </is>
      </c>
      <c r="K2686" s="11">
        <f>IFERROR(INDEX(Roles!$B$17:$B$20,MATCH(J2686,Roles!$A$17:$A$20,0)),1)</f>
        <v/>
      </c>
      <c r="L2686" s="17" t="n">
        <v>1</v>
      </c>
      <c r="M2686" s="11" t="n">
        <v>1</v>
      </c>
      <c r="N2686" s="17" t="n"/>
      <c r="O2686" s="17" t="n"/>
      <c r="P2686" s="17" t="n"/>
      <c r="Q2686" s="17" t="n"/>
      <c r="R2686" s="17" t="n"/>
      <c r="S2686" s="17" t="n"/>
      <c r="T2686" s="17" t="n"/>
      <c r="U2686" s="17" t="n"/>
      <c r="V2686" s="17" t="n">
        <v>0.4</v>
      </c>
      <c r="W2686" s="17" t="n">
        <v>0.6</v>
      </c>
      <c r="X2686" s="17" t="n"/>
      <c r="Y2686" s="17" t="n"/>
      <c r="Z2686" s="13">
        <f>SUMPRODUCT(N2686:Y2686,$N$2:$Y$2)*$K2686*$L2686*$M2686</f>
        <v/>
      </c>
      <c r="AA2686" s="14">
        <f>SUM(N2686:Y2686)</f>
        <v/>
      </c>
      <c r="AB2686" s="14">
        <f>IFERROR(IF(UPPER($E2686)="L",SUMPRODUCT(N2686:Y2686,$N$3:$Y$3,$N$2:$Y$2),SUMPRODUCT(N2686:Y2686,$N$4:$Y$4,$N$2:$Y$2))/(Z2686/($K2686*$L2686*$M2686)),"")</f>
        <v/>
      </c>
      <c r="AC2686" s="18" t="n"/>
    </row>
    <row r="2687">
      <c r="A2687" s="9" t="n">
        <v>676391</v>
      </c>
      <c r="B2687" s="9" t="inlineStr">
        <is>
          <t>Ernie Clement</t>
        </is>
      </c>
      <c r="C2687" s="9" t="inlineStr">
        <is>
          <t>TOR</t>
        </is>
      </c>
      <c r="D2687" s="9" t="n">
        <v>31</v>
      </c>
      <c r="E2687" s="16" t="inlineStr">
        <is>
          <t>R</t>
        </is>
      </c>
      <c r="F2687" s="16" t="inlineStr">
        <is>
          <t>2B</t>
        </is>
      </c>
      <c r="G2687" s="9" t="n">
        <v>621</v>
      </c>
      <c r="H2687" s="9" t="n">
        <v>1892</v>
      </c>
      <c r="I2687" s="9" t="inlineStr">
        <is>
          <t>Full Time</t>
        </is>
      </c>
      <c r="J2687" s="16" t="inlineStr">
        <is>
          <t>Opening Day</t>
        </is>
      </c>
      <c r="K2687" s="11">
        <f>IFERROR(INDEX(Roles!$B$17:$B$20,MATCH(J2687,Roles!$A$17:$A$20,0)),1)</f>
        <v/>
      </c>
      <c r="L2687" s="17" t="n">
        <v>1</v>
      </c>
      <c r="M2687" s="11" t="n">
        <v>1.15</v>
      </c>
      <c r="N2687" s="17" t="n">
        <v>0.62</v>
      </c>
      <c r="O2687" s="17" t="n"/>
      <c r="P2687" s="17" t="n">
        <v>0.38</v>
      </c>
      <c r="Q2687" s="17" t="n"/>
      <c r="R2687" s="17" t="n"/>
      <c r="S2687" s="17" t="n"/>
      <c r="T2687" s="17" t="n"/>
      <c r="U2687" s="17" t="n"/>
      <c r="V2687" s="17" t="n"/>
      <c r="W2687" s="17" t="n"/>
      <c r="X2687" s="17" t="n"/>
      <c r="Y2687" s="17" t="n"/>
      <c r="Z2687" s="13">
        <f>SUMPRODUCT(N2687:Y2687,$N$2:$Y$2)*$K2687*$L2687*$M2687</f>
        <v/>
      </c>
      <c r="AA2687" s="14">
        <f>SUM(N2687:Y2687)</f>
        <v/>
      </c>
      <c r="AB2687" s="14">
        <f>IFERROR(IF(UPPER($E2687)="L",SUMPRODUCT(N2687:Y2687,$N$3:$Y$3,$N$2:$Y$2),SUMPRODUCT(N2687:Y2687,$N$4:$Y$4,$N$2:$Y$2))/(Z2687/($K2687*$L2687*$M2687)),"")</f>
        <v/>
      </c>
      <c r="AC2687" s="18" t="n"/>
    </row>
    <row r="2688">
      <c r="A2688" s="9" t="n">
        <v>701298</v>
      </c>
      <c r="B2688" s="9" t="inlineStr">
        <is>
          <t>Phillip Glasser</t>
        </is>
      </c>
      <c r="C2688" s="9" t="inlineStr">
        <is>
          <t>WSH</t>
        </is>
      </c>
      <c r="D2688" s="9" t="n">
        <v>25</v>
      </c>
      <c r="E2688" s="16" t="inlineStr">
        <is>
          <t>L</t>
        </is>
      </c>
      <c r="F2688" s="16" t="n"/>
      <c r="G2688" s="9" t="n">
        <v>227.8974358974359</v>
      </c>
      <c r="H2688" s="9" t="n">
        <v>227.8974358974359</v>
      </c>
      <c r="I2688" s="9" t="inlineStr">
        <is>
          <t>Depth (no MLB PA)</t>
        </is>
      </c>
      <c r="J2688" s="16" t="inlineStr">
        <is>
          <t>Opening Day</t>
        </is>
      </c>
      <c r="K2688" s="11">
        <f>IFERROR(INDEX(Roles!$B$17:$B$20,MATCH(J2688,Roles!$A$17:$A$20,0)),1)</f>
        <v/>
      </c>
      <c r="L2688" s="17" t="n">
        <v>1</v>
      </c>
      <c r="M2688" s="11" t="n">
        <v>1</v>
      </c>
      <c r="N2688" s="17" t="n"/>
      <c r="O2688" s="17" t="n"/>
      <c r="P2688" s="17" t="n"/>
      <c r="Q2688" s="17" t="n"/>
      <c r="R2688" s="17" t="n"/>
      <c r="S2688" s="17" t="n"/>
      <c r="T2688" s="17" t="n"/>
      <c r="U2688" s="17" t="n"/>
      <c r="V2688" s="17" t="n"/>
      <c r="W2688" s="17" t="n"/>
      <c r="X2688" s="17" t="n"/>
      <c r="Y2688" s="17" t="n">
        <v>1</v>
      </c>
      <c r="Z2688" s="13">
        <f>SUMPRODUCT(N2688:Y2688,$N$2:$Y$2)*$K2688*$L2688*$M2688</f>
        <v/>
      </c>
      <c r="AA2688" s="14">
        <f>SUM(N2688:Y2688)</f>
        <v/>
      </c>
      <c r="AB2688" s="14">
        <f>IFERROR(IF(UPPER($E2688)="L",SUMPRODUCT(N2688:Y2688,$N$3:$Y$3,$N$2:$Y$2),SUMPRODUCT(N2688:Y2688,$N$4:$Y$4,$N$2:$Y$2))/(Z2688/($K2688*$L2688*$M2688)),"")</f>
        <v/>
      </c>
      <c r="AC2688" s="18" t="n"/>
    </row>
    <row r="2689">
      <c r="A2689" s="9" t="n">
        <v>667452</v>
      </c>
      <c r="B2689" s="9" t="inlineStr">
        <is>
          <t>Corey Julks</t>
        </is>
      </c>
      <c r="C2689" s="9" t="inlineStr">
        <is>
          <t>CWS</t>
        </is>
      </c>
      <c r="D2689" s="9" t="n">
        <v>31</v>
      </c>
      <c r="E2689" s="16" t="inlineStr">
        <is>
          <t>R</t>
        </is>
      </c>
      <c r="F2689" s="16" t="inlineStr">
        <is>
          <t>RF</t>
        </is>
      </c>
      <c r="G2689" s="9" t="n">
        <v>7</v>
      </c>
      <c r="H2689" s="9" t="n">
        <v>532</v>
      </c>
      <c r="I2689" s="9" t="inlineStr">
        <is>
          <t>Depth (no MLB PA)</t>
        </is>
      </c>
      <c r="J2689" s="16" t="inlineStr">
        <is>
          <t>Opening Day</t>
        </is>
      </c>
      <c r="K2689" s="11">
        <f>IFERROR(INDEX(Roles!$B$17:$B$20,MATCH(J2689,Roles!$A$17:$A$20,0)),1)</f>
        <v/>
      </c>
      <c r="L2689" s="17" t="n">
        <v>1</v>
      </c>
      <c r="M2689" s="11" t="n">
        <v>1</v>
      </c>
      <c r="N2689" s="17" t="n"/>
      <c r="O2689" s="17" t="n"/>
      <c r="P2689" s="17" t="n"/>
      <c r="Q2689" s="17" t="n"/>
      <c r="R2689" s="17" t="n"/>
      <c r="S2689" s="17" t="n"/>
      <c r="T2689" s="17" t="n"/>
      <c r="U2689" s="17" t="n"/>
      <c r="V2689" s="17" t="n"/>
      <c r="W2689" s="17" t="n"/>
      <c r="X2689" s="17" t="n"/>
      <c r="Y2689" s="17" t="n">
        <v>1</v>
      </c>
      <c r="Z2689" s="13">
        <f>SUMPRODUCT(N2689:Y2689,$N$2:$Y$2)*$K2689*$L2689*$M2689</f>
        <v/>
      </c>
      <c r="AA2689" s="14">
        <f>SUM(N2689:Y2689)</f>
        <v/>
      </c>
      <c r="AB2689" s="14">
        <f>IFERROR(IF(UPPER($E2689)="L",SUMPRODUCT(N2689:Y2689,$N$3:$Y$3,$N$2:$Y$2),SUMPRODUCT(N2689:Y2689,$N$4:$Y$4,$N$2:$Y$2))/(Z2689/($K2689*$L2689*$M2689)),"")</f>
        <v/>
      </c>
      <c r="AC2689" s="18" t="n"/>
    </row>
    <row r="2690">
      <c r="A2690" s="9" t="n">
        <v>807747</v>
      </c>
      <c r="B2690" s="9" t="inlineStr">
        <is>
          <t>Rikuu Nishida</t>
        </is>
      </c>
      <c r="C2690" s="9" t="inlineStr">
        <is>
          <t>CWS</t>
        </is>
      </c>
      <c r="D2690" s="9" t="n">
        <v>26</v>
      </c>
      <c r="E2690" s="16" t="inlineStr">
        <is>
          <t>L</t>
        </is>
      </c>
      <c r="F2690" s="16" t="inlineStr">
        <is>
          <t>RF</t>
        </is>
      </c>
      <c r="G2690" s="9" t="n">
        <v>30</v>
      </c>
      <c r="H2690" s="9" t="n">
        <v>30</v>
      </c>
      <c r="I2690" s="9" t="inlineStr">
        <is>
          <t>Bench Bat</t>
        </is>
      </c>
      <c r="J2690" s="16" t="inlineStr">
        <is>
          <t>Opening Day</t>
        </is>
      </c>
      <c r="K2690" s="11">
        <f>IFERROR(INDEX(Roles!$B$17:$B$20,MATCH(J2690,Roles!$A$17:$A$20,0)),1)</f>
        <v/>
      </c>
      <c r="L2690" s="17" t="n">
        <v>1</v>
      </c>
      <c r="M2690" s="11" t="n">
        <v>1</v>
      </c>
      <c r="N2690" s="17" t="n"/>
      <c r="O2690" s="17" t="n"/>
      <c r="P2690" s="17" t="n"/>
      <c r="Q2690" s="17" t="n"/>
      <c r="R2690" s="17" t="n"/>
      <c r="S2690" s="17" t="n"/>
      <c r="T2690" s="17" t="n"/>
      <c r="U2690" s="17" t="n"/>
      <c r="V2690" s="17" t="n"/>
      <c r="W2690" s="17" t="n">
        <v>1</v>
      </c>
      <c r="X2690" s="17" t="n"/>
      <c r="Y2690" s="17" t="n"/>
      <c r="Z2690" s="13">
        <f>SUMPRODUCT(N2690:Y2690,$N$2:$Y$2)*$K2690*$L2690*$M2690</f>
        <v/>
      </c>
      <c r="AA2690" s="14">
        <f>SUM(N2690:Y2690)</f>
        <v/>
      </c>
      <c r="AB2690" s="14">
        <f>IFERROR(IF(UPPER($E2690)="L",SUMPRODUCT(N2690:Y2690,$N$3:$Y$3,$N$2:$Y$2),SUMPRODUCT(N2690:Y2690,$N$4:$Y$4,$N$2:$Y$2))/(Z2690/($K2690*$L2690*$M2690)),"")</f>
        <v/>
      </c>
      <c r="AC2690" s="18" t="n"/>
    </row>
    <row r="2691">
      <c r="A2691" s="9" t="n">
        <v>650859</v>
      </c>
      <c r="B2691" s="9" t="inlineStr">
        <is>
          <t>Luis Rengifo</t>
        </is>
      </c>
      <c r="C2691" s="9" t="inlineStr">
        <is>
          <t>SD</t>
        </is>
      </c>
      <c r="D2691" s="9" t="n">
        <v>30</v>
      </c>
      <c r="E2691" s="16" t="inlineStr">
        <is>
          <t>S</t>
        </is>
      </c>
      <c r="F2691" s="16" t="inlineStr">
        <is>
          <t>3B</t>
        </is>
      </c>
      <c r="G2691" s="9" t="n">
        <v>354</v>
      </c>
      <c r="H2691" s="9" t="n">
        <v>2155</v>
      </c>
      <c r="I2691" s="9" t="inlineStr">
        <is>
          <t>Bench Bat</t>
        </is>
      </c>
      <c r="J2691" s="16" t="inlineStr">
        <is>
          <t>Opening Day</t>
        </is>
      </c>
      <c r="K2691" s="11">
        <f>IFERROR(INDEX(Roles!$B$17:$B$20,MATCH(J2691,Roles!$A$17:$A$20,0)),1)</f>
        <v/>
      </c>
      <c r="L2691" s="17" t="n">
        <v>1</v>
      </c>
      <c r="M2691" s="11" t="n">
        <v>1.15</v>
      </c>
      <c r="N2691" s="17" t="n"/>
      <c r="O2691" s="17" t="n"/>
      <c r="P2691" s="17" t="n"/>
      <c r="Q2691" s="17" t="n"/>
      <c r="R2691" s="17" t="n"/>
      <c r="S2691" s="17" t="n"/>
      <c r="T2691" s="17" t="n"/>
      <c r="U2691" s="17" t="n"/>
      <c r="V2691" s="17" t="n"/>
      <c r="W2691" s="17" t="n">
        <v>0.85</v>
      </c>
      <c r="X2691" s="17" t="n">
        <v>0.15</v>
      </c>
      <c r="Y2691" s="17" t="n"/>
      <c r="Z2691" s="13">
        <f>SUMPRODUCT(N2691:Y2691,$N$2:$Y$2)*$K2691*$L2691*$M2691</f>
        <v/>
      </c>
      <c r="AA2691" s="14">
        <f>SUM(N2691:Y2691)</f>
        <v/>
      </c>
      <c r="AB2691" s="14">
        <f>IFERROR(IF(UPPER($E2691)="L",SUMPRODUCT(N2691:Y2691,$N$3:$Y$3,$N$2:$Y$2),SUMPRODUCT(N2691:Y2691,$N$4:$Y$4,$N$2:$Y$2))/(Z2691/($K2691*$L2691*$M2691)),"")</f>
        <v/>
      </c>
      <c r="AC2691" s="18" t="n"/>
    </row>
    <row r="2692">
      <c r="A2692" s="9" t="n">
        <v>814439</v>
      </c>
      <c r="B2692" s="9" t="inlineStr">
        <is>
          <t>Ryan Waldschmidt</t>
        </is>
      </c>
      <c r="C2692" s="9" t="inlineStr">
        <is>
          <t>ARI</t>
        </is>
      </c>
      <c r="D2692" s="9" t="n">
        <v>24</v>
      </c>
      <c r="E2692" s="16" t="inlineStr">
        <is>
          <t>R</t>
        </is>
      </c>
      <c r="F2692" s="16" t="inlineStr">
        <is>
          <t>CF</t>
        </is>
      </c>
      <c r="G2692" s="9" t="n">
        <v>284</v>
      </c>
      <c r="H2692" s="9" t="n">
        <v>284</v>
      </c>
      <c r="I2692" s="9" t="inlineStr">
        <is>
          <t>Utility OF / 4th OF</t>
        </is>
      </c>
      <c r="J2692" s="16" t="inlineStr">
        <is>
          <t>Opening Day</t>
        </is>
      </c>
      <c r="K2692" s="11">
        <f>IFERROR(INDEX(Roles!$B$17:$B$20,MATCH(J2692,Roles!$A$17:$A$20,0)),1)</f>
        <v/>
      </c>
      <c r="L2692" s="17" t="n">
        <v>1</v>
      </c>
      <c r="M2692" s="11" t="n">
        <v>1.032281410192107</v>
      </c>
      <c r="N2692" s="17" t="n"/>
      <c r="O2692" s="17" t="n"/>
      <c r="P2692" s="17" t="n"/>
      <c r="Q2692" s="17" t="n"/>
      <c r="R2692" s="17" t="n"/>
      <c r="S2692" s="17" t="n"/>
      <c r="T2692" s="17" t="n"/>
      <c r="U2692" s="17" t="n"/>
      <c r="V2692" s="17" t="n">
        <v>0.7</v>
      </c>
      <c r="W2692" s="17" t="n">
        <v>0.3</v>
      </c>
      <c r="X2692" s="17" t="n"/>
      <c r="Y2692" s="17" t="n"/>
      <c r="Z2692" s="13">
        <f>SUMPRODUCT(N2692:Y2692,$N$2:$Y$2)*$K2692*$L2692*$M2692</f>
        <v/>
      </c>
      <c r="AA2692" s="14">
        <f>SUM(N2692:Y2692)</f>
        <v/>
      </c>
      <c r="AB2692" s="14">
        <f>IFERROR(IF(UPPER($E2692)="L",SUMPRODUCT(N2692:Y2692,$N$3:$Y$3,$N$2:$Y$2),SUMPRODUCT(N2692:Y2692,$N$4:$Y$4,$N$2:$Y$2))/(Z2692/($K2692*$L2692*$M2692)),"")</f>
        <v/>
      </c>
      <c r="AC2692" s="18" t="n"/>
    </row>
    <row r="2693">
      <c r="A2693" s="9" t="n">
        <v>643289</v>
      </c>
      <c r="B2693" s="9" t="inlineStr">
        <is>
          <t>Mauricio Dubón</t>
        </is>
      </c>
      <c r="C2693" s="9" t="inlineStr">
        <is>
          <t>ATL</t>
        </is>
      </c>
      <c r="D2693" s="9" t="n">
        <v>32</v>
      </c>
      <c r="E2693" s="16" t="inlineStr">
        <is>
          <t>R</t>
        </is>
      </c>
      <c r="F2693" s="16" t="inlineStr">
        <is>
          <t>LF</t>
        </is>
      </c>
      <c r="G2693" s="9" t="n">
        <v>619</v>
      </c>
      <c r="H2693" s="9" t="n">
        <v>2202</v>
      </c>
      <c r="I2693" s="9" t="inlineStr">
        <is>
          <t>Full Time</t>
        </is>
      </c>
      <c r="J2693" s="16" t="inlineStr">
        <is>
          <t>Opening Day</t>
        </is>
      </c>
      <c r="K2693" s="11">
        <f>IFERROR(INDEX(Roles!$B$17:$B$20,MATCH(J2693,Roles!$A$17:$A$20,0)),1)</f>
        <v/>
      </c>
      <c r="L2693" s="17" t="n">
        <v>1</v>
      </c>
      <c r="M2693" s="11" t="n">
        <v>1.15</v>
      </c>
      <c r="N2693" s="17" t="n">
        <v>0.75</v>
      </c>
      <c r="O2693" s="17" t="n"/>
      <c r="P2693" s="17" t="n">
        <v>0.25</v>
      </c>
      <c r="Q2693" s="17" t="n"/>
      <c r="R2693" s="17" t="n"/>
      <c r="S2693" s="17" t="n"/>
      <c r="T2693" s="17" t="n"/>
      <c r="U2693" s="17" t="n"/>
      <c r="V2693" s="17" t="n"/>
      <c r="W2693" s="17" t="n"/>
      <c r="X2693" s="17" t="n"/>
      <c r="Y2693" s="17" t="n"/>
      <c r="Z2693" s="13">
        <f>SUMPRODUCT(N2693:Y2693,$N$2:$Y$2)*$K2693*$L2693*$M2693</f>
        <v/>
      </c>
      <c r="AA2693" s="14">
        <f>SUM(N2693:Y2693)</f>
        <v/>
      </c>
      <c r="AB2693" s="14">
        <f>IFERROR(IF(UPPER($E2693)="L",SUMPRODUCT(N2693:Y2693,$N$3:$Y$3,$N$2:$Y$2),SUMPRODUCT(N2693:Y2693,$N$4:$Y$4,$N$2:$Y$2))/(Z2693/($K2693*$L2693*$M2693)),"")</f>
        <v/>
      </c>
      <c r="AC2693" s="18" t="n"/>
    </row>
    <row r="2694">
      <c r="A2694" s="9" t="n">
        <v>666158</v>
      </c>
      <c r="B2694" s="9" t="inlineStr">
        <is>
          <t>Gavin Lux</t>
        </is>
      </c>
      <c r="C2694" s="9" t="inlineStr">
        <is>
          <t>CIN</t>
        </is>
      </c>
      <c r="D2694" s="9" t="n">
        <v>29</v>
      </c>
      <c r="E2694" s="16" t="inlineStr">
        <is>
          <t>L</t>
        </is>
      </c>
      <c r="F2694" s="16" t="inlineStr">
        <is>
          <t>LF</t>
        </is>
      </c>
      <c r="G2694" s="9" t="n">
        <v>503</v>
      </c>
      <c r="H2694" s="9" t="n">
        <v>1461</v>
      </c>
      <c r="I2694" s="9" t="inlineStr">
        <is>
          <t>Bench Bat</t>
        </is>
      </c>
      <c r="J2694" s="16" t="inlineStr">
        <is>
          <t>Opening Day</t>
        </is>
      </c>
      <c r="K2694" s="11">
        <f>IFERROR(INDEX(Roles!$B$17:$B$20,MATCH(J2694,Roles!$A$17:$A$20,0)),1)</f>
        <v/>
      </c>
      <c r="L2694" s="17" t="n">
        <v>1</v>
      </c>
      <c r="M2694" s="11" t="n">
        <v>1.15</v>
      </c>
      <c r="N2694" s="17" t="n"/>
      <c r="O2694" s="17" t="n"/>
      <c r="P2694" s="17" t="n"/>
      <c r="Q2694" s="17" t="n"/>
      <c r="R2694" s="17" t="n"/>
      <c r="S2694" s="17" t="n"/>
      <c r="T2694" s="17" t="n"/>
      <c r="U2694" s="17" t="n">
        <v>0.4</v>
      </c>
      <c r="V2694" s="17" t="n"/>
      <c r="W2694" s="17" t="n">
        <v>0.6</v>
      </c>
      <c r="X2694" s="17" t="n"/>
      <c r="Y2694" s="17" t="n"/>
      <c r="Z2694" s="13">
        <f>SUMPRODUCT(N2694:Y2694,$N$2:$Y$2)*$K2694*$L2694*$M2694</f>
        <v/>
      </c>
      <c r="AA2694" s="14">
        <f>SUM(N2694:Y2694)</f>
        <v/>
      </c>
      <c r="AB2694" s="14">
        <f>IFERROR(IF(UPPER($E2694)="L",SUMPRODUCT(N2694:Y2694,$N$3:$Y$3,$N$2:$Y$2),SUMPRODUCT(N2694:Y2694,$N$4:$Y$4,$N$2:$Y$2))/(Z2694/($K2694*$L2694*$M2694)),"")</f>
        <v/>
      </c>
      <c r="AC2694" s="18" t="n"/>
    </row>
    <row r="2695">
      <c r="A2695" s="9" t="n">
        <v>687859</v>
      </c>
      <c r="B2695" s="9" t="inlineStr">
        <is>
          <t>Troy Johnston</t>
        </is>
      </c>
      <c r="C2695" s="9" t="inlineStr">
        <is>
          <t>COL</t>
        </is>
      </c>
      <c r="D2695" s="9" t="n">
        <v>30</v>
      </c>
      <c r="E2695" s="16" t="inlineStr">
        <is>
          <t>L</t>
        </is>
      </c>
      <c r="F2695" s="16" t="inlineStr">
        <is>
          <t>RF</t>
        </is>
      </c>
      <c r="G2695" s="9" t="n">
        <v>449</v>
      </c>
      <c r="H2695" s="9" t="n">
        <v>570</v>
      </c>
      <c r="I2695" s="9" t="inlineStr">
        <is>
          <t>Bench Bat</t>
        </is>
      </c>
      <c r="J2695" s="16" t="inlineStr">
        <is>
          <t>Opening Day</t>
        </is>
      </c>
      <c r="K2695" s="11">
        <f>IFERROR(INDEX(Roles!$B$17:$B$20,MATCH(J2695,Roles!$A$17:$A$20,0)),1)</f>
        <v/>
      </c>
      <c r="L2695" s="17" t="n">
        <v>1</v>
      </c>
      <c r="M2695" s="11" t="n">
        <v>1.0698432633277</v>
      </c>
      <c r="N2695" s="17" t="n"/>
      <c r="O2695" s="17" t="n"/>
      <c r="P2695" s="17" t="n"/>
      <c r="Q2695" s="17" t="n"/>
      <c r="R2695" s="17" t="n"/>
      <c r="S2695" s="17" t="n"/>
      <c r="T2695" s="17" t="n"/>
      <c r="U2695" s="17" t="n">
        <v>0.4</v>
      </c>
      <c r="V2695" s="17" t="n"/>
      <c r="W2695" s="17" t="n">
        <v>0.6</v>
      </c>
      <c r="X2695" s="17" t="n"/>
      <c r="Y2695" s="17" t="n"/>
      <c r="Z2695" s="13">
        <f>SUMPRODUCT(N2695:Y2695,$N$2:$Y$2)*$K2695*$L2695*$M2695</f>
        <v/>
      </c>
      <c r="AA2695" s="14">
        <f>SUM(N2695:Y2695)</f>
        <v/>
      </c>
      <c r="AB2695" s="14">
        <f>IFERROR(IF(UPPER($E2695)="L",SUMPRODUCT(N2695:Y2695,$N$3:$Y$3,$N$2:$Y$2),SUMPRODUCT(N2695:Y2695,$N$4:$Y$4,$N$2:$Y$2))/(Z2695/($K2695*$L2695*$M2695)),"")</f>
        <v/>
      </c>
      <c r="AC2695" s="18" t="n"/>
    </row>
    <row r="2696">
      <c r="A2696" s="9" t="n">
        <v>686823</v>
      </c>
      <c r="B2696" s="9" t="inlineStr">
        <is>
          <t>Will Brennan</t>
        </is>
      </c>
      <c r="C2696" s="9" t="inlineStr">
        <is>
          <t>CLE</t>
        </is>
      </c>
      <c r="D2696" s="9" t="n">
        <v>29</v>
      </c>
      <c r="E2696" s="16" t="inlineStr">
        <is>
          <t>L</t>
        </is>
      </c>
      <c r="F2696" s="16" t="inlineStr">
        <is>
          <t>RF</t>
        </is>
      </c>
      <c r="G2696" s="9" t="n">
        <v>23</v>
      </c>
      <c r="H2696" s="9" t="n">
        <v>889</v>
      </c>
      <c r="I2696" s="9" t="inlineStr">
        <is>
          <t>Depth (no MLB PA)</t>
        </is>
      </c>
      <c r="J2696" s="16" t="inlineStr">
        <is>
          <t>Opening Day</t>
        </is>
      </c>
      <c r="K2696" s="11">
        <f>IFERROR(INDEX(Roles!$B$17:$B$20,MATCH(J2696,Roles!$A$17:$A$20,0)),1)</f>
        <v/>
      </c>
      <c r="L2696" s="17" t="n">
        <v>1</v>
      </c>
      <c r="M2696" s="11" t="n">
        <v>0.6439569231668889</v>
      </c>
      <c r="N2696" s="17" t="n"/>
      <c r="O2696" s="17" t="n"/>
      <c r="P2696" s="17" t="n"/>
      <c r="Q2696" s="17" t="n"/>
      <c r="R2696" s="17" t="n"/>
      <c r="S2696" s="17" t="n"/>
      <c r="T2696" s="17" t="n"/>
      <c r="U2696" s="17" t="n"/>
      <c r="V2696" s="17" t="n"/>
      <c r="W2696" s="17" t="n"/>
      <c r="X2696" s="17" t="n"/>
      <c r="Y2696" s="17" t="n">
        <v>1</v>
      </c>
      <c r="Z2696" s="13">
        <f>SUMPRODUCT(N2696:Y2696,$N$2:$Y$2)*$K2696*$L2696*$M2696</f>
        <v/>
      </c>
      <c r="AA2696" s="14">
        <f>SUM(N2696:Y2696)</f>
        <v/>
      </c>
      <c r="AB2696" s="14">
        <f>IFERROR(IF(UPPER($E2696)="L",SUMPRODUCT(N2696:Y2696,$N$3:$Y$3,$N$2:$Y$2),SUMPRODUCT(N2696:Y2696,$N$4:$Y$4,$N$2:$Y$2))/(Z2696/($K2696*$L2696*$M2696)),"")</f>
        <v/>
      </c>
      <c r="AC2696" s="18" t="n"/>
    </row>
    <row r="2697">
      <c r="A2697" s="9" t="n">
        <v>686551</v>
      </c>
      <c r="B2697" s="9" t="inlineStr">
        <is>
          <t>Christian Cairo</t>
        </is>
      </c>
      <c r="C2697" s="9" t="inlineStr">
        <is>
          <t>NYM</t>
        </is>
      </c>
      <c r="D2697" s="9" t="n">
        <v>25</v>
      </c>
      <c r="E2697" s="16" t="inlineStr">
        <is>
          <t>R</t>
        </is>
      </c>
      <c r="F2697" s="16" t="n"/>
      <c r="G2697" s="9" t="n">
        <v>284.8717948717949</v>
      </c>
      <c r="H2697" s="9" t="n">
        <v>284.8717948717949</v>
      </c>
      <c r="I2697" s="9" t="inlineStr">
        <is>
          <t>Depth (no MLB PA)</t>
        </is>
      </c>
      <c r="J2697" s="16" t="inlineStr">
        <is>
          <t>Opening Day</t>
        </is>
      </c>
      <c r="K2697" s="11">
        <f>IFERROR(INDEX(Roles!$B$17:$B$20,MATCH(J2697,Roles!$A$17:$A$20,0)),1)</f>
        <v/>
      </c>
      <c r="L2697" s="17" t="n">
        <v>1</v>
      </c>
      <c r="M2697" s="11" t="n">
        <v>1</v>
      </c>
      <c r="N2697" s="17" t="n"/>
      <c r="O2697" s="17" t="n"/>
      <c r="P2697" s="17" t="n"/>
      <c r="Q2697" s="17" t="n"/>
      <c r="R2697" s="17" t="n"/>
      <c r="S2697" s="17" t="n"/>
      <c r="T2697" s="17" t="n"/>
      <c r="U2697" s="17" t="n"/>
      <c r="V2697" s="17" t="n"/>
      <c r="W2697" s="17" t="n"/>
      <c r="X2697" s="17" t="n"/>
      <c r="Y2697" s="17" t="n">
        <v>1</v>
      </c>
      <c r="Z2697" s="13">
        <f>SUMPRODUCT(N2697:Y2697,$N$2:$Y$2)*$K2697*$L2697*$M2697</f>
        <v/>
      </c>
      <c r="AA2697" s="14">
        <f>SUM(N2697:Y2697)</f>
        <v/>
      </c>
      <c r="AB2697" s="14">
        <f>IFERROR(IF(UPPER($E2697)="L",SUMPRODUCT(N2697:Y2697,$N$3:$Y$3,$N$2:$Y$2),SUMPRODUCT(N2697:Y2697,$N$4:$Y$4,$N$2:$Y$2))/(Z2697/($K2697*$L2697*$M2697)),"")</f>
        <v/>
      </c>
      <c r="AC2697" s="18" t="n"/>
    </row>
    <row r="2698">
      <c r="A2698" s="9" t="n">
        <v>695720</v>
      </c>
      <c r="B2698" s="9" t="inlineStr">
        <is>
          <t>Tommy White</t>
        </is>
      </c>
      <c r="C2698" s="9" t="inlineStr">
        <is>
          <t>OAK</t>
        </is>
      </c>
      <c r="D2698" s="9" t="n">
        <v>24</v>
      </c>
      <c r="E2698" s="16" t="inlineStr">
        <is>
          <t>R</t>
        </is>
      </c>
      <c r="F2698" s="16" t="inlineStr">
        <is>
          <t>1B</t>
        </is>
      </c>
      <c r="G2698" s="9" t="n">
        <v>195</v>
      </c>
      <c r="H2698" s="9" t="n">
        <v>195</v>
      </c>
      <c r="I2698" s="9" t="inlineStr">
        <is>
          <t>Weak Side Platoon</t>
        </is>
      </c>
      <c r="J2698" s="16" t="inlineStr">
        <is>
          <t>Opening Day</t>
        </is>
      </c>
      <c r="K2698" s="11">
        <f>IFERROR(INDEX(Roles!$B$17:$B$20,MATCH(J2698,Roles!$A$17:$A$20,0)),1)</f>
        <v/>
      </c>
      <c r="L2698" s="17" t="n">
        <v>1</v>
      </c>
      <c r="M2698" s="11" t="n">
        <v>1</v>
      </c>
      <c r="N2698" s="17" t="n"/>
      <c r="O2698" s="17" t="n"/>
      <c r="P2698" s="17" t="n"/>
      <c r="Q2698" s="17" t="n">
        <v>0.6</v>
      </c>
      <c r="R2698" s="17" t="n"/>
      <c r="S2698" s="17" t="n"/>
      <c r="T2698" s="17" t="n"/>
      <c r="U2698" s="17" t="n">
        <v>0.4</v>
      </c>
      <c r="V2698" s="17" t="n"/>
      <c r="W2698" s="17" t="n"/>
      <c r="X2698" s="17" t="n"/>
      <c r="Y2698" s="17" t="n"/>
      <c r="Z2698" s="13">
        <f>SUMPRODUCT(N2698:Y2698,$N$2:$Y$2)*$K2698*$L2698*$M2698</f>
        <v/>
      </c>
      <c r="AA2698" s="14">
        <f>SUM(N2698:Y2698)</f>
        <v/>
      </c>
      <c r="AB2698" s="14">
        <f>IFERROR(IF(UPPER($E2698)="L",SUMPRODUCT(N2698:Y2698,$N$3:$Y$3,$N$2:$Y$2),SUMPRODUCT(N2698:Y2698,$N$4:$Y$4,$N$2:$Y$2))/(Z2698/($K2698*$L2698*$M2698)),"")</f>
        <v/>
      </c>
      <c r="AC2698" s="18" t="n"/>
    </row>
    <row r="2699">
      <c r="A2699" s="9" t="n">
        <v>663368</v>
      </c>
      <c r="B2699" s="9" t="inlineStr">
        <is>
          <t>Blake Perkins</t>
        </is>
      </c>
      <c r="C2699" s="9" t="inlineStr">
        <is>
          <t>MIL</t>
        </is>
      </c>
      <c r="D2699" s="9" t="n">
        <v>30</v>
      </c>
      <c r="E2699" s="16" t="inlineStr">
        <is>
          <t>S</t>
        </is>
      </c>
      <c r="F2699" s="16" t="inlineStr">
        <is>
          <t>CF</t>
        </is>
      </c>
      <c r="G2699" s="9" t="n">
        <v>101</v>
      </c>
      <c r="H2699" s="9" t="n">
        <v>874</v>
      </c>
      <c r="I2699" s="9" t="inlineStr">
        <is>
          <t>Bench Bat</t>
        </is>
      </c>
      <c r="J2699" s="16" t="inlineStr">
        <is>
          <t>Opening Day</t>
        </is>
      </c>
      <c r="K2699" s="11">
        <f>IFERROR(INDEX(Roles!$B$17:$B$20,MATCH(J2699,Roles!$A$17:$A$20,0)),1)</f>
        <v/>
      </c>
      <c r="L2699" s="17" t="n">
        <v>1</v>
      </c>
      <c r="M2699" s="11" t="n">
        <v>0.8398239654149815</v>
      </c>
      <c r="N2699" s="17" t="n"/>
      <c r="O2699" s="17" t="n"/>
      <c r="P2699" s="17" t="n"/>
      <c r="Q2699" s="17" t="n"/>
      <c r="R2699" s="17" t="n"/>
      <c r="S2699" s="17" t="n"/>
      <c r="T2699" s="17" t="n"/>
      <c r="U2699" s="17" t="n"/>
      <c r="V2699" s="17" t="n"/>
      <c r="W2699" s="17" t="n">
        <v>1</v>
      </c>
      <c r="X2699" s="17" t="n"/>
      <c r="Y2699" s="17" t="n"/>
      <c r="Z2699" s="13">
        <f>SUMPRODUCT(N2699:Y2699,$N$2:$Y$2)*$K2699*$L2699*$M2699</f>
        <v/>
      </c>
      <c r="AA2699" s="14">
        <f>SUM(N2699:Y2699)</f>
        <v/>
      </c>
      <c r="AB2699" s="14">
        <f>IFERROR(IF(UPPER($E2699)="L",SUMPRODUCT(N2699:Y2699,$N$3:$Y$3,$N$2:$Y$2),SUMPRODUCT(N2699:Y2699,$N$4:$Y$4,$N$2:$Y$2))/(Z2699/($K2699*$L2699*$M2699)),"")</f>
        <v/>
      </c>
      <c r="AC2699" s="18" t="n"/>
    </row>
    <row r="2700">
      <c r="A2700" s="9" t="n">
        <v>658668</v>
      </c>
      <c r="B2700" s="9" t="inlineStr">
        <is>
          <t>Edward Olivares</t>
        </is>
      </c>
      <c r="C2700" s="9" t="inlineStr">
        <is>
          <t>PIT</t>
        </is>
      </c>
      <c r="D2700" s="9" t="n">
        <v>31</v>
      </c>
      <c r="E2700" s="16" t="inlineStr">
        <is>
          <t>R</t>
        </is>
      </c>
      <c r="F2700" s="16" t="inlineStr">
        <is>
          <t>RF</t>
        </is>
      </c>
      <c r="G2700" s="9" t="n">
        <v>196</v>
      </c>
      <c r="H2700" s="9" t="n">
        <v>755</v>
      </c>
      <c r="I2700" s="9" t="inlineStr">
        <is>
          <t>Depth (no MLB PA)</t>
        </is>
      </c>
      <c r="J2700" s="16" t="inlineStr">
        <is>
          <t>Opening Day</t>
        </is>
      </c>
      <c r="K2700" s="11">
        <f>IFERROR(INDEX(Roles!$B$17:$B$20,MATCH(J2700,Roles!$A$17:$A$20,0)),1)</f>
        <v/>
      </c>
      <c r="L2700" s="17" t="n">
        <v>1</v>
      </c>
      <c r="M2700" s="11" t="n">
        <v>1</v>
      </c>
      <c r="N2700" s="17" t="n"/>
      <c r="O2700" s="17" t="n"/>
      <c r="P2700" s="17" t="n"/>
      <c r="Q2700" s="17" t="n"/>
      <c r="R2700" s="17" t="n"/>
      <c r="S2700" s="17" t="n"/>
      <c r="T2700" s="17" t="n"/>
      <c r="U2700" s="17" t="n"/>
      <c r="V2700" s="17" t="n"/>
      <c r="W2700" s="17" t="n"/>
      <c r="X2700" s="17" t="n"/>
      <c r="Y2700" s="17" t="n">
        <v>1</v>
      </c>
      <c r="Z2700" s="13">
        <f>SUMPRODUCT(N2700:Y2700,$N$2:$Y$2)*$K2700*$L2700*$M2700</f>
        <v/>
      </c>
      <c r="AA2700" s="14">
        <f>SUM(N2700:Y2700)</f>
        <v/>
      </c>
      <c r="AB2700" s="14">
        <f>IFERROR(IF(UPPER($E2700)="L",SUMPRODUCT(N2700:Y2700,$N$3:$Y$3,$N$2:$Y$2),SUMPRODUCT(N2700:Y2700,$N$4:$Y$4,$N$2:$Y$2))/(Z2700/($K2700*$L2700*$M2700)),"")</f>
        <v/>
      </c>
      <c r="AC2700" s="18" t="n"/>
    </row>
    <row r="2701">
      <c r="A2701" s="9" t="n">
        <v>688460</v>
      </c>
      <c r="B2701" s="9" t="inlineStr">
        <is>
          <t>Josh Kasevich</t>
        </is>
      </c>
      <c r="C2701" s="9" t="inlineStr">
        <is>
          <t>TOR</t>
        </is>
      </c>
      <c r="D2701" s="9" t="n">
        <v>25</v>
      </c>
      <c r="E2701" s="16" t="inlineStr">
        <is>
          <t>R</t>
        </is>
      </c>
      <c r="F2701" s="16" t="n"/>
      <c r="G2701" s="9" t="n">
        <v>317.0256410256411</v>
      </c>
      <c r="H2701" s="9" t="n">
        <v>317.0256410256411</v>
      </c>
      <c r="I2701" s="9" t="inlineStr">
        <is>
          <t>Depth (no MLB PA)</t>
        </is>
      </c>
      <c r="J2701" s="16" t="inlineStr">
        <is>
          <t>Opening Day</t>
        </is>
      </c>
      <c r="K2701" s="11">
        <f>IFERROR(INDEX(Roles!$B$17:$B$20,MATCH(J2701,Roles!$A$17:$A$20,0)),1)</f>
        <v/>
      </c>
      <c r="L2701" s="17" t="n">
        <v>1</v>
      </c>
      <c r="M2701" s="11" t="n">
        <v>1</v>
      </c>
      <c r="N2701" s="17" t="n"/>
      <c r="O2701" s="17" t="n"/>
      <c r="P2701" s="17" t="n"/>
      <c r="Q2701" s="17" t="n"/>
      <c r="R2701" s="17" t="n"/>
      <c r="S2701" s="17" t="n"/>
      <c r="T2701" s="17" t="n"/>
      <c r="U2701" s="17" t="n"/>
      <c r="V2701" s="17" t="n"/>
      <c r="W2701" s="17" t="n"/>
      <c r="X2701" s="17" t="n"/>
      <c r="Y2701" s="17" t="n">
        <v>1</v>
      </c>
      <c r="Z2701" s="13">
        <f>SUMPRODUCT(N2701:Y2701,$N$2:$Y$2)*$K2701*$L2701*$M2701</f>
        <v/>
      </c>
      <c r="AA2701" s="14">
        <f>SUM(N2701:Y2701)</f>
        <v/>
      </c>
      <c r="AB2701" s="14">
        <f>IFERROR(IF(UPPER($E2701)="L",SUMPRODUCT(N2701:Y2701,$N$3:$Y$3,$N$2:$Y$2),SUMPRODUCT(N2701:Y2701,$N$4:$Y$4,$N$2:$Y$2))/(Z2701/($K2701*$L2701*$M2701)),"")</f>
        <v/>
      </c>
      <c r="AC2701" s="18" t="n"/>
    </row>
    <row r="2702">
      <c r="A2702" s="9" t="n">
        <v>671117</v>
      </c>
      <c r="B2702" s="9" t="inlineStr">
        <is>
          <t>Darren Baker</t>
        </is>
      </c>
      <c r="C2702" s="9" t="inlineStr">
        <is>
          <t>WSH</t>
        </is>
      </c>
      <c r="D2702" s="9" t="n">
        <v>28</v>
      </c>
      <c r="E2702" s="16" t="inlineStr">
        <is>
          <t>L</t>
        </is>
      </c>
      <c r="F2702" s="16" t="inlineStr">
        <is>
          <t>2B</t>
        </is>
      </c>
      <c r="G2702" s="9" t="n">
        <v>14</v>
      </c>
      <c r="H2702" s="9" t="n">
        <v>14</v>
      </c>
      <c r="I2702" s="9" t="inlineStr">
        <is>
          <t>Depth (no MLB PA)</t>
        </is>
      </c>
      <c r="J2702" s="16" t="inlineStr">
        <is>
          <t>Opening Day</t>
        </is>
      </c>
      <c r="K2702" s="11">
        <f>IFERROR(INDEX(Roles!$B$17:$B$20,MATCH(J2702,Roles!$A$17:$A$20,0)),1)</f>
        <v/>
      </c>
      <c r="L2702" s="17" t="n">
        <v>1</v>
      </c>
      <c r="M2702" s="11" t="n">
        <v>1</v>
      </c>
      <c r="N2702" s="17" t="n"/>
      <c r="O2702" s="17" t="n"/>
      <c r="P2702" s="17" t="n"/>
      <c r="Q2702" s="17" t="n"/>
      <c r="R2702" s="17" t="n"/>
      <c r="S2702" s="17" t="n"/>
      <c r="T2702" s="17" t="n"/>
      <c r="U2702" s="17" t="n"/>
      <c r="V2702" s="17" t="n"/>
      <c r="W2702" s="17" t="n"/>
      <c r="X2702" s="17" t="n"/>
      <c r="Y2702" s="17" t="n">
        <v>1</v>
      </c>
      <c r="Z2702" s="13">
        <f>SUMPRODUCT(N2702:Y2702,$N$2:$Y$2)*$K2702*$L2702*$M2702</f>
        <v/>
      </c>
      <c r="AA2702" s="14">
        <f>SUM(N2702:Y2702)</f>
        <v/>
      </c>
      <c r="AB2702" s="14">
        <f>IFERROR(IF(UPPER($E2702)="L",SUMPRODUCT(N2702:Y2702,$N$3:$Y$3,$N$2:$Y$2),SUMPRODUCT(N2702:Y2702,$N$4:$Y$4,$N$2:$Y$2))/(Z2702/($K2702*$L2702*$M2702)),"")</f>
        <v/>
      </c>
      <c r="AC2702" s="18" t="n"/>
    </row>
    <row r="2703">
      <c r="A2703" s="9" t="n">
        <v>493329</v>
      </c>
      <c r="B2703" s="9" t="inlineStr">
        <is>
          <t>Yuli Gurriel</t>
        </is>
      </c>
      <c r="C2703" s="9" t="inlineStr">
        <is>
          <t>SD</t>
        </is>
      </c>
      <c r="D2703" s="9" t="n">
        <v>43</v>
      </c>
      <c r="E2703" s="16" t="inlineStr">
        <is>
          <t>R</t>
        </is>
      </c>
      <c r="F2703" s="16" t="inlineStr">
        <is>
          <t>1B</t>
        </is>
      </c>
      <c r="G2703" s="9" t="n">
        <v>40</v>
      </c>
      <c r="H2703" s="9" t="n">
        <v>1018</v>
      </c>
      <c r="I2703" s="9" t="inlineStr">
        <is>
          <t>Bench Bat</t>
        </is>
      </c>
      <c r="J2703" s="16" t="inlineStr">
        <is>
          <t>Opening Day</t>
        </is>
      </c>
      <c r="K2703" s="11">
        <f>IFERROR(INDEX(Roles!$B$17:$B$20,MATCH(J2703,Roles!$A$17:$A$20,0)),1)</f>
        <v/>
      </c>
      <c r="L2703" s="17" t="n">
        <v>1</v>
      </c>
      <c r="M2703" s="11" t="n">
        <v>1</v>
      </c>
      <c r="N2703" s="17" t="n"/>
      <c r="O2703" s="17" t="n"/>
      <c r="P2703" s="17" t="n"/>
      <c r="Q2703" s="17" t="n"/>
      <c r="R2703" s="17" t="n"/>
      <c r="S2703" s="17" t="n"/>
      <c r="T2703" s="17" t="n"/>
      <c r="U2703" s="17" t="n"/>
      <c r="V2703" s="17" t="n"/>
      <c r="W2703" s="17" t="n">
        <v>1</v>
      </c>
      <c r="X2703" s="17" t="n"/>
      <c r="Y2703" s="17" t="n"/>
      <c r="Z2703" s="13">
        <f>SUMPRODUCT(N2703:Y2703,$N$2:$Y$2)*$K2703*$L2703*$M2703</f>
        <v/>
      </c>
      <c r="AA2703" s="14">
        <f>SUM(N2703:Y2703)</f>
        <v/>
      </c>
      <c r="AB2703" s="14">
        <f>IFERROR(IF(UPPER($E2703)="L",SUMPRODUCT(N2703:Y2703,$N$3:$Y$3,$N$2:$Y$2),SUMPRODUCT(N2703:Y2703,$N$4:$Y$4,$N$2:$Y$2))/(Z2703/($K2703*$L2703*$M2703)),"")</f>
        <v/>
      </c>
      <c r="AC2703" s="18" t="n"/>
    </row>
    <row r="2704">
      <c r="A2704" s="9" t="n">
        <v>691026</v>
      </c>
      <c r="B2704" s="9" t="inlineStr">
        <is>
          <t>Masyn Winn</t>
        </is>
      </c>
      <c r="C2704" s="9" t="inlineStr">
        <is>
          <t>STL</t>
        </is>
      </c>
      <c r="D2704" s="9" t="n">
        <v>25</v>
      </c>
      <c r="E2704" s="16" t="inlineStr">
        <is>
          <t>R</t>
        </is>
      </c>
      <c r="F2704" s="16" t="inlineStr">
        <is>
          <t>SS</t>
        </is>
      </c>
      <c r="G2704" s="9" t="n">
        <v>532</v>
      </c>
      <c r="H2704" s="9" t="n">
        <v>1843</v>
      </c>
      <c r="I2704" s="9" t="inlineStr">
        <is>
          <t>Bench Bat</t>
        </is>
      </c>
      <c r="J2704" s="16" t="inlineStr">
        <is>
          <t>Opening Day</t>
        </is>
      </c>
      <c r="K2704" s="11">
        <f>IFERROR(INDEX(Roles!$B$17:$B$20,MATCH(J2704,Roles!$A$17:$A$20,0)),1)</f>
        <v/>
      </c>
      <c r="L2704" s="17" t="n">
        <v>1</v>
      </c>
      <c r="M2704" s="11" t="n">
        <v>1.15</v>
      </c>
      <c r="N2704" s="17" t="n">
        <v>0.4</v>
      </c>
      <c r="O2704" s="17" t="n"/>
      <c r="P2704" s="17" t="n"/>
      <c r="Q2704" s="17" t="n"/>
      <c r="R2704" s="17" t="n"/>
      <c r="S2704" s="17" t="n"/>
      <c r="T2704" s="17" t="n"/>
      <c r="U2704" s="17" t="n"/>
      <c r="V2704" s="17" t="n"/>
      <c r="W2704" s="17" t="n">
        <v>0.6</v>
      </c>
      <c r="X2704" s="17" t="n"/>
      <c r="Y2704" s="17" t="n"/>
      <c r="Z2704" s="13">
        <f>SUMPRODUCT(N2704:Y2704,$N$2:$Y$2)*$K2704*$L2704*$M2704</f>
        <v/>
      </c>
      <c r="AA2704" s="14">
        <f>SUM(N2704:Y2704)</f>
        <v/>
      </c>
      <c r="AB2704" s="14">
        <f>IFERROR(IF(UPPER($E2704)="L",SUMPRODUCT(N2704:Y2704,$N$3:$Y$3,$N$2:$Y$2),SUMPRODUCT(N2704:Y2704,$N$4:$Y$4,$N$2:$Y$2))/(Z2704/($K2704*$L2704*$M2704)),"")</f>
        <v/>
      </c>
      <c r="AC2704" s="18" t="n"/>
    </row>
    <row r="2705">
      <c r="A2705" s="9" t="n">
        <v>699393</v>
      </c>
      <c r="B2705" s="9" t="inlineStr">
        <is>
          <t>Pedro Ramírez</t>
        </is>
      </c>
      <c r="C2705" s="9" t="inlineStr">
        <is>
          <t>CHC</t>
        </is>
      </c>
      <c r="D2705" s="9" t="n">
        <v>23</v>
      </c>
      <c r="E2705" s="16" t="inlineStr">
        <is>
          <t>S</t>
        </is>
      </c>
      <c r="F2705" s="16" t="inlineStr">
        <is>
          <t>2B</t>
        </is>
      </c>
      <c r="G2705" s="9" t="n">
        <v>266</v>
      </c>
      <c r="H2705" s="9" t="n">
        <v>266</v>
      </c>
      <c r="I2705" s="9" t="inlineStr">
        <is>
          <t>Utility IF</t>
        </is>
      </c>
      <c r="J2705" s="16" t="inlineStr">
        <is>
          <t>Opening Day</t>
        </is>
      </c>
      <c r="K2705" s="11">
        <f>IFERROR(INDEX(Roles!$B$17:$B$20,MATCH(J2705,Roles!$A$17:$A$20,0)),1)</f>
        <v/>
      </c>
      <c r="L2705" s="17" t="n">
        <v>1</v>
      </c>
      <c r="M2705" s="11" t="n">
        <v>1</v>
      </c>
      <c r="N2705" s="17" t="n"/>
      <c r="O2705" s="17" t="n"/>
      <c r="P2705" s="17" t="n"/>
      <c r="Q2705" s="17" t="n"/>
      <c r="R2705" s="17" t="n"/>
      <c r="S2705" s="17" t="n"/>
      <c r="T2705" s="17" t="n"/>
      <c r="U2705" s="17" t="n">
        <v>0.7</v>
      </c>
      <c r="V2705" s="17" t="n"/>
      <c r="W2705" s="17" t="n">
        <v>0.3</v>
      </c>
      <c r="X2705" s="17" t="n"/>
      <c r="Y2705" s="17" t="n"/>
      <c r="Z2705" s="13">
        <f>SUMPRODUCT(N2705:Y2705,$N$2:$Y$2)*$K2705*$L2705*$M2705</f>
        <v/>
      </c>
      <c r="AA2705" s="14">
        <f>SUM(N2705:Y2705)</f>
        <v/>
      </c>
      <c r="AB2705" s="14">
        <f>IFERROR(IF(UPPER($E2705)="L",SUMPRODUCT(N2705:Y2705,$N$3:$Y$3,$N$2:$Y$2),SUMPRODUCT(N2705:Y2705,$N$4:$Y$4,$N$2:$Y$2))/(Z2705/($K2705*$L2705*$M2705)),"")</f>
        <v/>
      </c>
      <c r="AC2705" s="18" t="n"/>
    </row>
    <row r="2706">
      <c r="A2706" s="9" t="n">
        <v>807726</v>
      </c>
      <c r="B2706" s="9" t="inlineStr">
        <is>
          <t>John Peck</t>
        </is>
      </c>
      <c r="C2706" s="9" t="inlineStr">
        <is>
          <t>DET</t>
        </is>
      </c>
      <c r="D2706" s="9" t="n">
        <v>24</v>
      </c>
      <c r="E2706" s="16" t="inlineStr">
        <is>
          <t>R</t>
        </is>
      </c>
      <c r="F2706" s="16" t="inlineStr">
        <is>
          <t>SS</t>
        </is>
      </c>
      <c r="G2706" s="9" t="n">
        <v>80</v>
      </c>
      <c r="H2706" s="9" t="n">
        <v>80</v>
      </c>
      <c r="I2706" s="9" t="inlineStr">
        <is>
          <t>Full Time</t>
        </is>
      </c>
      <c r="J2706" s="16" t="inlineStr">
        <is>
          <t>Opening Day</t>
        </is>
      </c>
      <c r="K2706" s="11">
        <f>IFERROR(INDEX(Roles!$B$17:$B$20,MATCH(J2706,Roles!$A$17:$A$20,0)),1)</f>
        <v/>
      </c>
      <c r="L2706" s="17" t="n">
        <v>1</v>
      </c>
      <c r="M2706" s="11" t="n">
        <v>1</v>
      </c>
      <c r="N2706" s="17" t="n">
        <v>0.58</v>
      </c>
      <c r="O2706" s="17" t="n"/>
      <c r="P2706" s="17" t="n">
        <v>0.42</v>
      </c>
      <c r="Q2706" s="17" t="n"/>
      <c r="R2706" s="17" t="n"/>
      <c r="S2706" s="17" t="n"/>
      <c r="T2706" s="17" t="n"/>
      <c r="U2706" s="17" t="n"/>
      <c r="V2706" s="17" t="n"/>
      <c r="W2706" s="17" t="n"/>
      <c r="X2706" s="17" t="n"/>
      <c r="Y2706" s="17" t="n"/>
      <c r="Z2706" s="13">
        <f>SUMPRODUCT(N2706:Y2706,$N$2:$Y$2)*$K2706*$L2706*$M2706</f>
        <v/>
      </c>
      <c r="AA2706" s="14">
        <f>SUM(N2706:Y2706)</f>
        <v/>
      </c>
      <c r="AB2706" s="14">
        <f>IFERROR(IF(UPPER($E2706)="L",SUMPRODUCT(N2706:Y2706,$N$3:$Y$3,$N$2:$Y$2),SUMPRODUCT(N2706:Y2706,$N$4:$Y$4,$N$2:$Y$2))/(Z2706/($K2706*$L2706*$M2706)),"")</f>
        <v/>
      </c>
      <c r="AC2706" s="18" t="n"/>
    </row>
    <row r="2707">
      <c r="A2707" s="9" t="n">
        <v>592273</v>
      </c>
      <c r="B2707" s="9" t="inlineStr">
        <is>
          <t>Brandon Drury</t>
        </is>
      </c>
      <c r="C2707" s="9" t="inlineStr">
        <is>
          <t>LAA</t>
        </is>
      </c>
      <c r="D2707" s="9" t="n">
        <v>34</v>
      </c>
      <c r="E2707" s="16" t="inlineStr">
        <is>
          <t>R</t>
        </is>
      </c>
      <c r="F2707" s="16" t="inlineStr">
        <is>
          <t>2B</t>
        </is>
      </c>
      <c r="G2707" s="9" t="n">
        <v>360</v>
      </c>
      <c r="H2707" s="9" t="n">
        <v>1451</v>
      </c>
      <c r="I2707" s="9" t="inlineStr">
        <is>
          <t>Depth (no MLB PA)</t>
        </is>
      </c>
      <c r="J2707" s="16" t="inlineStr">
        <is>
          <t>Opening Day</t>
        </is>
      </c>
      <c r="K2707" s="11">
        <f>IFERROR(INDEX(Roles!$B$17:$B$20,MATCH(J2707,Roles!$A$17:$A$20,0)),1)</f>
        <v/>
      </c>
      <c r="L2707" s="17" t="n">
        <v>1</v>
      </c>
      <c r="M2707" s="11" t="n">
        <v>1.15</v>
      </c>
      <c r="N2707" s="17" t="n"/>
      <c r="O2707" s="17" t="n"/>
      <c r="P2707" s="17" t="n"/>
      <c r="Q2707" s="17" t="n"/>
      <c r="R2707" s="17" t="n"/>
      <c r="S2707" s="17" t="n"/>
      <c r="T2707" s="17" t="n"/>
      <c r="U2707" s="17" t="n"/>
      <c r="V2707" s="17" t="n"/>
      <c r="W2707" s="17" t="n"/>
      <c r="X2707" s="17" t="n"/>
      <c r="Y2707" s="17" t="n">
        <v>1</v>
      </c>
      <c r="Z2707" s="13">
        <f>SUMPRODUCT(N2707:Y2707,$N$2:$Y$2)*$K2707*$L2707*$M2707</f>
        <v/>
      </c>
      <c r="AA2707" s="14">
        <f>SUM(N2707:Y2707)</f>
        <v/>
      </c>
      <c r="AB2707" s="14">
        <f>IFERROR(IF(UPPER($E2707)="L",SUMPRODUCT(N2707:Y2707,$N$3:$Y$3,$N$2:$Y$2),SUMPRODUCT(N2707:Y2707,$N$4:$Y$4,$N$2:$Y$2))/(Z2707/($K2707*$L2707*$M2707)),"")</f>
        <v/>
      </c>
      <c r="AC2707" s="18" t="n"/>
    </row>
    <row r="2708">
      <c r="A2708" s="9" t="n">
        <v>694170</v>
      </c>
      <c r="B2708" s="9" t="inlineStr">
        <is>
          <t>Dyan Jorge</t>
        </is>
      </c>
      <c r="C2708" s="9" t="inlineStr">
        <is>
          <t>COL</t>
        </is>
      </c>
      <c r="D2708" s="9" t="n">
        <v>25</v>
      </c>
      <c r="E2708" s="16" t="inlineStr">
        <is>
          <t>R</t>
        </is>
      </c>
      <c r="F2708" s="16" t="n"/>
      <c r="G2708" s="9" t="n">
        <v>191.3333333333333</v>
      </c>
      <c r="H2708" s="9" t="n">
        <v>191.3333333333333</v>
      </c>
      <c r="I2708" s="9" t="inlineStr">
        <is>
          <t>Depth (no MLB PA)</t>
        </is>
      </c>
      <c r="J2708" s="16" t="inlineStr">
        <is>
          <t>Opening Day</t>
        </is>
      </c>
      <c r="K2708" s="11">
        <f>IFERROR(INDEX(Roles!$B$17:$B$20,MATCH(J2708,Roles!$A$17:$A$20,0)),1)</f>
        <v/>
      </c>
      <c r="L2708" s="17" t="n">
        <v>1</v>
      </c>
      <c r="M2708" s="11" t="n">
        <v>1</v>
      </c>
      <c r="N2708" s="17" t="n"/>
      <c r="O2708" s="17" t="n"/>
      <c r="P2708" s="17" t="n"/>
      <c r="Q2708" s="17" t="n"/>
      <c r="R2708" s="17" t="n"/>
      <c r="S2708" s="17" t="n"/>
      <c r="T2708" s="17" t="n"/>
      <c r="U2708" s="17" t="n"/>
      <c r="V2708" s="17" t="n"/>
      <c r="W2708" s="17" t="n"/>
      <c r="X2708" s="17" t="n"/>
      <c r="Y2708" s="17" t="n">
        <v>1</v>
      </c>
      <c r="Z2708" s="13">
        <f>SUMPRODUCT(N2708:Y2708,$N$2:$Y$2)*$K2708*$L2708*$M2708</f>
        <v/>
      </c>
      <c r="AA2708" s="14">
        <f>SUM(N2708:Y2708)</f>
        <v/>
      </c>
      <c r="AB2708" s="14">
        <f>IFERROR(IF(UPPER($E2708)="L",SUMPRODUCT(N2708:Y2708,$N$3:$Y$3,$N$2:$Y$2),SUMPRODUCT(N2708:Y2708,$N$4:$Y$4,$N$2:$Y$2))/(Z2708/($K2708*$L2708*$M2708)),"")</f>
        <v/>
      </c>
      <c r="AC2708" s="18" t="n"/>
    </row>
    <row r="2709">
      <c r="A2709" s="9" t="n">
        <v>682515</v>
      </c>
      <c r="B2709" s="9" t="inlineStr">
        <is>
          <t>Logan Porter</t>
        </is>
      </c>
      <c r="C2709" s="9" t="inlineStr">
        <is>
          <t>KC</t>
        </is>
      </c>
      <c r="D2709" s="9" t="n">
        <v>31</v>
      </c>
      <c r="E2709" s="16" t="inlineStr">
        <is>
          <t>R</t>
        </is>
      </c>
      <c r="F2709" s="16" t="inlineStr">
        <is>
          <t>C</t>
        </is>
      </c>
      <c r="G2709" s="9" t="n">
        <v>6</v>
      </c>
      <c r="H2709" s="9" t="n">
        <v>53</v>
      </c>
      <c r="I2709" s="9" t="inlineStr">
        <is>
          <t>Depth (no MLB PA)</t>
        </is>
      </c>
      <c r="J2709" s="16" t="inlineStr">
        <is>
          <t>Opening Day</t>
        </is>
      </c>
      <c r="K2709" s="11">
        <f>IFERROR(INDEX(Roles!$B$17:$B$20,MATCH(J2709,Roles!$A$17:$A$20,0)),1)</f>
        <v/>
      </c>
      <c r="L2709" s="17" t="n">
        <v>1</v>
      </c>
      <c r="M2709" s="11" t="n">
        <v>1</v>
      </c>
      <c r="N2709" s="17" t="n"/>
      <c r="O2709" s="17" t="n"/>
      <c r="P2709" s="17" t="n"/>
      <c r="Q2709" s="17" t="n"/>
      <c r="R2709" s="17" t="n"/>
      <c r="S2709" s="17" t="n"/>
      <c r="T2709" s="17" t="n"/>
      <c r="U2709" s="17" t="n"/>
      <c r="V2709" s="17" t="n"/>
      <c r="W2709" s="17" t="n"/>
      <c r="X2709" s="17" t="n"/>
      <c r="Y2709" s="17" t="n">
        <v>1</v>
      </c>
      <c r="Z2709" s="13">
        <f>SUMPRODUCT(N2709:Y2709,$N$2:$Y$2)*$K2709*$L2709*$M2709</f>
        <v/>
      </c>
      <c r="AA2709" s="14">
        <f>SUM(N2709:Y2709)</f>
        <v/>
      </c>
      <c r="AB2709" s="14">
        <f>IFERROR(IF(UPPER($E2709)="L",SUMPRODUCT(N2709:Y2709,$N$3:$Y$3,$N$2:$Y$2),SUMPRODUCT(N2709:Y2709,$N$4:$Y$4,$N$2:$Y$2))/(Z2709/($K2709*$L2709*$M2709)),"")</f>
        <v/>
      </c>
      <c r="AC2709" s="18" t="n"/>
    </row>
    <row r="2710">
      <c r="A2710" s="9" t="n">
        <v>666152</v>
      </c>
      <c r="B2710" s="9" t="inlineStr">
        <is>
          <t>David Hamilton</t>
        </is>
      </c>
      <c r="C2710" s="9" t="inlineStr">
        <is>
          <t>MIL</t>
        </is>
      </c>
      <c r="D2710" s="9" t="n">
        <v>29</v>
      </c>
      <c r="E2710" s="16" t="inlineStr">
        <is>
          <t>L</t>
        </is>
      </c>
      <c r="F2710" s="16" t="inlineStr">
        <is>
          <t>3B</t>
        </is>
      </c>
      <c r="G2710" s="9" t="n">
        <v>387</v>
      </c>
      <c r="H2710" s="9" t="n">
        <v>937</v>
      </c>
      <c r="I2710" s="9" t="inlineStr">
        <is>
          <t>Bench Bat</t>
        </is>
      </c>
      <c r="J2710" s="16" t="inlineStr">
        <is>
          <t>Opening Day</t>
        </is>
      </c>
      <c r="K2710" s="11">
        <f>IFERROR(INDEX(Roles!$B$17:$B$20,MATCH(J2710,Roles!$A$17:$A$20,0)),1)</f>
        <v/>
      </c>
      <c r="L2710" s="17" t="n">
        <v>1</v>
      </c>
      <c r="M2710" s="11" t="n">
        <v>1.135440279777575</v>
      </c>
      <c r="N2710" s="17" t="n"/>
      <c r="O2710" s="17" t="n"/>
      <c r="P2710" s="17" t="n"/>
      <c r="Q2710" s="17" t="n"/>
      <c r="R2710" s="17" t="n"/>
      <c r="S2710" s="17" t="n"/>
      <c r="T2710" s="17" t="n"/>
      <c r="U2710" s="17" t="n">
        <v>0.4</v>
      </c>
      <c r="V2710" s="17" t="n"/>
      <c r="W2710" s="17" t="n">
        <v>0.6</v>
      </c>
      <c r="X2710" s="17" t="n"/>
      <c r="Y2710" s="17" t="n"/>
      <c r="Z2710" s="13">
        <f>SUMPRODUCT(N2710:Y2710,$N$2:$Y$2)*$K2710*$L2710*$M2710</f>
        <v/>
      </c>
      <c r="AA2710" s="14">
        <f>SUM(N2710:Y2710)</f>
        <v/>
      </c>
      <c r="AB2710" s="14">
        <f>IFERROR(IF(UPPER($E2710)="L",SUMPRODUCT(N2710:Y2710,$N$3:$Y$3,$N$2:$Y$2),SUMPRODUCT(N2710:Y2710,$N$4:$Y$4,$N$2:$Y$2))/(Z2710/($K2710*$L2710*$M2710)),"")</f>
        <v/>
      </c>
      <c r="AC2710" s="18" t="n"/>
    </row>
    <row r="2711">
      <c r="A2711" s="9" t="n">
        <v>694514</v>
      </c>
      <c r="B2711" s="9" t="inlineStr">
        <is>
          <t>Sterlin Thompson</t>
        </is>
      </c>
      <c r="C2711" s="9" t="inlineStr">
        <is>
          <t>COL</t>
        </is>
      </c>
      <c r="D2711" s="9" t="n">
        <v>26</v>
      </c>
      <c r="E2711" s="16" t="inlineStr">
        <is>
          <t>L</t>
        </is>
      </c>
      <c r="F2711" s="16" t="inlineStr">
        <is>
          <t>LF</t>
        </is>
      </c>
      <c r="G2711" s="9" t="n">
        <v>77</v>
      </c>
      <c r="H2711" s="9" t="n">
        <v>77</v>
      </c>
      <c r="I2711" s="9" t="inlineStr">
        <is>
          <t>Injury Replacement / 26th Man</t>
        </is>
      </c>
      <c r="J2711" s="16" t="inlineStr">
        <is>
          <t>Opening Day</t>
        </is>
      </c>
      <c r="K2711" s="11">
        <f>IFERROR(INDEX(Roles!$B$17:$B$20,MATCH(J2711,Roles!$A$17:$A$20,0)),1)</f>
        <v/>
      </c>
      <c r="L2711" s="17" t="n">
        <v>1</v>
      </c>
      <c r="M2711" s="11" t="n">
        <v>1</v>
      </c>
      <c r="N2711" s="17" t="n"/>
      <c r="O2711" s="17" t="n"/>
      <c r="P2711" s="17" t="n"/>
      <c r="Q2711" s="17" t="n"/>
      <c r="R2711" s="17" t="n"/>
      <c r="S2711" s="17" t="n"/>
      <c r="T2711" s="17" t="n"/>
      <c r="U2711" s="17" t="n"/>
      <c r="V2711" s="17" t="n"/>
      <c r="W2711" s="17" t="n"/>
      <c r="X2711" s="17" t="n">
        <v>1</v>
      </c>
      <c r="Y2711" s="17" t="n"/>
      <c r="Z2711" s="13">
        <f>SUMPRODUCT(N2711:Y2711,$N$2:$Y$2)*$K2711*$L2711*$M2711</f>
        <v/>
      </c>
      <c r="AA2711" s="14">
        <f>SUM(N2711:Y2711)</f>
        <v/>
      </c>
      <c r="AB2711" s="14">
        <f>IFERROR(IF(UPPER($E2711)="L",SUMPRODUCT(N2711:Y2711,$N$3:$Y$3,$N$2:$Y$2),SUMPRODUCT(N2711:Y2711,$N$4:$Y$4,$N$2:$Y$2))/(Z2711/($K2711*$L2711*$M2711)),"")</f>
        <v/>
      </c>
      <c r="AC2711" s="18" t="n"/>
    </row>
    <row r="2712">
      <c r="A2712" s="9" t="n">
        <v>542963</v>
      </c>
      <c r="B2712" s="9" t="inlineStr">
        <is>
          <t>Rob Brantly</t>
        </is>
      </c>
      <c r="C2712" s="9" t="inlineStr">
        <is>
          <t>MIA</t>
        </is>
      </c>
      <c r="D2712" s="9" t="n">
        <v>37</v>
      </c>
      <c r="E2712" s="16" t="inlineStr">
        <is>
          <t>L</t>
        </is>
      </c>
      <c r="F2712" s="16" t="inlineStr">
        <is>
          <t>C</t>
        </is>
      </c>
      <c r="G2712" s="9" t="n">
        <v>7</v>
      </c>
      <c r="H2712" s="9" t="n">
        <v>19</v>
      </c>
      <c r="I2712" s="9" t="inlineStr">
        <is>
          <t>Depth (no MLB PA)</t>
        </is>
      </c>
      <c r="J2712" s="16" t="inlineStr">
        <is>
          <t>Opening Day</t>
        </is>
      </c>
      <c r="K2712" s="11">
        <f>IFERROR(INDEX(Roles!$B$17:$B$20,MATCH(J2712,Roles!$A$17:$A$20,0)),1)</f>
        <v/>
      </c>
      <c r="L2712" s="17" t="n">
        <v>1</v>
      </c>
      <c r="M2712" s="11" t="n">
        <v>1</v>
      </c>
      <c r="N2712" s="17" t="n"/>
      <c r="O2712" s="17" t="n"/>
      <c r="P2712" s="17" t="n"/>
      <c r="Q2712" s="17" t="n"/>
      <c r="R2712" s="17" t="n"/>
      <c r="S2712" s="17" t="n"/>
      <c r="T2712" s="17" t="n"/>
      <c r="U2712" s="17" t="n"/>
      <c r="V2712" s="17" t="n"/>
      <c r="W2712" s="17" t="n"/>
      <c r="X2712" s="17" t="n"/>
      <c r="Y2712" s="17" t="n">
        <v>1</v>
      </c>
      <c r="Z2712" s="13">
        <f>SUMPRODUCT(N2712:Y2712,$N$2:$Y$2)*$K2712*$L2712*$M2712</f>
        <v/>
      </c>
      <c r="AA2712" s="14">
        <f>SUM(N2712:Y2712)</f>
        <v/>
      </c>
      <c r="AB2712" s="14">
        <f>IFERROR(IF(UPPER($E2712)="L",SUMPRODUCT(N2712:Y2712,$N$3:$Y$3,$N$2:$Y$2),SUMPRODUCT(N2712:Y2712,$N$4:$Y$4,$N$2:$Y$2))/(Z2712/($K2712*$L2712*$M2712)),"")</f>
        <v/>
      </c>
      <c r="AC2712" s="18" t="n"/>
    </row>
    <row r="2713">
      <c r="A2713" s="9" t="n">
        <v>687478</v>
      </c>
      <c r="B2713" s="9" t="inlineStr">
        <is>
          <t>Cam Devanney</t>
        </is>
      </c>
      <c r="C2713" s="9" t="inlineStr">
        <is>
          <t>PIT</t>
        </is>
      </c>
      <c r="D2713" s="9" t="n">
        <v>30</v>
      </c>
      <c r="E2713" s="16" t="inlineStr">
        <is>
          <t>R</t>
        </is>
      </c>
      <c r="F2713" s="16" t="inlineStr">
        <is>
          <t>3B</t>
        </is>
      </c>
      <c r="G2713" s="9" t="n">
        <v>38</v>
      </c>
      <c r="H2713" s="9" t="n">
        <v>38</v>
      </c>
      <c r="I2713" s="9" t="inlineStr">
        <is>
          <t>Bench Bat</t>
        </is>
      </c>
      <c r="J2713" s="16" t="inlineStr">
        <is>
          <t>Opening Day</t>
        </is>
      </c>
      <c r="K2713" s="11">
        <f>IFERROR(INDEX(Roles!$B$17:$B$20,MATCH(J2713,Roles!$A$17:$A$20,0)),1)</f>
        <v/>
      </c>
      <c r="L2713" s="17" t="n">
        <v>1</v>
      </c>
      <c r="M2713" s="11" t="n">
        <v>1</v>
      </c>
      <c r="N2713" s="17" t="n"/>
      <c r="O2713" s="17" t="n"/>
      <c r="P2713" s="17" t="n"/>
      <c r="Q2713" s="17" t="n"/>
      <c r="R2713" s="17" t="n"/>
      <c r="S2713" s="17" t="n"/>
      <c r="T2713" s="17" t="n"/>
      <c r="U2713" s="17" t="n"/>
      <c r="V2713" s="17" t="n"/>
      <c r="W2713" s="17" t="n">
        <v>1</v>
      </c>
      <c r="X2713" s="17" t="n"/>
      <c r="Y2713" s="17" t="n"/>
      <c r="Z2713" s="13">
        <f>SUMPRODUCT(N2713:Y2713,$N$2:$Y$2)*$K2713*$L2713*$M2713</f>
        <v/>
      </c>
      <c r="AA2713" s="14">
        <f>SUM(N2713:Y2713)</f>
        <v/>
      </c>
      <c r="AB2713" s="14">
        <f>IFERROR(IF(UPPER($E2713)="L",SUMPRODUCT(N2713:Y2713,$N$3:$Y$3,$N$2:$Y$2),SUMPRODUCT(N2713:Y2713,$N$4:$Y$4,$N$2:$Y$2))/(Z2713/($K2713*$L2713*$M2713)),"")</f>
        <v/>
      </c>
      <c r="AC2713" s="18" t="n"/>
    </row>
    <row r="2714">
      <c r="A2714" s="9" t="n">
        <v>666150</v>
      </c>
      <c r="B2714" s="9" t="inlineStr">
        <is>
          <t>Dominic Fletcher</t>
        </is>
      </c>
      <c r="C2714" s="9" t="inlineStr">
        <is>
          <t>CWS</t>
        </is>
      </c>
      <c r="D2714" s="9" t="n">
        <v>29</v>
      </c>
      <c r="E2714" s="16" t="inlineStr">
        <is>
          <t>L</t>
        </is>
      </c>
      <c r="F2714" s="16" t="inlineStr">
        <is>
          <t>RF</t>
        </is>
      </c>
      <c r="G2714" s="9" t="n">
        <v>34</v>
      </c>
      <c r="H2714" s="9" t="n">
        <v>377</v>
      </c>
      <c r="I2714" s="9" t="inlineStr">
        <is>
          <t>Bench Bat</t>
        </is>
      </c>
      <c r="J2714" s="16" t="inlineStr">
        <is>
          <t>Opening Day</t>
        </is>
      </c>
      <c r="K2714" s="11">
        <f>IFERROR(INDEX(Roles!$B$17:$B$20,MATCH(J2714,Roles!$A$17:$A$20,0)),1)</f>
        <v/>
      </c>
      <c r="L2714" s="17" t="n">
        <v>1</v>
      </c>
      <c r="M2714" s="11" t="n">
        <v>1</v>
      </c>
      <c r="N2714" s="17" t="n"/>
      <c r="O2714" s="17" t="n"/>
      <c r="P2714" s="17" t="n"/>
      <c r="Q2714" s="17" t="n"/>
      <c r="R2714" s="17" t="n"/>
      <c r="S2714" s="17" t="n"/>
      <c r="T2714" s="17" t="n"/>
      <c r="U2714" s="17" t="n"/>
      <c r="V2714" s="17" t="n"/>
      <c r="W2714" s="17" t="n">
        <v>1</v>
      </c>
      <c r="X2714" s="17" t="n"/>
      <c r="Y2714" s="17" t="n"/>
      <c r="Z2714" s="13">
        <f>SUMPRODUCT(N2714:Y2714,$N$2:$Y$2)*$K2714*$L2714*$M2714</f>
        <v/>
      </c>
      <c r="AA2714" s="14">
        <f>SUM(N2714:Y2714)</f>
        <v/>
      </c>
      <c r="AB2714" s="14">
        <f>IFERROR(IF(UPPER($E2714)="L",SUMPRODUCT(N2714:Y2714,$N$3:$Y$3,$N$2:$Y$2),SUMPRODUCT(N2714:Y2714,$N$4:$Y$4,$N$2:$Y$2))/(Z2714/($K2714*$L2714*$M2714)),"")</f>
        <v/>
      </c>
      <c r="AC2714" s="18" t="n"/>
    </row>
    <row r="2715">
      <c r="A2715" s="9" t="n">
        <v>641511</v>
      </c>
      <c r="B2715" s="9" t="inlineStr">
        <is>
          <t>Jason Delay</t>
        </is>
      </c>
      <c r="C2715" s="9" t="inlineStr">
        <is>
          <t>PIT</t>
        </is>
      </c>
      <c r="D2715" s="9" t="n">
        <v>32</v>
      </c>
      <c r="E2715" s="16" t="inlineStr">
        <is>
          <t>R</t>
        </is>
      </c>
      <c r="F2715" s="16" t="inlineStr">
        <is>
          <t>C</t>
        </is>
      </c>
      <c r="G2715" s="9" t="n">
        <v>19</v>
      </c>
      <c r="H2715" s="9" t="n">
        <v>373</v>
      </c>
      <c r="I2715" s="9" t="inlineStr">
        <is>
          <t>Depth (no MLB PA)</t>
        </is>
      </c>
      <c r="J2715" s="16" t="inlineStr">
        <is>
          <t>Opening Day</t>
        </is>
      </c>
      <c r="K2715" s="11">
        <f>IFERROR(INDEX(Roles!$B$17:$B$20,MATCH(J2715,Roles!$A$17:$A$20,0)),1)</f>
        <v/>
      </c>
      <c r="L2715" s="17" t="n">
        <v>1</v>
      </c>
      <c r="M2715" s="11" t="n">
        <v>1</v>
      </c>
      <c r="N2715" s="17" t="n"/>
      <c r="O2715" s="17" t="n"/>
      <c r="P2715" s="17" t="n"/>
      <c r="Q2715" s="17" t="n"/>
      <c r="R2715" s="17" t="n"/>
      <c r="S2715" s="17" t="n"/>
      <c r="T2715" s="17" t="n"/>
      <c r="U2715" s="17" t="n"/>
      <c r="V2715" s="17" t="n"/>
      <c r="W2715" s="17" t="n"/>
      <c r="X2715" s="17" t="n"/>
      <c r="Y2715" s="17" t="n">
        <v>1</v>
      </c>
      <c r="Z2715" s="13">
        <f>SUMPRODUCT(N2715:Y2715,$N$2:$Y$2)*$K2715*$L2715*$M2715</f>
        <v/>
      </c>
      <c r="AA2715" s="14">
        <f>SUM(N2715:Y2715)</f>
        <v/>
      </c>
      <c r="AB2715" s="14">
        <f>IFERROR(IF(UPPER($E2715)="L",SUMPRODUCT(N2715:Y2715,$N$3:$Y$3,$N$2:$Y$2),SUMPRODUCT(N2715:Y2715,$N$4:$Y$4,$N$2:$Y$2))/(Z2715/($K2715*$L2715*$M2715)),"")</f>
        <v/>
      </c>
      <c r="AC2715" s="18" t="n"/>
    </row>
    <row r="2716">
      <c r="A2716" s="9" t="n">
        <v>665782</v>
      </c>
      <c r="B2716" s="9" t="inlineStr">
        <is>
          <t>Luis De Los Santos</t>
        </is>
      </c>
      <c r="C2716" s="9" t="inlineStr">
        <is>
          <t>TOR</t>
        </is>
      </c>
      <c r="D2716" s="9" t="n">
        <v>29</v>
      </c>
      <c r="E2716" s="16" t="inlineStr">
        <is>
          <t>R</t>
        </is>
      </c>
      <c r="F2716" s="16" t="inlineStr">
        <is>
          <t>3B</t>
        </is>
      </c>
      <c r="G2716" s="9" t="n">
        <v>31</v>
      </c>
      <c r="H2716" s="9" t="n">
        <v>31</v>
      </c>
      <c r="I2716" s="9" t="inlineStr">
        <is>
          <t>Depth (no MLB PA)</t>
        </is>
      </c>
      <c r="J2716" s="16" t="inlineStr">
        <is>
          <t>Opening Day</t>
        </is>
      </c>
      <c r="K2716" s="11">
        <f>IFERROR(INDEX(Roles!$B$17:$B$20,MATCH(J2716,Roles!$A$17:$A$20,0)),1)</f>
        <v/>
      </c>
      <c r="L2716" s="17" t="n">
        <v>1</v>
      </c>
      <c r="M2716" s="11" t="n">
        <v>1</v>
      </c>
      <c r="N2716" s="17" t="n"/>
      <c r="O2716" s="17" t="n"/>
      <c r="P2716" s="17" t="n"/>
      <c r="Q2716" s="17" t="n"/>
      <c r="R2716" s="17" t="n"/>
      <c r="S2716" s="17" t="n"/>
      <c r="T2716" s="17" t="n"/>
      <c r="U2716" s="17" t="n"/>
      <c r="V2716" s="17" t="n"/>
      <c r="W2716" s="17" t="n"/>
      <c r="X2716" s="17" t="n"/>
      <c r="Y2716" s="17" t="n">
        <v>1</v>
      </c>
      <c r="Z2716" s="13">
        <f>SUMPRODUCT(N2716:Y2716,$N$2:$Y$2)*$K2716*$L2716*$M2716</f>
        <v/>
      </c>
      <c r="AA2716" s="14">
        <f>SUM(N2716:Y2716)</f>
        <v/>
      </c>
      <c r="AB2716" s="14">
        <f>IFERROR(IF(UPPER($E2716)="L",SUMPRODUCT(N2716:Y2716,$N$3:$Y$3,$N$2:$Y$2),SUMPRODUCT(N2716:Y2716,$N$4:$Y$4,$N$2:$Y$2))/(Z2716/($K2716*$L2716*$M2716)),"")</f>
        <v/>
      </c>
      <c r="AC2716" s="18" t="n"/>
    </row>
    <row r="2717">
      <c r="A2717" s="9" t="n">
        <v>669717</v>
      </c>
      <c r="B2717" s="9" t="inlineStr">
        <is>
          <t>Will Wilson</t>
        </is>
      </c>
      <c r="C2717" s="9" t="inlineStr">
        <is>
          <t>CLE</t>
        </is>
      </c>
      <c r="D2717" s="9" t="n">
        <v>28</v>
      </c>
      <c r="E2717" s="16" t="inlineStr">
        <is>
          <t>R</t>
        </is>
      </c>
      <c r="F2717" s="16" t="inlineStr">
        <is>
          <t>3B</t>
        </is>
      </c>
      <c r="G2717" s="9" t="n">
        <v>6</v>
      </c>
      <c r="H2717" s="9" t="n">
        <v>97</v>
      </c>
      <c r="I2717" s="9" t="inlineStr">
        <is>
          <t>Bench Bat</t>
        </is>
      </c>
      <c r="J2717" s="16" t="inlineStr">
        <is>
          <t>Opening Day</t>
        </is>
      </c>
      <c r="K2717" s="11">
        <f>IFERROR(INDEX(Roles!$B$17:$B$20,MATCH(J2717,Roles!$A$17:$A$20,0)),1)</f>
        <v/>
      </c>
      <c r="L2717" s="17" t="n">
        <v>1</v>
      </c>
      <c r="M2717" s="11" t="n">
        <v>1</v>
      </c>
      <c r="N2717" s="17" t="n"/>
      <c r="O2717" s="17" t="n"/>
      <c r="P2717" s="17" t="n"/>
      <c r="Q2717" s="17" t="n"/>
      <c r="R2717" s="17" t="n"/>
      <c r="S2717" s="17" t="n"/>
      <c r="T2717" s="17" t="n"/>
      <c r="U2717" s="17" t="n"/>
      <c r="V2717" s="17" t="n"/>
      <c r="W2717" s="17" t="n">
        <v>0.85</v>
      </c>
      <c r="X2717" s="17" t="n">
        <v>0.15</v>
      </c>
      <c r="Y2717" s="17" t="n"/>
      <c r="Z2717" s="13">
        <f>SUMPRODUCT(N2717:Y2717,$N$2:$Y$2)*$K2717*$L2717*$M2717</f>
        <v/>
      </c>
      <c r="AA2717" s="14">
        <f>SUM(N2717:Y2717)</f>
        <v/>
      </c>
      <c r="AB2717" s="14">
        <f>IFERROR(IF(UPPER($E2717)="L",SUMPRODUCT(N2717:Y2717,$N$3:$Y$3,$N$2:$Y$2),SUMPRODUCT(N2717:Y2717,$N$4:$Y$4,$N$2:$Y$2))/(Z2717/($K2717*$L2717*$M2717)),"")</f>
        <v/>
      </c>
      <c r="AC2717" s="18" t="n"/>
    </row>
    <row r="2718">
      <c r="A2718" s="9" t="n">
        <v>702176</v>
      </c>
      <c r="B2718" s="9" t="inlineStr">
        <is>
          <t>Alan Roden</t>
        </is>
      </c>
      <c r="C2718" s="9" t="inlineStr">
        <is>
          <t>MIN</t>
        </is>
      </c>
      <c r="D2718" s="9" t="n">
        <v>27</v>
      </c>
      <c r="E2718" s="16" t="inlineStr">
        <is>
          <t>L</t>
        </is>
      </c>
      <c r="F2718" s="16" t="inlineStr">
        <is>
          <t>RF</t>
        </is>
      </c>
      <c r="G2718" s="9" t="n">
        <v>94</v>
      </c>
      <c r="H2718" s="9" t="n">
        <v>247</v>
      </c>
      <c r="I2718" s="9" t="inlineStr">
        <is>
          <t>Bench Bat</t>
        </is>
      </c>
      <c r="J2718" s="16" t="inlineStr">
        <is>
          <t>Opening Day</t>
        </is>
      </c>
      <c r="K2718" s="11">
        <f>IFERROR(INDEX(Roles!$B$17:$B$20,MATCH(J2718,Roles!$A$17:$A$20,0)),1)</f>
        <v/>
      </c>
      <c r="L2718" s="17" t="n">
        <v>1</v>
      </c>
      <c r="M2718" s="11" t="n">
        <v>1</v>
      </c>
      <c r="N2718" s="17" t="n"/>
      <c r="O2718" s="17" t="n"/>
      <c r="P2718" s="17" t="n"/>
      <c r="Q2718" s="17" t="n"/>
      <c r="R2718" s="17" t="n"/>
      <c r="S2718" s="17" t="n"/>
      <c r="T2718" s="17" t="n"/>
      <c r="U2718" s="17" t="n"/>
      <c r="V2718" s="17" t="n">
        <v>0.4</v>
      </c>
      <c r="W2718" s="17" t="n">
        <v>0.6</v>
      </c>
      <c r="X2718" s="17" t="n"/>
      <c r="Y2718" s="17" t="n"/>
      <c r="Z2718" s="13">
        <f>SUMPRODUCT(N2718:Y2718,$N$2:$Y$2)*$K2718*$L2718*$M2718</f>
        <v/>
      </c>
      <c r="AA2718" s="14">
        <f>SUM(N2718:Y2718)</f>
        <v/>
      </c>
      <c r="AB2718" s="14">
        <f>IFERROR(IF(UPPER($E2718)="L",SUMPRODUCT(N2718:Y2718,$N$3:$Y$3,$N$2:$Y$2),SUMPRODUCT(N2718:Y2718,$N$4:$Y$4,$N$2:$Y$2))/(Z2718/($K2718*$L2718*$M2718)),"")</f>
        <v/>
      </c>
      <c r="AC2718" s="18" t="n"/>
    </row>
    <row r="2719">
      <c r="A2719" s="9" t="n">
        <v>624415</v>
      </c>
      <c r="B2719" s="9" t="inlineStr">
        <is>
          <t>Cavan Biggio</t>
        </is>
      </c>
      <c r="C2719" s="9" t="inlineStr">
        <is>
          <t>KC</t>
        </is>
      </c>
      <c r="D2719" s="9" t="n">
        <v>32</v>
      </c>
      <c r="E2719" s="16" t="inlineStr">
        <is>
          <t>L</t>
        </is>
      </c>
      <c r="F2719" s="16" t="inlineStr">
        <is>
          <t>1B</t>
        </is>
      </c>
      <c r="G2719" s="9" t="n">
        <v>83</v>
      </c>
      <c r="H2719" s="9" t="n">
        <v>948</v>
      </c>
      <c r="I2719" s="9" t="inlineStr">
        <is>
          <t>Bench Bat</t>
        </is>
      </c>
      <c r="J2719" s="16" t="inlineStr">
        <is>
          <t>Opening Day</t>
        </is>
      </c>
      <c r="K2719" s="11">
        <f>IFERROR(INDEX(Roles!$B$17:$B$20,MATCH(J2719,Roles!$A$17:$A$20,0)),1)</f>
        <v/>
      </c>
      <c r="L2719" s="17" t="n">
        <v>1</v>
      </c>
      <c r="M2719" s="11" t="n">
        <v>1</v>
      </c>
      <c r="N2719" s="17" t="n"/>
      <c r="O2719" s="17" t="n"/>
      <c r="P2719" s="17" t="n"/>
      <c r="Q2719" s="17" t="n"/>
      <c r="R2719" s="17" t="n"/>
      <c r="S2719" s="17" t="n"/>
      <c r="T2719" s="17" t="n"/>
      <c r="U2719" s="17" t="n"/>
      <c r="V2719" s="17" t="n"/>
      <c r="W2719" s="17" t="n">
        <v>1</v>
      </c>
      <c r="X2719" s="17" t="n"/>
      <c r="Y2719" s="17" t="n"/>
      <c r="Z2719" s="13">
        <f>SUMPRODUCT(N2719:Y2719,$N$2:$Y$2)*$K2719*$L2719*$M2719</f>
        <v/>
      </c>
      <c r="AA2719" s="14">
        <f>SUM(N2719:Y2719)</f>
        <v/>
      </c>
      <c r="AB2719" s="14">
        <f>IFERROR(IF(UPPER($E2719)="L",SUMPRODUCT(N2719:Y2719,$N$3:$Y$3,$N$2:$Y$2),SUMPRODUCT(N2719:Y2719,$N$4:$Y$4,$N$2:$Y$2))/(Z2719/($K2719*$L2719*$M2719)),"")</f>
        <v/>
      </c>
      <c r="AC2719" s="18" t="n"/>
    </row>
    <row r="2720">
      <c r="A2720" s="9" t="n">
        <v>808982</v>
      </c>
      <c r="B2720" s="9" t="inlineStr">
        <is>
          <t>Jung Hoo Lee</t>
        </is>
      </c>
      <c r="C2720" s="9" t="inlineStr">
        <is>
          <t>SF</t>
        </is>
      </c>
      <c r="D2720" s="9" t="n">
        <v>28</v>
      </c>
      <c r="E2720" s="16" t="inlineStr">
        <is>
          <t>L</t>
        </is>
      </c>
      <c r="F2720" s="16" t="inlineStr">
        <is>
          <t>RF</t>
        </is>
      </c>
      <c r="G2720" s="9" t="n">
        <v>579</v>
      </c>
      <c r="H2720" s="9" t="n">
        <v>1354</v>
      </c>
      <c r="I2720" s="9" t="inlineStr">
        <is>
          <t>Full Time</t>
        </is>
      </c>
      <c r="J2720" s="16" t="inlineStr">
        <is>
          <t>Opening Day</t>
        </is>
      </c>
      <c r="K2720" s="11">
        <f>IFERROR(INDEX(Roles!$B$17:$B$20,MATCH(J2720,Roles!$A$17:$A$20,0)),1)</f>
        <v/>
      </c>
      <c r="L2720" s="17" t="n">
        <v>1</v>
      </c>
      <c r="M2720" s="11" t="n">
        <v>1.042646830327862</v>
      </c>
      <c r="N2720" s="17" t="n">
        <v>1</v>
      </c>
      <c r="O2720" s="17" t="n"/>
      <c r="P2720" s="17" t="n"/>
      <c r="Q2720" s="17" t="n"/>
      <c r="R2720" s="17" t="n"/>
      <c r="S2720" s="17" t="n"/>
      <c r="T2720" s="17" t="n"/>
      <c r="U2720" s="17" t="n"/>
      <c r="V2720" s="17" t="n"/>
      <c r="W2720" s="17" t="n"/>
      <c r="X2720" s="17" t="n"/>
      <c r="Y2720" s="17" t="n"/>
      <c r="Z2720" s="13">
        <f>SUMPRODUCT(N2720:Y2720,$N$2:$Y$2)*$K2720*$L2720*$M2720</f>
        <v/>
      </c>
      <c r="AA2720" s="14">
        <f>SUM(N2720:Y2720)</f>
        <v/>
      </c>
      <c r="AB2720" s="14">
        <f>IFERROR(IF(UPPER($E2720)="L",SUMPRODUCT(N2720:Y2720,$N$3:$Y$3,$N$2:$Y$2),SUMPRODUCT(N2720:Y2720,$N$4:$Y$4,$N$2:$Y$2))/(Z2720/($K2720*$L2720*$M2720)),"")</f>
        <v/>
      </c>
      <c r="AC2720" s="18" t="n"/>
    </row>
    <row r="2721">
      <c r="A2721" s="9" t="n">
        <v>693304</v>
      </c>
      <c r="B2721" s="9" t="inlineStr">
        <is>
          <t>Nick Gonzales</t>
        </is>
      </c>
      <c r="C2721" s="9" t="inlineStr">
        <is>
          <t>PIT</t>
        </is>
      </c>
      <c r="D2721" s="9" t="n">
        <v>28</v>
      </c>
      <c r="E2721" s="16" t="inlineStr">
        <is>
          <t>R</t>
        </is>
      </c>
      <c r="F2721" s="16" t="inlineStr">
        <is>
          <t>3B</t>
        </is>
      </c>
      <c r="G2721" s="9" t="n">
        <v>608</v>
      </c>
      <c r="H2721" s="9" t="n">
        <v>1531</v>
      </c>
      <c r="I2721" s="9" t="inlineStr">
        <is>
          <t>Full Time</t>
        </is>
      </c>
      <c r="J2721" s="16" t="inlineStr">
        <is>
          <t>Opening Day</t>
        </is>
      </c>
      <c r="K2721" s="11">
        <f>IFERROR(INDEX(Roles!$B$17:$B$20,MATCH(J2721,Roles!$A$17:$A$20,0)),1)</f>
        <v/>
      </c>
      <c r="L2721" s="17" t="n">
        <v>1</v>
      </c>
      <c r="M2721" s="11" t="n">
        <v>1.03584719634993</v>
      </c>
      <c r="N2721" s="17" t="n">
        <v>0.85</v>
      </c>
      <c r="O2721" s="17" t="n"/>
      <c r="P2721" s="17" t="n">
        <v>0.15</v>
      </c>
      <c r="Q2721" s="17" t="n"/>
      <c r="R2721" s="17" t="n"/>
      <c r="S2721" s="17" t="n"/>
      <c r="T2721" s="17" t="n"/>
      <c r="U2721" s="17" t="n"/>
      <c r="V2721" s="17" t="n"/>
      <c r="W2721" s="17" t="n"/>
      <c r="X2721" s="17" t="n"/>
      <c r="Y2721" s="17" t="n"/>
      <c r="Z2721" s="13">
        <f>SUMPRODUCT(N2721:Y2721,$N$2:$Y$2)*$K2721*$L2721*$M2721</f>
        <v/>
      </c>
      <c r="AA2721" s="14">
        <f>SUM(N2721:Y2721)</f>
        <v/>
      </c>
      <c r="AB2721" s="14">
        <f>IFERROR(IF(UPPER($E2721)="L",SUMPRODUCT(N2721:Y2721,$N$3:$Y$3,$N$2:$Y$2),SUMPRODUCT(N2721:Y2721,$N$4:$Y$4,$N$2:$Y$2))/(Z2721/($K2721*$L2721*$M2721)),"")</f>
        <v/>
      </c>
      <c r="AC2721" s="18" t="n"/>
    </row>
    <row r="2722">
      <c r="A2722" s="9" t="n">
        <v>595751</v>
      </c>
      <c r="B2722" s="9" t="inlineStr">
        <is>
          <t>Jorge Alfaro</t>
        </is>
      </c>
      <c r="C2722" s="9" t="inlineStr">
        <is>
          <t>WSH</t>
        </is>
      </c>
      <c r="D2722" s="9" t="n">
        <v>34</v>
      </c>
      <c r="E2722" s="16" t="inlineStr">
        <is>
          <t>R</t>
        </is>
      </c>
      <c r="F2722" s="16" t="inlineStr">
        <is>
          <t>C</t>
        </is>
      </c>
      <c r="G2722" s="9" t="n">
        <v>39</v>
      </c>
      <c r="H2722" s="9" t="n">
        <v>365</v>
      </c>
      <c r="I2722" s="9" t="inlineStr">
        <is>
          <t>Catcher - Backup</t>
        </is>
      </c>
      <c r="J2722" s="16" t="inlineStr">
        <is>
          <t>Opening Day</t>
        </is>
      </c>
      <c r="K2722" s="11">
        <f>IFERROR(INDEX(Roles!$B$17:$B$20,MATCH(J2722,Roles!$A$17:$A$20,0)),1)</f>
        <v/>
      </c>
      <c r="L2722" s="17" t="n">
        <v>1</v>
      </c>
      <c r="M2722" s="11" t="n">
        <v>1</v>
      </c>
      <c r="N2722" s="17" t="n"/>
      <c r="O2722" s="17" t="n"/>
      <c r="P2722" s="17" t="n"/>
      <c r="Q2722" s="17" t="n"/>
      <c r="R2722" s="17" t="n"/>
      <c r="S2722" s="17" t="n"/>
      <c r="T2722" s="17" t="n">
        <v>1</v>
      </c>
      <c r="U2722" s="17" t="n"/>
      <c r="V2722" s="17" t="n"/>
      <c r="W2722" s="17" t="n"/>
      <c r="X2722" s="17" t="n"/>
      <c r="Y2722" s="17" t="n"/>
      <c r="Z2722" s="13">
        <f>SUMPRODUCT(N2722:Y2722,$N$2:$Y$2)*$K2722*$L2722*$M2722</f>
        <v/>
      </c>
      <c r="AA2722" s="14">
        <f>SUM(N2722:Y2722)</f>
        <v/>
      </c>
      <c r="AB2722" s="14">
        <f>IFERROR(IF(UPPER($E2722)="L",SUMPRODUCT(N2722:Y2722,$N$3:$Y$3,$N$2:$Y$2),SUMPRODUCT(N2722:Y2722,$N$4:$Y$4,$N$2:$Y$2))/(Z2722/($K2722*$L2722*$M2722)),"")</f>
        <v/>
      </c>
      <c r="AC2722" s="18" t="n"/>
    </row>
    <row r="2723">
      <c r="A2723" s="9" t="n">
        <v>668942</v>
      </c>
      <c r="B2723" s="9" t="inlineStr">
        <is>
          <t>Josh Rojas</t>
        </is>
      </c>
      <c r="C2723" s="9" t="inlineStr">
        <is>
          <t>KC</t>
        </is>
      </c>
      <c r="D2723" s="9" t="n">
        <v>33</v>
      </c>
      <c r="E2723" s="16" t="inlineStr">
        <is>
          <t>L</t>
        </is>
      </c>
      <c r="F2723" s="16" t="inlineStr">
        <is>
          <t>3B</t>
        </is>
      </c>
      <c r="G2723" s="9" t="n">
        <v>115</v>
      </c>
      <c r="H2723" s="9" t="n">
        <v>1662</v>
      </c>
      <c r="I2723" s="9" t="inlineStr">
        <is>
          <t>Bench Bat</t>
        </is>
      </c>
      <c r="J2723" s="16" t="inlineStr">
        <is>
          <t>Opening Day</t>
        </is>
      </c>
      <c r="K2723" s="11">
        <f>IFERROR(INDEX(Roles!$B$17:$B$20,MATCH(J2723,Roles!$A$17:$A$20,0)),1)</f>
        <v/>
      </c>
      <c r="L2723" s="17" t="n">
        <v>1</v>
      </c>
      <c r="M2723" s="11" t="n">
        <v>0.8855378284607435</v>
      </c>
      <c r="N2723" s="17" t="n"/>
      <c r="O2723" s="17" t="n"/>
      <c r="P2723" s="17" t="n"/>
      <c r="Q2723" s="17" t="n"/>
      <c r="R2723" s="17" t="n"/>
      <c r="S2723" s="17" t="n"/>
      <c r="T2723" s="17" t="n"/>
      <c r="U2723" s="17" t="n">
        <v>0.4</v>
      </c>
      <c r="V2723" s="17" t="n"/>
      <c r="W2723" s="17" t="n">
        <v>0.6</v>
      </c>
      <c r="X2723" s="17" t="n"/>
      <c r="Y2723" s="17" t="n"/>
      <c r="Z2723" s="13">
        <f>SUMPRODUCT(N2723:Y2723,$N$2:$Y$2)*$K2723*$L2723*$M2723</f>
        <v/>
      </c>
      <c r="AA2723" s="14">
        <f>SUM(N2723:Y2723)</f>
        <v/>
      </c>
      <c r="AB2723" s="14">
        <f>IFERROR(IF(UPPER($E2723)="L",SUMPRODUCT(N2723:Y2723,$N$3:$Y$3,$N$2:$Y$2),SUMPRODUCT(N2723:Y2723,$N$4:$Y$4,$N$2:$Y$2))/(Z2723/($K2723*$L2723*$M2723)),"")</f>
        <v/>
      </c>
      <c r="AC2723" s="18" t="n"/>
    </row>
    <row r="2724">
      <c r="A2724" s="9" t="n">
        <v>663647</v>
      </c>
      <c r="B2724" s="9" t="inlineStr">
        <is>
          <t>Ke'Bryan Hayes</t>
        </is>
      </c>
      <c r="C2724" s="9" t="inlineStr">
        <is>
          <t>CIN</t>
        </is>
      </c>
      <c r="D2724" s="9" t="n">
        <v>30</v>
      </c>
      <c r="E2724" s="16" t="inlineStr">
        <is>
          <t>R</t>
        </is>
      </c>
      <c r="F2724" s="16" t="inlineStr">
        <is>
          <t>3B</t>
        </is>
      </c>
      <c r="G2724" s="9" t="n">
        <v>242</v>
      </c>
      <c r="H2724" s="9" t="n">
        <v>2293</v>
      </c>
      <c r="I2724" s="9" t="inlineStr">
        <is>
          <t>Strong Side Platoon</t>
        </is>
      </c>
      <c r="J2724" s="16" t="inlineStr">
        <is>
          <t>Opening Day</t>
        </is>
      </c>
      <c r="K2724" s="11">
        <f>IFERROR(INDEX(Roles!$B$17:$B$20,MATCH(J2724,Roles!$A$17:$A$20,0)),1)</f>
        <v/>
      </c>
      <c r="L2724" s="17" t="n">
        <v>1</v>
      </c>
      <c r="M2724" s="11" t="n">
        <v>1.001811383989457</v>
      </c>
      <c r="N2724" s="17" t="n">
        <v>0.4</v>
      </c>
      <c r="O2724" s="17" t="n"/>
      <c r="P2724" s="17" t="n">
        <v>0.6</v>
      </c>
      <c r="Q2724" s="17" t="n"/>
      <c r="R2724" s="17" t="n"/>
      <c r="S2724" s="17" t="n"/>
      <c r="T2724" s="17" t="n"/>
      <c r="U2724" s="17" t="n"/>
      <c r="V2724" s="17" t="n"/>
      <c r="W2724" s="17" t="n"/>
      <c r="X2724" s="17" t="n"/>
      <c r="Y2724" s="17" t="n"/>
      <c r="Z2724" s="13">
        <f>SUMPRODUCT(N2724:Y2724,$N$2:$Y$2)*$K2724*$L2724*$M2724</f>
        <v/>
      </c>
      <c r="AA2724" s="14">
        <f>SUM(N2724:Y2724)</f>
        <v/>
      </c>
      <c r="AB2724" s="14">
        <f>IFERROR(IF(UPPER($E2724)="L",SUMPRODUCT(N2724:Y2724,$N$3:$Y$3,$N$2:$Y$2),SUMPRODUCT(N2724:Y2724,$N$4:$Y$4,$N$2:$Y$2))/(Z2724/($K2724*$L2724*$M2724)),"")</f>
        <v/>
      </c>
      <c r="AC2724" s="18" t="n"/>
    </row>
    <row r="2725">
      <c r="A2725" s="9" t="n">
        <v>675448</v>
      </c>
      <c r="B2725" s="9" t="inlineStr">
        <is>
          <t>Blake Hunt</t>
        </is>
      </c>
      <c r="C2725" s="9" t="inlineStr">
        <is>
          <t>SD</t>
        </is>
      </c>
      <c r="D2725" s="9" t="n">
        <v>28</v>
      </c>
      <c r="E2725" s="16" t="inlineStr">
        <is>
          <t>R</t>
        </is>
      </c>
      <c r="F2725" s="16" t="inlineStr">
        <is>
          <t>C</t>
        </is>
      </c>
      <c r="G2725" s="9" t="n">
        <v>3</v>
      </c>
      <c r="H2725" s="9" t="n">
        <v>3</v>
      </c>
      <c r="I2725" s="9" t="inlineStr">
        <is>
          <t>Depth (no MLB PA)</t>
        </is>
      </c>
      <c r="J2725" s="16" t="inlineStr">
        <is>
          <t>Opening Day</t>
        </is>
      </c>
      <c r="K2725" s="11">
        <f>IFERROR(INDEX(Roles!$B$17:$B$20,MATCH(J2725,Roles!$A$17:$A$20,0)),1)</f>
        <v/>
      </c>
      <c r="L2725" s="17" t="n">
        <v>1</v>
      </c>
      <c r="M2725" s="11" t="n">
        <v>1</v>
      </c>
      <c r="N2725" s="17" t="n"/>
      <c r="O2725" s="17" t="n"/>
      <c r="P2725" s="17" t="n"/>
      <c r="Q2725" s="17" t="n"/>
      <c r="R2725" s="17" t="n"/>
      <c r="S2725" s="17" t="n"/>
      <c r="T2725" s="17" t="n"/>
      <c r="U2725" s="17" t="n"/>
      <c r="V2725" s="17" t="n"/>
      <c r="W2725" s="17" t="n"/>
      <c r="X2725" s="17" t="n"/>
      <c r="Y2725" s="17" t="n">
        <v>1</v>
      </c>
      <c r="Z2725" s="13">
        <f>SUMPRODUCT(N2725:Y2725,$N$2:$Y$2)*$K2725*$L2725*$M2725</f>
        <v/>
      </c>
      <c r="AA2725" s="14">
        <f>SUM(N2725:Y2725)</f>
        <v/>
      </c>
      <c r="AB2725" s="14">
        <f>IFERROR(IF(UPPER($E2725)="L",SUMPRODUCT(N2725:Y2725,$N$3:$Y$3,$N$2:$Y$2),SUMPRODUCT(N2725:Y2725,$N$4:$Y$4,$N$2:$Y$2))/(Z2725/($K2725*$L2725*$M2725)),"")</f>
        <v/>
      </c>
      <c r="AC2725" s="18" t="n"/>
    </row>
    <row r="2726">
      <c r="A2726" s="9" t="n">
        <v>690987</v>
      </c>
      <c r="B2726" s="9" t="inlineStr">
        <is>
          <t>Robert Hassell III</t>
        </is>
      </c>
      <c r="C2726" s="9" t="inlineStr">
        <is>
          <t>WSH</t>
        </is>
      </c>
      <c r="D2726" s="9" t="n">
        <v>25</v>
      </c>
      <c r="E2726" s="16" t="inlineStr">
        <is>
          <t>L</t>
        </is>
      </c>
      <c r="F2726" s="16" t="inlineStr">
        <is>
          <t>CF</t>
        </is>
      </c>
      <c r="G2726" s="9" t="n">
        <v>206</v>
      </c>
      <c r="H2726" s="9" t="n">
        <v>206</v>
      </c>
      <c r="I2726" s="9" t="inlineStr">
        <is>
          <t>Bench Bat</t>
        </is>
      </c>
      <c r="J2726" s="16" t="inlineStr">
        <is>
          <t>Opening Day</t>
        </is>
      </c>
      <c r="K2726" s="11">
        <f>IFERROR(INDEX(Roles!$B$17:$B$20,MATCH(J2726,Roles!$A$17:$A$20,0)),1)</f>
        <v/>
      </c>
      <c r="L2726" s="17" t="n">
        <v>1</v>
      </c>
      <c r="M2726" s="11" t="n">
        <v>1</v>
      </c>
      <c r="N2726" s="17" t="n"/>
      <c r="O2726" s="17" t="n"/>
      <c r="P2726" s="17" t="n"/>
      <c r="Q2726" s="17" t="n"/>
      <c r="R2726" s="17" t="n"/>
      <c r="S2726" s="17" t="n"/>
      <c r="T2726" s="17" t="n"/>
      <c r="U2726" s="17" t="n"/>
      <c r="V2726" s="17" t="n"/>
      <c r="W2726" s="17" t="n">
        <v>1</v>
      </c>
      <c r="X2726" s="17" t="n"/>
      <c r="Y2726" s="17" t="n"/>
      <c r="Z2726" s="13">
        <f>SUMPRODUCT(N2726:Y2726,$N$2:$Y$2)*$K2726*$L2726*$M2726</f>
        <v/>
      </c>
      <c r="AA2726" s="14">
        <f>SUM(N2726:Y2726)</f>
        <v/>
      </c>
      <c r="AB2726" s="14">
        <f>IFERROR(IF(UPPER($E2726)="L",SUMPRODUCT(N2726:Y2726,$N$3:$Y$3,$N$2:$Y$2),SUMPRODUCT(N2726:Y2726,$N$4:$Y$4,$N$2:$Y$2))/(Z2726/($K2726*$L2726*$M2726)),"")</f>
        <v/>
      </c>
      <c r="AC2726" s="18" t="n"/>
    </row>
    <row r="2727">
      <c r="A2727" s="9" t="n">
        <v>664731</v>
      </c>
      <c r="B2727" s="9" t="inlineStr">
        <is>
          <t>P.J. Higgins</t>
        </is>
      </c>
      <c r="C2727" s="9" t="inlineStr">
        <is>
          <t>CIN</t>
        </is>
      </c>
      <c r="D2727" s="9" t="n">
        <v>34</v>
      </c>
      <c r="E2727" s="16" t="inlineStr">
        <is>
          <t>R</t>
        </is>
      </c>
      <c r="F2727" s="16" t="inlineStr">
        <is>
          <t>C</t>
        </is>
      </c>
      <c r="G2727" s="9" t="n">
        <v>32</v>
      </c>
      <c r="H2727" s="9" t="n">
        <v>261</v>
      </c>
      <c r="I2727" s="9" t="inlineStr">
        <is>
          <t>Catcher - Backup</t>
        </is>
      </c>
      <c r="J2727" s="16" t="inlineStr">
        <is>
          <t>Opening Day</t>
        </is>
      </c>
      <c r="K2727" s="11">
        <f>IFERROR(INDEX(Roles!$B$17:$B$20,MATCH(J2727,Roles!$A$17:$A$20,0)),1)</f>
        <v/>
      </c>
      <c r="L2727" s="17" t="n">
        <v>1</v>
      </c>
      <c r="M2727" s="11" t="n">
        <v>1</v>
      </c>
      <c r="N2727" s="17" t="n"/>
      <c r="O2727" s="17" t="n"/>
      <c r="P2727" s="17" t="n"/>
      <c r="Q2727" s="17" t="n"/>
      <c r="R2727" s="17" t="n"/>
      <c r="S2727" s="17" t="n"/>
      <c r="T2727" s="17" t="n">
        <v>1</v>
      </c>
      <c r="U2727" s="17" t="n"/>
      <c r="V2727" s="17" t="n"/>
      <c r="W2727" s="17" t="n"/>
      <c r="X2727" s="17" t="n"/>
      <c r="Y2727" s="17" t="n"/>
      <c r="Z2727" s="13">
        <f>SUMPRODUCT(N2727:Y2727,$N$2:$Y$2)*$K2727*$L2727*$M2727</f>
        <v/>
      </c>
      <c r="AA2727" s="14">
        <f>SUM(N2727:Y2727)</f>
        <v/>
      </c>
      <c r="AB2727" s="14">
        <f>IFERROR(IF(UPPER($E2727)="L",SUMPRODUCT(N2727:Y2727,$N$3:$Y$3,$N$2:$Y$2),SUMPRODUCT(N2727:Y2727,$N$4:$Y$4,$N$2:$Y$2))/(Z2727/($K2727*$L2727*$M2727)),"")</f>
        <v/>
      </c>
      <c r="AC2727" s="18" t="n"/>
    </row>
    <row r="2728">
      <c r="A2728" s="9" t="n">
        <v>682818</v>
      </c>
      <c r="B2728" s="9" t="inlineStr">
        <is>
          <t>Yohendrick Piñango</t>
        </is>
      </c>
      <c r="C2728" s="9" t="inlineStr">
        <is>
          <t>TOR</t>
        </is>
      </c>
      <c r="D2728" s="9" t="n">
        <v>25</v>
      </c>
      <c r="E2728" s="16" t="inlineStr">
        <is>
          <t>L</t>
        </is>
      </c>
      <c r="F2728" s="16" t="inlineStr">
        <is>
          <t>LF</t>
        </is>
      </c>
      <c r="G2728" s="9" t="n">
        <v>180</v>
      </c>
      <c r="H2728" s="9" t="n">
        <v>180</v>
      </c>
      <c r="I2728" s="9" t="inlineStr">
        <is>
          <t>Bench Bat</t>
        </is>
      </c>
      <c r="J2728" s="16" t="inlineStr">
        <is>
          <t>Opening Day</t>
        </is>
      </c>
      <c r="K2728" s="11">
        <f>IFERROR(INDEX(Roles!$B$17:$B$20,MATCH(J2728,Roles!$A$17:$A$20,0)),1)</f>
        <v/>
      </c>
      <c r="L2728" s="17" t="n">
        <v>1</v>
      </c>
      <c r="M2728" s="11" t="n">
        <v>1</v>
      </c>
      <c r="N2728" s="17" t="n"/>
      <c r="O2728" s="17" t="n"/>
      <c r="P2728" s="17" t="n"/>
      <c r="Q2728" s="17" t="n"/>
      <c r="R2728" s="17" t="n"/>
      <c r="S2728" s="17" t="n"/>
      <c r="T2728" s="17" t="n"/>
      <c r="U2728" s="17" t="n"/>
      <c r="V2728" s="17" t="n"/>
      <c r="W2728" s="17" t="n">
        <v>1</v>
      </c>
      <c r="X2728" s="17" t="n"/>
      <c r="Y2728" s="17" t="n"/>
      <c r="Z2728" s="13">
        <f>SUMPRODUCT(N2728:Y2728,$N$2:$Y$2)*$K2728*$L2728*$M2728</f>
        <v/>
      </c>
      <c r="AA2728" s="14">
        <f>SUM(N2728:Y2728)</f>
        <v/>
      </c>
      <c r="AB2728" s="14">
        <f>IFERROR(IF(UPPER($E2728)="L",SUMPRODUCT(N2728:Y2728,$N$3:$Y$3,$N$2:$Y$2),SUMPRODUCT(N2728:Y2728,$N$4:$Y$4,$N$2:$Y$2))/(Z2728/($K2728*$L2728*$M2728)),"")</f>
        <v/>
      </c>
      <c r="AC2728" s="18" t="n"/>
    </row>
    <row r="2729">
      <c r="A2729" s="9" t="n">
        <v>696285</v>
      </c>
      <c r="B2729" s="9" t="inlineStr">
        <is>
          <t>Jacob Young</t>
        </is>
      </c>
      <c r="C2729" s="9" t="inlineStr">
        <is>
          <t>WSH</t>
        </is>
      </c>
      <c r="D2729" s="9" t="n">
        <v>27</v>
      </c>
      <c r="E2729" s="16" t="inlineStr">
        <is>
          <t>R</t>
        </is>
      </c>
      <c r="F2729" s="16" t="inlineStr">
        <is>
          <t>CF</t>
        </is>
      </c>
      <c r="G2729" s="9" t="n">
        <v>471</v>
      </c>
      <c r="H2729" s="9" t="n">
        <v>1477</v>
      </c>
      <c r="I2729" s="9" t="inlineStr">
        <is>
          <t>Full Time</t>
        </is>
      </c>
      <c r="J2729" s="16" t="inlineStr">
        <is>
          <t>Opening Day</t>
        </is>
      </c>
      <c r="K2729" s="11">
        <f>IFERROR(INDEX(Roles!$B$17:$B$20,MATCH(J2729,Roles!$A$17:$A$20,0)),1)</f>
        <v/>
      </c>
      <c r="L2729" s="17" t="n">
        <v>1</v>
      </c>
      <c r="M2729" s="11" t="n">
        <v>1.040946921833379</v>
      </c>
      <c r="N2729" s="17" t="n">
        <v>0.62</v>
      </c>
      <c r="O2729" s="17" t="n"/>
      <c r="P2729" s="17" t="n">
        <v>0.38</v>
      </c>
      <c r="Q2729" s="17" t="n"/>
      <c r="R2729" s="17" t="n"/>
      <c r="S2729" s="17" t="n"/>
      <c r="T2729" s="17" t="n"/>
      <c r="U2729" s="17" t="n"/>
      <c r="V2729" s="17" t="n"/>
      <c r="W2729" s="17" t="n"/>
      <c r="X2729" s="17" t="n"/>
      <c r="Y2729" s="17" t="n"/>
      <c r="Z2729" s="13">
        <f>SUMPRODUCT(N2729:Y2729,$N$2:$Y$2)*$K2729*$L2729*$M2729</f>
        <v/>
      </c>
      <c r="AA2729" s="14">
        <f>SUM(N2729:Y2729)</f>
        <v/>
      </c>
      <c r="AB2729" s="14">
        <f>IFERROR(IF(UPPER($E2729)="L",SUMPRODUCT(N2729:Y2729,$N$3:$Y$3,$N$2:$Y$2),SUMPRODUCT(N2729:Y2729,$N$4:$Y$4,$N$2:$Y$2))/(Z2729/($K2729*$L2729*$M2729)),"")</f>
        <v/>
      </c>
      <c r="AC2729" s="18" t="n"/>
    </row>
    <row r="2730">
      <c r="A2730" s="9" t="n">
        <v>543257</v>
      </c>
      <c r="B2730" s="9" t="inlineStr">
        <is>
          <t>Robbie Grossman</t>
        </is>
      </c>
      <c r="C2730" s="9" t="inlineStr">
        <is>
          <t>KC</t>
        </is>
      </c>
      <c r="D2730" s="9" t="n">
        <v>37</v>
      </c>
      <c r="E2730" s="16" t="inlineStr">
        <is>
          <t>S</t>
        </is>
      </c>
      <c r="F2730" s="16" t="inlineStr">
        <is>
          <t>RF</t>
        </is>
      </c>
      <c r="G2730" s="9" t="n">
        <v>245</v>
      </c>
      <c r="H2730" s="9" t="n">
        <v>1142</v>
      </c>
      <c r="I2730" s="9" t="inlineStr">
        <is>
          <t>Depth (no MLB PA)</t>
        </is>
      </c>
      <c r="J2730" s="16" t="inlineStr">
        <is>
          <t>Opening Day</t>
        </is>
      </c>
      <c r="K2730" s="11">
        <f>IFERROR(INDEX(Roles!$B$17:$B$20,MATCH(J2730,Roles!$A$17:$A$20,0)),1)</f>
        <v/>
      </c>
      <c r="L2730" s="17" t="n">
        <v>1</v>
      </c>
      <c r="M2730" s="11" t="n">
        <v>1</v>
      </c>
      <c r="N2730" s="17" t="n"/>
      <c r="O2730" s="17" t="n"/>
      <c r="P2730" s="17" t="n"/>
      <c r="Q2730" s="17" t="n"/>
      <c r="R2730" s="17" t="n"/>
      <c r="S2730" s="17" t="n"/>
      <c r="T2730" s="17" t="n"/>
      <c r="U2730" s="17" t="n"/>
      <c r="V2730" s="17" t="n"/>
      <c r="W2730" s="17" t="n"/>
      <c r="X2730" s="17" t="n"/>
      <c r="Y2730" s="17" t="n">
        <v>1</v>
      </c>
      <c r="Z2730" s="13">
        <f>SUMPRODUCT(N2730:Y2730,$N$2:$Y$2)*$K2730*$L2730*$M2730</f>
        <v/>
      </c>
      <c r="AA2730" s="14">
        <f>SUM(N2730:Y2730)</f>
        <v/>
      </c>
      <c r="AB2730" s="14">
        <f>IFERROR(IF(UPPER($E2730)="L",SUMPRODUCT(N2730:Y2730,$N$3:$Y$3,$N$2:$Y$2),SUMPRODUCT(N2730:Y2730,$N$4:$Y$4,$N$2:$Y$2))/(Z2730/($K2730*$L2730*$M2730)),"")</f>
        <v/>
      </c>
      <c r="AC2730" s="18" t="n"/>
    </row>
    <row r="2731">
      <c r="A2731" s="9" t="n">
        <v>687401</v>
      </c>
      <c r="B2731" s="9" t="inlineStr">
        <is>
          <t>Joey Ortiz</t>
        </is>
      </c>
      <c r="C2731" s="9" t="inlineStr">
        <is>
          <t>MIL</t>
        </is>
      </c>
      <c r="D2731" s="9" t="n">
        <v>28</v>
      </c>
      <c r="E2731" s="16" t="inlineStr">
        <is>
          <t>R</t>
        </is>
      </c>
      <c r="F2731" s="16" t="inlineStr">
        <is>
          <t>SS</t>
        </is>
      </c>
      <c r="G2731" s="9" t="n">
        <v>415</v>
      </c>
      <c r="H2731" s="9" t="n">
        <v>1466</v>
      </c>
      <c r="I2731" s="9" t="inlineStr">
        <is>
          <t>Full Time</t>
        </is>
      </c>
      <c r="J2731" s="16" t="inlineStr">
        <is>
          <t>Opening Day</t>
        </is>
      </c>
      <c r="K2731" s="11">
        <f>IFERROR(INDEX(Roles!$B$17:$B$20,MATCH(J2731,Roles!$A$17:$A$20,0)),1)</f>
        <v/>
      </c>
      <c r="L2731" s="17" t="n">
        <v>1</v>
      </c>
      <c r="M2731" s="11" t="n">
        <v>1.128492209299247</v>
      </c>
      <c r="N2731" s="17" t="n">
        <v>0.58</v>
      </c>
      <c r="O2731" s="17" t="n"/>
      <c r="P2731" s="17" t="n">
        <v>0.42</v>
      </c>
      <c r="Q2731" s="17" t="n"/>
      <c r="R2731" s="17" t="n"/>
      <c r="S2731" s="17" t="n"/>
      <c r="T2731" s="17" t="n"/>
      <c r="U2731" s="17" t="n"/>
      <c r="V2731" s="17" t="n"/>
      <c r="W2731" s="17" t="n"/>
      <c r="X2731" s="17" t="n"/>
      <c r="Y2731" s="17" t="n"/>
      <c r="Z2731" s="13">
        <f>SUMPRODUCT(N2731:Y2731,$N$2:$Y$2)*$K2731*$L2731*$M2731</f>
        <v/>
      </c>
      <c r="AA2731" s="14">
        <f>SUM(N2731:Y2731)</f>
        <v/>
      </c>
      <c r="AB2731" s="14">
        <f>IFERROR(IF(UPPER($E2731)="L",SUMPRODUCT(N2731:Y2731,$N$3:$Y$3,$N$2:$Y$2),SUMPRODUCT(N2731:Y2731,$N$4:$Y$4,$N$2:$Y$2))/(Z2731/($K2731*$L2731*$M2731)),"")</f>
        <v/>
      </c>
      <c r="AC2731" s="18" t="n"/>
    </row>
    <row r="2732">
      <c r="A2732" s="9" t="n">
        <v>670224</v>
      </c>
      <c r="B2732" s="9" t="inlineStr">
        <is>
          <t>Kameron Misner</t>
        </is>
      </c>
      <c r="C2732" s="9" t="inlineStr">
        <is>
          <t>KC</t>
        </is>
      </c>
      <c r="D2732" s="9" t="n">
        <v>29</v>
      </c>
      <c r="E2732" s="16" t="inlineStr">
        <is>
          <t>L</t>
        </is>
      </c>
      <c r="F2732" s="16" t="inlineStr">
        <is>
          <t>CF</t>
        </is>
      </c>
      <c r="G2732" s="9" t="n">
        <v>44</v>
      </c>
      <c r="H2732" s="9" t="n">
        <v>276</v>
      </c>
      <c r="I2732" s="9" t="inlineStr">
        <is>
          <t>Bench Bat</t>
        </is>
      </c>
      <c r="J2732" s="16" t="inlineStr">
        <is>
          <t>Opening Day</t>
        </is>
      </c>
      <c r="K2732" s="11">
        <f>IFERROR(INDEX(Roles!$B$17:$B$20,MATCH(J2732,Roles!$A$17:$A$20,0)),1)</f>
        <v/>
      </c>
      <c r="L2732" s="17" t="n">
        <v>1</v>
      </c>
      <c r="M2732" s="11" t="n">
        <v>1</v>
      </c>
      <c r="N2732" s="17" t="n"/>
      <c r="O2732" s="17" t="n"/>
      <c r="P2732" s="17" t="n"/>
      <c r="Q2732" s="17" t="n"/>
      <c r="R2732" s="17" t="n"/>
      <c r="S2732" s="17" t="n"/>
      <c r="T2732" s="17" t="n"/>
      <c r="U2732" s="17" t="n"/>
      <c r="V2732" s="17" t="n"/>
      <c r="W2732" s="17" t="n">
        <v>1</v>
      </c>
      <c r="X2732" s="17" t="n"/>
      <c r="Y2732" s="17" t="n"/>
      <c r="Z2732" s="13">
        <f>SUMPRODUCT(N2732:Y2732,$N$2:$Y$2)*$K2732*$L2732*$M2732</f>
        <v/>
      </c>
      <c r="AA2732" s="14">
        <f>SUM(N2732:Y2732)</f>
        <v/>
      </c>
      <c r="AB2732" s="14">
        <f>IFERROR(IF(UPPER($E2732)="L",SUMPRODUCT(N2732:Y2732,$N$3:$Y$3,$N$2:$Y$2),SUMPRODUCT(N2732:Y2732,$N$4:$Y$4,$N$2:$Y$2))/(Z2732/($K2732*$L2732*$M2732)),"")</f>
        <v/>
      </c>
      <c r="AC2732" s="18" t="n"/>
    </row>
    <row r="2733">
      <c r="A2733" s="9" t="n">
        <v>694197</v>
      </c>
      <c r="B2733" s="9" t="inlineStr">
        <is>
          <t>Angel Genao</t>
        </is>
      </c>
      <c r="C2733" s="9" t="inlineStr">
        <is>
          <t>CLE</t>
        </is>
      </c>
      <c r="D2733" s="9" t="n">
        <v>23</v>
      </c>
      <c r="E2733" s="16" t="inlineStr">
        <is>
          <t>S</t>
        </is>
      </c>
      <c r="F2733" s="16" t="inlineStr">
        <is>
          <t>2B</t>
        </is>
      </c>
      <c r="G2733" s="9" t="n">
        <v>139</v>
      </c>
      <c r="H2733" s="9" t="n">
        <v>139</v>
      </c>
      <c r="I2733" s="9" t="inlineStr">
        <is>
          <t>Weak Side Platoon</t>
        </is>
      </c>
      <c r="J2733" s="16" t="inlineStr">
        <is>
          <t>Opening Day</t>
        </is>
      </c>
      <c r="K2733" s="11">
        <f>IFERROR(INDEX(Roles!$B$17:$B$20,MATCH(J2733,Roles!$A$17:$A$20,0)),1)</f>
        <v/>
      </c>
      <c r="L2733" s="17" t="n">
        <v>1</v>
      </c>
      <c r="M2733" s="11" t="n">
        <v>1</v>
      </c>
      <c r="N2733" s="17" t="n"/>
      <c r="O2733" s="17" t="n"/>
      <c r="P2733" s="17" t="n"/>
      <c r="Q2733" s="17" t="n">
        <v>0.6</v>
      </c>
      <c r="R2733" s="17" t="n"/>
      <c r="S2733" s="17" t="n"/>
      <c r="T2733" s="17" t="n"/>
      <c r="U2733" s="17" t="n">
        <v>0.4</v>
      </c>
      <c r="V2733" s="17" t="n"/>
      <c r="W2733" s="17" t="n"/>
      <c r="X2733" s="17" t="n"/>
      <c r="Y2733" s="17" t="n"/>
      <c r="Z2733" s="13">
        <f>SUMPRODUCT(N2733:Y2733,$N$2:$Y$2)*$K2733*$L2733*$M2733</f>
        <v/>
      </c>
      <c r="AA2733" s="14">
        <f>SUM(N2733:Y2733)</f>
        <v/>
      </c>
      <c r="AB2733" s="14">
        <f>IFERROR(IF(UPPER($E2733)="L",SUMPRODUCT(N2733:Y2733,$N$3:$Y$3,$N$2:$Y$2),SUMPRODUCT(N2733:Y2733,$N$4:$Y$4,$N$2:$Y$2))/(Z2733/($K2733*$L2733*$M2733)),"")</f>
        <v/>
      </c>
      <c r="AC2733" s="18" t="n"/>
    </row>
    <row r="2734">
      <c r="A2734" s="9" t="n">
        <v>677588</v>
      </c>
      <c r="B2734" s="9" t="inlineStr">
        <is>
          <t>José Tena</t>
        </is>
      </c>
      <c r="C2734" s="9" t="inlineStr">
        <is>
          <t>WSH</t>
        </is>
      </c>
      <c r="D2734" s="9" t="n">
        <v>26</v>
      </c>
      <c r="E2734" s="16" t="inlineStr">
        <is>
          <t>L</t>
        </is>
      </c>
      <c r="F2734" s="16" t="inlineStr">
        <is>
          <t>2B</t>
        </is>
      </c>
      <c r="G2734" s="9" t="n">
        <v>288</v>
      </c>
      <c r="H2734" s="9" t="n">
        <v>659</v>
      </c>
      <c r="I2734" s="9" t="inlineStr">
        <is>
          <t>Bench Bat</t>
        </is>
      </c>
      <c r="J2734" s="16" t="inlineStr">
        <is>
          <t>Opening Day</t>
        </is>
      </c>
      <c r="K2734" s="11">
        <f>IFERROR(INDEX(Roles!$B$17:$B$20,MATCH(J2734,Roles!$A$17:$A$20,0)),1)</f>
        <v/>
      </c>
      <c r="L2734" s="17" t="n">
        <v>1</v>
      </c>
      <c r="M2734" s="11" t="n">
        <v>1</v>
      </c>
      <c r="N2734" s="17" t="n"/>
      <c r="O2734" s="17" t="n"/>
      <c r="P2734" s="17" t="n"/>
      <c r="Q2734" s="17" t="n"/>
      <c r="R2734" s="17" t="n"/>
      <c r="S2734" s="17" t="n"/>
      <c r="T2734" s="17" t="n"/>
      <c r="U2734" s="17" t="n"/>
      <c r="V2734" s="17" t="n"/>
      <c r="W2734" s="17" t="n">
        <v>0.85</v>
      </c>
      <c r="X2734" s="17" t="n">
        <v>0.15</v>
      </c>
      <c r="Y2734" s="17" t="n"/>
      <c r="Z2734" s="13">
        <f>SUMPRODUCT(N2734:Y2734,$N$2:$Y$2)*$K2734*$L2734*$M2734</f>
        <v/>
      </c>
      <c r="AA2734" s="14">
        <f>SUM(N2734:Y2734)</f>
        <v/>
      </c>
      <c r="AB2734" s="14">
        <f>IFERROR(IF(UPPER($E2734)="L",SUMPRODUCT(N2734:Y2734,$N$3:$Y$3,$N$2:$Y$2),SUMPRODUCT(N2734:Y2734,$N$4:$Y$4,$N$2:$Y$2))/(Z2734/($K2734*$L2734*$M2734)),"")</f>
        <v/>
      </c>
      <c r="AC2734" s="18" t="n"/>
    </row>
    <row r="2735">
      <c r="A2735" s="9" t="n">
        <v>547989</v>
      </c>
      <c r="B2735" s="9" t="inlineStr">
        <is>
          <t>José Abreu</t>
        </is>
      </c>
      <c r="C2735" s="9" t="inlineStr">
        <is>
          <t>HOU</t>
        </is>
      </c>
      <c r="D2735" s="9" t="n">
        <v>40</v>
      </c>
      <c r="E2735" s="16" t="inlineStr">
        <is>
          <t>R</t>
        </is>
      </c>
      <c r="F2735" s="16" t="inlineStr">
        <is>
          <t>1B</t>
        </is>
      </c>
      <c r="G2735" s="9" t="n">
        <v>120</v>
      </c>
      <c r="H2735" s="9" t="n">
        <v>1393</v>
      </c>
      <c r="I2735" s="9" t="inlineStr">
        <is>
          <t>Depth (no MLB PA)</t>
        </is>
      </c>
      <c r="J2735" s="16" t="inlineStr">
        <is>
          <t>Opening Day</t>
        </is>
      </c>
      <c r="K2735" s="11">
        <f>IFERROR(INDEX(Roles!$B$17:$B$20,MATCH(J2735,Roles!$A$17:$A$20,0)),1)</f>
        <v/>
      </c>
      <c r="L2735" s="17" t="n">
        <v>1</v>
      </c>
      <c r="M2735" s="11" t="n">
        <v>1</v>
      </c>
      <c r="N2735" s="17" t="n"/>
      <c r="O2735" s="17" t="n"/>
      <c r="P2735" s="17" t="n"/>
      <c r="Q2735" s="17" t="n"/>
      <c r="R2735" s="17" t="n"/>
      <c r="S2735" s="17" t="n"/>
      <c r="T2735" s="17" t="n"/>
      <c r="U2735" s="17" t="n"/>
      <c r="V2735" s="17" t="n"/>
      <c r="W2735" s="17" t="n"/>
      <c r="X2735" s="17" t="n"/>
      <c r="Y2735" s="17" t="n">
        <v>1</v>
      </c>
      <c r="Z2735" s="13">
        <f>SUMPRODUCT(N2735:Y2735,$N$2:$Y$2)*$K2735*$L2735*$M2735</f>
        <v/>
      </c>
      <c r="AA2735" s="14">
        <f>SUM(N2735:Y2735)</f>
        <v/>
      </c>
      <c r="AB2735" s="14">
        <f>IFERROR(IF(UPPER($E2735)="L",SUMPRODUCT(N2735:Y2735,$N$3:$Y$3,$N$2:$Y$2),SUMPRODUCT(N2735:Y2735,$N$4:$Y$4,$N$2:$Y$2))/(Z2735/($K2735*$L2735*$M2735)),"")</f>
        <v/>
      </c>
      <c r="AC2735" s="18" t="n"/>
    </row>
    <row r="2736">
      <c r="A2736" s="9" t="n">
        <v>701675</v>
      </c>
      <c r="B2736" s="9" t="inlineStr">
        <is>
          <t>Nathan Church</t>
        </is>
      </c>
      <c r="C2736" s="9" t="inlineStr">
        <is>
          <t>STL</t>
        </is>
      </c>
      <c r="D2736" s="9" t="n">
        <v>26</v>
      </c>
      <c r="E2736" s="16" t="inlineStr">
        <is>
          <t>L</t>
        </is>
      </c>
      <c r="F2736" s="16" t="inlineStr">
        <is>
          <t>CF</t>
        </is>
      </c>
      <c r="G2736" s="9" t="n">
        <v>470</v>
      </c>
      <c r="H2736" s="9" t="n">
        <v>535</v>
      </c>
      <c r="I2736" s="9" t="inlineStr">
        <is>
          <t>Full Time</t>
        </is>
      </c>
      <c r="J2736" s="16" t="inlineStr">
        <is>
          <t>Opening Day</t>
        </is>
      </c>
      <c r="K2736" s="11">
        <f>IFERROR(INDEX(Roles!$B$17:$B$20,MATCH(J2736,Roles!$A$17:$A$20,0)),1)</f>
        <v/>
      </c>
      <c r="L2736" s="17" t="n">
        <v>1</v>
      </c>
      <c r="M2736" s="11" t="n">
        <v>0.8976678734138539</v>
      </c>
      <c r="N2736" s="17" t="n">
        <v>0.62</v>
      </c>
      <c r="O2736" s="17" t="n"/>
      <c r="P2736" s="17" t="n">
        <v>0.38</v>
      </c>
      <c r="Q2736" s="17" t="n"/>
      <c r="R2736" s="17" t="n"/>
      <c r="S2736" s="17" t="n"/>
      <c r="T2736" s="17" t="n"/>
      <c r="U2736" s="17" t="n"/>
      <c r="V2736" s="17" t="n"/>
      <c r="W2736" s="17" t="n"/>
      <c r="X2736" s="17" t="n"/>
      <c r="Y2736" s="17" t="n"/>
      <c r="Z2736" s="13">
        <f>SUMPRODUCT(N2736:Y2736,$N$2:$Y$2)*$K2736*$L2736*$M2736</f>
        <v/>
      </c>
      <c r="AA2736" s="14">
        <f>SUM(N2736:Y2736)</f>
        <v/>
      </c>
      <c r="AB2736" s="14">
        <f>IFERROR(IF(UPPER($E2736)="L",SUMPRODUCT(N2736:Y2736,$N$3:$Y$3,$N$2:$Y$2),SUMPRODUCT(N2736:Y2736,$N$4:$Y$4,$N$2:$Y$2))/(Z2736/($K2736*$L2736*$M2736)),"")</f>
        <v/>
      </c>
      <c r="AC2736" s="18" t="n"/>
    </row>
    <row r="2737">
      <c r="A2737" s="9" t="n">
        <v>592200</v>
      </c>
      <c r="B2737" s="9" t="inlineStr">
        <is>
          <t>Curt Casali</t>
        </is>
      </c>
      <c r="C2737" s="9" t="inlineStr">
        <is>
          <t>SF</t>
        </is>
      </c>
      <c r="D2737" s="9" t="n">
        <v>38</v>
      </c>
      <c r="E2737" s="16" t="inlineStr">
        <is>
          <t>R</t>
        </is>
      </c>
      <c r="F2737" s="16" t="inlineStr">
        <is>
          <t>C</t>
        </is>
      </c>
      <c r="G2737" s="9" t="n">
        <v>125</v>
      </c>
      <c r="H2737" s="9" t="n">
        <v>397</v>
      </c>
      <c r="I2737" s="9" t="inlineStr">
        <is>
          <t>Depth (no MLB PA)</t>
        </is>
      </c>
      <c r="J2737" s="16" t="inlineStr">
        <is>
          <t>Opening Day</t>
        </is>
      </c>
      <c r="K2737" s="11">
        <f>IFERROR(INDEX(Roles!$B$17:$B$20,MATCH(J2737,Roles!$A$17:$A$20,0)),1)</f>
        <v/>
      </c>
      <c r="L2737" s="17" t="n">
        <v>1</v>
      </c>
      <c r="M2737" s="11" t="n">
        <v>1</v>
      </c>
      <c r="N2737" s="17" t="n"/>
      <c r="O2737" s="17" t="n"/>
      <c r="P2737" s="17" t="n"/>
      <c r="Q2737" s="17" t="n"/>
      <c r="R2737" s="17" t="n"/>
      <c r="S2737" s="17" t="n"/>
      <c r="T2737" s="17" t="n"/>
      <c r="U2737" s="17" t="n"/>
      <c r="V2737" s="17" t="n"/>
      <c r="W2737" s="17" t="n"/>
      <c r="X2737" s="17" t="n"/>
      <c r="Y2737" s="17" t="n">
        <v>1</v>
      </c>
      <c r="Z2737" s="13">
        <f>SUMPRODUCT(N2737:Y2737,$N$2:$Y$2)*$K2737*$L2737*$M2737</f>
        <v/>
      </c>
      <c r="AA2737" s="14">
        <f>SUM(N2737:Y2737)</f>
        <v/>
      </c>
      <c r="AB2737" s="14">
        <f>IFERROR(IF(UPPER($E2737)="L",SUMPRODUCT(N2737:Y2737,$N$3:$Y$3,$N$2:$Y$2),SUMPRODUCT(N2737:Y2737,$N$4:$Y$4,$N$2:$Y$2))/(Z2737/($K2737*$L2737*$M2737)),"")</f>
        <v/>
      </c>
      <c r="AC2737" s="18" t="n"/>
    </row>
    <row r="2738">
      <c r="A2738" s="9" t="n">
        <v>807727</v>
      </c>
      <c r="B2738" s="9" t="inlineStr">
        <is>
          <t>Charles McAdoo</t>
        </is>
      </c>
      <c r="C2738" s="9" t="inlineStr">
        <is>
          <t>TOR</t>
        </is>
      </c>
      <c r="D2738" s="9" t="n">
        <v>25</v>
      </c>
      <c r="E2738" s="16" t="inlineStr">
        <is>
          <t>R</t>
        </is>
      </c>
      <c r="F2738" s="16" t="inlineStr">
        <is>
          <t>2B</t>
        </is>
      </c>
      <c r="G2738" s="9" t="n">
        <v>106</v>
      </c>
      <c r="H2738" s="9" t="n">
        <v>106</v>
      </c>
      <c r="I2738" s="9" t="inlineStr">
        <is>
          <t>Weak Side Platoon</t>
        </is>
      </c>
      <c r="J2738" s="16" t="inlineStr">
        <is>
          <t>Opening Day</t>
        </is>
      </c>
      <c r="K2738" s="11">
        <f>IFERROR(INDEX(Roles!$B$17:$B$20,MATCH(J2738,Roles!$A$17:$A$20,0)),1)</f>
        <v/>
      </c>
      <c r="L2738" s="17" t="n">
        <v>1</v>
      </c>
      <c r="M2738" s="11" t="n">
        <v>1</v>
      </c>
      <c r="N2738" s="17" t="n"/>
      <c r="O2738" s="17" t="n"/>
      <c r="P2738" s="17" t="n"/>
      <c r="Q2738" s="17" t="n">
        <v>0.6</v>
      </c>
      <c r="R2738" s="17" t="n"/>
      <c r="S2738" s="17" t="n"/>
      <c r="T2738" s="17" t="n"/>
      <c r="U2738" s="17" t="n">
        <v>0.4</v>
      </c>
      <c r="V2738" s="17" t="n"/>
      <c r="W2738" s="17" t="n"/>
      <c r="X2738" s="17" t="n"/>
      <c r="Y2738" s="17" t="n"/>
      <c r="Z2738" s="13">
        <f>SUMPRODUCT(N2738:Y2738,$N$2:$Y$2)*$K2738*$L2738*$M2738</f>
        <v/>
      </c>
      <c r="AA2738" s="14">
        <f>SUM(N2738:Y2738)</f>
        <v/>
      </c>
      <c r="AB2738" s="14">
        <f>IFERROR(IF(UPPER($E2738)="L",SUMPRODUCT(N2738:Y2738,$N$3:$Y$3,$N$2:$Y$2),SUMPRODUCT(N2738:Y2738,$N$4:$Y$4,$N$2:$Y$2))/(Z2738/($K2738*$L2738*$M2738)),"")</f>
        <v/>
      </c>
      <c r="AC2738" s="18" t="n"/>
    </row>
    <row r="2739">
      <c r="A2739" s="9" t="n">
        <v>669743</v>
      </c>
      <c r="B2739" s="9" t="inlineStr">
        <is>
          <t>Alex Call</t>
        </is>
      </c>
      <c r="C2739" s="9" t="inlineStr">
        <is>
          <t>LAD</t>
        </is>
      </c>
      <c r="D2739" s="9" t="n">
        <v>32</v>
      </c>
      <c r="E2739" s="16" t="inlineStr">
        <is>
          <t>R</t>
        </is>
      </c>
      <c r="F2739" s="16" t="inlineStr">
        <is>
          <t>LF</t>
        </is>
      </c>
      <c r="G2739" s="9" t="n">
        <v>195</v>
      </c>
      <c r="H2739" s="9" t="n">
        <v>1200</v>
      </c>
      <c r="I2739" s="9" t="inlineStr">
        <is>
          <t>Utility OF / 4th OF</t>
        </is>
      </c>
      <c r="J2739" s="16" t="inlineStr">
        <is>
          <t>Opening Day</t>
        </is>
      </c>
      <c r="K2739" s="11">
        <f>IFERROR(INDEX(Roles!$B$17:$B$20,MATCH(J2739,Roles!$A$17:$A$20,0)),1)</f>
        <v/>
      </c>
      <c r="L2739" s="17" t="n">
        <v>1</v>
      </c>
      <c r="M2739" s="11" t="n">
        <v>0.8739003215631221</v>
      </c>
      <c r="N2739" s="17" t="n"/>
      <c r="O2739" s="17" t="n"/>
      <c r="P2739" s="17" t="n"/>
      <c r="Q2739" s="17" t="n"/>
      <c r="R2739" s="17" t="n"/>
      <c r="S2739" s="17" t="n"/>
      <c r="T2739" s="17" t="n"/>
      <c r="U2739" s="17" t="n"/>
      <c r="V2739" s="17" t="n">
        <v>0.7</v>
      </c>
      <c r="W2739" s="17" t="n">
        <v>0.3</v>
      </c>
      <c r="X2739" s="17" t="n"/>
      <c r="Y2739" s="17" t="n"/>
      <c r="Z2739" s="13">
        <f>SUMPRODUCT(N2739:Y2739,$N$2:$Y$2)*$K2739*$L2739*$M2739</f>
        <v/>
      </c>
      <c r="AA2739" s="14">
        <f>SUM(N2739:Y2739)</f>
        <v/>
      </c>
      <c r="AB2739" s="14">
        <f>IFERROR(IF(UPPER($E2739)="L",SUMPRODUCT(N2739:Y2739,$N$3:$Y$3,$N$2:$Y$2),SUMPRODUCT(N2739:Y2739,$N$4:$Y$4,$N$2:$Y$2))/(Z2739/($K2739*$L2739*$M2739)),"")</f>
        <v/>
      </c>
      <c r="AC2739" s="18" t="n"/>
    </row>
    <row r="2740">
      <c r="A2740" s="9" t="n">
        <v>593160</v>
      </c>
      <c r="B2740" s="9" t="inlineStr">
        <is>
          <t>Whit Merrifield</t>
        </is>
      </c>
      <c r="C2740" s="9" t="inlineStr">
        <is>
          <t>ATL</t>
        </is>
      </c>
      <c r="D2740" s="9" t="n">
        <v>38</v>
      </c>
      <c r="E2740" s="16" t="inlineStr">
        <is>
          <t>R</t>
        </is>
      </c>
      <c r="F2740" s="16" t="inlineStr">
        <is>
          <t>2B</t>
        </is>
      </c>
      <c r="G2740" s="9" t="n">
        <v>335</v>
      </c>
      <c r="H2740" s="9" t="n">
        <v>1477</v>
      </c>
      <c r="I2740" s="9" t="inlineStr">
        <is>
          <t>Depth (no MLB PA)</t>
        </is>
      </c>
      <c r="J2740" s="16" t="inlineStr">
        <is>
          <t>Opening Day</t>
        </is>
      </c>
      <c r="K2740" s="11">
        <f>IFERROR(INDEX(Roles!$B$17:$B$20,MATCH(J2740,Roles!$A$17:$A$20,0)),1)</f>
        <v/>
      </c>
      <c r="L2740" s="17" t="n">
        <v>1</v>
      </c>
      <c r="M2740" s="11" t="n">
        <v>1</v>
      </c>
      <c r="N2740" s="17" t="n"/>
      <c r="O2740" s="17" t="n"/>
      <c r="P2740" s="17" t="n"/>
      <c r="Q2740" s="17" t="n"/>
      <c r="R2740" s="17" t="n"/>
      <c r="S2740" s="17" t="n"/>
      <c r="T2740" s="17" t="n"/>
      <c r="U2740" s="17" t="n"/>
      <c r="V2740" s="17" t="n"/>
      <c r="W2740" s="17" t="n"/>
      <c r="X2740" s="17" t="n"/>
      <c r="Y2740" s="17" t="n">
        <v>1</v>
      </c>
      <c r="Z2740" s="13">
        <f>SUMPRODUCT(N2740:Y2740,$N$2:$Y$2)*$K2740*$L2740*$M2740</f>
        <v/>
      </c>
      <c r="AA2740" s="14">
        <f>SUM(N2740:Y2740)</f>
        <v/>
      </c>
      <c r="AB2740" s="14">
        <f>IFERROR(IF(UPPER($E2740)="L",SUMPRODUCT(N2740:Y2740,$N$3:$Y$3,$N$2:$Y$2),SUMPRODUCT(N2740:Y2740,$N$4:$Y$4,$N$2:$Y$2))/(Z2740/($K2740*$L2740*$M2740)),"")</f>
        <v/>
      </c>
      <c r="AC2740" s="18" t="n"/>
    </row>
    <row r="2741">
      <c r="A2741" s="9" t="n">
        <v>680862</v>
      </c>
      <c r="B2741" s="9" t="inlineStr">
        <is>
          <t>Willie MacIver</t>
        </is>
      </c>
      <c r="C2741" s="9" t="inlineStr">
        <is>
          <t>OAK</t>
        </is>
      </c>
      <c r="D2741" s="9" t="n">
        <v>30</v>
      </c>
      <c r="E2741" s="16" t="inlineStr">
        <is>
          <t>R</t>
        </is>
      </c>
      <c r="F2741" s="16" t="inlineStr">
        <is>
          <t>C</t>
        </is>
      </c>
      <c r="G2741" s="9" t="n">
        <v>111</v>
      </c>
      <c r="H2741" s="9" t="n">
        <v>111</v>
      </c>
      <c r="I2741" s="9" t="inlineStr">
        <is>
          <t>Catcher - Backup</t>
        </is>
      </c>
      <c r="J2741" s="16" t="inlineStr">
        <is>
          <t>Opening Day</t>
        </is>
      </c>
      <c r="K2741" s="11">
        <f>IFERROR(INDEX(Roles!$B$17:$B$20,MATCH(J2741,Roles!$A$17:$A$20,0)),1)</f>
        <v/>
      </c>
      <c r="L2741" s="17" t="n">
        <v>1</v>
      </c>
      <c r="M2741" s="11" t="n">
        <v>1</v>
      </c>
      <c r="N2741" s="17" t="n"/>
      <c r="O2741" s="17" t="n"/>
      <c r="P2741" s="17" t="n"/>
      <c r="Q2741" s="17" t="n"/>
      <c r="R2741" s="17" t="n"/>
      <c r="S2741" s="17" t="n"/>
      <c r="T2741" s="17" t="n">
        <v>1</v>
      </c>
      <c r="U2741" s="17" t="n"/>
      <c r="V2741" s="17" t="n"/>
      <c r="W2741" s="17" t="n"/>
      <c r="X2741" s="17" t="n"/>
      <c r="Y2741" s="17" t="n"/>
      <c r="Z2741" s="13">
        <f>SUMPRODUCT(N2741:Y2741,$N$2:$Y$2)*$K2741*$L2741*$M2741</f>
        <v/>
      </c>
      <c r="AA2741" s="14">
        <f>SUM(N2741:Y2741)</f>
        <v/>
      </c>
      <c r="AB2741" s="14">
        <f>IFERROR(IF(UPPER($E2741)="L",SUMPRODUCT(N2741:Y2741,$N$3:$Y$3,$N$2:$Y$2),SUMPRODUCT(N2741:Y2741,$N$4:$Y$4,$N$2:$Y$2))/(Z2741/($K2741*$L2741*$M2741)),"")</f>
        <v/>
      </c>
      <c r="AC2741" s="18" t="n"/>
    </row>
    <row r="2742">
      <c r="A2742" s="9" t="n">
        <v>703185</v>
      </c>
      <c r="B2742" s="9" t="inlineStr">
        <is>
          <t>Nelson Rada</t>
        </is>
      </c>
      <c r="C2742" s="9" t="inlineStr">
        <is>
          <t>LAA</t>
        </is>
      </c>
      <c r="D2742" s="9" t="n">
        <v>22</v>
      </c>
      <c r="E2742" s="16" t="inlineStr">
        <is>
          <t>L</t>
        </is>
      </c>
      <c r="F2742" s="16" t="n"/>
      <c r="G2742" s="9" t="n">
        <v>314.2051282051282</v>
      </c>
      <c r="H2742" s="9" t="n">
        <v>314.2051282051282</v>
      </c>
      <c r="I2742" s="9" t="inlineStr">
        <is>
          <t>Depth (no MLB PA)</t>
        </is>
      </c>
      <c r="J2742" s="16" t="inlineStr">
        <is>
          <t>Opening Day</t>
        </is>
      </c>
      <c r="K2742" s="11">
        <f>IFERROR(INDEX(Roles!$B$17:$B$20,MATCH(J2742,Roles!$A$17:$A$20,0)),1)</f>
        <v/>
      </c>
      <c r="L2742" s="17" t="n">
        <v>1</v>
      </c>
      <c r="M2742" s="11" t="n">
        <v>1</v>
      </c>
      <c r="N2742" s="17" t="n"/>
      <c r="O2742" s="17" t="n"/>
      <c r="P2742" s="17" t="n"/>
      <c r="Q2742" s="17" t="n"/>
      <c r="R2742" s="17" t="n"/>
      <c r="S2742" s="17" t="n"/>
      <c r="T2742" s="17" t="n"/>
      <c r="U2742" s="17" t="n"/>
      <c r="V2742" s="17" t="n"/>
      <c r="W2742" s="17" t="n"/>
      <c r="X2742" s="17" t="n"/>
      <c r="Y2742" s="17" t="n">
        <v>1</v>
      </c>
      <c r="Z2742" s="13">
        <f>SUMPRODUCT(N2742:Y2742,$N$2:$Y$2)*$K2742*$L2742*$M2742</f>
        <v/>
      </c>
      <c r="AA2742" s="14">
        <f>SUM(N2742:Y2742)</f>
        <v/>
      </c>
      <c r="AB2742" s="14">
        <f>IFERROR(IF(UPPER($E2742)="L",SUMPRODUCT(N2742:Y2742,$N$3:$Y$3,$N$2:$Y$2),SUMPRODUCT(N2742:Y2742,$N$4:$Y$4,$N$2:$Y$2))/(Z2742/($K2742*$L2742*$M2742)),"")</f>
        <v/>
      </c>
      <c r="AC2742" s="18" t="n"/>
    </row>
    <row r="2743">
      <c r="A2743" s="9" t="n">
        <v>686475</v>
      </c>
      <c r="B2743" s="9" t="inlineStr">
        <is>
          <t>Tyler Tolbert</t>
        </is>
      </c>
      <c r="C2743" s="9" t="inlineStr">
        <is>
          <t>KC</t>
        </is>
      </c>
      <c r="D2743" s="9" t="n">
        <v>29</v>
      </c>
      <c r="E2743" s="16" t="inlineStr">
        <is>
          <t>R</t>
        </is>
      </c>
      <c r="F2743" s="16" t="inlineStr">
        <is>
          <t>SS</t>
        </is>
      </c>
      <c r="G2743" s="9" t="n">
        <v>148</v>
      </c>
      <c r="H2743" s="9" t="n">
        <v>205</v>
      </c>
      <c r="I2743" s="9" t="inlineStr">
        <is>
          <t>Weak Side Platoon</t>
        </is>
      </c>
      <c r="J2743" s="16" t="inlineStr">
        <is>
          <t>Opening Day</t>
        </is>
      </c>
      <c r="K2743" s="11">
        <f>IFERROR(INDEX(Roles!$B$17:$B$20,MATCH(J2743,Roles!$A$17:$A$20,0)),1)</f>
        <v/>
      </c>
      <c r="L2743" s="17" t="n">
        <v>1</v>
      </c>
      <c r="M2743" s="11" t="n">
        <v>1</v>
      </c>
      <c r="N2743" s="17" t="n"/>
      <c r="O2743" s="17" t="n"/>
      <c r="P2743" s="17" t="n"/>
      <c r="Q2743" s="17" t="n">
        <v>0.6</v>
      </c>
      <c r="R2743" s="17" t="n"/>
      <c r="S2743" s="17" t="n"/>
      <c r="T2743" s="17" t="n"/>
      <c r="U2743" s="17" t="n">
        <v>0.4</v>
      </c>
      <c r="V2743" s="17" t="n"/>
      <c r="W2743" s="17" t="n"/>
      <c r="X2743" s="17" t="n"/>
      <c r="Y2743" s="17" t="n"/>
      <c r="Z2743" s="13">
        <f>SUMPRODUCT(N2743:Y2743,$N$2:$Y$2)*$K2743*$L2743*$M2743</f>
        <v/>
      </c>
      <c r="AA2743" s="14">
        <f>SUM(N2743:Y2743)</f>
        <v/>
      </c>
      <c r="AB2743" s="14">
        <f>IFERROR(IF(UPPER($E2743)="L",SUMPRODUCT(N2743:Y2743,$N$3:$Y$3,$N$2:$Y$2),SUMPRODUCT(N2743:Y2743,$N$4:$Y$4,$N$2:$Y$2))/(Z2743/($K2743*$L2743*$M2743)),"")</f>
        <v/>
      </c>
      <c r="AC2743" s="18" t="n"/>
    </row>
    <row r="2744">
      <c r="A2744" s="9" t="n">
        <v>676701</v>
      </c>
      <c r="B2744" s="9" t="inlineStr">
        <is>
          <t>Alan Trejo</t>
        </is>
      </c>
      <c r="C2744" s="9" t="inlineStr">
        <is>
          <t>COL</t>
        </is>
      </c>
      <c r="D2744" s="9" t="n">
        <v>31</v>
      </c>
      <c r="E2744" s="16" t="inlineStr">
        <is>
          <t>R</t>
        </is>
      </c>
      <c r="F2744" s="16" t="inlineStr">
        <is>
          <t>SS</t>
        </is>
      </c>
      <c r="G2744" s="9" t="n">
        <v>43</v>
      </c>
      <c r="H2744" s="9" t="n">
        <v>462</v>
      </c>
      <c r="I2744" s="9" t="inlineStr">
        <is>
          <t>Bench Bat</t>
        </is>
      </c>
      <c r="J2744" s="16" t="inlineStr">
        <is>
          <t>Opening Day</t>
        </is>
      </c>
      <c r="K2744" s="11">
        <f>IFERROR(INDEX(Roles!$B$17:$B$20,MATCH(J2744,Roles!$A$17:$A$20,0)),1)</f>
        <v/>
      </c>
      <c r="L2744" s="17" t="n">
        <v>1</v>
      </c>
      <c r="M2744" s="11" t="n">
        <v>1</v>
      </c>
      <c r="N2744" s="17" t="n"/>
      <c r="O2744" s="17" t="n"/>
      <c r="P2744" s="17" t="n"/>
      <c r="Q2744" s="17" t="n"/>
      <c r="R2744" s="17" t="n"/>
      <c r="S2744" s="17" t="n"/>
      <c r="T2744" s="17" t="n"/>
      <c r="U2744" s="17" t="n"/>
      <c r="V2744" s="17" t="n"/>
      <c r="W2744" s="17" t="n">
        <v>1</v>
      </c>
      <c r="X2744" s="17" t="n"/>
      <c r="Y2744" s="17" t="n"/>
      <c r="Z2744" s="13">
        <f>SUMPRODUCT(N2744:Y2744,$N$2:$Y$2)*$K2744*$L2744*$M2744</f>
        <v/>
      </c>
      <c r="AA2744" s="14">
        <f>SUM(N2744:Y2744)</f>
        <v/>
      </c>
      <c r="AB2744" s="14">
        <f>IFERROR(IF(UPPER($E2744)="L",SUMPRODUCT(N2744:Y2744,$N$3:$Y$3,$N$2:$Y$2),SUMPRODUCT(N2744:Y2744,$N$4:$Y$4,$N$2:$Y$2))/(Z2744/($K2744*$L2744*$M2744)),"")</f>
        <v/>
      </c>
      <c r="AC2744" s="18" t="n"/>
    </row>
    <row r="2745">
      <c r="A2745" s="9" t="n">
        <v>672580</v>
      </c>
      <c r="B2745" s="9" t="inlineStr">
        <is>
          <t>Maikel Garcia</t>
        </is>
      </c>
      <c r="C2745" s="9" t="inlineStr">
        <is>
          <t>KC</t>
        </is>
      </c>
      <c r="D2745" s="9" t="n">
        <v>27</v>
      </c>
      <c r="E2745" s="16" t="inlineStr">
        <is>
          <t>R</t>
        </is>
      </c>
      <c r="F2745" s="16" t="inlineStr">
        <is>
          <t>3B</t>
        </is>
      </c>
      <c r="G2745" s="9" t="n">
        <v>344</v>
      </c>
      <c r="H2745" s="9" t="n">
        <v>2174</v>
      </c>
      <c r="I2745" s="9" t="inlineStr">
        <is>
          <t>Full Time</t>
        </is>
      </c>
      <c r="J2745" s="16" t="inlineStr">
        <is>
          <t>Opening Day</t>
        </is>
      </c>
      <c r="K2745" s="11">
        <f>IFERROR(INDEX(Roles!$B$17:$B$20,MATCH(J2745,Roles!$A$17:$A$20,0)),1)</f>
        <v/>
      </c>
      <c r="L2745" s="17" t="n">
        <v>1</v>
      </c>
      <c r="M2745" s="11" t="n">
        <v>0.9924995297406174</v>
      </c>
      <c r="N2745" s="17" t="n">
        <v>1</v>
      </c>
      <c r="O2745" s="17" t="n"/>
      <c r="P2745" s="17" t="n"/>
      <c r="Q2745" s="17" t="n"/>
      <c r="R2745" s="17" t="n"/>
      <c r="S2745" s="17" t="n"/>
      <c r="T2745" s="17" t="n"/>
      <c r="U2745" s="17" t="n"/>
      <c r="V2745" s="17" t="n"/>
      <c r="W2745" s="17" t="n"/>
      <c r="X2745" s="17" t="n"/>
      <c r="Y2745" s="17" t="n"/>
      <c r="Z2745" s="13">
        <f>SUMPRODUCT(N2745:Y2745,$N$2:$Y$2)*$K2745*$L2745*$M2745</f>
        <v/>
      </c>
      <c r="AA2745" s="14">
        <f>SUM(N2745:Y2745)</f>
        <v/>
      </c>
      <c r="AB2745" s="14">
        <f>IFERROR(IF(UPPER($E2745)="L",SUMPRODUCT(N2745:Y2745,$N$3:$Y$3,$N$2:$Y$2),SUMPRODUCT(N2745:Y2745,$N$4:$Y$4,$N$2:$Y$2))/(Z2745/($K2745*$L2745*$M2745)),"")</f>
        <v/>
      </c>
      <c r="AC2745" s="18" t="n"/>
    </row>
    <row r="2746">
      <c r="A2746" s="9" t="n">
        <v>675659</v>
      </c>
      <c r="B2746" s="9" t="inlineStr">
        <is>
          <t>Greg Jones</t>
        </is>
      </c>
      <c r="C2746" s="9" t="inlineStr">
        <is>
          <t>MIL</t>
        </is>
      </c>
      <c r="D2746" s="9" t="n">
        <v>29</v>
      </c>
      <c r="E2746" s="16" t="inlineStr">
        <is>
          <t>S</t>
        </is>
      </c>
      <c r="F2746" s="16" t="inlineStr">
        <is>
          <t>LF</t>
        </is>
      </c>
      <c r="G2746" s="9" t="n">
        <v>24</v>
      </c>
      <c r="H2746" s="9" t="n">
        <v>32</v>
      </c>
      <c r="I2746" s="9" t="inlineStr">
        <is>
          <t>Depth (no MLB PA)</t>
        </is>
      </c>
      <c r="J2746" s="16" t="inlineStr">
        <is>
          <t>Opening Day</t>
        </is>
      </c>
      <c r="K2746" s="11">
        <f>IFERROR(INDEX(Roles!$B$17:$B$20,MATCH(J2746,Roles!$A$17:$A$20,0)),1)</f>
        <v/>
      </c>
      <c r="L2746" s="17" t="n">
        <v>1</v>
      </c>
      <c r="M2746" s="11" t="n">
        <v>1</v>
      </c>
      <c r="N2746" s="17" t="n"/>
      <c r="O2746" s="17" t="n"/>
      <c r="P2746" s="17" t="n"/>
      <c r="Q2746" s="17" t="n"/>
      <c r="R2746" s="17" t="n"/>
      <c r="S2746" s="17" t="n"/>
      <c r="T2746" s="17" t="n"/>
      <c r="U2746" s="17" t="n"/>
      <c r="V2746" s="17" t="n"/>
      <c r="W2746" s="17" t="n"/>
      <c r="X2746" s="17" t="n"/>
      <c r="Y2746" s="17" t="n">
        <v>1</v>
      </c>
      <c r="Z2746" s="13">
        <f>SUMPRODUCT(N2746:Y2746,$N$2:$Y$2)*$K2746*$L2746*$M2746</f>
        <v/>
      </c>
      <c r="AA2746" s="14">
        <f>SUM(N2746:Y2746)</f>
        <v/>
      </c>
      <c r="AB2746" s="14">
        <f>IFERROR(IF(UPPER($E2746)="L",SUMPRODUCT(N2746:Y2746,$N$3:$Y$3,$N$2:$Y$2),SUMPRODUCT(N2746:Y2746,$N$4:$Y$4,$N$2:$Y$2))/(Z2746/($K2746*$L2746*$M2746)),"")</f>
        <v/>
      </c>
      <c r="AC2746" s="18" t="n"/>
    </row>
    <row r="2747">
      <c r="A2747" s="9" t="n">
        <v>669439</v>
      </c>
      <c r="B2747" s="9" t="inlineStr">
        <is>
          <t>Drew Swift</t>
        </is>
      </c>
      <c r="C2747" s="9" t="inlineStr">
        <is>
          <t>OAK</t>
        </is>
      </c>
      <c r="D2747" s="9" t="n">
        <v>25</v>
      </c>
      <c r="E2747" s="16" t="inlineStr">
        <is>
          <t>R</t>
        </is>
      </c>
      <c r="F2747" s="16" t="n"/>
      <c r="G2747" s="9" t="n">
        <v>266.2564102564103</v>
      </c>
      <c r="H2747" s="9" t="n">
        <v>266.2564102564103</v>
      </c>
      <c r="I2747" s="9" t="inlineStr">
        <is>
          <t>Depth (no MLB PA)</t>
        </is>
      </c>
      <c r="J2747" s="16" t="inlineStr">
        <is>
          <t>Opening Day</t>
        </is>
      </c>
      <c r="K2747" s="11">
        <f>IFERROR(INDEX(Roles!$B$17:$B$20,MATCH(J2747,Roles!$A$17:$A$20,0)),1)</f>
        <v/>
      </c>
      <c r="L2747" s="17" t="n">
        <v>1</v>
      </c>
      <c r="M2747" s="11" t="n">
        <v>1</v>
      </c>
      <c r="N2747" s="17" t="n"/>
      <c r="O2747" s="17" t="n"/>
      <c r="P2747" s="17" t="n"/>
      <c r="Q2747" s="17" t="n"/>
      <c r="R2747" s="17" t="n"/>
      <c r="S2747" s="17" t="n"/>
      <c r="T2747" s="17" t="n"/>
      <c r="U2747" s="17" t="n"/>
      <c r="V2747" s="17" t="n"/>
      <c r="W2747" s="17" t="n"/>
      <c r="X2747" s="17" t="n"/>
      <c r="Y2747" s="17" t="n">
        <v>1</v>
      </c>
      <c r="Z2747" s="13">
        <f>SUMPRODUCT(N2747:Y2747,$N$2:$Y$2)*$K2747*$L2747*$M2747</f>
        <v/>
      </c>
      <c r="AA2747" s="14">
        <f>SUM(N2747:Y2747)</f>
        <v/>
      </c>
      <c r="AB2747" s="14">
        <f>IFERROR(IF(UPPER($E2747)="L",SUMPRODUCT(N2747:Y2747,$N$3:$Y$3,$N$2:$Y$2),SUMPRODUCT(N2747:Y2747,$N$4:$Y$4,$N$2:$Y$2))/(Z2747/($K2747*$L2747*$M2747)),"")</f>
        <v/>
      </c>
      <c r="AC2747" s="18" t="n"/>
    </row>
    <row r="2748">
      <c r="A2748" s="9" t="n">
        <v>641432</v>
      </c>
      <c r="B2748" s="9" t="inlineStr">
        <is>
          <t>Willie Calhoun</t>
        </is>
      </c>
      <c r="C2748" s="9" t="inlineStr">
        <is>
          <t>LAA</t>
        </is>
      </c>
      <c r="D2748" s="9" t="n">
        <v>32</v>
      </c>
      <c r="E2748" s="16" t="inlineStr">
        <is>
          <t>L</t>
        </is>
      </c>
      <c r="F2748" s="16" t="inlineStr">
        <is>
          <t>1B</t>
        </is>
      </c>
      <c r="G2748" s="9" t="n">
        <v>254</v>
      </c>
      <c r="H2748" s="9" t="n">
        <v>465</v>
      </c>
      <c r="I2748" s="9" t="inlineStr">
        <is>
          <t>Depth (no MLB PA)</t>
        </is>
      </c>
      <c r="J2748" s="16" t="inlineStr">
        <is>
          <t>Opening Day</t>
        </is>
      </c>
      <c r="K2748" s="11">
        <f>IFERROR(INDEX(Roles!$B$17:$B$20,MATCH(J2748,Roles!$A$17:$A$20,0)),1)</f>
        <v/>
      </c>
      <c r="L2748" s="17" t="n">
        <v>1</v>
      </c>
      <c r="M2748" s="11" t="n">
        <v>1</v>
      </c>
      <c r="N2748" s="17" t="n"/>
      <c r="O2748" s="17" t="n"/>
      <c r="P2748" s="17" t="n"/>
      <c r="Q2748" s="17" t="n"/>
      <c r="R2748" s="17" t="n"/>
      <c r="S2748" s="17" t="n"/>
      <c r="T2748" s="17" t="n"/>
      <c r="U2748" s="17" t="n"/>
      <c r="V2748" s="17" t="n"/>
      <c r="W2748" s="17" t="n"/>
      <c r="X2748" s="17" t="n"/>
      <c r="Y2748" s="17" t="n">
        <v>1</v>
      </c>
      <c r="Z2748" s="13">
        <f>SUMPRODUCT(N2748:Y2748,$N$2:$Y$2)*$K2748*$L2748*$M2748</f>
        <v/>
      </c>
      <c r="AA2748" s="14">
        <f>SUM(N2748:Y2748)</f>
        <v/>
      </c>
      <c r="AB2748" s="14">
        <f>IFERROR(IF(UPPER($E2748)="L",SUMPRODUCT(N2748:Y2748,$N$3:$Y$3,$N$2:$Y$2),SUMPRODUCT(N2748:Y2748,$N$4:$Y$4,$N$2:$Y$2))/(Z2748/($K2748*$L2748*$M2748)),"")</f>
        <v/>
      </c>
      <c r="AC2748" s="18" t="n"/>
    </row>
    <row r="2749">
      <c r="A2749" s="9" t="n">
        <v>699912</v>
      </c>
      <c r="B2749" s="9" t="inlineStr">
        <is>
          <t>Jose Fernandez</t>
        </is>
      </c>
      <c r="C2749" s="9" t="inlineStr">
        <is>
          <t>ARI</t>
        </is>
      </c>
      <c r="D2749" s="9" t="n">
        <v>23</v>
      </c>
      <c r="E2749" s="16" t="inlineStr">
        <is>
          <t>R</t>
        </is>
      </c>
      <c r="F2749" s="16" t="inlineStr">
        <is>
          <t>1B</t>
        </is>
      </c>
      <c r="G2749" s="9" t="n">
        <v>222</v>
      </c>
      <c r="H2749" s="9" t="n">
        <v>222</v>
      </c>
      <c r="I2749" s="9" t="inlineStr">
        <is>
          <t>Utility IF</t>
        </is>
      </c>
      <c r="J2749" s="16" t="inlineStr">
        <is>
          <t>Opening Day</t>
        </is>
      </c>
      <c r="K2749" s="11">
        <f>IFERROR(INDEX(Roles!$B$17:$B$20,MATCH(J2749,Roles!$A$17:$A$20,0)),1)</f>
        <v/>
      </c>
      <c r="L2749" s="17" t="n">
        <v>1</v>
      </c>
      <c r="M2749" s="11" t="n">
        <v>1</v>
      </c>
      <c r="N2749" s="17" t="n"/>
      <c r="O2749" s="17" t="n"/>
      <c r="P2749" s="17" t="n"/>
      <c r="Q2749" s="17" t="n"/>
      <c r="R2749" s="17" t="n"/>
      <c r="S2749" s="17" t="n"/>
      <c r="T2749" s="17" t="n"/>
      <c r="U2749" s="17" t="n">
        <v>0.7</v>
      </c>
      <c r="V2749" s="17" t="n"/>
      <c r="W2749" s="17" t="n">
        <v>0.3</v>
      </c>
      <c r="X2749" s="17" t="n"/>
      <c r="Y2749" s="17" t="n"/>
      <c r="Z2749" s="13">
        <f>SUMPRODUCT(N2749:Y2749,$N$2:$Y$2)*$K2749*$L2749*$M2749</f>
        <v/>
      </c>
      <c r="AA2749" s="14">
        <f>SUM(N2749:Y2749)</f>
        <v/>
      </c>
      <c r="AB2749" s="14">
        <f>IFERROR(IF(UPPER($E2749)="L",SUMPRODUCT(N2749:Y2749,$N$3:$Y$3,$N$2:$Y$2),SUMPRODUCT(N2749:Y2749,$N$4:$Y$4,$N$2:$Y$2))/(Z2749/($K2749*$L2749*$M2749)),"")</f>
        <v/>
      </c>
      <c r="AC2749" s="18" t="n"/>
    </row>
    <row r="2750">
      <c r="A2750" s="9" t="n">
        <v>657077</v>
      </c>
      <c r="B2750" s="9" t="inlineStr">
        <is>
          <t>Alex Verdugo</t>
        </is>
      </c>
      <c r="C2750" s="9" t="inlineStr">
        <is>
          <t>ATL</t>
        </is>
      </c>
      <c r="D2750" s="9" t="n">
        <v>31</v>
      </c>
      <c r="E2750" s="16" t="inlineStr">
        <is>
          <t>L</t>
        </is>
      </c>
      <c r="F2750" s="16" t="inlineStr">
        <is>
          <t>LF</t>
        </is>
      </c>
      <c r="G2750" s="9" t="n">
        <v>213</v>
      </c>
      <c r="H2750" s="9" t="n">
        <v>2080</v>
      </c>
      <c r="I2750" s="9" t="inlineStr">
        <is>
          <t>Full Time</t>
        </is>
      </c>
      <c r="J2750" s="16" t="inlineStr">
        <is>
          <t>Opening Day</t>
        </is>
      </c>
      <c r="K2750" s="11">
        <f>IFERROR(INDEX(Roles!$B$17:$B$20,MATCH(J2750,Roles!$A$17:$A$20,0)),1)</f>
        <v/>
      </c>
      <c r="L2750" s="17" t="n">
        <v>1</v>
      </c>
      <c r="M2750" s="11" t="n">
        <v>0.8461039824145403</v>
      </c>
      <c r="N2750" s="17" t="n">
        <v>1</v>
      </c>
      <c r="O2750" s="17" t="n"/>
      <c r="P2750" s="17" t="n"/>
      <c r="Q2750" s="17" t="n"/>
      <c r="R2750" s="17" t="n"/>
      <c r="S2750" s="17" t="n"/>
      <c r="T2750" s="17" t="n"/>
      <c r="U2750" s="17" t="n"/>
      <c r="V2750" s="17" t="n"/>
      <c r="W2750" s="17" t="n"/>
      <c r="X2750" s="17" t="n"/>
      <c r="Y2750" s="17" t="n"/>
      <c r="Z2750" s="13">
        <f>SUMPRODUCT(N2750:Y2750,$N$2:$Y$2)*$K2750*$L2750*$M2750</f>
        <v/>
      </c>
      <c r="AA2750" s="14">
        <f>SUM(N2750:Y2750)</f>
        <v/>
      </c>
      <c r="AB2750" s="14">
        <f>IFERROR(IF(UPPER($E2750)="L",SUMPRODUCT(N2750:Y2750,$N$3:$Y$3,$N$2:$Y$2),SUMPRODUCT(N2750:Y2750,$N$4:$Y$4,$N$2:$Y$2))/(Z2750/($K2750*$L2750*$M2750)),"")</f>
        <v/>
      </c>
      <c r="AC2750" s="18" t="n"/>
    </row>
    <row r="2751">
      <c r="A2751" s="9" t="n">
        <v>656716</v>
      </c>
      <c r="B2751" s="9" t="inlineStr">
        <is>
          <t>Zach McKinstry</t>
        </is>
      </c>
      <c r="C2751" s="9" t="inlineStr">
        <is>
          <t>DET</t>
        </is>
      </c>
      <c r="D2751" s="9" t="n">
        <v>32</v>
      </c>
      <c r="E2751" s="16" t="inlineStr">
        <is>
          <t>L</t>
        </is>
      </c>
      <c r="F2751" s="16" t="inlineStr">
        <is>
          <t>RF</t>
        </is>
      </c>
      <c r="G2751" s="9" t="n">
        <v>423</v>
      </c>
      <c r="H2751" s="9" t="n">
        <v>1962</v>
      </c>
      <c r="I2751" s="9" t="inlineStr">
        <is>
          <t>Bench Bat</t>
        </is>
      </c>
      <c r="J2751" s="16" t="inlineStr">
        <is>
          <t>Opening Day</t>
        </is>
      </c>
      <c r="K2751" s="11">
        <f>IFERROR(INDEX(Roles!$B$17:$B$20,MATCH(J2751,Roles!$A$17:$A$20,0)),1)</f>
        <v/>
      </c>
      <c r="L2751" s="17" t="n">
        <v>1</v>
      </c>
      <c r="M2751" s="11" t="n">
        <v>1.15</v>
      </c>
      <c r="N2751" s="17" t="n"/>
      <c r="O2751" s="17" t="n"/>
      <c r="P2751" s="17" t="n"/>
      <c r="Q2751" s="17" t="n"/>
      <c r="R2751" s="17" t="n"/>
      <c r="S2751" s="17" t="n"/>
      <c r="T2751" s="17" t="n"/>
      <c r="U2751" s="17" t="n">
        <v>0.4</v>
      </c>
      <c r="V2751" s="17" t="n"/>
      <c r="W2751" s="17" t="n">
        <v>0.6</v>
      </c>
      <c r="X2751" s="17" t="n"/>
      <c r="Y2751" s="17" t="n"/>
      <c r="Z2751" s="13">
        <f>SUMPRODUCT(N2751:Y2751,$N$2:$Y$2)*$K2751*$L2751*$M2751</f>
        <v/>
      </c>
      <c r="AA2751" s="14">
        <f>SUM(N2751:Y2751)</f>
        <v/>
      </c>
      <c r="AB2751" s="14">
        <f>IFERROR(IF(UPPER($E2751)="L",SUMPRODUCT(N2751:Y2751,$N$3:$Y$3,$N$2:$Y$2),SUMPRODUCT(N2751:Y2751,$N$4:$Y$4,$N$2:$Y$2))/(Z2751/($K2751*$L2751*$M2751)),"")</f>
        <v/>
      </c>
      <c r="AC2751" s="18" t="n"/>
    </row>
    <row r="2752">
      <c r="A2752" s="9" t="n">
        <v>570482</v>
      </c>
      <c r="B2752" s="9" t="inlineStr">
        <is>
          <t>Gio Urshela</t>
        </is>
      </c>
      <c r="C2752" s="9" t="inlineStr">
        <is>
          <t>OAK</t>
        </is>
      </c>
      <c r="D2752" s="9" t="n">
        <v>35</v>
      </c>
      <c r="E2752" s="16" t="inlineStr">
        <is>
          <t>R</t>
        </is>
      </c>
      <c r="F2752" s="16" t="inlineStr">
        <is>
          <t>3B</t>
        </is>
      </c>
      <c r="G2752" s="9" t="n">
        <v>197</v>
      </c>
      <c r="H2752" s="9" t="n">
        <v>1437</v>
      </c>
      <c r="I2752" s="9" t="inlineStr">
        <is>
          <t>Bench Bat</t>
        </is>
      </c>
      <c r="J2752" s="16" t="inlineStr">
        <is>
          <t>Opening Day</t>
        </is>
      </c>
      <c r="K2752" s="11">
        <f>IFERROR(INDEX(Roles!$B$17:$B$20,MATCH(J2752,Roles!$A$17:$A$20,0)),1)</f>
        <v/>
      </c>
      <c r="L2752" s="17" t="n">
        <v>1</v>
      </c>
      <c r="M2752" s="11" t="n">
        <v>0.980785885690401</v>
      </c>
      <c r="N2752" s="17" t="n"/>
      <c r="O2752" s="17" t="n"/>
      <c r="P2752" s="17" t="n"/>
      <c r="Q2752" s="17" t="n"/>
      <c r="R2752" s="17" t="n"/>
      <c r="S2752" s="17" t="n"/>
      <c r="T2752" s="17" t="n"/>
      <c r="U2752" s="17" t="n"/>
      <c r="V2752" s="17" t="n"/>
      <c r="W2752" s="17" t="n">
        <v>1</v>
      </c>
      <c r="X2752" s="17" t="n"/>
      <c r="Y2752" s="17" t="n"/>
      <c r="Z2752" s="13">
        <f>SUMPRODUCT(N2752:Y2752,$N$2:$Y$2)*$K2752*$L2752*$M2752</f>
        <v/>
      </c>
      <c r="AA2752" s="14">
        <f>SUM(N2752:Y2752)</f>
        <v/>
      </c>
      <c r="AB2752" s="14">
        <f>IFERROR(IF(UPPER($E2752)="L",SUMPRODUCT(N2752:Y2752,$N$3:$Y$3,$N$2:$Y$2),SUMPRODUCT(N2752:Y2752,$N$4:$Y$4,$N$2:$Y$2))/(Z2752/($K2752*$L2752*$M2752)),"")</f>
        <v/>
      </c>
      <c r="AC2752" s="18" t="n"/>
    </row>
    <row r="2753">
      <c r="A2753" s="9" t="n">
        <v>676632</v>
      </c>
      <c r="B2753" s="9" t="inlineStr">
        <is>
          <t>Bligh Madris</t>
        </is>
      </c>
      <c r="C2753" s="9" t="inlineStr">
        <is>
          <t>DET</t>
        </is>
      </c>
      <c r="D2753" s="9" t="n">
        <v>31</v>
      </c>
      <c r="E2753" s="16" t="inlineStr">
        <is>
          <t>L</t>
        </is>
      </c>
      <c r="F2753" s="16" t="inlineStr">
        <is>
          <t>1B</t>
        </is>
      </c>
      <c r="G2753" s="9" t="n">
        <v>75</v>
      </c>
      <c r="H2753" s="9" t="n">
        <v>228</v>
      </c>
      <c r="I2753" s="9" t="inlineStr">
        <is>
          <t>Depth (no MLB PA)</t>
        </is>
      </c>
      <c r="J2753" s="16" t="inlineStr">
        <is>
          <t>Opening Day</t>
        </is>
      </c>
      <c r="K2753" s="11">
        <f>IFERROR(INDEX(Roles!$B$17:$B$20,MATCH(J2753,Roles!$A$17:$A$20,0)),1)</f>
        <v/>
      </c>
      <c r="L2753" s="17" t="n">
        <v>1</v>
      </c>
      <c r="M2753" s="11" t="n">
        <v>1</v>
      </c>
      <c r="N2753" s="17" t="n"/>
      <c r="O2753" s="17" t="n"/>
      <c r="P2753" s="17" t="n"/>
      <c r="Q2753" s="17" t="n"/>
      <c r="R2753" s="17" t="n"/>
      <c r="S2753" s="17" t="n"/>
      <c r="T2753" s="17" t="n"/>
      <c r="U2753" s="17" t="n"/>
      <c r="V2753" s="17" t="n"/>
      <c r="W2753" s="17" t="n"/>
      <c r="X2753" s="17" t="n"/>
      <c r="Y2753" s="17" t="n">
        <v>1</v>
      </c>
      <c r="Z2753" s="13">
        <f>SUMPRODUCT(N2753:Y2753,$N$2:$Y$2)*$K2753*$L2753*$M2753</f>
        <v/>
      </c>
      <c r="AA2753" s="14">
        <f>SUM(N2753:Y2753)</f>
        <v/>
      </c>
      <c r="AB2753" s="14">
        <f>IFERROR(IF(UPPER($E2753)="L",SUMPRODUCT(N2753:Y2753,$N$3:$Y$3,$N$2:$Y$2),SUMPRODUCT(N2753:Y2753,$N$4:$Y$4,$N$2:$Y$2))/(Z2753/($K2753*$L2753*$M2753)),"")</f>
        <v/>
      </c>
      <c r="AC2753" s="18" t="n"/>
    </row>
    <row r="2754">
      <c r="A2754" s="9" t="n">
        <v>691594</v>
      </c>
      <c r="B2754" s="9" t="inlineStr">
        <is>
          <t>Javier Sanoja</t>
        </is>
      </c>
      <c r="C2754" s="9" t="inlineStr">
        <is>
          <t>MIA</t>
        </is>
      </c>
      <c r="D2754" s="9" t="n">
        <v>24</v>
      </c>
      <c r="E2754" s="16" t="inlineStr">
        <is>
          <t>R</t>
        </is>
      </c>
      <c r="F2754" s="16" t="inlineStr">
        <is>
          <t>3B</t>
        </is>
      </c>
      <c r="G2754" s="9" t="n">
        <v>490</v>
      </c>
      <c r="H2754" s="9" t="n">
        <v>868</v>
      </c>
      <c r="I2754" s="9" t="inlineStr">
        <is>
          <t>Full Time</t>
        </is>
      </c>
      <c r="J2754" s="16" t="inlineStr">
        <is>
          <t>Opening Day</t>
        </is>
      </c>
      <c r="K2754" s="11">
        <f>IFERROR(INDEX(Roles!$B$17:$B$20,MATCH(J2754,Roles!$A$17:$A$20,0)),1)</f>
        <v/>
      </c>
      <c r="L2754" s="17" t="n">
        <v>1</v>
      </c>
      <c r="M2754" s="11" t="n">
        <v>1.030747470866482</v>
      </c>
      <c r="N2754" s="17" t="n">
        <v>0.75</v>
      </c>
      <c r="O2754" s="17" t="n"/>
      <c r="P2754" s="17" t="n">
        <v>0.25</v>
      </c>
      <c r="Q2754" s="17" t="n"/>
      <c r="R2754" s="17" t="n"/>
      <c r="S2754" s="17" t="n"/>
      <c r="T2754" s="17" t="n"/>
      <c r="U2754" s="17" t="n"/>
      <c r="V2754" s="17" t="n"/>
      <c r="W2754" s="17" t="n"/>
      <c r="X2754" s="17" t="n"/>
      <c r="Y2754" s="17" t="n"/>
      <c r="Z2754" s="13">
        <f>SUMPRODUCT(N2754:Y2754,$N$2:$Y$2)*$K2754*$L2754*$M2754</f>
        <v/>
      </c>
      <c r="AA2754" s="14">
        <f>SUM(N2754:Y2754)</f>
        <v/>
      </c>
      <c r="AB2754" s="14">
        <f>IFERROR(IF(UPPER($E2754)="L",SUMPRODUCT(N2754:Y2754,$N$3:$Y$3,$N$2:$Y$2),SUMPRODUCT(N2754:Y2754,$N$4:$Y$4,$N$2:$Y$2))/(Z2754/($K2754*$L2754*$M2754)),"")</f>
        <v/>
      </c>
      <c r="AC2754" s="18" t="n"/>
    </row>
    <row r="2755">
      <c r="A2755" s="9" t="n">
        <v>686555</v>
      </c>
      <c r="B2755" s="9" t="inlineStr">
        <is>
          <t>Isaac Collins</t>
        </is>
      </c>
      <c r="C2755" s="9" t="inlineStr">
        <is>
          <t>KC</t>
        </is>
      </c>
      <c r="D2755" s="9" t="n">
        <v>29</v>
      </c>
      <c r="E2755" s="16" t="inlineStr">
        <is>
          <t>S</t>
        </is>
      </c>
      <c r="F2755" s="16" t="inlineStr">
        <is>
          <t>LF</t>
        </is>
      </c>
      <c r="G2755" s="9" t="n">
        <v>519</v>
      </c>
      <c r="H2755" s="9" t="n">
        <v>979</v>
      </c>
      <c r="I2755" s="9" t="inlineStr">
        <is>
          <t>Weak Side Platoon</t>
        </is>
      </c>
      <c r="J2755" s="16" t="inlineStr">
        <is>
          <t>Opening Day</t>
        </is>
      </c>
      <c r="K2755" s="11">
        <f>IFERROR(INDEX(Roles!$B$17:$B$20,MATCH(J2755,Roles!$A$17:$A$20,0)),1)</f>
        <v/>
      </c>
      <c r="L2755" s="17" t="n">
        <v>1</v>
      </c>
      <c r="M2755" s="11" t="n">
        <v>1.139712016417649</v>
      </c>
      <c r="N2755" s="17" t="n"/>
      <c r="O2755" s="17" t="n"/>
      <c r="P2755" s="17" t="n"/>
      <c r="Q2755" s="17" t="n">
        <v>0.6</v>
      </c>
      <c r="R2755" s="17" t="n"/>
      <c r="S2755" s="17" t="n"/>
      <c r="T2755" s="17" t="n"/>
      <c r="U2755" s="17" t="n"/>
      <c r="V2755" s="17" t="n">
        <v>0.4</v>
      </c>
      <c r="W2755" s="17" t="n"/>
      <c r="X2755" s="17" t="n"/>
      <c r="Y2755" s="17" t="n"/>
      <c r="Z2755" s="13">
        <f>SUMPRODUCT(N2755:Y2755,$N$2:$Y$2)*$K2755*$L2755*$M2755</f>
        <v/>
      </c>
      <c r="AA2755" s="14">
        <f>SUM(N2755:Y2755)</f>
        <v/>
      </c>
      <c r="AB2755" s="14">
        <f>IFERROR(IF(UPPER($E2755)="L",SUMPRODUCT(N2755:Y2755,$N$3:$Y$3,$N$2:$Y$2),SUMPRODUCT(N2755:Y2755,$N$4:$Y$4,$N$2:$Y$2))/(Z2755/($K2755*$L2755*$M2755)),"")</f>
        <v/>
      </c>
      <c r="AC2755" s="18" t="n"/>
    </row>
    <row r="2756">
      <c r="A2756" s="9" t="n">
        <v>694377</v>
      </c>
      <c r="B2756" s="9" t="inlineStr">
        <is>
          <t>Nick Yorke</t>
        </is>
      </c>
      <c r="C2756" s="9" t="inlineStr">
        <is>
          <t>PIT</t>
        </is>
      </c>
      <c r="D2756" s="9" t="n">
        <v>25</v>
      </c>
      <c r="E2756" s="16" t="inlineStr">
        <is>
          <t>R</t>
        </is>
      </c>
      <c r="F2756" s="16" t="inlineStr">
        <is>
          <t>3B</t>
        </is>
      </c>
      <c r="G2756" s="9" t="n">
        <v>117</v>
      </c>
      <c r="H2756" s="9" t="n">
        <v>231</v>
      </c>
      <c r="I2756" s="9" t="inlineStr">
        <is>
          <t>Bench Bat</t>
        </is>
      </c>
      <c r="J2756" s="16" t="inlineStr">
        <is>
          <t>Opening Day</t>
        </is>
      </c>
      <c r="K2756" s="11">
        <f>IFERROR(INDEX(Roles!$B$17:$B$20,MATCH(J2756,Roles!$A$17:$A$20,0)),1)</f>
        <v/>
      </c>
      <c r="L2756" s="17" t="n">
        <v>1</v>
      </c>
      <c r="M2756" s="11" t="n">
        <v>1</v>
      </c>
      <c r="N2756" s="17" t="n"/>
      <c r="O2756" s="17" t="n"/>
      <c r="P2756" s="17" t="n"/>
      <c r="Q2756" s="17" t="n"/>
      <c r="R2756" s="17" t="n"/>
      <c r="S2756" s="17" t="n"/>
      <c r="T2756" s="17" t="n"/>
      <c r="U2756" s="17" t="n"/>
      <c r="V2756" s="17" t="n"/>
      <c r="W2756" s="17" t="n">
        <v>1</v>
      </c>
      <c r="X2756" s="17" t="n"/>
      <c r="Y2756" s="17" t="n"/>
      <c r="Z2756" s="13">
        <f>SUMPRODUCT(N2756:Y2756,$N$2:$Y$2)*$K2756*$L2756*$M2756</f>
        <v/>
      </c>
      <c r="AA2756" s="14">
        <f>SUM(N2756:Y2756)</f>
        <v/>
      </c>
      <c r="AB2756" s="14">
        <f>IFERROR(IF(UPPER($E2756)="L",SUMPRODUCT(N2756:Y2756,$N$3:$Y$3,$N$2:$Y$2),SUMPRODUCT(N2756:Y2756,$N$4:$Y$4,$N$2:$Y$2))/(Z2756/($K2756*$L2756*$M2756)),"")</f>
        <v/>
      </c>
      <c r="AC2756" s="18" t="n"/>
    </row>
    <row r="2757">
      <c r="A2757" s="9" t="n">
        <v>623912</v>
      </c>
      <c r="B2757" s="9" t="inlineStr">
        <is>
          <t>Harold Ramírez</t>
        </is>
      </c>
      <c r="C2757" s="9" t="inlineStr">
        <is>
          <t>WSH</t>
        </is>
      </c>
      <c r="D2757" s="9" t="n">
        <v>32</v>
      </c>
      <c r="E2757" s="16" t="inlineStr">
        <is>
          <t>R</t>
        </is>
      </c>
      <c r="F2757" s="16" t="inlineStr">
        <is>
          <t>RF</t>
        </is>
      </c>
      <c r="G2757" s="9" t="n">
        <v>246</v>
      </c>
      <c r="H2757" s="9" t="n">
        <v>1115</v>
      </c>
      <c r="I2757" s="9" t="inlineStr">
        <is>
          <t>Depth (no MLB PA)</t>
        </is>
      </c>
      <c r="J2757" s="16" t="inlineStr">
        <is>
          <t>Opening Day</t>
        </is>
      </c>
      <c r="K2757" s="11">
        <f>IFERROR(INDEX(Roles!$B$17:$B$20,MATCH(J2757,Roles!$A$17:$A$20,0)),1)</f>
        <v/>
      </c>
      <c r="L2757" s="17" t="n">
        <v>1</v>
      </c>
      <c r="M2757" s="11" t="n">
        <v>1</v>
      </c>
      <c r="N2757" s="17" t="n"/>
      <c r="O2757" s="17" t="n"/>
      <c r="P2757" s="17" t="n"/>
      <c r="Q2757" s="17" t="n"/>
      <c r="R2757" s="17" t="n"/>
      <c r="S2757" s="17" t="n"/>
      <c r="T2757" s="17" t="n"/>
      <c r="U2757" s="17" t="n"/>
      <c r="V2757" s="17" t="n"/>
      <c r="W2757" s="17" t="n"/>
      <c r="X2757" s="17" t="n"/>
      <c r="Y2757" s="17" t="n">
        <v>1</v>
      </c>
      <c r="Z2757" s="13">
        <f>SUMPRODUCT(N2757:Y2757,$N$2:$Y$2)*$K2757*$L2757*$M2757</f>
        <v/>
      </c>
      <c r="AA2757" s="14">
        <f>SUM(N2757:Y2757)</f>
        <v/>
      </c>
      <c r="AB2757" s="14">
        <f>IFERROR(IF(UPPER($E2757)="L",SUMPRODUCT(N2757:Y2757,$N$3:$Y$3,$N$2:$Y$2),SUMPRODUCT(N2757:Y2757,$N$4:$Y$4,$N$2:$Y$2))/(Z2757/($K2757*$L2757*$M2757)),"")</f>
        <v/>
      </c>
      <c r="AC2757" s="18" t="n"/>
    </row>
    <row r="2758">
      <c r="A2758" s="9" t="n">
        <v>803011</v>
      </c>
      <c r="B2758" s="9" t="inlineStr">
        <is>
          <t>Sam Antonacci</t>
        </is>
      </c>
      <c r="C2758" s="9" t="inlineStr">
        <is>
          <t>CWS</t>
        </is>
      </c>
      <c r="D2758" s="9" t="n">
        <v>24</v>
      </c>
      <c r="E2758" s="16" t="inlineStr">
        <is>
          <t>L</t>
        </is>
      </c>
      <c r="F2758" s="16" t="inlineStr">
        <is>
          <t>LF</t>
        </is>
      </c>
      <c r="G2758" s="9" t="n">
        <v>557</v>
      </c>
      <c r="H2758" s="9" t="n">
        <v>557</v>
      </c>
      <c r="I2758" s="9" t="inlineStr">
        <is>
          <t>Full Time</t>
        </is>
      </c>
      <c r="J2758" s="16" t="inlineStr">
        <is>
          <t>Opening Day</t>
        </is>
      </c>
      <c r="K2758" s="11">
        <f>IFERROR(INDEX(Roles!$B$17:$B$20,MATCH(J2758,Roles!$A$17:$A$20,0)),1)</f>
        <v/>
      </c>
      <c r="L2758" s="17" t="n">
        <v>1</v>
      </c>
      <c r="M2758" s="11" t="n">
        <v>1.070530633128579</v>
      </c>
      <c r="N2758" s="17" t="n">
        <v>0.7</v>
      </c>
      <c r="O2758" s="17" t="n"/>
      <c r="P2758" s="17" t="n">
        <v>0.3</v>
      </c>
      <c r="Q2758" s="17" t="n"/>
      <c r="R2758" s="17" t="n"/>
      <c r="S2758" s="17" t="n"/>
      <c r="T2758" s="17" t="n"/>
      <c r="U2758" s="17" t="n"/>
      <c r="V2758" s="17" t="n"/>
      <c r="W2758" s="17" t="n"/>
      <c r="X2758" s="17" t="n"/>
      <c r="Y2758" s="17" t="n"/>
      <c r="Z2758" s="13">
        <f>SUMPRODUCT(N2758:Y2758,$N$2:$Y$2)*$K2758*$L2758*$M2758</f>
        <v/>
      </c>
      <c r="AA2758" s="14">
        <f>SUM(N2758:Y2758)</f>
        <v/>
      </c>
      <c r="AB2758" s="14">
        <f>IFERROR(IF(UPPER($E2758)="L",SUMPRODUCT(N2758:Y2758,$N$3:$Y$3,$N$2:$Y$2),SUMPRODUCT(N2758:Y2758,$N$4:$Y$4,$N$2:$Y$2))/(Z2758/($K2758*$L2758*$M2758)),"")</f>
        <v/>
      </c>
      <c r="AC2758" s="18" t="n"/>
    </row>
    <row r="2759">
      <c r="A2759" s="9" t="n">
        <v>694362</v>
      </c>
      <c r="B2759" s="9" t="inlineStr">
        <is>
          <t>Blake Dunn</t>
        </is>
      </c>
      <c r="C2759" s="9" t="inlineStr">
        <is>
          <t>CIN</t>
        </is>
      </c>
      <c r="D2759" s="9" t="n">
        <v>28</v>
      </c>
      <c r="E2759" s="16" t="inlineStr">
        <is>
          <t>R</t>
        </is>
      </c>
      <c r="F2759" s="16" t="inlineStr">
        <is>
          <t>CF</t>
        </is>
      </c>
      <c r="G2759" s="9" t="n">
        <v>155</v>
      </c>
      <c r="H2759" s="9" t="n">
        <v>259</v>
      </c>
      <c r="I2759" s="9" t="inlineStr">
        <is>
          <t>Injury Replacement / 26th Man</t>
        </is>
      </c>
      <c r="J2759" s="16" t="inlineStr">
        <is>
          <t>Opening Day</t>
        </is>
      </c>
      <c r="K2759" s="11">
        <f>IFERROR(INDEX(Roles!$B$17:$B$20,MATCH(J2759,Roles!$A$17:$A$20,0)),1)</f>
        <v/>
      </c>
      <c r="L2759" s="17" t="n">
        <v>1</v>
      </c>
      <c r="M2759" s="11" t="n">
        <v>1</v>
      </c>
      <c r="N2759" s="17" t="n"/>
      <c r="O2759" s="17" t="n"/>
      <c r="P2759" s="17" t="n"/>
      <c r="Q2759" s="17" t="n"/>
      <c r="R2759" s="17" t="n"/>
      <c r="S2759" s="17" t="n"/>
      <c r="T2759" s="17" t="n"/>
      <c r="U2759" s="17" t="n"/>
      <c r="V2759" s="17" t="n"/>
      <c r="W2759" s="17" t="n">
        <v>0.15</v>
      </c>
      <c r="X2759" s="17" t="n">
        <v>0.85</v>
      </c>
      <c r="Y2759" s="17" t="n"/>
      <c r="Z2759" s="13">
        <f>SUMPRODUCT(N2759:Y2759,$N$2:$Y$2)*$K2759*$L2759*$M2759</f>
        <v/>
      </c>
      <c r="AA2759" s="14">
        <f>SUM(N2759:Y2759)</f>
        <v/>
      </c>
      <c r="AB2759" s="14">
        <f>IFERROR(IF(UPPER($E2759)="L",SUMPRODUCT(N2759:Y2759,$N$3:$Y$3,$N$2:$Y$2),SUMPRODUCT(N2759:Y2759,$N$4:$Y$4,$N$2:$Y$2))/(Z2759/($K2759*$L2759*$M2759)),"")</f>
        <v/>
      </c>
      <c r="AC2759" s="18" t="n"/>
    </row>
    <row r="2760">
      <c r="A2760" s="9" t="n">
        <v>621028</v>
      </c>
      <c r="B2760" s="9" t="inlineStr">
        <is>
          <t>Kevin Newman</t>
        </is>
      </c>
      <c r="C2760" s="9" t="inlineStr">
        <is>
          <t>LAA</t>
        </is>
      </c>
      <c r="D2760" s="9" t="n">
        <v>33</v>
      </c>
      <c r="E2760" s="16" t="inlineStr">
        <is>
          <t>R</t>
        </is>
      </c>
      <c r="F2760" s="16" t="inlineStr">
        <is>
          <t>3B</t>
        </is>
      </c>
      <c r="G2760" s="9" t="n">
        <v>116</v>
      </c>
      <c r="H2760" s="9" t="n">
        <v>989</v>
      </c>
      <c r="I2760" s="9" t="inlineStr">
        <is>
          <t>Bench Bat</t>
        </is>
      </c>
      <c r="J2760" s="16" t="inlineStr">
        <is>
          <t>Opening Day</t>
        </is>
      </c>
      <c r="K2760" s="11">
        <f>IFERROR(INDEX(Roles!$B$17:$B$20,MATCH(J2760,Roles!$A$17:$A$20,0)),1)</f>
        <v/>
      </c>
      <c r="L2760" s="17" t="n">
        <v>1</v>
      </c>
      <c r="M2760" s="11" t="n">
        <v>0.9486168709544944</v>
      </c>
      <c r="N2760" s="17" t="n"/>
      <c r="O2760" s="17" t="n"/>
      <c r="P2760" s="17" t="n"/>
      <c r="Q2760" s="17" t="n"/>
      <c r="R2760" s="17" t="n"/>
      <c r="S2760" s="17" t="n"/>
      <c r="T2760" s="17" t="n"/>
      <c r="U2760" s="17" t="n"/>
      <c r="V2760" s="17" t="n"/>
      <c r="W2760" s="17" t="n">
        <v>1</v>
      </c>
      <c r="X2760" s="17" t="n"/>
      <c r="Y2760" s="17" t="n"/>
      <c r="Z2760" s="13">
        <f>SUMPRODUCT(N2760:Y2760,$N$2:$Y$2)*$K2760*$L2760*$M2760</f>
        <v/>
      </c>
      <c r="AA2760" s="14">
        <f>SUM(N2760:Y2760)</f>
        <v/>
      </c>
      <c r="AB2760" s="14">
        <f>IFERROR(IF(UPPER($E2760)="L",SUMPRODUCT(N2760:Y2760,$N$3:$Y$3,$N$2:$Y$2),SUMPRODUCT(N2760:Y2760,$N$4:$Y$4,$N$2:$Y$2))/(Z2760/($K2760*$L2760*$M2760)),"")</f>
        <v/>
      </c>
      <c r="AC2760" s="18" t="n"/>
    </row>
    <row r="2761">
      <c r="A2761" s="9" t="n">
        <v>621035</v>
      </c>
      <c r="B2761" s="9" t="inlineStr">
        <is>
          <t>Chris Taylor</t>
        </is>
      </c>
      <c r="C2761" s="9" t="inlineStr">
        <is>
          <t>LAA</t>
        </is>
      </c>
      <c r="D2761" s="9" t="n">
        <v>36</v>
      </c>
      <c r="E2761" s="16" t="inlineStr">
        <is>
          <t>R</t>
        </is>
      </c>
      <c r="F2761" s="16" t="inlineStr">
        <is>
          <t>LF</t>
        </is>
      </c>
      <c r="G2761" s="9" t="n">
        <v>125</v>
      </c>
      <c r="H2761" s="9" t="n">
        <v>1209</v>
      </c>
      <c r="I2761" s="9" t="inlineStr">
        <is>
          <t>Bench Bat</t>
        </is>
      </c>
      <c r="J2761" s="16" t="inlineStr">
        <is>
          <t>Opening Day</t>
        </is>
      </c>
      <c r="K2761" s="11">
        <f>IFERROR(INDEX(Roles!$B$17:$B$20,MATCH(J2761,Roles!$A$17:$A$20,0)),1)</f>
        <v/>
      </c>
      <c r="L2761" s="17" t="n">
        <v>1</v>
      </c>
      <c r="M2761" s="11" t="n">
        <v>0.9418444467995668</v>
      </c>
      <c r="N2761" s="17" t="n"/>
      <c r="O2761" s="17" t="n"/>
      <c r="P2761" s="17" t="n"/>
      <c r="Q2761" s="17" t="n"/>
      <c r="R2761" s="17" t="n"/>
      <c r="S2761" s="17" t="n"/>
      <c r="T2761" s="17" t="n"/>
      <c r="U2761" s="17" t="n"/>
      <c r="V2761" s="17" t="n"/>
      <c r="W2761" s="17" t="n">
        <v>1</v>
      </c>
      <c r="X2761" s="17" t="n"/>
      <c r="Y2761" s="17" t="n"/>
      <c r="Z2761" s="13">
        <f>SUMPRODUCT(N2761:Y2761,$N$2:$Y$2)*$K2761*$L2761*$M2761</f>
        <v/>
      </c>
      <c r="AA2761" s="14">
        <f>SUM(N2761:Y2761)</f>
        <v/>
      </c>
      <c r="AB2761" s="14">
        <f>IFERROR(IF(UPPER($E2761)="L",SUMPRODUCT(N2761:Y2761,$N$3:$Y$3,$N$2:$Y$2),SUMPRODUCT(N2761:Y2761,$N$4:$Y$4,$N$2:$Y$2))/(Z2761/($K2761*$L2761*$M2761)),"")</f>
        <v/>
      </c>
      <c r="AC2761" s="18" t="n"/>
    </row>
    <row r="2762">
      <c r="A2762" s="9" t="n">
        <v>642136</v>
      </c>
      <c r="B2762" s="9" t="inlineStr">
        <is>
          <t>Matt Thaiss</t>
        </is>
      </c>
      <c r="C2762" s="9" t="inlineStr">
        <is>
          <t>TB</t>
        </is>
      </c>
      <c r="D2762" s="9" t="n">
        <v>32</v>
      </c>
      <c r="E2762" s="16" t="inlineStr">
        <is>
          <t>L</t>
        </is>
      </c>
      <c r="F2762" s="16" t="inlineStr">
        <is>
          <t>C</t>
        </is>
      </c>
      <c r="G2762" s="9" t="n">
        <v>190</v>
      </c>
      <c r="H2762" s="9" t="n">
        <v>764</v>
      </c>
      <c r="I2762" s="9" t="inlineStr">
        <is>
          <t>Catcher - Backup</t>
        </is>
      </c>
      <c r="J2762" s="16" t="inlineStr">
        <is>
          <t>Opening Day</t>
        </is>
      </c>
      <c r="K2762" s="11">
        <f>IFERROR(INDEX(Roles!$B$17:$B$20,MATCH(J2762,Roles!$A$17:$A$20,0)),1)</f>
        <v/>
      </c>
      <c r="L2762" s="17" t="n">
        <v>1</v>
      </c>
      <c r="M2762" s="11" t="n">
        <v>1</v>
      </c>
      <c r="N2762" s="17" t="n"/>
      <c r="O2762" s="17" t="n"/>
      <c r="P2762" s="17" t="n"/>
      <c r="Q2762" s="17" t="n"/>
      <c r="R2762" s="17" t="n"/>
      <c r="S2762" s="17" t="n"/>
      <c r="T2762" s="17" t="n">
        <v>1</v>
      </c>
      <c r="U2762" s="17" t="n"/>
      <c r="V2762" s="17" t="n"/>
      <c r="W2762" s="17" t="n"/>
      <c r="X2762" s="17" t="n"/>
      <c r="Y2762" s="17" t="n"/>
      <c r="Z2762" s="13">
        <f>SUMPRODUCT(N2762:Y2762,$N$2:$Y$2)*$K2762*$L2762*$M2762</f>
        <v/>
      </c>
      <c r="AA2762" s="14">
        <f>SUM(N2762:Y2762)</f>
        <v/>
      </c>
      <c r="AB2762" s="14">
        <f>IFERROR(IF(UPPER($E2762)="L",SUMPRODUCT(N2762:Y2762,$N$3:$Y$3,$N$2:$Y$2),SUMPRODUCT(N2762:Y2762,$N$4:$Y$4,$N$2:$Y$2))/(Z2762/($K2762*$L2762*$M2762)),"")</f>
        <v/>
      </c>
      <c r="AC2762" s="18" t="n"/>
    </row>
    <row r="2763">
      <c r="A2763" s="9" t="n">
        <v>664728</v>
      </c>
      <c r="B2763" s="9" t="inlineStr">
        <is>
          <t>Kyle Isbel</t>
        </is>
      </c>
      <c r="C2763" s="9" t="inlineStr">
        <is>
          <t>KC</t>
        </is>
      </c>
      <c r="D2763" s="9" t="n">
        <v>30</v>
      </c>
      <c r="E2763" s="16" t="inlineStr">
        <is>
          <t>L</t>
        </is>
      </c>
      <c r="F2763" s="16" t="inlineStr">
        <is>
          <t>CF</t>
        </is>
      </c>
      <c r="G2763" s="9" t="n">
        <v>323</v>
      </c>
      <c r="H2763" s="9" t="n">
        <v>1749</v>
      </c>
      <c r="I2763" s="9" t="inlineStr">
        <is>
          <t>Full Time</t>
        </is>
      </c>
      <c r="J2763" s="16" t="inlineStr">
        <is>
          <t>Opening Day</t>
        </is>
      </c>
      <c r="K2763" s="11">
        <f>IFERROR(INDEX(Roles!$B$17:$B$20,MATCH(J2763,Roles!$A$17:$A$20,0)),1)</f>
        <v/>
      </c>
      <c r="L2763" s="17" t="n">
        <v>1</v>
      </c>
      <c r="M2763" s="11" t="n">
        <v>0.9704007193123402</v>
      </c>
      <c r="N2763" s="17" t="n">
        <v>0.58</v>
      </c>
      <c r="O2763" s="17" t="n"/>
      <c r="P2763" s="17" t="n">
        <v>0.42</v>
      </c>
      <c r="Q2763" s="17" t="n"/>
      <c r="R2763" s="17" t="n"/>
      <c r="S2763" s="17" t="n"/>
      <c r="T2763" s="17" t="n"/>
      <c r="U2763" s="17" t="n"/>
      <c r="V2763" s="17" t="n"/>
      <c r="W2763" s="17" t="n"/>
      <c r="X2763" s="17" t="n"/>
      <c r="Y2763" s="17" t="n"/>
      <c r="Z2763" s="13">
        <f>SUMPRODUCT(N2763:Y2763,$N$2:$Y$2)*$K2763*$L2763*$M2763</f>
        <v/>
      </c>
      <c r="AA2763" s="14">
        <f>SUM(N2763:Y2763)</f>
        <v/>
      </c>
      <c r="AB2763" s="14">
        <f>IFERROR(IF(UPPER($E2763)="L",SUMPRODUCT(N2763:Y2763,$N$3:$Y$3,$N$2:$Y$2),SUMPRODUCT(N2763:Y2763,$N$4:$Y$4,$N$2:$Y$2))/(Z2763/($K2763*$L2763*$M2763)),"")</f>
        <v/>
      </c>
      <c r="AC2763" s="18" t="n"/>
    </row>
    <row r="2764">
      <c r="A2764" s="9" t="n">
        <v>672613</v>
      </c>
      <c r="B2764" s="9" t="inlineStr">
        <is>
          <t>Eliezer Alfonzo</t>
        </is>
      </c>
      <c r="C2764" s="9" t="inlineStr">
        <is>
          <t>LAD</t>
        </is>
      </c>
      <c r="D2764" s="9" t="n">
        <v>27</v>
      </c>
      <c r="E2764" s="16" t="inlineStr">
        <is>
          <t>S</t>
        </is>
      </c>
      <c r="F2764" s="16" t="inlineStr">
        <is>
          <t>C</t>
        </is>
      </c>
      <c r="G2764" s="9" t="n">
        <v>28</v>
      </c>
      <c r="H2764" s="9" t="n">
        <v>28</v>
      </c>
      <c r="I2764" s="9" t="inlineStr">
        <is>
          <t>Catcher - Backup</t>
        </is>
      </c>
      <c r="J2764" s="16" t="inlineStr">
        <is>
          <t>Opening Day</t>
        </is>
      </c>
      <c r="K2764" s="11">
        <f>IFERROR(INDEX(Roles!$B$17:$B$20,MATCH(J2764,Roles!$A$17:$A$20,0)),1)</f>
        <v/>
      </c>
      <c r="L2764" s="17" t="n">
        <v>1</v>
      </c>
      <c r="M2764" s="11" t="n">
        <v>1</v>
      </c>
      <c r="N2764" s="17" t="n"/>
      <c r="O2764" s="17" t="n"/>
      <c r="P2764" s="17" t="n"/>
      <c r="Q2764" s="17" t="n"/>
      <c r="R2764" s="17" t="n"/>
      <c r="S2764" s="17" t="n"/>
      <c r="T2764" s="17" t="n">
        <v>1</v>
      </c>
      <c r="U2764" s="17" t="n"/>
      <c r="V2764" s="17" t="n"/>
      <c r="W2764" s="17" t="n"/>
      <c r="X2764" s="17" t="n"/>
      <c r="Y2764" s="17" t="n"/>
      <c r="Z2764" s="13">
        <f>SUMPRODUCT(N2764:Y2764,$N$2:$Y$2)*$K2764*$L2764*$M2764</f>
        <v/>
      </c>
      <c r="AA2764" s="14">
        <f>SUM(N2764:Y2764)</f>
        <v/>
      </c>
      <c r="AB2764" s="14">
        <f>IFERROR(IF(UPPER($E2764)="L",SUMPRODUCT(N2764:Y2764,$N$3:$Y$3,$N$2:$Y$2),SUMPRODUCT(N2764:Y2764,$N$4:$Y$4,$N$2:$Y$2))/(Z2764/($K2764*$L2764*$M2764)),"")</f>
        <v/>
      </c>
      <c r="AC2764" s="18" t="n"/>
    </row>
    <row r="2765">
      <c r="A2765" s="9" t="n">
        <v>703492</v>
      </c>
      <c r="B2765" s="9" t="inlineStr">
        <is>
          <t>Nick Morabito</t>
        </is>
      </c>
      <c r="C2765" s="9" t="inlineStr">
        <is>
          <t>NYM</t>
        </is>
      </c>
      <c r="D2765" s="9" t="n">
        <v>24</v>
      </c>
      <c r="E2765" s="16" t="inlineStr">
        <is>
          <t>R</t>
        </is>
      </c>
      <c r="F2765" s="16" t="inlineStr">
        <is>
          <t>LF</t>
        </is>
      </c>
      <c r="G2765" s="9" t="n">
        <v>46</v>
      </c>
      <c r="H2765" s="9" t="n">
        <v>46</v>
      </c>
      <c r="I2765" s="9" t="inlineStr">
        <is>
          <t>Utility OF / 4th OF</t>
        </is>
      </c>
      <c r="J2765" s="16" t="inlineStr">
        <is>
          <t>Opening Day</t>
        </is>
      </c>
      <c r="K2765" s="11">
        <f>IFERROR(INDEX(Roles!$B$17:$B$20,MATCH(J2765,Roles!$A$17:$A$20,0)),1)</f>
        <v/>
      </c>
      <c r="L2765" s="17" t="n">
        <v>1</v>
      </c>
      <c r="M2765" s="11" t="n">
        <v>1</v>
      </c>
      <c r="N2765" s="17" t="n"/>
      <c r="O2765" s="17" t="n"/>
      <c r="P2765" s="17" t="n"/>
      <c r="Q2765" s="17" t="n"/>
      <c r="R2765" s="17" t="n"/>
      <c r="S2765" s="17" t="n"/>
      <c r="T2765" s="17" t="n"/>
      <c r="U2765" s="17" t="n"/>
      <c r="V2765" s="17" t="n">
        <v>0.7</v>
      </c>
      <c r="W2765" s="17" t="n">
        <v>0.3</v>
      </c>
      <c r="X2765" s="17" t="n"/>
      <c r="Y2765" s="17" t="n"/>
      <c r="Z2765" s="13">
        <f>SUMPRODUCT(N2765:Y2765,$N$2:$Y$2)*$K2765*$L2765*$M2765</f>
        <v/>
      </c>
      <c r="AA2765" s="14">
        <f>SUM(N2765:Y2765)</f>
        <v/>
      </c>
      <c r="AB2765" s="14">
        <f>IFERROR(IF(UPPER($E2765)="L",SUMPRODUCT(N2765:Y2765,$N$3:$Y$3,$N$2:$Y$2),SUMPRODUCT(N2765:Y2765,$N$4:$Y$4,$N$2:$Y$2))/(Z2765/($K2765*$L2765*$M2765)),"")</f>
        <v/>
      </c>
      <c r="AC2765" s="18" t="n"/>
    </row>
    <row r="2766">
      <c r="A2766" s="9" t="n">
        <v>656185</v>
      </c>
      <c r="B2766" s="9" t="inlineStr">
        <is>
          <t>Greg Allen</t>
        </is>
      </c>
      <c r="C2766" s="9" t="inlineStr">
        <is>
          <t>NYY</t>
        </is>
      </c>
      <c r="D2766" s="9" t="n">
        <v>34</v>
      </c>
      <c r="E2766" s="16" t="inlineStr">
        <is>
          <t>S</t>
        </is>
      </c>
      <c r="F2766" s="16" t="inlineStr">
        <is>
          <t>CF</t>
        </is>
      </c>
      <c r="G2766" s="9" t="n">
        <v>14</v>
      </c>
      <c r="H2766" s="9" t="n">
        <v>176</v>
      </c>
      <c r="I2766" s="9" t="inlineStr">
        <is>
          <t>Depth (no MLB PA)</t>
        </is>
      </c>
      <c r="J2766" s="16" t="inlineStr">
        <is>
          <t>Opening Day</t>
        </is>
      </c>
      <c r="K2766" s="11">
        <f>IFERROR(INDEX(Roles!$B$17:$B$20,MATCH(J2766,Roles!$A$17:$A$20,0)),1)</f>
        <v/>
      </c>
      <c r="L2766" s="17" t="n">
        <v>1</v>
      </c>
      <c r="M2766" s="11" t="n">
        <v>1</v>
      </c>
      <c r="N2766" s="17" t="n"/>
      <c r="O2766" s="17" t="n"/>
      <c r="P2766" s="17" t="n"/>
      <c r="Q2766" s="17" t="n"/>
      <c r="R2766" s="17" t="n"/>
      <c r="S2766" s="17" t="n"/>
      <c r="T2766" s="17" t="n"/>
      <c r="U2766" s="17" t="n"/>
      <c r="V2766" s="17" t="n"/>
      <c r="W2766" s="17" t="n"/>
      <c r="X2766" s="17" t="n"/>
      <c r="Y2766" s="17" t="n">
        <v>1</v>
      </c>
      <c r="Z2766" s="13">
        <f>SUMPRODUCT(N2766:Y2766,$N$2:$Y$2)*$K2766*$L2766*$M2766</f>
        <v/>
      </c>
      <c r="AA2766" s="14">
        <f>SUM(N2766:Y2766)</f>
        <v/>
      </c>
      <c r="AB2766" s="14">
        <f>IFERROR(IF(UPPER($E2766)="L",SUMPRODUCT(N2766:Y2766,$N$3:$Y$3,$N$2:$Y$2),SUMPRODUCT(N2766:Y2766,$N$4:$Y$4,$N$2:$Y$2))/(Z2766/($K2766*$L2766*$M2766)),"")</f>
        <v/>
      </c>
      <c r="AC2766" s="18" t="n"/>
    </row>
    <row r="2767">
      <c r="A2767" s="9" t="n">
        <v>665861</v>
      </c>
      <c r="B2767" s="9" t="inlineStr">
        <is>
          <t>Sebastián Rivero</t>
        </is>
      </c>
      <c r="C2767" s="9" t="inlineStr">
        <is>
          <t>LAA</t>
        </is>
      </c>
      <c r="D2767" s="9" t="n">
        <v>28</v>
      </c>
      <c r="E2767" s="16" t="inlineStr">
        <is>
          <t>R</t>
        </is>
      </c>
      <c r="F2767" s="16" t="inlineStr">
        <is>
          <t>C</t>
        </is>
      </c>
      <c r="G2767" s="9" t="n">
        <v>57</v>
      </c>
      <c r="H2767" s="9" t="n">
        <v>120</v>
      </c>
      <c r="I2767" s="9" t="inlineStr">
        <is>
          <t>Catcher - Backup</t>
        </is>
      </c>
      <c r="J2767" s="16" t="inlineStr">
        <is>
          <t>Opening Day</t>
        </is>
      </c>
      <c r="K2767" s="11">
        <f>IFERROR(INDEX(Roles!$B$17:$B$20,MATCH(J2767,Roles!$A$17:$A$20,0)),1)</f>
        <v/>
      </c>
      <c r="L2767" s="17" t="n">
        <v>1</v>
      </c>
      <c r="M2767" s="11" t="n">
        <v>1</v>
      </c>
      <c r="N2767" s="17" t="n"/>
      <c r="O2767" s="17" t="n"/>
      <c r="P2767" s="17" t="n"/>
      <c r="Q2767" s="17" t="n"/>
      <c r="R2767" s="17" t="n"/>
      <c r="S2767" s="17" t="n"/>
      <c r="T2767" s="17" t="n">
        <v>1</v>
      </c>
      <c r="U2767" s="17" t="n"/>
      <c r="V2767" s="17" t="n"/>
      <c r="W2767" s="17" t="n"/>
      <c r="X2767" s="17" t="n"/>
      <c r="Y2767" s="17" t="n"/>
      <c r="Z2767" s="13">
        <f>SUMPRODUCT(N2767:Y2767,$N$2:$Y$2)*$K2767*$L2767*$M2767</f>
        <v/>
      </c>
      <c r="AA2767" s="14">
        <f>SUM(N2767:Y2767)</f>
        <v/>
      </c>
      <c r="AB2767" s="14">
        <f>IFERROR(IF(UPPER($E2767)="L",SUMPRODUCT(N2767:Y2767,$N$3:$Y$3,$N$2:$Y$2),SUMPRODUCT(N2767:Y2767,$N$4:$Y$4,$N$2:$Y$2))/(Z2767/($K2767*$L2767*$M2767)),"")</f>
        <v/>
      </c>
      <c r="AC2767" s="18" t="n"/>
    </row>
    <row r="2768">
      <c r="A2768" s="9" t="n">
        <v>668845</v>
      </c>
      <c r="B2768" s="9" t="inlineStr">
        <is>
          <t>Aaron Schunk</t>
        </is>
      </c>
      <c r="C2768" s="9" t="inlineStr">
        <is>
          <t>COL</t>
        </is>
      </c>
      <c r="D2768" s="9" t="n">
        <v>29</v>
      </c>
      <c r="E2768" s="16" t="inlineStr">
        <is>
          <t>R</t>
        </is>
      </c>
      <c r="F2768" s="16" t="inlineStr">
        <is>
          <t>SS</t>
        </is>
      </c>
      <c r="G2768" s="9" t="n">
        <v>33</v>
      </c>
      <c r="H2768" s="9" t="n">
        <v>131</v>
      </c>
      <c r="I2768" s="9" t="inlineStr">
        <is>
          <t>Bench Bat</t>
        </is>
      </c>
      <c r="J2768" s="16" t="inlineStr">
        <is>
          <t>Opening Day</t>
        </is>
      </c>
      <c r="K2768" s="11">
        <f>IFERROR(INDEX(Roles!$B$17:$B$20,MATCH(J2768,Roles!$A$17:$A$20,0)),1)</f>
        <v/>
      </c>
      <c r="L2768" s="17" t="n">
        <v>1</v>
      </c>
      <c r="M2768" s="11" t="n">
        <v>1</v>
      </c>
      <c r="N2768" s="17" t="n"/>
      <c r="O2768" s="17" t="n"/>
      <c r="P2768" s="17" t="n"/>
      <c r="Q2768" s="17" t="n"/>
      <c r="R2768" s="17" t="n"/>
      <c r="S2768" s="17" t="n"/>
      <c r="T2768" s="17" t="n"/>
      <c r="U2768" s="17" t="n"/>
      <c r="V2768" s="17" t="n"/>
      <c r="W2768" s="17" t="n">
        <v>1</v>
      </c>
      <c r="X2768" s="17" t="n"/>
      <c r="Y2768" s="17" t="n"/>
      <c r="Z2768" s="13">
        <f>SUMPRODUCT(N2768:Y2768,$N$2:$Y$2)*$K2768*$L2768*$M2768</f>
        <v/>
      </c>
      <c r="AA2768" s="14">
        <f>SUM(N2768:Y2768)</f>
        <v/>
      </c>
      <c r="AB2768" s="14">
        <f>IFERROR(IF(UPPER($E2768)="L",SUMPRODUCT(N2768:Y2768,$N$3:$Y$3,$N$2:$Y$2),SUMPRODUCT(N2768:Y2768,$N$4:$Y$4,$N$2:$Y$2))/(Z2768/($K2768*$L2768*$M2768)),"")</f>
        <v/>
      </c>
      <c r="AC2768" s="18" t="n"/>
    </row>
    <row r="2769">
      <c r="A2769" s="9" t="n">
        <v>808975</v>
      </c>
      <c r="B2769" s="9" t="inlineStr">
        <is>
          <t>Hyeseong Kim</t>
        </is>
      </c>
      <c r="C2769" s="9" t="inlineStr">
        <is>
          <t>LAD</t>
        </is>
      </c>
      <c r="D2769" s="9" t="n">
        <v>28</v>
      </c>
      <c r="E2769" s="16" t="inlineStr">
        <is>
          <t>L</t>
        </is>
      </c>
      <c r="F2769" s="16" t="inlineStr">
        <is>
          <t>SS</t>
        </is>
      </c>
      <c r="G2769" s="9" t="n">
        <v>131</v>
      </c>
      <c r="H2769" s="9" t="n">
        <v>301</v>
      </c>
      <c r="I2769" s="9" t="inlineStr">
        <is>
          <t>Bench Bat</t>
        </is>
      </c>
      <c r="J2769" s="16" t="inlineStr">
        <is>
          <t>Opening Day</t>
        </is>
      </c>
      <c r="K2769" s="11">
        <f>IFERROR(INDEX(Roles!$B$17:$B$20,MATCH(J2769,Roles!$A$17:$A$20,0)),1)</f>
        <v/>
      </c>
      <c r="L2769" s="17" t="n">
        <v>1</v>
      </c>
      <c r="M2769" s="11" t="n">
        <v>1</v>
      </c>
      <c r="N2769" s="17" t="n"/>
      <c r="O2769" s="17" t="n"/>
      <c r="P2769" s="17" t="n"/>
      <c r="Q2769" s="17" t="n"/>
      <c r="R2769" s="17" t="n"/>
      <c r="S2769" s="17" t="n"/>
      <c r="T2769" s="17" t="n"/>
      <c r="U2769" s="17" t="n"/>
      <c r="V2769" s="17" t="n"/>
      <c r="W2769" s="17" t="n">
        <v>1</v>
      </c>
      <c r="X2769" s="17" t="n"/>
      <c r="Y2769" s="17" t="n"/>
      <c r="Z2769" s="13">
        <f>SUMPRODUCT(N2769:Y2769,$N$2:$Y$2)*$K2769*$L2769*$M2769</f>
        <v/>
      </c>
      <c r="AA2769" s="14">
        <f>SUM(N2769:Y2769)</f>
        <v/>
      </c>
      <c r="AB2769" s="14">
        <f>IFERROR(IF(UPPER($E2769)="L",SUMPRODUCT(N2769:Y2769,$N$3:$Y$3,$N$2:$Y$2),SUMPRODUCT(N2769:Y2769,$N$4:$Y$4,$N$2:$Y$2))/(Z2769/($K2769*$L2769*$M2769)),"")</f>
        <v/>
      </c>
      <c r="AC2769" s="18" t="n"/>
    </row>
    <row r="2770">
      <c r="A2770" s="9" t="n">
        <v>805347</v>
      </c>
      <c r="B2770" s="9" t="inlineStr">
        <is>
          <t>Jim Jarvis</t>
        </is>
      </c>
      <c r="C2770" s="9" t="inlineStr">
        <is>
          <t>ATL</t>
        </is>
      </c>
      <c r="D2770" s="9" t="n">
        <v>26</v>
      </c>
      <c r="E2770" s="16" t="inlineStr">
        <is>
          <t>L</t>
        </is>
      </c>
      <c r="F2770" s="16" t="inlineStr">
        <is>
          <t>SS</t>
        </is>
      </c>
      <c r="G2770" s="9" t="n">
        <v>124</v>
      </c>
      <c r="H2770" s="9" t="n">
        <v>124</v>
      </c>
      <c r="I2770" s="9" t="inlineStr">
        <is>
          <t>Bench Bat</t>
        </is>
      </c>
      <c r="J2770" s="16" t="inlineStr">
        <is>
          <t>Opening Day</t>
        </is>
      </c>
      <c r="K2770" s="11">
        <f>IFERROR(INDEX(Roles!$B$17:$B$20,MATCH(J2770,Roles!$A$17:$A$20,0)),1)</f>
        <v/>
      </c>
      <c r="L2770" s="17" t="n">
        <v>1</v>
      </c>
      <c r="M2770" s="11" t="n">
        <v>1</v>
      </c>
      <c r="N2770" s="17" t="n"/>
      <c r="O2770" s="17" t="n"/>
      <c r="P2770" s="17" t="n"/>
      <c r="Q2770" s="17" t="n"/>
      <c r="R2770" s="17" t="n"/>
      <c r="S2770" s="17" t="n"/>
      <c r="T2770" s="17" t="n"/>
      <c r="U2770" s="17" t="n"/>
      <c r="V2770" s="17" t="n"/>
      <c r="W2770" s="17" t="n">
        <v>1</v>
      </c>
      <c r="X2770" s="17" t="n"/>
      <c r="Y2770" s="17" t="n"/>
      <c r="Z2770" s="13">
        <f>SUMPRODUCT(N2770:Y2770,$N$2:$Y$2)*$K2770*$L2770*$M2770</f>
        <v/>
      </c>
      <c r="AA2770" s="14">
        <f>SUM(N2770:Y2770)</f>
        <v/>
      </c>
      <c r="AB2770" s="14">
        <f>IFERROR(IF(UPPER($E2770)="L",SUMPRODUCT(N2770:Y2770,$N$3:$Y$3,$N$2:$Y$2),SUMPRODUCT(N2770:Y2770,$N$4:$Y$4,$N$2:$Y$2))/(Z2770/($K2770*$L2770*$M2770)),"")</f>
        <v/>
      </c>
      <c r="AC2770" s="18" t="n"/>
    </row>
    <row r="2771">
      <c r="A2771" s="9" t="n">
        <v>687363</v>
      </c>
      <c r="B2771" s="9" t="inlineStr">
        <is>
          <t>Victor Scott II</t>
        </is>
      </c>
      <c r="C2771" s="9" t="inlineStr">
        <is>
          <t>STL</t>
        </is>
      </c>
      <c r="D2771" s="9" t="n">
        <v>26</v>
      </c>
      <c r="E2771" s="16" t="inlineStr">
        <is>
          <t>L</t>
        </is>
      </c>
      <c r="F2771" s="16" t="inlineStr">
        <is>
          <t>CF</t>
        </is>
      </c>
      <c r="G2771" s="9" t="n">
        <v>195</v>
      </c>
      <c r="H2771" s="9" t="n">
        <v>813</v>
      </c>
      <c r="I2771" s="9" t="inlineStr">
        <is>
          <t>Bench Bat</t>
        </is>
      </c>
      <c r="J2771" s="16" t="inlineStr">
        <is>
          <t>Opening Day</t>
        </is>
      </c>
      <c r="K2771" s="11">
        <f>IFERROR(INDEX(Roles!$B$17:$B$20,MATCH(J2771,Roles!$A$17:$A$20,0)),1)</f>
        <v/>
      </c>
      <c r="L2771" s="17" t="n">
        <v>1</v>
      </c>
      <c r="M2771" s="11" t="n">
        <v>1.038933235569856</v>
      </c>
      <c r="N2771" s="17" t="n"/>
      <c r="O2771" s="17" t="n"/>
      <c r="P2771" s="17" t="n"/>
      <c r="Q2771" s="17" t="n"/>
      <c r="R2771" s="17" t="n"/>
      <c r="S2771" s="17" t="n"/>
      <c r="T2771" s="17" t="n"/>
      <c r="U2771" s="17" t="n"/>
      <c r="V2771" s="17" t="n">
        <v>0.4</v>
      </c>
      <c r="W2771" s="17" t="n">
        <v>0.6</v>
      </c>
      <c r="X2771" s="17" t="n"/>
      <c r="Y2771" s="17" t="n"/>
      <c r="Z2771" s="13">
        <f>SUMPRODUCT(N2771:Y2771,$N$2:$Y$2)*$K2771*$L2771*$M2771</f>
        <v/>
      </c>
      <c r="AA2771" s="14">
        <f>SUM(N2771:Y2771)</f>
        <v/>
      </c>
      <c r="AB2771" s="14">
        <f>IFERROR(IF(UPPER($E2771)="L",SUMPRODUCT(N2771:Y2771,$N$3:$Y$3,$N$2:$Y$2),SUMPRODUCT(N2771:Y2771,$N$4:$Y$4,$N$2:$Y$2))/(Z2771/($K2771*$L2771*$M2771)),"")</f>
        <v/>
      </c>
      <c r="AC2771" s="18" t="n"/>
    </row>
    <row r="2772">
      <c r="A2772" s="9" t="n">
        <v>623168</v>
      </c>
      <c r="B2772" s="9" t="inlineStr">
        <is>
          <t>Tyler Heineman</t>
        </is>
      </c>
      <c r="C2772" s="9" t="inlineStr">
        <is>
          <t>LAA</t>
        </is>
      </c>
      <c r="D2772" s="9" t="n">
        <v>36</v>
      </c>
      <c r="E2772" s="16" t="inlineStr">
        <is>
          <t>S</t>
        </is>
      </c>
      <c r="F2772" s="16" t="inlineStr">
        <is>
          <t>C</t>
        </is>
      </c>
      <c r="G2772" s="9" t="n">
        <v>200</v>
      </c>
      <c r="H2772" s="9" t="n">
        <v>611</v>
      </c>
      <c r="I2772" s="9" t="inlineStr">
        <is>
          <t>Catcher - Backup</t>
        </is>
      </c>
      <c r="J2772" s="16" t="inlineStr">
        <is>
          <t>Opening Day</t>
        </is>
      </c>
      <c r="K2772" s="11">
        <f>IFERROR(INDEX(Roles!$B$17:$B$20,MATCH(J2772,Roles!$A$17:$A$20,0)),1)</f>
        <v/>
      </c>
      <c r="L2772" s="17" t="n">
        <v>1</v>
      </c>
      <c r="M2772" s="11" t="n">
        <v>1</v>
      </c>
      <c r="N2772" s="17" t="n"/>
      <c r="O2772" s="17" t="n"/>
      <c r="P2772" s="17" t="n"/>
      <c r="Q2772" s="17" t="n"/>
      <c r="R2772" s="17" t="n"/>
      <c r="S2772" s="17" t="n"/>
      <c r="T2772" s="17" t="n">
        <v>0.7</v>
      </c>
      <c r="U2772" s="17" t="n"/>
      <c r="V2772" s="17" t="n"/>
      <c r="W2772" s="17" t="n">
        <v>0.3</v>
      </c>
      <c r="X2772" s="17" t="n"/>
      <c r="Y2772" s="17" t="n"/>
      <c r="Z2772" s="13">
        <f>SUMPRODUCT(N2772:Y2772,$N$2:$Y$2)*$K2772*$L2772*$M2772</f>
        <v/>
      </c>
      <c r="AA2772" s="14">
        <f>SUM(N2772:Y2772)</f>
        <v/>
      </c>
      <c r="AB2772" s="14">
        <f>IFERROR(IF(UPPER($E2772)="L",SUMPRODUCT(N2772:Y2772,$N$3:$Y$3,$N$2:$Y$2),SUMPRODUCT(N2772:Y2772,$N$4:$Y$4,$N$2:$Y$2))/(Z2772/($K2772*$L2772*$M2772)),"")</f>
        <v/>
      </c>
      <c r="AC2772" s="18" t="n"/>
    </row>
    <row r="2773">
      <c r="A2773" s="9" t="n">
        <v>545121</v>
      </c>
      <c r="B2773" s="9" t="inlineStr">
        <is>
          <t>Ildemaro Vargas</t>
        </is>
      </c>
      <c r="C2773" s="9" t="inlineStr">
        <is>
          <t>ARI</t>
        </is>
      </c>
      <c r="D2773" s="9" t="n">
        <v>35</v>
      </c>
      <c r="E2773" s="16" t="inlineStr">
        <is>
          <t>S</t>
        </is>
      </c>
      <c r="F2773" s="16" t="inlineStr">
        <is>
          <t>1B</t>
        </is>
      </c>
      <c r="G2773" s="9" t="n">
        <v>486</v>
      </c>
      <c r="H2773" s="9" t="n">
        <v>1418</v>
      </c>
      <c r="I2773" s="9" t="inlineStr">
        <is>
          <t>Utility IF</t>
        </is>
      </c>
      <c r="J2773" s="16" t="inlineStr">
        <is>
          <t>Opening Day</t>
        </is>
      </c>
      <c r="K2773" s="11">
        <f>IFERROR(INDEX(Roles!$B$17:$B$20,MATCH(J2773,Roles!$A$17:$A$20,0)),1)</f>
        <v/>
      </c>
      <c r="L2773" s="17" t="n">
        <v>1</v>
      </c>
      <c r="M2773" s="11" t="n">
        <v>1.061579554975913</v>
      </c>
      <c r="N2773" s="17" t="n"/>
      <c r="O2773" s="17" t="n"/>
      <c r="P2773" s="17" t="n"/>
      <c r="Q2773" s="17" t="n"/>
      <c r="R2773" s="17" t="n"/>
      <c r="S2773" s="17" t="n"/>
      <c r="T2773" s="17" t="n"/>
      <c r="U2773" s="17" t="n">
        <v>0.7</v>
      </c>
      <c r="V2773" s="17" t="n"/>
      <c r="W2773" s="17" t="n">
        <v>0.3</v>
      </c>
      <c r="X2773" s="17" t="n"/>
      <c r="Y2773" s="17" t="n"/>
      <c r="Z2773" s="13">
        <f>SUMPRODUCT(N2773:Y2773,$N$2:$Y$2)*$K2773*$L2773*$M2773</f>
        <v/>
      </c>
      <c r="AA2773" s="14">
        <f>SUM(N2773:Y2773)</f>
        <v/>
      </c>
      <c r="AB2773" s="14">
        <f>IFERROR(IF(UPPER($E2773)="L",SUMPRODUCT(N2773:Y2773,$N$3:$Y$3,$N$2:$Y$2),SUMPRODUCT(N2773:Y2773,$N$4:$Y$4,$N$2:$Y$2))/(Z2773/($K2773*$L2773*$M2773)),"")</f>
        <v/>
      </c>
      <c r="AC2773" s="18" t="n"/>
    </row>
    <row r="2774">
      <c r="A2774" s="9" t="n">
        <v>669707</v>
      </c>
      <c r="B2774" s="9" t="inlineStr">
        <is>
          <t>Jared Triolo</t>
        </is>
      </c>
      <c r="C2774" s="9" t="inlineStr">
        <is>
          <t>PIT</t>
        </is>
      </c>
      <c r="D2774" s="9" t="n">
        <v>29</v>
      </c>
      <c r="E2774" s="16" t="inlineStr">
        <is>
          <t>R</t>
        </is>
      </c>
      <c r="F2774" s="16" t="inlineStr">
        <is>
          <t>SS</t>
        </is>
      </c>
      <c r="G2774" s="9" t="n">
        <v>362</v>
      </c>
      <c r="H2774" s="9" t="n">
        <v>1393</v>
      </c>
      <c r="I2774" s="9" t="inlineStr">
        <is>
          <t>Weak Side Platoon</t>
        </is>
      </c>
      <c r="J2774" s="16" t="inlineStr">
        <is>
          <t>Opening Day</t>
        </is>
      </c>
      <c r="K2774" s="11">
        <f>IFERROR(INDEX(Roles!$B$17:$B$20,MATCH(J2774,Roles!$A$17:$A$20,0)),1)</f>
        <v/>
      </c>
      <c r="L2774" s="17" t="n">
        <v>1</v>
      </c>
      <c r="M2774" s="11" t="n">
        <v>1.15</v>
      </c>
      <c r="N2774" s="17" t="n"/>
      <c r="O2774" s="17" t="n"/>
      <c r="P2774" s="17" t="n"/>
      <c r="Q2774" s="17" t="n">
        <v>0.6</v>
      </c>
      <c r="R2774" s="17" t="n"/>
      <c r="S2774" s="17" t="n"/>
      <c r="T2774" s="17" t="n"/>
      <c r="U2774" s="17" t="n">
        <v>0.4</v>
      </c>
      <c r="V2774" s="17" t="n"/>
      <c r="W2774" s="17" t="n"/>
      <c r="X2774" s="17" t="n"/>
      <c r="Y2774" s="17" t="n"/>
      <c r="Z2774" s="13">
        <f>SUMPRODUCT(N2774:Y2774,$N$2:$Y$2)*$K2774*$L2774*$M2774</f>
        <v/>
      </c>
      <c r="AA2774" s="14">
        <f>SUM(N2774:Y2774)</f>
        <v/>
      </c>
      <c r="AB2774" s="14">
        <f>IFERROR(IF(UPPER($E2774)="L",SUMPRODUCT(N2774:Y2774,$N$3:$Y$3,$N$2:$Y$2),SUMPRODUCT(N2774:Y2774,$N$4:$Y$4,$N$2:$Y$2))/(Z2774/($K2774*$L2774*$M2774)),"")</f>
        <v/>
      </c>
      <c r="AC2774" s="18" t="n"/>
    </row>
    <row r="2775">
      <c r="A2775" s="9" t="n">
        <v>622569</v>
      </c>
      <c r="B2775" s="9" t="inlineStr">
        <is>
          <t>Pablo Reyes</t>
        </is>
      </c>
      <c r="C2775" s="9" t="inlineStr">
        <is>
          <t>NYY</t>
        </is>
      </c>
      <c r="D2775" s="9" t="n">
        <v>33</v>
      </c>
      <c r="E2775" s="16" t="inlineStr">
        <is>
          <t>R</t>
        </is>
      </c>
      <c r="F2775" s="16" t="inlineStr">
        <is>
          <t>2B</t>
        </is>
      </c>
      <c r="G2775" s="9" t="n">
        <v>34</v>
      </c>
      <c r="H2775" s="9" t="n">
        <v>299</v>
      </c>
      <c r="I2775" s="9" t="inlineStr">
        <is>
          <t>Bench Bat</t>
        </is>
      </c>
      <c r="J2775" s="16" t="inlineStr">
        <is>
          <t>Opening Day</t>
        </is>
      </c>
      <c r="K2775" s="11">
        <f>IFERROR(INDEX(Roles!$B$17:$B$20,MATCH(J2775,Roles!$A$17:$A$20,0)),1)</f>
        <v/>
      </c>
      <c r="L2775" s="17" t="n">
        <v>1</v>
      </c>
      <c r="M2775" s="11" t="n">
        <v>1</v>
      </c>
      <c r="N2775" s="17" t="n"/>
      <c r="O2775" s="17" t="n"/>
      <c r="P2775" s="17" t="n"/>
      <c r="Q2775" s="17" t="n"/>
      <c r="R2775" s="17" t="n"/>
      <c r="S2775" s="17" t="n"/>
      <c r="T2775" s="17" t="n"/>
      <c r="U2775" s="17" t="n"/>
      <c r="V2775" s="17" t="n"/>
      <c r="W2775" s="17" t="n">
        <v>1</v>
      </c>
      <c r="X2775" s="17" t="n"/>
      <c r="Y2775" s="17" t="n"/>
      <c r="Z2775" s="13">
        <f>SUMPRODUCT(N2775:Y2775,$N$2:$Y$2)*$K2775*$L2775*$M2775</f>
        <v/>
      </c>
      <c r="AA2775" s="14">
        <f>SUM(N2775:Y2775)</f>
        <v/>
      </c>
      <c r="AB2775" s="14">
        <f>IFERROR(IF(UPPER($E2775)="L",SUMPRODUCT(N2775:Y2775,$N$3:$Y$3,$N$2:$Y$2),SUMPRODUCT(N2775:Y2775,$N$4:$Y$4,$N$2:$Y$2))/(Z2775/($K2775*$L2775*$M2775)),"")</f>
        <v/>
      </c>
      <c r="AC2775" s="18" t="n"/>
    </row>
    <row r="2776">
      <c r="A2776" s="9" t="n">
        <v>686452</v>
      </c>
      <c r="B2776" s="9" t="inlineStr">
        <is>
          <t>Drew Millas</t>
        </is>
      </c>
      <c r="C2776" s="9" t="inlineStr">
        <is>
          <t>WSH</t>
        </is>
      </c>
      <c r="D2776" s="9" t="n">
        <v>29</v>
      </c>
      <c r="E2776" s="16" t="inlineStr">
        <is>
          <t>S</t>
        </is>
      </c>
      <c r="F2776" s="16" t="inlineStr">
        <is>
          <t>C</t>
        </is>
      </c>
      <c r="G2776" s="9" t="n">
        <v>152</v>
      </c>
      <c r="H2776" s="9" t="n">
        <v>302</v>
      </c>
      <c r="I2776" s="9" t="inlineStr">
        <is>
          <t>Bench Bat</t>
        </is>
      </c>
      <c r="J2776" s="16" t="inlineStr">
        <is>
          <t>Opening Day</t>
        </is>
      </c>
      <c r="K2776" s="11">
        <f>IFERROR(INDEX(Roles!$B$17:$B$20,MATCH(J2776,Roles!$A$17:$A$20,0)),1)</f>
        <v/>
      </c>
      <c r="L2776" s="17" t="n">
        <v>1</v>
      </c>
      <c r="M2776" s="11" t="n">
        <v>1</v>
      </c>
      <c r="N2776" s="17" t="n"/>
      <c r="O2776" s="17" t="n"/>
      <c r="P2776" s="17" t="n"/>
      <c r="Q2776" s="17" t="n"/>
      <c r="R2776" s="17" t="n"/>
      <c r="S2776" s="17" t="n"/>
      <c r="T2776" s="17" t="n"/>
      <c r="U2776" s="17" t="n"/>
      <c r="V2776" s="17" t="n"/>
      <c r="W2776" s="17" t="n">
        <v>0.85</v>
      </c>
      <c r="X2776" s="17" t="n">
        <v>0.15</v>
      </c>
      <c r="Y2776" s="17" t="n"/>
      <c r="Z2776" s="13">
        <f>SUMPRODUCT(N2776:Y2776,$N$2:$Y$2)*$K2776*$L2776*$M2776</f>
        <v/>
      </c>
      <c r="AA2776" s="14">
        <f>SUM(N2776:Y2776)</f>
        <v/>
      </c>
      <c r="AB2776" s="14">
        <f>IFERROR(IF(UPPER($E2776)="L",SUMPRODUCT(N2776:Y2776,$N$3:$Y$3,$N$2:$Y$2),SUMPRODUCT(N2776:Y2776,$N$4:$Y$4,$N$2:$Y$2))/(Z2776/($K2776*$L2776*$M2776)),"")</f>
        <v/>
      </c>
      <c r="AC2776" s="18" t="n"/>
    </row>
    <row r="2777">
      <c r="A2777" s="9" t="n">
        <v>650333</v>
      </c>
      <c r="B2777" s="9" t="inlineStr">
        <is>
          <t>Luis Arraez</t>
        </is>
      </c>
      <c r="C2777" s="9" t="inlineStr">
        <is>
          <t>PHI</t>
        </is>
      </c>
      <c r="D2777" s="9" t="n">
        <v>30</v>
      </c>
      <c r="E2777" s="16" t="inlineStr">
        <is>
          <t>L</t>
        </is>
      </c>
      <c r="F2777" s="16" t="inlineStr">
        <is>
          <t>2B</t>
        </is>
      </c>
      <c r="G2777" s="9" t="n">
        <v>655</v>
      </c>
      <c r="H2777" s="9" t="n">
        <v>3222</v>
      </c>
      <c r="I2777" s="9" t="inlineStr">
        <is>
          <t>Bench Bat</t>
        </is>
      </c>
      <c r="J2777" s="16" t="inlineStr">
        <is>
          <t>Opening Day</t>
        </is>
      </c>
      <c r="K2777" s="11">
        <f>IFERROR(INDEX(Roles!$B$17:$B$20,MATCH(J2777,Roles!$A$17:$A$20,0)),1)</f>
        <v/>
      </c>
      <c r="L2777" s="17" t="n">
        <v>1</v>
      </c>
      <c r="M2777" s="11" t="n">
        <v>1.15</v>
      </c>
      <c r="N2777" s="17" t="n">
        <v>0.4</v>
      </c>
      <c r="O2777" s="17" t="n"/>
      <c r="P2777" s="17" t="n"/>
      <c r="Q2777" s="17" t="n"/>
      <c r="R2777" s="17" t="n"/>
      <c r="S2777" s="17" t="n"/>
      <c r="T2777" s="17" t="n"/>
      <c r="U2777" s="17" t="n"/>
      <c r="V2777" s="17" t="n"/>
      <c r="W2777" s="17" t="n">
        <v>0.6</v>
      </c>
      <c r="X2777" s="17" t="n"/>
      <c r="Y2777" s="17" t="n"/>
      <c r="Z2777" s="13">
        <f>SUMPRODUCT(N2777:Y2777,$N$2:$Y$2)*$K2777*$L2777*$M2777</f>
        <v/>
      </c>
      <c r="AA2777" s="14">
        <f>SUM(N2777:Y2777)</f>
        <v/>
      </c>
      <c r="AB2777" s="14">
        <f>IFERROR(IF(UPPER($E2777)="L",SUMPRODUCT(N2777:Y2777,$N$3:$Y$3,$N$2:$Y$2),SUMPRODUCT(N2777:Y2777,$N$4:$Y$4,$N$2:$Y$2))/(Z2777/($K2777*$L2777*$M2777)),"")</f>
        <v/>
      </c>
      <c r="AC2777" s="18" t="n"/>
    </row>
    <row r="2778">
      <c r="A2778" s="9" t="n">
        <v>700337</v>
      </c>
      <c r="B2778" s="9" t="inlineStr">
        <is>
          <t>Edgar Quero</t>
        </is>
      </c>
      <c r="C2778" s="9" t="inlineStr">
        <is>
          <t>CWS</t>
        </is>
      </c>
      <c r="D2778" s="9" t="n">
        <v>24</v>
      </c>
      <c r="E2778" s="16" t="inlineStr">
        <is>
          <t>S</t>
        </is>
      </c>
      <c r="F2778" s="16" t="inlineStr">
        <is>
          <t>C</t>
        </is>
      </c>
      <c r="G2778" s="9" t="n">
        <v>217</v>
      </c>
      <c r="H2778" s="9" t="n">
        <v>620</v>
      </c>
      <c r="I2778" s="9" t="inlineStr">
        <is>
          <t>Full Time</t>
        </is>
      </c>
      <c r="J2778" s="16" t="inlineStr">
        <is>
          <t>Opening Day</t>
        </is>
      </c>
      <c r="K2778" s="11">
        <f>IFERROR(INDEX(Roles!$B$17:$B$20,MATCH(J2778,Roles!$A$17:$A$20,0)),1)</f>
        <v/>
      </c>
      <c r="L2778" s="17" t="n">
        <v>1</v>
      </c>
      <c r="M2778" s="11" t="n">
        <v>0.7939734552503992</v>
      </c>
      <c r="N2778" s="17" t="n">
        <v>1</v>
      </c>
      <c r="O2778" s="17" t="n"/>
      <c r="P2778" s="17" t="n"/>
      <c r="Q2778" s="17" t="n"/>
      <c r="R2778" s="17" t="n"/>
      <c r="S2778" s="17" t="n"/>
      <c r="T2778" s="17" t="n"/>
      <c r="U2778" s="17" t="n"/>
      <c r="V2778" s="17" t="n"/>
      <c r="W2778" s="17" t="n"/>
      <c r="X2778" s="17" t="n"/>
      <c r="Y2778" s="17" t="n"/>
      <c r="Z2778" s="13">
        <f>SUMPRODUCT(N2778:Y2778,$N$2:$Y$2)*$K2778*$L2778*$M2778</f>
        <v/>
      </c>
      <c r="AA2778" s="14">
        <f>SUM(N2778:Y2778)</f>
        <v/>
      </c>
      <c r="AB2778" s="14">
        <f>IFERROR(IF(UPPER($E2778)="L",SUMPRODUCT(N2778:Y2778,$N$3:$Y$3,$N$2:$Y$2),SUMPRODUCT(N2778:Y2778,$N$4:$Y$4,$N$2:$Y$2))/(Z2778/($K2778*$L2778*$M2778)),"")</f>
        <v/>
      </c>
      <c r="AC2778" s="18" t="n"/>
    </row>
    <row r="2779">
      <c r="A2779" s="9" t="n">
        <v>649557</v>
      </c>
      <c r="B2779" s="9" t="inlineStr">
        <is>
          <t>Aledmys Díaz</t>
        </is>
      </c>
      <c r="C2779" s="9" t="inlineStr">
        <is>
          <t>HOU</t>
        </is>
      </c>
      <c r="D2779" s="9" t="n">
        <v>36</v>
      </c>
      <c r="E2779" s="16" t="inlineStr">
        <is>
          <t>R</t>
        </is>
      </c>
      <c r="F2779" s="16" t="inlineStr">
        <is>
          <t>SS</t>
        </is>
      </c>
      <c r="G2779" s="9" t="n">
        <v>34</v>
      </c>
      <c r="H2779" s="9" t="n">
        <v>705</v>
      </c>
      <c r="I2779" s="9" t="inlineStr">
        <is>
          <t>Depth (no MLB PA)</t>
        </is>
      </c>
      <c r="J2779" s="16" t="inlineStr">
        <is>
          <t>Opening Day</t>
        </is>
      </c>
      <c r="K2779" s="11">
        <f>IFERROR(INDEX(Roles!$B$17:$B$20,MATCH(J2779,Roles!$A$17:$A$20,0)),1)</f>
        <v/>
      </c>
      <c r="L2779" s="17" t="n">
        <v>1</v>
      </c>
      <c r="M2779" s="11" t="n">
        <v>1</v>
      </c>
      <c r="N2779" s="17" t="n"/>
      <c r="O2779" s="17" t="n"/>
      <c r="P2779" s="17" t="n"/>
      <c r="Q2779" s="17" t="n"/>
      <c r="R2779" s="17" t="n"/>
      <c r="S2779" s="17" t="n"/>
      <c r="T2779" s="17" t="n"/>
      <c r="U2779" s="17" t="n"/>
      <c r="V2779" s="17" t="n"/>
      <c r="W2779" s="17" t="n"/>
      <c r="X2779" s="17" t="n"/>
      <c r="Y2779" s="17" t="n">
        <v>1</v>
      </c>
      <c r="Z2779" s="13">
        <f>SUMPRODUCT(N2779:Y2779,$N$2:$Y$2)*$K2779*$L2779*$M2779</f>
        <v/>
      </c>
      <c r="AA2779" s="14">
        <f>SUM(N2779:Y2779)</f>
        <v/>
      </c>
      <c r="AB2779" s="14">
        <f>IFERROR(IF(UPPER($E2779)="L",SUMPRODUCT(N2779:Y2779,$N$3:$Y$3,$N$2:$Y$2),SUMPRODUCT(N2779:Y2779,$N$4:$Y$4,$N$2:$Y$2))/(Z2779/($K2779*$L2779*$M2779)),"")</f>
        <v/>
      </c>
      <c r="AC2779" s="18" t="n"/>
    </row>
    <row r="2780">
      <c r="A2780" s="9" t="n">
        <v>605113</v>
      </c>
      <c r="B2780" s="9" t="inlineStr">
        <is>
          <t>Nick Ahmed</t>
        </is>
      </c>
      <c r="C2780" s="9" t="inlineStr">
        <is>
          <t>SD</t>
        </is>
      </c>
      <c r="D2780" s="9" t="n">
        <v>37</v>
      </c>
      <c r="E2780" s="16" t="inlineStr">
        <is>
          <t>R</t>
        </is>
      </c>
      <c r="F2780" s="16" t="inlineStr">
        <is>
          <t>SS</t>
        </is>
      </c>
      <c r="G2780" s="9" t="n">
        <v>10</v>
      </c>
      <c r="H2780" s="9" t="n">
        <v>502</v>
      </c>
      <c r="I2780" s="9" t="inlineStr">
        <is>
          <t>Depth (no MLB PA)</t>
        </is>
      </c>
      <c r="J2780" s="16" t="inlineStr">
        <is>
          <t>Opening Day</t>
        </is>
      </c>
      <c r="K2780" s="11">
        <f>IFERROR(INDEX(Roles!$B$17:$B$20,MATCH(J2780,Roles!$A$17:$A$20,0)),1)</f>
        <v/>
      </c>
      <c r="L2780" s="17" t="n">
        <v>1</v>
      </c>
      <c r="M2780" s="11" t="n">
        <v>1</v>
      </c>
      <c r="N2780" s="17" t="n"/>
      <c r="O2780" s="17" t="n"/>
      <c r="P2780" s="17" t="n"/>
      <c r="Q2780" s="17" t="n"/>
      <c r="R2780" s="17" t="n"/>
      <c r="S2780" s="17" t="n"/>
      <c r="T2780" s="17" t="n"/>
      <c r="U2780" s="17" t="n"/>
      <c r="V2780" s="17" t="n"/>
      <c r="W2780" s="17" t="n"/>
      <c r="X2780" s="17" t="n"/>
      <c r="Y2780" s="17" t="n">
        <v>1</v>
      </c>
      <c r="Z2780" s="13">
        <f>SUMPRODUCT(N2780:Y2780,$N$2:$Y$2)*$K2780*$L2780*$M2780</f>
        <v/>
      </c>
      <c r="AA2780" s="14">
        <f>SUM(N2780:Y2780)</f>
        <v/>
      </c>
      <c r="AB2780" s="14">
        <f>IFERROR(IF(UPPER($E2780)="L",SUMPRODUCT(N2780:Y2780,$N$3:$Y$3,$N$2:$Y$2),SUMPRODUCT(N2780:Y2780,$N$4:$Y$4,$N$2:$Y$2))/(Z2780/($K2780*$L2780*$M2780)),"")</f>
        <v/>
      </c>
      <c r="AC2780" s="18" t="n"/>
    </row>
    <row r="2781">
      <c r="A2781" s="9" t="n">
        <v>663967</v>
      </c>
      <c r="B2781" s="9" t="inlineStr">
        <is>
          <t>César Salazar</t>
        </is>
      </c>
      <c r="C2781" s="9" t="inlineStr">
        <is>
          <t>HOU</t>
        </is>
      </c>
      <c r="D2781" s="9" t="n">
        <v>31</v>
      </c>
      <c r="E2781" s="16" t="inlineStr">
        <is>
          <t>L</t>
        </is>
      </c>
      <c r="F2781" s="16" t="inlineStr">
        <is>
          <t>C</t>
        </is>
      </c>
      <c r="G2781" s="9" t="n">
        <v>22</v>
      </c>
      <c r="H2781" s="9" t="n">
        <v>89</v>
      </c>
      <c r="I2781" s="9" t="inlineStr">
        <is>
          <t>Depth (no MLB PA)</t>
        </is>
      </c>
      <c r="J2781" s="16" t="inlineStr">
        <is>
          <t>Opening Day</t>
        </is>
      </c>
      <c r="K2781" s="11">
        <f>IFERROR(INDEX(Roles!$B$17:$B$20,MATCH(J2781,Roles!$A$17:$A$20,0)),1)</f>
        <v/>
      </c>
      <c r="L2781" s="17" t="n">
        <v>1</v>
      </c>
      <c r="M2781" s="11" t="n">
        <v>1</v>
      </c>
      <c r="N2781" s="17" t="n"/>
      <c r="O2781" s="17" t="n"/>
      <c r="P2781" s="17" t="n"/>
      <c r="Q2781" s="17" t="n"/>
      <c r="R2781" s="17" t="n"/>
      <c r="S2781" s="17" t="n"/>
      <c r="T2781" s="17" t="n"/>
      <c r="U2781" s="17" t="n"/>
      <c r="V2781" s="17" t="n"/>
      <c r="W2781" s="17" t="n"/>
      <c r="X2781" s="17" t="n"/>
      <c r="Y2781" s="17" t="n">
        <v>1</v>
      </c>
      <c r="Z2781" s="13">
        <f>SUMPRODUCT(N2781:Y2781,$N$2:$Y$2)*$K2781*$L2781*$M2781</f>
        <v/>
      </c>
      <c r="AA2781" s="14">
        <f>SUM(N2781:Y2781)</f>
        <v/>
      </c>
      <c r="AB2781" s="14">
        <f>IFERROR(IF(UPPER($E2781)="L",SUMPRODUCT(N2781:Y2781,$N$3:$Y$3,$N$2:$Y$2),SUMPRODUCT(N2781:Y2781,$N$4:$Y$4,$N$2:$Y$2))/(Z2781/($K2781*$L2781*$M2781)),"")</f>
        <v/>
      </c>
      <c r="AC2781" s="18" t="n"/>
    </row>
    <row r="2782">
      <c r="A2782" s="9" t="n">
        <v>672012</v>
      </c>
      <c r="B2782" s="9" t="inlineStr">
        <is>
          <t>Tyler Black</t>
        </is>
      </c>
      <c r="C2782" s="9" t="inlineStr">
        <is>
          <t>MIL</t>
        </is>
      </c>
      <c r="D2782" s="9" t="n">
        <v>26</v>
      </c>
      <c r="E2782" s="16" t="inlineStr">
        <is>
          <t>L</t>
        </is>
      </c>
      <c r="F2782" s="16" t="inlineStr">
        <is>
          <t>LF</t>
        </is>
      </c>
      <c r="G2782" s="9" t="n">
        <v>28</v>
      </c>
      <c r="H2782" s="9" t="n">
        <v>98</v>
      </c>
      <c r="I2782" s="9" t="inlineStr">
        <is>
          <t>Bench Bat</t>
        </is>
      </c>
      <c r="J2782" s="16" t="inlineStr">
        <is>
          <t>Opening Day</t>
        </is>
      </c>
      <c r="K2782" s="11">
        <f>IFERROR(INDEX(Roles!$B$17:$B$20,MATCH(J2782,Roles!$A$17:$A$20,0)),1)</f>
        <v/>
      </c>
      <c r="L2782" s="17" t="n">
        <v>1</v>
      </c>
      <c r="M2782" s="11" t="n">
        <v>1</v>
      </c>
      <c r="N2782" s="17" t="n"/>
      <c r="O2782" s="17" t="n"/>
      <c r="P2782" s="17" t="n"/>
      <c r="Q2782" s="17" t="n"/>
      <c r="R2782" s="17" t="n"/>
      <c r="S2782" s="17" t="n"/>
      <c r="T2782" s="17" t="n"/>
      <c r="U2782" s="17" t="n"/>
      <c r="V2782" s="17" t="n"/>
      <c r="W2782" s="17" t="n">
        <v>1</v>
      </c>
      <c r="X2782" s="17" t="n"/>
      <c r="Y2782" s="17" t="n"/>
      <c r="Z2782" s="13">
        <f>SUMPRODUCT(N2782:Y2782,$N$2:$Y$2)*$K2782*$L2782*$M2782</f>
        <v/>
      </c>
      <c r="AA2782" s="14">
        <f>SUM(N2782:Y2782)</f>
        <v/>
      </c>
      <c r="AB2782" s="14">
        <f>IFERROR(IF(UPPER($E2782)="L",SUMPRODUCT(N2782:Y2782,$N$3:$Y$3,$N$2:$Y$2),SUMPRODUCT(N2782:Y2782,$N$4:$Y$4,$N$2:$Y$2))/(Z2782/($K2782*$L2782*$M2782)),"")</f>
        <v/>
      </c>
      <c r="AC2782" s="18" t="n"/>
    </row>
    <row r="2783">
      <c r="A2783" s="9" t="n">
        <v>681987</v>
      </c>
      <c r="B2783" s="9" t="inlineStr">
        <is>
          <t>Nate Eaton</t>
        </is>
      </c>
      <c r="C2783" s="9" t="inlineStr">
        <is>
          <t>BOS</t>
        </is>
      </c>
      <c r="D2783" s="9" t="n">
        <v>30</v>
      </c>
      <c r="E2783" s="16" t="inlineStr">
        <is>
          <t>R</t>
        </is>
      </c>
      <c r="F2783" s="16" t="inlineStr">
        <is>
          <t>CF</t>
        </is>
      </c>
      <c r="G2783" s="9" t="n">
        <v>60</v>
      </c>
      <c r="H2783" s="9" t="n">
        <v>328</v>
      </c>
      <c r="I2783" s="9" t="inlineStr">
        <is>
          <t>Weak Side Platoon</t>
        </is>
      </c>
      <c r="J2783" s="16" t="inlineStr">
        <is>
          <t>Opening Day</t>
        </is>
      </c>
      <c r="K2783" s="11">
        <f>IFERROR(INDEX(Roles!$B$17:$B$20,MATCH(J2783,Roles!$A$17:$A$20,0)),1)</f>
        <v/>
      </c>
      <c r="L2783" s="17" t="n">
        <v>1</v>
      </c>
      <c r="M2783" s="11" t="n">
        <v>1</v>
      </c>
      <c r="N2783" s="17" t="n"/>
      <c r="O2783" s="17" t="n"/>
      <c r="P2783" s="17" t="n"/>
      <c r="Q2783" s="17" t="n">
        <v>0.6</v>
      </c>
      <c r="R2783" s="17" t="n"/>
      <c r="S2783" s="17" t="n"/>
      <c r="T2783" s="17" t="n"/>
      <c r="U2783" s="17" t="n"/>
      <c r="V2783" s="17" t="n"/>
      <c r="W2783" s="17" t="n">
        <v>0.4</v>
      </c>
      <c r="X2783" s="17" t="n"/>
      <c r="Y2783" s="17" t="n"/>
      <c r="Z2783" s="13">
        <f>SUMPRODUCT(N2783:Y2783,$N$2:$Y$2)*$K2783*$L2783*$M2783</f>
        <v/>
      </c>
      <c r="AA2783" s="14">
        <f>SUM(N2783:Y2783)</f>
        <v/>
      </c>
      <c r="AB2783" s="14">
        <f>IFERROR(IF(UPPER($E2783)="L",SUMPRODUCT(N2783:Y2783,$N$3:$Y$3,$N$2:$Y$2),SUMPRODUCT(N2783:Y2783,$N$4:$Y$4,$N$2:$Y$2))/(Z2783/($K2783*$L2783*$M2783)),"")</f>
        <v/>
      </c>
      <c r="AC2783" s="18" t="n"/>
    </row>
    <row r="2784">
      <c r="A2784" s="9" t="n">
        <v>683227</v>
      </c>
      <c r="B2784" s="9" t="inlineStr">
        <is>
          <t>Cody Freeman</t>
        </is>
      </c>
      <c r="C2784" s="9" t="inlineStr">
        <is>
          <t>TEX</t>
        </is>
      </c>
      <c r="D2784" s="9" t="n">
        <v>26</v>
      </c>
      <c r="E2784" s="16" t="inlineStr">
        <is>
          <t>R</t>
        </is>
      </c>
      <c r="F2784" s="16" t="inlineStr">
        <is>
          <t>3B</t>
        </is>
      </c>
      <c r="G2784" s="9" t="n">
        <v>97</v>
      </c>
      <c r="H2784" s="9" t="n">
        <v>218</v>
      </c>
      <c r="I2784" s="9" t="inlineStr">
        <is>
          <t>Weak Side Platoon</t>
        </is>
      </c>
      <c r="J2784" s="16" t="inlineStr">
        <is>
          <t>Opening Day</t>
        </is>
      </c>
      <c r="K2784" s="11">
        <f>IFERROR(INDEX(Roles!$B$17:$B$20,MATCH(J2784,Roles!$A$17:$A$20,0)),1)</f>
        <v/>
      </c>
      <c r="L2784" s="17" t="n">
        <v>1</v>
      </c>
      <c r="M2784" s="11" t="n">
        <v>1</v>
      </c>
      <c r="N2784" s="17" t="n"/>
      <c r="O2784" s="17" t="n"/>
      <c r="P2784" s="17" t="n"/>
      <c r="Q2784" s="17" t="n">
        <v>0.6</v>
      </c>
      <c r="R2784" s="17" t="n"/>
      <c r="S2784" s="17" t="n"/>
      <c r="T2784" s="17" t="n"/>
      <c r="U2784" s="17" t="n">
        <v>0.4</v>
      </c>
      <c r="V2784" s="17" t="n"/>
      <c r="W2784" s="17" t="n"/>
      <c r="X2784" s="17" t="n"/>
      <c r="Y2784" s="17" t="n"/>
      <c r="Z2784" s="13">
        <f>SUMPRODUCT(N2784:Y2784,$N$2:$Y$2)*$K2784*$L2784*$M2784</f>
        <v/>
      </c>
      <c r="AA2784" s="14">
        <f>SUM(N2784:Y2784)</f>
        <v/>
      </c>
      <c r="AB2784" s="14">
        <f>IFERROR(IF(UPPER($E2784)="L",SUMPRODUCT(N2784:Y2784,$N$3:$Y$3,$N$2:$Y$2),SUMPRODUCT(N2784:Y2784,$N$4:$Y$4,$N$2:$Y$2))/(Z2784/($K2784*$L2784*$M2784)),"")</f>
        <v/>
      </c>
      <c r="AC2784" s="18" t="n"/>
    </row>
    <row r="2785">
      <c r="A2785" s="9" t="n">
        <v>682617</v>
      </c>
      <c r="B2785" s="9" t="inlineStr">
        <is>
          <t>Marco Luciano</t>
        </is>
      </c>
      <c r="C2785" s="9" t="inlineStr">
        <is>
          <t>SF</t>
        </is>
      </c>
      <c r="D2785" s="9" t="n">
        <v>25</v>
      </c>
      <c r="E2785" s="16" t="inlineStr">
        <is>
          <t>R</t>
        </is>
      </c>
      <c r="F2785" s="16" t="inlineStr">
        <is>
          <t>2B</t>
        </is>
      </c>
      <c r="G2785" s="9" t="n">
        <v>81</v>
      </c>
      <c r="H2785" s="9" t="n">
        <v>126</v>
      </c>
      <c r="I2785" s="9" t="inlineStr">
        <is>
          <t>Depth (no MLB PA)</t>
        </is>
      </c>
      <c r="J2785" s="16" t="inlineStr">
        <is>
          <t>Opening Day</t>
        </is>
      </c>
      <c r="K2785" s="11">
        <f>IFERROR(INDEX(Roles!$B$17:$B$20,MATCH(J2785,Roles!$A$17:$A$20,0)),1)</f>
        <v/>
      </c>
      <c r="L2785" s="17" t="n">
        <v>1</v>
      </c>
      <c r="M2785" s="11" t="n">
        <v>1</v>
      </c>
      <c r="N2785" s="17" t="n"/>
      <c r="O2785" s="17" t="n"/>
      <c r="P2785" s="17" t="n"/>
      <c r="Q2785" s="17" t="n"/>
      <c r="R2785" s="17" t="n"/>
      <c r="S2785" s="17" t="n"/>
      <c r="T2785" s="17" t="n"/>
      <c r="U2785" s="17" t="n"/>
      <c r="V2785" s="17" t="n"/>
      <c r="W2785" s="17" t="n"/>
      <c r="X2785" s="17" t="n"/>
      <c r="Y2785" s="17" t="n">
        <v>1</v>
      </c>
      <c r="Z2785" s="13">
        <f>SUMPRODUCT(N2785:Y2785,$N$2:$Y$2)*$K2785*$L2785*$M2785</f>
        <v/>
      </c>
      <c r="AA2785" s="14">
        <f>SUM(N2785:Y2785)</f>
        <v/>
      </c>
      <c r="AB2785" s="14">
        <f>IFERROR(IF(UPPER($E2785)="L",SUMPRODUCT(N2785:Y2785,$N$3:$Y$3,$N$2:$Y$2),SUMPRODUCT(N2785:Y2785,$N$4:$Y$4,$N$2:$Y$2))/(Z2785/($K2785*$L2785*$M2785)),"")</f>
        <v/>
      </c>
      <c r="AC2785" s="18" t="n"/>
    </row>
    <row r="2786">
      <c r="A2786" s="9" t="n">
        <v>673490</v>
      </c>
      <c r="B2786" s="9" t="inlineStr">
        <is>
          <t>Ha-Seong Kim</t>
        </is>
      </c>
      <c r="C2786" s="9" t="inlineStr">
        <is>
          <t>ATL</t>
        </is>
      </c>
      <c r="D2786" s="9" t="n">
        <v>31</v>
      </c>
      <c r="E2786" s="16" t="inlineStr">
        <is>
          <t>R</t>
        </is>
      </c>
      <c r="F2786" s="16" t="inlineStr">
        <is>
          <t>SS</t>
        </is>
      </c>
      <c r="G2786" s="9" t="n">
        <v>147</v>
      </c>
      <c r="H2786" s="9" t="n">
        <v>2016</v>
      </c>
      <c r="I2786" s="9" t="inlineStr">
        <is>
          <t>Full Time</t>
        </is>
      </c>
      <c r="J2786" s="16" t="inlineStr">
        <is>
          <t>Opening Day</t>
        </is>
      </c>
      <c r="K2786" s="11">
        <f>IFERROR(INDEX(Roles!$B$17:$B$20,MATCH(J2786,Roles!$A$17:$A$20,0)),1)</f>
        <v/>
      </c>
      <c r="L2786" s="17" t="n">
        <v>1</v>
      </c>
      <c r="M2786" s="11" t="n">
        <v>0.6797163667557704</v>
      </c>
      <c r="N2786" s="17" t="n">
        <v>1</v>
      </c>
      <c r="O2786" s="17" t="n"/>
      <c r="P2786" s="17" t="n"/>
      <c r="Q2786" s="17" t="n"/>
      <c r="R2786" s="17" t="n"/>
      <c r="S2786" s="17" t="n"/>
      <c r="T2786" s="17" t="n"/>
      <c r="U2786" s="17" t="n"/>
      <c r="V2786" s="17" t="n"/>
      <c r="W2786" s="17" t="n"/>
      <c r="X2786" s="17" t="n"/>
      <c r="Y2786" s="17" t="n"/>
      <c r="Z2786" s="13">
        <f>SUMPRODUCT(N2786:Y2786,$N$2:$Y$2)*$K2786*$L2786*$M2786</f>
        <v/>
      </c>
      <c r="AA2786" s="14">
        <f>SUM(N2786:Y2786)</f>
        <v/>
      </c>
      <c r="AB2786" s="14">
        <f>IFERROR(IF(UPPER($E2786)="L",SUMPRODUCT(N2786:Y2786,$N$3:$Y$3,$N$2:$Y$2),SUMPRODUCT(N2786:Y2786,$N$4:$Y$4,$N$2:$Y$2))/(Z2786/($K2786*$L2786*$M2786)),"")</f>
        <v/>
      </c>
      <c r="AC2786" s="18" t="n"/>
    </row>
    <row r="2787">
      <c r="A2787" s="9" t="n">
        <v>621563</v>
      </c>
      <c r="B2787" s="9" t="inlineStr">
        <is>
          <t>Joey Wendle</t>
        </is>
      </c>
      <c r="C2787" s="9" t="inlineStr">
        <is>
          <t>NYM</t>
        </is>
      </c>
      <c r="D2787" s="9" t="n">
        <v>37</v>
      </c>
      <c r="E2787" s="16" t="inlineStr">
        <is>
          <t>L</t>
        </is>
      </c>
      <c r="F2787" s="16" t="inlineStr">
        <is>
          <t>2B</t>
        </is>
      </c>
      <c r="G2787" s="9" t="n">
        <v>37</v>
      </c>
      <c r="H2787" s="9" t="n">
        <v>726</v>
      </c>
      <c r="I2787" s="9" t="inlineStr">
        <is>
          <t>Depth (no MLB PA)</t>
        </is>
      </c>
      <c r="J2787" s="16" t="inlineStr">
        <is>
          <t>Opening Day</t>
        </is>
      </c>
      <c r="K2787" s="11">
        <f>IFERROR(INDEX(Roles!$B$17:$B$20,MATCH(J2787,Roles!$A$17:$A$20,0)),1)</f>
        <v/>
      </c>
      <c r="L2787" s="17" t="n">
        <v>1</v>
      </c>
      <c r="M2787" s="11" t="n">
        <v>1</v>
      </c>
      <c r="N2787" s="17" t="n"/>
      <c r="O2787" s="17" t="n"/>
      <c r="P2787" s="17" t="n"/>
      <c r="Q2787" s="17" t="n"/>
      <c r="R2787" s="17" t="n"/>
      <c r="S2787" s="17" t="n"/>
      <c r="T2787" s="17" t="n"/>
      <c r="U2787" s="17" t="n"/>
      <c r="V2787" s="17" t="n"/>
      <c r="W2787" s="17" t="n"/>
      <c r="X2787" s="17" t="n"/>
      <c r="Y2787" s="17" t="n">
        <v>1</v>
      </c>
      <c r="Z2787" s="13">
        <f>SUMPRODUCT(N2787:Y2787,$N$2:$Y$2)*$K2787*$L2787*$M2787</f>
        <v/>
      </c>
      <c r="AA2787" s="14">
        <f>SUM(N2787:Y2787)</f>
        <v/>
      </c>
      <c r="AB2787" s="14">
        <f>IFERROR(IF(UPPER($E2787)="L",SUMPRODUCT(N2787:Y2787,$N$3:$Y$3,$N$2:$Y$2),SUMPRODUCT(N2787:Y2787,$N$4:$Y$4,$N$2:$Y$2))/(Z2787/($K2787*$L2787*$M2787)),"")</f>
        <v/>
      </c>
      <c r="AC2787" s="18" t="n"/>
    </row>
    <row r="2788">
      <c r="A2788" s="9" t="n">
        <v>676439</v>
      </c>
      <c r="B2788" s="9" t="inlineStr">
        <is>
          <t>Hunter Feduccia</t>
        </is>
      </c>
      <c r="C2788" s="9" t="inlineStr">
        <is>
          <t>LAD</t>
        </is>
      </c>
      <c r="D2788" s="9" t="n">
        <v>30</v>
      </c>
      <c r="E2788" s="16" t="inlineStr">
        <is>
          <t>L</t>
        </is>
      </c>
      <c r="F2788" s="16" t="inlineStr">
        <is>
          <t>C</t>
        </is>
      </c>
      <c r="G2788" s="9" t="n">
        <v>251</v>
      </c>
      <c r="H2788" s="9" t="n">
        <v>370</v>
      </c>
      <c r="I2788" s="9" t="inlineStr">
        <is>
          <t>Catcher - Backup</t>
        </is>
      </c>
      <c r="J2788" s="16" t="inlineStr">
        <is>
          <t>Opening Day</t>
        </is>
      </c>
      <c r="K2788" s="11">
        <f>IFERROR(INDEX(Roles!$B$17:$B$20,MATCH(J2788,Roles!$A$17:$A$20,0)),1)</f>
        <v/>
      </c>
      <c r="L2788" s="17" t="n">
        <v>1</v>
      </c>
      <c r="M2788" s="11" t="n">
        <v>1</v>
      </c>
      <c r="N2788" s="17" t="n"/>
      <c r="O2788" s="17" t="n"/>
      <c r="P2788" s="17" t="n"/>
      <c r="Q2788" s="17" t="n"/>
      <c r="R2788" s="17" t="n"/>
      <c r="S2788" s="17" t="n"/>
      <c r="T2788" s="17" t="n">
        <v>0.7</v>
      </c>
      <c r="U2788" s="17" t="n"/>
      <c r="V2788" s="17" t="n"/>
      <c r="W2788" s="17" t="n">
        <v>0.3</v>
      </c>
      <c r="X2788" s="17" t="n"/>
      <c r="Y2788" s="17" t="n"/>
      <c r="Z2788" s="13">
        <f>SUMPRODUCT(N2788:Y2788,$N$2:$Y$2)*$K2788*$L2788*$M2788</f>
        <v/>
      </c>
      <c r="AA2788" s="14">
        <f>SUM(N2788:Y2788)</f>
        <v/>
      </c>
      <c r="AB2788" s="14">
        <f>IFERROR(IF(UPPER($E2788)="L",SUMPRODUCT(N2788:Y2788,$N$3:$Y$3,$N$2:$Y$2),SUMPRODUCT(N2788:Y2788,$N$4:$Y$4,$N$2:$Y$2))/(Z2788/($K2788*$L2788*$M2788)),"")</f>
        <v/>
      </c>
      <c r="AC2788" s="18" t="n"/>
    </row>
    <row r="2789">
      <c r="A2789" s="9" t="n">
        <v>686217</v>
      </c>
      <c r="B2789" s="9" t="inlineStr">
        <is>
          <t>Sal Frelick</t>
        </is>
      </c>
      <c r="C2789" s="9" t="inlineStr">
        <is>
          <t>MIL</t>
        </is>
      </c>
      <c r="D2789" s="9" t="n">
        <v>27</v>
      </c>
      <c r="E2789" s="16" t="inlineStr">
        <is>
          <t>L</t>
        </is>
      </c>
      <c r="F2789" s="16" t="inlineStr">
        <is>
          <t>RF</t>
        </is>
      </c>
      <c r="G2789" s="9" t="n">
        <v>384</v>
      </c>
      <c r="H2789" s="9" t="n">
        <v>1725</v>
      </c>
      <c r="I2789" s="9" t="inlineStr">
        <is>
          <t>Full Time</t>
        </is>
      </c>
      <c r="J2789" s="16" t="inlineStr">
        <is>
          <t>Opening Day</t>
        </is>
      </c>
      <c r="K2789" s="11">
        <f>IFERROR(INDEX(Roles!$B$17:$B$20,MATCH(J2789,Roles!$A$17:$A$20,0)),1)</f>
        <v/>
      </c>
      <c r="L2789" s="17" t="n">
        <v>1</v>
      </c>
      <c r="M2789" s="11" t="n">
        <v>1.045196693069586</v>
      </c>
      <c r="N2789" s="17" t="n">
        <v>1</v>
      </c>
      <c r="O2789" s="17" t="n"/>
      <c r="P2789" s="17" t="n"/>
      <c r="Q2789" s="17" t="n"/>
      <c r="R2789" s="17" t="n"/>
      <c r="S2789" s="17" t="n"/>
      <c r="T2789" s="17" t="n"/>
      <c r="U2789" s="17" t="n"/>
      <c r="V2789" s="17" t="n"/>
      <c r="W2789" s="17" t="n"/>
      <c r="X2789" s="17" t="n"/>
      <c r="Y2789" s="17" t="n"/>
      <c r="Z2789" s="13">
        <f>SUMPRODUCT(N2789:Y2789,$N$2:$Y$2)*$K2789*$L2789*$M2789</f>
        <v/>
      </c>
      <c r="AA2789" s="14">
        <f>SUM(N2789:Y2789)</f>
        <v/>
      </c>
      <c r="AB2789" s="14">
        <f>IFERROR(IF(UPPER($E2789)="L",SUMPRODUCT(N2789:Y2789,$N$3:$Y$3,$N$2:$Y$2),SUMPRODUCT(N2789:Y2789,$N$4:$Y$4,$N$2:$Y$2))/(Z2789/($K2789*$L2789*$M2789)),"")</f>
        <v/>
      </c>
      <c r="AC2789" s="18" t="n"/>
    </row>
    <row r="2790">
      <c r="A2790" s="9" t="n">
        <v>669369</v>
      </c>
      <c r="B2790" s="9" t="inlineStr">
        <is>
          <t>Bryce Johnson</t>
        </is>
      </c>
      <c r="C2790" s="9" t="inlineStr">
        <is>
          <t>SD</t>
        </is>
      </c>
      <c r="D2790" s="9" t="n">
        <v>31</v>
      </c>
      <c r="E2790" s="16" t="inlineStr">
        <is>
          <t>S</t>
        </is>
      </c>
      <c r="F2790" s="16" t="inlineStr">
        <is>
          <t>RF</t>
        </is>
      </c>
      <c r="G2790" s="9" t="n">
        <v>49</v>
      </c>
      <c r="H2790" s="9" t="n">
        <v>273</v>
      </c>
      <c r="I2790" s="9" t="inlineStr">
        <is>
          <t>Bench Bat</t>
        </is>
      </c>
      <c r="J2790" s="16" t="inlineStr">
        <is>
          <t>Opening Day</t>
        </is>
      </c>
      <c r="K2790" s="11">
        <f>IFERROR(INDEX(Roles!$B$17:$B$20,MATCH(J2790,Roles!$A$17:$A$20,0)),1)</f>
        <v/>
      </c>
      <c r="L2790" s="17" t="n">
        <v>1</v>
      </c>
      <c r="M2790" s="11" t="n">
        <v>1</v>
      </c>
      <c r="N2790" s="17" t="n"/>
      <c r="O2790" s="17" t="n"/>
      <c r="P2790" s="17" t="n"/>
      <c r="Q2790" s="17" t="n"/>
      <c r="R2790" s="17" t="n"/>
      <c r="S2790" s="17" t="n"/>
      <c r="T2790" s="17" t="n"/>
      <c r="U2790" s="17" t="n"/>
      <c r="V2790" s="17" t="n"/>
      <c r="W2790" s="17" t="n">
        <v>1</v>
      </c>
      <c r="X2790" s="17" t="n"/>
      <c r="Y2790" s="17" t="n"/>
      <c r="Z2790" s="13">
        <f>SUMPRODUCT(N2790:Y2790,$N$2:$Y$2)*$K2790*$L2790*$M2790</f>
        <v/>
      </c>
      <c r="AA2790" s="14">
        <f>SUM(N2790:Y2790)</f>
        <v/>
      </c>
      <c r="AB2790" s="14">
        <f>IFERROR(IF(UPPER($E2790)="L",SUMPRODUCT(N2790:Y2790,$N$3:$Y$3,$N$2:$Y$2),SUMPRODUCT(N2790:Y2790,$N$4:$Y$4,$N$2:$Y$2))/(Z2790/($K2790*$L2790*$M2790)),"")</f>
        <v/>
      </c>
      <c r="AC2790" s="18" t="n"/>
    </row>
    <row r="2791">
      <c r="A2791" s="9" t="n">
        <v>645302</v>
      </c>
      <c r="B2791" s="9" t="inlineStr">
        <is>
          <t>Victor Robles</t>
        </is>
      </c>
      <c r="C2791" s="9" t="inlineStr">
        <is>
          <t>SEA</t>
        </is>
      </c>
      <c r="D2791" s="9" t="n">
        <v>30</v>
      </c>
      <c r="E2791" s="16" t="inlineStr">
        <is>
          <t>R</t>
        </is>
      </c>
      <c r="F2791" s="16" t="inlineStr">
        <is>
          <t>RF</t>
        </is>
      </c>
      <c r="G2791" s="9" t="n">
        <v>149</v>
      </c>
      <c r="H2791" s="9" t="n">
        <v>1091</v>
      </c>
      <c r="I2791" s="9" t="inlineStr">
        <is>
          <t>Bench Bat</t>
        </is>
      </c>
      <c r="J2791" s="16" t="inlineStr">
        <is>
          <t>Opening Day</t>
        </is>
      </c>
      <c r="K2791" s="11">
        <f>IFERROR(INDEX(Roles!$B$17:$B$20,MATCH(J2791,Roles!$A$17:$A$20,0)),1)</f>
        <v/>
      </c>
      <c r="L2791" s="17" t="n">
        <v>1</v>
      </c>
      <c r="M2791" s="11" t="n">
        <v>1</v>
      </c>
      <c r="N2791" s="17" t="n"/>
      <c r="O2791" s="17" t="n"/>
      <c r="P2791" s="17" t="n"/>
      <c r="Q2791" s="17" t="n"/>
      <c r="R2791" s="17" t="n"/>
      <c r="S2791" s="17" t="n"/>
      <c r="T2791" s="17" t="n"/>
      <c r="U2791" s="17" t="n"/>
      <c r="V2791" s="17" t="n">
        <v>0.4</v>
      </c>
      <c r="W2791" s="17" t="n">
        <v>0.6</v>
      </c>
      <c r="X2791" s="17" t="n"/>
      <c r="Y2791" s="17" t="n"/>
      <c r="Z2791" s="13">
        <f>SUMPRODUCT(N2791:Y2791,$N$2:$Y$2)*$K2791*$L2791*$M2791</f>
        <v/>
      </c>
      <c r="AA2791" s="14">
        <f>SUM(N2791:Y2791)</f>
        <v/>
      </c>
      <c r="AB2791" s="14">
        <f>IFERROR(IF(UPPER($E2791)="L",SUMPRODUCT(N2791:Y2791,$N$3:$Y$3,$N$2:$Y$2),SUMPRODUCT(N2791:Y2791,$N$4:$Y$4,$N$2:$Y$2))/(Z2791/($K2791*$L2791*$M2791)),"")</f>
        <v/>
      </c>
      <c r="AC2791" s="18" t="n"/>
    </row>
    <row r="2792">
      <c r="A2792" s="9" t="n">
        <v>592192</v>
      </c>
      <c r="B2792" s="9" t="inlineStr">
        <is>
          <t>Mark Canha</t>
        </is>
      </c>
      <c r="C2792" s="9" t="inlineStr">
        <is>
          <t>KC</t>
        </is>
      </c>
      <c r="D2792" s="9" t="n">
        <v>38</v>
      </c>
      <c r="E2792" s="16" t="inlineStr">
        <is>
          <t>R</t>
        </is>
      </c>
      <c r="F2792" s="16" t="inlineStr">
        <is>
          <t>LF</t>
        </is>
      </c>
      <c r="G2792" s="9" t="n">
        <v>125</v>
      </c>
      <c r="H2792" s="9" t="n">
        <v>1636</v>
      </c>
      <c r="I2792" s="9" t="inlineStr">
        <is>
          <t>Bench Bat</t>
        </is>
      </c>
      <c r="J2792" s="16" t="inlineStr">
        <is>
          <t>Opening Day</t>
        </is>
      </c>
      <c r="K2792" s="11">
        <f>IFERROR(INDEX(Roles!$B$17:$B$20,MATCH(J2792,Roles!$A$17:$A$20,0)),1)</f>
        <v/>
      </c>
      <c r="L2792" s="17" t="n">
        <v>1</v>
      </c>
      <c r="M2792" s="11" t="n">
        <v>0.9266064924509796</v>
      </c>
      <c r="N2792" s="17" t="n"/>
      <c r="O2792" s="17" t="n"/>
      <c r="P2792" s="17" t="n"/>
      <c r="Q2792" s="17" t="n"/>
      <c r="R2792" s="17" t="n"/>
      <c r="S2792" s="17" t="n"/>
      <c r="T2792" s="17" t="n"/>
      <c r="U2792" s="17" t="n"/>
      <c r="V2792" s="17" t="n"/>
      <c r="W2792" s="17" t="n">
        <v>1</v>
      </c>
      <c r="X2792" s="17" t="n"/>
      <c r="Y2792" s="17" t="n"/>
      <c r="Z2792" s="13">
        <f>SUMPRODUCT(N2792:Y2792,$N$2:$Y$2)*$K2792*$L2792*$M2792</f>
        <v/>
      </c>
      <c r="AA2792" s="14">
        <f>SUM(N2792:Y2792)</f>
        <v/>
      </c>
      <c r="AB2792" s="14">
        <f>IFERROR(IF(UPPER($E2792)="L",SUMPRODUCT(N2792:Y2792,$N$3:$Y$3,$N$2:$Y$2),SUMPRODUCT(N2792:Y2792,$N$4:$Y$4,$N$2:$Y$2))/(Z2792/($K2792*$L2792*$M2792)),"")</f>
        <v/>
      </c>
      <c r="AC2792" s="18" t="n"/>
    </row>
    <row r="2793">
      <c r="A2793" s="9" t="n">
        <v>640902</v>
      </c>
      <c r="B2793" s="9" t="inlineStr">
        <is>
          <t>Jhonny Pereda</t>
        </is>
      </c>
      <c r="C2793" s="9" t="inlineStr">
        <is>
          <t>SEA</t>
        </is>
      </c>
      <c r="D2793" s="9" t="n">
        <v>31</v>
      </c>
      <c r="E2793" s="16" t="inlineStr">
        <is>
          <t>R</t>
        </is>
      </c>
      <c r="F2793" s="16" t="inlineStr">
        <is>
          <t>C</t>
        </is>
      </c>
      <c r="G2793" s="9" t="n">
        <v>101</v>
      </c>
      <c r="H2793" s="9" t="n">
        <v>219</v>
      </c>
      <c r="I2793" s="9" t="inlineStr">
        <is>
          <t>Bench Bat</t>
        </is>
      </c>
      <c r="J2793" s="16" t="inlineStr">
        <is>
          <t>Opening Day</t>
        </is>
      </c>
      <c r="K2793" s="11">
        <f>IFERROR(INDEX(Roles!$B$17:$B$20,MATCH(J2793,Roles!$A$17:$A$20,0)),1)</f>
        <v/>
      </c>
      <c r="L2793" s="17" t="n">
        <v>1</v>
      </c>
      <c r="M2793" s="11" t="n">
        <v>1</v>
      </c>
      <c r="N2793" s="17" t="n"/>
      <c r="O2793" s="17" t="n"/>
      <c r="P2793" s="17" t="n"/>
      <c r="Q2793" s="17" t="n"/>
      <c r="R2793" s="17" t="n"/>
      <c r="S2793" s="17" t="n"/>
      <c r="T2793" s="17" t="n">
        <v>0.4</v>
      </c>
      <c r="U2793" s="17" t="n"/>
      <c r="V2793" s="17" t="n"/>
      <c r="W2793" s="17" t="n">
        <v>0.6</v>
      </c>
      <c r="X2793" s="17" t="n"/>
      <c r="Y2793" s="17" t="n"/>
      <c r="Z2793" s="13">
        <f>SUMPRODUCT(N2793:Y2793,$N$2:$Y$2)*$K2793*$L2793*$M2793</f>
        <v/>
      </c>
      <c r="AA2793" s="14">
        <f>SUM(N2793:Y2793)</f>
        <v/>
      </c>
      <c r="AB2793" s="14">
        <f>IFERROR(IF(UPPER($E2793)="L",SUMPRODUCT(N2793:Y2793,$N$3:$Y$3,$N$2:$Y$2),SUMPRODUCT(N2793:Y2793,$N$4:$Y$4,$N$2:$Y$2))/(Z2793/($K2793*$L2793*$M2793)),"")</f>
        <v/>
      </c>
      <c r="AC2793" s="18" t="n"/>
    </row>
    <row r="2794">
      <c r="A2794" s="9" t="n">
        <v>691858</v>
      </c>
      <c r="B2794" s="9" t="inlineStr">
        <is>
          <t>Jared Serna</t>
        </is>
      </c>
      <c r="C2794" s="9" t="inlineStr">
        <is>
          <t>MIA</t>
        </is>
      </c>
      <c r="D2794" s="9" t="n">
        <v>25</v>
      </c>
      <c r="E2794" s="16" t="inlineStr">
        <is>
          <t>R</t>
        </is>
      </c>
      <c r="F2794" s="16" t="inlineStr">
        <is>
          <t>2B</t>
        </is>
      </c>
      <c r="G2794" s="9" t="n">
        <v>32</v>
      </c>
      <c r="H2794" s="9" t="n">
        <v>32</v>
      </c>
      <c r="I2794" s="9" t="inlineStr">
        <is>
          <t>Bench Bat</t>
        </is>
      </c>
      <c r="J2794" s="16" t="inlineStr">
        <is>
          <t>Opening Day</t>
        </is>
      </c>
      <c r="K2794" s="11">
        <f>IFERROR(INDEX(Roles!$B$17:$B$20,MATCH(J2794,Roles!$A$17:$A$20,0)),1)</f>
        <v/>
      </c>
      <c r="L2794" s="17" t="n">
        <v>1</v>
      </c>
      <c r="M2794" s="11" t="n">
        <v>1</v>
      </c>
      <c r="N2794" s="17" t="n"/>
      <c r="O2794" s="17" t="n"/>
      <c r="P2794" s="17" t="n"/>
      <c r="Q2794" s="17" t="n"/>
      <c r="R2794" s="17" t="n"/>
      <c r="S2794" s="17" t="n"/>
      <c r="T2794" s="17" t="n"/>
      <c r="U2794" s="17" t="n">
        <v>0.4</v>
      </c>
      <c r="V2794" s="17" t="n"/>
      <c r="W2794" s="17" t="n">
        <v>0.6</v>
      </c>
      <c r="X2794" s="17" t="n"/>
      <c r="Y2794" s="17" t="n"/>
      <c r="Z2794" s="13">
        <f>SUMPRODUCT(N2794:Y2794,$N$2:$Y$2)*$K2794*$L2794*$M2794</f>
        <v/>
      </c>
      <c r="AA2794" s="14">
        <f>SUM(N2794:Y2794)</f>
        <v/>
      </c>
      <c r="AB2794" s="14">
        <f>IFERROR(IF(UPPER($E2794)="L",SUMPRODUCT(N2794:Y2794,$N$3:$Y$3,$N$2:$Y$2),SUMPRODUCT(N2794:Y2794,$N$4:$Y$4,$N$2:$Y$2))/(Z2794/($K2794*$L2794*$M2794)),"")</f>
        <v/>
      </c>
      <c r="AC2794" s="18" t="n"/>
    </row>
    <row r="2795">
      <c r="A2795" s="9" t="n">
        <v>664702</v>
      </c>
      <c r="B2795" s="9" t="inlineStr">
        <is>
          <t>Myles Straw</t>
        </is>
      </c>
      <c r="C2795" s="9" t="inlineStr">
        <is>
          <t>TOR</t>
        </is>
      </c>
      <c r="D2795" s="9" t="n">
        <v>32</v>
      </c>
      <c r="E2795" s="16" t="inlineStr">
        <is>
          <t>R</t>
        </is>
      </c>
      <c r="F2795" s="16" t="inlineStr">
        <is>
          <t>CF</t>
        </is>
      </c>
      <c r="G2795" s="9" t="n">
        <v>330</v>
      </c>
      <c r="H2795" s="9" t="n">
        <v>1747</v>
      </c>
      <c r="I2795" s="9" t="inlineStr">
        <is>
          <t>Weak Side Platoon</t>
        </is>
      </c>
      <c r="J2795" s="16" t="inlineStr">
        <is>
          <t>Opening Day</t>
        </is>
      </c>
      <c r="K2795" s="11">
        <f>IFERROR(INDEX(Roles!$B$17:$B$20,MATCH(J2795,Roles!$A$17:$A$20,0)),1)</f>
        <v/>
      </c>
      <c r="L2795" s="17" t="n">
        <v>1</v>
      </c>
      <c r="M2795" s="11" t="n">
        <v>1.15</v>
      </c>
      <c r="N2795" s="17" t="n"/>
      <c r="O2795" s="17" t="n"/>
      <c r="P2795" s="17" t="n"/>
      <c r="Q2795" s="17" t="n">
        <v>0.6</v>
      </c>
      <c r="R2795" s="17" t="n"/>
      <c r="S2795" s="17" t="n"/>
      <c r="T2795" s="17" t="n"/>
      <c r="U2795" s="17" t="n"/>
      <c r="V2795" s="17" t="n">
        <v>0.4</v>
      </c>
      <c r="W2795" s="17" t="n"/>
      <c r="X2795" s="17" t="n"/>
      <c r="Y2795" s="17" t="n"/>
      <c r="Z2795" s="13">
        <f>SUMPRODUCT(N2795:Y2795,$N$2:$Y$2)*$K2795*$L2795*$M2795</f>
        <v/>
      </c>
      <c r="AA2795" s="14">
        <f>SUM(N2795:Y2795)</f>
        <v/>
      </c>
      <c r="AB2795" s="14">
        <f>IFERROR(IF(UPPER($E2795)="L",SUMPRODUCT(N2795:Y2795,$N$3:$Y$3,$N$2:$Y$2),SUMPRODUCT(N2795:Y2795,$N$4:$Y$4,$N$2:$Y$2))/(Z2795/($K2795*$L2795*$M2795)),"")</f>
        <v/>
      </c>
      <c r="AC2795" s="18" t="n"/>
    </row>
    <row r="2796">
      <c r="A2796" s="9" t="n">
        <v>686554</v>
      </c>
      <c r="B2796" s="9" t="inlineStr">
        <is>
          <t>Oliver Dunn</t>
        </is>
      </c>
      <c r="C2796" s="9" t="inlineStr">
        <is>
          <t>MIL</t>
        </is>
      </c>
      <c r="D2796" s="9" t="n">
        <v>29</v>
      </c>
      <c r="E2796" s="16" t="inlineStr">
        <is>
          <t>L</t>
        </is>
      </c>
      <c r="F2796" s="16" t="inlineStr">
        <is>
          <t>SS</t>
        </is>
      </c>
      <c r="G2796" s="9" t="n">
        <v>12</v>
      </c>
      <c r="H2796" s="9" t="n">
        <v>157</v>
      </c>
      <c r="I2796" s="9" t="inlineStr">
        <is>
          <t>Bench Bat</t>
        </is>
      </c>
      <c r="J2796" s="16" t="inlineStr">
        <is>
          <t>Opening Day</t>
        </is>
      </c>
      <c r="K2796" s="11">
        <f>IFERROR(INDEX(Roles!$B$17:$B$20,MATCH(J2796,Roles!$A$17:$A$20,0)),1)</f>
        <v/>
      </c>
      <c r="L2796" s="17" t="n">
        <v>1</v>
      </c>
      <c r="M2796" s="11" t="n">
        <v>1</v>
      </c>
      <c r="N2796" s="17" t="n"/>
      <c r="O2796" s="17" t="n"/>
      <c r="P2796" s="17" t="n"/>
      <c r="Q2796" s="17" t="n"/>
      <c r="R2796" s="17" t="n"/>
      <c r="S2796" s="17" t="n"/>
      <c r="T2796" s="17" t="n"/>
      <c r="U2796" s="17" t="n"/>
      <c r="V2796" s="17" t="n"/>
      <c r="W2796" s="17" t="n">
        <v>1</v>
      </c>
      <c r="X2796" s="17" t="n"/>
      <c r="Y2796" s="17" t="n"/>
      <c r="Z2796" s="13">
        <f>SUMPRODUCT(N2796:Y2796,$N$2:$Y$2)*$K2796*$L2796*$M2796</f>
        <v/>
      </c>
      <c r="AA2796" s="14">
        <f>SUM(N2796:Y2796)</f>
        <v/>
      </c>
      <c r="AB2796" s="14">
        <f>IFERROR(IF(UPPER($E2796)="L",SUMPRODUCT(N2796:Y2796,$N$3:$Y$3,$N$2:$Y$2),SUMPRODUCT(N2796:Y2796,$N$4:$Y$4,$N$2:$Y$2))/(Z2796/($K2796*$L2796*$M2796)),"")</f>
        <v/>
      </c>
      <c r="AC2796" s="18" t="n"/>
    </row>
    <row r="2797">
      <c r="A2797" s="9" t="n">
        <v>672279</v>
      </c>
      <c r="B2797" s="9" t="inlineStr">
        <is>
          <t>Michael Siani</t>
        </is>
      </c>
      <c r="C2797" s="9" t="inlineStr">
        <is>
          <t>STL</t>
        </is>
      </c>
      <c r="D2797" s="9" t="n">
        <v>27</v>
      </c>
      <c r="E2797" s="16" t="inlineStr">
        <is>
          <t>L</t>
        </is>
      </c>
      <c r="F2797" s="16" t="inlineStr">
        <is>
          <t>CF</t>
        </is>
      </c>
      <c r="G2797" s="9" t="n">
        <v>1</v>
      </c>
      <c r="H2797" s="9" t="n">
        <v>384</v>
      </c>
      <c r="I2797" s="9" t="inlineStr">
        <is>
          <t>Depth (no MLB PA)</t>
        </is>
      </c>
      <c r="J2797" s="16" t="inlineStr">
        <is>
          <t>Opening Day</t>
        </is>
      </c>
      <c r="K2797" s="11">
        <f>IFERROR(INDEX(Roles!$B$17:$B$20,MATCH(J2797,Roles!$A$17:$A$20,0)),1)</f>
        <v/>
      </c>
      <c r="L2797" s="17" t="n">
        <v>1</v>
      </c>
      <c r="M2797" s="11" t="n">
        <v>0.6504320043379854</v>
      </c>
      <c r="N2797" s="17" t="n"/>
      <c r="O2797" s="17" t="n"/>
      <c r="P2797" s="17" t="n"/>
      <c r="Q2797" s="17" t="n"/>
      <c r="R2797" s="17" t="n"/>
      <c r="S2797" s="17" t="n"/>
      <c r="T2797" s="17" t="n"/>
      <c r="U2797" s="17" t="n"/>
      <c r="V2797" s="17" t="n"/>
      <c r="W2797" s="17" t="n"/>
      <c r="X2797" s="17" t="n"/>
      <c r="Y2797" s="17" t="n">
        <v>1</v>
      </c>
      <c r="Z2797" s="13">
        <f>SUMPRODUCT(N2797:Y2797,$N$2:$Y$2)*$K2797*$L2797*$M2797</f>
        <v/>
      </c>
      <c r="AA2797" s="14">
        <f>SUM(N2797:Y2797)</f>
        <v/>
      </c>
      <c r="AB2797" s="14">
        <f>IFERROR(IF(UPPER($E2797)="L",SUMPRODUCT(N2797:Y2797,$N$3:$Y$3,$N$2:$Y$2),SUMPRODUCT(N2797:Y2797,$N$4:$Y$4,$N$2:$Y$2))/(Z2797/($K2797*$L2797*$M2797)),"")</f>
        <v/>
      </c>
      <c r="AC2797" s="18" t="n"/>
    </row>
    <row r="2798">
      <c r="A2798" s="9" t="n">
        <v>664059</v>
      </c>
      <c r="B2798" s="9" t="inlineStr">
        <is>
          <t>Sam Haggerty</t>
        </is>
      </c>
      <c r="C2798" s="9" t="inlineStr">
        <is>
          <t>TEX</t>
        </is>
      </c>
      <c r="D2798" s="9" t="n">
        <v>33</v>
      </c>
      <c r="E2798" s="16" t="inlineStr">
        <is>
          <t>S</t>
        </is>
      </c>
      <c r="F2798" s="16" t="inlineStr">
        <is>
          <t>LF</t>
        </is>
      </c>
      <c r="G2798" s="9" t="n">
        <v>47</v>
      </c>
      <c r="H2798" s="9" t="n">
        <v>554</v>
      </c>
      <c r="I2798" s="9" t="inlineStr">
        <is>
          <t>Weak Side Platoon</t>
        </is>
      </c>
      <c r="J2798" s="16" t="inlineStr">
        <is>
          <t>Opening Day</t>
        </is>
      </c>
      <c r="K2798" s="11">
        <f>IFERROR(INDEX(Roles!$B$17:$B$20,MATCH(J2798,Roles!$A$17:$A$20,0)),1)</f>
        <v/>
      </c>
      <c r="L2798" s="17" t="n">
        <v>1</v>
      </c>
      <c r="M2798" s="11" t="n">
        <v>1</v>
      </c>
      <c r="N2798" s="17" t="n"/>
      <c r="O2798" s="17" t="n"/>
      <c r="P2798" s="17" t="n"/>
      <c r="Q2798" s="17" t="n">
        <v>1</v>
      </c>
      <c r="R2798" s="17" t="n"/>
      <c r="S2798" s="17" t="n"/>
      <c r="T2798" s="17" t="n"/>
      <c r="U2798" s="17" t="n"/>
      <c r="V2798" s="17" t="n"/>
      <c r="W2798" s="17" t="n"/>
      <c r="X2798" s="17" t="n"/>
      <c r="Y2798" s="17" t="n"/>
      <c r="Z2798" s="13">
        <f>SUMPRODUCT(N2798:Y2798,$N$2:$Y$2)*$K2798*$L2798*$M2798</f>
        <v/>
      </c>
      <c r="AA2798" s="14">
        <f>SUM(N2798:Y2798)</f>
        <v/>
      </c>
      <c r="AB2798" s="14">
        <f>IFERROR(IF(UPPER($E2798)="L",SUMPRODUCT(N2798:Y2798,$N$3:$Y$3,$N$2:$Y$2),SUMPRODUCT(N2798:Y2798,$N$4:$Y$4,$N$2:$Y$2))/(Z2798/($K2798*$L2798*$M2798)),"")</f>
        <v/>
      </c>
      <c r="AC2798" s="18" t="n"/>
    </row>
    <row r="2799">
      <c r="A2799" s="9" t="n">
        <v>678391</v>
      </c>
      <c r="B2799" s="9" t="inlineStr">
        <is>
          <t>Jorbit Vivas</t>
        </is>
      </c>
      <c r="C2799" s="9" t="inlineStr">
        <is>
          <t>WSH</t>
        </is>
      </c>
      <c r="D2799" s="9" t="n">
        <v>26</v>
      </c>
      <c r="E2799" s="16" t="inlineStr">
        <is>
          <t>L</t>
        </is>
      </c>
      <c r="F2799" s="16" t="inlineStr">
        <is>
          <t>2B</t>
        </is>
      </c>
      <c r="G2799" s="9" t="n">
        <v>364</v>
      </c>
      <c r="H2799" s="9" t="n">
        <v>430</v>
      </c>
      <c r="I2799" s="9" t="inlineStr">
        <is>
          <t>Strong Side Platoon</t>
        </is>
      </c>
      <c r="J2799" s="16" t="inlineStr">
        <is>
          <t>Opening Day</t>
        </is>
      </c>
      <c r="K2799" s="11">
        <f>IFERROR(INDEX(Roles!$B$17:$B$20,MATCH(J2799,Roles!$A$17:$A$20,0)),1)</f>
        <v/>
      </c>
      <c r="L2799" s="17" t="n">
        <v>1</v>
      </c>
      <c r="M2799" s="11" t="n">
        <v>0.8515251836722231</v>
      </c>
      <c r="N2799" s="17" t="n"/>
      <c r="O2799" s="17" t="n"/>
      <c r="P2799" s="17" t="n">
        <v>0.6</v>
      </c>
      <c r="Q2799" s="17" t="n"/>
      <c r="R2799" s="17" t="n"/>
      <c r="S2799" s="17" t="n"/>
      <c r="T2799" s="17" t="n"/>
      <c r="U2799" s="17" t="n">
        <v>0.4</v>
      </c>
      <c r="V2799" s="17" t="n"/>
      <c r="W2799" s="17" t="n"/>
      <c r="X2799" s="17" t="n"/>
      <c r="Y2799" s="17" t="n"/>
      <c r="Z2799" s="13">
        <f>SUMPRODUCT(N2799:Y2799,$N$2:$Y$2)*$K2799*$L2799*$M2799</f>
        <v/>
      </c>
      <c r="AA2799" s="14">
        <f>SUM(N2799:Y2799)</f>
        <v/>
      </c>
      <c r="AB2799" s="14">
        <f>IFERROR(IF(UPPER($E2799)="L",SUMPRODUCT(N2799:Y2799,$N$3:$Y$3,$N$2:$Y$2),SUMPRODUCT(N2799:Y2799,$N$4:$Y$4,$N$2:$Y$2))/(Z2799/($K2799*$L2799*$M2799)),"")</f>
        <v/>
      </c>
      <c r="AC2799" s="18" t="n"/>
    </row>
    <row r="2800">
      <c r="A2800" s="9" t="n">
        <v>608841</v>
      </c>
      <c r="B2800" s="9" t="inlineStr">
        <is>
          <t>Joey Meneses</t>
        </is>
      </c>
      <c r="C2800" s="9" t="inlineStr">
        <is>
          <t>OAK</t>
        </is>
      </c>
      <c r="D2800" s="9" t="n">
        <v>35</v>
      </c>
      <c r="E2800" s="16" t="inlineStr">
        <is>
          <t>R</t>
        </is>
      </c>
      <c r="F2800" s="16" t="inlineStr">
        <is>
          <t>1B</t>
        </is>
      </c>
      <c r="G2800" s="9" t="n">
        <v>25</v>
      </c>
      <c r="H2800" s="9" t="n">
        <v>1235</v>
      </c>
      <c r="I2800" s="9" t="inlineStr">
        <is>
          <t>Bench Bat</t>
        </is>
      </c>
      <c r="J2800" s="16" t="inlineStr">
        <is>
          <t>Opening Day</t>
        </is>
      </c>
      <c r="K2800" s="11">
        <f>IFERROR(INDEX(Roles!$B$17:$B$20,MATCH(J2800,Roles!$A$17:$A$20,0)),1)</f>
        <v/>
      </c>
      <c r="L2800" s="17" t="n">
        <v>1</v>
      </c>
      <c r="M2800" s="11" t="n">
        <v>1</v>
      </c>
      <c r="N2800" s="17" t="n"/>
      <c r="O2800" s="17" t="n"/>
      <c r="P2800" s="17" t="n"/>
      <c r="Q2800" s="17" t="n"/>
      <c r="R2800" s="17" t="n"/>
      <c r="S2800" s="17" t="n"/>
      <c r="T2800" s="17" t="n"/>
      <c r="U2800" s="17" t="n"/>
      <c r="V2800" s="17" t="n"/>
      <c r="W2800" s="17" t="n">
        <v>1</v>
      </c>
      <c r="X2800" s="17" t="n"/>
      <c r="Y2800" s="17" t="n"/>
      <c r="Z2800" s="13">
        <f>SUMPRODUCT(N2800:Y2800,$N$2:$Y$2)*$K2800*$L2800*$M2800</f>
        <v/>
      </c>
      <c r="AA2800" s="14">
        <f>SUM(N2800:Y2800)</f>
        <v/>
      </c>
      <c r="AB2800" s="14">
        <f>IFERROR(IF(UPPER($E2800)="L",SUMPRODUCT(N2800:Y2800,$N$3:$Y$3,$N$2:$Y$2),SUMPRODUCT(N2800:Y2800,$N$4:$Y$4,$N$2:$Y$2))/(Z2800/($K2800*$L2800*$M2800)),"")</f>
        <v/>
      </c>
      <c r="AC2800" s="18" t="n"/>
    </row>
    <row r="2801">
      <c r="A2801" s="9" t="n">
        <v>650391</v>
      </c>
      <c r="B2801" s="9" t="inlineStr">
        <is>
          <t>Eloy Jiménez</t>
        </is>
      </c>
      <c r="C2801" s="9" t="inlineStr">
        <is>
          <t>TOR</t>
        </is>
      </c>
      <c r="D2801" s="9" t="n">
        <v>30</v>
      </c>
      <c r="E2801" s="16" t="inlineStr">
        <is>
          <t>R</t>
        </is>
      </c>
      <c r="F2801" s="16" t="inlineStr">
        <is>
          <t>RF</t>
        </is>
      </c>
      <c r="G2801" s="9" t="n">
        <v>35</v>
      </c>
      <c r="H2801" s="9" t="n">
        <v>1200</v>
      </c>
      <c r="I2801" s="9" t="inlineStr">
        <is>
          <t>Bench Bat</t>
        </is>
      </c>
      <c r="J2801" s="16" t="inlineStr">
        <is>
          <t>Opening Day</t>
        </is>
      </c>
      <c r="K2801" s="11">
        <f>IFERROR(INDEX(Roles!$B$17:$B$20,MATCH(J2801,Roles!$A$17:$A$20,0)),1)</f>
        <v/>
      </c>
      <c r="L2801" s="17" t="n">
        <v>1</v>
      </c>
      <c r="M2801" s="11" t="n">
        <v>1</v>
      </c>
      <c r="N2801" s="17" t="n"/>
      <c r="O2801" s="17" t="n"/>
      <c r="P2801" s="17" t="n"/>
      <c r="Q2801" s="17" t="n"/>
      <c r="R2801" s="17" t="n"/>
      <c r="S2801" s="17" t="n"/>
      <c r="T2801" s="17" t="n"/>
      <c r="U2801" s="17" t="n"/>
      <c r="V2801" s="17" t="n"/>
      <c r="W2801" s="17" t="n">
        <v>1</v>
      </c>
      <c r="X2801" s="17" t="n"/>
      <c r="Y2801" s="17" t="n"/>
      <c r="Z2801" s="13">
        <f>SUMPRODUCT(N2801:Y2801,$N$2:$Y$2)*$K2801*$L2801*$M2801</f>
        <v/>
      </c>
      <c r="AA2801" s="14">
        <f>SUM(N2801:Y2801)</f>
        <v/>
      </c>
      <c r="AB2801" s="14">
        <f>IFERROR(IF(UPPER($E2801)="L",SUMPRODUCT(N2801:Y2801,$N$3:$Y$3,$N$2:$Y$2),SUMPRODUCT(N2801:Y2801,$N$4:$Y$4,$N$2:$Y$2))/(Z2801/($K2801*$L2801*$M2801)),"")</f>
        <v/>
      </c>
      <c r="AC2801" s="18" t="n"/>
    </row>
    <row r="2802">
      <c r="A2802" s="9" t="n">
        <v>703601</v>
      </c>
      <c r="B2802" s="9" t="inlineStr">
        <is>
          <t>Max Clark</t>
        </is>
      </c>
      <c r="C2802" s="9" t="inlineStr">
        <is>
          <t>DET</t>
        </is>
      </c>
      <c r="D2802" s="9" t="n">
        <v>22</v>
      </c>
      <c r="E2802" s="16" t="inlineStr">
        <is>
          <t>L</t>
        </is>
      </c>
      <c r="F2802" s="16" t="inlineStr">
        <is>
          <t>CF</t>
        </is>
      </c>
      <c r="G2802" s="9" t="n">
        <v>206</v>
      </c>
      <c r="H2802" s="9" t="n">
        <v>206</v>
      </c>
      <c r="I2802" s="9" t="inlineStr">
        <is>
          <t>Full Time</t>
        </is>
      </c>
      <c r="J2802" s="16" t="inlineStr">
        <is>
          <t>Opening Day</t>
        </is>
      </c>
      <c r="K2802" s="11">
        <f>IFERROR(INDEX(Roles!$B$17:$B$20,MATCH(J2802,Roles!$A$17:$A$20,0)),1)</f>
        <v/>
      </c>
      <c r="L2802" s="17" t="n">
        <v>1</v>
      </c>
      <c r="M2802" s="11" t="n">
        <v>1</v>
      </c>
      <c r="N2802" s="17" t="n">
        <v>1</v>
      </c>
      <c r="O2802" s="17" t="n"/>
      <c r="P2802" s="17" t="n"/>
      <c r="Q2802" s="17" t="n"/>
      <c r="R2802" s="17" t="n"/>
      <c r="S2802" s="17" t="n"/>
      <c r="T2802" s="17" t="n"/>
      <c r="U2802" s="17" t="n"/>
      <c r="V2802" s="17" t="n"/>
      <c r="W2802" s="17" t="n"/>
      <c r="X2802" s="17" t="n"/>
      <c r="Y2802" s="17" t="n"/>
      <c r="Z2802" s="13">
        <f>SUMPRODUCT(N2802:Y2802,$N$2:$Y$2)*$K2802*$L2802*$M2802</f>
        <v/>
      </c>
      <c r="AA2802" s="14">
        <f>SUM(N2802:Y2802)</f>
        <v/>
      </c>
      <c r="AB2802" s="14">
        <f>IFERROR(IF(UPPER($E2802)="L",SUMPRODUCT(N2802:Y2802,$N$3:$Y$3,$N$2:$Y$2),SUMPRODUCT(N2802:Y2802,$N$4:$Y$4,$N$2:$Y$2))/(Z2802/($K2802*$L2802*$M2802)),"")</f>
        <v/>
      </c>
      <c r="AC2802" s="18" t="n"/>
    </row>
    <row r="2803">
      <c r="A2803" s="9" t="n">
        <v>668853</v>
      </c>
      <c r="B2803" s="9" t="inlineStr">
        <is>
          <t>Austin Shenton</t>
        </is>
      </c>
      <c r="C2803" s="9" t="inlineStr">
        <is>
          <t>TB</t>
        </is>
      </c>
      <c r="D2803" s="9" t="n">
        <v>29</v>
      </c>
      <c r="E2803" s="16" t="inlineStr">
        <is>
          <t>L</t>
        </is>
      </c>
      <c r="F2803" s="16" t="inlineStr">
        <is>
          <t>1B</t>
        </is>
      </c>
      <c r="G2803" s="9" t="n">
        <v>50</v>
      </c>
      <c r="H2803" s="9" t="n">
        <v>50</v>
      </c>
      <c r="I2803" s="9" t="inlineStr">
        <is>
          <t>Depth (no MLB PA)</t>
        </is>
      </c>
      <c r="J2803" s="16" t="inlineStr">
        <is>
          <t>Opening Day</t>
        </is>
      </c>
      <c r="K2803" s="11">
        <f>IFERROR(INDEX(Roles!$B$17:$B$20,MATCH(J2803,Roles!$A$17:$A$20,0)),1)</f>
        <v/>
      </c>
      <c r="L2803" s="17" t="n">
        <v>1</v>
      </c>
      <c r="M2803" s="11" t="n">
        <v>1</v>
      </c>
      <c r="N2803" s="17" t="n"/>
      <c r="O2803" s="17" t="n"/>
      <c r="P2803" s="17" t="n"/>
      <c r="Q2803" s="17" t="n"/>
      <c r="R2803" s="17" t="n"/>
      <c r="S2803" s="17" t="n"/>
      <c r="T2803" s="17" t="n"/>
      <c r="U2803" s="17" t="n"/>
      <c r="V2803" s="17" t="n"/>
      <c r="W2803" s="17" t="n"/>
      <c r="X2803" s="17" t="n"/>
      <c r="Y2803" s="17" t="n">
        <v>1</v>
      </c>
      <c r="Z2803" s="13">
        <f>SUMPRODUCT(N2803:Y2803,$N$2:$Y$2)*$K2803*$L2803*$M2803</f>
        <v/>
      </c>
      <c r="AA2803" s="14">
        <f>SUM(N2803:Y2803)</f>
        <v/>
      </c>
      <c r="AB2803" s="14">
        <f>IFERROR(IF(UPPER($E2803)="L",SUMPRODUCT(N2803:Y2803,$N$3:$Y$3,$N$2:$Y$2),SUMPRODUCT(N2803:Y2803,$N$4:$Y$4,$N$2:$Y$2))/(Z2803/($K2803*$L2803*$M2803)),"")</f>
        <v/>
      </c>
      <c r="AC2803" s="18" t="n"/>
    </row>
    <row r="2804">
      <c r="A2804" s="9" t="n">
        <v>695490</v>
      </c>
      <c r="B2804" s="9" t="inlineStr">
        <is>
          <t>Edwin Arroyo</t>
        </is>
      </c>
      <c r="C2804" s="9" t="inlineStr">
        <is>
          <t>CIN</t>
        </is>
      </c>
      <c r="D2804" s="9" t="n">
        <v>23</v>
      </c>
      <c r="E2804" s="16" t="inlineStr">
        <is>
          <t>S</t>
        </is>
      </c>
      <c r="F2804" s="16" t="inlineStr">
        <is>
          <t>2B</t>
        </is>
      </c>
      <c r="G2804" s="9" t="n">
        <v>160</v>
      </c>
      <c r="H2804" s="9" t="n">
        <v>160</v>
      </c>
      <c r="I2804" s="9" t="inlineStr">
        <is>
          <t>Bench Bat</t>
        </is>
      </c>
      <c r="J2804" s="16" t="inlineStr">
        <is>
          <t>Opening Day</t>
        </is>
      </c>
      <c r="K2804" s="11">
        <f>IFERROR(INDEX(Roles!$B$17:$B$20,MATCH(J2804,Roles!$A$17:$A$20,0)),1)</f>
        <v/>
      </c>
      <c r="L2804" s="17" t="n">
        <v>1</v>
      </c>
      <c r="M2804" s="11" t="n">
        <v>1</v>
      </c>
      <c r="N2804" s="17" t="n"/>
      <c r="O2804" s="17" t="n"/>
      <c r="P2804" s="17" t="n"/>
      <c r="Q2804" s="17" t="n"/>
      <c r="R2804" s="17" t="n"/>
      <c r="S2804" s="17" t="n"/>
      <c r="T2804" s="17" t="n"/>
      <c r="U2804" s="17" t="n"/>
      <c r="V2804" s="17" t="n"/>
      <c r="W2804" s="17" t="n">
        <v>1</v>
      </c>
      <c r="X2804" s="17" t="n"/>
      <c r="Y2804" s="17" t="n"/>
      <c r="Z2804" s="13">
        <f>SUMPRODUCT(N2804:Y2804,$N$2:$Y$2)*$K2804*$L2804*$M2804</f>
        <v/>
      </c>
      <c r="AA2804" s="14">
        <f>SUM(N2804:Y2804)</f>
        <v/>
      </c>
      <c r="AB2804" s="14">
        <f>IFERROR(IF(UPPER($E2804)="L",SUMPRODUCT(N2804:Y2804,$N$3:$Y$3,$N$2:$Y$2),SUMPRODUCT(N2804:Y2804,$N$4:$Y$4,$N$2:$Y$2))/(Z2804/($K2804*$L2804*$M2804)),"")</f>
        <v/>
      </c>
      <c r="AC2804" s="18" t="n"/>
    </row>
    <row r="2805">
      <c r="A2805" s="9" t="n">
        <v>657088</v>
      </c>
      <c r="B2805" s="9" t="inlineStr">
        <is>
          <t>Forrest Wall</t>
        </is>
      </c>
      <c r="C2805" s="9" t="inlineStr">
        <is>
          <t>MIA</t>
        </is>
      </c>
      <c r="D2805" s="9" t="n">
        <v>31</v>
      </c>
      <c r="E2805" s="16" t="inlineStr">
        <is>
          <t>L</t>
        </is>
      </c>
      <c r="F2805" s="16" t="inlineStr">
        <is>
          <t>LF</t>
        </is>
      </c>
      <c r="G2805" s="9" t="n">
        <v>35</v>
      </c>
      <c r="H2805" s="9" t="n">
        <v>50</v>
      </c>
      <c r="I2805" s="9" t="inlineStr">
        <is>
          <t>Depth (no MLB PA)</t>
        </is>
      </c>
      <c r="J2805" s="16" t="inlineStr">
        <is>
          <t>Opening Day</t>
        </is>
      </c>
      <c r="K2805" s="11">
        <f>IFERROR(INDEX(Roles!$B$17:$B$20,MATCH(J2805,Roles!$A$17:$A$20,0)),1)</f>
        <v/>
      </c>
      <c r="L2805" s="17" t="n">
        <v>1</v>
      </c>
      <c r="M2805" s="11" t="n">
        <v>1</v>
      </c>
      <c r="N2805" s="17" t="n"/>
      <c r="O2805" s="17" t="n"/>
      <c r="P2805" s="17" t="n"/>
      <c r="Q2805" s="17" t="n"/>
      <c r="R2805" s="17" t="n"/>
      <c r="S2805" s="17" t="n"/>
      <c r="T2805" s="17" t="n"/>
      <c r="U2805" s="17" t="n"/>
      <c r="V2805" s="17" t="n"/>
      <c r="W2805" s="17" t="n"/>
      <c r="X2805" s="17" t="n"/>
      <c r="Y2805" s="17" t="n">
        <v>1</v>
      </c>
      <c r="Z2805" s="13">
        <f>SUMPRODUCT(N2805:Y2805,$N$2:$Y$2)*$K2805*$L2805*$M2805</f>
        <v/>
      </c>
      <c r="AA2805" s="14">
        <f>SUM(N2805:Y2805)</f>
        <v/>
      </c>
      <c r="AB2805" s="14">
        <f>IFERROR(IF(UPPER($E2805)="L",SUMPRODUCT(N2805:Y2805,$N$3:$Y$3,$N$2:$Y$2),SUMPRODUCT(N2805:Y2805,$N$4:$Y$4,$N$2:$Y$2))/(Z2805/($K2805*$L2805*$M2805)),"")</f>
        <v/>
      </c>
      <c r="AC2805" s="18" t="n"/>
    </row>
    <row r="2806">
      <c r="A2806" s="9" t="n">
        <v>671221</v>
      </c>
      <c r="B2806" s="9" t="inlineStr">
        <is>
          <t>Drew Waters</t>
        </is>
      </c>
      <c r="C2806" s="9" t="inlineStr">
        <is>
          <t>KC</t>
        </is>
      </c>
      <c r="D2806" s="9" t="n">
        <v>28</v>
      </c>
      <c r="E2806" s="16" t="inlineStr">
        <is>
          <t>S</t>
        </is>
      </c>
      <c r="F2806" s="16" t="inlineStr">
        <is>
          <t>LF</t>
        </is>
      </c>
      <c r="G2806" s="9" t="n">
        <v>219</v>
      </c>
      <c r="H2806" s="9" t="n">
        <v>684</v>
      </c>
      <c r="I2806" s="9" t="inlineStr">
        <is>
          <t>Bench Bat</t>
        </is>
      </c>
      <c r="J2806" s="16" t="inlineStr">
        <is>
          <t>Opening Day</t>
        </is>
      </c>
      <c r="K2806" s="11">
        <f>IFERROR(INDEX(Roles!$B$17:$B$20,MATCH(J2806,Roles!$A$17:$A$20,0)),1)</f>
        <v/>
      </c>
      <c r="L2806" s="17" t="n">
        <v>1</v>
      </c>
      <c r="M2806" s="11" t="n">
        <v>1</v>
      </c>
      <c r="N2806" s="17" t="n"/>
      <c r="O2806" s="17" t="n"/>
      <c r="P2806" s="17" t="n"/>
      <c r="Q2806" s="17" t="n"/>
      <c r="R2806" s="17" t="n"/>
      <c r="S2806" s="17" t="n"/>
      <c r="T2806" s="17" t="n"/>
      <c r="U2806" s="17" t="n"/>
      <c r="V2806" s="17" t="n"/>
      <c r="W2806" s="17" t="n">
        <v>1</v>
      </c>
      <c r="X2806" s="17" t="n"/>
      <c r="Y2806" s="17" t="n"/>
      <c r="Z2806" s="13">
        <f>SUMPRODUCT(N2806:Y2806,$N$2:$Y$2)*$K2806*$L2806*$M2806</f>
        <v/>
      </c>
      <c r="AA2806" s="14">
        <f>SUM(N2806:Y2806)</f>
        <v/>
      </c>
      <c r="AB2806" s="14">
        <f>IFERROR(IF(UPPER($E2806)="L",SUMPRODUCT(N2806:Y2806,$N$3:$Y$3,$N$2:$Y$2),SUMPRODUCT(N2806:Y2806,$N$4:$Y$4,$N$2:$Y$2))/(Z2806/($K2806*$L2806*$M2806)),"")</f>
        <v/>
      </c>
      <c r="AC2806" s="18" t="n"/>
    </row>
    <row r="2807">
      <c r="A2807" s="9" t="n">
        <v>663968</v>
      </c>
      <c r="B2807" s="9" t="inlineStr">
        <is>
          <t>Jake Mangum</t>
        </is>
      </c>
      <c r="C2807" s="9" t="inlineStr">
        <is>
          <t>PIT</t>
        </is>
      </c>
      <c r="D2807" s="9" t="n">
        <v>31</v>
      </c>
      <c r="E2807" s="16" t="inlineStr">
        <is>
          <t>S</t>
        </is>
      </c>
      <c r="F2807" s="16" t="inlineStr">
        <is>
          <t>CF</t>
        </is>
      </c>
      <c r="G2807" s="9" t="n">
        <v>479</v>
      </c>
      <c r="H2807" s="9" t="n">
        <v>907</v>
      </c>
      <c r="I2807" s="9" t="inlineStr">
        <is>
          <t>Full Time</t>
        </is>
      </c>
      <c r="J2807" s="16" t="inlineStr">
        <is>
          <t>Opening Day</t>
        </is>
      </c>
      <c r="K2807" s="11">
        <f>IFERROR(INDEX(Roles!$B$17:$B$20,MATCH(J2807,Roles!$A$17:$A$20,0)),1)</f>
        <v/>
      </c>
      <c r="L2807" s="17" t="n">
        <v>1</v>
      </c>
      <c r="M2807" s="11" t="n">
        <v>1.11525616070766</v>
      </c>
      <c r="N2807" s="17" t="n">
        <v>0.6</v>
      </c>
      <c r="O2807" s="17" t="n"/>
      <c r="P2807" s="17" t="n"/>
      <c r="Q2807" s="17" t="n"/>
      <c r="R2807" s="17" t="n"/>
      <c r="S2807" s="17" t="n"/>
      <c r="T2807" s="17" t="n"/>
      <c r="U2807" s="17" t="n"/>
      <c r="V2807" s="17" t="n">
        <v>0.4</v>
      </c>
      <c r="W2807" s="17" t="n"/>
      <c r="X2807" s="17" t="n"/>
      <c r="Y2807" s="17" t="n"/>
      <c r="Z2807" s="13">
        <f>SUMPRODUCT(N2807:Y2807,$N$2:$Y$2)*$K2807*$L2807*$M2807</f>
        <v/>
      </c>
      <c r="AA2807" s="14">
        <f>SUM(N2807:Y2807)</f>
        <v/>
      </c>
      <c r="AB2807" s="14">
        <f>IFERROR(IF(UPPER($E2807)="L",SUMPRODUCT(N2807:Y2807,$N$3:$Y$3,$N$2:$Y$2),SUMPRODUCT(N2807:Y2807,$N$4:$Y$4,$N$2:$Y$2))/(Z2807/($K2807*$L2807*$M2807)),"")</f>
        <v/>
      </c>
      <c r="AC2807" s="18" t="n"/>
    </row>
    <row r="2808">
      <c r="A2808" s="9" t="n">
        <v>669137</v>
      </c>
      <c r="B2808" s="9" t="inlineStr">
        <is>
          <t>Armando Alvarez</t>
        </is>
      </c>
      <c r="C2808" s="9" t="inlineStr">
        <is>
          <t>OAK</t>
        </is>
      </c>
      <c r="D2808" s="9" t="n">
        <v>32</v>
      </c>
      <c r="E2808" s="16" t="inlineStr">
        <is>
          <t>R</t>
        </is>
      </c>
      <c r="F2808" s="16" t="inlineStr">
        <is>
          <t>3B</t>
        </is>
      </c>
      <c r="G2808" s="9" t="n">
        <v>39</v>
      </c>
      <c r="H2808" s="9" t="n">
        <v>39</v>
      </c>
      <c r="I2808" s="9" t="inlineStr">
        <is>
          <t>Depth (no MLB PA)</t>
        </is>
      </c>
      <c r="J2808" s="16" t="inlineStr">
        <is>
          <t>Opening Day</t>
        </is>
      </c>
      <c r="K2808" s="11">
        <f>IFERROR(INDEX(Roles!$B$17:$B$20,MATCH(J2808,Roles!$A$17:$A$20,0)),1)</f>
        <v/>
      </c>
      <c r="L2808" s="17" t="n">
        <v>1</v>
      </c>
      <c r="M2808" s="11" t="n">
        <v>1</v>
      </c>
      <c r="N2808" s="17" t="n"/>
      <c r="O2808" s="17" t="n"/>
      <c r="P2808" s="17" t="n"/>
      <c r="Q2808" s="17" t="n"/>
      <c r="R2808" s="17" t="n"/>
      <c r="S2808" s="17" t="n"/>
      <c r="T2808" s="17" t="n"/>
      <c r="U2808" s="17" t="n"/>
      <c r="V2808" s="17" t="n"/>
      <c r="W2808" s="17" t="n"/>
      <c r="X2808" s="17" t="n"/>
      <c r="Y2808" s="17" t="n">
        <v>1</v>
      </c>
      <c r="Z2808" s="13">
        <f>SUMPRODUCT(N2808:Y2808,$N$2:$Y$2)*$K2808*$L2808*$M2808</f>
        <v/>
      </c>
      <c r="AA2808" s="14">
        <f>SUM(N2808:Y2808)</f>
        <v/>
      </c>
      <c r="AB2808" s="14">
        <f>IFERROR(IF(UPPER($E2808)="L",SUMPRODUCT(N2808:Y2808,$N$3:$Y$3,$N$2:$Y$2),SUMPRODUCT(N2808:Y2808,$N$4:$Y$4,$N$2:$Y$2))/(Z2808/($K2808*$L2808*$M2808)),"")</f>
        <v/>
      </c>
      <c r="AC2808" s="18" t="n"/>
    </row>
    <row r="2809">
      <c r="A2809" s="9" t="n">
        <v>687957</v>
      </c>
      <c r="B2809" s="9" t="inlineStr">
        <is>
          <t>Dustin Harris</t>
        </is>
      </c>
      <c r="C2809" s="9" t="inlineStr">
        <is>
          <t>SD</t>
        </is>
      </c>
      <c r="D2809" s="9" t="n">
        <v>27</v>
      </c>
      <c r="E2809" s="16" t="inlineStr">
        <is>
          <t>L</t>
        </is>
      </c>
      <c r="F2809" s="16" t="inlineStr">
        <is>
          <t>LF</t>
        </is>
      </c>
      <c r="G2809" s="9" t="n">
        <v>152</v>
      </c>
      <c r="H2809" s="9" t="n">
        <v>202</v>
      </c>
      <c r="I2809" s="9" t="inlineStr">
        <is>
          <t>Strong Side Platoon</t>
        </is>
      </c>
      <c r="J2809" s="16" t="inlineStr">
        <is>
          <t>Opening Day</t>
        </is>
      </c>
      <c r="K2809" s="11">
        <f>IFERROR(INDEX(Roles!$B$17:$B$20,MATCH(J2809,Roles!$A$17:$A$20,0)),1)</f>
        <v/>
      </c>
      <c r="L2809" s="17" t="n">
        <v>1</v>
      </c>
      <c r="M2809" s="11" t="n">
        <v>1</v>
      </c>
      <c r="N2809" s="17" t="n">
        <v>0.4</v>
      </c>
      <c r="O2809" s="17" t="n"/>
      <c r="P2809" s="17" t="n">
        <v>0.6</v>
      </c>
      <c r="Q2809" s="17" t="n"/>
      <c r="R2809" s="17" t="n"/>
      <c r="S2809" s="17" t="n"/>
      <c r="T2809" s="17" t="n"/>
      <c r="U2809" s="17" t="n"/>
      <c r="V2809" s="17" t="n"/>
      <c r="W2809" s="17" t="n"/>
      <c r="X2809" s="17" t="n"/>
      <c r="Y2809" s="17" t="n"/>
      <c r="Z2809" s="13">
        <f>SUMPRODUCT(N2809:Y2809,$N$2:$Y$2)*$K2809*$L2809*$M2809</f>
        <v/>
      </c>
      <c r="AA2809" s="14">
        <f>SUM(N2809:Y2809)</f>
        <v/>
      </c>
      <c r="AB2809" s="14">
        <f>IFERROR(IF(UPPER($E2809)="L",SUMPRODUCT(N2809:Y2809,$N$3:$Y$3,$N$2:$Y$2),SUMPRODUCT(N2809:Y2809,$N$4:$Y$4,$N$2:$Y$2))/(Z2809/($K2809*$L2809*$M2809)),"")</f>
        <v/>
      </c>
      <c r="AC2809" s="18" t="n"/>
    </row>
    <row r="2810">
      <c r="A2810" s="9" t="n">
        <v>665506</v>
      </c>
      <c r="B2810" s="9" t="inlineStr">
        <is>
          <t>Cristian Pache</t>
        </is>
      </c>
      <c r="C2810" s="9" t="inlineStr">
        <is>
          <t>MIA</t>
        </is>
      </c>
      <c r="D2810" s="9" t="n">
        <v>28</v>
      </c>
      <c r="E2810" s="16" t="inlineStr">
        <is>
          <t>R</t>
        </is>
      </c>
      <c r="F2810" s="16" t="inlineStr">
        <is>
          <t>LF</t>
        </is>
      </c>
      <c r="G2810" s="9" t="n">
        <v>8</v>
      </c>
      <c r="H2810" s="9" t="n">
        <v>546</v>
      </c>
      <c r="I2810" s="9" t="inlineStr">
        <is>
          <t>Bench Bat</t>
        </is>
      </c>
      <c r="J2810" s="16" t="inlineStr">
        <is>
          <t>Opening Day</t>
        </is>
      </c>
      <c r="K2810" s="11">
        <f>IFERROR(INDEX(Roles!$B$17:$B$20,MATCH(J2810,Roles!$A$17:$A$20,0)),1)</f>
        <v/>
      </c>
      <c r="L2810" s="17" t="n">
        <v>1</v>
      </c>
      <c r="M2810" s="11" t="n">
        <v>1</v>
      </c>
      <c r="N2810" s="17" t="n"/>
      <c r="O2810" s="17" t="n"/>
      <c r="P2810" s="17" t="n"/>
      <c r="Q2810" s="17" t="n"/>
      <c r="R2810" s="17" t="n"/>
      <c r="S2810" s="17" t="n"/>
      <c r="T2810" s="17" t="n"/>
      <c r="U2810" s="17" t="n"/>
      <c r="V2810" s="17" t="n">
        <v>0.4</v>
      </c>
      <c r="W2810" s="17" t="n">
        <v>0.6</v>
      </c>
      <c r="X2810" s="17" t="n"/>
      <c r="Y2810" s="17" t="n"/>
      <c r="Z2810" s="13">
        <f>SUMPRODUCT(N2810:Y2810,$N$2:$Y$2)*$K2810*$L2810*$M2810</f>
        <v/>
      </c>
      <c r="AA2810" s="14">
        <f>SUM(N2810:Y2810)</f>
        <v/>
      </c>
      <c r="AB2810" s="14">
        <f>IFERROR(IF(UPPER($E2810)="L",SUMPRODUCT(N2810:Y2810,$N$3:$Y$3,$N$2:$Y$2),SUMPRODUCT(N2810:Y2810,$N$4:$Y$4,$N$2:$Y$2))/(Z2810/($K2810*$L2810*$M2810)),"")</f>
        <v/>
      </c>
      <c r="AC2810" s="18" t="n"/>
    </row>
    <row r="2811">
      <c r="A2811" s="9" t="n">
        <v>663905</v>
      </c>
      <c r="B2811" s="9" t="inlineStr">
        <is>
          <t>Travis Blankenhorn</t>
        </is>
      </c>
      <c r="C2811" s="9" t="inlineStr">
        <is>
          <t>WSH</t>
        </is>
      </c>
      <c r="D2811" s="9" t="n">
        <v>30</v>
      </c>
      <c r="E2811" s="16" t="inlineStr">
        <is>
          <t>L</t>
        </is>
      </c>
      <c r="F2811" s="16" t="inlineStr">
        <is>
          <t>RF</t>
        </is>
      </c>
      <c r="G2811" s="9" t="n">
        <v>32</v>
      </c>
      <c r="H2811" s="9" t="n">
        <v>72</v>
      </c>
      <c r="I2811" s="9" t="inlineStr">
        <is>
          <t>Depth (no MLB PA)</t>
        </is>
      </c>
      <c r="J2811" s="16" t="inlineStr">
        <is>
          <t>Opening Day</t>
        </is>
      </c>
      <c r="K2811" s="11">
        <f>IFERROR(INDEX(Roles!$B$17:$B$20,MATCH(J2811,Roles!$A$17:$A$20,0)),1)</f>
        <v/>
      </c>
      <c r="L2811" s="17" t="n">
        <v>1</v>
      </c>
      <c r="M2811" s="11" t="n">
        <v>1</v>
      </c>
      <c r="N2811" s="17" t="n"/>
      <c r="O2811" s="17" t="n"/>
      <c r="P2811" s="17" t="n"/>
      <c r="Q2811" s="17" t="n"/>
      <c r="R2811" s="17" t="n"/>
      <c r="S2811" s="17" t="n"/>
      <c r="T2811" s="17" t="n"/>
      <c r="U2811" s="17" t="n"/>
      <c r="V2811" s="17" t="n"/>
      <c r="W2811" s="17" t="n"/>
      <c r="X2811" s="17" t="n"/>
      <c r="Y2811" s="17" t="n">
        <v>1</v>
      </c>
      <c r="Z2811" s="13">
        <f>SUMPRODUCT(N2811:Y2811,$N$2:$Y$2)*$K2811*$L2811*$M2811</f>
        <v/>
      </c>
      <c r="AA2811" s="14">
        <f>SUM(N2811:Y2811)</f>
        <v/>
      </c>
      <c r="AB2811" s="14">
        <f>IFERROR(IF(UPPER($E2811)="L",SUMPRODUCT(N2811:Y2811,$N$3:$Y$3,$N$2:$Y$2),SUMPRODUCT(N2811:Y2811,$N$4:$Y$4,$N$2:$Y$2))/(Z2811/($K2811*$L2811*$M2811)),"")</f>
        <v/>
      </c>
      <c r="AC2811" s="18" t="n"/>
    </row>
    <row r="2812">
      <c r="A2812" s="9" t="n">
        <v>805373</v>
      </c>
      <c r="B2812" s="9" t="inlineStr">
        <is>
          <t>Nacho Alvarez Jr.</t>
        </is>
      </c>
      <c r="C2812" s="9" t="inlineStr">
        <is>
          <t>ATL</t>
        </is>
      </c>
      <c r="D2812" s="9" t="n">
        <v>24</v>
      </c>
      <c r="E2812" s="16" t="inlineStr">
        <is>
          <t>R</t>
        </is>
      </c>
      <c r="F2812" s="16" t="inlineStr">
        <is>
          <t>3B</t>
        </is>
      </c>
      <c r="G2812" s="9" t="n">
        <v>208</v>
      </c>
      <c r="H2812" s="9" t="n">
        <v>240</v>
      </c>
      <c r="I2812" s="9" t="inlineStr">
        <is>
          <t>Bench Bat</t>
        </is>
      </c>
      <c r="J2812" s="16" t="inlineStr">
        <is>
          <t>Opening Day</t>
        </is>
      </c>
      <c r="K2812" s="11">
        <f>IFERROR(INDEX(Roles!$B$17:$B$20,MATCH(J2812,Roles!$A$17:$A$20,0)),1)</f>
        <v/>
      </c>
      <c r="L2812" s="17" t="n">
        <v>1</v>
      </c>
      <c r="M2812" s="11" t="n">
        <v>1</v>
      </c>
      <c r="N2812" s="17" t="n"/>
      <c r="O2812" s="17" t="n"/>
      <c r="P2812" s="17" t="n"/>
      <c r="Q2812" s="17" t="n"/>
      <c r="R2812" s="17" t="n"/>
      <c r="S2812" s="17" t="n"/>
      <c r="T2812" s="17" t="n"/>
      <c r="U2812" s="17" t="n"/>
      <c r="V2812" s="17" t="n"/>
      <c r="W2812" s="17" t="n">
        <v>1</v>
      </c>
      <c r="X2812" s="17" t="n"/>
      <c r="Y2812" s="17" t="n"/>
      <c r="Z2812" s="13">
        <f>SUMPRODUCT(N2812:Y2812,$N$2:$Y$2)*$K2812*$L2812*$M2812</f>
        <v/>
      </c>
      <c r="AA2812" s="14">
        <f>SUM(N2812:Y2812)</f>
        <v/>
      </c>
      <c r="AB2812" s="14">
        <f>IFERROR(IF(UPPER($E2812)="L",SUMPRODUCT(N2812:Y2812,$N$3:$Y$3,$N$2:$Y$2),SUMPRODUCT(N2812:Y2812,$N$4:$Y$4,$N$2:$Y$2))/(Z2812/($K2812*$L2812*$M2812)),"")</f>
        <v/>
      </c>
      <c r="AC2812" s="18" t="n"/>
    </row>
    <row r="2813">
      <c r="A2813" s="9" t="n">
        <v>605131</v>
      </c>
      <c r="B2813" s="9" t="inlineStr">
        <is>
          <t>Austin Barnes</t>
        </is>
      </c>
      <c r="C2813" s="9" t="inlineStr">
        <is>
          <t>LAD</t>
        </is>
      </c>
      <c r="D2813" s="9" t="n">
        <v>37</v>
      </c>
      <c r="E2813" s="16" t="inlineStr">
        <is>
          <t>R</t>
        </is>
      </c>
      <c r="F2813" s="16" t="inlineStr">
        <is>
          <t>C</t>
        </is>
      </c>
      <c r="G2813" s="9" t="n">
        <v>44</v>
      </c>
      <c r="H2813" s="9" t="n">
        <v>612</v>
      </c>
      <c r="I2813" s="9" t="inlineStr">
        <is>
          <t>Catcher - Backup</t>
        </is>
      </c>
      <c r="J2813" s="16" t="inlineStr">
        <is>
          <t>Opening Day</t>
        </is>
      </c>
      <c r="K2813" s="11">
        <f>IFERROR(INDEX(Roles!$B$17:$B$20,MATCH(J2813,Roles!$A$17:$A$20,0)),1)</f>
        <v/>
      </c>
      <c r="L2813" s="17" t="n">
        <v>1</v>
      </c>
      <c r="M2813" s="11" t="n">
        <v>1</v>
      </c>
      <c r="N2813" s="17" t="n"/>
      <c r="O2813" s="17" t="n"/>
      <c r="P2813" s="17" t="n"/>
      <c r="Q2813" s="17" t="n"/>
      <c r="R2813" s="17" t="n"/>
      <c r="S2813" s="17" t="n"/>
      <c r="T2813" s="17" t="n">
        <v>1</v>
      </c>
      <c r="U2813" s="17" t="n"/>
      <c r="V2813" s="17" t="n"/>
      <c r="W2813" s="17" t="n"/>
      <c r="X2813" s="17" t="n"/>
      <c r="Y2813" s="17" t="n"/>
      <c r="Z2813" s="13">
        <f>SUMPRODUCT(N2813:Y2813,$N$2:$Y$2)*$K2813*$L2813*$M2813</f>
        <v/>
      </c>
      <c r="AA2813" s="14">
        <f>SUM(N2813:Y2813)</f>
        <v/>
      </c>
      <c r="AB2813" s="14">
        <f>IFERROR(IF(UPPER($E2813)="L",SUMPRODUCT(N2813:Y2813,$N$3:$Y$3,$N$2:$Y$2),SUMPRODUCT(N2813:Y2813,$N$4:$Y$4,$N$2:$Y$2))/(Z2813/($K2813*$L2813*$M2813)),"")</f>
        <v/>
      </c>
      <c r="AC2813" s="18" t="n"/>
    </row>
    <row r="2814">
      <c r="A2814" s="9" t="n">
        <v>645444</v>
      </c>
      <c r="B2814" s="9" t="inlineStr">
        <is>
          <t>Jose Herrera</t>
        </is>
      </c>
      <c r="C2814" s="9" t="inlineStr">
        <is>
          <t>ARI</t>
        </is>
      </c>
      <c r="D2814" s="9" t="n">
        <v>30</v>
      </c>
      <c r="E2814" s="16" t="inlineStr">
        <is>
          <t>S</t>
        </is>
      </c>
      <c r="F2814" s="16" t="inlineStr">
        <is>
          <t>C</t>
        </is>
      </c>
      <c r="G2814" s="9" t="n">
        <v>204</v>
      </c>
      <c r="H2814" s="9" t="n">
        <v>562</v>
      </c>
      <c r="I2814" s="9" t="inlineStr">
        <is>
          <t>Catcher - Backup</t>
        </is>
      </c>
      <c r="J2814" s="16" t="inlineStr">
        <is>
          <t>Opening Day</t>
        </is>
      </c>
      <c r="K2814" s="11">
        <f>IFERROR(INDEX(Roles!$B$17:$B$20,MATCH(J2814,Roles!$A$17:$A$20,0)),1)</f>
        <v/>
      </c>
      <c r="L2814" s="17" t="n">
        <v>1</v>
      </c>
      <c r="M2814" s="11" t="n">
        <v>1</v>
      </c>
      <c r="N2814" s="17" t="n"/>
      <c r="O2814" s="17" t="n"/>
      <c r="P2814" s="17" t="n"/>
      <c r="Q2814" s="17" t="n"/>
      <c r="R2814" s="17" t="n"/>
      <c r="S2814" s="17" t="n"/>
      <c r="T2814" s="17" t="n">
        <v>1</v>
      </c>
      <c r="U2814" s="17" t="n"/>
      <c r="V2814" s="17" t="n"/>
      <c r="W2814" s="17" t="n"/>
      <c r="X2814" s="17" t="n"/>
      <c r="Y2814" s="17" t="n"/>
      <c r="Z2814" s="13">
        <f>SUMPRODUCT(N2814:Y2814,$N$2:$Y$2)*$K2814*$L2814*$M2814</f>
        <v/>
      </c>
      <c r="AA2814" s="14">
        <f>SUM(N2814:Y2814)</f>
        <v/>
      </c>
      <c r="AB2814" s="14">
        <f>IFERROR(IF(UPPER($E2814)="L",SUMPRODUCT(N2814:Y2814,$N$3:$Y$3,$N$2:$Y$2),SUMPRODUCT(N2814:Y2814,$N$4:$Y$4,$N$2:$Y$2))/(Z2814/($K2814*$L2814*$M2814)),"")</f>
        <v/>
      </c>
      <c r="AC2814" s="18" t="n"/>
    </row>
    <row r="2815">
      <c r="A2815" s="9" t="n">
        <v>680757</v>
      </c>
      <c r="B2815" s="9" t="inlineStr">
        <is>
          <t>Steven Kwan</t>
        </is>
      </c>
      <c r="C2815" s="9" t="inlineStr">
        <is>
          <t>CLE</t>
        </is>
      </c>
      <c r="D2815" s="9" t="n">
        <v>29</v>
      </c>
      <c r="E2815" s="16" t="inlineStr">
        <is>
          <t>L</t>
        </is>
      </c>
      <c r="F2815" s="16" t="inlineStr">
        <is>
          <t>CF</t>
        </is>
      </c>
      <c r="G2815" s="9" t="n">
        <v>637</v>
      </c>
      <c r="H2815" s="9" t="n">
        <v>3226</v>
      </c>
      <c r="I2815" s="9" t="inlineStr">
        <is>
          <t>Full Time</t>
        </is>
      </c>
      <c r="J2815" s="16" t="inlineStr">
        <is>
          <t>Opening Day</t>
        </is>
      </c>
      <c r="K2815" s="11">
        <f>IFERROR(INDEX(Roles!$B$17:$B$20,MATCH(J2815,Roles!$A$17:$A$20,0)),1)</f>
        <v/>
      </c>
      <c r="L2815" s="17" t="n">
        <v>1</v>
      </c>
      <c r="M2815" s="11" t="n">
        <v>1.15</v>
      </c>
      <c r="N2815" s="17" t="n">
        <v>1</v>
      </c>
      <c r="O2815" s="17" t="n"/>
      <c r="P2815" s="17" t="n"/>
      <c r="Q2815" s="17" t="n"/>
      <c r="R2815" s="17" t="n"/>
      <c r="S2815" s="17" t="n"/>
      <c r="T2815" s="17" t="n"/>
      <c r="U2815" s="17" t="n"/>
      <c r="V2815" s="17" t="n"/>
      <c r="W2815" s="17" t="n"/>
      <c r="X2815" s="17" t="n"/>
      <c r="Y2815" s="17" t="n"/>
      <c r="Z2815" s="13">
        <f>SUMPRODUCT(N2815:Y2815,$N$2:$Y$2)*$K2815*$L2815*$M2815</f>
        <v/>
      </c>
      <c r="AA2815" s="14">
        <f>SUM(N2815:Y2815)</f>
        <v/>
      </c>
      <c r="AB2815" s="14">
        <f>IFERROR(IF(UPPER($E2815)="L",SUMPRODUCT(N2815:Y2815,$N$3:$Y$3,$N$2:$Y$2),SUMPRODUCT(N2815:Y2815,$N$4:$Y$4,$N$2:$Y$2))/(Z2815/($K2815*$L2815*$M2815)),"")</f>
        <v/>
      </c>
      <c r="AC2815" s="18" t="n"/>
    </row>
    <row r="2816">
      <c r="A2816" s="9" t="n">
        <v>624428</v>
      </c>
      <c r="B2816" s="9" t="inlineStr">
        <is>
          <t>Adam Frazier</t>
        </is>
      </c>
      <c r="C2816" s="9" t="inlineStr">
        <is>
          <t>LAA</t>
        </is>
      </c>
      <c r="D2816" s="9" t="n">
        <v>35</v>
      </c>
      <c r="E2816" s="16" t="inlineStr">
        <is>
          <t>L</t>
        </is>
      </c>
      <c r="F2816" s="16" t="inlineStr">
        <is>
          <t>2B</t>
        </is>
      </c>
      <c r="G2816" s="9" t="n">
        <v>147</v>
      </c>
      <c r="H2816" s="9" t="n">
        <v>1957</v>
      </c>
      <c r="I2816" s="9" t="inlineStr">
        <is>
          <t>Utility IF</t>
        </is>
      </c>
      <c r="J2816" s="16" t="inlineStr">
        <is>
          <t>Opening Day</t>
        </is>
      </c>
      <c r="K2816" s="11">
        <f>IFERROR(INDEX(Roles!$B$17:$B$20,MATCH(J2816,Roles!$A$17:$A$20,0)),1)</f>
        <v/>
      </c>
      <c r="L2816" s="17" t="n">
        <v>1</v>
      </c>
      <c r="M2816" s="11" t="n">
        <v>0.974396972713069</v>
      </c>
      <c r="N2816" s="17" t="n"/>
      <c r="O2816" s="17" t="n"/>
      <c r="P2816" s="17" t="n"/>
      <c r="Q2816" s="17" t="n"/>
      <c r="R2816" s="17" t="n"/>
      <c r="S2816" s="17" t="n"/>
      <c r="T2816" s="17" t="n"/>
      <c r="U2816" s="17" t="n">
        <v>0.7</v>
      </c>
      <c r="V2816" s="17" t="n"/>
      <c r="W2816" s="17" t="n">
        <v>0.3</v>
      </c>
      <c r="X2816" s="17" t="n"/>
      <c r="Y2816" s="17" t="n"/>
      <c r="Z2816" s="13">
        <f>SUMPRODUCT(N2816:Y2816,$N$2:$Y$2)*$K2816*$L2816*$M2816</f>
        <v/>
      </c>
      <c r="AA2816" s="14">
        <f>SUM(N2816:Y2816)</f>
        <v/>
      </c>
      <c r="AB2816" s="14">
        <f>IFERROR(IF(UPPER($E2816)="L",SUMPRODUCT(N2816:Y2816,$N$3:$Y$3,$N$2:$Y$2),SUMPRODUCT(N2816:Y2816,$N$4:$Y$4,$N$2:$Y$2))/(Z2816/($K2816*$L2816*$M2816)),"")</f>
        <v/>
      </c>
      <c r="AC2816" s="18" t="n"/>
    </row>
    <row r="2817">
      <c r="A2817" s="9" t="n">
        <v>675961</v>
      </c>
      <c r="B2817" s="9" t="inlineStr">
        <is>
          <t>Alika Williams</t>
        </is>
      </c>
      <c r="C2817" s="9" t="inlineStr">
        <is>
          <t>OAK</t>
        </is>
      </c>
      <c r="D2817" s="9" t="n">
        <v>28</v>
      </c>
      <c r="E2817" s="16" t="inlineStr">
        <is>
          <t>R</t>
        </is>
      </c>
      <c r="F2817" s="16" t="inlineStr">
        <is>
          <t>SS</t>
        </is>
      </c>
      <c r="G2817" s="9" t="n">
        <v>231</v>
      </c>
      <c r="H2817" s="9" t="n">
        <v>439</v>
      </c>
      <c r="I2817" s="9" t="inlineStr">
        <is>
          <t>Full Time</t>
        </is>
      </c>
      <c r="J2817" s="16" t="inlineStr">
        <is>
          <t>Opening Day</t>
        </is>
      </c>
      <c r="K2817" s="11">
        <f>IFERROR(INDEX(Roles!$B$17:$B$20,MATCH(J2817,Roles!$A$17:$A$20,0)),1)</f>
        <v/>
      </c>
      <c r="L2817" s="17" t="n">
        <v>1</v>
      </c>
      <c r="M2817" s="11" t="n">
        <v>1</v>
      </c>
      <c r="N2817" s="17" t="n">
        <v>0.62</v>
      </c>
      <c r="O2817" s="17" t="n"/>
      <c r="P2817" s="17" t="n">
        <v>0.38</v>
      </c>
      <c r="Q2817" s="17" t="n"/>
      <c r="R2817" s="17" t="n"/>
      <c r="S2817" s="17" t="n"/>
      <c r="T2817" s="17" t="n"/>
      <c r="U2817" s="17" t="n"/>
      <c r="V2817" s="17" t="n"/>
      <c r="W2817" s="17" t="n"/>
      <c r="X2817" s="17" t="n"/>
      <c r="Y2817" s="17" t="n"/>
      <c r="Z2817" s="13">
        <f>SUMPRODUCT(N2817:Y2817,$N$2:$Y$2)*$K2817*$L2817*$M2817</f>
        <v/>
      </c>
      <c r="AA2817" s="14">
        <f>SUM(N2817:Y2817)</f>
        <v/>
      </c>
      <c r="AB2817" s="14">
        <f>IFERROR(IF(UPPER($E2817)="L",SUMPRODUCT(N2817:Y2817,$N$3:$Y$3,$N$2:$Y$2),SUMPRODUCT(N2817:Y2817,$N$4:$Y$4,$N$2:$Y$2))/(Z2817/($K2817*$L2817*$M2817)),"")</f>
        <v/>
      </c>
      <c r="AC2817" s="18" t="n"/>
    </row>
    <row r="2818">
      <c r="A2818" s="9" t="n">
        <v>806198</v>
      </c>
      <c r="B2818" s="9" t="inlineStr">
        <is>
          <t>Cooper Pratt</t>
        </is>
      </c>
      <c r="C2818" s="9" t="inlineStr">
        <is>
          <t>MIL</t>
        </is>
      </c>
      <c r="D2818" s="9" t="n">
        <v>22</v>
      </c>
      <c r="E2818" s="16" t="inlineStr">
        <is>
          <t>R</t>
        </is>
      </c>
      <c r="F2818" s="16" t="inlineStr">
        <is>
          <t>SS</t>
        </is>
      </c>
      <c r="G2818" s="9" t="n">
        <v>266</v>
      </c>
      <c r="H2818" s="9" t="n">
        <v>266</v>
      </c>
      <c r="I2818" s="9" t="inlineStr">
        <is>
          <t>Full Time</t>
        </is>
      </c>
      <c r="J2818" s="16" t="inlineStr">
        <is>
          <t>Opening Day</t>
        </is>
      </c>
      <c r="K2818" s="11">
        <f>IFERROR(INDEX(Roles!$B$17:$B$20,MATCH(J2818,Roles!$A$17:$A$20,0)),1)</f>
        <v/>
      </c>
      <c r="L2818" s="17" t="n">
        <v>1</v>
      </c>
      <c r="M2818" s="11" t="n">
        <v>1</v>
      </c>
      <c r="N2818" s="17" t="n">
        <v>0.68</v>
      </c>
      <c r="O2818" s="17" t="n"/>
      <c r="P2818" s="17" t="n">
        <v>0.32</v>
      </c>
      <c r="Q2818" s="17" t="n"/>
      <c r="R2818" s="17" t="n"/>
      <c r="S2818" s="17" t="n"/>
      <c r="T2818" s="17" t="n"/>
      <c r="U2818" s="17" t="n"/>
      <c r="V2818" s="17" t="n"/>
      <c r="W2818" s="17" t="n"/>
      <c r="X2818" s="17" t="n"/>
      <c r="Y2818" s="17" t="n"/>
      <c r="Z2818" s="13">
        <f>SUMPRODUCT(N2818:Y2818,$N$2:$Y$2)*$K2818*$L2818*$M2818</f>
        <v/>
      </c>
      <c r="AA2818" s="14">
        <f>SUM(N2818:Y2818)</f>
        <v/>
      </c>
      <c r="AB2818" s="14">
        <f>IFERROR(IF(UPPER($E2818)="L",SUMPRODUCT(N2818:Y2818,$N$3:$Y$3,$N$2:$Y$2),SUMPRODUCT(N2818:Y2818,$N$4:$Y$4,$N$2:$Y$2))/(Z2818/($K2818*$L2818*$M2818)),"")</f>
        <v/>
      </c>
      <c r="AC2818" s="18" t="n"/>
    </row>
    <row r="2819">
      <c r="A2819" s="9" t="n">
        <v>668885</v>
      </c>
      <c r="B2819" s="9" t="inlineStr">
        <is>
          <t>Austin Martin</t>
        </is>
      </c>
      <c r="C2819" s="9" t="inlineStr">
        <is>
          <t>MIN</t>
        </is>
      </c>
      <c r="D2819" s="9" t="n">
        <v>28</v>
      </c>
      <c r="E2819" s="16" t="inlineStr">
        <is>
          <t>R</t>
        </is>
      </c>
      <c r="F2819" s="16" t="inlineStr">
        <is>
          <t>RF</t>
        </is>
      </c>
      <c r="G2819" s="9" t="n">
        <v>358</v>
      </c>
      <c r="H2819" s="9" t="n">
        <v>796</v>
      </c>
      <c r="I2819" s="9" t="inlineStr">
        <is>
          <t>Weak Side Platoon</t>
        </is>
      </c>
      <c r="J2819" s="16" t="inlineStr">
        <is>
          <t>Opening Day</t>
        </is>
      </c>
      <c r="K2819" s="11">
        <f>IFERROR(INDEX(Roles!$B$17:$B$20,MATCH(J2819,Roles!$A$17:$A$20,0)),1)</f>
        <v/>
      </c>
      <c r="L2819" s="17" t="n">
        <v>1</v>
      </c>
      <c r="M2819" s="11" t="n">
        <v>1.018434808948242</v>
      </c>
      <c r="N2819" s="17" t="n"/>
      <c r="O2819" s="17" t="n"/>
      <c r="P2819" s="17" t="n"/>
      <c r="Q2819" s="17" t="n">
        <v>0.6</v>
      </c>
      <c r="R2819" s="17" t="n"/>
      <c r="S2819" s="17" t="n"/>
      <c r="T2819" s="17" t="n"/>
      <c r="U2819" s="17" t="n"/>
      <c r="V2819" s="17" t="n">
        <v>0.4</v>
      </c>
      <c r="W2819" s="17" t="n"/>
      <c r="X2819" s="17" t="n"/>
      <c r="Y2819" s="17" t="n"/>
      <c r="Z2819" s="13">
        <f>SUMPRODUCT(N2819:Y2819,$N$2:$Y$2)*$K2819*$L2819*$M2819</f>
        <v/>
      </c>
      <c r="AA2819" s="14">
        <f>SUM(N2819:Y2819)</f>
        <v/>
      </c>
      <c r="AB2819" s="14">
        <f>IFERROR(IF(UPPER($E2819)="L",SUMPRODUCT(N2819:Y2819,$N$3:$Y$3,$N$2:$Y$2),SUMPRODUCT(N2819:Y2819,$N$4:$Y$4,$N$2:$Y$2))/(Z2819/($K2819*$L2819*$M2819)),"")</f>
        <v/>
      </c>
      <c r="AC2819" s="18" t="n"/>
    </row>
    <row r="2820">
      <c r="A2820" s="9" t="n">
        <v>622534</v>
      </c>
      <c r="B2820" s="9" t="inlineStr">
        <is>
          <t>Manuel Margot</t>
        </is>
      </c>
      <c r="C2820" s="9" t="inlineStr">
        <is>
          <t>MIN</t>
        </is>
      </c>
      <c r="D2820" s="9" t="n">
        <v>32</v>
      </c>
      <c r="E2820" s="16" t="inlineStr">
        <is>
          <t>R</t>
        </is>
      </c>
      <c r="F2820" s="16" t="inlineStr">
        <is>
          <t>RF</t>
        </is>
      </c>
      <c r="G2820" s="9" t="n">
        <v>20</v>
      </c>
      <c r="H2820" s="9" t="n">
        <v>1062</v>
      </c>
      <c r="I2820" s="9" t="inlineStr">
        <is>
          <t>Depth (no MLB PA)</t>
        </is>
      </c>
      <c r="J2820" s="16" t="inlineStr">
        <is>
          <t>Opening Day</t>
        </is>
      </c>
      <c r="K2820" s="11">
        <f>IFERROR(INDEX(Roles!$B$17:$B$20,MATCH(J2820,Roles!$A$17:$A$20,0)),1)</f>
        <v/>
      </c>
      <c r="L2820" s="17" t="n">
        <v>1</v>
      </c>
      <c r="M2820" s="11" t="n">
        <v>0.8638514062790036</v>
      </c>
      <c r="N2820" s="17" t="n"/>
      <c r="O2820" s="17" t="n"/>
      <c r="P2820" s="17" t="n"/>
      <c r="Q2820" s="17" t="n"/>
      <c r="R2820" s="17" t="n"/>
      <c r="S2820" s="17" t="n"/>
      <c r="T2820" s="17" t="n"/>
      <c r="U2820" s="17" t="n"/>
      <c r="V2820" s="17" t="n"/>
      <c r="W2820" s="17" t="n"/>
      <c r="X2820" s="17" t="n"/>
      <c r="Y2820" s="17" t="n">
        <v>1</v>
      </c>
      <c r="Z2820" s="13">
        <f>SUMPRODUCT(N2820:Y2820,$N$2:$Y$2)*$K2820*$L2820*$M2820</f>
        <v/>
      </c>
      <c r="AA2820" s="14">
        <f>SUM(N2820:Y2820)</f>
        <v/>
      </c>
      <c r="AB2820" s="14">
        <f>IFERROR(IF(UPPER($E2820)="L",SUMPRODUCT(N2820:Y2820,$N$3:$Y$3,$N$2:$Y$2),SUMPRODUCT(N2820:Y2820,$N$4:$Y$4,$N$2:$Y$2))/(Z2820/($K2820*$L2820*$M2820)),"")</f>
        <v/>
      </c>
      <c r="AC2820" s="18" t="n"/>
    </row>
    <row r="2821">
      <c r="A2821" s="9" t="n">
        <v>672016</v>
      </c>
      <c r="B2821" s="9" t="inlineStr">
        <is>
          <t>Denzel Clarke</t>
        </is>
      </c>
      <c r="C2821" s="9" t="inlineStr">
        <is>
          <t>OAK</t>
        </is>
      </c>
      <c r="D2821" s="9" t="n">
        <v>27</v>
      </c>
      <c r="E2821" s="16" t="inlineStr">
        <is>
          <t>R</t>
        </is>
      </c>
      <c r="F2821" s="16" t="inlineStr">
        <is>
          <t>CF</t>
        </is>
      </c>
      <c r="G2821" s="9" t="n">
        <v>87</v>
      </c>
      <c r="H2821" s="9" t="n">
        <v>246</v>
      </c>
      <c r="I2821" s="9" t="inlineStr">
        <is>
          <t>Weak Side Platoon</t>
        </is>
      </c>
      <c r="J2821" s="16" t="inlineStr">
        <is>
          <t>Opening Day</t>
        </is>
      </c>
      <c r="K2821" s="11">
        <f>IFERROR(INDEX(Roles!$B$17:$B$20,MATCH(J2821,Roles!$A$17:$A$20,0)),1)</f>
        <v/>
      </c>
      <c r="L2821" s="17" t="n">
        <v>1</v>
      </c>
      <c r="M2821" s="11" t="n">
        <v>1</v>
      </c>
      <c r="N2821" s="17" t="n"/>
      <c r="O2821" s="17" t="n"/>
      <c r="P2821" s="17" t="n"/>
      <c r="Q2821" s="17" t="n">
        <v>0.6</v>
      </c>
      <c r="R2821" s="17" t="n"/>
      <c r="S2821" s="17" t="n"/>
      <c r="T2821" s="17" t="n"/>
      <c r="U2821" s="17" t="n"/>
      <c r="V2821" s="17" t="n">
        <v>0.4</v>
      </c>
      <c r="W2821" s="17" t="n"/>
      <c r="X2821" s="17" t="n"/>
      <c r="Y2821" s="17" t="n"/>
      <c r="Z2821" s="13">
        <f>SUMPRODUCT(N2821:Y2821,$N$2:$Y$2)*$K2821*$L2821*$M2821</f>
        <v/>
      </c>
      <c r="AA2821" s="14">
        <f>SUM(N2821:Y2821)</f>
        <v/>
      </c>
      <c r="AB2821" s="14">
        <f>IFERROR(IF(UPPER($E2821)="L",SUMPRODUCT(N2821:Y2821,$N$3:$Y$3,$N$2:$Y$2),SUMPRODUCT(N2821:Y2821,$N$4:$Y$4,$N$2:$Y$2))/(Z2821/($K2821*$L2821*$M2821)),"")</f>
        <v/>
      </c>
      <c r="AC2821" s="18" t="n"/>
    </row>
    <row r="2822">
      <c r="A2822" s="9" t="n">
        <v>695391</v>
      </c>
      <c r="B2822" s="9" t="inlineStr">
        <is>
          <t>Brett Harris</t>
        </is>
      </c>
      <c r="C2822" s="9" t="inlineStr">
        <is>
          <t>SF</t>
        </is>
      </c>
      <c r="D2822" s="9" t="n">
        <v>29</v>
      </c>
      <c r="E2822" s="16" t="inlineStr">
        <is>
          <t>R</t>
        </is>
      </c>
      <c r="F2822" s="16" t="inlineStr">
        <is>
          <t>1B</t>
        </is>
      </c>
      <c r="G2822" s="9" t="n">
        <v>51</v>
      </c>
      <c r="H2822" s="9" t="n">
        <v>258</v>
      </c>
      <c r="I2822" s="9" t="inlineStr">
        <is>
          <t>Full Time</t>
        </is>
      </c>
      <c r="J2822" s="16" t="inlineStr">
        <is>
          <t>Opening Day</t>
        </is>
      </c>
      <c r="K2822" s="11">
        <f>IFERROR(INDEX(Roles!$B$17:$B$20,MATCH(J2822,Roles!$A$17:$A$20,0)),1)</f>
        <v/>
      </c>
      <c r="L2822" s="17" t="n">
        <v>1</v>
      </c>
      <c r="M2822" s="11" t="n">
        <v>1</v>
      </c>
      <c r="N2822" s="17" t="n">
        <v>0.75</v>
      </c>
      <c r="O2822" s="17" t="n"/>
      <c r="P2822" s="17" t="n">
        <v>0.25</v>
      </c>
      <c r="Q2822" s="17" t="n"/>
      <c r="R2822" s="17" t="n"/>
      <c r="S2822" s="17" t="n"/>
      <c r="T2822" s="17" t="n"/>
      <c r="U2822" s="17" t="n"/>
      <c r="V2822" s="17" t="n"/>
      <c r="W2822" s="17" t="n"/>
      <c r="X2822" s="17" t="n"/>
      <c r="Y2822" s="17" t="n"/>
      <c r="Z2822" s="13">
        <f>SUMPRODUCT(N2822:Y2822,$N$2:$Y$2)*$K2822*$L2822*$M2822</f>
        <v/>
      </c>
      <c r="AA2822" s="14">
        <f>SUM(N2822:Y2822)</f>
        <v/>
      </c>
      <c r="AB2822" s="14">
        <f>IFERROR(IF(UPPER($E2822)="L",SUMPRODUCT(N2822:Y2822,$N$3:$Y$3,$N$2:$Y$2),SUMPRODUCT(N2822:Y2822,$N$4:$Y$4,$N$2:$Y$2))/(Z2822/($K2822*$L2822*$M2822)),"")</f>
        <v/>
      </c>
      <c r="AC2822" s="18" t="n"/>
    </row>
    <row r="2823">
      <c r="A2823" s="9" t="n">
        <v>660844</v>
      </c>
      <c r="B2823" s="9" t="inlineStr">
        <is>
          <t>Leo Rivas</t>
        </is>
      </c>
      <c r="C2823" s="9" t="inlineStr">
        <is>
          <t>SEA</t>
        </is>
      </c>
      <c r="D2823" s="9" t="n">
        <v>29</v>
      </c>
      <c r="E2823" s="16" t="inlineStr">
        <is>
          <t>S</t>
        </is>
      </c>
      <c r="F2823" s="16" t="inlineStr">
        <is>
          <t>3B</t>
        </is>
      </c>
      <c r="G2823" s="9" t="n">
        <v>148</v>
      </c>
      <c r="H2823" s="9" t="n">
        <v>345</v>
      </c>
      <c r="I2823" s="9" t="inlineStr">
        <is>
          <t>Bench Bat</t>
        </is>
      </c>
      <c r="J2823" s="16" t="inlineStr">
        <is>
          <t>Opening Day</t>
        </is>
      </c>
      <c r="K2823" s="11">
        <f>IFERROR(INDEX(Roles!$B$17:$B$20,MATCH(J2823,Roles!$A$17:$A$20,0)),1)</f>
        <v/>
      </c>
      <c r="L2823" s="17" t="n">
        <v>1</v>
      </c>
      <c r="M2823" s="11" t="n">
        <v>1</v>
      </c>
      <c r="N2823" s="17" t="n"/>
      <c r="O2823" s="17" t="n"/>
      <c r="P2823" s="17" t="n"/>
      <c r="Q2823" s="17" t="n"/>
      <c r="R2823" s="17" t="n"/>
      <c r="S2823" s="17" t="n"/>
      <c r="T2823" s="17" t="n"/>
      <c r="U2823" s="17" t="n">
        <v>0.4</v>
      </c>
      <c r="V2823" s="17" t="n"/>
      <c r="W2823" s="17" t="n">
        <v>0.6</v>
      </c>
      <c r="X2823" s="17" t="n"/>
      <c r="Y2823" s="17" t="n"/>
      <c r="Z2823" s="13">
        <f>SUMPRODUCT(N2823:Y2823,$N$2:$Y$2)*$K2823*$L2823*$M2823</f>
        <v/>
      </c>
      <c r="AA2823" s="14">
        <f>SUM(N2823:Y2823)</f>
        <v/>
      </c>
      <c r="AB2823" s="14">
        <f>IFERROR(IF(UPPER($E2823)="L",SUMPRODUCT(N2823:Y2823,$N$3:$Y$3,$N$2:$Y$2),SUMPRODUCT(N2823:Y2823,$N$4:$Y$4,$N$2:$Y$2))/(Z2823/($K2823*$L2823*$M2823)),"")</f>
        <v/>
      </c>
      <c r="AC2823" s="18" t="n"/>
    </row>
    <row r="2824">
      <c r="A2824" s="9" t="n">
        <v>683770</v>
      </c>
      <c r="B2824" s="9" t="inlineStr">
        <is>
          <t>Will Robertson</t>
        </is>
      </c>
      <c r="C2824" s="9" t="inlineStr">
        <is>
          <t>CWS</t>
        </is>
      </c>
      <c r="D2824" s="9" t="n">
        <v>29</v>
      </c>
      <c r="E2824" s="16" t="inlineStr">
        <is>
          <t>L</t>
        </is>
      </c>
      <c r="F2824" s="16" t="inlineStr">
        <is>
          <t>LF</t>
        </is>
      </c>
      <c r="G2824" s="9" t="n">
        <v>75</v>
      </c>
      <c r="H2824" s="9" t="n">
        <v>75</v>
      </c>
      <c r="I2824" s="9" t="inlineStr">
        <is>
          <t>Bench Bat</t>
        </is>
      </c>
      <c r="J2824" s="16" t="inlineStr">
        <is>
          <t>Opening Day</t>
        </is>
      </c>
      <c r="K2824" s="11">
        <f>IFERROR(INDEX(Roles!$B$17:$B$20,MATCH(J2824,Roles!$A$17:$A$20,0)),1)</f>
        <v/>
      </c>
      <c r="L2824" s="17" t="n">
        <v>1</v>
      </c>
      <c r="M2824" s="11" t="n">
        <v>1</v>
      </c>
      <c r="N2824" s="17" t="n"/>
      <c r="O2824" s="17" t="n"/>
      <c r="P2824" s="17" t="n"/>
      <c r="Q2824" s="17" t="n"/>
      <c r="R2824" s="17" t="n"/>
      <c r="S2824" s="17" t="n"/>
      <c r="T2824" s="17" t="n"/>
      <c r="U2824" s="17" t="n"/>
      <c r="V2824" s="17" t="n"/>
      <c r="W2824" s="17" t="n">
        <v>1</v>
      </c>
      <c r="X2824" s="17" t="n"/>
      <c r="Y2824" s="17" t="n"/>
      <c r="Z2824" s="13">
        <f>SUMPRODUCT(N2824:Y2824,$N$2:$Y$2)*$K2824*$L2824*$M2824</f>
        <v/>
      </c>
      <c r="AA2824" s="14">
        <f>SUM(N2824:Y2824)</f>
        <v/>
      </c>
      <c r="AB2824" s="14">
        <f>IFERROR(IF(UPPER($E2824)="L",SUMPRODUCT(N2824:Y2824,$N$3:$Y$3,$N$2:$Y$2),SUMPRODUCT(N2824:Y2824,$N$4:$Y$4,$N$2:$Y$2))/(Z2824/($K2824*$L2824*$M2824)),"")</f>
        <v/>
      </c>
      <c r="AC2824" s="18" t="n"/>
    </row>
    <row r="2825">
      <c r="A2825" s="9" t="n">
        <v>663538</v>
      </c>
      <c r="B2825" s="9" t="inlineStr">
        <is>
          <t>Nico Hoerner</t>
        </is>
      </c>
      <c r="C2825" s="9" t="inlineStr">
        <is>
          <t>CHC</t>
        </is>
      </c>
      <c r="D2825" s="9" t="n">
        <v>30</v>
      </c>
      <c r="E2825" s="16" t="inlineStr">
        <is>
          <t>R</t>
        </is>
      </c>
      <c r="F2825" s="16" t="inlineStr">
        <is>
          <t>2B</t>
        </is>
      </c>
      <c r="G2825" s="9" t="n">
        <v>689</v>
      </c>
      <c r="H2825" s="9" t="n">
        <v>3184</v>
      </c>
      <c r="I2825" s="9" t="inlineStr">
        <is>
          <t>Full Time</t>
        </is>
      </c>
      <c r="J2825" s="16" t="inlineStr">
        <is>
          <t>Opening Day</t>
        </is>
      </c>
      <c r="K2825" s="11">
        <f>IFERROR(INDEX(Roles!$B$17:$B$20,MATCH(J2825,Roles!$A$17:$A$20,0)),1)</f>
        <v/>
      </c>
      <c r="L2825" s="17" t="n">
        <v>1</v>
      </c>
      <c r="M2825" s="11" t="n">
        <v>1.15</v>
      </c>
      <c r="N2825" s="17" t="n">
        <v>1</v>
      </c>
      <c r="O2825" s="17" t="n"/>
      <c r="P2825" s="17" t="n"/>
      <c r="Q2825" s="17" t="n"/>
      <c r="R2825" s="17" t="n"/>
      <c r="S2825" s="17" t="n"/>
      <c r="T2825" s="17" t="n"/>
      <c r="U2825" s="17" t="n"/>
      <c r="V2825" s="17" t="n"/>
      <c r="W2825" s="17" t="n"/>
      <c r="X2825" s="17" t="n"/>
      <c r="Y2825" s="17" t="n"/>
      <c r="Z2825" s="13">
        <f>SUMPRODUCT(N2825:Y2825,$N$2:$Y$2)*$K2825*$L2825*$M2825</f>
        <v/>
      </c>
      <c r="AA2825" s="14">
        <f>SUM(N2825:Y2825)</f>
        <v/>
      </c>
      <c r="AB2825" s="14">
        <f>IFERROR(IF(UPPER($E2825)="L",SUMPRODUCT(N2825:Y2825,$N$3:$Y$3,$N$2:$Y$2),SUMPRODUCT(N2825:Y2825,$N$4:$Y$4,$N$2:$Y$2))/(Z2825/($K2825*$L2825*$M2825)),"")</f>
        <v/>
      </c>
      <c r="AC2825" s="18" t="n"/>
    </row>
    <row r="2826">
      <c r="A2826" s="9" t="n">
        <v>671655</v>
      </c>
      <c r="B2826" s="9" t="inlineStr">
        <is>
          <t>George Valera</t>
        </is>
      </c>
      <c r="C2826" s="9" t="inlineStr">
        <is>
          <t>CLE</t>
        </is>
      </c>
      <c r="D2826" s="9" t="n">
        <v>26</v>
      </c>
      <c r="E2826" s="16" t="inlineStr">
        <is>
          <t>L</t>
        </is>
      </c>
      <c r="F2826" s="16" t="inlineStr">
        <is>
          <t>LF</t>
        </is>
      </c>
      <c r="G2826" s="9" t="n">
        <v>38</v>
      </c>
      <c r="H2826" s="9" t="n">
        <v>86</v>
      </c>
      <c r="I2826" s="9" t="inlineStr">
        <is>
          <t>Bench Bat</t>
        </is>
      </c>
      <c r="J2826" s="16" t="inlineStr">
        <is>
          <t>Opening Day</t>
        </is>
      </c>
      <c r="K2826" s="11">
        <f>IFERROR(INDEX(Roles!$B$17:$B$20,MATCH(J2826,Roles!$A$17:$A$20,0)),1)</f>
        <v/>
      </c>
      <c r="L2826" s="17" t="n">
        <v>1</v>
      </c>
      <c r="M2826" s="11" t="n">
        <v>1</v>
      </c>
      <c r="N2826" s="17" t="n"/>
      <c r="O2826" s="17" t="n"/>
      <c r="P2826" s="17" t="n"/>
      <c r="Q2826" s="17" t="n"/>
      <c r="R2826" s="17" t="n"/>
      <c r="S2826" s="17" t="n"/>
      <c r="T2826" s="17" t="n"/>
      <c r="U2826" s="17" t="n"/>
      <c r="V2826" s="17" t="n"/>
      <c r="W2826" s="17" t="n">
        <v>1</v>
      </c>
      <c r="X2826" s="17" t="n"/>
      <c r="Y2826" s="17" t="n"/>
      <c r="Z2826" s="13">
        <f>SUMPRODUCT(N2826:Y2826,$N$2:$Y$2)*$K2826*$L2826*$M2826</f>
        <v/>
      </c>
      <c r="AA2826" s="14">
        <f>SUM(N2826:Y2826)</f>
        <v/>
      </c>
      <c r="AB2826" s="14">
        <f>IFERROR(IF(UPPER($E2826)="L",SUMPRODUCT(N2826:Y2826,$N$3:$Y$3,$N$2:$Y$2),SUMPRODUCT(N2826:Y2826,$N$4:$Y$4,$N$2:$Y$2))/(Z2826/($K2826*$L2826*$M2826)),"")</f>
        <v/>
      </c>
      <c r="AC2826" s="18" t="n"/>
    </row>
    <row r="2827">
      <c r="A2827" s="9" t="n">
        <v>703197</v>
      </c>
      <c r="B2827" s="9" t="inlineStr">
        <is>
          <t>Michael Arroyo</t>
        </is>
      </c>
      <c r="C2827" s="9" t="inlineStr">
        <is>
          <t>SEA</t>
        </is>
      </c>
      <c r="D2827" s="9" t="n">
        <v>22</v>
      </c>
      <c r="E2827" s="16" t="inlineStr">
        <is>
          <t>R</t>
        </is>
      </c>
      <c r="F2827" s="16" t="inlineStr">
        <is>
          <t>2B</t>
        </is>
      </c>
      <c r="G2827" s="9" t="n">
        <v>41</v>
      </c>
      <c r="H2827" s="9" t="n">
        <v>41</v>
      </c>
      <c r="I2827" s="9" t="inlineStr">
        <is>
          <t>Weak Side Platoon</t>
        </is>
      </c>
      <c r="J2827" s="16" t="inlineStr">
        <is>
          <t>Opening Day</t>
        </is>
      </c>
      <c r="K2827" s="11">
        <f>IFERROR(INDEX(Roles!$B$17:$B$20,MATCH(J2827,Roles!$A$17:$A$20,0)),1)</f>
        <v/>
      </c>
      <c r="L2827" s="17" t="n">
        <v>1</v>
      </c>
      <c r="M2827" s="11" t="n">
        <v>1</v>
      </c>
      <c r="N2827" s="17" t="n"/>
      <c r="O2827" s="17" t="n"/>
      <c r="P2827" s="17" t="n"/>
      <c r="Q2827" s="17" t="n">
        <v>0.6</v>
      </c>
      <c r="R2827" s="17" t="n"/>
      <c r="S2827" s="17" t="n"/>
      <c r="T2827" s="17" t="n"/>
      <c r="U2827" s="17" t="n">
        <v>0.4</v>
      </c>
      <c r="V2827" s="17" t="n"/>
      <c r="W2827" s="17" t="n"/>
      <c r="X2827" s="17" t="n"/>
      <c r="Y2827" s="17" t="n"/>
      <c r="Z2827" s="13">
        <f>SUMPRODUCT(N2827:Y2827,$N$2:$Y$2)*$K2827*$L2827*$M2827</f>
        <v/>
      </c>
      <c r="AA2827" s="14">
        <f>SUM(N2827:Y2827)</f>
        <v/>
      </c>
      <c r="AB2827" s="14">
        <f>IFERROR(IF(UPPER($E2827)="L",SUMPRODUCT(N2827:Y2827,$N$3:$Y$3,$N$2:$Y$2),SUMPRODUCT(N2827:Y2827,$N$4:$Y$4,$N$2:$Y$2))/(Z2827/($K2827*$L2827*$M2827)),"")</f>
        <v/>
      </c>
      <c r="AC2827" s="18" t="n"/>
    </row>
    <row r="2828">
      <c r="A2828" s="9" t="n">
        <v>518934</v>
      </c>
      <c r="B2828" s="9" t="inlineStr">
        <is>
          <t>DJ LeMahieu</t>
        </is>
      </c>
      <c r="C2828" s="9" t="inlineStr">
        <is>
          <t>NYY</t>
        </is>
      </c>
      <c r="D2828" s="9" t="n">
        <v>38</v>
      </c>
      <c r="E2828" s="16" t="inlineStr">
        <is>
          <t>R</t>
        </is>
      </c>
      <c r="F2828" s="16" t="inlineStr">
        <is>
          <t>2B</t>
        </is>
      </c>
      <c r="G2828" s="9" t="n">
        <v>142</v>
      </c>
      <c r="H2828" s="9" t="n">
        <v>1473</v>
      </c>
      <c r="I2828" s="9" t="inlineStr">
        <is>
          <t>Bench Bat</t>
        </is>
      </c>
      <c r="J2828" s="16" t="inlineStr">
        <is>
          <t>Opening Day</t>
        </is>
      </c>
      <c r="K2828" s="11">
        <f>IFERROR(INDEX(Roles!$B$17:$B$20,MATCH(J2828,Roles!$A$17:$A$20,0)),1)</f>
        <v/>
      </c>
      <c r="L2828" s="17" t="n">
        <v>1</v>
      </c>
      <c r="M2828" s="11" t="n">
        <v>1</v>
      </c>
      <c r="N2828" s="17" t="n"/>
      <c r="O2828" s="17" t="n"/>
      <c r="P2828" s="17" t="n"/>
      <c r="Q2828" s="17" t="n"/>
      <c r="R2828" s="17" t="n"/>
      <c r="S2828" s="17" t="n"/>
      <c r="T2828" s="17" t="n"/>
      <c r="U2828" s="17" t="n"/>
      <c r="V2828" s="17" t="n"/>
      <c r="W2828" s="17" t="n">
        <v>1</v>
      </c>
      <c r="X2828" s="17" t="n"/>
      <c r="Y2828" s="17" t="n"/>
      <c r="Z2828" s="13">
        <f>SUMPRODUCT(N2828:Y2828,$N$2:$Y$2)*$K2828*$L2828*$M2828</f>
        <v/>
      </c>
      <c r="AA2828" s="14">
        <f>SUM(N2828:Y2828)</f>
        <v/>
      </c>
      <c r="AB2828" s="14">
        <f>IFERROR(IF(UPPER($E2828)="L",SUMPRODUCT(N2828:Y2828,$N$3:$Y$3,$N$2:$Y$2),SUMPRODUCT(N2828:Y2828,$N$4:$Y$4,$N$2:$Y$2))/(Z2828/($K2828*$L2828*$M2828)),"")</f>
        <v/>
      </c>
      <c r="AC2828" s="18" t="n"/>
    </row>
    <row r="2829">
      <c r="A2829" s="9" t="n">
        <v>578428</v>
      </c>
      <c r="B2829" s="9" t="inlineStr">
        <is>
          <t>Jose Iglesias</t>
        </is>
      </c>
      <c r="C2829" s="9" t="inlineStr">
        <is>
          <t>SD</t>
        </is>
      </c>
      <c r="D2829" s="9" t="n">
        <v>37</v>
      </c>
      <c r="E2829" s="16" t="inlineStr">
        <is>
          <t>R</t>
        </is>
      </c>
      <c r="F2829" s="16" t="inlineStr">
        <is>
          <t>2B</t>
        </is>
      </c>
      <c r="G2829" s="9" t="n">
        <v>343</v>
      </c>
      <c r="H2829" s="9" t="n">
        <v>1101</v>
      </c>
      <c r="I2829" s="9" t="inlineStr">
        <is>
          <t>Utility IF</t>
        </is>
      </c>
      <c r="J2829" s="16" t="inlineStr">
        <is>
          <t>Opening Day</t>
        </is>
      </c>
      <c r="K2829" s="11">
        <f>IFERROR(INDEX(Roles!$B$17:$B$20,MATCH(J2829,Roles!$A$17:$A$20,0)),1)</f>
        <v/>
      </c>
      <c r="L2829" s="17" t="n">
        <v>1</v>
      </c>
      <c r="M2829" s="11" t="n">
        <v>1.068202172396656</v>
      </c>
      <c r="N2829" s="17" t="n"/>
      <c r="O2829" s="17" t="n"/>
      <c r="P2829" s="17" t="n"/>
      <c r="Q2829" s="17" t="n"/>
      <c r="R2829" s="17" t="n"/>
      <c r="S2829" s="17" t="n"/>
      <c r="T2829" s="17" t="n"/>
      <c r="U2829" s="17" t="n">
        <v>1</v>
      </c>
      <c r="V2829" s="17" t="n"/>
      <c r="W2829" s="17" t="n"/>
      <c r="X2829" s="17" t="n"/>
      <c r="Y2829" s="17" t="n"/>
      <c r="Z2829" s="13">
        <f>SUMPRODUCT(N2829:Y2829,$N$2:$Y$2)*$K2829*$L2829*$M2829</f>
        <v/>
      </c>
      <c r="AA2829" s="14">
        <f>SUM(N2829:Y2829)</f>
        <v/>
      </c>
      <c r="AB2829" s="14">
        <f>IFERROR(IF(UPPER($E2829)="L",SUMPRODUCT(N2829:Y2829,$N$3:$Y$3,$N$2:$Y$2),SUMPRODUCT(N2829:Y2829,$N$4:$Y$4,$N$2:$Y$2))/(Z2829/($K2829*$L2829*$M2829)),"")</f>
        <v/>
      </c>
      <c r="AC2829" s="18" t="n"/>
    </row>
    <row r="2830">
      <c r="A2830" s="9" t="n">
        <v>682927</v>
      </c>
      <c r="B2830" s="9" t="inlineStr">
        <is>
          <t>Ronny Simon</t>
        </is>
      </c>
      <c r="C2830" s="9" t="inlineStr">
        <is>
          <t>PIT</t>
        </is>
      </c>
      <c r="D2830" s="9" t="n">
        <v>27</v>
      </c>
      <c r="E2830" s="16" t="inlineStr">
        <is>
          <t>S</t>
        </is>
      </c>
      <c r="F2830" s="16" t="inlineStr">
        <is>
          <t>RF</t>
        </is>
      </c>
      <c r="G2830" s="9" t="n">
        <v>68</v>
      </c>
      <c r="H2830" s="9" t="n">
        <v>156</v>
      </c>
      <c r="I2830" s="9" t="inlineStr">
        <is>
          <t>Bench Bat</t>
        </is>
      </c>
      <c r="J2830" s="16" t="inlineStr">
        <is>
          <t>Opening Day</t>
        </is>
      </c>
      <c r="K2830" s="11">
        <f>IFERROR(INDEX(Roles!$B$17:$B$20,MATCH(J2830,Roles!$A$17:$A$20,0)),1)</f>
        <v/>
      </c>
      <c r="L2830" s="17" t="n">
        <v>1</v>
      </c>
      <c r="M2830" s="11" t="n">
        <v>1</v>
      </c>
      <c r="N2830" s="17" t="n"/>
      <c r="O2830" s="17" t="n"/>
      <c r="P2830" s="17" t="n"/>
      <c r="Q2830" s="17" t="n"/>
      <c r="R2830" s="17" t="n"/>
      <c r="S2830" s="17" t="n"/>
      <c r="T2830" s="17" t="n"/>
      <c r="U2830" s="17" t="n">
        <v>0.4</v>
      </c>
      <c r="V2830" s="17" t="n"/>
      <c r="W2830" s="17" t="n">
        <v>0.6</v>
      </c>
      <c r="X2830" s="17" t="n"/>
      <c r="Y2830" s="17" t="n"/>
      <c r="Z2830" s="13">
        <f>SUMPRODUCT(N2830:Y2830,$N$2:$Y$2)*$K2830*$L2830*$M2830</f>
        <v/>
      </c>
      <c r="AA2830" s="14">
        <f>SUM(N2830:Y2830)</f>
        <v/>
      </c>
      <c r="AB2830" s="14">
        <f>IFERROR(IF(UPPER($E2830)="L",SUMPRODUCT(N2830:Y2830,$N$3:$Y$3,$N$2:$Y$2),SUMPRODUCT(N2830:Y2830,$N$4:$Y$4,$N$2:$Y$2))/(Z2830/($K2830*$L2830*$M2830)),"")</f>
        <v/>
      </c>
      <c r="AC2830" s="18" t="n"/>
    </row>
    <row r="2831">
      <c r="A2831" s="9" t="n">
        <v>671289</v>
      </c>
      <c r="B2831" s="9" t="inlineStr">
        <is>
          <t>Tyler Freeman</t>
        </is>
      </c>
      <c r="C2831" s="9" t="inlineStr">
        <is>
          <t>COL</t>
        </is>
      </c>
      <c r="D2831" s="9" t="n">
        <v>28</v>
      </c>
      <c r="E2831" s="16" t="inlineStr">
        <is>
          <t>R</t>
        </is>
      </c>
      <c r="F2831" s="16" t="inlineStr">
        <is>
          <t>RF</t>
        </is>
      </c>
      <c r="G2831" s="9" t="n">
        <v>288</v>
      </c>
      <c r="H2831" s="9" t="n">
        <v>1353</v>
      </c>
      <c r="I2831" s="9" t="inlineStr">
        <is>
          <t>Full Time</t>
        </is>
      </c>
      <c r="J2831" s="16" t="inlineStr">
        <is>
          <t>Opening Day</t>
        </is>
      </c>
      <c r="K2831" s="11">
        <f>IFERROR(INDEX(Roles!$B$17:$B$20,MATCH(J2831,Roles!$A$17:$A$20,0)),1)</f>
        <v/>
      </c>
      <c r="L2831" s="17" t="n">
        <v>1</v>
      </c>
      <c r="M2831" s="11" t="n">
        <v>0.8905050200716456</v>
      </c>
      <c r="N2831" s="17" t="n">
        <v>1</v>
      </c>
      <c r="O2831" s="17" t="n"/>
      <c r="P2831" s="17" t="n"/>
      <c r="Q2831" s="17" t="n"/>
      <c r="R2831" s="17" t="n"/>
      <c r="S2831" s="17" t="n"/>
      <c r="T2831" s="17" t="n"/>
      <c r="U2831" s="17" t="n"/>
      <c r="V2831" s="17" t="n"/>
      <c r="W2831" s="17" t="n"/>
      <c r="X2831" s="17" t="n"/>
      <c r="Y2831" s="17" t="n"/>
      <c r="Z2831" s="13">
        <f>SUMPRODUCT(N2831:Y2831,$N$2:$Y$2)*$K2831*$L2831*$M2831</f>
        <v/>
      </c>
      <c r="AA2831" s="14">
        <f>SUM(N2831:Y2831)</f>
        <v/>
      </c>
      <c r="AB2831" s="14">
        <f>IFERROR(IF(UPPER($E2831)="L",SUMPRODUCT(N2831:Y2831,$N$3:$Y$3,$N$2:$Y$2),SUMPRODUCT(N2831:Y2831,$N$4:$Y$4,$N$2:$Y$2))/(Z2831/($K2831*$L2831*$M2831)),"")</f>
        <v/>
      </c>
      <c r="AC2831" s="18" t="n"/>
    </row>
    <row r="2832">
      <c r="A2832" s="9" t="n">
        <v>685133</v>
      </c>
      <c r="B2832" s="9" t="inlineStr">
        <is>
          <t>Wade Meckler</t>
        </is>
      </c>
      <c r="C2832" s="9" t="inlineStr">
        <is>
          <t>LAA</t>
        </is>
      </c>
      <c r="D2832" s="9" t="n">
        <v>27</v>
      </c>
      <c r="E2832" s="16" t="inlineStr">
        <is>
          <t>L</t>
        </is>
      </c>
      <c r="F2832" s="16" t="inlineStr">
        <is>
          <t>LF</t>
        </is>
      </c>
      <c r="G2832" s="9" t="n">
        <v>337</v>
      </c>
      <c r="H2832" s="9" t="n">
        <v>401</v>
      </c>
      <c r="I2832" s="9" t="inlineStr">
        <is>
          <t>Full Time</t>
        </is>
      </c>
      <c r="J2832" s="16" t="inlineStr">
        <is>
          <t>Opening Day</t>
        </is>
      </c>
      <c r="K2832" s="11">
        <f>IFERROR(INDEX(Roles!$B$17:$B$20,MATCH(J2832,Roles!$A$17:$A$20,0)),1)</f>
        <v/>
      </c>
      <c r="L2832" s="17" t="n">
        <v>1</v>
      </c>
      <c r="M2832" s="11" t="n">
        <v>0.9288715919216736</v>
      </c>
      <c r="N2832" s="17" t="n">
        <v>0.7</v>
      </c>
      <c r="O2832" s="17" t="n"/>
      <c r="P2832" s="17" t="n">
        <v>0.3</v>
      </c>
      <c r="Q2832" s="17" t="n"/>
      <c r="R2832" s="17" t="n"/>
      <c r="S2832" s="17" t="n"/>
      <c r="T2832" s="17" t="n"/>
      <c r="U2832" s="17" t="n"/>
      <c r="V2832" s="17" t="n"/>
      <c r="W2832" s="17" t="n"/>
      <c r="X2832" s="17" t="n"/>
      <c r="Y2832" s="17" t="n"/>
      <c r="Z2832" s="13">
        <f>SUMPRODUCT(N2832:Y2832,$N$2:$Y$2)*$K2832*$L2832*$M2832</f>
        <v/>
      </c>
      <c r="AA2832" s="14">
        <f>SUM(N2832:Y2832)</f>
        <v/>
      </c>
      <c r="AB2832" s="14">
        <f>IFERROR(IF(UPPER($E2832)="L",SUMPRODUCT(N2832:Y2832,$N$3:$Y$3,$N$2:$Y$2),SUMPRODUCT(N2832:Y2832,$N$4:$Y$4,$N$2:$Y$2))/(Z2832/($K2832*$L2832*$M2832)),"")</f>
        <v/>
      </c>
      <c r="AC2832" s="18" t="n"/>
    </row>
    <row r="2833">
      <c r="A2833" s="9" t="n">
        <v>571466</v>
      </c>
      <c r="B2833" s="9" t="inlineStr">
        <is>
          <t>Tucker Barnhart</t>
        </is>
      </c>
      <c r="C2833" s="9" t="inlineStr">
        <is>
          <t>ARI</t>
        </is>
      </c>
      <c r="D2833" s="9" t="n">
        <v>36</v>
      </c>
      <c r="E2833" s="16" t="inlineStr">
        <is>
          <t>L</t>
        </is>
      </c>
      <c r="F2833" s="16" t="inlineStr">
        <is>
          <t>C</t>
        </is>
      </c>
      <c r="G2833" s="9" t="n">
        <v>15</v>
      </c>
      <c r="H2833" s="9" t="n">
        <v>542</v>
      </c>
      <c r="I2833" s="9" t="inlineStr">
        <is>
          <t>Depth (no MLB PA)</t>
        </is>
      </c>
      <c r="J2833" s="16" t="inlineStr">
        <is>
          <t>Opening Day</t>
        </is>
      </c>
      <c r="K2833" s="11">
        <f>IFERROR(INDEX(Roles!$B$17:$B$20,MATCH(J2833,Roles!$A$17:$A$20,0)),1)</f>
        <v/>
      </c>
      <c r="L2833" s="17" t="n">
        <v>1</v>
      </c>
      <c r="M2833" s="11" t="n">
        <v>1</v>
      </c>
      <c r="N2833" s="17" t="n"/>
      <c r="O2833" s="17" t="n"/>
      <c r="P2833" s="17" t="n"/>
      <c r="Q2833" s="17" t="n"/>
      <c r="R2833" s="17" t="n"/>
      <c r="S2833" s="17" t="n"/>
      <c r="T2833" s="17" t="n"/>
      <c r="U2833" s="17" t="n"/>
      <c r="V2833" s="17" t="n"/>
      <c r="W2833" s="17" t="n"/>
      <c r="X2833" s="17" t="n"/>
      <c r="Y2833" s="17" t="n">
        <v>1</v>
      </c>
      <c r="Z2833" s="13">
        <f>SUMPRODUCT(N2833:Y2833,$N$2:$Y$2)*$K2833*$L2833*$M2833</f>
        <v/>
      </c>
      <c r="AA2833" s="14">
        <f>SUM(N2833:Y2833)</f>
        <v/>
      </c>
      <c r="AB2833" s="14">
        <f>IFERROR(IF(UPPER($E2833)="L",SUMPRODUCT(N2833:Y2833,$N$3:$Y$3,$N$2:$Y$2),SUMPRODUCT(N2833:Y2833,$N$4:$Y$4,$N$2:$Y$2))/(Z2833/($K2833*$L2833*$M2833)),"")</f>
        <v/>
      </c>
      <c r="AC2833" s="18" t="n"/>
    </row>
    <row r="2834">
      <c r="A2834" s="9" t="n">
        <v>669374</v>
      </c>
      <c r="B2834" s="9" t="inlineStr">
        <is>
          <t>Keston Hiura</t>
        </is>
      </c>
      <c r="C2834" s="9" t="inlineStr">
        <is>
          <t>LAA</t>
        </is>
      </c>
      <c r="D2834" s="9" t="n">
        <v>30</v>
      </c>
      <c r="E2834" s="16" t="inlineStr">
        <is>
          <t>R</t>
        </is>
      </c>
      <c r="F2834" s="16" t="inlineStr">
        <is>
          <t>1B</t>
        </is>
      </c>
      <c r="G2834" s="9" t="n">
        <v>21</v>
      </c>
      <c r="H2834" s="9" t="n">
        <v>314</v>
      </c>
      <c r="I2834" s="9" t="inlineStr">
        <is>
          <t>Depth (no MLB PA)</t>
        </is>
      </c>
      <c r="J2834" s="16" t="inlineStr">
        <is>
          <t>Opening Day</t>
        </is>
      </c>
      <c r="K2834" s="11">
        <f>IFERROR(INDEX(Roles!$B$17:$B$20,MATCH(J2834,Roles!$A$17:$A$20,0)),1)</f>
        <v/>
      </c>
      <c r="L2834" s="17" t="n">
        <v>1</v>
      </c>
      <c r="M2834" s="11" t="n">
        <v>1</v>
      </c>
      <c r="N2834" s="17" t="n"/>
      <c r="O2834" s="17" t="n"/>
      <c r="P2834" s="17" t="n"/>
      <c r="Q2834" s="17" t="n"/>
      <c r="R2834" s="17" t="n"/>
      <c r="S2834" s="17" t="n"/>
      <c r="T2834" s="17" t="n"/>
      <c r="U2834" s="17" t="n"/>
      <c r="V2834" s="17" t="n"/>
      <c r="W2834" s="17" t="n"/>
      <c r="X2834" s="17" t="n"/>
      <c r="Y2834" s="17" t="n">
        <v>1</v>
      </c>
      <c r="Z2834" s="13">
        <f>SUMPRODUCT(N2834:Y2834,$N$2:$Y$2)*$K2834*$L2834*$M2834</f>
        <v/>
      </c>
      <c r="AA2834" s="14">
        <f>SUM(N2834:Y2834)</f>
        <v/>
      </c>
      <c r="AB2834" s="14">
        <f>IFERROR(IF(UPPER($E2834)="L",SUMPRODUCT(N2834:Y2834,$N$3:$Y$3,$N$2:$Y$2),SUMPRODUCT(N2834:Y2834,$N$4:$Y$4,$N$2:$Y$2))/(Z2834/($K2834*$L2834*$M2834)),"")</f>
        <v/>
      </c>
      <c r="AC2834" s="18" t="n"/>
    </row>
    <row r="2835">
      <c r="A2835" s="9" t="n">
        <v>666163</v>
      </c>
      <c r="B2835" s="9" t="inlineStr">
        <is>
          <t>Ben Rortvedt</t>
        </is>
      </c>
      <c r="C2835" s="9" t="inlineStr">
        <is>
          <t>LAD</t>
        </is>
      </c>
      <c r="D2835" s="9" t="n">
        <v>29</v>
      </c>
      <c r="E2835" s="16" t="inlineStr">
        <is>
          <t>L</t>
        </is>
      </c>
      <c r="F2835" s="16" t="inlineStr">
        <is>
          <t>C</t>
        </is>
      </c>
      <c r="G2835" s="9" t="n">
        <v>28</v>
      </c>
      <c r="H2835" s="9" t="n">
        <v>563</v>
      </c>
      <c r="I2835" s="9" t="inlineStr">
        <is>
          <t>Catcher - Backup</t>
        </is>
      </c>
      <c r="J2835" s="16" t="inlineStr">
        <is>
          <t>Opening Day</t>
        </is>
      </c>
      <c r="K2835" s="11">
        <f>IFERROR(INDEX(Roles!$B$17:$B$20,MATCH(J2835,Roles!$A$17:$A$20,0)),1)</f>
        <v/>
      </c>
      <c r="L2835" s="17" t="n">
        <v>1</v>
      </c>
      <c r="M2835" s="11" t="n">
        <v>0.8726841460528335</v>
      </c>
      <c r="N2835" s="17" t="n"/>
      <c r="O2835" s="17" t="n"/>
      <c r="P2835" s="17" t="n"/>
      <c r="Q2835" s="17" t="n"/>
      <c r="R2835" s="17" t="n"/>
      <c r="S2835" s="17" t="n"/>
      <c r="T2835" s="17" t="n">
        <v>1</v>
      </c>
      <c r="U2835" s="17" t="n"/>
      <c r="V2835" s="17" t="n"/>
      <c r="W2835" s="17" t="n"/>
      <c r="X2835" s="17" t="n"/>
      <c r="Y2835" s="17" t="n"/>
      <c r="Z2835" s="13">
        <f>SUMPRODUCT(N2835:Y2835,$N$2:$Y$2)*$K2835*$L2835*$M2835</f>
        <v/>
      </c>
      <c r="AA2835" s="14">
        <f>SUM(N2835:Y2835)</f>
        <v/>
      </c>
      <c r="AB2835" s="14">
        <f>IFERROR(IF(UPPER($E2835)="L",SUMPRODUCT(N2835:Y2835,$N$3:$Y$3,$N$2:$Y$2),SUMPRODUCT(N2835:Y2835,$N$4:$Y$4,$N$2:$Y$2))/(Z2835/($K2835*$L2835*$M2835)),"")</f>
        <v/>
      </c>
      <c r="AC2835" s="18" t="n"/>
    </row>
    <row r="2836">
      <c r="A2836" s="9" t="n">
        <v>680716</v>
      </c>
      <c r="B2836" s="9" t="inlineStr">
        <is>
          <t>Jonathan Ornelas</t>
        </is>
      </c>
      <c r="C2836" s="9" t="inlineStr">
        <is>
          <t>TEX</t>
        </is>
      </c>
      <c r="D2836" s="9" t="n">
        <v>27</v>
      </c>
      <c r="E2836" s="16" t="inlineStr">
        <is>
          <t>R</t>
        </is>
      </c>
      <c r="F2836" s="16" t="inlineStr">
        <is>
          <t>2B</t>
        </is>
      </c>
      <c r="G2836" s="9" t="n">
        <v>22</v>
      </c>
      <c r="H2836" s="9" t="n">
        <v>80</v>
      </c>
      <c r="I2836" s="9" t="inlineStr">
        <is>
          <t>Depth (no MLB PA)</t>
        </is>
      </c>
      <c r="J2836" s="16" t="inlineStr">
        <is>
          <t>Opening Day</t>
        </is>
      </c>
      <c r="K2836" s="11">
        <f>IFERROR(INDEX(Roles!$B$17:$B$20,MATCH(J2836,Roles!$A$17:$A$20,0)),1)</f>
        <v/>
      </c>
      <c r="L2836" s="17" t="n">
        <v>1</v>
      </c>
      <c r="M2836" s="11" t="n">
        <v>1</v>
      </c>
      <c r="N2836" s="17" t="n"/>
      <c r="O2836" s="17" t="n"/>
      <c r="P2836" s="17" t="n"/>
      <c r="Q2836" s="17" t="n"/>
      <c r="R2836" s="17" t="n"/>
      <c r="S2836" s="17" t="n"/>
      <c r="T2836" s="17" t="n"/>
      <c r="U2836" s="17" t="n"/>
      <c r="V2836" s="17" t="n"/>
      <c r="W2836" s="17" t="n"/>
      <c r="X2836" s="17" t="n"/>
      <c r="Y2836" s="17" t="n">
        <v>1</v>
      </c>
      <c r="Z2836" s="13">
        <f>SUMPRODUCT(N2836:Y2836,$N$2:$Y$2)*$K2836*$L2836*$M2836</f>
        <v/>
      </c>
      <c r="AA2836" s="14">
        <f>SUM(N2836:Y2836)</f>
        <v/>
      </c>
      <c r="AB2836" s="14">
        <f>IFERROR(IF(UPPER($E2836)="L",SUMPRODUCT(N2836:Y2836,$N$3:$Y$3,$N$2:$Y$2),SUMPRODUCT(N2836:Y2836,$N$4:$Y$4,$N$2:$Y$2))/(Z2836/($K2836*$L2836*$M2836)),"")</f>
        <v/>
      </c>
      <c r="AC2836" s="18" t="n"/>
    </row>
    <row r="2837">
      <c r="A2837" s="9" t="n">
        <v>660757</v>
      </c>
      <c r="B2837" s="9" t="inlineStr">
        <is>
          <t>Oscar Gonzalez</t>
        </is>
      </c>
      <c r="C2837" s="9" t="inlineStr">
        <is>
          <t>SD</t>
        </is>
      </c>
      <c r="D2837" s="9" t="n">
        <v>29</v>
      </c>
      <c r="E2837" s="16" t="inlineStr">
        <is>
          <t>R</t>
        </is>
      </c>
      <c r="F2837" s="16" t="inlineStr">
        <is>
          <t>LF</t>
        </is>
      </c>
      <c r="G2837" s="9" t="n">
        <v>61</v>
      </c>
      <c r="H2837" s="9" t="n">
        <v>623</v>
      </c>
      <c r="I2837" s="9" t="inlineStr">
        <is>
          <t>Bench Bat</t>
        </is>
      </c>
      <c r="J2837" s="16" t="inlineStr">
        <is>
          <t>Opening Day</t>
        </is>
      </c>
      <c r="K2837" s="11">
        <f>IFERROR(INDEX(Roles!$B$17:$B$20,MATCH(J2837,Roles!$A$17:$A$20,0)),1)</f>
        <v/>
      </c>
      <c r="L2837" s="17" t="n">
        <v>1</v>
      </c>
      <c r="M2837" s="11" t="n">
        <v>1</v>
      </c>
      <c r="N2837" s="17" t="n"/>
      <c r="O2837" s="17" t="n"/>
      <c r="P2837" s="17" t="n"/>
      <c r="Q2837" s="17" t="n"/>
      <c r="R2837" s="17" t="n"/>
      <c r="S2837" s="17" t="n"/>
      <c r="T2837" s="17" t="n"/>
      <c r="U2837" s="17" t="n"/>
      <c r="V2837" s="17" t="n"/>
      <c r="W2837" s="17" t="n">
        <v>1</v>
      </c>
      <c r="X2837" s="17" t="n"/>
      <c r="Y2837" s="17" t="n"/>
      <c r="Z2837" s="13">
        <f>SUMPRODUCT(N2837:Y2837,$N$2:$Y$2)*$K2837*$L2837*$M2837</f>
        <v/>
      </c>
      <c r="AA2837" s="14">
        <f>SUM(N2837:Y2837)</f>
        <v/>
      </c>
      <c r="AB2837" s="14">
        <f>IFERROR(IF(UPPER($E2837)="L",SUMPRODUCT(N2837:Y2837,$N$3:$Y$3,$N$2:$Y$2),SUMPRODUCT(N2837:Y2837,$N$4:$Y$4,$N$2:$Y$2))/(Z2837/($K2837*$L2837*$M2837)),"")</f>
        <v/>
      </c>
      <c r="AC2837" s="18" t="n"/>
    </row>
    <row r="2838">
      <c r="A2838" s="9" t="n">
        <v>543305</v>
      </c>
      <c r="B2838" s="9" t="inlineStr">
        <is>
          <t>Aaron Hicks</t>
        </is>
      </c>
      <c r="C2838" s="9" t="inlineStr">
        <is>
          <t>LAA</t>
        </is>
      </c>
      <c r="D2838" s="9" t="n">
        <v>37</v>
      </c>
      <c r="E2838" s="16" t="inlineStr">
        <is>
          <t>S</t>
        </is>
      </c>
      <c r="F2838" s="16" t="inlineStr">
        <is>
          <t>RF</t>
        </is>
      </c>
      <c r="G2838" s="9" t="n">
        <v>63</v>
      </c>
      <c r="H2838" s="9" t="n">
        <v>828</v>
      </c>
      <c r="I2838" s="9" t="inlineStr">
        <is>
          <t>Depth (no MLB PA)</t>
        </is>
      </c>
      <c r="J2838" s="16" t="inlineStr">
        <is>
          <t>Opening Day</t>
        </is>
      </c>
      <c r="K2838" s="11">
        <f>IFERROR(INDEX(Roles!$B$17:$B$20,MATCH(J2838,Roles!$A$17:$A$20,0)),1)</f>
        <v/>
      </c>
      <c r="L2838" s="17" t="n">
        <v>1</v>
      </c>
      <c r="M2838" s="11" t="n">
        <v>1</v>
      </c>
      <c r="N2838" s="17" t="n"/>
      <c r="O2838" s="17" t="n"/>
      <c r="P2838" s="17" t="n"/>
      <c r="Q2838" s="17" t="n"/>
      <c r="R2838" s="17" t="n"/>
      <c r="S2838" s="17" t="n"/>
      <c r="T2838" s="17" t="n"/>
      <c r="U2838" s="17" t="n"/>
      <c r="V2838" s="17" t="n"/>
      <c r="W2838" s="17" t="n"/>
      <c r="X2838" s="17" t="n"/>
      <c r="Y2838" s="17" t="n">
        <v>1</v>
      </c>
      <c r="Z2838" s="13">
        <f>SUMPRODUCT(N2838:Y2838,$N$2:$Y$2)*$K2838*$L2838*$M2838</f>
        <v/>
      </c>
      <c r="AA2838" s="14">
        <f>SUM(N2838:Y2838)</f>
        <v/>
      </c>
      <c r="AB2838" s="14">
        <f>IFERROR(IF(UPPER($E2838)="L",SUMPRODUCT(N2838:Y2838,$N$3:$Y$3,$N$2:$Y$2),SUMPRODUCT(N2838:Y2838,$N$4:$Y$4,$N$2:$Y$2))/(Z2838/($K2838*$L2838*$M2838)),"")</f>
        <v/>
      </c>
      <c r="AC2838" s="18" t="n"/>
    </row>
    <row r="2839">
      <c r="A2839" s="9" t="n">
        <v>691277</v>
      </c>
      <c r="B2839" s="9" t="inlineStr">
        <is>
          <t>Deyvison De Los Santos</t>
        </is>
      </c>
      <c r="C2839" s="9" t="inlineStr">
        <is>
          <t>MIA</t>
        </is>
      </c>
      <c r="D2839" s="9" t="n">
        <v>24</v>
      </c>
      <c r="E2839" s="16" t="inlineStr">
        <is>
          <t>R</t>
        </is>
      </c>
      <c r="F2839" s="16" t="inlineStr">
        <is>
          <t>1B</t>
        </is>
      </c>
      <c r="G2839" s="9" t="n">
        <v>43</v>
      </c>
      <c r="H2839" s="9" t="n">
        <v>43</v>
      </c>
      <c r="I2839" s="9" t="inlineStr">
        <is>
          <t>Bench Bat</t>
        </is>
      </c>
      <c r="J2839" s="16" t="inlineStr">
        <is>
          <t>Opening Day</t>
        </is>
      </c>
      <c r="K2839" s="11">
        <f>IFERROR(INDEX(Roles!$B$17:$B$20,MATCH(J2839,Roles!$A$17:$A$20,0)),1)</f>
        <v/>
      </c>
      <c r="L2839" s="17" t="n">
        <v>1</v>
      </c>
      <c r="M2839" s="11" t="n">
        <v>1</v>
      </c>
      <c r="N2839" s="17" t="n"/>
      <c r="O2839" s="17" t="n"/>
      <c r="P2839" s="17" t="n"/>
      <c r="Q2839" s="17" t="n"/>
      <c r="R2839" s="17" t="n"/>
      <c r="S2839" s="17" t="n"/>
      <c r="T2839" s="17" t="n"/>
      <c r="U2839" s="17" t="n">
        <v>0.4</v>
      </c>
      <c r="V2839" s="17" t="n"/>
      <c r="W2839" s="17" t="n">
        <v>0.6</v>
      </c>
      <c r="X2839" s="17" t="n"/>
      <c r="Y2839" s="17" t="n"/>
      <c r="Z2839" s="13">
        <f>SUMPRODUCT(N2839:Y2839,$N$2:$Y$2)*$K2839*$L2839*$M2839</f>
        <v/>
      </c>
      <c r="AA2839" s="14">
        <f>SUM(N2839:Y2839)</f>
        <v/>
      </c>
      <c r="AB2839" s="14">
        <f>IFERROR(IF(UPPER($E2839)="L",SUMPRODUCT(N2839:Y2839,$N$3:$Y$3,$N$2:$Y$2),SUMPRODUCT(N2839:Y2839,$N$4:$Y$4,$N$2:$Y$2))/(Z2839/($K2839*$L2839*$M2839)),"")</f>
        <v/>
      </c>
      <c r="AC2839" s="18" t="n"/>
    </row>
    <row r="2840">
      <c r="A2840" s="9" t="n">
        <v>676812</v>
      </c>
      <c r="B2840" s="9" t="inlineStr">
        <is>
          <t>Carson McCusker</t>
        </is>
      </c>
      <c r="C2840" s="9" t="inlineStr">
        <is>
          <t>MIN</t>
        </is>
      </c>
      <c r="D2840" s="9" t="n">
        <v>29</v>
      </c>
      <c r="E2840" s="16" t="inlineStr">
        <is>
          <t>R</t>
        </is>
      </c>
      <c r="F2840" s="16" t="inlineStr">
        <is>
          <t>RF</t>
        </is>
      </c>
      <c r="G2840" s="9" t="n">
        <v>30</v>
      </c>
      <c r="H2840" s="9" t="n">
        <v>30</v>
      </c>
      <c r="I2840" s="9" t="inlineStr">
        <is>
          <t>Bench Bat</t>
        </is>
      </c>
      <c r="J2840" s="16" t="inlineStr">
        <is>
          <t>Opening Day</t>
        </is>
      </c>
      <c r="K2840" s="11">
        <f>IFERROR(INDEX(Roles!$B$17:$B$20,MATCH(J2840,Roles!$A$17:$A$20,0)),1)</f>
        <v/>
      </c>
      <c r="L2840" s="17" t="n">
        <v>1</v>
      </c>
      <c r="M2840" s="11" t="n">
        <v>1</v>
      </c>
      <c r="N2840" s="17" t="n"/>
      <c r="O2840" s="17" t="n"/>
      <c r="P2840" s="17" t="n"/>
      <c r="Q2840" s="17" t="n"/>
      <c r="R2840" s="17" t="n"/>
      <c r="S2840" s="17" t="n"/>
      <c r="T2840" s="17" t="n"/>
      <c r="U2840" s="17" t="n"/>
      <c r="V2840" s="17" t="n"/>
      <c r="W2840" s="17" t="n">
        <v>1</v>
      </c>
      <c r="X2840" s="17" t="n"/>
      <c r="Y2840" s="17" t="n"/>
      <c r="Z2840" s="13">
        <f>SUMPRODUCT(N2840:Y2840,$N$2:$Y$2)*$K2840*$L2840*$M2840</f>
        <v/>
      </c>
      <c r="AA2840" s="14">
        <f>SUM(N2840:Y2840)</f>
        <v/>
      </c>
      <c r="AB2840" s="14">
        <f>IFERROR(IF(UPPER($E2840)="L",SUMPRODUCT(N2840:Y2840,$N$3:$Y$3,$N$2:$Y$2),SUMPRODUCT(N2840:Y2840,$N$4:$Y$4,$N$2:$Y$2))/(Z2840/($K2840*$L2840*$M2840)),"")</f>
        <v/>
      </c>
      <c r="AC2840" s="18" t="n"/>
    </row>
    <row r="2841">
      <c r="A2841" s="9" t="n">
        <v>543592</v>
      </c>
      <c r="B2841" s="9" t="inlineStr">
        <is>
          <t>Austin Nola</t>
        </is>
      </c>
      <c r="C2841" s="9" t="inlineStr">
        <is>
          <t>COL</t>
        </is>
      </c>
      <c r="D2841" s="9" t="n">
        <v>37</v>
      </c>
      <c r="E2841" s="16" t="inlineStr">
        <is>
          <t>R</t>
        </is>
      </c>
      <c r="F2841" s="16" t="inlineStr">
        <is>
          <t>C</t>
        </is>
      </c>
      <c r="G2841" s="9" t="n">
        <v>41</v>
      </c>
      <c r="H2841" s="9" t="n">
        <v>592</v>
      </c>
      <c r="I2841" s="9" t="inlineStr">
        <is>
          <t>Catcher - Backup</t>
        </is>
      </c>
      <c r="J2841" s="16" t="inlineStr">
        <is>
          <t>Opening Day</t>
        </is>
      </c>
      <c r="K2841" s="11">
        <f>IFERROR(INDEX(Roles!$B$17:$B$20,MATCH(J2841,Roles!$A$17:$A$20,0)),1)</f>
        <v/>
      </c>
      <c r="L2841" s="17" t="n">
        <v>1</v>
      </c>
      <c r="M2841" s="11" t="n">
        <v>1</v>
      </c>
      <c r="N2841" s="17" t="n"/>
      <c r="O2841" s="17" t="n"/>
      <c r="P2841" s="17" t="n"/>
      <c r="Q2841" s="17" t="n"/>
      <c r="R2841" s="17" t="n"/>
      <c r="S2841" s="17" t="n"/>
      <c r="T2841" s="17" t="n">
        <v>1</v>
      </c>
      <c r="U2841" s="17" t="n"/>
      <c r="V2841" s="17" t="n"/>
      <c r="W2841" s="17" t="n"/>
      <c r="X2841" s="17" t="n"/>
      <c r="Y2841" s="17" t="n"/>
      <c r="Z2841" s="13">
        <f>SUMPRODUCT(N2841:Y2841,$N$2:$Y$2)*$K2841*$L2841*$M2841</f>
        <v/>
      </c>
      <c r="AA2841" s="14">
        <f>SUM(N2841:Y2841)</f>
        <v/>
      </c>
      <c r="AB2841" s="14">
        <f>IFERROR(IF(UPPER($E2841)="L",SUMPRODUCT(N2841:Y2841,$N$3:$Y$3,$N$2:$Y$2),SUMPRODUCT(N2841:Y2841,$N$4:$Y$4,$N$2:$Y$2))/(Z2841/($K2841*$L2841*$M2841)),"")</f>
        <v/>
      </c>
      <c r="AC2841" s="18" t="n"/>
    </row>
    <row r="2842">
      <c r="A2842" s="9" t="n">
        <v>645305</v>
      </c>
      <c r="B2842" s="9" t="inlineStr">
        <is>
          <t>Ali Sánchez</t>
        </is>
      </c>
      <c r="C2842" s="9" t="inlineStr">
        <is>
          <t>NYY</t>
        </is>
      </c>
      <c r="D2842" s="9" t="n">
        <v>30</v>
      </c>
      <c r="E2842" s="16" t="inlineStr">
        <is>
          <t>R</t>
        </is>
      </c>
      <c r="F2842" s="16" t="inlineStr">
        <is>
          <t>C</t>
        </is>
      </c>
      <c r="G2842" s="9" t="n">
        <v>92</v>
      </c>
      <c r="H2842" s="9" t="n">
        <v>211</v>
      </c>
      <c r="I2842" s="9" t="inlineStr">
        <is>
          <t>Catcher - Backup</t>
        </is>
      </c>
      <c r="J2842" s="16" t="inlineStr">
        <is>
          <t>Opening Day</t>
        </is>
      </c>
      <c r="K2842" s="11">
        <f>IFERROR(INDEX(Roles!$B$17:$B$20,MATCH(J2842,Roles!$A$17:$A$20,0)),1)</f>
        <v/>
      </c>
      <c r="L2842" s="17" t="n">
        <v>1</v>
      </c>
      <c r="M2842" s="11" t="n">
        <v>1</v>
      </c>
      <c r="N2842" s="17" t="n"/>
      <c r="O2842" s="17" t="n"/>
      <c r="P2842" s="17" t="n"/>
      <c r="Q2842" s="17" t="n"/>
      <c r="R2842" s="17" t="n"/>
      <c r="S2842" s="17" t="n"/>
      <c r="T2842" s="17" t="n">
        <v>0.7</v>
      </c>
      <c r="U2842" s="17" t="n"/>
      <c r="V2842" s="17" t="n"/>
      <c r="W2842" s="17" t="n">
        <v>0.3</v>
      </c>
      <c r="X2842" s="17" t="n"/>
      <c r="Y2842" s="17" t="n"/>
      <c r="Z2842" s="13">
        <f>SUMPRODUCT(N2842:Y2842,$N$2:$Y$2)*$K2842*$L2842*$M2842</f>
        <v/>
      </c>
      <c r="AA2842" s="14">
        <f>SUM(N2842:Y2842)</f>
        <v/>
      </c>
      <c r="AB2842" s="14">
        <f>IFERROR(IF(UPPER($E2842)="L",SUMPRODUCT(N2842:Y2842,$N$3:$Y$3,$N$2:$Y$2),SUMPRODUCT(N2842:Y2842,$N$4:$Y$4,$N$2:$Y$2))/(Z2842/($K2842*$L2842*$M2842)),"")</f>
        <v/>
      </c>
      <c r="AC2842" s="18" t="n"/>
    </row>
    <row r="2843">
      <c r="A2843" s="9" t="n">
        <v>592325</v>
      </c>
      <c r="B2843" s="9" t="inlineStr">
        <is>
          <t>Ben Gamel</t>
        </is>
      </c>
      <c r="C2843" s="9" t="inlineStr">
        <is>
          <t>HOU</t>
        </is>
      </c>
      <c r="D2843" s="9" t="n">
        <v>35</v>
      </c>
      <c r="E2843" s="16" t="inlineStr">
        <is>
          <t>L</t>
        </is>
      </c>
      <c r="F2843" s="16" t="inlineStr">
        <is>
          <t>RF</t>
        </is>
      </c>
      <c r="G2843" s="9" t="n">
        <v>99</v>
      </c>
      <c r="H2843" s="9" t="n">
        <v>537</v>
      </c>
      <c r="I2843" s="9" t="inlineStr">
        <is>
          <t>Depth (no MLB PA)</t>
        </is>
      </c>
      <c r="J2843" s="16" t="inlineStr">
        <is>
          <t>Opening Day</t>
        </is>
      </c>
      <c r="K2843" s="11">
        <f>IFERROR(INDEX(Roles!$B$17:$B$20,MATCH(J2843,Roles!$A$17:$A$20,0)),1)</f>
        <v/>
      </c>
      <c r="L2843" s="17" t="n">
        <v>1</v>
      </c>
      <c r="M2843" s="11" t="n">
        <v>1</v>
      </c>
      <c r="N2843" s="17" t="n"/>
      <c r="O2843" s="17" t="n"/>
      <c r="P2843" s="17" t="n"/>
      <c r="Q2843" s="17" t="n"/>
      <c r="R2843" s="17" t="n"/>
      <c r="S2843" s="17" t="n"/>
      <c r="T2843" s="17" t="n"/>
      <c r="U2843" s="17" t="n"/>
      <c r="V2843" s="17" t="n"/>
      <c r="W2843" s="17" t="n"/>
      <c r="X2843" s="17" t="n"/>
      <c r="Y2843" s="17" t="n">
        <v>1</v>
      </c>
      <c r="Z2843" s="13">
        <f>SUMPRODUCT(N2843:Y2843,$N$2:$Y$2)*$K2843*$L2843*$M2843</f>
        <v/>
      </c>
      <c r="AA2843" s="14">
        <f>SUM(N2843:Y2843)</f>
        <v/>
      </c>
      <c r="AB2843" s="14">
        <f>IFERROR(IF(UPPER($E2843)="L",SUMPRODUCT(N2843:Y2843,$N$3:$Y$3,$N$2:$Y$2),SUMPRODUCT(N2843:Y2843,$N$4:$Y$4,$N$2:$Y$2))/(Z2843/($K2843*$L2843*$M2843)),"")</f>
        <v/>
      </c>
      <c r="AC2843" s="18" t="n"/>
    </row>
    <row r="2844">
      <c r="A2844" s="9" t="n">
        <v>687231</v>
      </c>
      <c r="B2844" s="9" t="inlineStr">
        <is>
          <t>Darell Hernaiz</t>
        </is>
      </c>
      <c r="C2844" s="9" t="inlineStr">
        <is>
          <t>OAK</t>
        </is>
      </c>
      <c r="D2844" s="9" t="n">
        <v>25</v>
      </c>
      <c r="E2844" s="16" t="inlineStr">
        <is>
          <t>R</t>
        </is>
      </c>
      <c r="F2844" s="16" t="inlineStr">
        <is>
          <t>SS</t>
        </is>
      </c>
      <c r="G2844" s="9" t="n">
        <v>157</v>
      </c>
      <c r="H2844" s="9" t="n">
        <v>489</v>
      </c>
      <c r="I2844" s="9" t="inlineStr">
        <is>
          <t>Bench Bat</t>
        </is>
      </c>
      <c r="J2844" s="16" t="inlineStr">
        <is>
          <t>Opening Day</t>
        </is>
      </c>
      <c r="K2844" s="11">
        <f>IFERROR(INDEX(Roles!$B$17:$B$20,MATCH(J2844,Roles!$A$17:$A$20,0)),1)</f>
        <v/>
      </c>
      <c r="L2844" s="17" t="n">
        <v>1</v>
      </c>
      <c r="M2844" s="11" t="n">
        <v>1</v>
      </c>
      <c r="N2844" s="17" t="n"/>
      <c r="O2844" s="17" t="n"/>
      <c r="P2844" s="17" t="n"/>
      <c r="Q2844" s="17" t="n"/>
      <c r="R2844" s="17" t="n"/>
      <c r="S2844" s="17" t="n"/>
      <c r="T2844" s="17" t="n"/>
      <c r="U2844" s="17" t="n"/>
      <c r="V2844" s="17" t="n"/>
      <c r="W2844" s="17" t="n">
        <v>1</v>
      </c>
      <c r="X2844" s="17" t="n"/>
      <c r="Y2844" s="17" t="n"/>
      <c r="Z2844" s="13">
        <f>SUMPRODUCT(N2844:Y2844,$N$2:$Y$2)*$K2844*$L2844*$M2844</f>
        <v/>
      </c>
      <c r="AA2844" s="14">
        <f>SUM(N2844:Y2844)</f>
        <v/>
      </c>
      <c r="AB2844" s="14">
        <f>IFERROR(IF(UPPER($E2844)="L",SUMPRODUCT(N2844:Y2844,$N$3:$Y$3,$N$2:$Y$2),SUMPRODUCT(N2844:Y2844,$N$4:$Y$4,$N$2:$Y$2))/(Z2844/($K2844*$L2844*$M2844)),"")</f>
        <v/>
      </c>
      <c r="AC2844" s="18" t="n"/>
    </row>
    <row r="2845">
      <c r="A2845" s="9" t="n">
        <v>682073</v>
      </c>
      <c r="B2845" s="9" t="inlineStr">
        <is>
          <t>David Hensley</t>
        </is>
      </c>
      <c r="C2845" s="9" t="inlineStr">
        <is>
          <t>MIA</t>
        </is>
      </c>
      <c r="D2845" s="9" t="n">
        <v>31</v>
      </c>
      <c r="E2845" s="16" t="inlineStr">
        <is>
          <t>R</t>
        </is>
      </c>
      <c r="F2845" s="16" t="inlineStr">
        <is>
          <t>RF</t>
        </is>
      </c>
      <c r="G2845" s="9" t="n">
        <v>58</v>
      </c>
      <c r="H2845" s="9" t="n">
        <v>186</v>
      </c>
      <c r="I2845" s="9" t="inlineStr">
        <is>
          <t>Depth (no MLB PA)</t>
        </is>
      </c>
      <c r="J2845" s="16" t="inlineStr">
        <is>
          <t>Opening Day</t>
        </is>
      </c>
      <c r="K2845" s="11">
        <f>IFERROR(INDEX(Roles!$B$17:$B$20,MATCH(J2845,Roles!$A$17:$A$20,0)),1)</f>
        <v/>
      </c>
      <c r="L2845" s="17" t="n">
        <v>1</v>
      </c>
      <c r="M2845" s="11" t="n">
        <v>1</v>
      </c>
      <c r="N2845" s="17" t="n"/>
      <c r="O2845" s="17" t="n"/>
      <c r="P2845" s="17" t="n"/>
      <c r="Q2845" s="17" t="n"/>
      <c r="R2845" s="17" t="n"/>
      <c r="S2845" s="17" t="n"/>
      <c r="T2845" s="17" t="n"/>
      <c r="U2845" s="17" t="n"/>
      <c r="V2845" s="17" t="n"/>
      <c r="W2845" s="17" t="n"/>
      <c r="X2845" s="17" t="n"/>
      <c r="Y2845" s="17" t="n">
        <v>1</v>
      </c>
      <c r="Z2845" s="13">
        <f>SUMPRODUCT(N2845:Y2845,$N$2:$Y$2)*$K2845*$L2845*$M2845</f>
        <v/>
      </c>
      <c r="AA2845" s="14">
        <f>SUM(N2845:Y2845)</f>
        <v/>
      </c>
      <c r="AB2845" s="14">
        <f>IFERROR(IF(UPPER($E2845)="L",SUMPRODUCT(N2845:Y2845,$N$3:$Y$3,$N$2:$Y$2),SUMPRODUCT(N2845:Y2845,$N$4:$Y$4,$N$2:$Y$2))/(Z2845/($K2845*$L2845*$M2845)),"")</f>
        <v/>
      </c>
      <c r="AC2845" s="18" t="n"/>
    </row>
    <row r="2846">
      <c r="A2846" s="9" t="n">
        <v>543685</v>
      </c>
      <c r="B2846" s="9" t="inlineStr">
        <is>
          <t>Anthony Rendon</t>
        </is>
      </c>
      <c r="C2846" s="9" t="inlineStr">
        <is>
          <t>LAA</t>
        </is>
      </c>
      <c r="D2846" s="9" t="n">
        <v>37</v>
      </c>
      <c r="E2846" s="16" t="inlineStr">
        <is>
          <t>R</t>
        </is>
      </c>
      <c r="F2846" s="16" t="inlineStr">
        <is>
          <t>3B</t>
        </is>
      </c>
      <c r="G2846" s="9" t="n">
        <v>238</v>
      </c>
      <c r="H2846" s="9" t="n">
        <v>614</v>
      </c>
      <c r="I2846" s="9" t="inlineStr">
        <is>
          <t>Bench Bat</t>
        </is>
      </c>
      <c r="J2846" s="16" t="inlineStr">
        <is>
          <t>Opening Day</t>
        </is>
      </c>
      <c r="K2846" s="11">
        <f>IFERROR(INDEX(Roles!$B$17:$B$20,MATCH(J2846,Roles!$A$17:$A$20,0)),1)</f>
        <v/>
      </c>
      <c r="L2846" s="17" t="n">
        <v>1</v>
      </c>
      <c r="M2846" s="11" t="n">
        <v>1</v>
      </c>
      <c r="N2846" s="17" t="n"/>
      <c r="O2846" s="17" t="n"/>
      <c r="P2846" s="17" t="n"/>
      <c r="Q2846" s="17" t="n"/>
      <c r="R2846" s="17" t="n"/>
      <c r="S2846" s="17" t="n"/>
      <c r="T2846" s="17" t="n"/>
      <c r="U2846" s="17" t="n"/>
      <c r="V2846" s="17" t="n"/>
      <c r="W2846" s="17" t="n">
        <v>0.7</v>
      </c>
      <c r="X2846" s="17" t="n">
        <v>0.3</v>
      </c>
      <c r="Y2846" s="17" t="n"/>
      <c r="Z2846" s="13">
        <f>SUMPRODUCT(N2846:Y2846,$N$2:$Y$2)*$K2846*$L2846*$M2846</f>
        <v/>
      </c>
      <c r="AA2846" s="14">
        <f>SUM(N2846:Y2846)</f>
        <v/>
      </c>
      <c r="AB2846" s="14">
        <f>IFERROR(IF(UPPER($E2846)="L",SUMPRODUCT(N2846:Y2846,$N$3:$Y$3,$N$2:$Y$2),SUMPRODUCT(N2846:Y2846,$N$4:$Y$4,$N$2:$Y$2))/(Z2846/($K2846*$L2846*$M2846)),"")</f>
        <v/>
      </c>
      <c r="AC2846" s="18" t="n"/>
    </row>
    <row r="2847">
      <c r="A2847" s="9" t="n">
        <v>670764</v>
      </c>
      <c r="B2847" s="9" t="inlineStr">
        <is>
          <t>Taylor Walls</t>
        </is>
      </c>
      <c r="C2847" s="9" t="inlineStr">
        <is>
          <t>TB</t>
        </is>
      </c>
      <c r="D2847" s="9" t="n">
        <v>30</v>
      </c>
      <c r="E2847" s="16" t="inlineStr">
        <is>
          <t>S</t>
        </is>
      </c>
      <c r="F2847" s="16" t="inlineStr">
        <is>
          <t>SS</t>
        </is>
      </c>
      <c r="G2847" s="9" t="n">
        <v>433</v>
      </c>
      <c r="H2847" s="9" t="n">
        <v>1817</v>
      </c>
      <c r="I2847" s="9" t="inlineStr">
        <is>
          <t>Full Time</t>
        </is>
      </c>
      <c r="J2847" s="16" t="inlineStr">
        <is>
          <t>Opening Day</t>
        </is>
      </c>
      <c r="K2847" s="11">
        <f>IFERROR(INDEX(Roles!$B$17:$B$20,MATCH(J2847,Roles!$A$17:$A$20,0)),1)</f>
        <v/>
      </c>
      <c r="L2847" s="17" t="n">
        <v>1</v>
      </c>
      <c r="M2847" s="11" t="n">
        <v>0.9321527781864758</v>
      </c>
      <c r="N2847" s="17" t="n">
        <v>0.58</v>
      </c>
      <c r="O2847" s="17" t="n"/>
      <c r="P2847" s="17" t="n">
        <v>0.42</v>
      </c>
      <c r="Q2847" s="17" t="n"/>
      <c r="R2847" s="17" t="n"/>
      <c r="S2847" s="17" t="n"/>
      <c r="T2847" s="17" t="n"/>
      <c r="U2847" s="17" t="n"/>
      <c r="V2847" s="17" t="n"/>
      <c r="W2847" s="17" t="n"/>
      <c r="X2847" s="17" t="n"/>
      <c r="Y2847" s="17" t="n"/>
      <c r="Z2847" s="13">
        <f>SUMPRODUCT(N2847:Y2847,$N$2:$Y$2)*$K2847*$L2847*$M2847</f>
        <v/>
      </c>
      <c r="AA2847" s="14">
        <f>SUM(N2847:Y2847)</f>
        <v/>
      </c>
      <c r="AB2847" s="14">
        <f>IFERROR(IF(UPPER($E2847)="L",SUMPRODUCT(N2847:Y2847,$N$3:$Y$3,$N$2:$Y$2),SUMPRODUCT(N2847:Y2847,$N$4:$Y$4,$N$2:$Y$2))/(Z2847/($K2847*$L2847*$M2847)),"")</f>
        <v/>
      </c>
      <c r="AC2847" s="18" t="n"/>
    </row>
    <row r="2848">
      <c r="A2848" s="9" t="n">
        <v>683083</v>
      </c>
      <c r="B2848" s="9" t="inlineStr">
        <is>
          <t>Nasim Nuñez</t>
        </is>
      </c>
      <c r="C2848" s="9" t="inlineStr">
        <is>
          <t>WSH</t>
        </is>
      </c>
      <c r="D2848" s="9" t="n">
        <v>26</v>
      </c>
      <c r="E2848" s="16" t="inlineStr">
        <is>
          <t>S</t>
        </is>
      </c>
      <c r="F2848" s="16" t="inlineStr">
        <is>
          <t>2B</t>
        </is>
      </c>
      <c r="G2848" s="9" t="n">
        <v>493</v>
      </c>
      <c r="H2848" s="9" t="n">
        <v>663</v>
      </c>
      <c r="I2848" s="9" t="inlineStr">
        <is>
          <t>Weak Side Platoon</t>
        </is>
      </c>
      <c r="J2848" s="16" t="inlineStr">
        <is>
          <t>Opening Day</t>
        </is>
      </c>
      <c r="K2848" s="11">
        <f>IFERROR(INDEX(Roles!$B$17:$B$20,MATCH(J2848,Roles!$A$17:$A$20,0)),1)</f>
        <v/>
      </c>
      <c r="L2848" s="17" t="n">
        <v>1</v>
      </c>
      <c r="M2848" s="11" t="n">
        <v>1.00731773159688</v>
      </c>
      <c r="N2848" s="17" t="n">
        <v>0.4</v>
      </c>
      <c r="O2848" s="17" t="n"/>
      <c r="P2848" s="17" t="n"/>
      <c r="Q2848" s="17" t="n">
        <v>0.6</v>
      </c>
      <c r="R2848" s="17" t="n"/>
      <c r="S2848" s="17" t="n"/>
      <c r="T2848" s="17" t="n"/>
      <c r="U2848" s="17" t="n"/>
      <c r="V2848" s="17" t="n"/>
      <c r="W2848" s="17" t="n"/>
      <c r="X2848" s="17" t="n"/>
      <c r="Y2848" s="17" t="n"/>
      <c r="Z2848" s="13">
        <f>SUMPRODUCT(N2848:Y2848,$N$2:$Y$2)*$K2848*$L2848*$M2848</f>
        <v/>
      </c>
      <c r="AA2848" s="14">
        <f>SUM(N2848:Y2848)</f>
        <v/>
      </c>
      <c r="AB2848" s="14">
        <f>IFERROR(IF(UPPER($E2848)="L",SUMPRODUCT(N2848:Y2848,$N$3:$Y$3,$N$2:$Y$2),SUMPRODUCT(N2848:Y2848,$N$4:$Y$4,$N$2:$Y$2))/(Z2848/($K2848*$L2848*$M2848)),"")</f>
        <v/>
      </c>
      <c r="AC2848" s="18" t="n"/>
    </row>
    <row r="2849">
      <c r="A2849" s="9" t="n">
        <v>690291</v>
      </c>
      <c r="B2849" s="9" t="inlineStr">
        <is>
          <t>Jace Jung</t>
        </is>
      </c>
      <c r="C2849" s="9" t="inlineStr">
        <is>
          <t>DET</t>
        </is>
      </c>
      <c r="D2849" s="9" t="n">
        <v>26</v>
      </c>
      <c r="E2849" s="16" t="inlineStr">
        <is>
          <t>L</t>
        </is>
      </c>
      <c r="F2849" s="16" t="inlineStr">
        <is>
          <t>2B</t>
        </is>
      </c>
      <c r="G2849" s="9" t="n">
        <v>11</v>
      </c>
      <c r="H2849" s="9" t="n">
        <v>160</v>
      </c>
      <c r="I2849" s="9" t="inlineStr">
        <is>
          <t>Bench Bat</t>
        </is>
      </c>
      <c r="J2849" s="16" t="inlineStr">
        <is>
          <t>Opening Day</t>
        </is>
      </c>
      <c r="K2849" s="11">
        <f>IFERROR(INDEX(Roles!$B$17:$B$20,MATCH(J2849,Roles!$A$17:$A$20,0)),1)</f>
        <v/>
      </c>
      <c r="L2849" s="17" t="n">
        <v>1</v>
      </c>
      <c r="M2849" s="11" t="n">
        <v>1</v>
      </c>
      <c r="N2849" s="17" t="n"/>
      <c r="O2849" s="17" t="n"/>
      <c r="P2849" s="17" t="n"/>
      <c r="Q2849" s="17" t="n"/>
      <c r="R2849" s="17" t="n"/>
      <c r="S2849" s="17" t="n"/>
      <c r="T2849" s="17" t="n"/>
      <c r="U2849" s="17" t="n">
        <v>0.4</v>
      </c>
      <c r="V2849" s="17" t="n"/>
      <c r="W2849" s="17" t="n">
        <v>0.6</v>
      </c>
      <c r="X2849" s="17" t="n"/>
      <c r="Y2849" s="17" t="n"/>
      <c r="Z2849" s="13">
        <f>SUMPRODUCT(N2849:Y2849,$N$2:$Y$2)*$K2849*$L2849*$M2849</f>
        <v/>
      </c>
      <c r="AA2849" s="14">
        <f>SUM(N2849:Y2849)</f>
        <v/>
      </c>
      <c r="AB2849" s="14">
        <f>IFERROR(IF(UPPER($E2849)="L",SUMPRODUCT(N2849:Y2849,$N$3:$Y$3,$N$2:$Y$2),SUMPRODUCT(N2849:Y2849,$N$4:$Y$4,$N$2:$Y$2))/(Z2849/($K2849*$L2849*$M2849)),"")</f>
        <v/>
      </c>
      <c r="AC2849" s="18" t="n"/>
    </row>
    <row r="2850">
      <c r="A2850" s="9" t="n">
        <v>691373</v>
      </c>
      <c r="B2850" s="9" t="inlineStr">
        <is>
          <t>Jhostynxon Garcia</t>
        </is>
      </c>
      <c r="C2850" s="9" t="inlineStr">
        <is>
          <t>PIT</t>
        </is>
      </c>
      <c r="D2850" s="9" t="n">
        <v>24</v>
      </c>
      <c r="E2850" s="16" t="inlineStr">
        <is>
          <t>R</t>
        </is>
      </c>
      <c r="F2850" s="16" t="inlineStr">
        <is>
          <t>CF</t>
        </is>
      </c>
      <c r="G2850" s="9" t="n">
        <v>50</v>
      </c>
      <c r="H2850" s="9" t="n">
        <v>59</v>
      </c>
      <c r="I2850" s="9" t="inlineStr">
        <is>
          <t>Injury Replacement / 26th Man</t>
        </is>
      </c>
      <c r="J2850" s="16" t="inlineStr">
        <is>
          <t>Opening Day</t>
        </is>
      </c>
      <c r="K2850" s="11">
        <f>IFERROR(INDEX(Roles!$B$17:$B$20,MATCH(J2850,Roles!$A$17:$A$20,0)),1)</f>
        <v/>
      </c>
      <c r="L2850" s="17" t="n">
        <v>1</v>
      </c>
      <c r="M2850" s="11" t="n">
        <v>1</v>
      </c>
      <c r="N2850" s="17" t="n"/>
      <c r="O2850" s="17" t="n"/>
      <c r="P2850" s="17" t="n"/>
      <c r="Q2850" s="17" t="n"/>
      <c r="R2850" s="17" t="n"/>
      <c r="S2850" s="17" t="n"/>
      <c r="T2850" s="17" t="n"/>
      <c r="U2850" s="17" t="n"/>
      <c r="V2850" s="17" t="n"/>
      <c r="W2850" s="17" t="n"/>
      <c r="X2850" s="17" t="n">
        <v>1</v>
      </c>
      <c r="Y2850" s="17" t="n"/>
      <c r="Z2850" s="13">
        <f>SUMPRODUCT(N2850:Y2850,$N$2:$Y$2)*$K2850*$L2850*$M2850</f>
        <v/>
      </c>
      <c r="AA2850" s="14">
        <f>SUM(N2850:Y2850)</f>
        <v/>
      </c>
      <c r="AB2850" s="14">
        <f>IFERROR(IF(UPPER($E2850)="L",SUMPRODUCT(N2850:Y2850,$N$3:$Y$3,$N$2:$Y$2),SUMPRODUCT(N2850:Y2850,$N$4:$Y$4,$N$2:$Y$2))/(Z2850/($K2850*$L2850*$M2850)),"")</f>
        <v/>
      </c>
      <c r="AC2850" s="18" t="n"/>
    </row>
    <row r="2851">
      <c r="A2851" s="9" t="n">
        <v>810938</v>
      </c>
      <c r="B2851" s="9" t="inlineStr">
        <is>
          <t>Ben Williamson</t>
        </is>
      </c>
      <c r="C2851" s="9" t="inlineStr">
        <is>
          <t>TB</t>
        </is>
      </c>
      <c r="D2851" s="9" t="n">
        <v>26</v>
      </c>
      <c r="E2851" s="16" t="inlineStr">
        <is>
          <t>R</t>
        </is>
      </c>
      <c r="F2851" s="16" t="inlineStr">
        <is>
          <t>2B</t>
        </is>
      </c>
      <c r="G2851" s="9" t="n">
        <v>286</v>
      </c>
      <c r="H2851" s="9" t="n">
        <v>581</v>
      </c>
      <c r="I2851" s="9" t="inlineStr">
        <is>
          <t>Bench Bat</t>
        </is>
      </c>
      <c r="J2851" s="16" t="inlineStr">
        <is>
          <t>Opening Day</t>
        </is>
      </c>
      <c r="K2851" s="11">
        <f>IFERROR(INDEX(Roles!$B$17:$B$20,MATCH(J2851,Roles!$A$17:$A$20,0)),1)</f>
        <v/>
      </c>
      <c r="L2851" s="17" t="n">
        <v>1</v>
      </c>
      <c r="M2851" s="11" t="n">
        <v>1</v>
      </c>
      <c r="N2851" s="17" t="n"/>
      <c r="O2851" s="17" t="n"/>
      <c r="P2851" s="17" t="n"/>
      <c r="Q2851" s="17" t="n"/>
      <c r="R2851" s="17" t="n"/>
      <c r="S2851" s="17" t="n"/>
      <c r="T2851" s="17" t="n"/>
      <c r="U2851" s="17" t="n">
        <v>0.4</v>
      </c>
      <c r="V2851" s="17" t="n"/>
      <c r="W2851" s="17" t="n">
        <v>0.6</v>
      </c>
      <c r="X2851" s="17" t="n"/>
      <c r="Y2851" s="17" t="n"/>
      <c r="Z2851" s="13">
        <f>SUMPRODUCT(N2851:Y2851,$N$2:$Y$2)*$K2851*$L2851*$M2851</f>
        <v/>
      </c>
      <c r="AA2851" s="14">
        <f>SUM(N2851:Y2851)</f>
        <v/>
      </c>
      <c r="AB2851" s="14">
        <f>IFERROR(IF(UPPER($E2851)="L",SUMPRODUCT(N2851:Y2851,$N$3:$Y$3,$N$2:$Y$2),SUMPRODUCT(N2851:Y2851,$N$4:$Y$4,$N$2:$Y$2))/(Z2851/($K2851*$L2851*$M2851)),"")</f>
        <v/>
      </c>
      <c r="AC2851" s="18" t="n"/>
    </row>
    <row r="2852">
      <c r="A2852" s="9" t="n">
        <v>656896</v>
      </c>
      <c r="B2852" s="9" t="inlineStr">
        <is>
          <t>Emmanuel Rivera</t>
        </is>
      </c>
      <c r="C2852" s="9" t="inlineStr">
        <is>
          <t>BAL</t>
        </is>
      </c>
      <c r="D2852" s="9" t="n">
        <v>31</v>
      </c>
      <c r="E2852" s="16" t="inlineStr">
        <is>
          <t>R</t>
        </is>
      </c>
      <c r="F2852" s="16" t="inlineStr">
        <is>
          <t>3B</t>
        </is>
      </c>
      <c r="G2852" s="9" t="n">
        <v>127</v>
      </c>
      <c r="H2852" s="9" t="n">
        <v>1071</v>
      </c>
      <c r="I2852" s="9" t="inlineStr">
        <is>
          <t>Bench Bat</t>
        </is>
      </c>
      <c r="J2852" s="16" t="inlineStr">
        <is>
          <t>Opening Day</t>
        </is>
      </c>
      <c r="K2852" s="11">
        <f>IFERROR(INDEX(Roles!$B$17:$B$20,MATCH(J2852,Roles!$A$17:$A$20,0)),1)</f>
        <v/>
      </c>
      <c r="L2852" s="17" t="n">
        <v>1</v>
      </c>
      <c r="M2852" s="11" t="n">
        <v>0.8995167958312686</v>
      </c>
      <c r="N2852" s="17" t="n"/>
      <c r="O2852" s="17" t="n"/>
      <c r="P2852" s="17" t="n"/>
      <c r="Q2852" s="17" t="n"/>
      <c r="R2852" s="17" t="n"/>
      <c r="S2852" s="17" t="n"/>
      <c r="T2852" s="17" t="n"/>
      <c r="U2852" s="17" t="n"/>
      <c r="V2852" s="17" t="n"/>
      <c r="W2852" s="17" t="n">
        <v>1</v>
      </c>
      <c r="X2852" s="17" t="n"/>
      <c r="Y2852" s="17" t="n"/>
      <c r="Z2852" s="13">
        <f>SUMPRODUCT(N2852:Y2852,$N$2:$Y$2)*$K2852*$L2852*$M2852</f>
        <v/>
      </c>
      <c r="AA2852" s="14">
        <f>SUM(N2852:Y2852)</f>
        <v/>
      </c>
      <c r="AB2852" s="14">
        <f>IFERROR(IF(UPPER($E2852)="L",SUMPRODUCT(N2852:Y2852,$N$3:$Y$3,$N$2:$Y$2),SUMPRODUCT(N2852:Y2852,$N$4:$Y$4,$N$2:$Y$2))/(Z2852/($K2852*$L2852*$M2852)),"")</f>
        <v/>
      </c>
      <c r="AC2852" s="18" t="n"/>
    </row>
    <row r="2853">
      <c r="A2853" s="9" t="n">
        <v>669364</v>
      </c>
      <c r="B2853" s="9" t="inlineStr">
        <is>
          <t>Xavier Edwards</t>
        </is>
      </c>
      <c r="C2853" s="9" t="inlineStr">
        <is>
          <t>MIA</t>
        </is>
      </c>
      <c r="D2853" s="9" t="n">
        <v>27</v>
      </c>
      <c r="E2853" s="16" t="inlineStr">
        <is>
          <t>S</t>
        </is>
      </c>
      <c r="F2853" s="16" t="inlineStr">
        <is>
          <t>2B</t>
        </is>
      </c>
      <c r="G2853" s="9" t="n">
        <v>595</v>
      </c>
      <c r="H2853" s="9" t="n">
        <v>1601</v>
      </c>
      <c r="I2853" s="9" t="inlineStr">
        <is>
          <t>Full Time</t>
        </is>
      </c>
      <c r="J2853" s="16" t="inlineStr">
        <is>
          <t>Opening Day</t>
        </is>
      </c>
      <c r="K2853" s="11">
        <f>IFERROR(INDEX(Roles!$B$17:$B$20,MATCH(J2853,Roles!$A$17:$A$20,0)),1)</f>
        <v/>
      </c>
      <c r="L2853" s="17" t="n">
        <v>1</v>
      </c>
      <c r="M2853" s="11" t="n">
        <v>1.026497699630275</v>
      </c>
      <c r="N2853" s="17" t="n">
        <v>1</v>
      </c>
      <c r="O2853" s="17" t="n"/>
      <c r="P2853" s="17" t="n"/>
      <c r="Q2853" s="17" t="n"/>
      <c r="R2853" s="17" t="n"/>
      <c r="S2853" s="17" t="n"/>
      <c r="T2853" s="17" t="n"/>
      <c r="U2853" s="17" t="n"/>
      <c r="V2853" s="17" t="n"/>
      <c r="W2853" s="17" t="n"/>
      <c r="X2853" s="17" t="n"/>
      <c r="Y2853" s="17" t="n"/>
      <c r="Z2853" s="13">
        <f>SUMPRODUCT(N2853:Y2853,$N$2:$Y$2)*$K2853*$L2853*$M2853</f>
        <v/>
      </c>
      <c r="AA2853" s="14">
        <f>SUM(N2853:Y2853)</f>
        <v/>
      </c>
      <c r="AB2853" s="14">
        <f>IFERROR(IF(UPPER($E2853)="L",SUMPRODUCT(N2853:Y2853,$N$3:$Y$3,$N$2:$Y$2),SUMPRODUCT(N2853:Y2853,$N$4:$Y$4,$N$2:$Y$2))/(Z2853/($K2853*$L2853*$M2853)),"")</f>
        <v/>
      </c>
      <c r="AC2853" s="18" t="n"/>
    </row>
    <row r="2854">
      <c r="A2854" s="9" t="n">
        <v>702222</v>
      </c>
      <c r="B2854" s="9" t="inlineStr">
        <is>
          <t>Justin Crawford</t>
        </is>
      </c>
      <c r="C2854" s="9" t="inlineStr">
        <is>
          <t>PHI</t>
        </is>
      </c>
      <c r="D2854" s="9" t="n">
        <v>23</v>
      </c>
      <c r="E2854" s="16" t="inlineStr">
        <is>
          <t>L</t>
        </is>
      </c>
      <c r="F2854" s="16" t="inlineStr">
        <is>
          <t>CF</t>
        </is>
      </c>
      <c r="G2854" s="9" t="n">
        <v>465</v>
      </c>
      <c r="H2854" s="9" t="n">
        <v>465</v>
      </c>
      <c r="I2854" s="9" t="inlineStr">
        <is>
          <t>Strong Side Platoon</t>
        </is>
      </c>
      <c r="J2854" s="16" t="inlineStr">
        <is>
          <t>Opening Day</t>
        </is>
      </c>
      <c r="K2854" s="11">
        <f>IFERROR(INDEX(Roles!$B$17:$B$20,MATCH(J2854,Roles!$A$17:$A$20,0)),1)</f>
        <v/>
      </c>
      <c r="L2854" s="17" t="n">
        <v>1</v>
      </c>
      <c r="M2854" s="11" t="n">
        <v>1.09316821332294</v>
      </c>
      <c r="N2854" s="17" t="n">
        <v>0.4</v>
      </c>
      <c r="O2854" s="17" t="n"/>
      <c r="P2854" s="17" t="n">
        <v>0.6</v>
      </c>
      <c r="Q2854" s="17" t="n"/>
      <c r="R2854" s="17" t="n"/>
      <c r="S2854" s="17" t="n"/>
      <c r="T2854" s="17" t="n"/>
      <c r="U2854" s="17" t="n"/>
      <c r="V2854" s="17" t="n"/>
      <c r="W2854" s="17" t="n"/>
      <c r="X2854" s="17" t="n"/>
      <c r="Y2854" s="17" t="n"/>
      <c r="Z2854" s="13">
        <f>SUMPRODUCT(N2854:Y2854,$N$2:$Y$2)*$K2854*$L2854*$M2854</f>
        <v/>
      </c>
      <c r="AA2854" s="14">
        <f>SUM(N2854:Y2854)</f>
        <v/>
      </c>
      <c r="AB2854" s="14">
        <f>IFERROR(IF(UPPER($E2854)="L",SUMPRODUCT(N2854:Y2854,$N$3:$Y$3,$N$2:$Y$2),SUMPRODUCT(N2854:Y2854,$N$4:$Y$4,$N$2:$Y$2))/(Z2854/($K2854*$L2854*$M2854)),"")</f>
        <v/>
      </c>
      <c r="AC2854" s="18" t="n"/>
    </row>
    <row r="2855">
      <c r="A2855" s="9" t="n">
        <v>553882</v>
      </c>
      <c r="B2855" s="9" t="inlineStr">
        <is>
          <t>Omar Narváez</t>
        </is>
      </c>
      <c r="C2855" s="9" t="inlineStr">
        <is>
          <t>NYM</t>
        </is>
      </c>
      <c r="D2855" s="9" t="n">
        <v>35</v>
      </c>
      <c r="E2855" s="16" t="inlineStr">
        <is>
          <t>L</t>
        </is>
      </c>
      <c r="F2855" s="16" t="inlineStr">
        <is>
          <t>C</t>
        </is>
      </c>
      <c r="G2855" s="9" t="n">
        <v>10</v>
      </c>
      <c r="H2855" s="9" t="n">
        <v>521</v>
      </c>
      <c r="I2855" s="9" t="inlineStr">
        <is>
          <t>Depth (no MLB PA)</t>
        </is>
      </c>
      <c r="J2855" s="16" t="inlineStr">
        <is>
          <t>Opening Day</t>
        </is>
      </c>
      <c r="K2855" s="11">
        <f>IFERROR(INDEX(Roles!$B$17:$B$20,MATCH(J2855,Roles!$A$17:$A$20,0)),1)</f>
        <v/>
      </c>
      <c r="L2855" s="17" t="n">
        <v>1</v>
      </c>
      <c r="M2855" s="11" t="n">
        <v>1</v>
      </c>
      <c r="N2855" s="17" t="n"/>
      <c r="O2855" s="17" t="n"/>
      <c r="P2855" s="17" t="n"/>
      <c r="Q2855" s="17" t="n"/>
      <c r="R2855" s="17" t="n"/>
      <c r="S2855" s="17" t="n"/>
      <c r="T2855" s="17" t="n"/>
      <c r="U2855" s="17" t="n"/>
      <c r="V2855" s="17" t="n"/>
      <c r="W2855" s="17" t="n"/>
      <c r="X2855" s="17" t="n"/>
      <c r="Y2855" s="17" t="n">
        <v>1</v>
      </c>
      <c r="Z2855" s="13">
        <f>SUMPRODUCT(N2855:Y2855,$N$2:$Y$2)*$K2855*$L2855*$M2855</f>
        <v/>
      </c>
      <c r="AA2855" s="14">
        <f>SUM(N2855:Y2855)</f>
        <v/>
      </c>
      <c r="AB2855" s="14">
        <f>IFERROR(IF(UPPER($E2855)="L",SUMPRODUCT(N2855:Y2855,$N$3:$Y$3,$N$2:$Y$2),SUMPRODUCT(N2855:Y2855,$N$4:$Y$4,$N$2:$Y$2))/(Z2855/($K2855*$L2855*$M2855)),"")</f>
        <v/>
      </c>
      <c r="AC2855" s="18" t="n"/>
    </row>
    <row r="2856">
      <c r="A2856" s="9" t="n">
        <v>696030</v>
      </c>
      <c r="B2856" s="9" t="inlineStr">
        <is>
          <t>Alejandro Osuna</t>
        </is>
      </c>
      <c r="C2856" s="9" t="inlineStr">
        <is>
          <t>TEX</t>
        </is>
      </c>
      <c r="D2856" s="9" t="n">
        <v>24</v>
      </c>
      <c r="E2856" s="16" t="inlineStr">
        <is>
          <t>L</t>
        </is>
      </c>
      <c r="F2856" s="16" t="inlineStr">
        <is>
          <t>LF</t>
        </is>
      </c>
      <c r="G2856" s="9" t="n">
        <v>233</v>
      </c>
      <c r="H2856" s="9" t="n">
        <v>409</v>
      </c>
      <c r="I2856" s="9" t="inlineStr">
        <is>
          <t>Strong Side Platoon</t>
        </is>
      </c>
      <c r="J2856" s="16" t="inlineStr">
        <is>
          <t>Opening Day</t>
        </is>
      </c>
      <c r="K2856" s="11">
        <f>IFERROR(INDEX(Roles!$B$17:$B$20,MATCH(J2856,Roles!$A$17:$A$20,0)),1)</f>
        <v/>
      </c>
      <c r="L2856" s="17" t="n">
        <v>1</v>
      </c>
      <c r="M2856" s="11" t="n">
        <v>1</v>
      </c>
      <c r="N2856" s="17" t="n"/>
      <c r="O2856" s="17" t="n"/>
      <c r="P2856" s="17" t="n">
        <v>0.6</v>
      </c>
      <c r="Q2856" s="17" t="n"/>
      <c r="R2856" s="17" t="n"/>
      <c r="S2856" s="17" t="n"/>
      <c r="T2856" s="17" t="n"/>
      <c r="U2856" s="17" t="n"/>
      <c r="V2856" s="17" t="n">
        <v>0.4</v>
      </c>
      <c r="W2856" s="17" t="n"/>
      <c r="X2856" s="17" t="n"/>
      <c r="Y2856" s="17" t="n"/>
      <c r="Z2856" s="13">
        <f>SUMPRODUCT(N2856:Y2856,$N$2:$Y$2)*$K2856*$L2856*$M2856</f>
        <v/>
      </c>
      <c r="AA2856" s="14">
        <f>SUM(N2856:Y2856)</f>
        <v/>
      </c>
      <c r="AB2856" s="14">
        <f>IFERROR(IF(UPPER($E2856)="L",SUMPRODUCT(N2856:Y2856,$N$3:$Y$3,$N$2:$Y$2),SUMPRODUCT(N2856:Y2856,$N$4:$Y$4,$N$2:$Y$2))/(Z2856/($K2856*$L2856*$M2856)),"")</f>
        <v/>
      </c>
      <c r="AC2856" s="18" t="n"/>
    </row>
    <row r="2857">
      <c r="A2857" s="9" t="n">
        <v>683021</v>
      </c>
      <c r="B2857" s="9" t="inlineStr">
        <is>
          <t>Michael Stefanic</t>
        </is>
      </c>
      <c r="C2857" s="9" t="inlineStr">
        <is>
          <t>OAK</t>
        </is>
      </c>
      <c r="D2857" s="9" t="n">
        <v>31</v>
      </c>
      <c r="E2857" s="16" t="inlineStr">
        <is>
          <t>R</t>
        </is>
      </c>
      <c r="F2857" s="16" t="inlineStr">
        <is>
          <t>2B</t>
        </is>
      </c>
      <c r="G2857" s="9" t="n">
        <v>29</v>
      </c>
      <c r="H2857" s="9" t="n">
        <v>318</v>
      </c>
      <c r="I2857" s="9" t="inlineStr">
        <is>
          <t>Bench Bat</t>
        </is>
      </c>
      <c r="J2857" s="16" t="inlineStr">
        <is>
          <t>Opening Day</t>
        </is>
      </c>
      <c r="K2857" s="11">
        <f>IFERROR(INDEX(Roles!$B$17:$B$20,MATCH(J2857,Roles!$A$17:$A$20,0)),1)</f>
        <v/>
      </c>
      <c r="L2857" s="17" t="n">
        <v>1</v>
      </c>
      <c r="M2857" s="11" t="n">
        <v>1</v>
      </c>
      <c r="N2857" s="17" t="n"/>
      <c r="O2857" s="17" t="n"/>
      <c r="P2857" s="17" t="n"/>
      <c r="Q2857" s="17" t="n"/>
      <c r="R2857" s="17" t="n"/>
      <c r="S2857" s="17" t="n"/>
      <c r="T2857" s="17" t="n"/>
      <c r="U2857" s="17" t="n">
        <v>0.4</v>
      </c>
      <c r="V2857" s="17" t="n"/>
      <c r="W2857" s="17" t="n">
        <v>0.6</v>
      </c>
      <c r="X2857" s="17" t="n"/>
      <c r="Y2857" s="17" t="n"/>
      <c r="Z2857" s="13">
        <f>SUMPRODUCT(N2857:Y2857,$N$2:$Y$2)*$K2857*$L2857*$M2857</f>
        <v/>
      </c>
      <c r="AA2857" s="14">
        <f>SUM(N2857:Y2857)</f>
        <v/>
      </c>
      <c r="AB2857" s="14">
        <f>IFERROR(IF(UPPER($E2857)="L",SUMPRODUCT(N2857:Y2857,$N$3:$Y$3,$N$2:$Y$2),SUMPRODUCT(N2857:Y2857,$N$4:$Y$4,$N$2:$Y$2))/(Z2857/($K2857*$L2857*$M2857)),"")</f>
        <v/>
      </c>
      <c r="AC2857" s="18" t="n"/>
    </row>
    <row r="2858">
      <c r="A2858" s="9" t="n">
        <v>666915</v>
      </c>
      <c r="B2858" s="9" t="inlineStr">
        <is>
          <t>Bobby Dalbec</t>
        </is>
      </c>
      <c r="C2858" s="9" t="inlineStr">
        <is>
          <t>BOS</t>
        </is>
      </c>
      <c r="D2858" s="9" t="n">
        <v>32</v>
      </c>
      <c r="E2858" s="16" t="inlineStr">
        <is>
          <t>R</t>
        </is>
      </c>
      <c r="F2858" s="16" t="inlineStr">
        <is>
          <t>1B</t>
        </is>
      </c>
      <c r="G2858" s="9" t="n">
        <v>21</v>
      </c>
      <c r="H2858" s="9" t="n">
        <v>520</v>
      </c>
      <c r="I2858" s="9" t="inlineStr">
        <is>
          <t>Depth (no MLB PA)</t>
        </is>
      </c>
      <c r="J2858" s="16" t="inlineStr">
        <is>
          <t>Opening Day</t>
        </is>
      </c>
      <c r="K2858" s="11">
        <f>IFERROR(INDEX(Roles!$B$17:$B$20,MATCH(J2858,Roles!$A$17:$A$20,0)),1)</f>
        <v/>
      </c>
      <c r="L2858" s="17" t="n">
        <v>1</v>
      </c>
      <c r="M2858" s="11" t="n">
        <v>1</v>
      </c>
      <c r="N2858" s="17" t="n"/>
      <c r="O2858" s="17" t="n"/>
      <c r="P2858" s="17" t="n"/>
      <c r="Q2858" s="17" t="n"/>
      <c r="R2858" s="17" t="n"/>
      <c r="S2858" s="17" t="n"/>
      <c r="T2858" s="17" t="n"/>
      <c r="U2858" s="17" t="n"/>
      <c r="V2858" s="17" t="n"/>
      <c r="W2858" s="17" t="n"/>
      <c r="X2858" s="17" t="n"/>
      <c r="Y2858" s="17" t="n">
        <v>1</v>
      </c>
      <c r="Z2858" s="13">
        <f>SUMPRODUCT(N2858:Y2858,$N$2:$Y$2)*$K2858*$L2858*$M2858</f>
        <v/>
      </c>
      <c r="AA2858" s="14">
        <f>SUM(N2858:Y2858)</f>
        <v/>
      </c>
      <c r="AB2858" s="14">
        <f>IFERROR(IF(UPPER($E2858)="L",SUMPRODUCT(N2858:Y2858,$N$3:$Y$3,$N$2:$Y$2),SUMPRODUCT(N2858:Y2858,$N$4:$Y$4,$N$2:$Y$2))/(Z2858/($K2858*$L2858*$M2858)),"")</f>
        <v/>
      </c>
      <c r="AC2858" s="18" t="n"/>
    </row>
    <row r="2859">
      <c r="A2859" s="9" t="n">
        <v>682668</v>
      </c>
      <c r="B2859" s="9" t="inlineStr">
        <is>
          <t>Luisangel Acuña</t>
        </is>
      </c>
      <c r="C2859" s="9" t="inlineStr">
        <is>
          <t>CWS</t>
        </is>
      </c>
      <c r="D2859" s="9" t="n">
        <v>25</v>
      </c>
      <c r="E2859" s="16" t="inlineStr">
        <is>
          <t>R</t>
        </is>
      </c>
      <c r="F2859" s="16" t="inlineStr">
        <is>
          <t>SS</t>
        </is>
      </c>
      <c r="G2859" s="9" t="n">
        <v>224</v>
      </c>
      <c r="H2859" s="9" t="n">
        <v>457</v>
      </c>
      <c r="I2859" s="9" t="inlineStr">
        <is>
          <t>Utility IF</t>
        </is>
      </c>
      <c r="J2859" s="16" t="inlineStr">
        <is>
          <t>Opening Day</t>
        </is>
      </c>
      <c r="K2859" s="11">
        <f>IFERROR(INDEX(Roles!$B$17:$B$20,MATCH(J2859,Roles!$A$17:$A$20,0)),1)</f>
        <v/>
      </c>
      <c r="L2859" s="17" t="n">
        <v>1</v>
      </c>
      <c r="M2859" s="11" t="n">
        <v>0.9352137896735886</v>
      </c>
      <c r="N2859" s="17" t="n"/>
      <c r="O2859" s="17" t="n"/>
      <c r="P2859" s="17" t="n"/>
      <c r="Q2859" s="17" t="n"/>
      <c r="R2859" s="17" t="n"/>
      <c r="S2859" s="17" t="n"/>
      <c r="T2859" s="17" t="n"/>
      <c r="U2859" s="17" t="n">
        <v>0.7</v>
      </c>
      <c r="V2859" s="17" t="n"/>
      <c r="W2859" s="17" t="n">
        <v>0.3</v>
      </c>
      <c r="X2859" s="17" t="n"/>
      <c r="Y2859" s="17" t="n"/>
      <c r="Z2859" s="13">
        <f>SUMPRODUCT(N2859:Y2859,$N$2:$Y$2)*$K2859*$L2859*$M2859</f>
        <v/>
      </c>
      <c r="AA2859" s="14">
        <f>SUM(N2859:Y2859)</f>
        <v/>
      </c>
      <c r="AB2859" s="14">
        <f>IFERROR(IF(UPPER($E2859)="L",SUMPRODUCT(N2859:Y2859,$N$3:$Y$3,$N$2:$Y$2),SUMPRODUCT(N2859:Y2859,$N$4:$Y$4,$N$2:$Y$2))/(Z2859/($K2859*$L2859*$M2859)),"")</f>
        <v/>
      </c>
      <c r="AC2859" s="18" t="n"/>
    </row>
    <row r="2860">
      <c r="A2860" s="9" t="n">
        <v>800325</v>
      </c>
      <c r="B2860" s="9" t="inlineStr">
        <is>
          <t>Luis Lara</t>
        </is>
      </c>
      <c r="C2860" s="9" t="inlineStr">
        <is>
          <t>MIL</t>
        </is>
      </c>
      <c r="D2860" s="9" t="n">
        <v>22</v>
      </c>
      <c r="E2860" s="16" t="inlineStr">
        <is>
          <t>S</t>
        </is>
      </c>
      <c r="F2860" s="16" t="inlineStr">
        <is>
          <t>RF</t>
        </is>
      </c>
      <c r="G2860" s="9" t="n">
        <v>212</v>
      </c>
      <c r="H2860" s="9" t="n">
        <v>212</v>
      </c>
      <c r="I2860" s="9" t="inlineStr">
        <is>
          <t>Full Time</t>
        </is>
      </c>
      <c r="J2860" s="16" t="inlineStr">
        <is>
          <t>Opening Day</t>
        </is>
      </c>
      <c r="K2860" s="11">
        <f>IFERROR(INDEX(Roles!$B$17:$B$20,MATCH(J2860,Roles!$A$17:$A$20,0)),1)</f>
        <v/>
      </c>
      <c r="L2860" s="17" t="n">
        <v>1</v>
      </c>
      <c r="M2860" s="11" t="n">
        <v>1</v>
      </c>
      <c r="N2860" s="17" t="n">
        <v>0.68</v>
      </c>
      <c r="O2860" s="17" t="n"/>
      <c r="P2860" s="17" t="n">
        <v>0.32</v>
      </c>
      <c r="Q2860" s="17" t="n"/>
      <c r="R2860" s="17" t="n"/>
      <c r="S2860" s="17" t="n"/>
      <c r="T2860" s="17" t="n"/>
      <c r="U2860" s="17" t="n"/>
      <c r="V2860" s="17" t="n"/>
      <c r="W2860" s="17" t="n"/>
      <c r="X2860" s="17" t="n"/>
      <c r="Y2860" s="17" t="n"/>
      <c r="Z2860" s="13">
        <f>SUMPRODUCT(N2860:Y2860,$N$2:$Y$2)*$K2860*$L2860*$M2860</f>
        <v/>
      </c>
      <c r="AA2860" s="14">
        <f>SUM(N2860:Y2860)</f>
        <v/>
      </c>
      <c r="AB2860" s="14">
        <f>IFERROR(IF(UPPER($E2860)="L",SUMPRODUCT(N2860:Y2860,$N$3:$Y$3,$N$2:$Y$2),SUMPRODUCT(N2860:Y2860,$N$4:$Y$4,$N$2:$Y$2))/(Z2860/($K2860*$L2860*$M2860)),"")</f>
        <v/>
      </c>
      <c r="AC2860" s="18" t="n"/>
    </row>
    <row r="2861">
      <c r="A2861" s="9" t="n">
        <v>690022</v>
      </c>
      <c r="B2861" s="9" t="inlineStr">
        <is>
          <t>Ryan Ritter</t>
        </is>
      </c>
      <c r="C2861" s="9" t="inlineStr">
        <is>
          <t>COL</t>
        </is>
      </c>
      <c r="D2861" s="9" t="n">
        <v>26</v>
      </c>
      <c r="E2861" s="16" t="inlineStr">
        <is>
          <t>R</t>
        </is>
      </c>
      <c r="F2861" s="16" t="inlineStr">
        <is>
          <t>2B</t>
        </is>
      </c>
      <c r="G2861" s="9" t="n">
        <v>21</v>
      </c>
      <c r="H2861" s="9" t="n">
        <v>228</v>
      </c>
      <c r="I2861" s="9" t="inlineStr">
        <is>
          <t>Bench Bat</t>
        </is>
      </c>
      <c r="J2861" s="16" t="inlineStr">
        <is>
          <t>Opening Day</t>
        </is>
      </c>
      <c r="K2861" s="11">
        <f>IFERROR(INDEX(Roles!$B$17:$B$20,MATCH(J2861,Roles!$A$17:$A$20,0)),1)</f>
        <v/>
      </c>
      <c r="L2861" s="17" t="n">
        <v>1</v>
      </c>
      <c r="M2861" s="11" t="n">
        <v>1</v>
      </c>
      <c r="N2861" s="17" t="n"/>
      <c r="O2861" s="17" t="n"/>
      <c r="P2861" s="17" t="n"/>
      <c r="Q2861" s="17" t="n"/>
      <c r="R2861" s="17" t="n"/>
      <c r="S2861" s="17" t="n"/>
      <c r="T2861" s="17" t="n"/>
      <c r="U2861" s="17" t="n"/>
      <c r="V2861" s="17" t="n"/>
      <c r="W2861" s="17" t="n">
        <v>1</v>
      </c>
      <c r="X2861" s="17" t="n"/>
      <c r="Y2861" s="17" t="n"/>
      <c r="Z2861" s="13">
        <f>SUMPRODUCT(N2861:Y2861,$N$2:$Y$2)*$K2861*$L2861*$M2861</f>
        <v/>
      </c>
      <c r="AA2861" s="14">
        <f>SUM(N2861:Y2861)</f>
        <v/>
      </c>
      <c r="AB2861" s="14">
        <f>IFERROR(IF(UPPER($E2861)="L",SUMPRODUCT(N2861:Y2861,$N$3:$Y$3,$N$2:$Y$2),SUMPRODUCT(N2861:Y2861,$N$4:$Y$4,$N$2:$Y$2))/(Z2861/($K2861*$L2861*$M2861)),"")</f>
        <v/>
      </c>
      <c r="AC2861" s="18" t="n"/>
    </row>
    <row r="2862">
      <c r="A2862" s="9" t="n">
        <v>823550</v>
      </c>
      <c r="B2862" s="9" t="inlineStr">
        <is>
          <t>Sung-Mun Song</t>
        </is>
      </c>
      <c r="C2862" s="9" t="inlineStr">
        <is>
          <t>SD</t>
        </is>
      </c>
      <c r="D2862" s="9" t="n">
        <v>30</v>
      </c>
      <c r="E2862" s="16" t="inlineStr">
        <is>
          <t>L</t>
        </is>
      </c>
      <c r="F2862" s="16" t="inlineStr">
        <is>
          <t>2B</t>
        </is>
      </c>
      <c r="G2862" s="9" t="n">
        <v>154</v>
      </c>
      <c r="H2862" s="9" t="n">
        <v>154</v>
      </c>
      <c r="I2862" s="9" t="inlineStr">
        <is>
          <t>Bench Bat</t>
        </is>
      </c>
      <c r="J2862" s="16" t="inlineStr">
        <is>
          <t>Opening Day</t>
        </is>
      </c>
      <c r="K2862" s="11">
        <f>IFERROR(INDEX(Roles!$B$17:$B$20,MATCH(J2862,Roles!$A$17:$A$20,0)),1)</f>
        <v/>
      </c>
      <c r="L2862" s="17" t="n">
        <v>1</v>
      </c>
      <c r="M2862" s="11" t="n">
        <v>1</v>
      </c>
      <c r="N2862" s="17" t="n"/>
      <c r="O2862" s="17" t="n"/>
      <c r="P2862" s="17" t="n"/>
      <c r="Q2862" s="17" t="n"/>
      <c r="R2862" s="17" t="n"/>
      <c r="S2862" s="17" t="n"/>
      <c r="T2862" s="17" t="n"/>
      <c r="U2862" s="17" t="n">
        <v>0.4</v>
      </c>
      <c r="V2862" s="17" t="n"/>
      <c r="W2862" s="17" t="n">
        <v>0.6</v>
      </c>
      <c r="X2862" s="17" t="n"/>
      <c r="Y2862" s="17" t="n"/>
      <c r="Z2862" s="13">
        <f>SUMPRODUCT(N2862:Y2862,$N$2:$Y$2)*$K2862*$L2862*$M2862</f>
        <v/>
      </c>
      <c r="AA2862" s="14">
        <f>SUM(N2862:Y2862)</f>
        <v/>
      </c>
      <c r="AB2862" s="14">
        <f>IFERROR(IF(UPPER($E2862)="L",SUMPRODUCT(N2862:Y2862,$N$3:$Y$3,$N$2:$Y$2),SUMPRODUCT(N2862:Y2862,$N$4:$Y$4,$N$2:$Y$2))/(Z2862/($K2862*$L2862*$M2862)),"")</f>
        <v/>
      </c>
      <c r="AC2862" s="18" t="n"/>
    </row>
    <row r="2863">
      <c r="A2863" s="9" t="n">
        <v>592348</v>
      </c>
      <c r="B2863" s="9" t="inlineStr">
        <is>
          <t>Niko Goodrum</t>
        </is>
      </c>
      <c r="C2863" s="9" t="inlineStr">
        <is>
          <t>LAA</t>
        </is>
      </c>
      <c r="D2863" s="9" t="n">
        <v>35</v>
      </c>
      <c r="E2863" s="16" t="inlineStr">
        <is>
          <t>S</t>
        </is>
      </c>
      <c r="F2863" s="16" t="inlineStr">
        <is>
          <t>3B</t>
        </is>
      </c>
      <c r="G2863" s="9" t="n">
        <v>33</v>
      </c>
      <c r="H2863" s="9" t="n">
        <v>78</v>
      </c>
      <c r="I2863" s="9" t="inlineStr">
        <is>
          <t>Depth (no MLB PA)</t>
        </is>
      </c>
      <c r="J2863" s="16" t="inlineStr">
        <is>
          <t>Opening Day</t>
        </is>
      </c>
      <c r="K2863" s="11">
        <f>IFERROR(INDEX(Roles!$B$17:$B$20,MATCH(J2863,Roles!$A$17:$A$20,0)),1)</f>
        <v/>
      </c>
      <c r="L2863" s="17" t="n">
        <v>1</v>
      </c>
      <c r="M2863" s="11" t="n">
        <v>1</v>
      </c>
      <c r="N2863" s="17" t="n"/>
      <c r="O2863" s="17" t="n"/>
      <c r="P2863" s="17" t="n"/>
      <c r="Q2863" s="17" t="n"/>
      <c r="R2863" s="17" t="n"/>
      <c r="S2863" s="17" t="n"/>
      <c r="T2863" s="17" t="n"/>
      <c r="U2863" s="17" t="n"/>
      <c r="V2863" s="17" t="n"/>
      <c r="W2863" s="17" t="n"/>
      <c r="X2863" s="17" t="n"/>
      <c r="Y2863" s="17" t="n">
        <v>1</v>
      </c>
      <c r="Z2863" s="13">
        <f>SUMPRODUCT(N2863:Y2863,$N$2:$Y$2)*$K2863*$L2863*$M2863</f>
        <v/>
      </c>
      <c r="AA2863" s="14">
        <f>SUM(N2863:Y2863)</f>
        <v/>
      </c>
      <c r="AB2863" s="14">
        <f>IFERROR(IF(UPPER($E2863)="L",SUMPRODUCT(N2863:Y2863,$N$3:$Y$3,$N$2:$Y$2),SUMPRODUCT(N2863:Y2863,$N$4:$Y$4,$N$2:$Y$2))/(Z2863/($K2863*$L2863*$M2863)),"")</f>
        <v/>
      </c>
      <c r="AC2863" s="18" t="n"/>
    </row>
    <row r="2864">
      <c r="A2864" s="9" t="n">
        <v>669392</v>
      </c>
      <c r="B2864" s="9" t="inlineStr">
        <is>
          <t>Samad Taylor</t>
        </is>
      </c>
      <c r="C2864" s="9" t="inlineStr">
        <is>
          <t>SD</t>
        </is>
      </c>
      <c r="D2864" s="9" t="n">
        <v>28</v>
      </c>
      <c r="E2864" s="16" t="inlineStr">
        <is>
          <t>R</t>
        </is>
      </c>
      <c r="F2864" s="16" t="inlineStr">
        <is>
          <t>LF</t>
        </is>
      </c>
      <c r="G2864" s="9" t="n">
        <v>175</v>
      </c>
      <c r="H2864" s="9" t="n">
        <v>258</v>
      </c>
      <c r="I2864" s="9" t="inlineStr">
        <is>
          <t>Weak Side Platoon</t>
        </is>
      </c>
      <c r="J2864" s="16" t="inlineStr">
        <is>
          <t>Opening Day</t>
        </is>
      </c>
      <c r="K2864" s="11">
        <f>IFERROR(INDEX(Roles!$B$17:$B$20,MATCH(J2864,Roles!$A$17:$A$20,0)),1)</f>
        <v/>
      </c>
      <c r="L2864" s="17" t="n">
        <v>1</v>
      </c>
      <c r="M2864" s="11" t="n">
        <v>1</v>
      </c>
      <c r="N2864" s="17" t="n"/>
      <c r="O2864" s="17" t="n"/>
      <c r="P2864" s="17" t="n"/>
      <c r="Q2864" s="17" t="n">
        <v>0.6</v>
      </c>
      <c r="R2864" s="17" t="n"/>
      <c r="S2864" s="17" t="n"/>
      <c r="T2864" s="17" t="n"/>
      <c r="U2864" s="17" t="n"/>
      <c r="V2864" s="17" t="n">
        <v>0.4</v>
      </c>
      <c r="W2864" s="17" t="n"/>
      <c r="X2864" s="17" t="n"/>
      <c r="Y2864" s="17" t="n"/>
      <c r="Z2864" s="13">
        <f>SUMPRODUCT(N2864:Y2864,$N$2:$Y$2)*$K2864*$L2864*$M2864</f>
        <v/>
      </c>
      <c r="AA2864" s="14">
        <f>SUM(N2864:Y2864)</f>
        <v/>
      </c>
      <c r="AB2864" s="14">
        <f>IFERROR(IF(UPPER($E2864)="L",SUMPRODUCT(N2864:Y2864,$N$3:$Y$3,$N$2:$Y$2),SUMPRODUCT(N2864:Y2864,$N$4:$Y$4,$N$2:$Y$2))/(Z2864/($K2864*$L2864*$M2864)),"")</f>
        <v/>
      </c>
      <c r="AC2864" s="18" t="n"/>
    </row>
    <row r="2865">
      <c r="A2865" s="9" t="n">
        <v>695508</v>
      </c>
      <c r="B2865" s="9" t="inlineStr">
        <is>
          <t>Cam Cauley</t>
        </is>
      </c>
      <c r="C2865" s="9" t="inlineStr">
        <is>
          <t>TEX</t>
        </is>
      </c>
      <c r="D2865" s="9" t="n">
        <v>24</v>
      </c>
      <c r="E2865" s="16" t="inlineStr">
        <is>
          <t>R</t>
        </is>
      </c>
      <c r="F2865" s="16" t="inlineStr">
        <is>
          <t>CF</t>
        </is>
      </c>
      <c r="G2865" s="9" t="n">
        <v>65</v>
      </c>
      <c r="H2865" s="9" t="n">
        <v>65</v>
      </c>
      <c r="I2865" s="9" t="inlineStr">
        <is>
          <t>Bench Bat</t>
        </is>
      </c>
      <c r="J2865" s="16" t="inlineStr">
        <is>
          <t>Opening Day</t>
        </is>
      </c>
      <c r="K2865" s="11">
        <f>IFERROR(INDEX(Roles!$B$17:$B$20,MATCH(J2865,Roles!$A$17:$A$20,0)),1)</f>
        <v/>
      </c>
      <c r="L2865" s="17" t="n">
        <v>1</v>
      </c>
      <c r="M2865" s="11" t="n">
        <v>1</v>
      </c>
      <c r="N2865" s="17" t="n"/>
      <c r="O2865" s="17" t="n"/>
      <c r="P2865" s="17" t="n"/>
      <c r="Q2865" s="17" t="n"/>
      <c r="R2865" s="17" t="n"/>
      <c r="S2865" s="17" t="n"/>
      <c r="T2865" s="17" t="n"/>
      <c r="U2865" s="17" t="n">
        <v>0.4</v>
      </c>
      <c r="V2865" s="17" t="n"/>
      <c r="W2865" s="17" t="n">
        <v>0.6</v>
      </c>
      <c r="X2865" s="17" t="n"/>
      <c r="Y2865" s="17" t="n"/>
      <c r="Z2865" s="13">
        <f>SUMPRODUCT(N2865:Y2865,$N$2:$Y$2)*$K2865*$L2865*$M2865</f>
        <v/>
      </c>
      <c r="AA2865" s="14">
        <f>SUM(N2865:Y2865)</f>
        <v/>
      </c>
      <c r="AB2865" s="14">
        <f>IFERROR(IF(UPPER($E2865)="L",SUMPRODUCT(N2865:Y2865,$N$3:$Y$3,$N$2:$Y$2),SUMPRODUCT(N2865:Y2865,$N$4:$Y$4,$N$2:$Y$2))/(Z2865/($K2865*$L2865*$M2865)),"")</f>
        <v/>
      </c>
      <c r="AC2865" s="18" t="n"/>
    </row>
    <row r="2866">
      <c r="A2866" s="9" t="n">
        <v>663536</v>
      </c>
      <c r="B2866" s="9" t="inlineStr">
        <is>
          <t>Tristin English</t>
        </is>
      </c>
      <c r="C2866" s="9" t="inlineStr">
        <is>
          <t>ARI</t>
        </is>
      </c>
      <c r="D2866" s="9" t="n">
        <v>30</v>
      </c>
      <c r="E2866" s="16" t="inlineStr">
        <is>
          <t>R</t>
        </is>
      </c>
      <c r="F2866" s="16" t="inlineStr">
        <is>
          <t>1B</t>
        </is>
      </c>
      <c r="G2866" s="9" t="n">
        <v>23</v>
      </c>
      <c r="H2866" s="9" t="n">
        <v>23</v>
      </c>
      <c r="I2866" s="9" t="inlineStr">
        <is>
          <t>Depth (no MLB PA)</t>
        </is>
      </c>
      <c r="J2866" s="16" t="inlineStr">
        <is>
          <t>Opening Day</t>
        </is>
      </c>
      <c r="K2866" s="11">
        <f>IFERROR(INDEX(Roles!$B$17:$B$20,MATCH(J2866,Roles!$A$17:$A$20,0)),1)</f>
        <v/>
      </c>
      <c r="L2866" s="17" t="n">
        <v>1</v>
      </c>
      <c r="M2866" s="11" t="n">
        <v>1</v>
      </c>
      <c r="N2866" s="17" t="n"/>
      <c r="O2866" s="17" t="n"/>
      <c r="P2866" s="17" t="n"/>
      <c r="Q2866" s="17" t="n"/>
      <c r="R2866" s="17" t="n"/>
      <c r="S2866" s="17" t="n"/>
      <c r="T2866" s="17" t="n"/>
      <c r="U2866" s="17" t="n"/>
      <c r="V2866" s="17" t="n"/>
      <c r="W2866" s="17" t="n"/>
      <c r="X2866" s="17" t="n"/>
      <c r="Y2866" s="17" t="n">
        <v>1</v>
      </c>
      <c r="Z2866" s="13">
        <f>SUMPRODUCT(N2866:Y2866,$N$2:$Y$2)*$K2866*$L2866*$M2866</f>
        <v/>
      </c>
      <c r="AA2866" s="14">
        <f>SUM(N2866:Y2866)</f>
        <v/>
      </c>
      <c r="AB2866" s="14">
        <f>IFERROR(IF(UPPER($E2866)="L",SUMPRODUCT(N2866:Y2866,$N$3:$Y$3,$N$2:$Y$2),SUMPRODUCT(N2866:Y2866,$N$4:$Y$4,$N$2:$Y$2))/(Z2866/($K2866*$L2866*$M2866)),"")</f>
        <v/>
      </c>
      <c r="AC2866" s="18" t="n"/>
    </row>
    <row r="2867">
      <c r="A2867" s="9" t="n">
        <v>542932</v>
      </c>
      <c r="B2867" s="9" t="inlineStr">
        <is>
          <t>Jon Berti</t>
        </is>
      </c>
      <c r="C2867" s="9" t="inlineStr">
        <is>
          <t>CHC</t>
        </is>
      </c>
      <c r="D2867" s="9" t="n">
        <v>37</v>
      </c>
      <c r="E2867" s="16" t="inlineStr">
        <is>
          <t>R</t>
        </is>
      </c>
      <c r="F2867" s="16" t="inlineStr">
        <is>
          <t>3B</t>
        </is>
      </c>
      <c r="G2867" s="9" t="n">
        <v>107</v>
      </c>
      <c r="H2867" s="9" t="n">
        <v>1009</v>
      </c>
      <c r="I2867" s="9" t="inlineStr">
        <is>
          <t>Bench Bat</t>
        </is>
      </c>
      <c r="J2867" s="16" t="inlineStr">
        <is>
          <t>Opening Day</t>
        </is>
      </c>
      <c r="K2867" s="11">
        <f>IFERROR(INDEX(Roles!$B$17:$B$20,MATCH(J2867,Roles!$A$17:$A$20,0)),1)</f>
        <v/>
      </c>
      <c r="L2867" s="17" t="n">
        <v>1</v>
      </c>
      <c r="M2867" s="11" t="n">
        <v>1</v>
      </c>
      <c r="N2867" s="17" t="n"/>
      <c r="O2867" s="17" t="n"/>
      <c r="P2867" s="17" t="n"/>
      <c r="Q2867" s="17" t="n"/>
      <c r="R2867" s="17" t="n"/>
      <c r="S2867" s="17" t="n"/>
      <c r="T2867" s="17" t="n"/>
      <c r="U2867" s="17" t="n"/>
      <c r="V2867" s="17" t="n"/>
      <c r="W2867" s="17" t="n">
        <v>1</v>
      </c>
      <c r="X2867" s="17" t="n"/>
      <c r="Y2867" s="17" t="n"/>
      <c r="Z2867" s="13">
        <f>SUMPRODUCT(N2867:Y2867,$N$2:$Y$2)*$K2867*$L2867*$M2867</f>
        <v/>
      </c>
      <c r="AA2867" s="14">
        <f>SUM(N2867:Y2867)</f>
        <v/>
      </c>
      <c r="AB2867" s="14">
        <f>IFERROR(IF(UPPER($E2867)="L",SUMPRODUCT(N2867:Y2867,$N$3:$Y$3,$N$2:$Y$2),SUMPRODUCT(N2867:Y2867,$N$4:$Y$4,$N$2:$Y$2))/(Z2867/($K2867*$L2867*$M2867)),"")</f>
        <v/>
      </c>
      <c r="AC2867" s="18" t="n"/>
    </row>
    <row r="2868">
      <c r="A2868" s="9" t="n">
        <v>642020</v>
      </c>
      <c r="B2868" s="9" t="inlineStr">
        <is>
          <t>Chuckie Robinson</t>
        </is>
      </c>
      <c r="C2868" s="9" t="inlineStr">
        <is>
          <t>LAD</t>
        </is>
      </c>
      <c r="D2868" s="9" t="n">
        <v>32</v>
      </c>
      <c r="E2868" s="16" t="inlineStr">
        <is>
          <t>R</t>
        </is>
      </c>
      <c r="F2868" s="16" t="inlineStr">
        <is>
          <t>C</t>
        </is>
      </c>
      <c r="G2868" s="9" t="n">
        <v>26</v>
      </c>
      <c r="H2868" s="9" t="n">
        <v>164</v>
      </c>
      <c r="I2868" s="9" t="inlineStr">
        <is>
          <t>Catcher - Backup</t>
        </is>
      </c>
      <c r="J2868" s="16" t="inlineStr">
        <is>
          <t>Opening Day</t>
        </is>
      </c>
      <c r="K2868" s="11">
        <f>IFERROR(INDEX(Roles!$B$17:$B$20,MATCH(J2868,Roles!$A$17:$A$20,0)),1)</f>
        <v/>
      </c>
      <c r="L2868" s="17" t="n">
        <v>1</v>
      </c>
      <c r="M2868" s="11" t="n">
        <v>1</v>
      </c>
      <c r="N2868" s="17" t="n"/>
      <c r="O2868" s="17" t="n"/>
      <c r="P2868" s="17" t="n"/>
      <c r="Q2868" s="17" t="n"/>
      <c r="R2868" s="17" t="n"/>
      <c r="S2868" s="17" t="n"/>
      <c r="T2868" s="17" t="n">
        <v>1</v>
      </c>
      <c r="U2868" s="17" t="n"/>
      <c r="V2868" s="17" t="n"/>
      <c r="W2868" s="17" t="n"/>
      <c r="X2868" s="17" t="n"/>
      <c r="Y2868" s="17" t="n"/>
      <c r="Z2868" s="13">
        <f>SUMPRODUCT(N2868:Y2868,$N$2:$Y$2)*$K2868*$L2868*$M2868</f>
        <v/>
      </c>
      <c r="AA2868" s="14">
        <f>SUM(N2868:Y2868)</f>
        <v/>
      </c>
      <c r="AB2868" s="14">
        <f>IFERROR(IF(UPPER($E2868)="L",SUMPRODUCT(N2868:Y2868,$N$3:$Y$3,$N$2:$Y$2),SUMPRODUCT(N2868:Y2868,$N$4:$Y$4,$N$2:$Y$2))/(Z2868/($K2868*$L2868*$M2868)),"")</f>
        <v/>
      </c>
      <c r="AC2868" s="18" t="n"/>
    </row>
    <row r="2869">
      <c r="A2869" s="9" t="n">
        <v>642180</v>
      </c>
      <c r="B2869" s="9" t="inlineStr">
        <is>
          <t>Tyler Wade</t>
        </is>
      </c>
      <c r="C2869" s="9" t="inlineStr">
        <is>
          <t>SD</t>
        </is>
      </c>
      <c r="D2869" s="9" t="n">
        <v>32</v>
      </c>
      <c r="E2869" s="16" t="inlineStr">
        <is>
          <t>L</t>
        </is>
      </c>
      <c r="F2869" s="16" t="inlineStr">
        <is>
          <t>CF</t>
        </is>
      </c>
      <c r="G2869" s="9" t="n">
        <v>127</v>
      </c>
      <c r="H2869" s="9" t="n">
        <v>501</v>
      </c>
      <c r="I2869" s="9" t="inlineStr">
        <is>
          <t>Bench Bat</t>
        </is>
      </c>
      <c r="J2869" s="16" t="inlineStr">
        <is>
          <t>Opening Day</t>
        </is>
      </c>
      <c r="K2869" s="11">
        <f>IFERROR(INDEX(Roles!$B$17:$B$20,MATCH(J2869,Roles!$A$17:$A$20,0)),1)</f>
        <v/>
      </c>
      <c r="L2869" s="17" t="n">
        <v>1</v>
      </c>
      <c r="M2869" s="11" t="n">
        <v>1</v>
      </c>
      <c r="N2869" s="17" t="n"/>
      <c r="O2869" s="17" t="n"/>
      <c r="P2869" s="17" t="n"/>
      <c r="Q2869" s="17" t="n"/>
      <c r="R2869" s="17" t="n"/>
      <c r="S2869" s="17" t="n"/>
      <c r="T2869" s="17" t="n"/>
      <c r="U2869" s="17" t="n"/>
      <c r="V2869" s="17" t="n"/>
      <c r="W2869" s="17" t="n">
        <v>1</v>
      </c>
      <c r="X2869" s="17" t="n"/>
      <c r="Y2869" s="17" t="n"/>
      <c r="Z2869" s="13">
        <f>SUMPRODUCT(N2869:Y2869,$N$2:$Y$2)*$K2869*$L2869*$M2869</f>
        <v/>
      </c>
      <c r="AA2869" s="14">
        <f>SUM(N2869:Y2869)</f>
        <v/>
      </c>
      <c r="AB2869" s="14">
        <f>IFERROR(IF(UPPER($E2869)="L",SUMPRODUCT(N2869:Y2869,$N$3:$Y$3,$N$2:$Y$2),SUMPRODUCT(N2869:Y2869,$N$4:$Y$4,$N$2:$Y$2))/(Z2869/($K2869*$L2869*$M2869)),"")</f>
        <v/>
      </c>
      <c r="AC2869" s="18" t="n"/>
    </row>
    <row r="2870">
      <c r="A2870" s="9" t="n">
        <v>644433</v>
      </c>
      <c r="B2870" s="9" t="inlineStr">
        <is>
          <t>Chadwick Tromp</t>
        </is>
      </c>
      <c r="C2870" s="9" t="inlineStr">
        <is>
          <t>BAL</t>
        </is>
      </c>
      <c r="D2870" s="9" t="n">
        <v>32</v>
      </c>
      <c r="E2870" s="16" t="inlineStr">
        <is>
          <t>R</t>
        </is>
      </c>
      <c r="F2870" s="16" t="inlineStr">
        <is>
          <t>C</t>
        </is>
      </c>
      <c r="G2870" s="9" t="n">
        <v>51</v>
      </c>
      <c r="H2870" s="9" t="n">
        <v>147</v>
      </c>
      <c r="I2870" s="9" t="inlineStr">
        <is>
          <t>Catcher - Backup</t>
        </is>
      </c>
      <c r="J2870" s="16" t="inlineStr">
        <is>
          <t>Opening Day</t>
        </is>
      </c>
      <c r="K2870" s="11">
        <f>IFERROR(INDEX(Roles!$B$17:$B$20,MATCH(J2870,Roles!$A$17:$A$20,0)),1)</f>
        <v/>
      </c>
      <c r="L2870" s="17" t="n">
        <v>1</v>
      </c>
      <c r="M2870" s="11" t="n">
        <v>1</v>
      </c>
      <c r="N2870" s="17" t="n"/>
      <c r="O2870" s="17" t="n"/>
      <c r="P2870" s="17" t="n"/>
      <c r="Q2870" s="17" t="n"/>
      <c r="R2870" s="17" t="n"/>
      <c r="S2870" s="17" t="n"/>
      <c r="T2870" s="17" t="n">
        <v>1</v>
      </c>
      <c r="U2870" s="17" t="n"/>
      <c r="V2870" s="17" t="n"/>
      <c r="W2870" s="17" t="n"/>
      <c r="X2870" s="17" t="n"/>
      <c r="Y2870" s="17" t="n"/>
      <c r="Z2870" s="13">
        <f>SUMPRODUCT(N2870:Y2870,$N$2:$Y$2)*$K2870*$L2870*$M2870</f>
        <v/>
      </c>
      <c r="AA2870" s="14">
        <f>SUM(N2870:Y2870)</f>
        <v/>
      </c>
      <c r="AB2870" s="14">
        <f>IFERROR(IF(UPPER($E2870)="L",SUMPRODUCT(N2870:Y2870,$N$3:$Y$3,$N$2:$Y$2),SUMPRODUCT(N2870:Y2870,$N$4:$Y$4,$N$2:$Y$2))/(Z2870/($K2870*$L2870*$M2870)),"")</f>
        <v/>
      </c>
      <c r="AC2870" s="18" t="n"/>
    </row>
    <row r="2871">
      <c r="A2871" s="9" t="n">
        <v>665828</v>
      </c>
      <c r="B2871" s="9" t="inlineStr">
        <is>
          <t>Oswaldo Cabrera</t>
        </is>
      </c>
      <c r="C2871" s="9" t="inlineStr">
        <is>
          <t>CIN</t>
        </is>
      </c>
      <c r="D2871" s="9" t="n">
        <v>28</v>
      </c>
      <c r="E2871" s="16" t="inlineStr">
        <is>
          <t>S</t>
        </is>
      </c>
      <c r="F2871" s="16" t="inlineStr">
        <is>
          <t>3B</t>
        </is>
      </c>
      <c r="G2871" s="9" t="n">
        <v>25</v>
      </c>
      <c r="H2871" s="9" t="n">
        <v>974</v>
      </c>
      <c r="I2871" s="9" t="inlineStr">
        <is>
          <t>Bench Bat</t>
        </is>
      </c>
      <c r="J2871" s="16" t="inlineStr">
        <is>
          <t>Opening Day</t>
        </is>
      </c>
      <c r="K2871" s="11">
        <f>IFERROR(INDEX(Roles!$B$17:$B$20,MATCH(J2871,Roles!$A$17:$A$20,0)),1)</f>
        <v/>
      </c>
      <c r="L2871" s="17" t="n">
        <v>1</v>
      </c>
      <c r="M2871" s="11" t="n">
        <v>0.6650954222178471</v>
      </c>
      <c r="N2871" s="17" t="n"/>
      <c r="O2871" s="17" t="n"/>
      <c r="P2871" s="17" t="n"/>
      <c r="Q2871" s="17" t="n"/>
      <c r="R2871" s="17" t="n"/>
      <c r="S2871" s="17" t="n"/>
      <c r="T2871" s="17" t="n"/>
      <c r="U2871" s="17" t="n">
        <v>0.4</v>
      </c>
      <c r="V2871" s="17" t="n"/>
      <c r="W2871" s="17" t="n">
        <v>0.6</v>
      </c>
      <c r="X2871" s="17" t="n"/>
      <c r="Y2871" s="17" t="n"/>
      <c r="Z2871" s="13">
        <f>SUMPRODUCT(N2871:Y2871,$N$2:$Y$2)*$K2871*$L2871*$M2871</f>
        <v/>
      </c>
      <c r="AA2871" s="14">
        <f>SUM(N2871:Y2871)</f>
        <v/>
      </c>
      <c r="AB2871" s="14">
        <f>IFERROR(IF(UPPER($E2871)="L",SUMPRODUCT(N2871:Y2871,$N$3:$Y$3,$N$2:$Y$2),SUMPRODUCT(N2871:Y2871,$N$4:$Y$4,$N$2:$Y$2))/(Z2871/($K2871*$L2871*$M2871)),"")</f>
        <v/>
      </c>
      <c r="AC2871" s="18" t="n"/>
    </row>
    <row r="2872">
      <c r="A2872" s="9" t="n">
        <v>669289</v>
      </c>
      <c r="B2872" s="9" t="inlineStr">
        <is>
          <t>Santiago Espinal</t>
        </is>
      </c>
      <c r="C2872" s="9" t="inlineStr">
        <is>
          <t>LAD</t>
        </is>
      </c>
      <c r="D2872" s="9" t="n">
        <v>32</v>
      </c>
      <c r="E2872" s="16" t="inlineStr">
        <is>
          <t>R</t>
        </is>
      </c>
      <c r="F2872" s="16" t="inlineStr">
        <is>
          <t>3B</t>
        </is>
      </c>
      <c r="G2872" s="9" t="n">
        <v>60</v>
      </c>
      <c r="H2872" s="9" t="n">
        <v>1524</v>
      </c>
      <c r="I2872" s="9" t="inlineStr">
        <is>
          <t>Utility IF</t>
        </is>
      </c>
      <c r="J2872" s="16" t="inlineStr">
        <is>
          <t>Opening Day</t>
        </is>
      </c>
      <c r="K2872" s="11">
        <f>IFERROR(INDEX(Roles!$B$17:$B$20,MATCH(J2872,Roles!$A$17:$A$20,0)),1)</f>
        <v/>
      </c>
      <c r="L2872" s="17" t="n">
        <v>1</v>
      </c>
      <c r="M2872" s="11" t="n">
        <v>0.887214390450225</v>
      </c>
      <c r="N2872" s="17" t="n"/>
      <c r="O2872" s="17" t="n"/>
      <c r="P2872" s="17" t="n"/>
      <c r="Q2872" s="17" t="n"/>
      <c r="R2872" s="17" t="n"/>
      <c r="S2872" s="17" t="n"/>
      <c r="T2872" s="17" t="n"/>
      <c r="U2872" s="17" t="n">
        <v>1</v>
      </c>
      <c r="V2872" s="17" t="n"/>
      <c r="W2872" s="17" t="n"/>
      <c r="X2872" s="17" t="n"/>
      <c r="Y2872" s="17" t="n"/>
      <c r="Z2872" s="13">
        <f>SUMPRODUCT(N2872:Y2872,$N$2:$Y$2)*$K2872*$L2872*$M2872</f>
        <v/>
      </c>
      <c r="AA2872" s="14">
        <f>SUM(N2872:Y2872)</f>
        <v/>
      </c>
      <c r="AB2872" s="14">
        <f>IFERROR(IF(UPPER($E2872)="L",SUMPRODUCT(N2872:Y2872,$N$3:$Y$3,$N$2:$Y$2),SUMPRODUCT(N2872:Y2872,$N$4:$Y$4,$N$2:$Y$2))/(Z2872/($K2872*$L2872*$M2872)),"")</f>
        <v/>
      </c>
      <c r="AC2872" s="18" t="n"/>
    </row>
    <row r="2873">
      <c r="A2873" s="9" t="n">
        <v>703520</v>
      </c>
      <c r="B2873" s="9" t="inlineStr">
        <is>
          <t>Brett Bateman</t>
        </is>
      </c>
      <c r="C2873" s="9" t="inlineStr">
        <is>
          <t>TOR</t>
        </is>
      </c>
      <c r="D2873" s="9" t="n">
        <v>25</v>
      </c>
      <c r="E2873" s="16" t="inlineStr">
        <is>
          <t>L</t>
        </is>
      </c>
      <c r="F2873" s="16" t="inlineStr">
        <is>
          <t>CF</t>
        </is>
      </c>
      <c r="G2873" s="9" t="n">
        <v>181</v>
      </c>
      <c r="H2873" s="9" t="n">
        <v>181</v>
      </c>
      <c r="I2873" s="9" t="inlineStr">
        <is>
          <t>Full Time</t>
        </is>
      </c>
      <c r="J2873" s="16" t="inlineStr">
        <is>
          <t>Opening Day</t>
        </is>
      </c>
      <c r="K2873" s="11">
        <f>IFERROR(INDEX(Roles!$B$17:$B$20,MATCH(J2873,Roles!$A$17:$A$20,0)),1)</f>
        <v/>
      </c>
      <c r="L2873" s="17" t="n">
        <v>1</v>
      </c>
      <c r="M2873" s="11" t="n">
        <v>1</v>
      </c>
      <c r="N2873" s="17" t="n">
        <v>0.9</v>
      </c>
      <c r="O2873" s="17" t="n"/>
      <c r="P2873" s="17" t="n">
        <v>0.1</v>
      </c>
      <c r="Q2873" s="17" t="n"/>
      <c r="R2873" s="17" t="n"/>
      <c r="S2873" s="17" t="n"/>
      <c r="T2873" s="17" t="n"/>
      <c r="U2873" s="17" t="n"/>
      <c r="V2873" s="17" t="n"/>
      <c r="W2873" s="17" t="n"/>
      <c r="X2873" s="17" t="n"/>
      <c r="Y2873" s="17" t="n"/>
      <c r="Z2873" s="13">
        <f>SUMPRODUCT(N2873:Y2873,$N$2:$Y$2)*$K2873*$L2873*$M2873</f>
        <v/>
      </c>
      <c r="AA2873" s="14">
        <f>SUM(N2873:Y2873)</f>
        <v/>
      </c>
      <c r="AB2873" s="14">
        <f>IFERROR(IF(UPPER($E2873)="L",SUMPRODUCT(N2873:Y2873,$N$3:$Y$3,$N$2:$Y$2),SUMPRODUCT(N2873:Y2873,$N$4:$Y$4,$N$2:$Y$2))/(Z2873/($K2873*$L2873*$M2873)),"")</f>
        <v/>
      </c>
      <c r="AC2873" s="18" t="n"/>
    </row>
    <row r="2874">
      <c r="A2874" s="9" t="n">
        <v>676113</v>
      </c>
      <c r="B2874" s="9" t="inlineStr">
        <is>
          <t>Zach DeLoach</t>
        </is>
      </c>
      <c r="C2874" s="9" t="inlineStr">
        <is>
          <t>CWS</t>
        </is>
      </c>
      <c r="D2874" s="9" t="n">
        <v>28</v>
      </c>
      <c r="E2874" s="16" t="inlineStr">
        <is>
          <t>L</t>
        </is>
      </c>
      <c r="F2874" s="16" t="inlineStr">
        <is>
          <t>RF</t>
        </is>
      </c>
      <c r="G2874" s="9" t="n">
        <v>75</v>
      </c>
      <c r="H2874" s="9" t="n">
        <v>75</v>
      </c>
      <c r="I2874" s="9" t="inlineStr">
        <is>
          <t>Depth (no MLB PA)</t>
        </is>
      </c>
      <c r="J2874" s="16" t="inlineStr">
        <is>
          <t>Opening Day</t>
        </is>
      </c>
      <c r="K2874" s="11">
        <f>IFERROR(INDEX(Roles!$B$17:$B$20,MATCH(J2874,Roles!$A$17:$A$20,0)),1)</f>
        <v/>
      </c>
      <c r="L2874" s="17" t="n">
        <v>1</v>
      </c>
      <c r="M2874" s="11" t="n">
        <v>1</v>
      </c>
      <c r="N2874" s="17" t="n"/>
      <c r="O2874" s="17" t="n"/>
      <c r="P2874" s="17" t="n"/>
      <c r="Q2874" s="17" t="n"/>
      <c r="R2874" s="17" t="n"/>
      <c r="S2874" s="17" t="n"/>
      <c r="T2874" s="17" t="n"/>
      <c r="U2874" s="17" t="n"/>
      <c r="V2874" s="17" t="n"/>
      <c r="W2874" s="17" t="n"/>
      <c r="X2874" s="17" t="n"/>
      <c r="Y2874" s="17" t="n">
        <v>1</v>
      </c>
      <c r="Z2874" s="13">
        <f>SUMPRODUCT(N2874:Y2874,$N$2:$Y$2)*$K2874*$L2874*$M2874</f>
        <v/>
      </c>
      <c r="AA2874" s="14">
        <f>SUM(N2874:Y2874)</f>
        <v/>
      </c>
      <c r="AB2874" s="14">
        <f>IFERROR(IF(UPPER($E2874)="L",SUMPRODUCT(N2874:Y2874,$N$3:$Y$3,$N$2:$Y$2),SUMPRODUCT(N2874:Y2874,$N$4:$Y$4,$N$2:$Y$2))/(Z2874/($K2874*$L2874*$M2874)),"")</f>
        <v/>
      </c>
      <c r="AC2874" s="18" t="n"/>
    </row>
    <row r="2875">
      <c r="A2875" s="9" t="n">
        <v>641658</v>
      </c>
      <c r="B2875" s="9" t="inlineStr">
        <is>
          <t>Garrett Hampson</t>
        </is>
      </c>
      <c r="C2875" s="9" t="inlineStr">
        <is>
          <t>STL</t>
        </is>
      </c>
      <c r="D2875" s="9" t="n">
        <v>32</v>
      </c>
      <c r="E2875" s="16" t="inlineStr">
        <is>
          <t>R</t>
        </is>
      </c>
      <c r="F2875" s="16" t="inlineStr">
        <is>
          <t>2B</t>
        </is>
      </c>
      <c r="G2875" s="9" t="n">
        <v>91</v>
      </c>
      <c r="H2875" s="9" t="n">
        <v>800</v>
      </c>
      <c r="I2875" s="9" t="inlineStr">
        <is>
          <t>Weak Side Platoon</t>
        </is>
      </c>
      <c r="J2875" s="16" t="inlineStr">
        <is>
          <t>Opening Day</t>
        </is>
      </c>
      <c r="K2875" s="11">
        <f>IFERROR(INDEX(Roles!$B$17:$B$20,MATCH(J2875,Roles!$A$17:$A$20,0)),1)</f>
        <v/>
      </c>
      <c r="L2875" s="17" t="n">
        <v>1</v>
      </c>
      <c r="M2875" s="11" t="n">
        <v>0.9875367519344082</v>
      </c>
      <c r="N2875" s="17" t="n"/>
      <c r="O2875" s="17" t="n"/>
      <c r="P2875" s="17" t="n"/>
      <c r="Q2875" s="17" t="n">
        <v>1</v>
      </c>
      <c r="R2875" s="17" t="n"/>
      <c r="S2875" s="17" t="n"/>
      <c r="T2875" s="17" t="n"/>
      <c r="U2875" s="17" t="n"/>
      <c r="V2875" s="17" t="n"/>
      <c r="W2875" s="17" t="n"/>
      <c r="X2875" s="17" t="n"/>
      <c r="Y2875" s="17" t="n"/>
      <c r="Z2875" s="13">
        <f>SUMPRODUCT(N2875:Y2875,$N$2:$Y$2)*$K2875*$L2875*$M2875</f>
        <v/>
      </c>
      <c r="AA2875" s="14">
        <f>SUM(N2875:Y2875)</f>
        <v/>
      </c>
      <c r="AB2875" s="14">
        <f>IFERROR(IF(UPPER($E2875)="L",SUMPRODUCT(N2875:Y2875,$N$3:$Y$3,$N$2:$Y$2),SUMPRODUCT(N2875:Y2875,$N$4:$Y$4,$N$2:$Y$2))/(Z2875/($K2875*$L2875*$M2875)),"")</f>
        <v/>
      </c>
      <c r="AC2875" s="18" t="n"/>
    </row>
    <row r="2876">
      <c r="A2876" s="9" t="n">
        <v>669397</v>
      </c>
      <c r="B2876" s="9" t="inlineStr">
        <is>
          <t>Nick Allen</t>
        </is>
      </c>
      <c r="C2876" s="9" t="inlineStr">
        <is>
          <t>HOU</t>
        </is>
      </c>
      <c r="D2876" s="9" t="n">
        <v>28</v>
      </c>
      <c r="E2876" s="16" t="inlineStr">
        <is>
          <t>R</t>
        </is>
      </c>
      <c r="F2876" s="16" t="inlineStr">
        <is>
          <t>SS</t>
        </is>
      </c>
      <c r="G2876" s="9" t="n">
        <v>162</v>
      </c>
      <c r="H2876" s="9" t="n">
        <v>1338</v>
      </c>
      <c r="I2876" s="9" t="inlineStr">
        <is>
          <t>Bench Bat</t>
        </is>
      </c>
      <c r="J2876" s="16" t="inlineStr">
        <is>
          <t>Opening Day</t>
        </is>
      </c>
      <c r="K2876" s="11">
        <f>IFERROR(INDEX(Roles!$B$17:$B$20,MATCH(J2876,Roles!$A$17:$A$20,0)),1)</f>
        <v/>
      </c>
      <c r="L2876" s="17" t="n">
        <v>1</v>
      </c>
      <c r="M2876" s="11" t="n">
        <v>1.048076008179008</v>
      </c>
      <c r="N2876" s="17" t="n"/>
      <c r="O2876" s="17" t="n"/>
      <c r="P2876" s="17" t="n"/>
      <c r="Q2876" s="17" t="n"/>
      <c r="R2876" s="17" t="n"/>
      <c r="S2876" s="17" t="n"/>
      <c r="T2876" s="17" t="n"/>
      <c r="U2876" s="17" t="n">
        <v>0.4</v>
      </c>
      <c r="V2876" s="17" t="n"/>
      <c r="W2876" s="17" t="n">
        <v>0.6</v>
      </c>
      <c r="X2876" s="17" t="n"/>
      <c r="Y2876" s="17" t="n"/>
      <c r="Z2876" s="13">
        <f>SUMPRODUCT(N2876:Y2876,$N$2:$Y$2)*$K2876*$L2876*$M2876</f>
        <v/>
      </c>
      <c r="AA2876" s="14">
        <f>SUM(N2876:Y2876)</f>
        <v/>
      </c>
      <c r="AB2876" s="14">
        <f>IFERROR(IF(UPPER($E2876)="L",SUMPRODUCT(N2876:Y2876,$N$3:$Y$3,$N$2:$Y$2),SUMPRODUCT(N2876:Y2876,$N$4:$Y$4,$N$2:$Y$2))/(Z2876/($K2876*$L2876*$M2876)),"")</f>
        <v/>
      </c>
      <c r="AC2876" s="18" t="n"/>
    </row>
    <row r="2877">
      <c r="A2877" s="9" t="n">
        <v>641645</v>
      </c>
      <c r="B2877" s="9" t="inlineStr">
        <is>
          <t>Luis Guillorme</t>
        </is>
      </c>
      <c r="C2877" s="9" t="inlineStr">
        <is>
          <t>ARI</t>
        </is>
      </c>
      <c r="D2877" s="9" t="n">
        <v>32</v>
      </c>
      <c r="E2877" s="16" t="inlineStr">
        <is>
          <t>L</t>
        </is>
      </c>
      <c r="F2877" s="16" t="inlineStr">
        <is>
          <t>3B</t>
        </is>
      </c>
      <c r="G2877" s="9" t="n">
        <v>21</v>
      </c>
      <c r="H2877" s="9" t="n">
        <v>663</v>
      </c>
      <c r="I2877" s="9" t="inlineStr">
        <is>
          <t>Depth (no MLB PA)</t>
        </is>
      </c>
      <c r="J2877" s="16" t="inlineStr">
        <is>
          <t>Opening Day</t>
        </is>
      </c>
      <c r="K2877" s="11">
        <f>IFERROR(INDEX(Roles!$B$17:$B$20,MATCH(J2877,Roles!$A$17:$A$20,0)),1)</f>
        <v/>
      </c>
      <c r="L2877" s="17" t="n">
        <v>1</v>
      </c>
      <c r="M2877" s="11" t="n">
        <v>1</v>
      </c>
      <c r="N2877" s="17" t="n"/>
      <c r="O2877" s="17" t="n"/>
      <c r="P2877" s="17" t="n"/>
      <c r="Q2877" s="17" t="n"/>
      <c r="R2877" s="17" t="n"/>
      <c r="S2877" s="17" t="n"/>
      <c r="T2877" s="17" t="n"/>
      <c r="U2877" s="17" t="n"/>
      <c r="V2877" s="17" t="n"/>
      <c r="W2877" s="17" t="n"/>
      <c r="X2877" s="17" t="n"/>
      <c r="Y2877" s="17" t="n">
        <v>1</v>
      </c>
      <c r="Z2877" s="13">
        <f>SUMPRODUCT(N2877:Y2877,$N$2:$Y$2)*$K2877*$L2877*$M2877</f>
        <v/>
      </c>
      <c r="AA2877" s="14">
        <f>SUM(N2877:Y2877)</f>
        <v/>
      </c>
      <c r="AB2877" s="14">
        <f>IFERROR(IF(UPPER($E2877)="L",SUMPRODUCT(N2877:Y2877,$N$3:$Y$3,$N$2:$Y$2),SUMPRODUCT(N2877:Y2877,$N$4:$Y$4,$N$2:$Y$2))/(Z2877/($K2877*$L2877*$M2877)),"")</f>
        <v/>
      </c>
      <c r="AC2877" s="18" t="n"/>
    </row>
    <row r="2878">
      <c r="A2878" s="9" t="n">
        <v>596117</v>
      </c>
      <c r="B2878" s="9" t="inlineStr">
        <is>
          <t>Garrett Stubbs</t>
        </is>
      </c>
      <c r="C2878" s="9" t="inlineStr">
        <is>
          <t>PHI</t>
        </is>
      </c>
      <c r="D2878" s="9" t="n">
        <v>34</v>
      </c>
      <c r="E2878" s="16" t="inlineStr">
        <is>
          <t>L</t>
        </is>
      </c>
      <c r="F2878" s="16" t="inlineStr">
        <is>
          <t>C</t>
        </is>
      </c>
      <c r="G2878" s="9" t="n">
        <v>65</v>
      </c>
      <c r="H2878" s="9" t="n">
        <v>499</v>
      </c>
      <c r="I2878" s="9" t="inlineStr">
        <is>
          <t>Bench Bat</t>
        </is>
      </c>
      <c r="J2878" s="16" t="inlineStr">
        <is>
          <t>Opening Day</t>
        </is>
      </c>
      <c r="K2878" s="11">
        <f>IFERROR(INDEX(Roles!$B$17:$B$20,MATCH(J2878,Roles!$A$17:$A$20,0)),1)</f>
        <v/>
      </c>
      <c r="L2878" s="17" t="n">
        <v>1</v>
      </c>
      <c r="M2878" s="11" t="n">
        <v>1</v>
      </c>
      <c r="N2878" s="17" t="n"/>
      <c r="O2878" s="17" t="n"/>
      <c r="P2878" s="17" t="n"/>
      <c r="Q2878" s="17" t="n"/>
      <c r="R2878" s="17" t="n"/>
      <c r="S2878" s="17" t="n"/>
      <c r="T2878" s="17" t="n">
        <v>0.4</v>
      </c>
      <c r="U2878" s="17" t="n"/>
      <c r="V2878" s="17" t="n"/>
      <c r="W2878" s="17" t="n">
        <v>0.6</v>
      </c>
      <c r="X2878" s="17" t="n"/>
      <c r="Y2878" s="17" t="n"/>
      <c r="Z2878" s="13">
        <f>SUMPRODUCT(N2878:Y2878,$N$2:$Y$2)*$K2878*$L2878*$M2878</f>
        <v/>
      </c>
      <c r="AA2878" s="14">
        <f>SUM(N2878:Y2878)</f>
        <v/>
      </c>
      <c r="AB2878" s="14">
        <f>IFERROR(IF(UPPER($E2878)="L",SUMPRODUCT(N2878:Y2878,$N$3:$Y$3,$N$2:$Y$2),SUMPRODUCT(N2878:Y2878,$N$4:$Y$4,$N$2:$Y$2))/(Z2878/($K2878*$L2878*$M2878)),"")</f>
        <v/>
      </c>
      <c r="AC2878" s="18" t="n"/>
    </row>
    <row r="2879">
      <c r="A2879" s="9" t="n">
        <v>643396</v>
      </c>
      <c r="B2879" s="9" t="inlineStr">
        <is>
          <t>Isiah Kiner-Falefa</t>
        </is>
      </c>
      <c r="C2879" s="9" t="inlineStr">
        <is>
          <t>BOS</t>
        </is>
      </c>
      <c r="D2879" s="9" t="n">
        <v>32</v>
      </c>
      <c r="E2879" s="16" t="inlineStr">
        <is>
          <t>R</t>
        </is>
      </c>
      <c r="F2879" s="16" t="inlineStr">
        <is>
          <t>2B</t>
        </is>
      </c>
      <c r="G2879" s="9" t="n">
        <v>183</v>
      </c>
      <c r="H2879" s="9" t="n">
        <v>2030</v>
      </c>
      <c r="I2879" s="9" t="inlineStr">
        <is>
          <t>Bench Bat</t>
        </is>
      </c>
      <c r="J2879" s="16" t="inlineStr">
        <is>
          <t>Opening Day</t>
        </is>
      </c>
      <c r="K2879" s="11">
        <f>IFERROR(INDEX(Roles!$B$17:$B$20,MATCH(J2879,Roles!$A$17:$A$20,0)),1)</f>
        <v/>
      </c>
      <c r="L2879" s="17" t="n">
        <v>1</v>
      </c>
      <c r="M2879" s="11" t="n">
        <v>1.102932643833922</v>
      </c>
      <c r="N2879" s="17" t="n"/>
      <c r="O2879" s="17" t="n"/>
      <c r="P2879" s="17" t="n"/>
      <c r="Q2879" s="17" t="n"/>
      <c r="R2879" s="17" t="n"/>
      <c r="S2879" s="17" t="n"/>
      <c r="T2879" s="17" t="n"/>
      <c r="U2879" s="17" t="n">
        <v>0.4</v>
      </c>
      <c r="V2879" s="17" t="n"/>
      <c r="W2879" s="17" t="n">
        <v>0.6</v>
      </c>
      <c r="X2879" s="17" t="n"/>
      <c r="Y2879" s="17" t="n"/>
      <c r="Z2879" s="13">
        <f>SUMPRODUCT(N2879:Y2879,$N$2:$Y$2)*$K2879*$L2879*$M2879</f>
        <v/>
      </c>
      <c r="AA2879" s="14">
        <f>SUM(N2879:Y2879)</f>
        <v/>
      </c>
      <c r="AB2879" s="14">
        <f>IFERROR(IF(UPPER($E2879)="L",SUMPRODUCT(N2879:Y2879,$N$3:$Y$3,$N$2:$Y$2),SUMPRODUCT(N2879:Y2879,$N$4:$Y$4,$N$2:$Y$2))/(Z2879/($K2879*$L2879*$M2879)),"")</f>
        <v/>
      </c>
      <c r="AC2879" s="18" t="n"/>
    </row>
    <row r="2880">
      <c r="A2880" s="9" t="n">
        <v>676044</v>
      </c>
      <c r="B2880" s="9" t="inlineStr">
        <is>
          <t>Bob Seymour</t>
        </is>
      </c>
      <c r="C2880" s="9" t="inlineStr">
        <is>
          <t>TB</t>
        </is>
      </c>
      <c r="D2880" s="9" t="n">
        <v>28</v>
      </c>
      <c r="E2880" s="16" t="inlineStr">
        <is>
          <t>L</t>
        </is>
      </c>
      <c r="F2880" s="16" t="inlineStr">
        <is>
          <t>1B</t>
        </is>
      </c>
      <c r="G2880" s="9" t="n">
        <v>83</v>
      </c>
      <c r="H2880" s="9" t="n">
        <v>83</v>
      </c>
      <c r="I2880" s="9" t="inlineStr">
        <is>
          <t>Bench Bat</t>
        </is>
      </c>
      <c r="J2880" s="16" t="inlineStr">
        <is>
          <t>Opening Day</t>
        </is>
      </c>
      <c r="K2880" s="11">
        <f>IFERROR(INDEX(Roles!$B$17:$B$20,MATCH(J2880,Roles!$A$17:$A$20,0)),1)</f>
        <v/>
      </c>
      <c r="L2880" s="17" t="n">
        <v>1</v>
      </c>
      <c r="M2880" s="11" t="n">
        <v>1</v>
      </c>
      <c r="N2880" s="17" t="n"/>
      <c r="O2880" s="17" t="n"/>
      <c r="P2880" s="17" t="n"/>
      <c r="Q2880" s="17" t="n"/>
      <c r="R2880" s="17" t="n"/>
      <c r="S2880" s="17" t="n"/>
      <c r="T2880" s="17" t="n"/>
      <c r="U2880" s="17" t="n"/>
      <c r="V2880" s="17" t="n"/>
      <c r="W2880" s="17" t="n">
        <v>1</v>
      </c>
      <c r="X2880" s="17" t="n"/>
      <c r="Y2880" s="17" t="n"/>
      <c r="Z2880" s="13">
        <f>SUMPRODUCT(N2880:Y2880,$N$2:$Y$2)*$K2880*$L2880*$M2880</f>
        <v/>
      </c>
      <c r="AA2880" s="14">
        <f>SUM(N2880:Y2880)</f>
        <v/>
      </c>
      <c r="AB2880" s="14">
        <f>IFERROR(IF(UPPER($E2880)="L",SUMPRODUCT(N2880:Y2880,$N$3:$Y$3,$N$2:$Y$2),SUMPRODUCT(N2880:Y2880,$N$4:$Y$4,$N$2:$Y$2))/(Z2880/($K2880*$L2880*$M2880)),"")</f>
        <v/>
      </c>
      <c r="AC2880" s="18" t="n"/>
    </row>
    <row r="2881">
      <c r="A2881" s="9" t="n">
        <v>605346</v>
      </c>
      <c r="B2881" s="9" t="inlineStr">
        <is>
          <t>Jack López</t>
        </is>
      </c>
      <c r="C2881" s="9" t="inlineStr">
        <is>
          <t>LAA</t>
        </is>
      </c>
      <c r="D2881" s="9" t="n">
        <v>34</v>
      </c>
      <c r="E2881" s="16" t="inlineStr">
        <is>
          <t>R</t>
        </is>
      </c>
      <c r="F2881" s="16" t="inlineStr">
        <is>
          <t>2B</t>
        </is>
      </c>
      <c r="G2881" s="9" t="n">
        <v>71</v>
      </c>
      <c r="H2881" s="9" t="n">
        <v>71</v>
      </c>
      <c r="I2881" s="9" t="inlineStr">
        <is>
          <t>Depth (no MLB PA)</t>
        </is>
      </c>
      <c r="J2881" s="16" t="inlineStr">
        <is>
          <t>Opening Day</t>
        </is>
      </c>
      <c r="K2881" s="11">
        <f>IFERROR(INDEX(Roles!$B$17:$B$20,MATCH(J2881,Roles!$A$17:$A$20,0)),1)</f>
        <v/>
      </c>
      <c r="L2881" s="17" t="n">
        <v>1</v>
      </c>
      <c r="M2881" s="11" t="n">
        <v>1</v>
      </c>
      <c r="N2881" s="17" t="n"/>
      <c r="O2881" s="17" t="n"/>
      <c r="P2881" s="17" t="n"/>
      <c r="Q2881" s="17" t="n"/>
      <c r="R2881" s="17" t="n"/>
      <c r="S2881" s="17" t="n"/>
      <c r="T2881" s="17" t="n"/>
      <c r="U2881" s="17" t="n"/>
      <c r="V2881" s="17" t="n"/>
      <c r="W2881" s="17" t="n"/>
      <c r="X2881" s="17" t="n"/>
      <c r="Y2881" s="17" t="n">
        <v>1</v>
      </c>
      <c r="Z2881" s="13">
        <f>SUMPRODUCT(N2881:Y2881,$N$2:$Y$2)*$K2881*$L2881*$M2881</f>
        <v/>
      </c>
      <c r="AA2881" s="14">
        <f>SUM(N2881:Y2881)</f>
        <v/>
      </c>
      <c r="AB2881" s="14">
        <f>IFERROR(IF(UPPER($E2881)="L",SUMPRODUCT(N2881:Y2881,$N$3:$Y$3,$N$2:$Y$2),SUMPRODUCT(N2881:Y2881,$N$4:$Y$4,$N$2:$Y$2))/(Z2881/($K2881*$L2881*$M2881)),"")</f>
        <v/>
      </c>
      <c r="AC2881" s="18" t="n"/>
    </row>
    <row r="2882">
      <c r="A2882" s="9" t="n">
        <v>679032</v>
      </c>
      <c r="B2882" s="9" t="inlineStr">
        <is>
          <t>Johan Rojas</t>
        </is>
      </c>
      <c r="C2882" s="9" t="inlineStr">
        <is>
          <t>PHI</t>
        </is>
      </c>
      <c r="D2882" s="9" t="n">
        <v>26</v>
      </c>
      <c r="E2882" s="16" t="inlineStr">
        <is>
          <t>R</t>
        </is>
      </c>
      <c r="F2882" s="16" t="inlineStr">
        <is>
          <t>CF</t>
        </is>
      </c>
      <c r="G2882" s="9" t="n">
        <v>172</v>
      </c>
      <c r="H2882" s="9" t="n">
        <v>699</v>
      </c>
      <c r="I2882" s="9" t="inlineStr">
        <is>
          <t>Bench Bat</t>
        </is>
      </c>
      <c r="J2882" s="16" t="inlineStr">
        <is>
          <t>Opening Day</t>
        </is>
      </c>
      <c r="K2882" s="11">
        <f>IFERROR(INDEX(Roles!$B$17:$B$20,MATCH(J2882,Roles!$A$17:$A$20,0)),1)</f>
        <v/>
      </c>
      <c r="L2882" s="17" t="n">
        <v>1</v>
      </c>
      <c r="M2882" s="11" t="n">
        <v>0.982478991729133</v>
      </c>
      <c r="N2882" s="17" t="n"/>
      <c r="O2882" s="17" t="n"/>
      <c r="P2882" s="17" t="n"/>
      <c r="Q2882" s="17" t="n"/>
      <c r="R2882" s="17" t="n"/>
      <c r="S2882" s="17" t="n"/>
      <c r="T2882" s="17" t="n"/>
      <c r="U2882" s="17" t="n"/>
      <c r="V2882" s="17" t="n"/>
      <c r="W2882" s="17" t="n">
        <v>0.85</v>
      </c>
      <c r="X2882" s="17" t="n">
        <v>0.15</v>
      </c>
      <c r="Y2882" s="17" t="n"/>
      <c r="Z2882" s="13">
        <f>SUMPRODUCT(N2882:Y2882,$N$2:$Y$2)*$K2882*$L2882*$M2882</f>
        <v/>
      </c>
      <c r="AA2882" s="14">
        <f>SUM(N2882:Y2882)</f>
        <v/>
      </c>
      <c r="AB2882" s="14">
        <f>IFERROR(IF(UPPER($E2882)="L",SUMPRODUCT(N2882:Y2882,$N$3:$Y$3,$N$2:$Y$2),SUMPRODUCT(N2882:Y2882,$N$4:$Y$4,$N$2:$Y$2))/(Z2882/($K2882*$L2882*$M2882)),"")</f>
        <v/>
      </c>
      <c r="AC2882" s="18" t="n"/>
    </row>
    <row r="2883">
      <c r="A2883" s="9" t="n">
        <v>801501</v>
      </c>
      <c r="B2883" s="9" t="inlineStr">
        <is>
          <t>Nate Furman</t>
        </is>
      </c>
      <c r="C2883" s="9" t="inlineStr">
        <is>
          <t>SF</t>
        </is>
      </c>
      <c r="D2883" s="9" t="n">
        <v>25</v>
      </c>
      <c r="E2883" s="16" t="inlineStr">
        <is>
          <t>L</t>
        </is>
      </c>
      <c r="F2883" s="16" t="inlineStr">
        <is>
          <t>2B</t>
        </is>
      </c>
      <c r="G2883" s="9" t="n">
        <v>39</v>
      </c>
      <c r="H2883" s="9" t="n">
        <v>39</v>
      </c>
      <c r="I2883" s="9" t="inlineStr">
        <is>
          <t>Bench Bat</t>
        </is>
      </c>
      <c r="J2883" s="16" t="inlineStr">
        <is>
          <t>Opening Day</t>
        </is>
      </c>
      <c r="K2883" s="11">
        <f>IFERROR(INDEX(Roles!$B$17:$B$20,MATCH(J2883,Roles!$A$17:$A$20,0)),1)</f>
        <v/>
      </c>
      <c r="L2883" s="17" t="n">
        <v>1</v>
      </c>
      <c r="M2883" s="11" t="n">
        <v>1</v>
      </c>
      <c r="N2883" s="17" t="n"/>
      <c r="O2883" s="17" t="n"/>
      <c r="P2883" s="17" t="n"/>
      <c r="Q2883" s="17" t="n"/>
      <c r="R2883" s="17" t="n"/>
      <c r="S2883" s="17" t="n"/>
      <c r="T2883" s="17" t="n"/>
      <c r="U2883" s="17" t="n">
        <v>0.4</v>
      </c>
      <c r="V2883" s="17" t="n"/>
      <c r="W2883" s="17" t="n">
        <v>0.6</v>
      </c>
      <c r="X2883" s="17" t="n"/>
      <c r="Y2883" s="17" t="n"/>
      <c r="Z2883" s="13">
        <f>SUMPRODUCT(N2883:Y2883,$N$2:$Y$2)*$K2883*$L2883*$M2883</f>
        <v/>
      </c>
      <c r="AA2883" s="14">
        <f>SUM(N2883:Y2883)</f>
        <v/>
      </c>
      <c r="AB2883" s="14">
        <f>IFERROR(IF(UPPER($E2883)="L",SUMPRODUCT(N2883:Y2883,$N$3:$Y$3,$N$2:$Y$2),SUMPRODUCT(N2883:Y2883,$N$4:$Y$4,$N$2:$Y$2))/(Z2883/($K2883*$L2883*$M2883)),"")</f>
        <v/>
      </c>
      <c r="AC2883" s="18" t="n"/>
    </row>
    <row r="2884">
      <c r="A2884" s="9" t="n">
        <v>670156</v>
      </c>
      <c r="B2884" s="9" t="inlineStr">
        <is>
          <t>Miles Mastrobuoni</t>
        </is>
      </c>
      <c r="C2884" s="9" t="inlineStr">
        <is>
          <t>SEA</t>
        </is>
      </c>
      <c r="D2884" s="9" t="n">
        <v>31</v>
      </c>
      <c r="E2884" s="16" t="inlineStr">
        <is>
          <t>L</t>
        </is>
      </c>
      <c r="F2884" s="16" t="inlineStr">
        <is>
          <t>3B</t>
        </is>
      </c>
      <c r="G2884" s="9" t="n">
        <v>30</v>
      </c>
      <c r="H2884" s="9" t="n">
        <v>477</v>
      </c>
      <c r="I2884" s="9" t="inlineStr">
        <is>
          <t>Bench Bat</t>
        </is>
      </c>
      <c r="J2884" s="16" t="inlineStr">
        <is>
          <t>Opening Day</t>
        </is>
      </c>
      <c r="K2884" s="11">
        <f>IFERROR(INDEX(Roles!$B$17:$B$20,MATCH(J2884,Roles!$A$17:$A$20,0)),1)</f>
        <v/>
      </c>
      <c r="L2884" s="17" t="n">
        <v>1</v>
      </c>
      <c r="M2884" s="11" t="n">
        <v>1</v>
      </c>
      <c r="N2884" s="17" t="n"/>
      <c r="O2884" s="17" t="n"/>
      <c r="P2884" s="17" t="n"/>
      <c r="Q2884" s="17" t="n"/>
      <c r="R2884" s="17" t="n"/>
      <c r="S2884" s="17" t="n"/>
      <c r="T2884" s="17" t="n"/>
      <c r="U2884" s="17" t="n"/>
      <c r="V2884" s="17" t="n"/>
      <c r="W2884" s="17" t="n">
        <v>1</v>
      </c>
      <c r="X2884" s="17" t="n"/>
      <c r="Y2884" s="17" t="n"/>
      <c r="Z2884" s="13">
        <f>SUMPRODUCT(N2884:Y2884,$N$2:$Y$2)*$K2884*$L2884*$M2884</f>
        <v/>
      </c>
      <c r="AA2884" s="14">
        <f>SUM(N2884:Y2884)</f>
        <v/>
      </c>
      <c r="AB2884" s="14">
        <f>IFERROR(IF(UPPER($E2884)="L",SUMPRODUCT(N2884:Y2884,$N$3:$Y$3,$N$2:$Y$2),SUMPRODUCT(N2884:Y2884,$N$4:$Y$4,$N$2:$Y$2))/(Z2884/($K2884*$L2884*$M2884)),"")</f>
        <v/>
      </c>
      <c r="AC2884" s="18" t="n"/>
    </row>
    <row r="2885">
      <c r="A2885" s="9" t="n">
        <v>660644</v>
      </c>
      <c r="B2885" s="9" t="inlineStr">
        <is>
          <t>Vidal Bruján</t>
        </is>
      </c>
      <c r="C2885" s="9" t="inlineStr">
        <is>
          <t>ATL</t>
        </is>
      </c>
      <c r="D2885" s="9" t="n">
        <v>29</v>
      </c>
      <c r="E2885" s="16" t="inlineStr">
        <is>
          <t>S</t>
        </is>
      </c>
      <c r="F2885" s="16" t="inlineStr">
        <is>
          <t>SS</t>
        </is>
      </c>
      <c r="G2885" s="9" t="n">
        <v>13</v>
      </c>
      <c r="H2885" s="9" t="n">
        <v>632</v>
      </c>
      <c r="I2885" s="9" t="inlineStr">
        <is>
          <t>Bench Bat</t>
        </is>
      </c>
      <c r="J2885" s="16" t="inlineStr">
        <is>
          <t>Opening Day</t>
        </is>
      </c>
      <c r="K2885" s="11">
        <f>IFERROR(INDEX(Roles!$B$17:$B$20,MATCH(J2885,Roles!$A$17:$A$20,0)),1)</f>
        <v/>
      </c>
      <c r="L2885" s="17" t="n">
        <v>1</v>
      </c>
      <c r="M2885" s="11" t="n">
        <v>1</v>
      </c>
      <c r="N2885" s="17" t="n"/>
      <c r="O2885" s="17" t="n"/>
      <c r="P2885" s="17" t="n"/>
      <c r="Q2885" s="17" t="n"/>
      <c r="R2885" s="17" t="n"/>
      <c r="S2885" s="17" t="n"/>
      <c r="T2885" s="17" t="n"/>
      <c r="U2885" s="17" t="n"/>
      <c r="V2885" s="17" t="n"/>
      <c r="W2885" s="17" t="n">
        <v>1</v>
      </c>
      <c r="X2885" s="17" t="n"/>
      <c r="Y2885" s="17" t="n"/>
      <c r="Z2885" s="13">
        <f>SUMPRODUCT(N2885:Y2885,$N$2:$Y$2)*$K2885*$L2885*$M2885</f>
        <v/>
      </c>
      <c r="AA2885" s="14">
        <f>SUM(N2885:Y2885)</f>
        <v/>
      </c>
      <c r="AB2885" s="14">
        <f>IFERROR(IF(UPPER($E2885)="L",SUMPRODUCT(N2885:Y2885,$N$3:$Y$3,$N$2:$Y$2),SUMPRODUCT(N2885:Y2885,$N$4:$Y$4,$N$2:$Y$2))/(Z2885/($K2885*$L2885*$M2885)),"")</f>
        <v/>
      </c>
      <c r="AC2885" s="18" t="n"/>
    </row>
    <row r="2886">
      <c r="A2886" s="9" t="n">
        <v>695238</v>
      </c>
      <c r="B2886" s="9" t="inlineStr">
        <is>
          <t>Will Wagner</t>
        </is>
      </c>
      <c r="C2886" s="9" t="inlineStr">
        <is>
          <t>SD</t>
        </is>
      </c>
      <c r="D2886" s="9" t="n">
        <v>28</v>
      </c>
      <c r="E2886" s="16" t="inlineStr">
        <is>
          <t>L</t>
        </is>
      </c>
      <c r="F2886" s="16" t="inlineStr">
        <is>
          <t>2B</t>
        </is>
      </c>
      <c r="G2886" s="9" t="n">
        <v>45</v>
      </c>
      <c r="H2886" s="9" t="n">
        <v>280</v>
      </c>
      <c r="I2886" s="9" t="inlineStr">
        <is>
          <t>Bench Bat</t>
        </is>
      </c>
      <c r="J2886" s="16" t="inlineStr">
        <is>
          <t>Opening Day</t>
        </is>
      </c>
      <c r="K2886" s="11">
        <f>IFERROR(INDEX(Roles!$B$17:$B$20,MATCH(J2886,Roles!$A$17:$A$20,0)),1)</f>
        <v/>
      </c>
      <c r="L2886" s="17" t="n">
        <v>1</v>
      </c>
      <c r="M2886" s="11" t="n">
        <v>1</v>
      </c>
      <c r="N2886" s="17" t="n"/>
      <c r="O2886" s="17" t="n"/>
      <c r="P2886" s="17" t="n"/>
      <c r="Q2886" s="17" t="n"/>
      <c r="R2886" s="17" t="n"/>
      <c r="S2886" s="17" t="n"/>
      <c r="T2886" s="17" t="n"/>
      <c r="U2886" s="17" t="n"/>
      <c r="V2886" s="17" t="n"/>
      <c r="W2886" s="17" t="n">
        <v>1</v>
      </c>
      <c r="X2886" s="17" t="n"/>
      <c r="Y2886" s="17" t="n"/>
      <c r="Z2886" s="13">
        <f>SUMPRODUCT(N2886:Y2886,$N$2:$Y$2)*$K2886*$L2886*$M2886</f>
        <v/>
      </c>
      <c r="AA2886" s="14">
        <f>SUM(N2886:Y2886)</f>
        <v/>
      </c>
      <c r="AB2886" s="14">
        <f>IFERROR(IF(UPPER($E2886)="L",SUMPRODUCT(N2886:Y2886,$N$3:$Y$3,$N$2:$Y$2),SUMPRODUCT(N2886:Y2886,$N$4:$Y$4,$N$2:$Y$2))/(Z2886/($K2886*$L2886*$M2886)),"")</f>
        <v/>
      </c>
      <c r="AC2886" s="18" t="n"/>
    </row>
    <row r="2887">
      <c r="A2887" s="9" t="n">
        <v>623520</v>
      </c>
      <c r="B2887" s="9" t="inlineStr">
        <is>
          <t>David Bote</t>
        </is>
      </c>
      <c r="C2887" s="9" t="inlineStr">
        <is>
          <t>CHC</t>
        </is>
      </c>
      <c r="D2887" s="9" t="n">
        <v>34</v>
      </c>
      <c r="E2887" s="16" t="inlineStr">
        <is>
          <t>R</t>
        </is>
      </c>
      <c r="F2887" s="16" t="inlineStr">
        <is>
          <t>3B</t>
        </is>
      </c>
      <c r="G2887" s="9" t="n">
        <v>48</v>
      </c>
      <c r="H2887" s="9" t="n">
        <v>175</v>
      </c>
      <c r="I2887" s="9" t="inlineStr">
        <is>
          <t>Depth (no MLB PA)</t>
        </is>
      </c>
      <c r="J2887" s="16" t="inlineStr">
        <is>
          <t>Opening Day</t>
        </is>
      </c>
      <c r="K2887" s="11">
        <f>IFERROR(INDEX(Roles!$B$17:$B$20,MATCH(J2887,Roles!$A$17:$A$20,0)),1)</f>
        <v/>
      </c>
      <c r="L2887" s="17" t="n">
        <v>1</v>
      </c>
      <c r="M2887" s="11" t="n">
        <v>1</v>
      </c>
      <c r="N2887" s="17" t="n"/>
      <c r="O2887" s="17" t="n"/>
      <c r="P2887" s="17" t="n"/>
      <c r="Q2887" s="17" t="n"/>
      <c r="R2887" s="17" t="n"/>
      <c r="S2887" s="17" t="n"/>
      <c r="T2887" s="17" t="n"/>
      <c r="U2887" s="17" t="n"/>
      <c r="V2887" s="17" t="n"/>
      <c r="W2887" s="17" t="n"/>
      <c r="X2887" s="17" t="n"/>
      <c r="Y2887" s="17" t="n">
        <v>1</v>
      </c>
      <c r="Z2887" s="13">
        <f>SUMPRODUCT(N2887:Y2887,$N$2:$Y$2)*$K2887*$L2887*$M2887</f>
        <v/>
      </c>
      <c r="AA2887" s="14">
        <f>SUM(N2887:Y2887)</f>
        <v/>
      </c>
      <c r="AB2887" s="14">
        <f>IFERROR(IF(UPPER($E2887)="L",SUMPRODUCT(N2887:Y2887,$N$3:$Y$3,$N$2:$Y$2),SUMPRODUCT(N2887:Y2887,$N$4:$Y$4,$N$2:$Y$2))/(Z2887/($K2887*$L2887*$M2887)),"")</f>
        <v/>
      </c>
      <c r="AC2887" s="18" t="n"/>
    </row>
    <row r="2888">
      <c r="A2888" s="9" t="n">
        <v>663604</v>
      </c>
      <c r="B2888" s="9" t="inlineStr">
        <is>
          <t>Brandon Lockridge</t>
        </is>
      </c>
      <c r="C2888" s="9" t="inlineStr">
        <is>
          <t>MIL</t>
        </is>
      </c>
      <c r="D2888" s="9" t="n">
        <v>30</v>
      </c>
      <c r="E2888" s="16" t="inlineStr">
        <is>
          <t>R</t>
        </is>
      </c>
      <c r="F2888" s="16" t="inlineStr">
        <is>
          <t>LF</t>
        </is>
      </c>
      <c r="G2888" s="9" t="n">
        <v>113</v>
      </c>
      <c r="H2888" s="9" t="n">
        <v>273</v>
      </c>
      <c r="I2888" s="9" t="inlineStr">
        <is>
          <t>Bench Bat</t>
        </is>
      </c>
      <c r="J2888" s="16" t="inlineStr">
        <is>
          <t>Opening Day</t>
        </is>
      </c>
      <c r="K2888" s="11">
        <f>IFERROR(INDEX(Roles!$B$17:$B$20,MATCH(J2888,Roles!$A$17:$A$20,0)),1)</f>
        <v/>
      </c>
      <c r="L2888" s="17" t="n">
        <v>1</v>
      </c>
      <c r="M2888" s="11" t="n">
        <v>1</v>
      </c>
      <c r="N2888" s="17" t="n"/>
      <c r="O2888" s="17" t="n"/>
      <c r="P2888" s="17" t="n"/>
      <c r="Q2888" s="17" t="n"/>
      <c r="R2888" s="17" t="n"/>
      <c r="S2888" s="17" t="n"/>
      <c r="T2888" s="17" t="n"/>
      <c r="U2888" s="17" t="n"/>
      <c r="V2888" s="17" t="n">
        <v>0.4</v>
      </c>
      <c r="W2888" s="17" t="n">
        <v>0.6</v>
      </c>
      <c r="X2888" s="17" t="n"/>
      <c r="Y2888" s="17" t="n"/>
      <c r="Z2888" s="13">
        <f>SUMPRODUCT(N2888:Y2888,$N$2:$Y$2)*$K2888*$L2888*$M2888</f>
        <v/>
      </c>
      <c r="AA2888" s="14">
        <f>SUM(N2888:Y2888)</f>
        <v/>
      </c>
      <c r="AB2888" s="14">
        <f>IFERROR(IF(UPPER($E2888)="L",SUMPRODUCT(N2888:Y2888,$N$3:$Y$3,$N$2:$Y$2),SUMPRODUCT(N2888:Y2888,$N$4:$Y$4,$N$2:$Y$2))/(Z2888/($K2888*$L2888*$M2888)),"")</f>
        <v/>
      </c>
      <c r="AC2888" s="18" t="n"/>
    </row>
    <row r="2889">
      <c r="A2889" s="9" t="n">
        <v>608671</v>
      </c>
      <c r="B2889" s="9" t="inlineStr">
        <is>
          <t>Travis Jankowski</t>
        </is>
      </c>
      <c r="C2889" s="9" t="inlineStr">
        <is>
          <t>NYM</t>
        </is>
      </c>
      <c r="D2889" s="9" t="n">
        <v>36</v>
      </c>
      <c r="E2889" s="16" t="inlineStr">
        <is>
          <t>L</t>
        </is>
      </c>
      <c r="F2889" s="16" t="inlineStr">
        <is>
          <t>RF</t>
        </is>
      </c>
      <c r="G2889" s="9" t="n">
        <v>50</v>
      </c>
      <c r="H2889" s="9" t="n">
        <v>608</v>
      </c>
      <c r="I2889" s="9" t="inlineStr">
        <is>
          <t>Bench Bat</t>
        </is>
      </c>
      <c r="J2889" s="16" t="inlineStr">
        <is>
          <t>Opening Day</t>
        </is>
      </c>
      <c r="K2889" s="11">
        <f>IFERROR(INDEX(Roles!$B$17:$B$20,MATCH(J2889,Roles!$A$17:$A$20,0)),1)</f>
        <v/>
      </c>
      <c r="L2889" s="17" t="n">
        <v>1</v>
      </c>
      <c r="M2889" s="11" t="n">
        <v>1</v>
      </c>
      <c r="N2889" s="17" t="n"/>
      <c r="O2889" s="17" t="n"/>
      <c r="P2889" s="17" t="n"/>
      <c r="Q2889" s="17" t="n"/>
      <c r="R2889" s="17" t="n"/>
      <c r="S2889" s="17" t="n"/>
      <c r="T2889" s="17" t="n"/>
      <c r="U2889" s="17" t="n"/>
      <c r="V2889" s="17" t="n"/>
      <c r="W2889" s="17" t="n">
        <v>1</v>
      </c>
      <c r="X2889" s="17" t="n"/>
      <c r="Y2889" s="17" t="n"/>
      <c r="Z2889" s="13">
        <f>SUMPRODUCT(N2889:Y2889,$N$2:$Y$2)*$K2889*$L2889*$M2889</f>
        <v/>
      </c>
      <c r="AA2889" s="14">
        <f>SUM(N2889:Y2889)</f>
        <v/>
      </c>
      <c r="AB2889" s="14">
        <f>IFERROR(IF(UPPER($E2889)="L",SUMPRODUCT(N2889:Y2889,$N$3:$Y$3,$N$2:$Y$2),SUMPRODUCT(N2889:Y2889,$N$4:$Y$4,$N$2:$Y$2))/(Z2889/($K2889*$L2889*$M2889)),"")</f>
        <v/>
      </c>
      <c r="AC2889" s="18" t="n"/>
    </row>
    <row r="2890">
      <c r="A2890" s="9" t="n">
        <v>693049</v>
      </c>
      <c r="B2890" s="9" t="inlineStr">
        <is>
          <t>Oscar Colás</t>
        </is>
      </c>
      <c r="C2890" s="9" t="inlineStr">
        <is>
          <t>CWS</t>
        </is>
      </c>
      <c r="D2890" s="9" t="n">
        <v>28</v>
      </c>
      <c r="E2890" s="16" t="inlineStr">
        <is>
          <t>L</t>
        </is>
      </c>
      <c r="F2890" s="16" t="inlineStr">
        <is>
          <t>RF</t>
        </is>
      </c>
      <c r="G2890" s="9" t="n">
        <v>38</v>
      </c>
      <c r="H2890" s="9" t="n">
        <v>301</v>
      </c>
      <c r="I2890" s="9" t="inlineStr">
        <is>
          <t>Depth (no MLB PA)</t>
        </is>
      </c>
      <c r="J2890" s="16" t="inlineStr">
        <is>
          <t>Opening Day</t>
        </is>
      </c>
      <c r="K2890" s="11">
        <f>IFERROR(INDEX(Roles!$B$17:$B$20,MATCH(J2890,Roles!$A$17:$A$20,0)),1)</f>
        <v/>
      </c>
      <c r="L2890" s="17" t="n">
        <v>1</v>
      </c>
      <c r="M2890" s="11" t="n">
        <v>1</v>
      </c>
      <c r="N2890" s="17" t="n"/>
      <c r="O2890" s="17" t="n"/>
      <c r="P2890" s="17" t="n"/>
      <c r="Q2890" s="17" t="n"/>
      <c r="R2890" s="17" t="n"/>
      <c r="S2890" s="17" t="n"/>
      <c r="T2890" s="17" t="n"/>
      <c r="U2890" s="17" t="n"/>
      <c r="V2890" s="17" t="n"/>
      <c r="W2890" s="17" t="n"/>
      <c r="X2890" s="17" t="n"/>
      <c r="Y2890" s="17" t="n">
        <v>1</v>
      </c>
      <c r="Z2890" s="13">
        <f>SUMPRODUCT(N2890:Y2890,$N$2:$Y$2)*$K2890*$L2890*$M2890</f>
        <v/>
      </c>
      <c r="AA2890" s="14">
        <f>SUM(N2890:Y2890)</f>
        <v/>
      </c>
      <c r="AB2890" s="14">
        <f>IFERROR(IF(UPPER($E2890)="L",SUMPRODUCT(N2890:Y2890,$N$3:$Y$3,$N$2:$Y$2),SUMPRODUCT(N2890:Y2890,$N$4:$Y$4,$N$2:$Y$2))/(Z2890/($K2890*$L2890*$M2890)),"")</f>
        <v/>
      </c>
      <c r="AC2890" s="18" t="n"/>
    </row>
    <row r="2891">
      <c r="A2891" s="9" t="n">
        <v>640492</v>
      </c>
      <c r="B2891" s="9" t="inlineStr">
        <is>
          <t>José Azócar</t>
        </is>
      </c>
      <c r="C2891" s="9" t="inlineStr">
        <is>
          <t>SD</t>
        </is>
      </c>
      <c r="D2891" s="9" t="n">
        <v>31</v>
      </c>
      <c r="E2891" s="16" t="inlineStr">
        <is>
          <t>R</t>
        </is>
      </c>
      <c r="F2891" s="16" t="inlineStr">
        <is>
          <t>RF</t>
        </is>
      </c>
      <c r="G2891" s="9" t="n">
        <v>18</v>
      </c>
      <c r="H2891" s="9" t="n">
        <v>436</v>
      </c>
      <c r="I2891" s="9" t="inlineStr">
        <is>
          <t>Depth (no MLB PA)</t>
        </is>
      </c>
      <c r="J2891" s="16" t="inlineStr">
        <is>
          <t>Opening Day</t>
        </is>
      </c>
      <c r="K2891" s="11">
        <f>IFERROR(INDEX(Roles!$B$17:$B$20,MATCH(J2891,Roles!$A$17:$A$20,0)),1)</f>
        <v/>
      </c>
      <c r="L2891" s="17" t="n">
        <v>1</v>
      </c>
      <c r="M2891" s="11" t="n">
        <v>1</v>
      </c>
      <c r="N2891" s="17" t="n"/>
      <c r="O2891" s="17" t="n"/>
      <c r="P2891" s="17" t="n"/>
      <c r="Q2891" s="17" t="n"/>
      <c r="R2891" s="17" t="n"/>
      <c r="S2891" s="17" t="n"/>
      <c r="T2891" s="17" t="n"/>
      <c r="U2891" s="17" t="n"/>
      <c r="V2891" s="17" t="n"/>
      <c r="W2891" s="17" t="n"/>
      <c r="X2891" s="17" t="n"/>
      <c r="Y2891" s="17" t="n">
        <v>1</v>
      </c>
      <c r="Z2891" s="13">
        <f>SUMPRODUCT(N2891:Y2891,$N$2:$Y$2)*$K2891*$L2891*$M2891</f>
        <v/>
      </c>
      <c r="AA2891" s="14">
        <f>SUM(N2891:Y2891)</f>
        <v/>
      </c>
      <c r="AB2891" s="14">
        <f>IFERROR(IF(UPPER($E2891)="L",SUMPRODUCT(N2891:Y2891,$N$3:$Y$3,$N$2:$Y$2),SUMPRODUCT(N2891:Y2891,$N$4:$Y$4,$N$2:$Y$2))/(Z2891/($K2891*$L2891*$M2891)),"")</f>
        <v/>
      </c>
      <c r="AC2891" s="18" t="n"/>
    </row>
    <row r="2892">
      <c r="A2892" s="9" t="n">
        <v>657061</v>
      </c>
      <c r="B2892" s="9" t="inlineStr">
        <is>
          <t>Cole Tucker</t>
        </is>
      </c>
      <c r="C2892" s="9" t="inlineStr">
        <is>
          <t>LAA</t>
        </is>
      </c>
      <c r="D2892" s="9" t="n">
        <v>30</v>
      </c>
      <c r="E2892" s="16" t="inlineStr">
        <is>
          <t>S</t>
        </is>
      </c>
      <c r="F2892" s="16" t="inlineStr">
        <is>
          <t>3B</t>
        </is>
      </c>
      <c r="G2892" s="9" t="n">
        <v>57</v>
      </c>
      <c r="H2892" s="9" t="n">
        <v>130</v>
      </c>
      <c r="I2892" s="9" t="inlineStr">
        <is>
          <t>Depth (no MLB PA)</t>
        </is>
      </c>
      <c r="J2892" s="16" t="inlineStr">
        <is>
          <t>Opening Day</t>
        </is>
      </c>
      <c r="K2892" s="11">
        <f>IFERROR(INDEX(Roles!$B$17:$B$20,MATCH(J2892,Roles!$A$17:$A$20,0)),1)</f>
        <v/>
      </c>
      <c r="L2892" s="17" t="n">
        <v>1</v>
      </c>
      <c r="M2892" s="11" t="n">
        <v>1</v>
      </c>
      <c r="N2892" s="17" t="n"/>
      <c r="O2892" s="17" t="n"/>
      <c r="P2892" s="17" t="n"/>
      <c r="Q2892" s="17" t="n"/>
      <c r="R2892" s="17" t="n"/>
      <c r="S2892" s="17" t="n"/>
      <c r="T2892" s="17" t="n"/>
      <c r="U2892" s="17" t="n"/>
      <c r="V2892" s="17" t="n"/>
      <c r="W2892" s="17" t="n"/>
      <c r="X2892" s="17" t="n"/>
      <c r="Y2892" s="17" t="n">
        <v>1</v>
      </c>
      <c r="Z2892" s="13">
        <f>SUMPRODUCT(N2892:Y2892,$N$2:$Y$2)*$K2892*$L2892*$M2892</f>
        <v/>
      </c>
      <c r="AA2892" s="14">
        <f>SUM(N2892:Y2892)</f>
        <v/>
      </c>
      <c r="AB2892" s="14">
        <f>IFERROR(IF(UPPER($E2892)="L",SUMPRODUCT(N2892:Y2892,$N$3:$Y$3,$N$2:$Y$2),SUMPRODUCT(N2892:Y2892,$N$4:$Y$4,$N$2:$Y$2))/(Z2892/($K2892*$L2892*$M2892)),"")</f>
        <v/>
      </c>
      <c r="AC2892" s="18" t="n"/>
    </row>
    <row r="2893">
      <c r="A2893" s="9" t="n">
        <v>702358</v>
      </c>
      <c r="B2893" s="9" t="inlineStr">
        <is>
          <t>Trey Lipscomb</t>
        </is>
      </c>
      <c r="C2893" s="9" t="inlineStr">
        <is>
          <t>WSH</t>
        </is>
      </c>
      <c r="D2893" s="9" t="n">
        <v>27</v>
      </c>
      <c r="E2893" s="16" t="inlineStr">
        <is>
          <t>R</t>
        </is>
      </c>
      <c r="F2893" s="16" t="inlineStr">
        <is>
          <t>3B</t>
        </is>
      </c>
      <c r="G2893" s="9" t="n">
        <v>4</v>
      </c>
      <c r="H2893" s="9" t="n">
        <v>215</v>
      </c>
      <c r="I2893" s="9" t="inlineStr">
        <is>
          <t>Depth (no MLB PA)</t>
        </is>
      </c>
      <c r="J2893" s="16" t="inlineStr">
        <is>
          <t>Opening Day</t>
        </is>
      </c>
      <c r="K2893" s="11">
        <f>IFERROR(INDEX(Roles!$B$17:$B$20,MATCH(J2893,Roles!$A$17:$A$20,0)),1)</f>
        <v/>
      </c>
      <c r="L2893" s="17" t="n">
        <v>1</v>
      </c>
      <c r="M2893" s="11" t="n">
        <v>1</v>
      </c>
      <c r="N2893" s="17" t="n"/>
      <c r="O2893" s="17" t="n"/>
      <c r="P2893" s="17" t="n"/>
      <c r="Q2893" s="17" t="n"/>
      <c r="R2893" s="17" t="n"/>
      <c r="S2893" s="17" t="n"/>
      <c r="T2893" s="17" t="n"/>
      <c r="U2893" s="17" t="n"/>
      <c r="V2893" s="17" t="n"/>
      <c r="W2893" s="17" t="n"/>
      <c r="X2893" s="17" t="n"/>
      <c r="Y2893" s="17" t="n">
        <v>1</v>
      </c>
      <c r="Z2893" s="13">
        <f>SUMPRODUCT(N2893:Y2893,$N$2:$Y$2)*$K2893*$L2893*$M2893</f>
        <v/>
      </c>
      <c r="AA2893" s="14">
        <f>SUM(N2893:Y2893)</f>
        <v/>
      </c>
      <c r="AB2893" s="14">
        <f>IFERROR(IF(UPPER($E2893)="L",SUMPRODUCT(N2893:Y2893,$N$3:$Y$3,$N$2:$Y$2),SUMPRODUCT(N2893:Y2893,$N$4:$Y$4,$N$2:$Y$2))/(Z2893/($K2893*$L2893*$M2893)),"")</f>
        <v/>
      </c>
      <c r="AC2893" s="18" t="n"/>
    </row>
    <row r="2894">
      <c r="A2894" s="9" t="n">
        <v>663611</v>
      </c>
      <c r="B2894" s="9" t="inlineStr">
        <is>
          <t>Nick Madrigal</t>
        </is>
      </c>
      <c r="C2894" s="9" t="inlineStr">
        <is>
          <t>TB</t>
        </is>
      </c>
      <c r="D2894" s="9" t="n">
        <v>30</v>
      </c>
      <c r="E2894" s="16" t="inlineStr">
        <is>
          <t>R</t>
        </is>
      </c>
      <c r="F2894" s="16" t="inlineStr">
        <is>
          <t>2B</t>
        </is>
      </c>
      <c r="G2894" s="9" t="n">
        <v>63</v>
      </c>
      <c r="H2894" s="9" t="n">
        <v>679</v>
      </c>
      <c r="I2894" s="9" t="inlineStr">
        <is>
          <t>Bench Bat</t>
        </is>
      </c>
      <c r="J2894" s="16" t="inlineStr">
        <is>
          <t>Opening Day</t>
        </is>
      </c>
      <c r="K2894" s="11">
        <f>IFERROR(INDEX(Roles!$B$17:$B$20,MATCH(J2894,Roles!$A$17:$A$20,0)),1)</f>
        <v/>
      </c>
      <c r="L2894" s="17" t="n">
        <v>1</v>
      </c>
      <c r="M2894" s="11" t="n">
        <v>1</v>
      </c>
      <c r="N2894" s="17" t="n"/>
      <c r="O2894" s="17" t="n"/>
      <c r="P2894" s="17" t="n"/>
      <c r="Q2894" s="17" t="n"/>
      <c r="R2894" s="17" t="n"/>
      <c r="S2894" s="17" t="n"/>
      <c r="T2894" s="17" t="n"/>
      <c r="U2894" s="17" t="n"/>
      <c r="V2894" s="17" t="n"/>
      <c r="W2894" s="17" t="n">
        <v>1</v>
      </c>
      <c r="X2894" s="17" t="n"/>
      <c r="Y2894" s="17" t="n"/>
      <c r="Z2894" s="13">
        <f>SUMPRODUCT(N2894:Y2894,$N$2:$Y$2)*$K2894*$L2894*$M2894</f>
        <v/>
      </c>
      <c r="AA2894" s="14">
        <f>SUM(N2894:Y2894)</f>
        <v/>
      </c>
      <c r="AB2894" s="14">
        <f>IFERROR(IF(UPPER($E2894)="L",SUMPRODUCT(N2894:Y2894,$N$3:$Y$3,$N$2:$Y$2),SUMPRODUCT(N2894:Y2894,$N$4:$Y$4,$N$2:$Y$2))/(Z2894/($K2894*$L2894*$M2894)),"")</f>
        <v/>
      </c>
      <c r="AC2894" s="18" t="n"/>
    </row>
    <row r="2895">
      <c r="A2895" s="9" t="n">
        <v>641313</v>
      </c>
      <c r="B2895" s="9" t="inlineStr">
        <is>
          <t>Tim Anderson</t>
        </is>
      </c>
      <c r="C2895" s="9" t="inlineStr">
        <is>
          <t>LAA</t>
        </is>
      </c>
      <c r="D2895" s="9" t="n">
        <v>34</v>
      </c>
      <c r="E2895" s="16" t="inlineStr">
        <is>
          <t>R</t>
        </is>
      </c>
      <c r="F2895" s="16" t="inlineStr">
        <is>
          <t>2B</t>
        </is>
      </c>
      <c r="G2895" s="9" t="n">
        <v>90</v>
      </c>
      <c r="H2895" s="9" t="n">
        <v>1206</v>
      </c>
      <c r="I2895" s="9" t="inlineStr">
        <is>
          <t>Bench Bat</t>
        </is>
      </c>
      <c r="J2895" s="16" t="inlineStr">
        <is>
          <t>Opening Day</t>
        </is>
      </c>
      <c r="K2895" s="11">
        <f>IFERROR(INDEX(Roles!$B$17:$B$20,MATCH(J2895,Roles!$A$17:$A$20,0)),1)</f>
        <v/>
      </c>
      <c r="L2895" s="17" t="n">
        <v>1</v>
      </c>
      <c r="M2895" s="11" t="n">
        <v>1</v>
      </c>
      <c r="N2895" s="17" t="n"/>
      <c r="O2895" s="17" t="n"/>
      <c r="P2895" s="17" t="n"/>
      <c r="Q2895" s="17" t="n"/>
      <c r="R2895" s="17" t="n"/>
      <c r="S2895" s="17" t="n"/>
      <c r="T2895" s="17" t="n"/>
      <c r="U2895" s="17" t="n"/>
      <c r="V2895" s="17" t="n"/>
      <c r="W2895" s="17" t="n">
        <v>1</v>
      </c>
      <c r="X2895" s="17" t="n"/>
      <c r="Y2895" s="17" t="n"/>
      <c r="Z2895" s="13">
        <f>SUMPRODUCT(N2895:Y2895,$N$2:$Y$2)*$K2895*$L2895*$M2895</f>
        <v/>
      </c>
      <c r="AA2895" s="14">
        <f>SUM(N2895:Y2895)</f>
        <v/>
      </c>
      <c r="AB2895" s="14">
        <f>IFERROR(IF(UPPER($E2895)="L",SUMPRODUCT(N2895:Y2895,$N$3:$Y$3,$N$2:$Y$2),SUMPRODUCT(N2895:Y2895,$N$4:$Y$4,$N$2:$Y$2))/(Z2895/($K2895*$L2895*$M2895)),"")</f>
        <v/>
      </c>
      <c r="AC2895" s="18" t="n"/>
    </row>
    <row r="2896">
      <c r="A2896" s="9" t="n">
        <v>670032</v>
      </c>
      <c r="B2896" s="9" t="inlineStr">
        <is>
          <t>Nicky Lopez</t>
        </is>
      </c>
      <c r="C2896" s="9" t="inlineStr">
        <is>
          <t>TEX</t>
        </is>
      </c>
      <c r="D2896" s="9" t="n">
        <v>32</v>
      </c>
      <c r="E2896" s="16" t="inlineStr">
        <is>
          <t>L</t>
        </is>
      </c>
      <c r="F2896" s="16" t="inlineStr">
        <is>
          <t>2B</t>
        </is>
      </c>
      <c r="G2896" s="9" t="n">
        <v>270</v>
      </c>
      <c r="H2896" s="9" t="n">
        <v>1485</v>
      </c>
      <c r="I2896" s="9" t="inlineStr">
        <is>
          <t>Strong Side Platoon</t>
        </is>
      </c>
      <c r="J2896" s="16" t="inlineStr">
        <is>
          <t>Opening Day</t>
        </is>
      </c>
      <c r="K2896" s="11">
        <f>IFERROR(INDEX(Roles!$B$17:$B$20,MATCH(J2896,Roles!$A$17:$A$20,0)),1)</f>
        <v/>
      </c>
      <c r="L2896" s="17" t="n">
        <v>1</v>
      </c>
      <c r="M2896" s="11" t="n">
        <v>0.8172663726721672</v>
      </c>
      <c r="N2896" s="17" t="n"/>
      <c r="O2896" s="17" t="n"/>
      <c r="P2896" s="17" t="n">
        <v>0.6</v>
      </c>
      <c r="Q2896" s="17" t="n"/>
      <c r="R2896" s="17" t="n"/>
      <c r="S2896" s="17" t="n"/>
      <c r="T2896" s="17" t="n"/>
      <c r="U2896" s="17" t="n">
        <v>0.4</v>
      </c>
      <c r="V2896" s="17" t="n"/>
      <c r="W2896" s="17" t="n"/>
      <c r="X2896" s="17" t="n"/>
      <c r="Y2896" s="17" t="n"/>
      <c r="Z2896" s="13">
        <f>SUMPRODUCT(N2896:Y2896,$N$2:$Y$2)*$K2896*$L2896*$M2896</f>
        <v/>
      </c>
      <c r="AA2896" s="14">
        <f>SUM(N2896:Y2896)</f>
        <v/>
      </c>
      <c r="AB2896" s="14">
        <f>IFERROR(IF(UPPER($E2896)="L",SUMPRODUCT(N2896:Y2896,$N$3:$Y$3,$N$2:$Y$2),SUMPRODUCT(N2896:Y2896,$N$4:$Y$4,$N$2:$Y$2))/(Z2896/($K2896*$L2896*$M2896)),"")</f>
        <v/>
      </c>
      <c r="AC2896" s="18" t="n"/>
    </row>
    <row r="2897">
      <c r="A2897" s="9" t="n">
        <v>676070</v>
      </c>
      <c r="B2897" s="9" t="inlineStr">
        <is>
          <t>Jacob Amaya</t>
        </is>
      </c>
      <c r="C2897" s="9" t="inlineStr">
        <is>
          <t>CWS</t>
        </is>
      </c>
      <c r="D2897" s="9" t="n">
        <v>28</v>
      </c>
      <c r="E2897" s="16" t="inlineStr">
        <is>
          <t>R</t>
        </is>
      </c>
      <c r="F2897" s="16" t="inlineStr">
        <is>
          <t>SS</t>
        </is>
      </c>
      <c r="G2897" s="9" t="n">
        <v>73</v>
      </c>
      <c r="H2897" s="9" t="n">
        <v>154</v>
      </c>
      <c r="I2897" s="9" t="inlineStr">
        <is>
          <t>Bench Bat</t>
        </is>
      </c>
      <c r="J2897" s="16" t="inlineStr">
        <is>
          <t>Opening Day</t>
        </is>
      </c>
      <c r="K2897" s="11">
        <f>IFERROR(INDEX(Roles!$B$17:$B$20,MATCH(J2897,Roles!$A$17:$A$20,0)),1)</f>
        <v/>
      </c>
      <c r="L2897" s="17" t="n">
        <v>1</v>
      </c>
      <c r="M2897" s="11" t="n">
        <v>1</v>
      </c>
      <c r="N2897" s="17" t="n"/>
      <c r="O2897" s="17" t="n"/>
      <c r="P2897" s="17" t="n"/>
      <c r="Q2897" s="17" t="n"/>
      <c r="R2897" s="17" t="n"/>
      <c r="S2897" s="17" t="n"/>
      <c r="T2897" s="17" t="n"/>
      <c r="U2897" s="17" t="n"/>
      <c r="V2897" s="17" t="n"/>
      <c r="W2897" s="17" t="n">
        <v>1</v>
      </c>
      <c r="X2897" s="17" t="n"/>
      <c r="Y2897" s="17" t="n"/>
      <c r="Z2897" s="13">
        <f>SUMPRODUCT(N2897:Y2897,$N$2:$Y$2)*$K2897*$L2897*$M2897</f>
        <v/>
      </c>
      <c r="AA2897" s="14">
        <f>SUM(N2897:Y2897)</f>
        <v/>
      </c>
      <c r="AB2897" s="14">
        <f>IFERROR(IF(UPPER($E2897)="L",SUMPRODUCT(N2897:Y2897,$N$3:$Y$3,$N$2:$Y$2),SUMPRODUCT(N2897:Y2897,$N$4:$Y$4,$N$2:$Y$2))/(Z2897/($K2897*$L2897*$M2897)),"")</f>
        <v/>
      </c>
      <c r="AC2897" s="18" t="n"/>
    </row>
    <row r="2898">
      <c r="A2898" s="9" t="n">
        <v>682183</v>
      </c>
      <c r="B2898" s="9" t="inlineStr">
        <is>
          <t>Drew Avans</t>
        </is>
      </c>
      <c r="C2898" s="9" t="inlineStr">
        <is>
          <t>MIL</t>
        </is>
      </c>
      <c r="D2898" s="9" t="n">
        <v>31</v>
      </c>
      <c r="E2898" s="16" t="inlineStr">
        <is>
          <t>L</t>
        </is>
      </c>
      <c r="F2898" s="16" t="inlineStr">
        <is>
          <t>LF</t>
        </is>
      </c>
      <c r="G2898" s="9" t="n">
        <v>18</v>
      </c>
      <c r="H2898" s="9" t="n">
        <v>18</v>
      </c>
      <c r="I2898" s="9" t="inlineStr">
        <is>
          <t>Depth (no MLB PA)</t>
        </is>
      </c>
      <c r="J2898" s="16" t="inlineStr">
        <is>
          <t>Opening Day</t>
        </is>
      </c>
      <c r="K2898" s="11">
        <f>IFERROR(INDEX(Roles!$B$17:$B$20,MATCH(J2898,Roles!$A$17:$A$20,0)),1)</f>
        <v/>
      </c>
      <c r="L2898" s="17" t="n">
        <v>1</v>
      </c>
      <c r="M2898" s="11" t="n">
        <v>1</v>
      </c>
      <c r="N2898" s="17" t="n"/>
      <c r="O2898" s="17" t="n"/>
      <c r="P2898" s="17" t="n"/>
      <c r="Q2898" s="17" t="n"/>
      <c r="R2898" s="17" t="n"/>
      <c r="S2898" s="17" t="n"/>
      <c r="T2898" s="17" t="n"/>
      <c r="U2898" s="17" t="n"/>
      <c r="V2898" s="17" t="n"/>
      <c r="W2898" s="17" t="n"/>
      <c r="X2898" s="17" t="n"/>
      <c r="Y2898" s="17" t="n">
        <v>1</v>
      </c>
      <c r="Z2898" s="13">
        <f>SUMPRODUCT(N2898:Y2898,$N$2:$Y$2)*$K2898*$L2898*$M2898</f>
        <v/>
      </c>
      <c r="AA2898" s="14">
        <f>SUM(N2898:Y2898)</f>
        <v/>
      </c>
      <c r="AB2898" s="14">
        <f>IFERROR(IF(UPPER($E2898)="L",SUMPRODUCT(N2898:Y2898,$N$3:$Y$3,$N$2:$Y$2),SUMPRODUCT(N2898:Y2898,$N$4:$Y$4,$N$2:$Y$2))/(Z2898/($K2898*$L2898*$M2898)),"")</f>
        <v/>
      </c>
      <c r="AC2898" s="18" t="n"/>
    </row>
    <row r="2899">
      <c r="A2899" s="9" t="n">
        <v>802415</v>
      </c>
      <c r="B2899" s="9" t="inlineStr">
        <is>
          <t>Chandler Simpson</t>
        </is>
      </c>
      <c r="C2899" s="9" t="inlineStr">
        <is>
          <t>TB</t>
        </is>
      </c>
      <c r="D2899" s="9" t="n">
        <v>26</v>
      </c>
      <c r="E2899" s="16" t="inlineStr">
        <is>
          <t>L</t>
        </is>
      </c>
      <c r="F2899" s="16" t="inlineStr">
        <is>
          <t>LF</t>
        </is>
      </c>
      <c r="G2899" s="9" t="n">
        <v>612</v>
      </c>
      <c r="H2899" s="9" t="n">
        <v>1053</v>
      </c>
      <c r="I2899" s="9" t="inlineStr">
        <is>
          <t>Full Time</t>
        </is>
      </c>
      <c r="J2899" s="16" t="inlineStr">
        <is>
          <t>Opening Day</t>
        </is>
      </c>
      <c r="K2899" s="11">
        <f>IFERROR(INDEX(Roles!$B$17:$B$20,MATCH(J2899,Roles!$A$17:$A$20,0)),1)</f>
        <v/>
      </c>
      <c r="L2899" s="17" t="n">
        <v>1</v>
      </c>
      <c r="M2899" s="11" t="n">
        <v>1.047259820928346</v>
      </c>
      <c r="N2899" s="17" t="n">
        <v>1</v>
      </c>
      <c r="O2899" s="17" t="n"/>
      <c r="P2899" s="17" t="n"/>
      <c r="Q2899" s="17" t="n"/>
      <c r="R2899" s="17" t="n"/>
      <c r="S2899" s="17" t="n"/>
      <c r="T2899" s="17" t="n"/>
      <c r="U2899" s="17" t="n"/>
      <c r="V2899" s="17" t="n"/>
      <c r="W2899" s="17" t="n"/>
      <c r="X2899" s="17" t="n"/>
      <c r="Y2899" s="17" t="n"/>
      <c r="Z2899" s="13">
        <f>SUMPRODUCT(N2899:Y2899,$N$2:$Y$2)*$K2899*$L2899*$M2899</f>
        <v/>
      </c>
      <c r="AA2899" s="14">
        <f>SUM(N2899:Y2899)</f>
        <v/>
      </c>
      <c r="AB2899" s="14">
        <f>IFERROR(IF(UPPER($E2899)="L",SUMPRODUCT(N2899:Y2899,$N$3:$Y$3,$N$2:$Y$2),SUMPRODUCT(N2899:Y2899,$N$4:$Y$4,$N$2:$Y$2))/(Z2899/($K2899*$L2899*$M2899)),"")</f>
        <v/>
      </c>
      <c r="AC2899" s="18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3" customWidth="1" min="3" max="3"/>
    <col width="13" customWidth="1" min="4" max="4"/>
    <col width="78" customWidth="1" min="5" max="5"/>
  </cols>
  <sheetData>
    <row r="1" ht="46" customHeight="1">
      <c r="A1" s="3" t="inlineStr">
        <is>
          <t>Role</t>
        </is>
      </c>
      <c r="B1" s="3" t="inlineStr">
        <is>
          <t>PA Anchor</t>
        </is>
      </c>
      <c r="C1" s="3" t="inlineStr">
        <is>
          <t>vL Share (LHB)</t>
        </is>
      </c>
      <c r="D1" s="3" t="inlineStr">
        <is>
          <t>vL Share (RHB)</t>
        </is>
      </c>
      <c r="E1" s="3" t="inlineStr">
        <is>
          <t>Definition / notes</t>
        </is>
      </c>
    </row>
    <row r="2" ht="30" customHeight="1">
      <c r="A2" s="9" t="inlineStr">
        <is>
          <t>Full Time</t>
        </is>
      </c>
      <c r="B2" s="19" t="n">
        <v>630</v>
      </c>
      <c r="C2" s="20" t="n">
        <v>0.26</v>
      </c>
      <c r="D2" s="20" t="n">
        <v>0.29</v>
      </c>
      <c r="E2" s="21" t="inlineStr">
        <is>
          <t>Everyday regular, ~150 games. Sees the league handedness mix.</t>
        </is>
      </c>
    </row>
    <row r="3" ht="30" customHeight="1">
      <c r="A3" s="9" t="inlineStr">
        <is>
          <t>Everyday DH / 1B-DH</t>
        </is>
      </c>
      <c r="B3" s="19" t="n">
        <v>600</v>
      </c>
      <c r="C3" s="20" t="n">
        <v>0.26</v>
      </c>
      <c r="D3" s="20" t="n">
        <v>0.29</v>
      </c>
      <c r="E3" s="21" t="inlineStr">
        <is>
          <t>Rarely rested, no defensive injury exposure.</t>
        </is>
      </c>
    </row>
    <row r="4" ht="30" customHeight="1">
      <c r="A4" s="9" t="inlineStr">
        <is>
          <t>Strong Side Platoon</t>
        </is>
      </c>
      <c r="B4" s="19" t="n">
        <v>480</v>
      </c>
      <c r="C4" s="20" t="n">
        <v>0.12</v>
      </c>
      <c r="D4" s="20" t="n">
        <v>0.45</v>
      </c>
      <c r="E4" s="21" t="inlineStr">
        <is>
          <t>The high-volume half of a platoon — usually a LHB who sits against LHP. Plays the majority of games.</t>
        </is>
      </c>
    </row>
    <row r="5" ht="30" customHeight="1">
      <c r="A5" s="9" t="inlineStr">
        <is>
          <t>Weak Side Platoon</t>
        </is>
      </c>
      <c r="B5" s="19" t="n">
        <v>230</v>
      </c>
      <c r="C5" s="20" t="n">
        <v>0.08</v>
      </c>
      <c r="D5" s="20" t="n">
        <v>0.68</v>
      </c>
      <c r="E5" s="21" t="inlineStr">
        <is>
          <t>The low-volume half — usually a RHB who plays mostly against LHP. Only ~28% of league PA are vs LHP, which caps his volume.</t>
        </is>
      </c>
    </row>
    <row r="6" ht="30" customHeight="1">
      <c r="A6" s="9" t="inlineStr">
        <is>
          <t>Catcher - Primary</t>
        </is>
      </c>
      <c r="B6" s="19" t="n">
        <v>500</v>
      </c>
      <c r="C6" s="20" t="n">
        <v>0.26</v>
      </c>
      <c r="D6" s="20" t="n">
        <v>0.29</v>
      </c>
      <c r="E6" s="21" t="inlineStr">
        <is>
          <t>CATCHERS HAVE THEIR OWN LADDER. A full-time catcher is ~500 PA, not 630 — applying the Full Time anchor over-projects every catcher in baseball by ~120 PA.</t>
        </is>
      </c>
    </row>
    <row r="7" ht="30" customHeight="1">
      <c r="A7" s="9" t="inlineStr">
        <is>
          <t>Catcher - Tandem</t>
        </is>
      </c>
      <c r="B7" s="19" t="n">
        <v>340</v>
      </c>
      <c r="C7" s="20" t="n">
        <v>0.22</v>
      </c>
      <c r="D7" s="20" t="n">
        <v>0.38</v>
      </c>
      <c r="E7" s="21" t="inlineStr">
        <is>
          <t>Roughly even split with a partner; often matchup-managed.</t>
        </is>
      </c>
    </row>
    <row r="8" ht="30" customHeight="1">
      <c r="A8" s="9" t="inlineStr">
        <is>
          <t>Catcher - Backup</t>
        </is>
      </c>
      <c r="B8" s="19" t="n">
        <v>180</v>
      </c>
      <c r="C8" s="20" t="n">
        <v>0.24</v>
      </c>
      <c r="D8" s="20" t="n">
        <v>0.33</v>
      </c>
      <c r="E8" s="21" t="inlineStr">
        <is>
          <t>Clear #2, starts ~45-55 games.</t>
        </is>
      </c>
    </row>
    <row r="9" ht="30" customHeight="1">
      <c r="A9" s="9" t="inlineStr">
        <is>
          <t>Utility IF</t>
        </is>
      </c>
      <c r="B9" s="19" t="n">
        <v>290</v>
      </c>
      <c r="C9" s="20" t="n">
        <v>0.26</v>
      </c>
      <c r="D9" s="20" t="n">
        <v>0.31</v>
      </c>
      <c r="E9" s="21" t="inlineStr">
        <is>
          <t>Covers multiple infield spots; volume depends on incumbents' health.</t>
        </is>
      </c>
    </row>
    <row r="10" ht="30" customHeight="1">
      <c r="A10" s="9" t="inlineStr">
        <is>
          <t>Utility OF / 4th OF</t>
        </is>
      </c>
      <c r="B10" s="19" t="n">
        <v>300</v>
      </c>
      <c r="C10" s="20" t="n">
        <v>0.24</v>
      </c>
      <c r="D10" s="20" t="n">
        <v>0.33</v>
      </c>
      <c r="E10" s="21" t="inlineStr">
        <is>
          <t>Distinct from Utility IF — different volume and platoon usage.</t>
        </is>
      </c>
    </row>
    <row r="11" ht="30" customHeight="1">
      <c r="A11" s="9" t="inlineStr">
        <is>
          <t>Bench Bat</t>
        </is>
      </c>
      <c r="B11" s="19" t="n">
        <v>150</v>
      </c>
      <c r="C11" s="20" t="n">
        <v>0.22</v>
      </c>
      <c r="D11" s="20" t="n">
        <v>0.36</v>
      </c>
      <c r="E11" s="21" t="inlineStr">
        <is>
          <t>Pinch-hits and spot starts.</t>
        </is>
      </c>
    </row>
    <row r="12" ht="30" customHeight="1">
      <c r="A12" s="9" t="inlineStr">
        <is>
          <t>Injury Replacement / 26th Man</t>
        </is>
      </c>
      <c r="B12" s="19" t="n">
        <v>90</v>
      </c>
      <c r="C12" s="20" t="n">
        <v>0.26</v>
      </c>
      <c r="D12" s="20" t="n">
        <v>0.29</v>
      </c>
      <c r="E12" s="21" t="inlineStr">
        <is>
          <t>Plays only when someone ahead of him is hurt. His volume is conditional on OTHER players' injuries — a team-level coupling that ultimately needs simulating, not a point estimate.</t>
        </is>
      </c>
    </row>
    <row r="13" ht="30" customHeight="1">
      <c r="A13" s="9" t="inlineStr">
        <is>
          <t>Depth (no MLB PA)</t>
        </is>
      </c>
      <c r="B13" s="19" t="n">
        <v>1</v>
      </c>
      <c r="C13" s="20" t="n">
        <v>0.26</v>
      </c>
      <c r="D13" s="20" t="n">
        <v>0.29</v>
      </c>
      <c r="E13" s="21" t="inlineStr">
        <is>
          <t>Organizational depth. Hits the 1 PA floor (PT_FLOOR_PA) so he stays present and joinable without moving any aggregate.</t>
        </is>
      </c>
    </row>
    <row r="15">
      <c r="A15" s="1" t="inlineStr">
        <is>
          <t>Role Start -&gt; Role Share</t>
        </is>
      </c>
    </row>
    <row r="16" ht="46" customHeight="1">
      <c r="A16" s="3" t="inlineStr">
        <is>
          <t>Role Start</t>
        </is>
      </c>
      <c r="B16" s="3" t="inlineStr">
        <is>
          <t>Role Share</t>
        </is>
      </c>
      <c r="C16" s="3" t="inlineStr">
        <is>
          <t>Meaning</t>
        </is>
      </c>
    </row>
    <row r="17">
      <c r="A17" s="9" t="inlineStr">
        <is>
          <t>Opening Day</t>
        </is>
      </c>
      <c r="B17" s="20" t="n">
        <v>1</v>
      </c>
      <c r="C17" s="9" t="inlineStr">
        <is>
          <t>On the roster from day one.</t>
        </is>
      </c>
    </row>
    <row r="18">
      <c r="A18" s="9" t="inlineStr">
        <is>
          <t>Early Season (~May)</t>
        </is>
      </c>
      <c r="B18" s="20" t="n">
        <v>0.8</v>
      </c>
      <c r="C18" s="9" t="inlineStr">
        <is>
          <t>Called up or activated in April/May.</t>
        </is>
      </c>
    </row>
    <row r="19">
      <c r="A19" s="9" t="inlineStr">
        <is>
          <t>Mid Season (~July)</t>
        </is>
      </c>
      <c r="B19" s="20" t="n">
        <v>0.5</v>
      </c>
      <c r="C19" s="9" t="inlineStr">
        <is>
          <t>Mid-season callup, or back from a long IL stay.</t>
        </is>
      </c>
    </row>
    <row r="20">
      <c r="A20" s="9" t="inlineStr">
        <is>
          <t>Late Season (~Sept)</t>
        </is>
      </c>
      <c r="B20" s="20" t="n">
        <v>0.2</v>
      </c>
      <c r="C20" s="9" t="inlineStr">
        <is>
          <t>September callup / late activation.</t>
        </is>
      </c>
    </row>
    <row r="22">
      <c r="A22" s="22" t="inlineStr">
        <is>
          <t>Anchors are per 162 team games at full availability with the role held all season. Multiply by Role Share and Availability.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70" customWidth="1" min="3" max="3"/>
  </cols>
  <sheetData>
    <row r="1" ht="46" customHeight="1">
      <c r="A1" s="3" t="inlineStr">
        <is>
          <t>Team</t>
        </is>
      </c>
      <c r="B1" s="3" t="inlineStr">
        <is>
          <t>pa_share</t>
        </is>
      </c>
      <c r="C1" s="3" t="inlineStr">
        <is>
          <t>Expected signing / note</t>
        </is>
      </c>
    </row>
    <row r="2">
      <c r="A2" s="9" t="inlineStr">
        <is>
          <t>ARI</t>
        </is>
      </c>
      <c r="B2" s="23" t="n">
        <v>0</v>
      </c>
      <c r="C2" s="24" t="n"/>
    </row>
    <row r="3">
      <c r="A3" s="9" t="inlineStr">
        <is>
          <t>ATL</t>
        </is>
      </c>
      <c r="B3" s="23" t="n">
        <v>0</v>
      </c>
      <c r="C3" s="24" t="n"/>
    </row>
    <row r="4">
      <c r="A4" s="9" t="inlineStr">
        <is>
          <t>BAL</t>
        </is>
      </c>
      <c r="B4" s="23" t="n">
        <v>0</v>
      </c>
      <c r="C4" s="24" t="n"/>
    </row>
    <row r="5">
      <c r="A5" s="9" t="inlineStr">
        <is>
          <t>BOS</t>
        </is>
      </c>
      <c r="B5" s="23" t="n">
        <v>0</v>
      </c>
      <c r="C5" s="24" t="n"/>
    </row>
    <row r="6">
      <c r="A6" s="9" t="inlineStr">
        <is>
          <t>CHC</t>
        </is>
      </c>
      <c r="B6" s="23" t="n">
        <v>0</v>
      </c>
      <c r="C6" s="24" t="n"/>
    </row>
    <row r="7">
      <c r="A7" s="9" t="inlineStr">
        <is>
          <t>CIN</t>
        </is>
      </c>
      <c r="B7" s="23" t="n">
        <v>0</v>
      </c>
      <c r="C7" s="24" t="n"/>
    </row>
    <row r="8">
      <c r="A8" s="9" t="inlineStr">
        <is>
          <t>CLE</t>
        </is>
      </c>
      <c r="B8" s="23" t="n">
        <v>0</v>
      </c>
      <c r="C8" s="24" t="n"/>
    </row>
    <row r="9">
      <c r="A9" s="9" t="inlineStr">
        <is>
          <t>COL</t>
        </is>
      </c>
      <c r="B9" s="23" t="n">
        <v>0</v>
      </c>
      <c r="C9" s="24" t="n"/>
    </row>
    <row r="10">
      <c r="A10" s="9" t="inlineStr">
        <is>
          <t>CWS</t>
        </is>
      </c>
      <c r="B10" s="23" t="n">
        <v>0</v>
      </c>
      <c r="C10" s="24" t="n"/>
    </row>
    <row r="11">
      <c r="A11" s="9" t="inlineStr">
        <is>
          <t>DET</t>
        </is>
      </c>
      <c r="B11" s="23" t="n">
        <v>0</v>
      </c>
      <c r="C11" s="24" t="n"/>
    </row>
    <row r="12">
      <c r="A12" s="9" t="inlineStr">
        <is>
          <t>HOU</t>
        </is>
      </c>
      <c r="B12" s="23" t="n">
        <v>0</v>
      </c>
      <c r="C12" s="24" t="n"/>
    </row>
    <row r="13">
      <c r="A13" s="9" t="inlineStr">
        <is>
          <t>KC</t>
        </is>
      </c>
      <c r="B13" s="23" t="n">
        <v>0</v>
      </c>
      <c r="C13" s="24" t="n"/>
    </row>
    <row r="14">
      <c r="A14" s="9" t="inlineStr">
        <is>
          <t>LAA</t>
        </is>
      </c>
      <c r="B14" s="23" t="n">
        <v>0</v>
      </c>
      <c r="C14" s="24" t="n"/>
    </row>
    <row r="15">
      <c r="A15" s="9" t="inlineStr">
        <is>
          <t>LAD</t>
        </is>
      </c>
      <c r="B15" s="23" t="n">
        <v>0</v>
      </c>
      <c r="C15" s="24" t="n"/>
    </row>
    <row r="16">
      <c r="A16" s="9" t="inlineStr">
        <is>
          <t>MIA</t>
        </is>
      </c>
      <c r="B16" s="23" t="n">
        <v>0</v>
      </c>
      <c r="C16" s="24" t="n"/>
    </row>
    <row r="17">
      <c r="A17" s="9" t="inlineStr">
        <is>
          <t>MIL</t>
        </is>
      </c>
      <c r="B17" s="23" t="n">
        <v>0</v>
      </c>
      <c r="C17" s="24" t="n"/>
    </row>
    <row r="18">
      <c r="A18" s="9" t="inlineStr">
        <is>
          <t>MIN</t>
        </is>
      </c>
      <c r="B18" s="23" t="n">
        <v>0</v>
      </c>
      <c r="C18" s="24" t="n"/>
    </row>
    <row r="19">
      <c r="A19" s="9" t="inlineStr">
        <is>
          <t>NYM</t>
        </is>
      </c>
      <c r="B19" s="23" t="n">
        <v>0</v>
      </c>
      <c r="C19" s="24" t="n"/>
    </row>
    <row r="20">
      <c r="A20" s="9" t="inlineStr">
        <is>
          <t>NYY</t>
        </is>
      </c>
      <c r="B20" s="23" t="n">
        <v>0</v>
      </c>
      <c r="C20" s="24" t="n"/>
    </row>
    <row r="21">
      <c r="A21" s="9" t="inlineStr">
        <is>
          <t>OAK</t>
        </is>
      </c>
      <c r="B21" s="23" t="n">
        <v>0</v>
      </c>
      <c r="C21" s="24" t="n"/>
    </row>
    <row r="22">
      <c r="A22" s="9" t="inlineStr">
        <is>
          <t>PHI</t>
        </is>
      </c>
      <c r="B22" s="23" t="n">
        <v>0</v>
      </c>
      <c r="C22" s="24" t="n"/>
    </row>
    <row r="23">
      <c r="A23" s="9" t="inlineStr">
        <is>
          <t>PIT</t>
        </is>
      </c>
      <c r="B23" s="23" t="n">
        <v>0</v>
      </c>
      <c r="C23" s="24" t="n"/>
    </row>
    <row r="24">
      <c r="A24" s="9" t="inlineStr">
        <is>
          <t>SD</t>
        </is>
      </c>
      <c r="B24" s="23" t="n">
        <v>0</v>
      </c>
      <c r="C24" s="24" t="n"/>
    </row>
    <row r="25">
      <c r="A25" s="9" t="inlineStr">
        <is>
          <t>SEA</t>
        </is>
      </c>
      <c r="B25" s="23" t="n">
        <v>0</v>
      </c>
      <c r="C25" s="24" t="n"/>
    </row>
    <row r="26">
      <c r="A26" s="9" t="inlineStr">
        <is>
          <t>SF</t>
        </is>
      </c>
      <c r="B26" s="23" t="n">
        <v>0</v>
      </c>
      <c r="C26" s="24" t="n"/>
    </row>
    <row r="27">
      <c r="A27" s="9" t="inlineStr">
        <is>
          <t>STL</t>
        </is>
      </c>
      <c r="B27" s="23" t="n">
        <v>0</v>
      </c>
      <c r="C27" s="24" t="n"/>
    </row>
    <row r="28">
      <c r="A28" s="9" t="inlineStr">
        <is>
          <t>TB</t>
        </is>
      </c>
      <c r="B28" s="23" t="n">
        <v>0</v>
      </c>
      <c r="C28" s="24" t="n"/>
    </row>
    <row r="29">
      <c r="A29" s="9" t="inlineStr">
        <is>
          <t>TEX</t>
        </is>
      </c>
      <c r="B29" s="23" t="n">
        <v>0</v>
      </c>
      <c r="C29" s="24" t="n"/>
    </row>
    <row r="30">
      <c r="A30" s="9" t="inlineStr">
        <is>
          <t>TOR</t>
        </is>
      </c>
      <c r="B30" s="23" t="n">
        <v>0</v>
      </c>
      <c r="C30" s="24" t="n"/>
    </row>
    <row r="31">
      <c r="A31" s="9" t="inlineStr">
        <is>
          <t>WSH</t>
        </is>
      </c>
      <c r="B31" s="23" t="n">
        <v>0</v>
      </c>
      <c r="C31" s="24" t="n"/>
    </row>
    <row r="33">
      <c r="A33" s="22" t="inlineStr">
        <is>
          <t>Fraction of each club's PA budget held back for a signing it has not made yet. 0 to 0.5.</t>
        </is>
      </c>
    </row>
    <row r="34">
      <c r="A34" s="22" t="inlineStr">
        <is>
          <t>Without a reserve the allocator spreads the full budget across the players currently on hand, so every incumbent absorbs the playing time that will actually go to the free agent.</t>
        </is>
      </c>
    </row>
    <row r="35">
      <c r="A35" s="22" t="inlineStr">
        <is>
          <t>A reserve says 'this club's playing time is not all accounted for'. It does NOT say the club is better than its roster looks — the quality of an unsigned player is unknowable, so reserves never touch the rate projections.</t>
        </is>
      </c>
    </row>
    <row r="36">
      <c r="A36" s="22" t="inlineStr">
        <is>
          <t>Copy these into the "reserves" block of rosters/team_assignments_&lt;year&gt;.json, which is what the pipeline reads.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2026-10-07T17:27:03Z</dcterms:created>
  <dcterms:modified xsi:type="dcterms:W3CDTF">2026-10-07T17:27:05Z</dcterms:modified>
</cp:coreProperties>
</file>