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PA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PA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PA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PA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46" customWidth="1" min="28" max="28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Full Time</t>
        </is>
      </c>
      <c r="N1" s="3" t="inlineStr">
        <is>
          <t>Everyday DH / 1B-DH</t>
        </is>
      </c>
      <c r="O1" s="3" t="inlineStr">
        <is>
          <t>Strong Side Platoon</t>
        </is>
      </c>
      <c r="P1" s="3" t="inlineStr">
        <is>
          <t>Weak Side Platoon</t>
        </is>
      </c>
      <c r="Q1" s="3" t="inlineStr">
        <is>
          <t>Catcher - Primary</t>
        </is>
      </c>
      <c r="R1" s="3" t="inlineStr">
        <is>
          <t>Catcher - Tandem</t>
        </is>
      </c>
      <c r="S1" s="3" t="inlineStr">
        <is>
          <t>Catcher - Backup</t>
        </is>
      </c>
      <c r="T1" s="3" t="inlineStr">
        <is>
          <t>Utility IF</t>
        </is>
      </c>
      <c r="U1" s="3" t="inlineStr">
        <is>
          <t>Utility OF / 4th OF</t>
        </is>
      </c>
      <c r="V1" s="3" t="inlineStr">
        <is>
          <t>Bench Bat</t>
        </is>
      </c>
      <c r="W1" s="3" t="inlineStr">
        <is>
          <t>Injury Replacement / 26th Man</t>
        </is>
      </c>
      <c r="X1" s="3" t="inlineStr">
        <is>
          <t>Depth (no MLB PA)</t>
        </is>
      </c>
      <c r="Y1" s="3" t="inlineStr">
        <is>
          <t>Proj PA</t>
        </is>
      </c>
      <c r="Z1" s="3" t="inlineStr">
        <is>
          <t>Role Prob Sum</t>
        </is>
      </c>
      <c r="AA1" s="3" t="inlineStr">
        <is>
          <t>Proj vL Share</t>
        </is>
      </c>
      <c r="AB1" s="3" t="inlineStr">
        <is>
          <t>Notes</t>
        </is>
      </c>
    </row>
    <row r="2">
      <c r="A2" s="4" t="inlineStr">
        <is>
          <t>ANCHORS -&gt;</t>
        </is>
      </c>
      <c r="M2" s="5" t="n">
        <v>630</v>
      </c>
      <c r="N2" s="5" t="n">
        <v>600</v>
      </c>
      <c r="O2" s="5" t="n">
        <v>480</v>
      </c>
      <c r="P2" s="5" t="n">
        <v>230</v>
      </c>
      <c r="Q2" s="5" t="n">
        <v>500</v>
      </c>
      <c r="R2" s="5" t="n">
        <v>340</v>
      </c>
      <c r="S2" s="5" t="n">
        <v>180</v>
      </c>
      <c r="T2" s="5" t="n">
        <v>290</v>
      </c>
      <c r="U2" s="5" t="n">
        <v>300</v>
      </c>
      <c r="V2" s="5" t="n">
        <v>150</v>
      </c>
      <c r="W2" s="5" t="n">
        <v>90</v>
      </c>
      <c r="X2" s="5" t="n">
        <v>1</v>
      </c>
      <c r="Y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M3" s="8" t="n">
        <v>0.26</v>
      </c>
      <c r="N3" s="8" t="n">
        <v>0.26</v>
      </c>
      <c r="O3" s="8" t="n">
        <v>0.12</v>
      </c>
      <c r="P3" s="8" t="n">
        <v>0.08</v>
      </c>
      <c r="Q3" s="8" t="n">
        <v>0.26</v>
      </c>
      <c r="R3" s="8" t="n">
        <v>0.22</v>
      </c>
      <c r="S3" s="8" t="n">
        <v>0.24</v>
      </c>
      <c r="T3" s="8" t="n">
        <v>0.26</v>
      </c>
      <c r="U3" s="8" t="n">
        <v>0.24</v>
      </c>
      <c r="V3" s="8" t="n">
        <v>0.22</v>
      </c>
      <c r="W3" s="8" t="n">
        <v>0.26</v>
      </c>
      <c r="X3" s="8" t="n">
        <v>0.26</v>
      </c>
    </row>
    <row r="4" hidden="1" outlineLevel="1">
      <c r="A4" s="7" t="inlineStr">
        <is>
          <t>anchor:vl_rhb</t>
        </is>
      </c>
      <c r="M4" s="8" t="n">
        <v>0.29</v>
      </c>
      <c r="N4" s="8" t="n">
        <v>0.29</v>
      </c>
      <c r="O4" s="8" t="n">
        <v>0.45</v>
      </c>
      <c r="P4" s="8" t="n">
        <v>0.68</v>
      </c>
      <c r="Q4" s="8" t="n">
        <v>0.29</v>
      </c>
      <c r="R4" s="8" t="n">
        <v>0.38</v>
      </c>
      <c r="S4" s="8" t="n">
        <v>0.33</v>
      </c>
      <c r="T4" s="8" t="n">
        <v>0.31</v>
      </c>
      <c r="U4" s="8" t="n">
        <v>0.33</v>
      </c>
      <c r="V4" s="8" t="n">
        <v>0.36</v>
      </c>
      <c r="W4" s="8" t="n">
        <v>0.29</v>
      </c>
      <c r="X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2" t="n">
        <v>0.6</v>
      </c>
      <c r="N5" s="12" t="n"/>
      <c r="O5" s="12" t="n">
        <v>0.3</v>
      </c>
      <c r="P5" s="12" t="n"/>
      <c r="Q5" s="12" t="n"/>
      <c r="R5" s="12" t="n"/>
      <c r="S5" s="12" t="n"/>
      <c r="T5" s="12" t="n">
        <v>0.1</v>
      </c>
      <c r="U5" s="12" t="n"/>
      <c r="V5" s="12" t="n"/>
      <c r="W5" s="12" t="n"/>
      <c r="X5" s="12" t="n"/>
      <c r="Y5" s="13">
        <f>SUMPRODUCT(M5:X5,$M$2:$X$2)*$K5*$L5</f>
        <v/>
      </c>
      <c r="Z5" s="14">
        <f>SUM(M5:X5)</f>
        <v/>
      </c>
      <c r="AA5" s="14">
        <f>IFERROR(IF(UPPER($E5)="L",SUMPRODUCT(M5:X5,$M$3:$X$3,$M$2:$X$2),SUMPRODUCT(M5:X5,$M$4:$X$4,$M$2:$X$2))/(Y5/($K5*$L5)),"")</f>
        <v/>
      </c>
      <c r="AB5" s="15" t="inlineStr">
        <is>
          <t>Unsigned; job battle. 60% full-time / 30% strong-side platoon / 10% utility. Missed April.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n"/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3">
        <f>SUMPRODUCT(M6:X6,$M$2:$X$2)*$K6*$L6</f>
        <v/>
      </c>
      <c r="Z6" s="14">
        <f>SUM(M6:X6)</f>
        <v/>
      </c>
      <c r="AA6" s="14">
        <f>IFERROR(IF(UPPER($E6)="L",SUMPRODUCT(M6:X6,$M$3:$X$3,$M$2:$X$2),SUMPRODUCT(M6:X6,$M$4:$X$4,$M$2:$X$2))/(Y6/($K6*$L6)),"")</f>
        <v/>
      </c>
      <c r="AB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n"/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3">
        <f>SUMPRODUCT(M7:X7,$M$2:$X$2)*$K7*$L7</f>
        <v/>
      </c>
      <c r="Z7" s="14">
        <f>SUM(M7:X7)</f>
        <v/>
      </c>
      <c r="AA7" s="14">
        <f>IFERROR(IF(UPPER($E7)="L",SUMPRODUCT(M7:X7,$M$3:$X$3,$M$2:$X$2),SUMPRODUCT(M7:X7,$M$4:$X$4,$M$2:$X$2))/(Y7/($K7*$L7)),"")</f>
        <v/>
      </c>
      <c r="AB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25</v>
      </c>
      <c r="E8" s="16" t="inlineStr">
        <is>
          <t>R</t>
        </is>
      </c>
      <c r="F8" s="16" t="n"/>
      <c r="G8" s="9" t="n">
        <v>47</v>
      </c>
      <c r="H8" s="9" t="n">
        <v>47</v>
      </c>
      <c r="I8" s="9" t="inlineStr">
        <is>
          <t>Bench Bat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3">
        <f>SUMPRODUCT(M8:X8,$M$2:$X$2)*$K8*$L8</f>
        <v/>
      </c>
      <c r="Z8" s="14">
        <f>SUM(M8:X8)</f>
        <v/>
      </c>
      <c r="AA8" s="14">
        <f>IFERROR(IF(UPPER($E8)="L",SUMPRODUCT(M8:X8,$M$3:$X$3,$M$2:$X$2),SUMPRODUCT(M8:X8,$M$4:$X$4,$M$2:$X$2))/(Y8/($K8*$L8)),"")</f>
        <v/>
      </c>
      <c r="AB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n"/>
      <c r="G9" s="9" t="n">
        <v>163</v>
      </c>
      <c r="H9" s="9" t="n">
        <v>180</v>
      </c>
      <c r="I9" s="9" t="inlineStr">
        <is>
          <t>Bench Bat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3">
        <f>SUMPRODUCT(M9:X9,$M$2:$X$2)*$K9*$L9</f>
        <v/>
      </c>
      <c r="Z9" s="14">
        <f>SUM(M9:X9)</f>
        <v/>
      </c>
      <c r="AA9" s="14">
        <f>IFERROR(IF(UPPER($E9)="L",SUMPRODUCT(M9:X9,$M$3:$X$3,$M$2:$X$2),SUMPRODUCT(M9:X9,$M$4:$X$4,$M$2:$X$2))/(Y9/($K9*$L9)),"")</f>
        <v/>
      </c>
      <c r="AB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n"/>
      <c r="G10" s="9" t="n">
        <v>618</v>
      </c>
      <c r="H10" s="9" t="n">
        <v>3341</v>
      </c>
      <c r="I10" s="9" t="inlineStr">
        <is>
          <t>Full Time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3">
        <f>SUMPRODUCT(M10:X10,$M$2:$X$2)*$K10*$L10</f>
        <v/>
      </c>
      <c r="Z10" s="14">
        <f>SUM(M10:X10)</f>
        <v/>
      </c>
      <c r="AA10" s="14">
        <f>IFERROR(IF(UPPER($E10)="L",SUMPRODUCT(M10:X10,$M$3:$X$3,$M$2:$X$2),SUMPRODUCT(M10:X10,$M$4:$X$4,$M$2:$X$2))/(Y10/($K10*$L10)),"")</f>
        <v/>
      </c>
      <c r="AB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n"/>
      <c r="G11" s="9" t="n">
        <v>530</v>
      </c>
      <c r="H11" s="9" t="n">
        <v>2847</v>
      </c>
      <c r="I11" s="9" t="inlineStr">
        <is>
          <t>Full Time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3">
        <f>SUMPRODUCT(M11:X11,$M$2:$X$2)*$K11*$L11</f>
        <v/>
      </c>
      <c r="Z11" s="14">
        <f>SUM(M11:X11)</f>
        <v/>
      </c>
      <c r="AA11" s="14">
        <f>IFERROR(IF(UPPER($E11)="L",SUMPRODUCT(M11:X11,$M$3:$X$3,$M$2:$X$2),SUMPRODUCT(M11:X11,$M$4:$X$4,$M$2:$X$2))/(Y11/($K11*$L11)),"")</f>
        <v/>
      </c>
      <c r="AB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n"/>
      <c r="G12" s="9" t="n">
        <v>96</v>
      </c>
      <c r="H12" s="9" t="n">
        <v>1703</v>
      </c>
      <c r="I12" s="9" t="inlineStr">
        <is>
          <t>Utility OF / 4th OF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3">
        <f>SUMPRODUCT(M12:X12,$M$2:$X$2)*$K12*$L12</f>
        <v/>
      </c>
      <c r="Z12" s="14">
        <f>SUM(M12:X12)</f>
        <v/>
      </c>
      <c r="AA12" s="14">
        <f>IFERROR(IF(UPPER($E12)="L",SUMPRODUCT(M12:X12,$M$3:$X$3,$M$2:$X$2),SUMPRODUCT(M12:X12,$M$4:$X$4,$M$2:$X$2))/(Y12/($K12*$L12)),"")</f>
        <v/>
      </c>
      <c r="AB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n"/>
      <c r="G13" s="9" t="n">
        <v>701</v>
      </c>
      <c r="H13" s="9" t="n">
        <v>3506</v>
      </c>
      <c r="I13" s="9" t="inlineStr">
        <is>
          <t>Full Time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3">
        <f>SUMPRODUCT(M13:X13,$M$2:$X$2)*$K13*$L13</f>
        <v/>
      </c>
      <c r="Z13" s="14">
        <f>SUM(M13:X13)</f>
        <v/>
      </c>
      <c r="AA13" s="14">
        <f>IFERROR(IF(UPPER($E13)="L",SUMPRODUCT(M13:X13,$M$3:$X$3,$M$2:$X$2),SUMPRODUCT(M13:X13,$M$4:$X$4,$M$2:$X$2))/(Y13/($K13*$L13)),"")</f>
        <v/>
      </c>
      <c r="AB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n"/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3">
        <f>SUMPRODUCT(M14:X14,$M$2:$X$2)*$K14*$L14</f>
        <v/>
      </c>
      <c r="Z14" s="14">
        <f>SUM(M14:X14)</f>
        <v/>
      </c>
      <c r="AA14" s="14">
        <f>IFERROR(IF(UPPER($E14)="L",SUMPRODUCT(M14:X14,$M$3:$X$3,$M$2:$X$2),SUMPRODUCT(M14:X14,$M$4:$X$4,$M$2:$X$2))/(Y14/($K14*$L14)),"")</f>
        <v/>
      </c>
      <c r="AB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n"/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3">
        <f>SUMPRODUCT(M15:X15,$M$2:$X$2)*$K15*$L15</f>
        <v/>
      </c>
      <c r="Z15" s="14">
        <f>SUM(M15:X15)</f>
        <v/>
      </c>
      <c r="AA15" s="14">
        <f>IFERROR(IF(UPPER($E15)="L",SUMPRODUCT(M15:X15,$M$3:$X$3,$M$2:$X$2),SUMPRODUCT(M15:X15,$M$4:$X$4,$M$2:$X$2))/(Y15/($K15*$L15)),"")</f>
        <v/>
      </c>
      <c r="AB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n"/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3">
        <f>SUMPRODUCT(M16:X16,$M$2:$X$2)*$K16*$L16</f>
        <v/>
      </c>
      <c r="Z16" s="14">
        <f>SUM(M16:X16)</f>
        <v/>
      </c>
      <c r="AA16" s="14">
        <f>IFERROR(IF(UPPER($E16)="L",SUMPRODUCT(M16:X16,$M$3:$X$3,$M$2:$X$2),SUMPRODUCT(M16:X16,$M$4:$X$4,$M$2:$X$2))/(Y16/($K16*$L16)),"")</f>
        <v/>
      </c>
      <c r="AB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n"/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3">
        <f>SUMPRODUCT(M17:X17,$M$2:$X$2)*$K17*$L17</f>
        <v/>
      </c>
      <c r="Z17" s="14">
        <f>SUM(M17:X17)</f>
        <v/>
      </c>
      <c r="AA17" s="14">
        <f>IFERROR(IF(UPPER($E17)="L",SUMPRODUCT(M17:X17,$M$3:$X$3,$M$2:$X$2),SUMPRODUCT(M17:X17,$M$4:$X$4,$M$2:$X$2))/(Y17/($K17*$L17)),"")</f>
        <v/>
      </c>
      <c r="AB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n"/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3">
        <f>SUMPRODUCT(M18:X18,$M$2:$X$2)*$K18*$L18</f>
        <v/>
      </c>
      <c r="Z18" s="14">
        <f>SUM(M18:X18)</f>
        <v/>
      </c>
      <c r="AA18" s="14">
        <f>IFERROR(IF(UPPER($E18)="L",SUMPRODUCT(M18:X18,$M$3:$X$3,$M$2:$X$2),SUMPRODUCT(M18:X18,$M$4:$X$4,$M$2:$X$2))/(Y18/($K18*$L18)),"")</f>
        <v/>
      </c>
      <c r="AB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n"/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3">
        <f>SUMPRODUCT(M19:X19,$M$2:$X$2)*$K19*$L19</f>
        <v/>
      </c>
      <c r="Z19" s="14">
        <f>SUM(M19:X19)</f>
        <v/>
      </c>
      <c r="AA19" s="14">
        <f>IFERROR(IF(UPPER($E19)="L",SUMPRODUCT(M19:X19,$M$3:$X$3,$M$2:$X$2),SUMPRODUCT(M19:X19,$M$4:$X$4,$M$2:$X$2))/(Y19/($K19*$L19)),"")</f>
        <v/>
      </c>
      <c r="AB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n"/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3">
        <f>SUMPRODUCT(M20:X20,$M$2:$X$2)*$K20*$L20</f>
        <v/>
      </c>
      <c r="Z20" s="14">
        <f>SUM(M20:X20)</f>
        <v/>
      </c>
      <c r="AA20" s="14">
        <f>IFERROR(IF(UPPER($E20)="L",SUMPRODUCT(M20:X20,$M$3:$X$3,$M$2:$X$2),SUMPRODUCT(M20:X20,$M$4:$X$4,$M$2:$X$2))/(Y20/($K20*$L20)),"")</f>
        <v/>
      </c>
      <c r="AB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n"/>
      <c r="G21" s="9" t="n">
        <v>287</v>
      </c>
      <c r="H21" s="9" t="n">
        <v>287</v>
      </c>
      <c r="I21" s="9" t="inlineStr">
        <is>
          <t>Utility OF / 4th OF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3">
        <f>SUMPRODUCT(M21:X21,$M$2:$X$2)*$K21*$L21</f>
        <v/>
      </c>
      <c r="Z21" s="14">
        <f>SUM(M21:X21)</f>
        <v/>
      </c>
      <c r="AA21" s="14">
        <f>IFERROR(IF(UPPER($E21)="L",SUMPRODUCT(M21:X21,$M$3:$X$3,$M$2:$X$2),SUMPRODUCT(M21:X21,$M$4:$X$4,$M$2:$X$2))/(Y21/($K21*$L21)),"")</f>
        <v/>
      </c>
      <c r="AB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n"/>
      <c r="G22" s="9" t="n">
        <v>50</v>
      </c>
      <c r="H22" s="9" t="n">
        <v>1060</v>
      </c>
      <c r="I22" s="9" t="inlineStr">
        <is>
          <t>Bench Bat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3">
        <f>SUMPRODUCT(M22:X22,$M$2:$X$2)*$K22*$L22</f>
        <v/>
      </c>
      <c r="Z22" s="14">
        <f>SUM(M22:X22)</f>
        <v/>
      </c>
      <c r="AA22" s="14">
        <f>IFERROR(IF(UPPER($E22)="L",SUMPRODUCT(M22:X22,$M$3:$X$3,$M$2:$X$2),SUMPRODUCT(M22:X22,$M$4:$X$4,$M$2:$X$2))/(Y22/($K22*$L22)),"")</f>
        <v/>
      </c>
      <c r="AB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n"/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3">
        <f>SUMPRODUCT(M23:X23,$M$2:$X$2)*$K23*$L23</f>
        <v/>
      </c>
      <c r="Z23" s="14">
        <f>SUM(M23:X23)</f>
        <v/>
      </c>
      <c r="AA23" s="14">
        <f>IFERROR(IF(UPPER($E23)="L",SUMPRODUCT(M23:X23,$M$3:$X$3,$M$2:$X$2),SUMPRODUCT(M23:X23,$M$4:$X$4,$M$2:$X$2))/(Y23/($K23*$L23)),"")</f>
        <v/>
      </c>
      <c r="AB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n"/>
      <c r="G24" s="9" t="n">
        <v>63</v>
      </c>
      <c r="H24" s="9" t="n">
        <v>63</v>
      </c>
      <c r="I24" s="9" t="inlineStr">
        <is>
          <t>Bench Bat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3">
        <f>SUMPRODUCT(M24:X24,$M$2:$X$2)*$K24*$L24</f>
        <v/>
      </c>
      <c r="Z24" s="14">
        <f>SUM(M24:X24)</f>
        <v/>
      </c>
      <c r="AA24" s="14">
        <f>IFERROR(IF(UPPER($E24)="L",SUMPRODUCT(M24:X24,$M$3:$X$3,$M$2:$X$2),SUMPRODUCT(M24:X24,$M$4:$X$4,$M$2:$X$2))/(Y24/($K24*$L24)),"")</f>
        <v/>
      </c>
      <c r="AB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n"/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3">
        <f>SUMPRODUCT(M25:X25,$M$2:$X$2)*$K25*$L25</f>
        <v/>
      </c>
      <c r="Z25" s="14">
        <f>SUM(M25:X25)</f>
        <v/>
      </c>
      <c r="AA25" s="14">
        <f>IFERROR(IF(UPPER($E25)="L",SUMPRODUCT(M25:X25,$M$3:$X$3,$M$2:$X$2),SUMPRODUCT(M25:X25,$M$4:$X$4,$M$2:$X$2))/(Y25/($K25*$L25)),"")</f>
        <v/>
      </c>
      <c r="AB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n"/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3">
        <f>SUMPRODUCT(M26:X26,$M$2:$X$2)*$K26*$L26</f>
        <v/>
      </c>
      <c r="Z26" s="14">
        <f>SUM(M26:X26)</f>
        <v/>
      </c>
      <c r="AA26" s="14">
        <f>IFERROR(IF(UPPER($E26)="L",SUMPRODUCT(M26:X26,$M$3:$X$3,$M$2:$X$2),SUMPRODUCT(M26:X26,$M$4:$X$4,$M$2:$X$2))/(Y26/($K26*$L26)),"")</f>
        <v/>
      </c>
      <c r="AB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n"/>
      <c r="G27" s="9" t="n">
        <v>692</v>
      </c>
      <c r="H27" s="9" t="n">
        <v>2583</v>
      </c>
      <c r="I27" s="9" t="inlineStr">
        <is>
          <t>Full Time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3">
        <f>SUMPRODUCT(M27:X27,$M$2:$X$2)*$K27*$L27</f>
        <v/>
      </c>
      <c r="Z27" s="14">
        <f>SUM(M27:X27)</f>
        <v/>
      </c>
      <c r="AA27" s="14">
        <f>IFERROR(IF(UPPER($E27)="L",SUMPRODUCT(M27:X27,$M$3:$X$3,$M$2:$X$2),SUMPRODUCT(M27:X27,$M$4:$X$4,$M$2:$X$2))/(Y27/($K27*$L27)),"")</f>
        <v/>
      </c>
      <c r="AB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n"/>
      <c r="G28" s="9" t="n">
        <v>574</v>
      </c>
      <c r="H28" s="9" t="n">
        <v>1454</v>
      </c>
      <c r="I28" s="9" t="inlineStr">
        <is>
          <t>Full Time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3">
        <f>SUMPRODUCT(M28:X28,$M$2:$X$2)*$K28*$L28</f>
        <v/>
      </c>
      <c r="Z28" s="14">
        <f>SUM(M28:X28)</f>
        <v/>
      </c>
      <c r="AA28" s="14">
        <f>IFERROR(IF(UPPER($E28)="L",SUMPRODUCT(M28:X28,$M$3:$X$3,$M$2:$X$2),SUMPRODUCT(M28:X28,$M$4:$X$4,$M$2:$X$2))/(Y28/($K28*$L28)),"")</f>
        <v/>
      </c>
      <c r="AB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n"/>
      <c r="G29" s="9" t="n">
        <v>259</v>
      </c>
      <c r="H29" s="9" t="n">
        <v>1591</v>
      </c>
      <c r="I29" s="9" t="inlineStr">
        <is>
          <t>Full Time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3">
        <f>SUMPRODUCT(M29:X29,$M$2:$X$2)*$K29*$L29</f>
        <v/>
      </c>
      <c r="Z29" s="14">
        <f>SUM(M29:X29)</f>
        <v/>
      </c>
      <c r="AA29" s="14">
        <f>IFERROR(IF(UPPER($E29)="L",SUMPRODUCT(M29:X29,$M$3:$X$3,$M$2:$X$2),SUMPRODUCT(M29:X29,$M$4:$X$4,$M$2:$X$2))/(Y29/($K29*$L29)),"")</f>
        <v/>
      </c>
      <c r="AB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n"/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3">
        <f>SUMPRODUCT(M30:X30,$M$2:$X$2)*$K30*$L30</f>
        <v/>
      </c>
      <c r="Z30" s="14">
        <f>SUM(M30:X30)</f>
        <v/>
      </c>
      <c r="AA30" s="14">
        <f>IFERROR(IF(UPPER($E30)="L",SUMPRODUCT(M30:X30,$M$3:$X$3,$M$2:$X$2),SUMPRODUCT(M30:X30,$M$4:$X$4,$M$2:$X$2))/(Y30/($K30*$L30)),"")</f>
        <v/>
      </c>
      <c r="AB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n"/>
      <c r="G31" s="9" t="n">
        <v>667</v>
      </c>
      <c r="H31" s="9" t="n">
        <v>1375</v>
      </c>
      <c r="I31" s="9" t="inlineStr">
        <is>
          <t>Full Time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3">
        <f>SUMPRODUCT(M31:X31,$M$2:$X$2)*$K31*$L31</f>
        <v/>
      </c>
      <c r="Z31" s="14">
        <f>SUM(M31:X31)</f>
        <v/>
      </c>
      <c r="AA31" s="14">
        <f>IFERROR(IF(UPPER($E31)="L",SUMPRODUCT(M31:X31,$M$3:$X$3,$M$2:$X$2),SUMPRODUCT(M31:X31,$M$4:$X$4,$M$2:$X$2))/(Y31/($K31*$L31)),"")</f>
        <v/>
      </c>
      <c r="AB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n"/>
      <c r="G32" s="9" t="n">
        <v>36</v>
      </c>
      <c r="H32" s="9" t="n">
        <v>36</v>
      </c>
      <c r="I32" s="9" t="inlineStr">
        <is>
          <t>Bench Bat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3">
        <f>SUMPRODUCT(M32:X32,$M$2:$X$2)*$K32*$L32</f>
        <v/>
      </c>
      <c r="Z32" s="14">
        <f>SUM(M32:X32)</f>
        <v/>
      </c>
      <c r="AA32" s="14">
        <f>IFERROR(IF(UPPER($E32)="L",SUMPRODUCT(M32:X32,$M$3:$X$3,$M$2:$X$2),SUMPRODUCT(M32:X32,$M$4:$X$4,$M$2:$X$2))/(Y32/($K32*$L32)),"")</f>
        <v/>
      </c>
      <c r="AB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n"/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3">
        <f>SUMPRODUCT(M33:X33,$M$2:$X$2)*$K33*$L33</f>
        <v/>
      </c>
      <c r="Z33" s="14">
        <f>SUM(M33:X33)</f>
        <v/>
      </c>
      <c r="AA33" s="14">
        <f>IFERROR(IF(UPPER($E33)="L",SUMPRODUCT(M33:X33,$M$3:$X$3,$M$2:$X$2),SUMPRODUCT(M33:X33,$M$4:$X$4,$M$2:$X$2))/(Y33/($K33*$L33)),"")</f>
        <v/>
      </c>
      <c r="AB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n"/>
      <c r="G34" s="9" t="n">
        <v>498</v>
      </c>
      <c r="H34" s="9" t="n">
        <v>3118</v>
      </c>
      <c r="I34" s="9" t="inlineStr">
        <is>
          <t>Full Time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3">
        <f>SUMPRODUCT(M34:X34,$M$2:$X$2)*$K34*$L34</f>
        <v/>
      </c>
      <c r="Z34" s="14">
        <f>SUM(M34:X34)</f>
        <v/>
      </c>
      <c r="AA34" s="14">
        <f>IFERROR(IF(UPPER($E34)="L",SUMPRODUCT(M34:X34,$M$3:$X$3,$M$2:$X$2),SUMPRODUCT(M34:X34,$M$4:$X$4,$M$2:$X$2))/(Y34/($K34*$L34)),"")</f>
        <v/>
      </c>
      <c r="AB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n"/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3">
        <f>SUMPRODUCT(M35:X35,$M$2:$X$2)*$K35*$L35</f>
        <v/>
      </c>
      <c r="Z35" s="14">
        <f>SUM(M35:X35)</f>
        <v/>
      </c>
      <c r="AA35" s="14">
        <f>IFERROR(IF(UPPER($E35)="L",SUMPRODUCT(M35:X35,$M$3:$X$3,$M$2:$X$2),SUMPRODUCT(M35:X35,$M$4:$X$4,$M$2:$X$2))/(Y35/($K35*$L35)),"")</f>
        <v/>
      </c>
      <c r="AB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n"/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3">
        <f>SUMPRODUCT(M36:X36,$M$2:$X$2)*$K36*$L36</f>
        <v/>
      </c>
      <c r="Z36" s="14">
        <f>SUM(M36:X36)</f>
        <v/>
      </c>
      <c r="AA36" s="14">
        <f>IFERROR(IF(UPPER($E36)="L",SUMPRODUCT(M36:X36,$M$3:$X$3,$M$2:$X$2),SUMPRODUCT(M36:X36,$M$4:$X$4,$M$2:$X$2))/(Y36/($K36*$L36)),"")</f>
        <v/>
      </c>
      <c r="AB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n"/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3">
        <f>SUMPRODUCT(M37:X37,$M$2:$X$2)*$K37*$L37</f>
        <v/>
      </c>
      <c r="Z37" s="14">
        <f>SUM(M37:X37)</f>
        <v/>
      </c>
      <c r="AA37" s="14">
        <f>IFERROR(IF(UPPER($E37)="L",SUMPRODUCT(M37:X37,$M$3:$X$3,$M$2:$X$2),SUMPRODUCT(M37:X37,$M$4:$X$4,$M$2:$X$2))/(Y37/($K37*$L37)),"")</f>
        <v/>
      </c>
      <c r="AB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n"/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3">
        <f>SUMPRODUCT(M38:X38,$M$2:$X$2)*$K38*$L38</f>
        <v/>
      </c>
      <c r="Z38" s="14">
        <f>SUM(M38:X38)</f>
        <v/>
      </c>
      <c r="AA38" s="14">
        <f>IFERROR(IF(UPPER($E38)="L",SUMPRODUCT(M38:X38,$M$3:$X$3,$M$2:$X$2),SUMPRODUCT(M38:X38,$M$4:$X$4,$M$2:$X$2))/(Y38/($K38*$L38)),"")</f>
        <v/>
      </c>
      <c r="AB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n"/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3">
        <f>SUMPRODUCT(M39:X39,$M$2:$X$2)*$K39*$L39</f>
        <v/>
      </c>
      <c r="Z39" s="14">
        <f>SUM(M39:X39)</f>
        <v/>
      </c>
      <c r="AA39" s="14">
        <f>IFERROR(IF(UPPER($E39)="L",SUMPRODUCT(M39:X39,$M$3:$X$3,$M$2:$X$2),SUMPRODUCT(M39:X39,$M$4:$X$4,$M$2:$X$2))/(Y39/($K39*$L39)),"")</f>
        <v/>
      </c>
      <c r="AB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n"/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3">
        <f>SUMPRODUCT(M40:X40,$M$2:$X$2)*$K40*$L40</f>
        <v/>
      </c>
      <c r="Z40" s="14">
        <f>SUM(M40:X40)</f>
        <v/>
      </c>
      <c r="AA40" s="14">
        <f>IFERROR(IF(UPPER($E40)="L",SUMPRODUCT(M40:X40,$M$3:$X$3,$M$2:$X$2),SUMPRODUCT(M40:X40,$M$4:$X$4,$M$2:$X$2))/(Y40/($K40*$L40)),"")</f>
        <v/>
      </c>
      <c r="AB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n"/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3">
        <f>SUMPRODUCT(M41:X41,$M$2:$X$2)*$K41*$L41</f>
        <v/>
      </c>
      <c r="Z41" s="14">
        <f>SUM(M41:X41)</f>
        <v/>
      </c>
      <c r="AA41" s="14">
        <f>IFERROR(IF(UPPER($E41)="L",SUMPRODUCT(M41:X41,$M$3:$X$3,$M$2:$X$2),SUMPRODUCT(M41:X41,$M$4:$X$4,$M$2:$X$2))/(Y41/($K41*$L41)),"")</f>
        <v/>
      </c>
      <c r="AB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n"/>
      <c r="G42" s="9" t="n">
        <v>15</v>
      </c>
      <c r="H42" s="9" t="n">
        <v>85</v>
      </c>
      <c r="I42" s="9" t="inlineStr">
        <is>
          <t>Bench Bat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3">
        <f>SUMPRODUCT(M42:X42,$M$2:$X$2)*$K42*$L42</f>
        <v/>
      </c>
      <c r="Z42" s="14">
        <f>SUM(M42:X42)</f>
        <v/>
      </c>
      <c r="AA42" s="14">
        <f>IFERROR(IF(UPPER($E42)="L",SUMPRODUCT(M42:X42,$M$3:$X$3,$M$2:$X$2),SUMPRODUCT(M42:X42,$M$4:$X$4,$M$2:$X$2))/(Y42/($K42*$L42)),"")</f>
        <v/>
      </c>
      <c r="AB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n"/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3">
        <f>SUMPRODUCT(M43:X43,$M$2:$X$2)*$K43*$L43</f>
        <v/>
      </c>
      <c r="Z43" s="14">
        <f>SUM(M43:X43)</f>
        <v/>
      </c>
      <c r="AA43" s="14">
        <f>IFERROR(IF(UPPER($E43)="L",SUMPRODUCT(M43:X43,$M$3:$X$3,$M$2:$X$2),SUMPRODUCT(M43:X43,$M$4:$X$4,$M$2:$X$2))/(Y43/($K43*$L43)),"")</f>
        <v/>
      </c>
      <c r="AB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n"/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3">
        <f>SUMPRODUCT(M44:X44,$M$2:$X$2)*$K44*$L44</f>
        <v/>
      </c>
      <c r="Z44" s="14">
        <f>SUM(M44:X44)</f>
        <v/>
      </c>
      <c r="AA44" s="14">
        <f>IFERROR(IF(UPPER($E44)="L",SUMPRODUCT(M44:X44,$M$3:$X$3,$M$2:$X$2),SUMPRODUCT(M44:X44,$M$4:$X$4,$M$2:$X$2))/(Y44/($K44*$L44)),"")</f>
        <v/>
      </c>
      <c r="AB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n"/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3">
        <f>SUMPRODUCT(M45:X45,$M$2:$X$2)*$K45*$L45</f>
        <v/>
      </c>
      <c r="Z45" s="14">
        <f>SUM(M45:X45)</f>
        <v/>
      </c>
      <c r="AA45" s="14">
        <f>IFERROR(IF(UPPER($E45)="L",SUMPRODUCT(M45:X45,$M$3:$X$3,$M$2:$X$2),SUMPRODUCT(M45:X45,$M$4:$X$4,$M$2:$X$2))/(Y45/($K45*$L45)),"")</f>
        <v/>
      </c>
      <c r="AB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n"/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3">
        <f>SUMPRODUCT(M46:X46,$M$2:$X$2)*$K46*$L46</f>
        <v/>
      </c>
      <c r="Z46" s="14">
        <f>SUM(M46:X46)</f>
        <v/>
      </c>
      <c r="AA46" s="14">
        <f>IFERROR(IF(UPPER($E46)="L",SUMPRODUCT(M46:X46,$M$3:$X$3,$M$2:$X$2),SUMPRODUCT(M46:X46,$M$4:$X$4,$M$2:$X$2))/(Y46/($K46*$L46)),"")</f>
        <v/>
      </c>
      <c r="AB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n"/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3">
        <f>SUMPRODUCT(M47:X47,$M$2:$X$2)*$K47*$L47</f>
        <v/>
      </c>
      <c r="Z47" s="14">
        <f>SUM(M47:X47)</f>
        <v/>
      </c>
      <c r="AA47" s="14">
        <f>IFERROR(IF(UPPER($E47)="L",SUMPRODUCT(M47:X47,$M$3:$X$3,$M$2:$X$2),SUMPRODUCT(M47:X47,$M$4:$X$4,$M$2:$X$2))/(Y47/($K47*$L47)),"")</f>
        <v/>
      </c>
      <c r="AB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n"/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3">
        <f>SUMPRODUCT(M48:X48,$M$2:$X$2)*$K48*$L48</f>
        <v/>
      </c>
      <c r="Z48" s="14">
        <f>SUM(M48:X48)</f>
        <v/>
      </c>
      <c r="AA48" s="14">
        <f>IFERROR(IF(UPPER($E48)="L",SUMPRODUCT(M48:X48,$M$3:$X$3,$M$2:$X$2),SUMPRODUCT(M48:X48,$M$4:$X$4,$M$2:$X$2))/(Y48/($K48*$L48)),"")</f>
        <v/>
      </c>
      <c r="AB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n"/>
      <c r="G49" s="9" t="n">
        <v>260</v>
      </c>
      <c r="H49" s="9" t="n">
        <v>1591</v>
      </c>
      <c r="I49" s="9" t="inlineStr">
        <is>
          <t>Utility OF / 4th OF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3">
        <f>SUMPRODUCT(M49:X49,$M$2:$X$2)*$K49*$L49</f>
        <v/>
      </c>
      <c r="Z49" s="14">
        <f>SUM(M49:X49)</f>
        <v/>
      </c>
      <c r="AA49" s="14">
        <f>IFERROR(IF(UPPER($E49)="L",SUMPRODUCT(M49:X49,$M$3:$X$3,$M$2:$X$2),SUMPRODUCT(M49:X49,$M$4:$X$4,$M$2:$X$2))/(Y49/($K49*$L49)),"")</f>
        <v/>
      </c>
      <c r="AB49" s="18" t="n"/>
    </row>
    <row r="50">
      <c r="A50" s="9" t="n">
        <v>667670</v>
      </c>
      <c r="B50" s="9" t="inlineStr">
        <is>
          <t>Brent Rooker</t>
        </is>
      </c>
      <c r="C50" s="9" t="inlineStr">
        <is>
          <t>OAK</t>
        </is>
      </c>
      <c r="D50" s="9" t="n">
        <v>32</v>
      </c>
      <c r="E50" s="16" t="inlineStr">
        <is>
          <t>R</t>
        </is>
      </c>
      <c r="F50" s="16" t="n"/>
      <c r="G50" s="9" t="n">
        <v>203</v>
      </c>
      <c r="H50" s="9" t="n">
        <v>2078</v>
      </c>
      <c r="I50" s="9" t="inlineStr">
        <is>
          <t>Full Time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3">
        <f>SUMPRODUCT(M50:X50,$M$2:$X$2)*$K50*$L50</f>
        <v/>
      </c>
      <c r="Z50" s="14">
        <f>SUM(M50:X50)</f>
        <v/>
      </c>
      <c r="AA50" s="14">
        <f>IFERROR(IF(UPPER($E50)="L",SUMPRODUCT(M50:X50,$M$3:$X$3,$M$2:$X$2),SUMPRODUCT(M50:X50,$M$4:$X$4,$M$2:$X$2))/(Y50/($K50*$L50)),"")</f>
        <v/>
      </c>
      <c r="AB50" s="18" t="n"/>
    </row>
    <row r="51">
      <c r="A51" s="9" t="n">
        <v>666197</v>
      </c>
      <c r="B51" s="9" t="inlineStr">
        <is>
          <t>Grae Kessinger</t>
        </is>
      </c>
      <c r="C51" s="9" t="inlineStr">
        <is>
          <t>HOU</t>
        </is>
      </c>
      <c r="D51" s="9" t="n">
        <v>29</v>
      </c>
      <c r="E51" s="16" t="inlineStr">
        <is>
          <t>R</t>
        </is>
      </c>
      <c r="F51" s="16" t="n"/>
      <c r="G51" s="9" t="n">
        <v>25</v>
      </c>
      <c r="H51" s="9" t="n">
        <v>70</v>
      </c>
      <c r="I51" s="9" t="inlineStr">
        <is>
          <t>Depth (no MLB PA)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3">
        <f>SUMPRODUCT(M51:X51,$M$2:$X$2)*$K51*$L51</f>
        <v/>
      </c>
      <c r="Z51" s="14">
        <f>SUM(M51:X51)</f>
        <v/>
      </c>
      <c r="AA51" s="14">
        <f>IFERROR(IF(UPPER($E51)="L",SUMPRODUCT(M51:X51,$M$3:$X$3,$M$2:$X$2),SUMPRODUCT(M51:X51,$M$4:$X$4,$M$2:$X$2))/(Y51/($K51*$L51)),"")</f>
        <v/>
      </c>
      <c r="AB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n"/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3">
        <f>SUMPRODUCT(M52:X52,$M$2:$X$2)*$K52*$L52</f>
        <v/>
      </c>
      <c r="Z52" s="14">
        <f>SUM(M52:X52)</f>
        <v/>
      </c>
      <c r="AA52" s="14">
        <f>IFERROR(IF(UPPER($E52)="L",SUMPRODUCT(M52:X52,$M$3:$X$3,$M$2:$X$2),SUMPRODUCT(M52:X52,$M$4:$X$4,$M$2:$X$2))/(Y52/($K52*$L52)),"")</f>
        <v/>
      </c>
      <c r="AB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n"/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3">
        <f>SUMPRODUCT(M53:X53,$M$2:$X$2)*$K53*$L53</f>
        <v/>
      </c>
      <c r="Z53" s="14">
        <f>SUM(M53:X53)</f>
        <v/>
      </c>
      <c r="AA53" s="14">
        <f>IFERROR(IF(UPPER($E53)="L",SUMPRODUCT(M53:X53,$M$3:$X$3,$M$2:$X$2),SUMPRODUCT(M53:X53,$M$4:$X$4,$M$2:$X$2))/(Y53/($K53*$L53)),"")</f>
        <v/>
      </c>
      <c r="AB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n"/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3">
        <f>SUMPRODUCT(M54:X54,$M$2:$X$2)*$K54*$L54</f>
        <v/>
      </c>
      <c r="Z54" s="14">
        <f>SUM(M54:X54)</f>
        <v/>
      </c>
      <c r="AA54" s="14">
        <f>IFERROR(IF(UPPER($E54)="L",SUMPRODUCT(M54:X54,$M$3:$X$3,$M$2:$X$2),SUMPRODUCT(M54:X54,$M$4:$X$4,$M$2:$X$2))/(Y54/($K54*$L54)),"")</f>
        <v/>
      </c>
      <c r="AB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n"/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3">
        <f>SUMPRODUCT(M55:X55,$M$2:$X$2)*$K55*$L55</f>
        <v/>
      </c>
      <c r="Z55" s="14">
        <f>SUM(M55:X55)</f>
        <v/>
      </c>
      <c r="AA55" s="14">
        <f>IFERROR(IF(UPPER($E55)="L",SUMPRODUCT(M55:X55,$M$3:$X$3,$M$2:$X$2),SUMPRODUCT(M55:X55,$M$4:$X$4,$M$2:$X$2))/(Y55/($K55*$L55)),"")</f>
        <v/>
      </c>
      <c r="AB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n"/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3">
        <f>SUMPRODUCT(M56:X56,$M$2:$X$2)*$K56*$L56</f>
        <v/>
      </c>
      <c r="Z56" s="14">
        <f>SUM(M56:X56)</f>
        <v/>
      </c>
      <c r="AA56" s="14">
        <f>IFERROR(IF(UPPER($E56)="L",SUMPRODUCT(M56:X56,$M$3:$X$3,$M$2:$X$2),SUMPRODUCT(M56:X56,$M$4:$X$4,$M$2:$X$2))/(Y56/($K56*$L56)),"")</f>
        <v/>
      </c>
      <c r="AB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n"/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3">
        <f>SUMPRODUCT(M57:X57,$M$2:$X$2)*$K57*$L57</f>
        <v/>
      </c>
      <c r="Z57" s="14">
        <f>SUM(M57:X57)</f>
        <v/>
      </c>
      <c r="AA57" s="14">
        <f>IFERROR(IF(UPPER($E57)="L",SUMPRODUCT(M57:X57,$M$3:$X$3,$M$2:$X$2),SUMPRODUCT(M57:X57,$M$4:$X$4,$M$2:$X$2))/(Y57/($K57*$L57)),"")</f>
        <v/>
      </c>
      <c r="AB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n"/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3">
        <f>SUMPRODUCT(M58:X58,$M$2:$X$2)*$K58*$L58</f>
        <v/>
      </c>
      <c r="Z58" s="14">
        <f>SUM(M58:X58)</f>
        <v/>
      </c>
      <c r="AA58" s="14">
        <f>IFERROR(IF(UPPER($E58)="L",SUMPRODUCT(M58:X58,$M$3:$X$3,$M$2:$X$2),SUMPRODUCT(M58:X58,$M$4:$X$4,$M$2:$X$2))/(Y58/($K58*$L58)),"")</f>
        <v/>
      </c>
      <c r="AB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n"/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3">
        <f>SUMPRODUCT(M59:X59,$M$2:$X$2)*$K59*$L59</f>
        <v/>
      </c>
      <c r="Z59" s="14">
        <f>SUM(M59:X59)</f>
        <v/>
      </c>
      <c r="AA59" s="14">
        <f>IFERROR(IF(UPPER($E59)="L",SUMPRODUCT(M59:X59,$M$3:$X$3,$M$2:$X$2),SUMPRODUCT(M59:X59,$M$4:$X$4,$M$2:$X$2))/(Y59/($K59*$L59)),"")</f>
        <v/>
      </c>
      <c r="AB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n"/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3">
        <f>SUMPRODUCT(M60:X60,$M$2:$X$2)*$K60*$L60</f>
        <v/>
      </c>
      <c r="Z60" s="14">
        <f>SUM(M60:X60)</f>
        <v/>
      </c>
      <c r="AA60" s="14">
        <f>IFERROR(IF(UPPER($E60)="L",SUMPRODUCT(M60:X60,$M$3:$X$3,$M$2:$X$2),SUMPRODUCT(M60:X60,$M$4:$X$4,$M$2:$X$2))/(Y60/($K60*$L60)),"")</f>
        <v/>
      </c>
      <c r="AB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n"/>
      <c r="G61" s="9" t="n">
        <v>149</v>
      </c>
      <c r="H61" s="9" t="n">
        <v>1428</v>
      </c>
      <c r="I61" s="9" t="inlineStr">
        <is>
          <t>Utility OF / 4th OF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3">
        <f>SUMPRODUCT(M61:X61,$M$2:$X$2)*$K61*$L61</f>
        <v/>
      </c>
      <c r="Z61" s="14">
        <f>SUM(M61:X61)</f>
        <v/>
      </c>
      <c r="AA61" s="14">
        <f>IFERROR(IF(UPPER($E61)="L",SUMPRODUCT(M61:X61,$M$3:$X$3,$M$2:$X$2),SUMPRODUCT(M61:X61,$M$4:$X$4,$M$2:$X$2))/(Y61/($K61*$L61)),"")</f>
        <v/>
      </c>
      <c r="AB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n"/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3">
        <f>SUMPRODUCT(M62:X62,$M$2:$X$2)*$K62*$L62</f>
        <v/>
      </c>
      <c r="Z62" s="14">
        <f>SUM(M62:X62)</f>
        <v/>
      </c>
      <c r="AA62" s="14">
        <f>IFERROR(IF(UPPER($E62)="L",SUMPRODUCT(M62:X62,$M$3:$X$3,$M$2:$X$2),SUMPRODUCT(M62:X62,$M$4:$X$4,$M$2:$X$2))/(Y62/($K62*$L62)),"")</f>
        <v/>
      </c>
      <c r="AB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n"/>
      <c r="G63" s="9" t="n">
        <v>91</v>
      </c>
      <c r="H63" s="9" t="n">
        <v>91</v>
      </c>
      <c r="I63" s="9" t="inlineStr">
        <is>
          <t>Bench Bat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3">
        <f>SUMPRODUCT(M63:X63,$M$2:$X$2)*$K63*$L63</f>
        <v/>
      </c>
      <c r="Z63" s="14">
        <f>SUM(M63:X63)</f>
        <v/>
      </c>
      <c r="AA63" s="14">
        <f>IFERROR(IF(UPPER($E63)="L",SUMPRODUCT(M63:X63,$M$3:$X$3,$M$2:$X$2),SUMPRODUCT(M63:X63,$M$4:$X$4,$M$2:$X$2))/(Y63/($K63*$L63)),"")</f>
        <v/>
      </c>
      <c r="AB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n"/>
      <c r="G64" s="9" t="n">
        <v>660</v>
      </c>
      <c r="H64" s="9" t="n">
        <v>2031</v>
      </c>
      <c r="I64" s="9" t="inlineStr">
        <is>
          <t>Full Time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3">
        <f>SUMPRODUCT(M64:X64,$M$2:$X$2)*$K64*$L64</f>
        <v/>
      </c>
      <c r="Z64" s="14">
        <f>SUM(M64:X64)</f>
        <v/>
      </c>
      <c r="AA64" s="14">
        <f>IFERROR(IF(UPPER($E64)="L",SUMPRODUCT(M64:X64,$M$3:$X$3,$M$2:$X$2),SUMPRODUCT(M64:X64,$M$4:$X$4,$M$2:$X$2))/(Y64/($K64*$L64)),"")</f>
        <v/>
      </c>
      <c r="AB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n"/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3">
        <f>SUMPRODUCT(M65:X65,$M$2:$X$2)*$K65*$L65</f>
        <v/>
      </c>
      <c r="Z65" s="14">
        <f>SUM(M65:X65)</f>
        <v/>
      </c>
      <c r="AA65" s="14">
        <f>IFERROR(IF(UPPER($E65)="L",SUMPRODUCT(M65:X65,$M$3:$X$3,$M$2:$X$2),SUMPRODUCT(M65:X65,$M$4:$X$4,$M$2:$X$2))/(Y65/($K65*$L65)),"")</f>
        <v/>
      </c>
      <c r="AB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n"/>
      <c r="G66" s="9" t="n">
        <v>33</v>
      </c>
      <c r="H66" s="9" t="n">
        <v>33</v>
      </c>
      <c r="I66" s="9" t="inlineStr">
        <is>
          <t>Bench Bat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3">
        <f>SUMPRODUCT(M66:X66,$M$2:$X$2)*$K66*$L66</f>
        <v/>
      </c>
      <c r="Z66" s="14">
        <f>SUM(M66:X66)</f>
        <v/>
      </c>
      <c r="AA66" s="14">
        <f>IFERROR(IF(UPPER($E66)="L",SUMPRODUCT(M66:X66,$M$3:$X$3,$M$2:$X$2),SUMPRODUCT(M66:X66,$M$4:$X$4,$M$2:$X$2))/(Y66/($K66*$L66)),"")</f>
        <v/>
      </c>
      <c r="AB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n"/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3">
        <f>SUMPRODUCT(M67:X67,$M$2:$X$2)*$K67*$L67</f>
        <v/>
      </c>
      <c r="Z67" s="14">
        <f>SUM(M67:X67)</f>
        <v/>
      </c>
      <c r="AA67" s="14">
        <f>IFERROR(IF(UPPER($E67)="L",SUMPRODUCT(M67:X67,$M$3:$X$3,$M$2:$X$2),SUMPRODUCT(M67:X67,$M$4:$X$4,$M$2:$X$2))/(Y67/($K67*$L67)),"")</f>
        <v/>
      </c>
      <c r="AB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n"/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3">
        <f>SUMPRODUCT(M68:X68,$M$2:$X$2)*$K68*$L68</f>
        <v/>
      </c>
      <c r="Z68" s="14">
        <f>SUM(M68:X68)</f>
        <v/>
      </c>
      <c r="AA68" s="14">
        <f>IFERROR(IF(UPPER($E68)="L",SUMPRODUCT(M68:X68,$M$3:$X$3,$M$2:$X$2),SUMPRODUCT(M68:X68,$M$4:$X$4,$M$2:$X$2))/(Y68/($K68*$L68)),"")</f>
        <v/>
      </c>
      <c r="AB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n"/>
      <c r="G69" s="9" t="n">
        <v>181</v>
      </c>
      <c r="H69" s="9" t="n">
        <v>389</v>
      </c>
      <c r="I69" s="9" t="inlineStr">
        <is>
          <t>Bench Bat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3">
        <f>SUMPRODUCT(M69:X69,$M$2:$X$2)*$K69*$L69</f>
        <v/>
      </c>
      <c r="Z69" s="14">
        <f>SUM(M69:X69)</f>
        <v/>
      </c>
      <c r="AA69" s="14">
        <f>IFERROR(IF(UPPER($E69)="L",SUMPRODUCT(M69:X69,$M$3:$X$3,$M$2:$X$2),SUMPRODUCT(M69:X69,$M$4:$X$4,$M$2:$X$2))/(Y69/($K69*$L69)),"")</f>
        <v/>
      </c>
      <c r="AB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n"/>
      <c r="G70" s="9" t="n">
        <v>121</v>
      </c>
      <c r="H70" s="9" t="n">
        <v>1772</v>
      </c>
      <c r="I70" s="9" t="inlineStr">
        <is>
          <t>Utility OF / 4th OF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3">
        <f>SUMPRODUCT(M70:X70,$M$2:$X$2)*$K70*$L70</f>
        <v/>
      </c>
      <c r="Z70" s="14">
        <f>SUM(M70:X70)</f>
        <v/>
      </c>
      <c r="AA70" s="14">
        <f>IFERROR(IF(UPPER($E70)="L",SUMPRODUCT(M70:X70,$M$3:$X$3,$M$2:$X$2),SUMPRODUCT(M70:X70,$M$4:$X$4,$M$2:$X$2))/(Y70/($K70*$L70)),"")</f>
        <v/>
      </c>
      <c r="AB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n"/>
      <c r="G71" s="9" t="n">
        <v>454</v>
      </c>
      <c r="H71" s="9" t="n">
        <v>794</v>
      </c>
      <c r="I71" s="9" t="inlineStr">
        <is>
          <t>Full Time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3">
        <f>SUMPRODUCT(M71:X71,$M$2:$X$2)*$K71*$L71</f>
        <v/>
      </c>
      <c r="Z71" s="14">
        <f>SUM(M71:X71)</f>
        <v/>
      </c>
      <c r="AA71" s="14">
        <f>IFERROR(IF(UPPER($E71)="L",SUMPRODUCT(M71:X71,$M$3:$X$3,$M$2:$X$2),SUMPRODUCT(M71:X71,$M$4:$X$4,$M$2:$X$2))/(Y71/($K71*$L71)),"")</f>
        <v/>
      </c>
      <c r="AB71" s="18" t="n"/>
    </row>
    <row r="72">
      <c r="A72" s="9" t="n">
        <v>679529</v>
      </c>
      <c r="B72" s="9" t="inlineStr">
        <is>
          <t>Spencer Torkelson</t>
        </is>
      </c>
      <c r="C72" s="9" t="inlineStr">
        <is>
          <t>DET</t>
        </is>
      </c>
      <c r="D72" s="9" t="n">
        <v>27</v>
      </c>
      <c r="E72" s="16" t="inlineStr">
        <is>
          <t>R</t>
        </is>
      </c>
      <c r="F72" s="16" t="n"/>
      <c r="G72" s="9" t="n">
        <v>612</v>
      </c>
      <c r="H72" s="9" t="n">
        <v>2730</v>
      </c>
      <c r="I72" s="9" t="inlineStr">
        <is>
          <t>Full Time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3">
        <f>SUMPRODUCT(M72:X72,$M$2:$X$2)*$K72*$L72</f>
        <v/>
      </c>
      <c r="Z72" s="14">
        <f>SUM(M72:X72)</f>
        <v/>
      </c>
      <c r="AA72" s="14">
        <f>IFERROR(IF(UPPER($E72)="L",SUMPRODUCT(M72:X72,$M$3:$X$3,$M$2:$X$2),SUMPRODUCT(M72:X72,$M$4:$X$4,$M$2:$X$2))/(Y72/($K72*$L72)),"")</f>
        <v/>
      </c>
      <c r="AB72" s="18" t="n"/>
    </row>
    <row r="73">
      <c r="A73" s="9" t="n">
        <v>670242</v>
      </c>
      <c r="B73" s="9" t="inlineStr">
        <is>
          <t>Matt Wallner</t>
        </is>
      </c>
      <c r="C73" s="9" t="inlineStr">
        <is>
          <t>MIN</t>
        </is>
      </c>
      <c r="D73" s="9" t="n">
        <v>29</v>
      </c>
      <c r="E73" s="16" t="inlineStr">
        <is>
          <t>L</t>
        </is>
      </c>
      <c r="F73" s="16" t="n"/>
      <c r="G73" s="9" t="n">
        <v>135</v>
      </c>
      <c r="H73" s="9" t="n">
        <v>1107</v>
      </c>
      <c r="I73" s="9" t="inlineStr">
        <is>
          <t>Utility OF / 4th OF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3">
        <f>SUMPRODUCT(M73:X73,$M$2:$X$2)*$K73*$L73</f>
        <v/>
      </c>
      <c r="Z73" s="14">
        <f>SUM(M73:X73)</f>
        <v/>
      </c>
      <c r="AA73" s="14">
        <f>IFERROR(IF(UPPER($E73)="L",SUMPRODUCT(M73:X73,$M$3:$X$3,$M$2:$X$2),SUMPRODUCT(M73:X73,$M$4:$X$4,$M$2:$X$2))/(Y73/($K73*$L73)),"")</f>
        <v/>
      </c>
      <c r="AB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n"/>
      <c r="G74" s="9" t="n">
        <v>634</v>
      </c>
      <c r="H74" s="9" t="n">
        <v>2177</v>
      </c>
      <c r="I74" s="9" t="inlineStr">
        <is>
          <t>Full Time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3">
        <f>SUMPRODUCT(M74:X74,$M$2:$X$2)*$K74*$L74</f>
        <v/>
      </c>
      <c r="Z74" s="14">
        <f>SUM(M74:X74)</f>
        <v/>
      </c>
      <c r="AA74" s="14">
        <f>IFERROR(IF(UPPER($E74)="L",SUMPRODUCT(M74:X74,$M$3:$X$3,$M$2:$X$2),SUMPRODUCT(M74:X74,$M$4:$X$4,$M$2:$X$2))/(Y74/($K74*$L74)),"")</f>
        <v/>
      </c>
      <c r="AB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n"/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3">
        <f>SUMPRODUCT(M75:X75,$M$2:$X$2)*$K75*$L75</f>
        <v/>
      </c>
      <c r="Z75" s="14">
        <f>SUM(M75:X75)</f>
        <v/>
      </c>
      <c r="AA75" s="14">
        <f>IFERROR(IF(UPPER($E75)="L",SUMPRODUCT(M75:X75,$M$3:$X$3,$M$2:$X$2),SUMPRODUCT(M75:X75,$M$4:$X$4,$M$2:$X$2))/(Y75/($K75*$L75)),"")</f>
        <v/>
      </c>
      <c r="AB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n"/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3">
        <f>SUMPRODUCT(M76:X76,$M$2:$X$2)*$K76*$L76</f>
        <v/>
      </c>
      <c r="Z76" s="14">
        <f>SUM(M76:X76)</f>
        <v/>
      </c>
      <c r="AA76" s="14">
        <f>IFERROR(IF(UPPER($E76)="L",SUMPRODUCT(M76:X76,$M$3:$X$3,$M$2:$X$2),SUMPRODUCT(M76:X76,$M$4:$X$4,$M$2:$X$2))/(Y76/($K76*$L76)),"")</f>
        <v/>
      </c>
      <c r="AB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n"/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3">
        <f>SUMPRODUCT(M77:X77,$M$2:$X$2)*$K77*$L77</f>
        <v/>
      </c>
      <c r="Z77" s="14">
        <f>SUM(M77:X77)</f>
        <v/>
      </c>
      <c r="AA77" s="14">
        <f>IFERROR(IF(UPPER($E77)="L",SUMPRODUCT(M77:X77,$M$3:$X$3,$M$2:$X$2),SUMPRODUCT(M77:X77,$M$4:$X$4,$M$2:$X$2))/(Y77/($K77*$L77)),"")</f>
        <v/>
      </c>
      <c r="AB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n"/>
      <c r="G78" s="9" t="n">
        <v>468</v>
      </c>
      <c r="H78" s="9" t="n">
        <v>2602</v>
      </c>
      <c r="I78" s="9" t="inlineStr">
        <is>
          <t>Full Time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3">
        <f>SUMPRODUCT(M78:X78,$M$2:$X$2)*$K78*$L78</f>
        <v/>
      </c>
      <c r="Z78" s="14">
        <f>SUM(M78:X78)</f>
        <v/>
      </c>
      <c r="AA78" s="14">
        <f>IFERROR(IF(UPPER($E78)="L",SUMPRODUCT(M78:X78,$M$3:$X$3,$M$2:$X$2),SUMPRODUCT(M78:X78,$M$4:$X$4,$M$2:$X$2))/(Y78/($K78*$L78)),"")</f>
        <v/>
      </c>
      <c r="AB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n"/>
      <c r="G79" s="9" t="n">
        <v>11</v>
      </c>
      <c r="H79" s="9" t="n">
        <v>1694</v>
      </c>
      <c r="I79" s="9" t="inlineStr">
        <is>
          <t>Utility OF / 4th OF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3">
        <f>SUMPRODUCT(M79:X79,$M$2:$X$2)*$K79*$L79</f>
        <v/>
      </c>
      <c r="Z79" s="14">
        <f>SUM(M79:X79)</f>
        <v/>
      </c>
      <c r="AA79" s="14">
        <f>IFERROR(IF(UPPER($E79)="L",SUMPRODUCT(M79:X79,$M$3:$X$3,$M$2:$X$2),SUMPRODUCT(M79:X79,$M$4:$X$4,$M$2:$X$2))/(Y79/($K79*$L79)),"")</f>
        <v/>
      </c>
      <c r="AB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n"/>
      <c r="G80" s="9" t="n">
        <v>467</v>
      </c>
      <c r="H80" s="9" t="n">
        <v>2167</v>
      </c>
      <c r="I80" s="9" t="inlineStr">
        <is>
          <t>Full Time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3">
        <f>SUMPRODUCT(M80:X80,$M$2:$X$2)*$K80*$L80</f>
        <v/>
      </c>
      <c r="Z80" s="14">
        <f>SUM(M80:X80)</f>
        <v/>
      </c>
      <c r="AA80" s="14">
        <f>IFERROR(IF(UPPER($E80)="L",SUMPRODUCT(M80:X80,$M$3:$X$3,$M$2:$X$2),SUMPRODUCT(M80:X80,$M$4:$X$4,$M$2:$X$2))/(Y80/($K80*$L80)),"")</f>
        <v/>
      </c>
      <c r="AB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n"/>
      <c r="G81" s="9" t="n">
        <v>317</v>
      </c>
      <c r="H81" s="9" t="n">
        <v>1834</v>
      </c>
      <c r="I81" s="9" t="inlineStr">
        <is>
          <t>Utility OF / 4th OF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3">
        <f>SUMPRODUCT(M81:X81,$M$2:$X$2)*$K81*$L81</f>
        <v/>
      </c>
      <c r="Z81" s="14">
        <f>SUM(M81:X81)</f>
        <v/>
      </c>
      <c r="AA81" s="14">
        <f>IFERROR(IF(UPPER($E81)="L",SUMPRODUCT(M81:X81,$M$3:$X$3,$M$2:$X$2),SUMPRODUCT(M81:X81,$M$4:$X$4,$M$2:$X$2))/(Y81/($K81*$L81)),"")</f>
        <v/>
      </c>
      <c r="AB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n"/>
      <c r="G82" s="9" t="n">
        <v>623</v>
      </c>
      <c r="H82" s="9" t="n">
        <v>1648</v>
      </c>
      <c r="I82" s="9" t="inlineStr">
        <is>
          <t>Full Time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3">
        <f>SUMPRODUCT(M82:X82,$M$2:$X$2)*$K82*$L82</f>
        <v/>
      </c>
      <c r="Z82" s="14">
        <f>SUM(M82:X82)</f>
        <v/>
      </c>
      <c r="AA82" s="14">
        <f>IFERROR(IF(UPPER($E82)="L",SUMPRODUCT(M82:X82,$M$3:$X$3,$M$2:$X$2),SUMPRODUCT(M82:X82,$M$4:$X$4,$M$2:$X$2))/(Y82/($K82*$L82)),"")</f>
        <v/>
      </c>
      <c r="AB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n"/>
      <c r="G83" s="9" t="n">
        <v>130</v>
      </c>
      <c r="H83" s="9" t="n">
        <v>1254</v>
      </c>
      <c r="I83" s="9" t="inlineStr">
        <is>
          <t>Utility OF / 4th OF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3">
        <f>SUMPRODUCT(M83:X83,$M$2:$X$2)*$K83*$L83</f>
        <v/>
      </c>
      <c r="Z83" s="14">
        <f>SUM(M83:X83)</f>
        <v/>
      </c>
      <c r="AA83" s="14">
        <f>IFERROR(IF(UPPER($E83)="L",SUMPRODUCT(M83:X83,$M$3:$X$3,$M$2:$X$2),SUMPRODUCT(M83:X83,$M$4:$X$4,$M$2:$X$2))/(Y83/($K83*$L83)),"")</f>
        <v/>
      </c>
      <c r="AB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n"/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3">
        <f>SUMPRODUCT(M84:X84,$M$2:$X$2)*$K84*$L84</f>
        <v/>
      </c>
      <c r="Z84" s="14">
        <f>SUM(M84:X84)</f>
        <v/>
      </c>
      <c r="AA84" s="14">
        <f>IFERROR(IF(UPPER($E84)="L",SUMPRODUCT(M84:X84,$M$3:$X$3,$M$2:$X$2),SUMPRODUCT(M84:X84,$M$4:$X$4,$M$2:$X$2))/(Y84/($K84*$L84)),"")</f>
        <v/>
      </c>
      <c r="AB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n"/>
      <c r="G85" s="9" t="n">
        <v>512</v>
      </c>
      <c r="H85" s="9" t="n">
        <v>1309</v>
      </c>
      <c r="I85" s="9" t="inlineStr">
        <is>
          <t>Full Time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3">
        <f>SUMPRODUCT(M85:X85,$M$2:$X$2)*$K85*$L85</f>
        <v/>
      </c>
      <c r="Z85" s="14">
        <f>SUM(M85:X85)</f>
        <v/>
      </c>
      <c r="AA85" s="14">
        <f>IFERROR(IF(UPPER($E85)="L",SUMPRODUCT(M85:X85,$M$3:$X$3,$M$2:$X$2),SUMPRODUCT(M85:X85,$M$4:$X$4,$M$2:$X$2))/(Y85/($K85*$L85)),"")</f>
        <v/>
      </c>
      <c r="AB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n"/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3">
        <f>SUMPRODUCT(M86:X86,$M$2:$X$2)*$K86*$L86</f>
        <v/>
      </c>
      <c r="Z86" s="14">
        <f>SUM(M86:X86)</f>
        <v/>
      </c>
      <c r="AA86" s="14">
        <f>IFERROR(IF(UPPER($E86)="L",SUMPRODUCT(M86:X86,$M$3:$X$3,$M$2:$X$2),SUMPRODUCT(M86:X86,$M$4:$X$4,$M$2:$X$2))/(Y86/($K86*$L86)),"")</f>
        <v/>
      </c>
      <c r="AB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n"/>
      <c r="G87" s="9" t="n">
        <v>206</v>
      </c>
      <c r="H87" s="9" t="n">
        <v>1790</v>
      </c>
      <c r="I87" s="9" t="inlineStr">
        <is>
          <t>Full Time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3">
        <f>SUMPRODUCT(M87:X87,$M$2:$X$2)*$K87*$L87</f>
        <v/>
      </c>
      <c r="Z87" s="14">
        <f>SUM(M87:X87)</f>
        <v/>
      </c>
      <c r="AA87" s="14">
        <f>IFERROR(IF(UPPER($E87)="L",SUMPRODUCT(M87:X87,$M$3:$X$3,$M$2:$X$2),SUMPRODUCT(M87:X87,$M$4:$X$4,$M$2:$X$2))/(Y87/($K87*$L87)),"")</f>
        <v/>
      </c>
      <c r="AB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n"/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3">
        <f>SUMPRODUCT(M88:X88,$M$2:$X$2)*$K88*$L88</f>
        <v/>
      </c>
      <c r="Z88" s="14">
        <f>SUM(M88:X88)</f>
        <v/>
      </c>
      <c r="AA88" s="14">
        <f>IFERROR(IF(UPPER($E88)="L",SUMPRODUCT(M88:X88,$M$3:$X$3,$M$2:$X$2),SUMPRODUCT(M88:X88,$M$4:$X$4,$M$2:$X$2))/(Y88/($K88*$L88)),"")</f>
        <v/>
      </c>
      <c r="AB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n"/>
      <c r="G89" s="9" t="n">
        <v>213</v>
      </c>
      <c r="H89" s="9" t="n">
        <v>714</v>
      </c>
      <c r="I89" s="9" t="inlineStr">
        <is>
          <t>Bench Bat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3">
        <f>SUMPRODUCT(M89:X89,$M$2:$X$2)*$K89*$L89</f>
        <v/>
      </c>
      <c r="Z89" s="14">
        <f>SUM(M89:X89)</f>
        <v/>
      </c>
      <c r="AA89" s="14">
        <f>IFERROR(IF(UPPER($E89)="L",SUMPRODUCT(M89:X89,$M$3:$X$3,$M$2:$X$2),SUMPRODUCT(M89:X89,$M$4:$X$4,$M$2:$X$2))/(Y89/($K89*$L89)),"")</f>
        <v/>
      </c>
      <c r="AB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n"/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3">
        <f>SUMPRODUCT(M90:X90,$M$2:$X$2)*$K90*$L90</f>
        <v/>
      </c>
      <c r="Z90" s="14">
        <f>SUM(M90:X90)</f>
        <v/>
      </c>
      <c r="AA90" s="14">
        <f>IFERROR(IF(UPPER($E90)="L",SUMPRODUCT(M90:X90,$M$3:$X$3,$M$2:$X$2),SUMPRODUCT(M90:X90,$M$4:$X$4,$M$2:$X$2))/(Y90/($K90*$L90)),"")</f>
        <v/>
      </c>
      <c r="AB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n"/>
      <c r="G91" s="9" t="n">
        <v>289</v>
      </c>
      <c r="H91" s="9" t="n">
        <v>289</v>
      </c>
      <c r="I91" s="9" t="inlineStr">
        <is>
          <t>Utility OF / 4th OF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3">
        <f>SUMPRODUCT(M91:X91,$M$2:$X$2)*$K91*$L91</f>
        <v/>
      </c>
      <c r="Z91" s="14">
        <f>SUM(M91:X91)</f>
        <v/>
      </c>
      <c r="AA91" s="14">
        <f>IFERROR(IF(UPPER($E91)="L",SUMPRODUCT(M91:X91,$M$3:$X$3,$M$2:$X$2),SUMPRODUCT(M91:X91,$M$4:$X$4,$M$2:$X$2))/(Y91/($K91*$L91)),"")</f>
        <v/>
      </c>
      <c r="AB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n"/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3">
        <f>SUMPRODUCT(M92:X92,$M$2:$X$2)*$K92*$L92</f>
        <v/>
      </c>
      <c r="Z92" s="14">
        <f>SUM(M92:X92)</f>
        <v/>
      </c>
      <c r="AA92" s="14">
        <f>IFERROR(IF(UPPER($E92)="L",SUMPRODUCT(M92:X92,$M$3:$X$3,$M$2:$X$2),SUMPRODUCT(M92:X92,$M$4:$X$4,$M$2:$X$2))/(Y92/($K92*$L92)),"")</f>
        <v/>
      </c>
      <c r="AB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n"/>
      <c r="G93" s="9" t="n">
        <v>116</v>
      </c>
      <c r="H93" s="9" t="n">
        <v>116</v>
      </c>
      <c r="I93" s="9" t="inlineStr">
        <is>
          <t>Bench Bat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3">
        <f>SUMPRODUCT(M93:X93,$M$2:$X$2)*$K93*$L93</f>
        <v/>
      </c>
      <c r="Z93" s="14">
        <f>SUM(M93:X93)</f>
        <v/>
      </c>
      <c r="AA93" s="14">
        <f>IFERROR(IF(UPPER($E93)="L",SUMPRODUCT(M93:X93,$M$3:$X$3,$M$2:$X$2),SUMPRODUCT(M93:X93,$M$4:$X$4,$M$2:$X$2))/(Y93/($K93*$L93)),"")</f>
        <v/>
      </c>
      <c r="AB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n"/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3">
        <f>SUMPRODUCT(M94:X94,$M$2:$X$2)*$K94*$L94</f>
        <v/>
      </c>
      <c r="Z94" s="14">
        <f>SUM(M94:X94)</f>
        <v/>
      </c>
      <c r="AA94" s="14">
        <f>IFERROR(IF(UPPER($E94)="L",SUMPRODUCT(M94:X94,$M$3:$X$3,$M$2:$X$2),SUMPRODUCT(M94:X94,$M$4:$X$4,$M$2:$X$2))/(Y94/($K94*$L94)),"")</f>
        <v/>
      </c>
      <c r="AB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n"/>
      <c r="G95" s="9" t="n">
        <v>356</v>
      </c>
      <c r="H95" s="9" t="n">
        <v>1043</v>
      </c>
      <c r="I95" s="9" t="inlineStr">
        <is>
          <t>Full Time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3">
        <f>SUMPRODUCT(M95:X95,$M$2:$X$2)*$K95*$L95</f>
        <v/>
      </c>
      <c r="Z95" s="14">
        <f>SUM(M95:X95)</f>
        <v/>
      </c>
      <c r="AA95" s="14">
        <f>IFERROR(IF(UPPER($E95)="L",SUMPRODUCT(M95:X95,$M$3:$X$3,$M$2:$X$2),SUMPRODUCT(M95:X95,$M$4:$X$4,$M$2:$X$2))/(Y95/($K95*$L95)),"")</f>
        <v/>
      </c>
      <c r="AB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n"/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3">
        <f>SUMPRODUCT(M96:X96,$M$2:$X$2)*$K96*$L96</f>
        <v/>
      </c>
      <c r="Z96" s="14">
        <f>SUM(M96:X96)</f>
        <v/>
      </c>
      <c r="AA96" s="14">
        <f>IFERROR(IF(UPPER($E96)="L",SUMPRODUCT(M96:X96,$M$3:$X$3,$M$2:$X$2),SUMPRODUCT(M96:X96,$M$4:$X$4,$M$2:$X$2))/(Y96/($K96*$L96)),"")</f>
        <v/>
      </c>
      <c r="AB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n"/>
      <c r="G97" s="9" t="n">
        <v>48</v>
      </c>
      <c r="H97" s="9" t="n">
        <v>48</v>
      </c>
      <c r="I97" s="9" t="inlineStr">
        <is>
          <t>Bench Bat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3">
        <f>SUMPRODUCT(M97:X97,$M$2:$X$2)*$K97*$L97</f>
        <v/>
      </c>
      <c r="Z97" s="14">
        <f>SUM(M97:X97)</f>
        <v/>
      </c>
      <c r="AA97" s="14">
        <f>IFERROR(IF(UPPER($E97)="L",SUMPRODUCT(M97:X97,$M$3:$X$3,$M$2:$X$2),SUMPRODUCT(M97:X97,$M$4:$X$4,$M$2:$X$2))/(Y97/($K97*$L97)),"")</f>
        <v/>
      </c>
      <c r="AB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n"/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3">
        <f>SUMPRODUCT(M98:X98,$M$2:$X$2)*$K98*$L98</f>
        <v/>
      </c>
      <c r="Z98" s="14">
        <f>SUM(M98:X98)</f>
        <v/>
      </c>
      <c r="AA98" s="14">
        <f>IFERROR(IF(UPPER($E98)="L",SUMPRODUCT(M98:X98,$M$3:$X$3,$M$2:$X$2),SUMPRODUCT(M98:X98,$M$4:$X$4,$M$2:$X$2))/(Y98/($K98*$L98)),"")</f>
        <v/>
      </c>
      <c r="AB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n"/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3">
        <f>SUMPRODUCT(M99:X99,$M$2:$X$2)*$K99*$L99</f>
        <v/>
      </c>
      <c r="Z99" s="14">
        <f>SUM(M99:X99)</f>
        <v/>
      </c>
      <c r="AA99" s="14">
        <f>IFERROR(IF(UPPER($E99)="L",SUMPRODUCT(M99:X99,$M$3:$X$3,$M$2:$X$2),SUMPRODUCT(M99:X99,$M$4:$X$4,$M$2:$X$2))/(Y99/($K99*$L99)),"")</f>
        <v/>
      </c>
      <c r="AB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n"/>
      <c r="G100" s="9" t="n">
        <v>295</v>
      </c>
      <c r="H100" s="9" t="n">
        <v>1486</v>
      </c>
      <c r="I100" s="9" t="inlineStr">
        <is>
          <t>Full Time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3">
        <f>SUMPRODUCT(M100:X100,$M$2:$X$2)*$K100*$L100</f>
        <v/>
      </c>
      <c r="Z100" s="14">
        <f>SUM(M100:X100)</f>
        <v/>
      </c>
      <c r="AA100" s="14">
        <f>IFERROR(IF(UPPER($E100)="L",SUMPRODUCT(M100:X100,$M$3:$X$3,$M$2:$X$2),SUMPRODUCT(M100:X100,$M$4:$X$4,$M$2:$X$2))/(Y100/($K100*$L100)),"")</f>
        <v/>
      </c>
      <c r="AB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n"/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3">
        <f>SUMPRODUCT(M101:X101,$M$2:$X$2)*$K101*$L101</f>
        <v/>
      </c>
      <c r="Z101" s="14">
        <f>SUM(M101:X101)</f>
        <v/>
      </c>
      <c r="AA101" s="14">
        <f>IFERROR(IF(UPPER($E101)="L",SUMPRODUCT(M101:X101,$M$3:$X$3,$M$2:$X$2),SUMPRODUCT(M101:X101,$M$4:$X$4,$M$2:$X$2))/(Y101/($K101*$L101)),"")</f>
        <v/>
      </c>
      <c r="AB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n"/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3">
        <f>SUMPRODUCT(M102:X102,$M$2:$X$2)*$K102*$L102</f>
        <v/>
      </c>
      <c r="Z102" s="14">
        <f>SUM(M102:X102)</f>
        <v/>
      </c>
      <c r="AA102" s="14">
        <f>IFERROR(IF(UPPER($E102)="L",SUMPRODUCT(M102:X102,$M$3:$X$3,$M$2:$X$2),SUMPRODUCT(M102:X102,$M$4:$X$4,$M$2:$X$2))/(Y102/($K102*$L102)),"")</f>
        <v/>
      </c>
      <c r="AB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n"/>
      <c r="G103" s="9" t="n">
        <v>214</v>
      </c>
      <c r="H103" s="9" t="n">
        <v>876</v>
      </c>
      <c r="I103" s="9" t="inlineStr">
        <is>
          <t>Bench Bat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3">
        <f>SUMPRODUCT(M103:X103,$M$2:$X$2)*$K103*$L103</f>
        <v/>
      </c>
      <c r="Z103" s="14">
        <f>SUM(M103:X103)</f>
        <v/>
      </c>
      <c r="AA103" s="14">
        <f>IFERROR(IF(UPPER($E103)="L",SUMPRODUCT(M103:X103,$M$3:$X$3,$M$2:$X$2),SUMPRODUCT(M103:X103,$M$4:$X$4,$M$2:$X$2))/(Y103/($K103*$L103)),"")</f>
        <v/>
      </c>
      <c r="AB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n"/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3">
        <f>SUMPRODUCT(M104:X104,$M$2:$X$2)*$K104*$L104</f>
        <v/>
      </c>
      <c r="Z104" s="14">
        <f>SUM(M104:X104)</f>
        <v/>
      </c>
      <c r="AA104" s="14">
        <f>IFERROR(IF(UPPER($E104)="L",SUMPRODUCT(M104:X104,$M$3:$X$3,$M$2:$X$2),SUMPRODUCT(M104:X104,$M$4:$X$4,$M$2:$X$2))/(Y104/($K104*$L104)),"")</f>
        <v/>
      </c>
      <c r="AB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n"/>
      <c r="G105" s="9" t="n">
        <v>129</v>
      </c>
      <c r="H105" s="9" t="n">
        <v>1065</v>
      </c>
      <c r="I105" s="9" t="inlineStr">
        <is>
          <t>Bench Bat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3">
        <f>SUMPRODUCT(M105:X105,$M$2:$X$2)*$K105*$L105</f>
        <v/>
      </c>
      <c r="Z105" s="14">
        <f>SUM(M105:X105)</f>
        <v/>
      </c>
      <c r="AA105" s="14">
        <f>IFERROR(IF(UPPER($E105)="L",SUMPRODUCT(M105:X105,$M$3:$X$3,$M$2:$X$2),SUMPRODUCT(M105:X105,$M$4:$X$4,$M$2:$X$2))/(Y105/($K105*$L105)),"")</f>
        <v/>
      </c>
      <c r="AB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n"/>
      <c r="G106" s="9" t="n">
        <v>20</v>
      </c>
      <c r="H106" s="9" t="n">
        <v>1617</v>
      </c>
      <c r="I106" s="9" t="inlineStr">
        <is>
          <t>Bench Bat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3">
        <f>SUMPRODUCT(M106:X106,$M$2:$X$2)*$K106*$L106</f>
        <v/>
      </c>
      <c r="Z106" s="14">
        <f>SUM(M106:X106)</f>
        <v/>
      </c>
      <c r="AA106" s="14">
        <f>IFERROR(IF(UPPER($E106)="L",SUMPRODUCT(M106:X106,$M$3:$X$3,$M$2:$X$2),SUMPRODUCT(M106:X106,$M$4:$X$4,$M$2:$X$2))/(Y106/($K106*$L106)),"")</f>
        <v/>
      </c>
      <c r="AB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n"/>
      <c r="G107" s="9" t="n">
        <v>432</v>
      </c>
      <c r="H107" s="9" t="n">
        <v>2045</v>
      </c>
      <c r="I107" s="9" t="inlineStr">
        <is>
          <t>Full Time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3">
        <f>SUMPRODUCT(M107:X107,$M$2:$X$2)*$K107*$L107</f>
        <v/>
      </c>
      <c r="Z107" s="14">
        <f>SUM(M107:X107)</f>
        <v/>
      </c>
      <c r="AA107" s="14">
        <f>IFERROR(IF(UPPER($E107)="L",SUMPRODUCT(M107:X107,$M$3:$X$3,$M$2:$X$2),SUMPRODUCT(M107:X107,$M$4:$X$4,$M$2:$X$2))/(Y107/($K107*$L107)),"")</f>
        <v/>
      </c>
      <c r="AB107" s="18" t="n"/>
    </row>
    <row r="108">
      <c r="A108" s="9" t="n">
        <v>666135</v>
      </c>
      <c r="B108" s="9" t="inlineStr">
        <is>
          <t>Alex Kirilloff</t>
        </is>
      </c>
      <c r="C108" s="9" t="inlineStr">
        <is>
          <t>MIN</t>
        </is>
      </c>
      <c r="D108" s="9" t="n">
        <v>29</v>
      </c>
      <c r="E108" s="16" t="inlineStr">
        <is>
          <t>L</t>
        </is>
      </c>
      <c r="F108" s="16" t="n"/>
      <c r="G108" s="9" t="n">
        <v>178</v>
      </c>
      <c r="H108" s="9" t="n">
        <v>653</v>
      </c>
      <c r="I108" s="9" t="inlineStr">
        <is>
          <t>Depth (no MLB PA)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3">
        <f>SUMPRODUCT(M108:X108,$M$2:$X$2)*$K108*$L108</f>
        <v/>
      </c>
      <c r="Z108" s="14">
        <f>SUM(M108:X108)</f>
        <v/>
      </c>
      <c r="AA108" s="14">
        <f>IFERROR(IF(UPPER($E108)="L",SUMPRODUCT(M108:X108,$M$3:$X$3,$M$2:$X$2),SUMPRODUCT(M108:X108,$M$4:$X$4,$M$2:$X$2))/(Y108/($K108*$L108)),"")</f>
        <v/>
      </c>
      <c r="AB108" s="18" t="n"/>
    </row>
    <row r="109">
      <c r="A109" s="9" t="n">
        <v>671213</v>
      </c>
      <c r="B109" s="9" t="inlineStr">
        <is>
          <t>Triston Casas</t>
        </is>
      </c>
      <c r="C109" s="9" t="inlineStr">
        <is>
          <t>BOS</t>
        </is>
      </c>
      <c r="D109" s="9" t="n">
        <v>27</v>
      </c>
      <c r="E109" s="16" t="inlineStr">
        <is>
          <t>L</t>
        </is>
      </c>
      <c r="F109" s="16" t="n"/>
      <c r="G109" s="9" t="n">
        <v>112</v>
      </c>
      <c r="H109" s="9" t="n">
        <v>952</v>
      </c>
      <c r="I109" s="9" t="inlineStr">
        <is>
          <t>Bench Bat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3">
        <f>SUMPRODUCT(M109:X109,$M$2:$X$2)*$K109*$L109</f>
        <v/>
      </c>
      <c r="Z109" s="14">
        <f>SUM(M109:X109)</f>
        <v/>
      </c>
      <c r="AA109" s="14">
        <f>IFERROR(IF(UPPER($E109)="L",SUMPRODUCT(M109:X109,$M$3:$X$3,$M$2:$X$2),SUMPRODUCT(M109:X109,$M$4:$X$4,$M$2:$X$2))/(Y109/($K109*$L109)),"")</f>
        <v/>
      </c>
      <c r="AB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n"/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3">
        <f>SUMPRODUCT(M110:X110,$M$2:$X$2)*$K110*$L110</f>
        <v/>
      </c>
      <c r="Z110" s="14">
        <f>SUM(M110:X110)</f>
        <v/>
      </c>
      <c r="AA110" s="14">
        <f>IFERROR(IF(UPPER($E110)="L",SUMPRODUCT(M110:X110,$M$3:$X$3,$M$2:$X$2),SUMPRODUCT(M110:X110,$M$4:$X$4,$M$2:$X$2))/(Y110/($K110*$L110)),"")</f>
        <v/>
      </c>
      <c r="AB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n"/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3">
        <f>SUMPRODUCT(M111:X111,$M$2:$X$2)*$K111*$L111</f>
        <v/>
      </c>
      <c r="Z111" s="14">
        <f>SUM(M111:X111)</f>
        <v/>
      </c>
      <c r="AA111" s="14">
        <f>IFERROR(IF(UPPER($E111)="L",SUMPRODUCT(M111:X111,$M$3:$X$3,$M$2:$X$2),SUMPRODUCT(M111:X111,$M$4:$X$4,$M$2:$X$2))/(Y111/($K111*$L111)),"")</f>
        <v/>
      </c>
      <c r="AB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n"/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3">
        <f>SUMPRODUCT(M112:X112,$M$2:$X$2)*$K112*$L112</f>
        <v/>
      </c>
      <c r="Z112" s="14">
        <f>SUM(M112:X112)</f>
        <v/>
      </c>
      <c r="AA112" s="14">
        <f>IFERROR(IF(UPPER($E112)="L",SUMPRODUCT(M112:X112,$M$3:$X$3,$M$2:$X$2),SUMPRODUCT(M112:X112,$M$4:$X$4,$M$2:$X$2))/(Y112/($K112*$L112)),"")</f>
        <v/>
      </c>
      <c r="AB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n"/>
      <c r="G113" s="9" t="n">
        <v>603</v>
      </c>
      <c r="H113" s="9" t="n">
        <v>672</v>
      </c>
      <c r="I113" s="9" t="inlineStr">
        <is>
          <t>Full Time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3">
        <f>SUMPRODUCT(M113:X113,$M$2:$X$2)*$K113*$L113</f>
        <v/>
      </c>
      <c r="Z113" s="14">
        <f>SUM(M113:X113)</f>
        <v/>
      </c>
      <c r="AA113" s="14">
        <f>IFERROR(IF(UPPER($E113)="L",SUMPRODUCT(M113:X113,$M$3:$X$3,$M$2:$X$2),SUMPRODUCT(M113:X113,$M$4:$X$4,$M$2:$X$2))/(Y113/($K113*$L113)),"")</f>
        <v/>
      </c>
      <c r="AB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n"/>
      <c r="G114" s="9" t="n">
        <v>114</v>
      </c>
      <c r="H114" s="9" t="n">
        <v>1145</v>
      </c>
      <c r="I114" s="9" t="inlineStr">
        <is>
          <t>Utility OF / 4th OF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3">
        <f>SUMPRODUCT(M114:X114,$M$2:$X$2)*$K114*$L114</f>
        <v/>
      </c>
      <c r="Z114" s="14">
        <f>SUM(M114:X114)</f>
        <v/>
      </c>
      <c r="AA114" s="14">
        <f>IFERROR(IF(UPPER($E114)="L",SUMPRODUCT(M114:X114,$M$3:$X$3,$M$2:$X$2),SUMPRODUCT(M114:X114,$M$4:$X$4,$M$2:$X$2))/(Y114/($K114*$L114)),"")</f>
        <v/>
      </c>
      <c r="AB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n"/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3">
        <f>SUMPRODUCT(M115:X115,$M$2:$X$2)*$K115*$L115</f>
        <v/>
      </c>
      <c r="Z115" s="14">
        <f>SUM(M115:X115)</f>
        <v/>
      </c>
      <c r="AA115" s="14">
        <f>IFERROR(IF(UPPER($E115)="L",SUMPRODUCT(M115:X115,$M$3:$X$3,$M$2:$X$2),SUMPRODUCT(M115:X115,$M$4:$X$4,$M$2:$X$2))/(Y115/($K115*$L115)),"")</f>
        <v/>
      </c>
      <c r="AB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n"/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3">
        <f>SUMPRODUCT(M116:X116,$M$2:$X$2)*$K116*$L116</f>
        <v/>
      </c>
      <c r="Z116" s="14">
        <f>SUM(M116:X116)</f>
        <v/>
      </c>
      <c r="AA116" s="14">
        <f>IFERROR(IF(UPPER($E116)="L",SUMPRODUCT(M116:X116,$M$3:$X$3,$M$2:$X$2),SUMPRODUCT(M116:X116,$M$4:$X$4,$M$2:$X$2))/(Y116/($K116*$L116)),"")</f>
        <v/>
      </c>
      <c r="AB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n"/>
      <c r="G117" s="9" t="n">
        <v>287</v>
      </c>
      <c r="H117" s="9" t="n">
        <v>1439</v>
      </c>
      <c r="I117" s="9" t="inlineStr">
        <is>
          <t>Utility OF / 4th OF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3">
        <f>SUMPRODUCT(M117:X117,$M$2:$X$2)*$K117*$L117</f>
        <v/>
      </c>
      <c r="Z117" s="14">
        <f>SUM(M117:X117)</f>
        <v/>
      </c>
      <c r="AA117" s="14">
        <f>IFERROR(IF(UPPER($E117)="L",SUMPRODUCT(M117:X117,$M$3:$X$3,$M$2:$X$2),SUMPRODUCT(M117:X117,$M$4:$X$4,$M$2:$X$2))/(Y117/($K117*$L117)),"")</f>
        <v/>
      </c>
      <c r="AB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n"/>
      <c r="G118" s="9" t="n">
        <v>93</v>
      </c>
      <c r="H118" s="9" t="n">
        <v>93</v>
      </c>
      <c r="I118" s="9" t="inlineStr">
        <is>
          <t>Bench Bat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3">
        <f>SUMPRODUCT(M118:X118,$M$2:$X$2)*$K118*$L118</f>
        <v/>
      </c>
      <c r="Z118" s="14">
        <f>SUM(M118:X118)</f>
        <v/>
      </c>
      <c r="AA118" s="14">
        <f>IFERROR(IF(UPPER($E118)="L",SUMPRODUCT(M118:X118,$M$3:$X$3,$M$2:$X$2),SUMPRODUCT(M118:X118,$M$4:$X$4,$M$2:$X$2))/(Y118/($K118*$L118)),"")</f>
        <v/>
      </c>
      <c r="AB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n"/>
      <c r="G119" s="9" t="n">
        <v>627</v>
      </c>
      <c r="H119" s="9" t="n">
        <v>2973</v>
      </c>
      <c r="I119" s="9" t="inlineStr">
        <is>
          <t>Full Time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3">
        <f>SUMPRODUCT(M119:X119,$M$2:$X$2)*$K119*$L119</f>
        <v/>
      </c>
      <c r="Z119" s="14">
        <f>SUM(M119:X119)</f>
        <v/>
      </c>
      <c r="AA119" s="14">
        <f>IFERROR(IF(UPPER($E119)="L",SUMPRODUCT(M119:X119,$M$3:$X$3,$M$2:$X$2),SUMPRODUCT(M119:X119,$M$4:$X$4,$M$2:$X$2))/(Y119/($K119*$L119)),"")</f>
        <v/>
      </c>
      <c r="AB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n"/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3">
        <f>SUMPRODUCT(M120:X120,$M$2:$X$2)*$K120*$L120</f>
        <v/>
      </c>
      <c r="Z120" s="14">
        <f>SUM(M120:X120)</f>
        <v/>
      </c>
      <c r="AA120" s="14">
        <f>IFERROR(IF(UPPER($E120)="L",SUMPRODUCT(M120:X120,$M$3:$X$3,$M$2:$X$2),SUMPRODUCT(M120:X120,$M$4:$X$4,$M$2:$X$2))/(Y120/($K120*$L120)),"")</f>
        <v/>
      </c>
      <c r="AB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n"/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3">
        <f>SUMPRODUCT(M121:X121,$M$2:$X$2)*$K121*$L121</f>
        <v/>
      </c>
      <c r="Z121" s="14">
        <f>SUM(M121:X121)</f>
        <v/>
      </c>
      <c r="AA121" s="14">
        <f>IFERROR(IF(UPPER($E121)="L",SUMPRODUCT(M121:X121,$M$3:$X$3,$M$2:$X$2),SUMPRODUCT(M121:X121,$M$4:$X$4,$M$2:$X$2))/(Y121/($K121*$L121)),"")</f>
        <v/>
      </c>
      <c r="AB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3">
        <f>SUMPRODUCT(M122:X122,$M$2:$X$2)*$K122*$L122</f>
        <v/>
      </c>
      <c r="Z122" s="14">
        <f>SUM(M122:X122)</f>
        <v/>
      </c>
      <c r="AA122" s="14">
        <f>IFERROR(IF(UPPER($E122)="L",SUMPRODUCT(M122:X122,$M$3:$X$3,$M$2:$X$2),SUMPRODUCT(M122:X122,$M$4:$X$4,$M$2:$X$2))/(Y122/($K122*$L122)),"")</f>
        <v/>
      </c>
      <c r="AB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n"/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3">
        <f>SUMPRODUCT(M123:X123,$M$2:$X$2)*$K123*$L123</f>
        <v/>
      </c>
      <c r="Z123" s="14">
        <f>SUM(M123:X123)</f>
        <v/>
      </c>
      <c r="AA123" s="14">
        <f>IFERROR(IF(UPPER($E123)="L",SUMPRODUCT(M123:X123,$M$3:$X$3,$M$2:$X$2),SUMPRODUCT(M123:X123,$M$4:$X$4,$M$2:$X$2))/(Y123/($K123*$L123)),"")</f>
        <v/>
      </c>
      <c r="AB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n"/>
      <c r="G124" s="9" t="n">
        <v>323</v>
      </c>
      <c r="H124" s="9" t="n">
        <v>498</v>
      </c>
      <c r="I124" s="9" t="inlineStr">
        <is>
          <t>Utility OF / 4th OF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3">
        <f>SUMPRODUCT(M124:X124,$M$2:$X$2)*$K124*$L124</f>
        <v/>
      </c>
      <c r="Z124" s="14">
        <f>SUM(M124:X124)</f>
        <v/>
      </c>
      <c r="AA124" s="14">
        <f>IFERROR(IF(UPPER($E124)="L",SUMPRODUCT(M124:X124,$M$3:$X$3,$M$2:$X$2),SUMPRODUCT(M124:X124,$M$4:$X$4,$M$2:$X$2))/(Y124/($K124*$L124)),"")</f>
        <v/>
      </c>
      <c r="AB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n"/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3">
        <f>SUMPRODUCT(M125:X125,$M$2:$X$2)*$K125*$L125</f>
        <v/>
      </c>
      <c r="Z125" s="14">
        <f>SUM(M125:X125)</f>
        <v/>
      </c>
      <c r="AA125" s="14">
        <f>IFERROR(IF(UPPER($E125)="L",SUMPRODUCT(M125:X125,$M$3:$X$3,$M$2:$X$2),SUMPRODUCT(M125:X125,$M$4:$X$4,$M$2:$X$2))/(Y125/($K125*$L125)),"")</f>
        <v/>
      </c>
      <c r="AB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n"/>
      <c r="G126" s="9" t="n">
        <v>352</v>
      </c>
      <c r="H126" s="9" t="n">
        <v>1027</v>
      </c>
      <c r="I126" s="9" t="inlineStr">
        <is>
          <t>Utility OF / 4th OF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3">
        <f>SUMPRODUCT(M126:X126,$M$2:$X$2)*$K126*$L126</f>
        <v/>
      </c>
      <c r="Z126" s="14">
        <f>SUM(M126:X126)</f>
        <v/>
      </c>
      <c r="AA126" s="14">
        <f>IFERROR(IF(UPPER($E126)="L",SUMPRODUCT(M126:X126,$M$3:$X$3,$M$2:$X$2),SUMPRODUCT(M126:X126,$M$4:$X$4,$M$2:$X$2))/(Y126/($K126*$L126)),"")</f>
        <v/>
      </c>
      <c r="AB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25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Depth (no MLB PA)</t>
        </is>
      </c>
      <c r="J127" s="16" t="inlineStr">
        <is>
          <t>Opening Day</t>
        </is>
      </c>
      <c r="K127" s="11">
        <f>IFERROR(INDEX(Roles!$B$17:$B$20,MATCH(J127,Roles!$A$17:$A$20,0)),1)</f>
        <v/>
      </c>
      <c r="L127" s="17" t="n">
        <v>1</v>
      </c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3">
        <f>SUMPRODUCT(M127:X127,$M$2:$X$2)*$K127*$L127</f>
        <v/>
      </c>
      <c r="Z127" s="14">
        <f>SUM(M127:X127)</f>
        <v/>
      </c>
      <c r="AA127" s="14">
        <f>IFERROR(IF(UPPER($E127)="L",SUMPRODUCT(M127:X127,$M$3:$X$3,$M$2:$X$2),SUMPRODUCT(M127:X127,$M$4:$X$4,$M$2:$X$2))/(Y127/($K127*$L127)),"")</f>
        <v/>
      </c>
      <c r="AB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n"/>
      <c r="G128" s="9" t="n">
        <v>228</v>
      </c>
      <c r="H128" s="9" t="n">
        <v>433</v>
      </c>
      <c r="I128" s="9" t="inlineStr">
        <is>
          <t>Bench Bat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3">
        <f>SUMPRODUCT(M128:X128,$M$2:$X$2)*$K128*$L128</f>
        <v/>
      </c>
      <c r="Z128" s="14">
        <f>SUM(M128:X128)</f>
        <v/>
      </c>
      <c r="AA128" s="14">
        <f>IFERROR(IF(UPPER($E128)="L",SUMPRODUCT(M128:X128,$M$3:$X$3,$M$2:$X$2),SUMPRODUCT(M128:X128,$M$4:$X$4,$M$2:$X$2))/(Y128/($K128*$L128)),"")</f>
        <v/>
      </c>
      <c r="AB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25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3">
        <f>SUMPRODUCT(M129:X129,$M$2:$X$2)*$K129*$L129</f>
        <v/>
      </c>
      <c r="Z129" s="14">
        <f>SUM(M129:X129)</f>
        <v/>
      </c>
      <c r="AA129" s="14">
        <f>IFERROR(IF(UPPER($E129)="L",SUMPRODUCT(M129:X129,$M$3:$X$3,$M$2:$X$2),SUMPRODUCT(M129:X129,$M$4:$X$4,$M$2:$X$2))/(Y129/($K129*$L129)),"")</f>
        <v/>
      </c>
      <c r="AB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n"/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3">
        <f>SUMPRODUCT(M130:X130,$M$2:$X$2)*$K130*$L130</f>
        <v/>
      </c>
      <c r="Z130" s="14">
        <f>SUM(M130:X130)</f>
        <v/>
      </c>
      <c r="AA130" s="14">
        <f>IFERROR(IF(UPPER($E130)="L",SUMPRODUCT(M130:X130,$M$3:$X$3,$M$2:$X$2),SUMPRODUCT(M130:X130,$M$4:$X$4,$M$2:$X$2))/(Y130/($K130*$L130)),"")</f>
        <v/>
      </c>
      <c r="AB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n"/>
      <c r="G131" s="9" t="n">
        <v>262</v>
      </c>
      <c r="H131" s="9" t="n">
        <v>300</v>
      </c>
      <c r="I131" s="9" t="inlineStr">
        <is>
          <t>Utility OF / 4th OF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3">
        <f>SUMPRODUCT(M131:X131,$M$2:$X$2)*$K131*$L131</f>
        <v/>
      </c>
      <c r="Z131" s="14">
        <f>SUM(M131:X131)</f>
        <v/>
      </c>
      <c r="AA131" s="14">
        <f>IFERROR(IF(UPPER($E131)="L",SUMPRODUCT(M131:X131,$M$3:$X$3,$M$2:$X$2),SUMPRODUCT(M131:X131,$M$4:$X$4,$M$2:$X$2))/(Y131/($K131*$L131)),"")</f>
        <v/>
      </c>
      <c r="AB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n"/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3">
        <f>SUMPRODUCT(M132:X132,$M$2:$X$2)*$K132*$L132</f>
        <v/>
      </c>
      <c r="Z132" s="14">
        <f>SUM(M132:X132)</f>
        <v/>
      </c>
      <c r="AA132" s="14">
        <f>IFERROR(IF(UPPER($E132)="L",SUMPRODUCT(M132:X132,$M$3:$X$3,$M$2:$X$2),SUMPRODUCT(M132:X132,$M$4:$X$4,$M$2:$X$2))/(Y132/($K132*$L132)),"")</f>
        <v/>
      </c>
      <c r="AB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n"/>
      <c r="G133" s="9" t="n">
        <v>533</v>
      </c>
      <c r="H133" s="9" t="n">
        <v>1172</v>
      </c>
      <c r="I133" s="9" t="inlineStr">
        <is>
          <t>Full Time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3">
        <f>SUMPRODUCT(M133:X133,$M$2:$X$2)*$K133*$L133</f>
        <v/>
      </c>
      <c r="Z133" s="14">
        <f>SUM(M133:X133)</f>
        <v/>
      </c>
      <c r="AA133" s="14">
        <f>IFERROR(IF(UPPER($E133)="L",SUMPRODUCT(M133:X133,$M$3:$X$3,$M$2:$X$2),SUMPRODUCT(M133:X133,$M$4:$X$4,$M$2:$X$2))/(Y133/($K133*$L133)),"")</f>
        <v/>
      </c>
      <c r="AB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n"/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3">
        <f>SUMPRODUCT(M134:X134,$M$2:$X$2)*$K134*$L134</f>
        <v/>
      </c>
      <c r="Z134" s="14">
        <f>SUM(M134:X134)</f>
        <v/>
      </c>
      <c r="AA134" s="14">
        <f>IFERROR(IF(UPPER($E134)="L",SUMPRODUCT(M134:X134,$M$3:$X$3,$M$2:$X$2),SUMPRODUCT(M134:X134,$M$4:$X$4,$M$2:$X$2))/(Y134/($K134*$L134)),"")</f>
        <v/>
      </c>
      <c r="AB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n"/>
      <c r="G135" s="9" t="n">
        <v>436</v>
      </c>
      <c r="H135" s="9" t="n">
        <v>1750</v>
      </c>
      <c r="I135" s="9" t="inlineStr">
        <is>
          <t>Full Time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3">
        <f>SUMPRODUCT(M135:X135,$M$2:$X$2)*$K135*$L135</f>
        <v/>
      </c>
      <c r="Z135" s="14">
        <f>SUM(M135:X135)</f>
        <v/>
      </c>
      <c r="AA135" s="14">
        <f>IFERROR(IF(UPPER($E135)="L",SUMPRODUCT(M135:X135,$M$3:$X$3,$M$2:$X$2),SUMPRODUCT(M135:X135,$M$4:$X$4,$M$2:$X$2))/(Y135/($K135*$L135)),"")</f>
        <v/>
      </c>
      <c r="AB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n"/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3">
        <f>SUMPRODUCT(M136:X136,$M$2:$X$2)*$K136*$L136</f>
        <v/>
      </c>
      <c r="Z136" s="14">
        <f>SUM(M136:X136)</f>
        <v/>
      </c>
      <c r="AA136" s="14">
        <f>IFERROR(IF(UPPER($E136)="L",SUMPRODUCT(M136:X136,$M$3:$X$3,$M$2:$X$2),SUMPRODUCT(M136:X136,$M$4:$X$4,$M$2:$X$2))/(Y136/($K136*$L136)),"")</f>
        <v/>
      </c>
      <c r="AB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n"/>
      <c r="G137" s="9" t="n">
        <v>275</v>
      </c>
      <c r="H137" s="9" t="n">
        <v>1394</v>
      </c>
      <c r="I137" s="9" t="inlineStr">
        <is>
          <t>Utility OF / 4th OF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3">
        <f>SUMPRODUCT(M137:X137,$M$2:$X$2)*$K137*$L137</f>
        <v/>
      </c>
      <c r="Z137" s="14">
        <f>SUM(M137:X137)</f>
        <v/>
      </c>
      <c r="AA137" s="14">
        <f>IFERROR(IF(UPPER($E137)="L",SUMPRODUCT(M137:X137,$M$3:$X$3,$M$2:$X$2),SUMPRODUCT(M137:X137,$M$4:$X$4,$M$2:$X$2))/(Y137/($K137*$L137)),"")</f>
        <v/>
      </c>
      <c r="AB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n"/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3">
        <f>SUMPRODUCT(M138:X138,$M$2:$X$2)*$K138*$L138</f>
        <v/>
      </c>
      <c r="Z138" s="14">
        <f>SUM(M138:X138)</f>
        <v/>
      </c>
      <c r="AA138" s="14">
        <f>IFERROR(IF(UPPER($E138)="L",SUMPRODUCT(M138:X138,$M$3:$X$3,$M$2:$X$2),SUMPRODUCT(M138:X138,$M$4:$X$4,$M$2:$X$2))/(Y138/($K138*$L138)),"")</f>
        <v/>
      </c>
      <c r="AB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n"/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3">
        <f>SUMPRODUCT(M139:X139,$M$2:$X$2)*$K139*$L139</f>
        <v/>
      </c>
      <c r="Z139" s="14">
        <f>SUM(M139:X139)</f>
        <v/>
      </c>
      <c r="AA139" s="14">
        <f>IFERROR(IF(UPPER($E139)="L",SUMPRODUCT(M139:X139,$M$3:$X$3,$M$2:$X$2),SUMPRODUCT(M139:X139,$M$4:$X$4,$M$2:$X$2))/(Y139/($K139*$L139)),"")</f>
        <v/>
      </c>
      <c r="AB139" s="18" t="n"/>
    </row>
    <row r="140">
      <c r="A140" s="9" t="n">
        <v>664023</v>
      </c>
      <c r="B140" s="9" t="inlineStr">
        <is>
          <t>Ian Happ</t>
        </is>
      </c>
      <c r="C140" s="9" t="inlineStr">
        <is>
          <t>CHC</t>
        </is>
      </c>
      <c r="D140" s="9" t="n">
        <v>32</v>
      </c>
      <c r="E140" s="16" t="inlineStr">
        <is>
          <t>S</t>
        </is>
      </c>
      <c r="F140" s="16" t="n"/>
      <c r="G140" s="9" t="n">
        <v>636</v>
      </c>
      <c r="H140" s="9" t="n">
        <v>3288</v>
      </c>
      <c r="I140" s="9" t="inlineStr">
        <is>
          <t>Full Time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3">
        <f>SUMPRODUCT(M140:X140,$M$2:$X$2)*$K140*$L140</f>
        <v/>
      </c>
      <c r="Z140" s="14">
        <f>SUM(M140:X140)</f>
        <v/>
      </c>
      <c r="AA140" s="14">
        <f>IFERROR(IF(UPPER($E140)="L",SUMPRODUCT(M140:X140,$M$3:$X$3,$M$2:$X$2),SUMPRODUCT(M140:X140,$M$4:$X$4,$M$2:$X$2))/(Y140/($K140*$L140)),"")</f>
        <v/>
      </c>
      <c r="AB140" s="18" t="n"/>
    </row>
    <row r="141">
      <c r="A141" s="9" t="n">
        <v>699024</v>
      </c>
      <c r="B141" s="9" t="inlineStr">
        <is>
          <t>Leo Bernal</t>
        </is>
      </c>
      <c r="C141" s="9" t="inlineStr">
        <is>
          <t>STL</t>
        </is>
      </c>
      <c r="D141" s="9" t="n">
        <v>23</v>
      </c>
      <c r="E141" s="16" t="inlineStr">
        <is>
          <t>S</t>
        </is>
      </c>
      <c r="F141" s="16" t="n"/>
      <c r="G141" s="9" t="n">
        <v>102</v>
      </c>
      <c r="H141" s="9" t="n">
        <v>102</v>
      </c>
      <c r="I141" s="9" t="inlineStr">
        <is>
          <t>Bench Bat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3">
        <f>SUMPRODUCT(M141:X141,$M$2:$X$2)*$K141*$L141</f>
        <v/>
      </c>
      <c r="Z141" s="14">
        <f>SUM(M141:X141)</f>
        <v/>
      </c>
      <c r="AA141" s="14">
        <f>IFERROR(IF(UPPER($E141)="L",SUMPRODUCT(M141:X141,$M$3:$X$3,$M$2:$X$2),SUMPRODUCT(M141:X141,$M$4:$X$4,$M$2:$X$2))/(Y141/($K141*$L141)),"")</f>
        <v/>
      </c>
      <c r="AB141" s="18" t="n"/>
    </row>
    <row r="142">
      <c r="A142" s="9" t="n">
        <v>643376</v>
      </c>
      <c r="B142" s="9" t="inlineStr">
        <is>
          <t>Danny Jansen</t>
        </is>
      </c>
      <c r="C142" s="9" t="inlineStr">
        <is>
          <t>TEX</t>
        </is>
      </c>
      <c r="D142" s="9" t="n">
        <v>32</v>
      </c>
      <c r="E142" s="16" t="inlineStr">
        <is>
          <t>R</t>
        </is>
      </c>
      <c r="F142" s="16" t="n"/>
      <c r="G142" s="9" t="n">
        <v>227</v>
      </c>
      <c r="H142" s="9" t="n">
        <v>1437</v>
      </c>
      <c r="I142" s="9" t="inlineStr">
        <is>
          <t>Utility OF / 4th OF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3">
        <f>SUMPRODUCT(M142:X142,$M$2:$X$2)*$K142*$L142</f>
        <v/>
      </c>
      <c r="Z142" s="14">
        <f>SUM(M142:X142)</f>
        <v/>
      </c>
      <c r="AA142" s="14">
        <f>IFERROR(IF(UPPER($E142)="L",SUMPRODUCT(M142:X142,$M$3:$X$3,$M$2:$X$2),SUMPRODUCT(M142:X142,$M$4:$X$4,$M$2:$X$2))/(Y142/($K142*$L142)),"")</f>
        <v/>
      </c>
      <c r="AB142" s="18" t="n"/>
    </row>
    <row r="143">
      <c r="A143" s="9" t="n">
        <v>642715</v>
      </c>
      <c r="B143" s="9" t="inlineStr">
        <is>
          <t>Willy Adames</t>
        </is>
      </c>
      <c r="C143" s="9" t="inlineStr">
        <is>
          <t>SF</t>
        </is>
      </c>
      <c r="D143" s="9" t="n">
        <v>31</v>
      </c>
      <c r="E143" s="16" t="inlineStr">
        <is>
          <t>R</t>
        </is>
      </c>
      <c r="F143" s="16" t="n"/>
      <c r="G143" s="9" t="n">
        <v>505</v>
      </c>
      <c r="H143" s="9" t="n">
        <v>3134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3">
        <f>SUMPRODUCT(M143:X143,$M$2:$X$2)*$K143*$L143</f>
        <v/>
      </c>
      <c r="Z143" s="14">
        <f>SUM(M143:X143)</f>
        <v/>
      </c>
      <c r="AA143" s="14">
        <f>IFERROR(IF(UPPER($E143)="L",SUMPRODUCT(M143:X143,$M$3:$X$3,$M$2:$X$2),SUMPRODUCT(M143:X143,$M$4:$X$4,$M$2:$X$2))/(Y143/($K143*$L143)),"")</f>
        <v/>
      </c>
      <c r="AB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n"/>
      <c r="G144" s="9" t="n">
        <v>89</v>
      </c>
      <c r="H144" s="9" t="n">
        <v>541</v>
      </c>
      <c r="I144" s="9" t="inlineStr">
        <is>
          <t>Bench Bat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3">
        <f>SUMPRODUCT(M144:X144,$M$2:$X$2)*$K144*$L144</f>
        <v/>
      </c>
      <c r="Z144" s="14">
        <f>SUM(M144:X144)</f>
        <v/>
      </c>
      <c r="AA144" s="14">
        <f>IFERROR(IF(UPPER($E144)="L",SUMPRODUCT(M144:X144,$M$3:$X$3,$M$2:$X$2),SUMPRODUCT(M144:X144,$M$4:$X$4,$M$2:$X$2))/(Y144/($K144*$L144)),"")</f>
        <v/>
      </c>
      <c r="AB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n"/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3">
        <f>SUMPRODUCT(M145:X145,$M$2:$X$2)*$K145*$L145</f>
        <v/>
      </c>
      <c r="Z145" s="14">
        <f>SUM(M145:X145)</f>
        <v/>
      </c>
      <c r="AA145" s="14">
        <f>IFERROR(IF(UPPER($E145)="L",SUMPRODUCT(M145:X145,$M$3:$X$3,$M$2:$X$2),SUMPRODUCT(M145:X145,$M$4:$X$4,$M$2:$X$2))/(Y145/($K145*$L145)),"")</f>
        <v/>
      </c>
      <c r="AB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n"/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3">
        <f>SUMPRODUCT(M146:X146,$M$2:$X$2)*$K146*$L146</f>
        <v/>
      </c>
      <c r="Z146" s="14">
        <f>SUM(M146:X146)</f>
        <v/>
      </c>
      <c r="AA146" s="14">
        <f>IFERROR(IF(UPPER($E146)="L",SUMPRODUCT(M146:X146,$M$3:$X$3,$M$2:$X$2),SUMPRODUCT(M146:X146,$M$4:$X$4,$M$2:$X$2))/(Y146/($K146*$L146)),"")</f>
        <v/>
      </c>
      <c r="AB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n"/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3">
        <f>SUMPRODUCT(M147:X147,$M$2:$X$2)*$K147*$L147</f>
        <v/>
      </c>
      <c r="Z147" s="14">
        <f>SUM(M147:X147)</f>
        <v/>
      </c>
      <c r="AA147" s="14">
        <f>IFERROR(IF(UPPER($E147)="L",SUMPRODUCT(M147:X147,$M$3:$X$3,$M$2:$X$2),SUMPRODUCT(M147:X147,$M$4:$X$4,$M$2:$X$2))/(Y147/($K147*$L147)),"")</f>
        <v/>
      </c>
      <c r="AB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n"/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3">
        <f>SUMPRODUCT(M148:X148,$M$2:$X$2)*$K148*$L148</f>
        <v/>
      </c>
      <c r="Z148" s="14">
        <f>SUM(M148:X148)</f>
        <v/>
      </c>
      <c r="AA148" s="14">
        <f>IFERROR(IF(UPPER($E148)="L",SUMPRODUCT(M148:X148,$M$3:$X$3,$M$2:$X$2),SUMPRODUCT(M148:X148,$M$4:$X$4,$M$2:$X$2))/(Y148/($K148*$L148)),"")</f>
        <v/>
      </c>
      <c r="AB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n"/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3">
        <f>SUMPRODUCT(M149:X149,$M$2:$X$2)*$K149*$L149</f>
        <v/>
      </c>
      <c r="Z149" s="14">
        <f>SUM(M149:X149)</f>
        <v/>
      </c>
      <c r="AA149" s="14">
        <f>IFERROR(IF(UPPER($E149)="L",SUMPRODUCT(M149:X149,$M$3:$X$3,$M$2:$X$2),SUMPRODUCT(M149:X149,$M$4:$X$4,$M$2:$X$2))/(Y149/($K149*$L149)),"")</f>
        <v/>
      </c>
      <c r="AB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n"/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3">
        <f>SUMPRODUCT(M150:X150,$M$2:$X$2)*$K150*$L150</f>
        <v/>
      </c>
      <c r="Z150" s="14">
        <f>SUM(M150:X150)</f>
        <v/>
      </c>
      <c r="AA150" s="14">
        <f>IFERROR(IF(UPPER($E150)="L",SUMPRODUCT(M150:X150,$M$3:$X$3,$M$2:$X$2),SUMPRODUCT(M150:X150,$M$4:$X$4,$M$2:$X$2))/(Y150/($K150*$L150)),"")</f>
        <v/>
      </c>
      <c r="AB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n"/>
      <c r="G151" s="9" t="n">
        <v>149</v>
      </c>
      <c r="H151" s="9" t="n">
        <v>195</v>
      </c>
      <c r="I151" s="9" t="inlineStr">
        <is>
          <t>Bench Bat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3">
        <f>SUMPRODUCT(M151:X151,$M$2:$X$2)*$K151*$L151</f>
        <v/>
      </c>
      <c r="Z151" s="14">
        <f>SUM(M151:X151)</f>
        <v/>
      </c>
      <c r="AA151" s="14">
        <f>IFERROR(IF(UPPER($E151)="L",SUMPRODUCT(M151:X151,$M$3:$X$3,$M$2:$X$2),SUMPRODUCT(M151:X151,$M$4:$X$4,$M$2:$X$2))/(Y151/($K151*$L151)),"")</f>
        <v/>
      </c>
      <c r="AB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n"/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3">
        <f>SUMPRODUCT(M152:X152,$M$2:$X$2)*$K152*$L152</f>
        <v/>
      </c>
      <c r="Z152" s="14">
        <f>SUM(M152:X152)</f>
        <v/>
      </c>
      <c r="AA152" s="14">
        <f>IFERROR(IF(UPPER($E152)="L",SUMPRODUCT(M152:X152,$M$3:$X$3,$M$2:$X$2),SUMPRODUCT(M152:X152,$M$4:$X$4,$M$2:$X$2))/(Y152/($K152*$L152)),"")</f>
        <v/>
      </c>
      <c r="AB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n"/>
      <c r="G153" s="9" t="n">
        <v>98</v>
      </c>
      <c r="H153" s="9" t="n">
        <v>1139</v>
      </c>
      <c r="I153" s="9" t="inlineStr">
        <is>
          <t>Full Time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3">
        <f>SUMPRODUCT(M153:X153,$M$2:$X$2)*$K153*$L153</f>
        <v/>
      </c>
      <c r="Z153" s="14">
        <f>SUM(M153:X153)</f>
        <v/>
      </c>
      <c r="AA153" s="14">
        <f>IFERROR(IF(UPPER($E153)="L",SUMPRODUCT(M153:X153,$M$3:$X$3,$M$2:$X$2),SUMPRODUCT(M153:X153,$M$4:$X$4,$M$2:$X$2))/(Y153/($K153*$L153)),"")</f>
        <v/>
      </c>
      <c r="AB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n"/>
      <c r="G154" s="9" t="n">
        <v>615</v>
      </c>
      <c r="H154" s="9" t="n">
        <v>1061</v>
      </c>
      <c r="I154" s="9" t="inlineStr">
        <is>
          <t>Full Time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3">
        <f>SUMPRODUCT(M154:X154,$M$2:$X$2)*$K154*$L154</f>
        <v/>
      </c>
      <c r="Z154" s="14">
        <f>SUM(M154:X154)</f>
        <v/>
      </c>
      <c r="AA154" s="14">
        <f>IFERROR(IF(UPPER($E154)="L",SUMPRODUCT(M154:X154,$M$3:$X$3,$M$2:$X$2),SUMPRODUCT(M154:X154,$M$4:$X$4,$M$2:$X$2))/(Y154/($K154*$L154)),"")</f>
        <v/>
      </c>
      <c r="AB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n"/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3">
        <f>SUMPRODUCT(M155:X155,$M$2:$X$2)*$K155*$L155</f>
        <v/>
      </c>
      <c r="Z155" s="14">
        <f>SUM(M155:X155)</f>
        <v/>
      </c>
      <c r="AA155" s="14">
        <f>IFERROR(IF(UPPER($E155)="L",SUMPRODUCT(M155:X155,$M$3:$X$3,$M$2:$X$2),SUMPRODUCT(M155:X155,$M$4:$X$4,$M$2:$X$2))/(Y155/($K155*$L155)),"")</f>
        <v/>
      </c>
      <c r="AB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n"/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3">
        <f>SUMPRODUCT(M156:X156,$M$2:$X$2)*$K156*$L156</f>
        <v/>
      </c>
      <c r="Z156" s="14">
        <f>SUM(M156:X156)</f>
        <v/>
      </c>
      <c r="AA156" s="14">
        <f>IFERROR(IF(UPPER($E156)="L",SUMPRODUCT(M156:X156,$M$3:$X$3,$M$2:$X$2),SUMPRODUCT(M156:X156,$M$4:$X$4,$M$2:$X$2))/(Y156/($K156*$L156)),"")</f>
        <v/>
      </c>
      <c r="AB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n"/>
      <c r="G157" s="9" t="n">
        <v>255</v>
      </c>
      <c r="H157" s="9" t="n">
        <v>876</v>
      </c>
      <c r="I157" s="9" t="inlineStr">
        <is>
          <t>Utility OF / 4th OF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3">
        <f>SUMPRODUCT(M157:X157,$M$2:$X$2)*$K157*$L157</f>
        <v/>
      </c>
      <c r="Z157" s="14">
        <f>SUM(M157:X157)</f>
        <v/>
      </c>
      <c r="AA157" s="14">
        <f>IFERROR(IF(UPPER($E157)="L",SUMPRODUCT(M157:X157,$M$3:$X$3,$M$2:$X$2),SUMPRODUCT(M157:X157,$M$4:$X$4,$M$2:$X$2))/(Y157/($K157*$L157)),"")</f>
        <v/>
      </c>
      <c r="AB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n"/>
      <c r="G158" s="9" t="n">
        <v>186</v>
      </c>
      <c r="H158" s="9" t="n">
        <v>1284</v>
      </c>
      <c r="I158" s="9" t="inlineStr">
        <is>
          <t>Utility OF / 4th OF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3">
        <f>SUMPRODUCT(M158:X158,$M$2:$X$2)*$K158*$L158</f>
        <v/>
      </c>
      <c r="Z158" s="14">
        <f>SUM(M158:X158)</f>
        <v/>
      </c>
      <c r="AA158" s="14">
        <f>IFERROR(IF(UPPER($E158)="L",SUMPRODUCT(M158:X158,$M$3:$X$3,$M$2:$X$2),SUMPRODUCT(M158:X158,$M$4:$X$4,$M$2:$X$2))/(Y158/($K158*$L158)),"")</f>
        <v/>
      </c>
      <c r="AB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n"/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3">
        <f>SUMPRODUCT(M159:X159,$M$2:$X$2)*$K159*$L159</f>
        <v/>
      </c>
      <c r="Z159" s="14">
        <f>SUM(M159:X159)</f>
        <v/>
      </c>
      <c r="AA159" s="14">
        <f>IFERROR(IF(UPPER($E159)="L",SUMPRODUCT(M159:X159,$M$3:$X$3,$M$2:$X$2),SUMPRODUCT(M159:X159,$M$4:$X$4,$M$2:$X$2))/(Y159/($K159*$L159)),"")</f>
        <v/>
      </c>
      <c r="AB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n"/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3">
        <f>SUMPRODUCT(M160:X160,$M$2:$X$2)*$K160*$L160</f>
        <v/>
      </c>
      <c r="Z160" s="14">
        <f>SUM(M160:X160)</f>
        <v/>
      </c>
      <c r="AA160" s="14">
        <f>IFERROR(IF(UPPER($E160)="L",SUMPRODUCT(M160:X160,$M$3:$X$3,$M$2:$X$2),SUMPRODUCT(M160:X160,$M$4:$X$4,$M$2:$X$2))/(Y160/($K160*$L160)),"")</f>
        <v/>
      </c>
      <c r="AB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n"/>
      <c r="G161" s="9" t="n">
        <v>409</v>
      </c>
      <c r="H161" s="9" t="n">
        <v>1147</v>
      </c>
      <c r="I161" s="9" t="inlineStr">
        <is>
          <t>Utility OF / 4th OF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3">
        <f>SUMPRODUCT(M161:X161,$M$2:$X$2)*$K161*$L161</f>
        <v/>
      </c>
      <c r="Z161" s="14">
        <f>SUM(M161:X161)</f>
        <v/>
      </c>
      <c r="AA161" s="14">
        <f>IFERROR(IF(UPPER($E161)="L",SUMPRODUCT(M161:X161,$M$3:$X$3,$M$2:$X$2),SUMPRODUCT(M161:X161,$M$4:$X$4,$M$2:$X$2))/(Y161/($K161*$L161)),"")</f>
        <v/>
      </c>
      <c r="AB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n"/>
      <c r="G162" s="9" t="n">
        <v>420</v>
      </c>
      <c r="H162" s="9" t="n">
        <v>1476</v>
      </c>
      <c r="I162" s="9" t="inlineStr">
        <is>
          <t>Full Time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3">
        <f>SUMPRODUCT(M162:X162,$M$2:$X$2)*$K162*$L162</f>
        <v/>
      </c>
      <c r="Z162" s="14">
        <f>SUM(M162:X162)</f>
        <v/>
      </c>
      <c r="AA162" s="14">
        <f>IFERROR(IF(UPPER($E162)="L",SUMPRODUCT(M162:X162,$M$3:$X$3,$M$2:$X$2),SUMPRODUCT(M162:X162,$M$4:$X$4,$M$2:$X$2))/(Y162/($K162*$L162)),"")</f>
        <v/>
      </c>
      <c r="AB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n"/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3">
        <f>SUMPRODUCT(M163:X163,$M$2:$X$2)*$K163*$L163</f>
        <v/>
      </c>
      <c r="Z163" s="14">
        <f>SUM(M163:X163)</f>
        <v/>
      </c>
      <c r="AA163" s="14">
        <f>IFERROR(IF(UPPER($E163)="L",SUMPRODUCT(M163:X163,$M$3:$X$3,$M$2:$X$2),SUMPRODUCT(M163:X163,$M$4:$X$4,$M$2:$X$2))/(Y163/($K163*$L163)),"")</f>
        <v/>
      </c>
      <c r="AB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n"/>
      <c r="G164" s="9" t="n">
        <v>517</v>
      </c>
      <c r="H164" s="9" t="n">
        <v>2983</v>
      </c>
      <c r="I164" s="9" t="inlineStr">
        <is>
          <t>Full Time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3">
        <f>SUMPRODUCT(M164:X164,$M$2:$X$2)*$K164*$L164</f>
        <v/>
      </c>
      <c r="Z164" s="14">
        <f>SUM(M164:X164)</f>
        <v/>
      </c>
      <c r="AA164" s="14">
        <f>IFERROR(IF(UPPER($E164)="L",SUMPRODUCT(M164:X164,$M$3:$X$3,$M$2:$X$2),SUMPRODUCT(M164:X164,$M$4:$X$4,$M$2:$X$2))/(Y164/($K164*$L164)),"")</f>
        <v/>
      </c>
      <c r="AB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3">
        <f>SUMPRODUCT(M165:X165,$M$2:$X$2)*$K165*$L165</f>
        <v/>
      </c>
      <c r="Z165" s="14">
        <f>SUM(M165:X165)</f>
        <v/>
      </c>
      <c r="AA165" s="14">
        <f>IFERROR(IF(UPPER($E165)="L",SUMPRODUCT(M165:X165,$M$3:$X$3,$M$2:$X$2),SUMPRODUCT(M165:X165,$M$4:$X$4,$M$2:$X$2))/(Y165/($K165*$L165)),"")</f>
        <v/>
      </c>
      <c r="AB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n"/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3">
        <f>SUMPRODUCT(M166:X166,$M$2:$X$2)*$K166*$L166</f>
        <v/>
      </c>
      <c r="Z166" s="14">
        <f>SUM(M166:X166)</f>
        <v/>
      </c>
      <c r="AA166" s="14">
        <f>IFERROR(IF(UPPER($E166)="L",SUMPRODUCT(M166:X166,$M$3:$X$3,$M$2:$X$2),SUMPRODUCT(M166:X166,$M$4:$X$4,$M$2:$X$2))/(Y166/($K166*$L166)),"")</f>
        <v/>
      </c>
      <c r="AB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n"/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3">
        <f>SUMPRODUCT(M167:X167,$M$2:$X$2)*$K167*$L167</f>
        <v/>
      </c>
      <c r="Z167" s="14">
        <f>SUM(M167:X167)</f>
        <v/>
      </c>
      <c r="AA167" s="14">
        <f>IFERROR(IF(UPPER($E167)="L",SUMPRODUCT(M167:X167,$M$3:$X$3,$M$2:$X$2),SUMPRODUCT(M167:X167,$M$4:$X$4,$M$2:$X$2))/(Y167/($K167*$L167)),"")</f>
        <v/>
      </c>
      <c r="AB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n"/>
      <c r="G168" s="9" t="n">
        <v>276</v>
      </c>
      <c r="H168" s="9" t="n">
        <v>2388</v>
      </c>
      <c r="I168" s="9" t="inlineStr">
        <is>
          <t>Full Time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3">
        <f>SUMPRODUCT(M168:X168,$M$2:$X$2)*$K168*$L168</f>
        <v/>
      </c>
      <c r="Z168" s="14">
        <f>SUM(M168:X168)</f>
        <v/>
      </c>
      <c r="AA168" s="14">
        <f>IFERROR(IF(UPPER($E168)="L",SUMPRODUCT(M168:X168,$M$3:$X$3,$M$2:$X$2),SUMPRODUCT(M168:X168,$M$4:$X$4,$M$2:$X$2))/(Y168/($K168*$L168)),"")</f>
        <v/>
      </c>
      <c r="AB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n"/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3">
        <f>SUMPRODUCT(M169:X169,$M$2:$X$2)*$K169*$L169</f>
        <v/>
      </c>
      <c r="Z169" s="14">
        <f>SUM(M169:X169)</f>
        <v/>
      </c>
      <c r="AA169" s="14">
        <f>IFERROR(IF(UPPER($E169)="L",SUMPRODUCT(M169:X169,$M$3:$X$3,$M$2:$X$2),SUMPRODUCT(M169:X169,$M$4:$X$4,$M$2:$X$2))/(Y169/($K169*$L169)),"")</f>
        <v/>
      </c>
      <c r="AB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n"/>
      <c r="G170" s="9" t="n">
        <v>607</v>
      </c>
      <c r="H170" s="9" t="n">
        <v>1163</v>
      </c>
      <c r="I170" s="9" t="inlineStr">
        <is>
          <t>Full Time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3">
        <f>SUMPRODUCT(M170:X170,$M$2:$X$2)*$K170*$L170</f>
        <v/>
      </c>
      <c r="Z170" s="14">
        <f>SUM(M170:X170)</f>
        <v/>
      </c>
      <c r="AA170" s="14">
        <f>IFERROR(IF(UPPER($E170)="L",SUMPRODUCT(M170:X170,$M$3:$X$3,$M$2:$X$2),SUMPRODUCT(M170:X170,$M$4:$X$4,$M$2:$X$2))/(Y170/($K170*$L170)),"")</f>
        <v/>
      </c>
      <c r="AB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n"/>
      <c r="G171" s="9" t="n">
        <v>384</v>
      </c>
      <c r="H171" s="9" t="n">
        <v>2381</v>
      </c>
      <c r="I171" s="9" t="inlineStr">
        <is>
          <t>Full Time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3">
        <f>SUMPRODUCT(M171:X171,$M$2:$X$2)*$K171*$L171</f>
        <v/>
      </c>
      <c r="Z171" s="14">
        <f>SUM(M171:X171)</f>
        <v/>
      </c>
      <c r="AA171" s="14">
        <f>IFERROR(IF(UPPER($E171)="L",SUMPRODUCT(M171:X171,$M$3:$X$3,$M$2:$X$2),SUMPRODUCT(M171:X171,$M$4:$X$4,$M$2:$X$2))/(Y171/($K171*$L171)),"")</f>
        <v/>
      </c>
      <c r="AB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n"/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3">
        <f>SUMPRODUCT(M172:X172,$M$2:$X$2)*$K172*$L172</f>
        <v/>
      </c>
      <c r="Z172" s="14">
        <f>SUM(M172:X172)</f>
        <v/>
      </c>
      <c r="AA172" s="14">
        <f>IFERROR(IF(UPPER($E172)="L",SUMPRODUCT(M172:X172,$M$3:$X$3,$M$2:$X$2),SUMPRODUCT(M172:X172,$M$4:$X$4,$M$2:$X$2))/(Y172/($K172*$L172)),"")</f>
        <v/>
      </c>
      <c r="AB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n"/>
      <c r="G173" s="9" t="n">
        <v>280</v>
      </c>
      <c r="H173" s="9" t="n">
        <v>1861</v>
      </c>
      <c r="I173" s="9" t="inlineStr">
        <is>
          <t>Utility OF / 4th OF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3">
        <f>SUMPRODUCT(M173:X173,$M$2:$X$2)*$K173*$L173</f>
        <v/>
      </c>
      <c r="Z173" s="14">
        <f>SUM(M173:X173)</f>
        <v/>
      </c>
      <c r="AA173" s="14">
        <f>IFERROR(IF(UPPER($E173)="L",SUMPRODUCT(M173:X173,$M$3:$X$3,$M$2:$X$2),SUMPRODUCT(M173:X173,$M$4:$X$4,$M$2:$X$2))/(Y173/($K173*$L173)),"")</f>
        <v/>
      </c>
      <c r="AB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3">
        <f>SUMPRODUCT(M174:X174,$M$2:$X$2)*$K174*$L174</f>
        <v/>
      </c>
      <c r="Z174" s="14">
        <f>SUM(M174:X174)</f>
        <v/>
      </c>
      <c r="AA174" s="14">
        <f>IFERROR(IF(UPPER($E174)="L",SUMPRODUCT(M174:X174,$M$3:$X$3,$M$2:$X$2),SUMPRODUCT(M174:X174,$M$4:$X$4,$M$2:$X$2))/(Y174/($K174*$L174)),"")</f>
        <v/>
      </c>
      <c r="AB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25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Depth (no MLB PA)</t>
        </is>
      </c>
      <c r="J175" s="16" t="inlineStr">
        <is>
          <t>Opening Day</t>
        </is>
      </c>
      <c r="K175" s="11">
        <f>IFERROR(INDEX(Roles!$B$17:$B$20,MATCH(J175,Roles!$A$17:$A$20,0)),1)</f>
        <v/>
      </c>
      <c r="L175" s="17" t="n">
        <v>1</v>
      </c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3">
        <f>SUMPRODUCT(M175:X175,$M$2:$X$2)*$K175*$L175</f>
        <v/>
      </c>
      <c r="Z175" s="14">
        <f>SUM(M175:X175)</f>
        <v/>
      </c>
      <c r="AA175" s="14">
        <f>IFERROR(IF(UPPER($E175)="L",SUMPRODUCT(M175:X175,$M$3:$X$3,$M$2:$X$2),SUMPRODUCT(M175:X175,$M$4:$X$4,$M$2:$X$2))/(Y175/($K175*$L175)),"")</f>
        <v/>
      </c>
      <c r="AB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n"/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3">
        <f>SUMPRODUCT(M176:X176,$M$2:$X$2)*$K176*$L176</f>
        <v/>
      </c>
      <c r="Z176" s="14">
        <f>SUM(M176:X176)</f>
        <v/>
      </c>
      <c r="AA176" s="14">
        <f>IFERROR(IF(UPPER($E176)="L",SUMPRODUCT(M176:X176,$M$3:$X$3,$M$2:$X$2),SUMPRODUCT(M176:X176,$M$4:$X$4,$M$2:$X$2))/(Y176/($K176*$L176)),"")</f>
        <v/>
      </c>
      <c r="AB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n"/>
      <c r="G177" s="9" t="n">
        <v>59</v>
      </c>
      <c r="H177" s="9" t="n">
        <v>59</v>
      </c>
      <c r="I177" s="9" t="inlineStr">
        <is>
          <t>Bench Bat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3">
        <f>SUMPRODUCT(M177:X177,$M$2:$X$2)*$K177*$L177</f>
        <v/>
      </c>
      <c r="Z177" s="14">
        <f>SUM(M177:X177)</f>
        <v/>
      </c>
      <c r="AA177" s="14">
        <f>IFERROR(IF(UPPER($E177)="L",SUMPRODUCT(M177:X177,$M$3:$X$3,$M$2:$X$2),SUMPRODUCT(M177:X177,$M$4:$X$4,$M$2:$X$2))/(Y177/($K177*$L177)),"")</f>
        <v/>
      </c>
      <c r="AB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n"/>
      <c r="G178" s="9" t="n">
        <v>230</v>
      </c>
      <c r="H178" s="9" t="n">
        <v>2082</v>
      </c>
      <c r="I178" s="9" t="inlineStr">
        <is>
          <t>Full Time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3">
        <f>SUMPRODUCT(M178:X178,$M$2:$X$2)*$K178*$L178</f>
        <v/>
      </c>
      <c r="Z178" s="14">
        <f>SUM(M178:X178)</f>
        <v/>
      </c>
      <c r="AA178" s="14">
        <f>IFERROR(IF(UPPER($E178)="L",SUMPRODUCT(M178:X178,$M$3:$X$3,$M$2:$X$2),SUMPRODUCT(M178:X178,$M$4:$X$4,$M$2:$X$2))/(Y178/($K178*$L178)),"")</f>
        <v/>
      </c>
      <c r="AB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n"/>
      <c r="G179" s="9" t="n">
        <v>314</v>
      </c>
      <c r="H179" s="9" t="n">
        <v>1758</v>
      </c>
      <c r="I179" s="9" t="inlineStr">
        <is>
          <t>Full Time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3">
        <f>SUMPRODUCT(M179:X179,$M$2:$X$2)*$K179*$L179</f>
        <v/>
      </c>
      <c r="Z179" s="14">
        <f>SUM(M179:X179)</f>
        <v/>
      </c>
      <c r="AA179" s="14">
        <f>IFERROR(IF(UPPER($E179)="L",SUMPRODUCT(M179:X179,$M$3:$X$3,$M$2:$X$2),SUMPRODUCT(M179:X179,$M$4:$X$4,$M$2:$X$2))/(Y179/($K179*$L179)),"")</f>
        <v/>
      </c>
      <c r="AB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n"/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3">
        <f>SUMPRODUCT(M180:X180,$M$2:$X$2)*$K180*$L180</f>
        <v/>
      </c>
      <c r="Z180" s="14">
        <f>SUM(M180:X180)</f>
        <v/>
      </c>
      <c r="AA180" s="14">
        <f>IFERROR(IF(UPPER($E180)="L",SUMPRODUCT(M180:X180,$M$3:$X$3,$M$2:$X$2),SUMPRODUCT(M180:X180,$M$4:$X$4,$M$2:$X$2))/(Y180/($K180*$L180)),"")</f>
        <v/>
      </c>
      <c r="AB180" s="18" t="n"/>
    </row>
    <row r="181">
      <c r="A181" s="9" t="n">
        <v>672284</v>
      </c>
      <c r="B181" s="9" t="inlineStr">
        <is>
          <t>Jarred Kelenic</t>
        </is>
      </c>
      <c r="C181" s="9" t="inlineStr">
        <is>
          <t>TEX</t>
        </is>
      </c>
      <c r="D181" s="9" t="n">
        <v>27</v>
      </c>
      <c r="E181" s="16" t="inlineStr">
        <is>
          <t>L</t>
        </is>
      </c>
      <c r="F181" s="16" t="n"/>
      <c r="G181" s="9" t="n">
        <v>83</v>
      </c>
      <c r="H181" s="9" t="n">
        <v>1194</v>
      </c>
      <c r="I181" s="9" t="inlineStr">
        <is>
          <t>Bench Bat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3">
        <f>SUMPRODUCT(M181:X181,$M$2:$X$2)*$K181*$L181</f>
        <v/>
      </c>
      <c r="Z181" s="14">
        <f>SUM(M181:X181)</f>
        <v/>
      </c>
      <c r="AA181" s="14">
        <f>IFERROR(IF(UPPER($E181)="L",SUMPRODUCT(M181:X181,$M$3:$X$3,$M$2:$X$2),SUMPRODUCT(M181:X181,$M$4:$X$4,$M$2:$X$2))/(Y181/($K181*$L181)),"")</f>
        <v/>
      </c>
      <c r="AB181" s="18" t="n"/>
    </row>
    <row r="182">
      <c r="A182" s="9" t="n">
        <v>687515</v>
      </c>
      <c r="B182" s="9" t="inlineStr">
        <is>
          <t>Colby Thomas</t>
        </is>
      </c>
      <c r="C182" s="9" t="inlineStr">
        <is>
          <t>OAK</t>
        </is>
      </c>
      <c r="D182" s="9" t="n">
        <v>26</v>
      </c>
      <c r="E182" s="16" t="inlineStr">
        <is>
          <t>R</t>
        </is>
      </c>
      <c r="F182" s="16" t="n"/>
      <c r="G182" s="9" t="n">
        <v>121</v>
      </c>
      <c r="H182" s="9" t="n">
        <v>253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3">
        <f>SUMPRODUCT(M182:X182,$M$2:$X$2)*$K182*$L182</f>
        <v/>
      </c>
      <c r="Z182" s="14">
        <f>SUM(M182:X182)</f>
        <v/>
      </c>
      <c r="AA182" s="14">
        <f>IFERROR(IF(UPPER($E182)="L",SUMPRODUCT(M182:X182,$M$3:$X$3,$M$2:$X$2),SUMPRODUCT(M182:X182,$M$4:$X$4,$M$2:$X$2))/(Y182/($K182*$L182)),"")</f>
        <v/>
      </c>
      <c r="AB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n"/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3">
        <f>SUMPRODUCT(M183:X183,$M$2:$X$2)*$K183*$L183</f>
        <v/>
      </c>
      <c r="Z183" s="14">
        <f>SUM(M183:X183)</f>
        <v/>
      </c>
      <c r="AA183" s="14">
        <f>IFERROR(IF(UPPER($E183)="L",SUMPRODUCT(M183:X183,$M$3:$X$3,$M$2:$X$2),SUMPRODUCT(M183:X183,$M$4:$X$4,$M$2:$X$2))/(Y183/($K183*$L183)),"")</f>
        <v/>
      </c>
      <c r="AB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n"/>
      <c r="G184" s="9" t="n">
        <v>388</v>
      </c>
      <c r="H184" s="9" t="n">
        <v>1325</v>
      </c>
      <c r="I184" s="9" t="inlineStr">
        <is>
          <t>Full Time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3">
        <f>SUMPRODUCT(M184:X184,$M$2:$X$2)*$K184*$L184</f>
        <v/>
      </c>
      <c r="Z184" s="14">
        <f>SUM(M184:X184)</f>
        <v/>
      </c>
      <c r="AA184" s="14">
        <f>IFERROR(IF(UPPER($E184)="L",SUMPRODUCT(M184:X184,$M$3:$X$3,$M$2:$X$2),SUMPRODUCT(M184:X184,$M$4:$X$4,$M$2:$X$2))/(Y184/($K184*$L184)),"")</f>
        <v/>
      </c>
      <c r="AB184" s="18" t="n"/>
    </row>
    <row r="185">
      <c r="A185" s="9" t="n">
        <v>642350</v>
      </c>
      <c r="B185" s="9" t="inlineStr">
        <is>
          <t>Jose Siri</t>
        </is>
      </c>
      <c r="C185" s="9" t="inlineStr">
        <is>
          <t>LAA</t>
        </is>
      </c>
      <c r="D185" s="9" t="n">
        <v>31</v>
      </c>
      <c r="E185" s="16" t="inlineStr">
        <is>
          <t>R</t>
        </is>
      </c>
      <c r="F185" s="16" t="n"/>
      <c r="G185" s="9" t="n">
        <v>251</v>
      </c>
      <c r="H185" s="9" t="n">
        <v>1424</v>
      </c>
      <c r="I185" s="9" t="inlineStr">
        <is>
          <t>Utility OF / 4th OF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3">
        <f>SUMPRODUCT(M185:X185,$M$2:$X$2)*$K185*$L185</f>
        <v/>
      </c>
      <c r="Z185" s="14">
        <f>SUM(M185:X185)</f>
        <v/>
      </c>
      <c r="AA185" s="14">
        <f>IFERROR(IF(UPPER($E185)="L",SUMPRODUCT(M185:X185,$M$3:$X$3,$M$2:$X$2),SUMPRODUCT(M185:X185,$M$4:$X$4,$M$2:$X$2))/(Y185/($K185*$L185)),"")</f>
        <v/>
      </c>
      <c r="AB185" s="18" t="n"/>
    </row>
    <row r="186">
      <c r="A186" s="9" t="n">
        <v>677943</v>
      </c>
      <c r="B186" s="9" t="inlineStr">
        <is>
          <t>Will Banfield</t>
        </is>
      </c>
      <c r="C186" s="9" t="inlineStr">
        <is>
          <t>CIN</t>
        </is>
      </c>
      <c r="D186" s="9" t="n">
        <v>27</v>
      </c>
      <c r="E186" s="16" t="inlineStr">
        <is>
          <t>R</t>
        </is>
      </c>
      <c r="F186" s="16" t="n"/>
      <c r="G186" s="9" t="n">
        <v>21</v>
      </c>
      <c r="H186" s="9" t="n">
        <v>31</v>
      </c>
      <c r="I186" s="9" t="inlineStr">
        <is>
          <t>Depth (no MLB PA)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3">
        <f>SUMPRODUCT(M186:X186,$M$2:$X$2)*$K186*$L186</f>
        <v/>
      </c>
      <c r="Z186" s="14">
        <f>SUM(M186:X186)</f>
        <v/>
      </c>
      <c r="AA186" s="14">
        <f>IFERROR(IF(UPPER($E186)="L",SUMPRODUCT(M186:X186,$M$3:$X$3,$M$2:$X$2),SUMPRODUCT(M186:X186,$M$4:$X$4,$M$2:$X$2))/(Y186/($K186*$L186)),"")</f>
        <v/>
      </c>
      <c r="AB186" s="18" t="n"/>
    </row>
    <row r="187">
      <c r="A187" s="9" t="n">
        <v>677347</v>
      </c>
      <c r="B187" s="9" t="inlineStr">
        <is>
          <t>Kyren Paris</t>
        </is>
      </c>
      <c r="C187" s="9" t="inlineStr">
        <is>
          <t>LAA</t>
        </is>
      </c>
      <c r="D187" s="9" t="n">
        <v>25</v>
      </c>
      <c r="E187" s="16" t="inlineStr">
        <is>
          <t>R</t>
        </is>
      </c>
      <c r="F187" s="16" t="n"/>
      <c r="G187" s="9" t="n">
        <v>18</v>
      </c>
      <c r="H187" s="9" t="n">
        <v>263</v>
      </c>
      <c r="I187" s="9" t="inlineStr">
        <is>
          <t>Bench Bat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3">
        <f>SUMPRODUCT(M187:X187,$M$2:$X$2)*$K187*$L187</f>
        <v/>
      </c>
      <c r="Z187" s="14">
        <f>SUM(M187:X187)</f>
        <v/>
      </c>
      <c r="AA187" s="14">
        <f>IFERROR(IF(UPPER($E187)="L",SUMPRODUCT(M187:X187,$M$3:$X$3,$M$2:$X$2),SUMPRODUCT(M187:X187,$M$4:$X$4,$M$2:$X$2))/(Y187/($K187*$L187)),"")</f>
        <v/>
      </c>
      <c r="AB187" s="18" t="n"/>
    </row>
    <row r="188">
      <c r="A188" s="9" t="n">
        <v>605137</v>
      </c>
      <c r="B188" s="9" t="inlineStr">
        <is>
          <t>Josh Bell</t>
        </is>
      </c>
      <c r="C188" s="9" t="inlineStr">
        <is>
          <t>MIN</t>
        </is>
      </c>
      <c r="D188" s="9" t="n">
        <v>34</v>
      </c>
      <c r="E188" s="16" t="inlineStr">
        <is>
          <t>S</t>
        </is>
      </c>
      <c r="F188" s="16" t="n"/>
      <c r="G188" s="9" t="n">
        <v>631</v>
      </c>
      <c r="H188" s="9" t="n">
        <v>3031</v>
      </c>
      <c r="I188" s="9" t="inlineStr">
        <is>
          <t>Full Time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3">
        <f>SUMPRODUCT(M188:X188,$M$2:$X$2)*$K188*$L188</f>
        <v/>
      </c>
      <c r="Z188" s="14">
        <f>SUM(M188:X188)</f>
        <v/>
      </c>
      <c r="AA188" s="14">
        <f>IFERROR(IF(UPPER($E188)="L",SUMPRODUCT(M188:X188,$M$3:$X$3,$M$2:$X$2),SUMPRODUCT(M188:X188,$M$4:$X$4,$M$2:$X$2))/(Y188/($K188*$L188)),"")</f>
        <v/>
      </c>
      <c r="AB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n"/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3">
        <f>SUMPRODUCT(M189:X189,$M$2:$X$2)*$K189*$L189</f>
        <v/>
      </c>
      <c r="Z189" s="14">
        <f>SUM(M189:X189)</f>
        <v/>
      </c>
      <c r="AA189" s="14">
        <f>IFERROR(IF(UPPER($E189)="L",SUMPRODUCT(M189:X189,$M$3:$X$3,$M$2:$X$2),SUMPRODUCT(M189:X189,$M$4:$X$4,$M$2:$X$2))/(Y189/($K189*$L189)),"")</f>
        <v/>
      </c>
      <c r="AB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n"/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3">
        <f>SUMPRODUCT(M190:X190,$M$2:$X$2)*$K190*$L190</f>
        <v/>
      </c>
      <c r="Z190" s="14">
        <f>SUM(M190:X190)</f>
        <v/>
      </c>
      <c r="AA190" s="14">
        <f>IFERROR(IF(UPPER($E190)="L",SUMPRODUCT(M190:X190,$M$3:$X$3,$M$2:$X$2),SUMPRODUCT(M190:X190,$M$4:$X$4,$M$2:$X$2))/(Y190/($K190*$L190)),"")</f>
        <v/>
      </c>
      <c r="AB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n"/>
      <c r="G191" s="9" t="n">
        <v>302</v>
      </c>
      <c r="H191" s="9" t="n">
        <v>1883</v>
      </c>
      <c r="I191" s="9" t="inlineStr">
        <is>
          <t>Utility OF / 4th OF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3">
        <f>SUMPRODUCT(M191:X191,$M$2:$X$2)*$K191*$L191</f>
        <v/>
      </c>
      <c r="Z191" s="14">
        <f>SUM(M191:X191)</f>
        <v/>
      </c>
      <c r="AA191" s="14">
        <f>IFERROR(IF(UPPER($E191)="L",SUMPRODUCT(M191:X191,$M$3:$X$3,$M$2:$X$2),SUMPRODUCT(M191:X191,$M$4:$X$4,$M$2:$X$2))/(Y191/($K191*$L191)),"")</f>
        <v/>
      </c>
      <c r="AB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n"/>
      <c r="G192" s="9" t="n">
        <v>28</v>
      </c>
      <c r="H192" s="9" t="n">
        <v>755</v>
      </c>
      <c r="I192" s="9" t="inlineStr">
        <is>
          <t>Full Time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3">
        <f>SUMPRODUCT(M192:X192,$M$2:$X$2)*$K192*$L192</f>
        <v/>
      </c>
      <c r="Z192" s="14">
        <f>SUM(M192:X192)</f>
        <v/>
      </c>
      <c r="AA192" s="14">
        <f>IFERROR(IF(UPPER($E192)="L",SUMPRODUCT(M192:X192,$M$3:$X$3,$M$2:$X$2),SUMPRODUCT(M192:X192,$M$4:$X$4,$M$2:$X$2))/(Y192/($K192*$L192)),"")</f>
        <v/>
      </c>
      <c r="AB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n"/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3">
        <f>SUMPRODUCT(M193:X193,$M$2:$X$2)*$K193*$L193</f>
        <v/>
      </c>
      <c r="Z193" s="14">
        <f>SUM(M193:X193)</f>
        <v/>
      </c>
      <c r="AA193" s="14">
        <f>IFERROR(IF(UPPER($E193)="L",SUMPRODUCT(M193:X193,$M$3:$X$3,$M$2:$X$2),SUMPRODUCT(M193:X193,$M$4:$X$4,$M$2:$X$2))/(Y193/($K193*$L193)),"")</f>
        <v/>
      </c>
      <c r="AB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3">
        <f>SUMPRODUCT(M194:X194,$M$2:$X$2)*$K194*$L194</f>
        <v/>
      </c>
      <c r="Z194" s="14">
        <f>SUM(M194:X194)</f>
        <v/>
      </c>
      <c r="AA194" s="14">
        <f>IFERROR(IF(UPPER($E194)="L",SUMPRODUCT(M194:X194,$M$3:$X$3,$M$2:$X$2),SUMPRODUCT(M194:X194,$M$4:$X$4,$M$2:$X$2))/(Y194/($K194*$L194)),"")</f>
        <v/>
      </c>
      <c r="AB194" s="18" t="n"/>
    </row>
    <row r="195">
      <c r="A195" s="9" t="n">
        <v>692216</v>
      </c>
      <c r="B195" s="9" t="inlineStr">
        <is>
          <t>CJ Kayfus</t>
        </is>
      </c>
      <c r="C195" s="9" t="inlineStr">
        <is>
          <t>CLE</t>
        </is>
      </c>
      <c r="D195" s="9" t="n">
        <v>25</v>
      </c>
      <c r="E195" s="16" t="inlineStr">
        <is>
          <t>L</t>
        </is>
      </c>
      <c r="F195" s="16" t="n"/>
      <c r="G195" s="9" t="n">
        <v>25</v>
      </c>
      <c r="H195" s="9" t="n">
        <v>163</v>
      </c>
      <c r="I195" s="9" t="inlineStr">
        <is>
          <t>Bench Bat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3">
        <f>SUMPRODUCT(M195:X195,$M$2:$X$2)*$K195*$L195</f>
        <v/>
      </c>
      <c r="Z195" s="14">
        <f>SUM(M195:X195)</f>
        <v/>
      </c>
      <c r="AA195" s="14">
        <f>IFERROR(IF(UPPER($E195)="L",SUMPRODUCT(M195:X195,$M$3:$X$3,$M$2:$X$2),SUMPRODUCT(M195:X195,$M$4:$X$4,$M$2:$X$2))/(Y195/($K195*$L195)),"")</f>
        <v/>
      </c>
      <c r="AB195" s="18" t="n"/>
    </row>
    <row r="196">
      <c r="A196" s="9" t="n">
        <v>682928</v>
      </c>
      <c r="B196" s="9" t="inlineStr">
        <is>
          <t>CJ Abrams</t>
        </is>
      </c>
      <c r="C196" s="9" t="inlineStr">
        <is>
          <t>WSH</t>
        </is>
      </c>
      <c r="D196" s="9" t="n">
        <v>26</v>
      </c>
      <c r="E196" s="16" t="inlineStr">
        <is>
          <t>L</t>
        </is>
      </c>
      <c r="F196" s="16" t="n"/>
      <c r="G196" s="9" t="n">
        <v>654</v>
      </c>
      <c r="H196" s="9" t="n">
        <v>2807</v>
      </c>
      <c r="I196" s="9" t="inlineStr">
        <is>
          <t>Full Time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3">
        <f>SUMPRODUCT(M196:X196,$M$2:$X$2)*$K196*$L196</f>
        <v/>
      </c>
      <c r="Z196" s="14">
        <f>SUM(M196:X196)</f>
        <v/>
      </c>
      <c r="AA196" s="14">
        <f>IFERROR(IF(UPPER($E196)="L",SUMPRODUCT(M196:X196,$M$3:$X$3,$M$2:$X$2),SUMPRODUCT(M196:X196,$M$4:$X$4,$M$2:$X$2))/(Y196/($K196*$L196)),"")</f>
        <v/>
      </c>
      <c r="AB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n"/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3">
        <f>SUMPRODUCT(M197:X197,$M$2:$X$2)*$K197*$L197</f>
        <v/>
      </c>
      <c r="Z197" s="14">
        <f>SUM(M197:X197)</f>
        <v/>
      </c>
      <c r="AA197" s="14">
        <f>IFERROR(IF(UPPER($E197)="L",SUMPRODUCT(M197:X197,$M$3:$X$3,$M$2:$X$2),SUMPRODUCT(M197:X197,$M$4:$X$4,$M$2:$X$2))/(Y197/($K197*$L197)),"")</f>
        <v/>
      </c>
      <c r="AB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n"/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3">
        <f>SUMPRODUCT(M198:X198,$M$2:$X$2)*$K198*$L198</f>
        <v/>
      </c>
      <c r="Z198" s="14">
        <f>SUM(M198:X198)</f>
        <v/>
      </c>
      <c r="AA198" s="14">
        <f>IFERROR(IF(UPPER($E198)="L",SUMPRODUCT(M198:X198,$M$3:$X$3,$M$2:$X$2),SUMPRODUCT(M198:X198,$M$4:$X$4,$M$2:$X$2))/(Y198/($K198*$L198)),"")</f>
        <v/>
      </c>
      <c r="AB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n"/>
      <c r="G199" s="9" t="n">
        <v>328</v>
      </c>
      <c r="H199" s="9" t="n">
        <v>449</v>
      </c>
      <c r="I199" s="9" t="inlineStr">
        <is>
          <t>Utility OF / 4th OF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3">
        <f>SUMPRODUCT(M199:X199,$M$2:$X$2)*$K199*$L199</f>
        <v/>
      </c>
      <c r="Z199" s="14">
        <f>SUM(M199:X199)</f>
        <v/>
      </c>
      <c r="AA199" s="14">
        <f>IFERROR(IF(UPPER($E199)="L",SUMPRODUCT(M199:X199,$M$3:$X$3,$M$2:$X$2),SUMPRODUCT(M199:X199,$M$4:$X$4,$M$2:$X$2))/(Y199/($K199*$L199)),"")</f>
        <v/>
      </c>
      <c r="AB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n"/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3">
        <f>SUMPRODUCT(M200:X200,$M$2:$X$2)*$K200*$L200</f>
        <v/>
      </c>
      <c r="Z200" s="14">
        <f>SUM(M200:X200)</f>
        <v/>
      </c>
      <c r="AA200" s="14">
        <f>IFERROR(IF(UPPER($E200)="L",SUMPRODUCT(M200:X200,$M$3:$X$3,$M$2:$X$2),SUMPRODUCT(M200:X200,$M$4:$X$4,$M$2:$X$2))/(Y200/($K200*$L200)),"")</f>
        <v/>
      </c>
      <c r="AB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n"/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3">
        <f>SUMPRODUCT(M201:X201,$M$2:$X$2)*$K201*$L201</f>
        <v/>
      </c>
      <c r="Z201" s="14">
        <f>SUM(M201:X201)</f>
        <v/>
      </c>
      <c r="AA201" s="14">
        <f>IFERROR(IF(UPPER($E201)="L",SUMPRODUCT(M201:X201,$M$3:$X$3,$M$2:$X$2),SUMPRODUCT(M201:X201,$M$4:$X$4,$M$2:$X$2))/(Y201/($K201*$L201)),"")</f>
        <v/>
      </c>
      <c r="AB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n"/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3">
        <f>SUMPRODUCT(M202:X202,$M$2:$X$2)*$K202*$L202</f>
        <v/>
      </c>
      <c r="Z202" s="14">
        <f>SUM(M202:X202)</f>
        <v/>
      </c>
      <c r="AA202" s="14">
        <f>IFERROR(IF(UPPER($E202)="L",SUMPRODUCT(M202:X202,$M$3:$X$3,$M$2:$X$2),SUMPRODUCT(M202:X202,$M$4:$X$4,$M$2:$X$2))/(Y202/($K202*$L202)),"")</f>
        <v/>
      </c>
      <c r="AB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n"/>
      <c r="G203" s="9" t="n">
        <v>361</v>
      </c>
      <c r="H203" s="9" t="n">
        <v>2136</v>
      </c>
      <c r="I203" s="9" t="inlineStr">
        <is>
          <t>Utility OF / 4th OF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3">
        <f>SUMPRODUCT(M203:X203,$M$2:$X$2)*$K203*$L203</f>
        <v/>
      </c>
      <c r="Z203" s="14">
        <f>SUM(M203:X203)</f>
        <v/>
      </c>
      <c r="AA203" s="14">
        <f>IFERROR(IF(UPPER($E203)="L",SUMPRODUCT(M203:X203,$M$3:$X$3,$M$2:$X$2),SUMPRODUCT(M203:X203,$M$4:$X$4,$M$2:$X$2))/(Y203/($K203*$L203)),"")</f>
        <v/>
      </c>
      <c r="AB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n"/>
      <c r="G204" s="9" t="n">
        <v>468</v>
      </c>
      <c r="H204" s="9" t="n">
        <v>2025</v>
      </c>
      <c r="I204" s="9" t="inlineStr">
        <is>
          <t>Full Time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3">
        <f>SUMPRODUCT(M204:X204,$M$2:$X$2)*$K204*$L204</f>
        <v/>
      </c>
      <c r="Z204" s="14">
        <f>SUM(M204:X204)</f>
        <v/>
      </c>
      <c r="AA204" s="14">
        <f>IFERROR(IF(UPPER($E204)="L",SUMPRODUCT(M204:X204,$M$3:$X$3,$M$2:$X$2),SUMPRODUCT(M204:X204,$M$4:$X$4,$M$2:$X$2))/(Y204/($K204*$L204)),"")</f>
        <v/>
      </c>
      <c r="AB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n"/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3">
        <f>SUMPRODUCT(M205:X205,$M$2:$X$2)*$K205*$L205</f>
        <v/>
      </c>
      <c r="Z205" s="14">
        <f>SUM(M205:X205)</f>
        <v/>
      </c>
      <c r="AA205" s="14">
        <f>IFERROR(IF(UPPER($E205)="L",SUMPRODUCT(M205:X205,$M$3:$X$3,$M$2:$X$2),SUMPRODUCT(M205:X205,$M$4:$X$4,$M$2:$X$2))/(Y205/($K205*$L205)),"")</f>
        <v/>
      </c>
      <c r="AB205" s="18" t="n"/>
    </row>
    <row r="206">
      <c r="A206" s="9" t="n">
        <v>605612</v>
      </c>
      <c r="B206" s="9" t="inlineStr">
        <is>
          <t>Harold Castro</t>
        </is>
      </c>
      <c r="C206" s="9" t="inlineStr">
        <is>
          <t>COL</t>
        </is>
      </c>
      <c r="D206" s="9" t="n">
        <v>33</v>
      </c>
      <c r="E206" s="16" t="inlineStr">
        <is>
          <t>L</t>
        </is>
      </c>
      <c r="F206" s="16" t="n"/>
      <c r="G206" s="9" t="n">
        <v>270</v>
      </c>
      <c r="H206" s="9" t="n">
        <v>713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3">
        <f>SUMPRODUCT(M206:X206,$M$2:$X$2)*$K206*$L206</f>
        <v/>
      </c>
      <c r="Z206" s="14">
        <f>SUM(M206:X206)</f>
        <v/>
      </c>
      <c r="AA206" s="14">
        <f>IFERROR(IF(UPPER($E206)="L",SUMPRODUCT(M206:X206,$M$3:$X$3,$M$2:$X$2),SUMPRODUCT(M206:X206,$M$4:$X$4,$M$2:$X$2))/(Y206/($K206*$L206)),"")</f>
        <v/>
      </c>
      <c r="AB206" s="18" t="n"/>
    </row>
    <row r="207">
      <c r="A207" s="9" t="n">
        <v>683610</v>
      </c>
      <c r="B207" s="9" t="inlineStr">
        <is>
          <t>Leandro Pineda</t>
        </is>
      </c>
      <c r="C207" s="9" t="inlineStr">
        <is>
          <t>WSH</t>
        </is>
      </c>
      <c r="D207" s="9" t="n">
        <v>25</v>
      </c>
      <c r="E207" s="16" t="inlineStr">
        <is>
          <t>L</t>
        </is>
      </c>
      <c r="F207" s="16" t="n"/>
      <c r="G207" s="9" t="n">
        <v>99.84615384615384</v>
      </c>
      <c r="H207" s="9" t="n">
        <v>99.84615384615384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3">
        <f>SUMPRODUCT(M207:X207,$M$2:$X$2)*$K207*$L207</f>
        <v/>
      </c>
      <c r="Z207" s="14">
        <f>SUM(M207:X207)</f>
        <v/>
      </c>
      <c r="AA207" s="14">
        <f>IFERROR(IF(UPPER($E207)="L",SUMPRODUCT(M207:X207,$M$3:$X$3,$M$2:$X$2),SUMPRODUCT(M207:X207,$M$4:$X$4,$M$2:$X$2))/(Y207/($K207*$L207)),"")</f>
        <v/>
      </c>
      <c r="AB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3">
        <f>SUMPRODUCT(M208:X208,$M$2:$X$2)*$K208*$L208</f>
        <v/>
      </c>
      <c r="Z208" s="14">
        <f>SUM(M208:X208)</f>
        <v/>
      </c>
      <c r="AA208" s="14">
        <f>IFERROR(IF(UPPER($E208)="L",SUMPRODUCT(M208:X208,$M$3:$X$3,$M$2:$X$2),SUMPRODUCT(M208:X208,$M$4:$X$4,$M$2:$X$2))/(Y208/($K208*$L208)),"")</f>
        <v/>
      </c>
      <c r="AB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n"/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3">
        <f>SUMPRODUCT(M209:X209,$M$2:$X$2)*$K209*$L209</f>
        <v/>
      </c>
      <c r="Z209" s="14">
        <f>SUM(M209:X209)</f>
        <v/>
      </c>
      <c r="AA209" s="14">
        <f>IFERROR(IF(UPPER($E209)="L",SUMPRODUCT(M209:X209,$M$3:$X$3,$M$2:$X$2),SUMPRODUCT(M209:X209,$M$4:$X$4,$M$2:$X$2))/(Y209/($K209*$L209)),"")</f>
        <v/>
      </c>
      <c r="AB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n"/>
      <c r="G210" s="9" t="n">
        <v>111</v>
      </c>
      <c r="H210" s="9" t="n">
        <v>1706</v>
      </c>
      <c r="I210" s="9" t="inlineStr">
        <is>
          <t>Full Time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3">
        <f>SUMPRODUCT(M210:X210,$M$2:$X$2)*$K210*$L210</f>
        <v/>
      </c>
      <c r="Z210" s="14">
        <f>SUM(M210:X210)</f>
        <v/>
      </c>
      <c r="AA210" s="14">
        <f>IFERROR(IF(UPPER($E210)="L",SUMPRODUCT(M210:X210,$M$3:$X$3,$M$2:$X$2),SUMPRODUCT(M210:X210,$M$4:$X$4,$M$2:$X$2))/(Y210/($K210*$L210)),"")</f>
        <v/>
      </c>
      <c r="AB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n"/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3">
        <f>SUMPRODUCT(M211:X211,$M$2:$X$2)*$K211*$L211</f>
        <v/>
      </c>
      <c r="Z211" s="14">
        <f>SUM(M211:X211)</f>
        <v/>
      </c>
      <c r="AA211" s="14">
        <f>IFERROR(IF(UPPER($E211)="L",SUMPRODUCT(M211:X211,$M$3:$X$3,$M$2:$X$2),SUMPRODUCT(M211:X211,$M$4:$X$4,$M$2:$X$2))/(Y211/($K211*$L211)),"")</f>
        <v/>
      </c>
      <c r="AB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n"/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3">
        <f>SUMPRODUCT(M212:X212,$M$2:$X$2)*$K212*$L212</f>
        <v/>
      </c>
      <c r="Z212" s="14">
        <f>SUM(M212:X212)</f>
        <v/>
      </c>
      <c r="AA212" s="14">
        <f>IFERROR(IF(UPPER($E212)="L",SUMPRODUCT(M212:X212,$M$3:$X$3,$M$2:$X$2),SUMPRODUCT(M212:X212,$M$4:$X$4,$M$2:$X$2))/(Y212/($K212*$L212)),"")</f>
        <v/>
      </c>
      <c r="AB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n"/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3">
        <f>SUMPRODUCT(M213:X213,$M$2:$X$2)*$K213*$L213</f>
        <v/>
      </c>
      <c r="Z213" s="14">
        <f>SUM(M213:X213)</f>
        <v/>
      </c>
      <c r="AA213" s="14">
        <f>IFERROR(IF(UPPER($E213)="L",SUMPRODUCT(M213:X213,$M$3:$X$3,$M$2:$X$2),SUMPRODUCT(M213:X213,$M$4:$X$4,$M$2:$X$2))/(Y213/($K213*$L213)),"")</f>
        <v/>
      </c>
      <c r="AB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3">
        <f>SUMPRODUCT(M214:X214,$M$2:$X$2)*$K214*$L214</f>
        <v/>
      </c>
      <c r="Z214" s="14">
        <f>SUM(M214:X214)</f>
        <v/>
      </c>
      <c r="AA214" s="14">
        <f>IFERROR(IF(UPPER($E214)="L",SUMPRODUCT(M214:X214,$M$3:$X$3,$M$2:$X$2),SUMPRODUCT(M214:X214,$M$4:$X$4,$M$2:$X$2))/(Y214/($K214*$L214)),"")</f>
        <v/>
      </c>
      <c r="AB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n"/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3">
        <f>SUMPRODUCT(M215:X215,$M$2:$X$2)*$K215*$L215</f>
        <v/>
      </c>
      <c r="Z215" s="14">
        <f>SUM(M215:X215)</f>
        <v/>
      </c>
      <c r="AA215" s="14">
        <f>IFERROR(IF(UPPER($E215)="L",SUMPRODUCT(M215:X215,$M$3:$X$3,$M$2:$X$2),SUMPRODUCT(M215:X215,$M$4:$X$4,$M$2:$X$2))/(Y215/($K215*$L215)),"")</f>
        <v/>
      </c>
      <c r="AB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n"/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3">
        <f>SUMPRODUCT(M216:X216,$M$2:$X$2)*$K216*$L216</f>
        <v/>
      </c>
      <c r="Z216" s="14">
        <f>SUM(M216:X216)</f>
        <v/>
      </c>
      <c r="AA216" s="14">
        <f>IFERROR(IF(UPPER($E216)="L",SUMPRODUCT(M216:X216,$M$3:$X$3,$M$2:$X$2),SUMPRODUCT(M216:X216,$M$4:$X$4,$M$2:$X$2))/(Y216/($K216*$L216)),"")</f>
        <v/>
      </c>
      <c r="AB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3">
        <f>SUMPRODUCT(M217:X217,$M$2:$X$2)*$K217*$L217</f>
        <v/>
      </c>
      <c r="Z217" s="14">
        <f>SUM(M217:X217)</f>
        <v/>
      </c>
      <c r="AA217" s="14">
        <f>IFERROR(IF(UPPER($E217)="L",SUMPRODUCT(M217:X217,$M$3:$X$3,$M$2:$X$2),SUMPRODUCT(M217:X217,$M$4:$X$4,$M$2:$X$2))/(Y217/($K217*$L217)),"")</f>
        <v/>
      </c>
      <c r="AB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n"/>
      <c r="G218" s="9" t="n">
        <v>392</v>
      </c>
      <c r="H218" s="9" t="n">
        <v>1390</v>
      </c>
      <c r="I218" s="9" t="inlineStr">
        <is>
          <t>Utility OF / 4th OF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3">
        <f>SUMPRODUCT(M218:X218,$M$2:$X$2)*$K218*$L218</f>
        <v/>
      </c>
      <c r="Z218" s="14">
        <f>SUM(M218:X218)</f>
        <v/>
      </c>
      <c r="AA218" s="14">
        <f>IFERROR(IF(UPPER($E218)="L",SUMPRODUCT(M218:X218,$M$3:$X$3,$M$2:$X$2),SUMPRODUCT(M218:X218,$M$4:$X$4,$M$2:$X$2))/(Y218/($K218*$L218)),"")</f>
        <v/>
      </c>
      <c r="AB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n"/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3">
        <f>SUMPRODUCT(M219:X219,$M$2:$X$2)*$K219*$L219</f>
        <v/>
      </c>
      <c r="Z219" s="14">
        <f>SUM(M219:X219)</f>
        <v/>
      </c>
      <c r="AA219" s="14">
        <f>IFERROR(IF(UPPER($E219)="L",SUMPRODUCT(M219:X219,$M$3:$X$3,$M$2:$X$2),SUMPRODUCT(M219:X219,$M$4:$X$4,$M$2:$X$2))/(Y219/($K219*$L219)),"")</f>
        <v/>
      </c>
      <c r="AB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n"/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3">
        <f>SUMPRODUCT(M220:X220,$M$2:$X$2)*$K220*$L220</f>
        <v/>
      </c>
      <c r="Z220" s="14">
        <f>SUM(M220:X220)</f>
        <v/>
      </c>
      <c r="AA220" s="14">
        <f>IFERROR(IF(UPPER($E220)="L",SUMPRODUCT(M220:X220,$M$3:$X$3,$M$2:$X$2),SUMPRODUCT(M220:X220,$M$4:$X$4,$M$2:$X$2))/(Y220/($K220*$L220)),"")</f>
        <v/>
      </c>
      <c r="AB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n"/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3">
        <f>SUMPRODUCT(M221:X221,$M$2:$X$2)*$K221*$L221</f>
        <v/>
      </c>
      <c r="Z221" s="14">
        <f>SUM(M221:X221)</f>
        <v/>
      </c>
      <c r="AA221" s="14">
        <f>IFERROR(IF(UPPER($E221)="L",SUMPRODUCT(M221:X221,$M$3:$X$3,$M$2:$X$2),SUMPRODUCT(M221:X221,$M$4:$X$4,$M$2:$X$2))/(Y221/($K221*$L221)),"")</f>
        <v/>
      </c>
      <c r="AB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n"/>
      <c r="G222" s="9" t="n">
        <v>122</v>
      </c>
      <c r="H222" s="9" t="n">
        <v>1073</v>
      </c>
      <c r="I222" s="9" t="inlineStr">
        <is>
          <t>Utility OF / 4th OF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3">
        <f>SUMPRODUCT(M222:X222,$M$2:$X$2)*$K222*$L222</f>
        <v/>
      </c>
      <c r="Z222" s="14">
        <f>SUM(M222:X222)</f>
        <v/>
      </c>
      <c r="AA222" s="14">
        <f>IFERROR(IF(UPPER($E222)="L",SUMPRODUCT(M222:X222,$M$3:$X$3,$M$2:$X$2),SUMPRODUCT(M222:X222,$M$4:$X$4,$M$2:$X$2))/(Y222/($K222*$L222)),"")</f>
        <v/>
      </c>
      <c r="AB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n"/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3">
        <f>SUMPRODUCT(M223:X223,$M$2:$X$2)*$K223*$L223</f>
        <v/>
      </c>
      <c r="Z223" s="14">
        <f>SUM(M223:X223)</f>
        <v/>
      </c>
      <c r="AA223" s="14">
        <f>IFERROR(IF(UPPER($E223)="L",SUMPRODUCT(M223:X223,$M$3:$X$3,$M$2:$X$2),SUMPRODUCT(M223:X223,$M$4:$X$4,$M$2:$X$2))/(Y223/($K223*$L223)),"")</f>
        <v/>
      </c>
      <c r="AB223" s="18" t="n"/>
    </row>
    <row r="224">
      <c r="A224" s="9" t="n">
        <v>518735</v>
      </c>
      <c r="B224" s="9" t="inlineStr">
        <is>
          <t>Yasmani Grandal</t>
        </is>
      </c>
      <c r="C224" s="9" t="inlineStr">
        <is>
          <t>PIT</t>
        </is>
      </c>
      <c r="D224" s="9" t="n">
        <v>38</v>
      </c>
      <c r="E224" s="16" t="inlineStr">
        <is>
          <t>S</t>
        </is>
      </c>
      <c r="F224" s="16" t="n"/>
      <c r="G224" s="9" t="n">
        <v>243</v>
      </c>
      <c r="H224" s="9" t="n">
        <v>1024</v>
      </c>
      <c r="I224" s="9" t="inlineStr">
        <is>
          <t>Depth (no MLB PA)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3">
        <f>SUMPRODUCT(M224:X224,$M$2:$X$2)*$K224*$L224</f>
        <v/>
      </c>
      <c r="Z224" s="14">
        <f>SUM(M224:X224)</f>
        <v/>
      </c>
      <c r="AA224" s="14">
        <f>IFERROR(IF(UPPER($E224)="L",SUMPRODUCT(M224:X224,$M$3:$X$3,$M$2:$X$2),SUMPRODUCT(M224:X224,$M$4:$X$4,$M$2:$X$2))/(Y224/($K224*$L224)),"")</f>
        <v/>
      </c>
      <c r="AB224" s="18" t="n"/>
    </row>
    <row r="225">
      <c r="A225" s="9" t="n">
        <v>502671</v>
      </c>
      <c r="B225" s="9" t="inlineStr">
        <is>
          <t>Paul Goldschmidt</t>
        </is>
      </c>
      <c r="C225" s="9" t="inlineStr">
        <is>
          <t>NYY</t>
        </is>
      </c>
      <c r="D225" s="9" t="n">
        <v>39</v>
      </c>
      <c r="E225" s="16" t="inlineStr">
        <is>
          <t>R</t>
        </is>
      </c>
      <c r="F225" s="16" t="n"/>
      <c r="G225" s="9" t="n">
        <v>380</v>
      </c>
      <c r="H225" s="9" t="n">
        <v>2906</v>
      </c>
      <c r="I225" s="9" t="inlineStr">
        <is>
          <t>Full Time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3">
        <f>SUMPRODUCT(M225:X225,$M$2:$X$2)*$K225*$L225</f>
        <v/>
      </c>
      <c r="Z225" s="14">
        <f>SUM(M225:X225)</f>
        <v/>
      </c>
      <c r="AA225" s="14">
        <f>IFERROR(IF(UPPER($E225)="L",SUMPRODUCT(M225:X225,$M$3:$X$3,$M$2:$X$2),SUMPRODUCT(M225:X225,$M$4:$X$4,$M$2:$X$2))/(Y225/($K225*$L225)),"")</f>
        <v/>
      </c>
      <c r="AB225" s="18" t="n"/>
    </row>
    <row r="226">
      <c r="A226" s="9" t="n">
        <v>571448</v>
      </c>
      <c r="B226" s="9" t="inlineStr">
        <is>
          <t>Nolan Arenado</t>
        </is>
      </c>
      <c r="C226" s="9" t="inlineStr">
        <is>
          <t>ARI</t>
        </is>
      </c>
      <c r="D226" s="9" t="n">
        <v>36</v>
      </c>
      <c r="E226" s="16" t="inlineStr">
        <is>
          <t>R</t>
        </is>
      </c>
      <c r="F226" s="16" t="n"/>
      <c r="G226" s="9" t="n">
        <v>599</v>
      </c>
      <c r="H226" s="9" t="n">
        <v>2902</v>
      </c>
      <c r="I226" s="9" t="inlineStr">
        <is>
          <t>Full Time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3">
        <f>SUMPRODUCT(M226:X226,$M$2:$X$2)*$K226*$L226</f>
        <v/>
      </c>
      <c r="Z226" s="14">
        <f>SUM(M226:X226)</f>
        <v/>
      </c>
      <c r="AA226" s="14">
        <f>IFERROR(IF(UPPER($E226)="L",SUMPRODUCT(M226:X226,$M$3:$X$3,$M$2:$X$2),SUMPRODUCT(M226:X226,$M$4:$X$4,$M$2:$X$2))/(Y226/($K226*$L226)),"")</f>
        <v/>
      </c>
      <c r="AB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n"/>
      <c r="G227" s="9" t="n">
        <v>28</v>
      </c>
      <c r="H227" s="9" t="n">
        <v>1095</v>
      </c>
      <c r="I227" s="9" t="inlineStr">
        <is>
          <t>Utility OF / 4th OF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3">
        <f>SUMPRODUCT(M227:X227,$M$2:$X$2)*$K227*$L227</f>
        <v/>
      </c>
      <c r="Z227" s="14">
        <f>SUM(M227:X227)</f>
        <v/>
      </c>
      <c r="AA227" s="14">
        <f>IFERROR(IF(UPPER($E227)="L",SUMPRODUCT(M227:X227,$M$3:$X$3,$M$2:$X$2),SUMPRODUCT(M227:X227,$M$4:$X$4,$M$2:$X$2))/(Y227/($K227*$L227)),"")</f>
        <v/>
      </c>
      <c r="AB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n"/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3">
        <f>SUMPRODUCT(M228:X228,$M$2:$X$2)*$K228*$L228</f>
        <v/>
      </c>
      <c r="Z228" s="14">
        <f>SUM(M228:X228)</f>
        <v/>
      </c>
      <c r="AA228" s="14">
        <f>IFERROR(IF(UPPER($E228)="L",SUMPRODUCT(M228:X228,$M$3:$X$3,$M$2:$X$2),SUMPRODUCT(M228:X228,$M$4:$X$4,$M$2:$X$2))/(Y228/($K228*$L228)),"")</f>
        <v/>
      </c>
      <c r="AB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n"/>
      <c r="G229" s="9" t="n">
        <v>363</v>
      </c>
      <c r="H229" s="9" t="n">
        <v>500</v>
      </c>
      <c r="I229" s="9" t="inlineStr">
        <is>
          <t>Utility OF / 4th OF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3">
        <f>SUMPRODUCT(M229:X229,$M$2:$X$2)*$K229*$L229</f>
        <v/>
      </c>
      <c r="Z229" s="14">
        <f>SUM(M229:X229)</f>
        <v/>
      </c>
      <c r="AA229" s="14">
        <f>IFERROR(IF(UPPER($E229)="L",SUMPRODUCT(M229:X229,$M$3:$X$3,$M$2:$X$2),SUMPRODUCT(M229:X229,$M$4:$X$4,$M$2:$X$2))/(Y229/($K229*$L229)),"")</f>
        <v/>
      </c>
      <c r="AB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n"/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3">
        <f>SUMPRODUCT(M230:X230,$M$2:$X$2)*$K230*$L230</f>
        <v/>
      </c>
      <c r="Z230" s="14">
        <f>SUM(M230:X230)</f>
        <v/>
      </c>
      <c r="AA230" s="14">
        <f>IFERROR(IF(UPPER($E230)="L",SUMPRODUCT(M230:X230,$M$3:$X$3,$M$2:$X$2),SUMPRODUCT(M230:X230,$M$4:$X$4,$M$2:$X$2))/(Y230/($K230*$L230)),"")</f>
        <v/>
      </c>
      <c r="AB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n"/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3">
        <f>SUMPRODUCT(M231:X231,$M$2:$X$2)*$K231*$L231</f>
        <v/>
      </c>
      <c r="Z231" s="14">
        <f>SUM(M231:X231)</f>
        <v/>
      </c>
      <c r="AA231" s="14">
        <f>IFERROR(IF(UPPER($E231)="L",SUMPRODUCT(M231:X231,$M$3:$X$3,$M$2:$X$2),SUMPRODUCT(M231:X231,$M$4:$X$4,$M$2:$X$2))/(Y231/($K231*$L231)),"")</f>
        <v/>
      </c>
      <c r="AB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n"/>
      <c r="G232" s="9" t="n">
        <v>399</v>
      </c>
      <c r="H232" s="9" t="n">
        <v>517</v>
      </c>
      <c r="I232" s="9" t="inlineStr">
        <is>
          <t>Utility OF / 4th OF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3">
        <f>SUMPRODUCT(M232:X232,$M$2:$X$2)*$K232*$L232</f>
        <v/>
      </c>
      <c r="Z232" s="14">
        <f>SUM(M232:X232)</f>
        <v/>
      </c>
      <c r="AA232" s="14">
        <f>IFERROR(IF(UPPER($E232)="L",SUMPRODUCT(M232:X232,$M$3:$X$3,$M$2:$X$2),SUMPRODUCT(M232:X232,$M$4:$X$4,$M$2:$X$2))/(Y232/($K232*$L232)),"")</f>
        <v/>
      </c>
      <c r="AB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n"/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3">
        <f>SUMPRODUCT(M233:X233,$M$2:$X$2)*$K233*$L233</f>
        <v/>
      </c>
      <c r="Z233" s="14">
        <f>SUM(M233:X233)</f>
        <v/>
      </c>
      <c r="AA233" s="14">
        <f>IFERROR(IF(UPPER($E233)="L",SUMPRODUCT(M233:X233,$M$3:$X$3,$M$2:$X$2),SUMPRODUCT(M233:X233,$M$4:$X$4,$M$2:$X$2))/(Y233/($K233*$L233)),"")</f>
        <v/>
      </c>
      <c r="AB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n"/>
      <c r="G234" s="9" t="n">
        <v>62</v>
      </c>
      <c r="H234" s="9" t="n">
        <v>354</v>
      </c>
      <c r="I234" s="9" t="inlineStr">
        <is>
          <t>Bench Bat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3">
        <f>SUMPRODUCT(M234:X234,$M$2:$X$2)*$K234*$L234</f>
        <v/>
      </c>
      <c r="Z234" s="14">
        <f>SUM(M234:X234)</f>
        <v/>
      </c>
      <c r="AA234" s="14">
        <f>IFERROR(IF(UPPER($E234)="L",SUMPRODUCT(M234:X234,$M$3:$X$3,$M$2:$X$2),SUMPRODUCT(M234:X234,$M$4:$X$4,$M$2:$X$2))/(Y234/($K234*$L234)),"")</f>
        <v/>
      </c>
      <c r="AB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n"/>
      <c r="G235" s="9" t="n">
        <v>17</v>
      </c>
      <c r="H235" s="9" t="n">
        <v>95</v>
      </c>
      <c r="I235" s="9" t="inlineStr">
        <is>
          <t>Bench Bat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3">
        <f>SUMPRODUCT(M235:X235,$M$2:$X$2)*$K235*$L235</f>
        <v/>
      </c>
      <c r="Z235" s="14">
        <f>SUM(M235:X235)</f>
        <v/>
      </c>
      <c r="AA235" s="14">
        <f>IFERROR(IF(UPPER($E235)="L",SUMPRODUCT(M235:X235,$M$3:$X$3,$M$2:$X$2),SUMPRODUCT(M235:X235,$M$4:$X$4,$M$2:$X$2))/(Y235/($K235*$L235)),"")</f>
        <v/>
      </c>
      <c r="AB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n"/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3">
        <f>SUMPRODUCT(M236:X236,$M$2:$X$2)*$K236*$L236</f>
        <v/>
      </c>
      <c r="Z236" s="14">
        <f>SUM(M236:X236)</f>
        <v/>
      </c>
      <c r="AA236" s="14">
        <f>IFERROR(IF(UPPER($E236)="L",SUMPRODUCT(M236:X236,$M$3:$X$3,$M$2:$X$2),SUMPRODUCT(M236:X236,$M$4:$X$4,$M$2:$X$2))/(Y236/($K236*$L236)),"")</f>
        <v/>
      </c>
      <c r="AB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n"/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3">
        <f>SUMPRODUCT(M237:X237,$M$2:$X$2)*$K237*$L237</f>
        <v/>
      </c>
      <c r="Z237" s="14">
        <f>SUM(M237:X237)</f>
        <v/>
      </c>
      <c r="AA237" s="14">
        <f>IFERROR(IF(UPPER($E237)="L",SUMPRODUCT(M237:X237,$M$3:$X$3,$M$2:$X$2),SUMPRODUCT(M237:X237,$M$4:$X$4,$M$2:$X$2))/(Y237/($K237*$L237)),"")</f>
        <v/>
      </c>
      <c r="AB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n"/>
      <c r="G238" s="9" t="n">
        <v>221</v>
      </c>
      <c r="H238" s="9" t="n">
        <v>2189</v>
      </c>
      <c r="I238" s="9" t="inlineStr">
        <is>
          <t>Bench Bat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3">
        <f>SUMPRODUCT(M238:X238,$M$2:$X$2)*$K238*$L238</f>
        <v/>
      </c>
      <c r="Z238" s="14">
        <f>SUM(M238:X238)</f>
        <v/>
      </c>
      <c r="AA238" s="14">
        <f>IFERROR(IF(UPPER($E238)="L",SUMPRODUCT(M238:X238,$M$3:$X$3,$M$2:$X$2),SUMPRODUCT(M238:X238,$M$4:$X$4,$M$2:$X$2))/(Y238/($K238*$L238)),"")</f>
        <v/>
      </c>
      <c r="AB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n"/>
      <c r="G239" s="9" t="n">
        <v>247</v>
      </c>
      <c r="H239" s="9" t="n">
        <v>300</v>
      </c>
      <c r="I239" s="9" t="inlineStr">
        <is>
          <t>Utility OF / 4th OF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3">
        <f>SUMPRODUCT(M239:X239,$M$2:$X$2)*$K239*$L239</f>
        <v/>
      </c>
      <c r="Z239" s="14">
        <f>SUM(M239:X239)</f>
        <v/>
      </c>
      <c r="AA239" s="14">
        <f>IFERROR(IF(UPPER($E239)="L",SUMPRODUCT(M239:X239,$M$3:$X$3,$M$2:$X$2),SUMPRODUCT(M239:X239,$M$4:$X$4,$M$2:$X$2))/(Y239/($K239*$L239)),"")</f>
        <v/>
      </c>
      <c r="AB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n"/>
      <c r="G240" s="9" t="n">
        <v>166</v>
      </c>
      <c r="H240" s="9" t="n">
        <v>953</v>
      </c>
      <c r="I240" s="9" t="inlineStr">
        <is>
          <t>Bench Bat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3">
        <f>SUMPRODUCT(M240:X240,$M$2:$X$2)*$K240*$L240</f>
        <v/>
      </c>
      <c r="Z240" s="14">
        <f>SUM(M240:X240)</f>
        <v/>
      </c>
      <c r="AA240" s="14">
        <f>IFERROR(IF(UPPER($E240)="L",SUMPRODUCT(M240:X240,$M$3:$X$3,$M$2:$X$2),SUMPRODUCT(M240:X240,$M$4:$X$4,$M$2:$X$2))/(Y240/($K240*$L240)),"")</f>
        <v/>
      </c>
      <c r="AB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3">
        <f>SUMPRODUCT(M241:X241,$M$2:$X$2)*$K241*$L241</f>
        <v/>
      </c>
      <c r="Z241" s="14">
        <f>SUM(M241:X241)</f>
        <v/>
      </c>
      <c r="AA241" s="14">
        <f>IFERROR(IF(UPPER($E241)="L",SUMPRODUCT(M241:X241,$M$3:$X$3,$M$2:$X$2),SUMPRODUCT(M241:X241,$M$4:$X$4,$M$2:$X$2))/(Y241/($K241*$L241)),"")</f>
        <v/>
      </c>
      <c r="AB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3">
        <f>SUMPRODUCT(M242:X242,$M$2:$X$2)*$K242*$L242</f>
        <v/>
      </c>
      <c r="Z242" s="14">
        <f>SUM(M242:X242)</f>
        <v/>
      </c>
      <c r="AA242" s="14">
        <f>IFERROR(IF(UPPER($E242)="L",SUMPRODUCT(M242:X242,$M$3:$X$3,$M$2:$X$2),SUMPRODUCT(M242:X242,$M$4:$X$4,$M$2:$X$2))/(Y242/($K242*$L242)),"")</f>
        <v/>
      </c>
      <c r="AB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n"/>
      <c r="G243" s="9" t="n">
        <v>361</v>
      </c>
      <c r="H243" s="9" t="n">
        <v>1933</v>
      </c>
      <c r="I243" s="9" t="inlineStr">
        <is>
          <t>Full Time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3">
        <f>SUMPRODUCT(M243:X243,$M$2:$X$2)*$K243*$L243</f>
        <v/>
      </c>
      <c r="Z243" s="14">
        <f>SUM(M243:X243)</f>
        <v/>
      </c>
      <c r="AA243" s="14">
        <f>IFERROR(IF(UPPER($E243)="L",SUMPRODUCT(M243:X243,$M$3:$X$3,$M$2:$X$2),SUMPRODUCT(M243:X243,$M$4:$X$4,$M$2:$X$2))/(Y243/($K243*$L243)),"")</f>
        <v/>
      </c>
      <c r="AB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n"/>
      <c r="G244" s="9" t="n">
        <v>84</v>
      </c>
      <c r="H244" s="9" t="n">
        <v>874</v>
      </c>
      <c r="I244" s="9" t="inlineStr">
        <is>
          <t>Bench Bat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3">
        <f>SUMPRODUCT(M244:X244,$M$2:$X$2)*$K244*$L244</f>
        <v/>
      </c>
      <c r="Z244" s="14">
        <f>SUM(M244:X244)</f>
        <v/>
      </c>
      <c r="AA244" s="14">
        <f>IFERROR(IF(UPPER($E244)="L",SUMPRODUCT(M244:X244,$M$3:$X$3,$M$2:$X$2),SUMPRODUCT(M244:X244,$M$4:$X$4,$M$2:$X$2))/(Y244/($K244*$L244)),"")</f>
        <v/>
      </c>
      <c r="AB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n"/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3">
        <f>SUMPRODUCT(M245:X245,$M$2:$X$2)*$K245*$L245</f>
        <v/>
      </c>
      <c r="Z245" s="14">
        <f>SUM(M245:X245)</f>
        <v/>
      </c>
      <c r="AA245" s="14">
        <f>IFERROR(IF(UPPER($E245)="L",SUMPRODUCT(M245:X245,$M$3:$X$3,$M$2:$X$2),SUMPRODUCT(M245:X245,$M$4:$X$4,$M$2:$X$2))/(Y245/($K245*$L245)),"")</f>
        <v/>
      </c>
      <c r="AB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n"/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3">
        <f>SUMPRODUCT(M246:X246,$M$2:$X$2)*$K246*$L246</f>
        <v/>
      </c>
      <c r="Z246" s="14">
        <f>SUM(M246:X246)</f>
        <v/>
      </c>
      <c r="AA246" s="14">
        <f>IFERROR(IF(UPPER($E246)="L",SUMPRODUCT(M246:X246,$M$3:$X$3,$M$2:$X$2),SUMPRODUCT(M246:X246,$M$4:$X$4,$M$2:$X$2))/(Y246/($K246*$L246)),"")</f>
        <v/>
      </c>
      <c r="AB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3">
        <f>SUMPRODUCT(M247:X247,$M$2:$X$2)*$K247*$L247</f>
        <v/>
      </c>
      <c r="Z247" s="14">
        <f>SUM(M247:X247)</f>
        <v/>
      </c>
      <c r="AA247" s="14">
        <f>IFERROR(IF(UPPER($E247)="L",SUMPRODUCT(M247:X247,$M$3:$X$3,$M$2:$X$2),SUMPRODUCT(M247:X247,$M$4:$X$4,$M$2:$X$2))/(Y247/($K247*$L247)),"")</f>
        <v/>
      </c>
      <c r="AB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3">
        <f>SUMPRODUCT(M248:X248,$M$2:$X$2)*$K248*$L248</f>
        <v/>
      </c>
      <c r="Z248" s="14">
        <f>SUM(M248:X248)</f>
        <v/>
      </c>
      <c r="AA248" s="14">
        <f>IFERROR(IF(UPPER($E248)="L",SUMPRODUCT(M248:X248,$M$3:$X$3,$M$2:$X$2),SUMPRODUCT(M248:X248,$M$4:$X$4,$M$2:$X$2))/(Y248/($K248*$L248)),"")</f>
        <v/>
      </c>
      <c r="AB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3">
        <f>SUMPRODUCT(M249:X249,$M$2:$X$2)*$K249*$L249</f>
        <v/>
      </c>
      <c r="Z249" s="14">
        <f>SUM(M249:X249)</f>
        <v/>
      </c>
      <c r="AA249" s="14">
        <f>IFERROR(IF(UPPER($E249)="L",SUMPRODUCT(M249:X249,$M$3:$X$3,$M$2:$X$2),SUMPRODUCT(M249:X249,$M$4:$X$4,$M$2:$X$2))/(Y249/($K249*$L249)),"")</f>
        <v/>
      </c>
      <c r="AB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n"/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3">
        <f>SUMPRODUCT(M250:X250,$M$2:$X$2)*$K250*$L250</f>
        <v/>
      </c>
      <c r="Z250" s="14">
        <f>SUM(M250:X250)</f>
        <v/>
      </c>
      <c r="AA250" s="14">
        <f>IFERROR(IF(UPPER($E250)="L",SUMPRODUCT(M250:X250,$M$3:$X$3,$M$2:$X$2),SUMPRODUCT(M250:X250,$M$4:$X$4,$M$2:$X$2))/(Y250/($K250*$L250)),"")</f>
        <v/>
      </c>
      <c r="AB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n"/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3">
        <f>SUMPRODUCT(M251:X251,$M$2:$X$2)*$K251*$L251</f>
        <v/>
      </c>
      <c r="Z251" s="14">
        <f>SUM(M251:X251)</f>
        <v/>
      </c>
      <c r="AA251" s="14">
        <f>IFERROR(IF(UPPER($E251)="L",SUMPRODUCT(M251:X251,$M$3:$X$3,$M$2:$X$2),SUMPRODUCT(M251:X251,$M$4:$X$4,$M$2:$X$2))/(Y251/($K251*$L251)),"")</f>
        <v/>
      </c>
      <c r="AB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n"/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3">
        <f>SUMPRODUCT(M252:X252,$M$2:$X$2)*$K252*$L252</f>
        <v/>
      </c>
      <c r="Z252" s="14">
        <f>SUM(M252:X252)</f>
        <v/>
      </c>
      <c r="AA252" s="14">
        <f>IFERROR(IF(UPPER($E252)="L",SUMPRODUCT(M252:X252,$M$3:$X$3,$M$2:$X$2),SUMPRODUCT(M252:X252,$M$4:$X$4,$M$2:$X$2))/(Y252/($K252*$L252)),"")</f>
        <v/>
      </c>
      <c r="AB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n"/>
      <c r="G253" s="9" t="n">
        <v>136</v>
      </c>
      <c r="H253" s="9" t="n">
        <v>244</v>
      </c>
      <c r="I253" s="9" t="inlineStr">
        <is>
          <t>Bench Bat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3">
        <f>SUMPRODUCT(M253:X253,$M$2:$X$2)*$K253*$L253</f>
        <v/>
      </c>
      <c r="Z253" s="14">
        <f>SUM(M253:X253)</f>
        <v/>
      </c>
      <c r="AA253" s="14">
        <f>IFERROR(IF(UPPER($E253)="L",SUMPRODUCT(M253:X253,$M$3:$X$3,$M$2:$X$2),SUMPRODUCT(M253:X253,$M$4:$X$4,$M$2:$X$2))/(Y253/($K253*$L253)),"")</f>
        <v/>
      </c>
      <c r="AB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n"/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3">
        <f>SUMPRODUCT(M254:X254,$M$2:$X$2)*$K254*$L254</f>
        <v/>
      </c>
      <c r="Z254" s="14">
        <f>SUM(M254:X254)</f>
        <v/>
      </c>
      <c r="AA254" s="14">
        <f>IFERROR(IF(UPPER($E254)="L",SUMPRODUCT(M254:X254,$M$3:$X$3,$M$2:$X$2),SUMPRODUCT(M254:X254,$M$4:$X$4,$M$2:$X$2))/(Y254/($K254*$L254)),"")</f>
        <v/>
      </c>
      <c r="AB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n"/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3">
        <f>SUMPRODUCT(M255:X255,$M$2:$X$2)*$K255*$L255</f>
        <v/>
      </c>
      <c r="Z255" s="14">
        <f>SUM(M255:X255)</f>
        <v/>
      </c>
      <c r="AA255" s="14">
        <f>IFERROR(IF(UPPER($E255)="L",SUMPRODUCT(M255:X255,$M$3:$X$3,$M$2:$X$2),SUMPRODUCT(M255:X255,$M$4:$X$4,$M$2:$X$2))/(Y255/($K255*$L255)),"")</f>
        <v/>
      </c>
      <c r="AB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n"/>
      <c r="G256" s="9" t="n">
        <v>27</v>
      </c>
      <c r="H256" s="9" t="n">
        <v>680</v>
      </c>
      <c r="I256" s="9" t="inlineStr">
        <is>
          <t>Bench Bat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3">
        <f>SUMPRODUCT(M256:X256,$M$2:$X$2)*$K256*$L256</f>
        <v/>
      </c>
      <c r="Z256" s="14">
        <f>SUM(M256:X256)</f>
        <v/>
      </c>
      <c r="AA256" s="14">
        <f>IFERROR(IF(UPPER($E256)="L",SUMPRODUCT(M256:X256,$M$3:$X$3,$M$2:$X$2),SUMPRODUCT(M256:X256,$M$4:$X$4,$M$2:$X$2))/(Y256/($K256*$L256)),"")</f>
        <v/>
      </c>
      <c r="AB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n"/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3">
        <f>SUMPRODUCT(M257:X257,$M$2:$X$2)*$K257*$L257</f>
        <v/>
      </c>
      <c r="Z257" s="14">
        <f>SUM(M257:X257)</f>
        <v/>
      </c>
      <c r="AA257" s="14">
        <f>IFERROR(IF(UPPER($E257)="L",SUMPRODUCT(M257:X257,$M$3:$X$3,$M$2:$X$2),SUMPRODUCT(M257:X257,$M$4:$X$4,$M$2:$X$2))/(Y257/($K257*$L257)),"")</f>
        <v/>
      </c>
      <c r="AB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n"/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3">
        <f>SUMPRODUCT(M258:X258,$M$2:$X$2)*$K258*$L258</f>
        <v/>
      </c>
      <c r="Z258" s="14">
        <f>SUM(M258:X258)</f>
        <v/>
      </c>
      <c r="AA258" s="14">
        <f>IFERROR(IF(UPPER($E258)="L",SUMPRODUCT(M258:X258,$M$3:$X$3,$M$2:$X$2),SUMPRODUCT(M258:X258,$M$4:$X$4,$M$2:$X$2))/(Y258/($K258*$L258)),"")</f>
        <v/>
      </c>
      <c r="AB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n"/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3">
        <f>SUMPRODUCT(M259:X259,$M$2:$X$2)*$K259*$L259</f>
        <v/>
      </c>
      <c r="Z259" s="14">
        <f>SUM(M259:X259)</f>
        <v/>
      </c>
      <c r="AA259" s="14">
        <f>IFERROR(IF(UPPER($E259)="L",SUMPRODUCT(M259:X259,$M$3:$X$3,$M$2:$X$2),SUMPRODUCT(M259:X259,$M$4:$X$4,$M$2:$X$2))/(Y259/($K259*$L259)),"")</f>
        <v/>
      </c>
      <c r="AB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n"/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3">
        <f>SUMPRODUCT(M260:X260,$M$2:$X$2)*$K260*$L260</f>
        <v/>
      </c>
      <c r="Z260" s="14">
        <f>SUM(M260:X260)</f>
        <v/>
      </c>
      <c r="AA260" s="14">
        <f>IFERROR(IF(UPPER($E260)="L",SUMPRODUCT(M260:X260,$M$3:$X$3,$M$2:$X$2),SUMPRODUCT(M260:X260,$M$4:$X$4,$M$2:$X$2))/(Y260/($K260*$L260)),"")</f>
        <v/>
      </c>
      <c r="AB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n"/>
      <c r="G261" s="9" t="n">
        <v>371</v>
      </c>
      <c r="H261" s="9" t="n">
        <v>2218</v>
      </c>
      <c r="I261" s="9" t="inlineStr">
        <is>
          <t>Utility OF / 4th OF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3">
        <f>SUMPRODUCT(M261:X261,$M$2:$X$2)*$K261*$L261</f>
        <v/>
      </c>
      <c r="Z261" s="14">
        <f>SUM(M261:X261)</f>
        <v/>
      </c>
      <c r="AA261" s="14">
        <f>IFERROR(IF(UPPER($E261)="L",SUMPRODUCT(M261:X261,$M$3:$X$3,$M$2:$X$2),SUMPRODUCT(M261:X261,$M$4:$X$4,$M$2:$X$2))/(Y261/($K261*$L261)),"")</f>
        <v/>
      </c>
      <c r="AB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n"/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3">
        <f>SUMPRODUCT(M262:X262,$M$2:$X$2)*$K262*$L262</f>
        <v/>
      </c>
      <c r="Z262" s="14">
        <f>SUM(M262:X262)</f>
        <v/>
      </c>
      <c r="AA262" s="14">
        <f>IFERROR(IF(UPPER($E262)="L",SUMPRODUCT(M262:X262,$M$3:$X$3,$M$2:$X$2),SUMPRODUCT(M262:X262,$M$4:$X$4,$M$2:$X$2))/(Y262/($K262*$L262)),"")</f>
        <v/>
      </c>
      <c r="AB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n"/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3">
        <f>SUMPRODUCT(M263:X263,$M$2:$X$2)*$K263*$L263</f>
        <v/>
      </c>
      <c r="Z263" s="14">
        <f>SUM(M263:X263)</f>
        <v/>
      </c>
      <c r="AA263" s="14">
        <f>IFERROR(IF(UPPER($E263)="L",SUMPRODUCT(M263:X263,$M$3:$X$3,$M$2:$X$2),SUMPRODUCT(M263:X263,$M$4:$X$4,$M$2:$X$2))/(Y263/($K263*$L263)),"")</f>
        <v/>
      </c>
      <c r="AB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3">
        <f>SUMPRODUCT(M264:X264,$M$2:$X$2)*$K264*$L264</f>
        <v/>
      </c>
      <c r="Z264" s="14">
        <f>SUM(M264:X264)</f>
        <v/>
      </c>
      <c r="AA264" s="14">
        <f>IFERROR(IF(UPPER($E264)="L",SUMPRODUCT(M264:X264,$M$3:$X$3,$M$2:$X$2),SUMPRODUCT(M264:X264,$M$4:$X$4,$M$2:$X$2))/(Y264/($K264*$L264)),"")</f>
        <v/>
      </c>
      <c r="AB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n"/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3">
        <f>SUMPRODUCT(M265:X265,$M$2:$X$2)*$K265*$L265</f>
        <v/>
      </c>
      <c r="Z265" s="14">
        <f>SUM(M265:X265)</f>
        <v/>
      </c>
      <c r="AA265" s="14">
        <f>IFERROR(IF(UPPER($E265)="L",SUMPRODUCT(M265:X265,$M$3:$X$3,$M$2:$X$2),SUMPRODUCT(M265:X265,$M$4:$X$4,$M$2:$X$2))/(Y265/($K265*$L265)),"")</f>
        <v/>
      </c>
      <c r="AB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3">
        <f>SUMPRODUCT(M266:X266,$M$2:$X$2)*$K266*$L266</f>
        <v/>
      </c>
      <c r="Z266" s="14">
        <f>SUM(M266:X266)</f>
        <v/>
      </c>
      <c r="AA266" s="14">
        <f>IFERROR(IF(UPPER($E266)="L",SUMPRODUCT(M266:X266,$M$3:$X$3,$M$2:$X$2),SUMPRODUCT(M266:X266,$M$4:$X$4,$M$2:$X$2))/(Y266/($K266*$L266)),"")</f>
        <v/>
      </c>
      <c r="AB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25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3">
        <f>SUMPRODUCT(M267:X267,$M$2:$X$2)*$K267*$L267</f>
        <v/>
      </c>
      <c r="Z267" s="14">
        <f>SUM(M267:X267)</f>
        <v/>
      </c>
      <c r="AA267" s="14">
        <f>IFERROR(IF(UPPER($E267)="L",SUMPRODUCT(M267:X267,$M$3:$X$3,$M$2:$X$2),SUMPRODUCT(M267:X267,$M$4:$X$4,$M$2:$X$2))/(Y267/($K267*$L267)),"")</f>
        <v/>
      </c>
      <c r="AB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n"/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3">
        <f>SUMPRODUCT(M268:X268,$M$2:$X$2)*$K268*$L268</f>
        <v/>
      </c>
      <c r="Z268" s="14">
        <f>SUM(M268:X268)</f>
        <v/>
      </c>
      <c r="AA268" s="14">
        <f>IFERROR(IF(UPPER($E268)="L",SUMPRODUCT(M268:X268,$M$3:$X$3,$M$2:$X$2),SUMPRODUCT(M268:X268,$M$4:$X$4,$M$2:$X$2))/(Y268/($K268*$L268)),"")</f>
        <v/>
      </c>
      <c r="AB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n"/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3">
        <f>SUMPRODUCT(M269:X269,$M$2:$X$2)*$K269*$L269</f>
        <v/>
      </c>
      <c r="Z269" s="14">
        <f>SUM(M269:X269)</f>
        <v/>
      </c>
      <c r="AA269" s="14">
        <f>IFERROR(IF(UPPER($E269)="L",SUMPRODUCT(M269:X269,$M$3:$X$3,$M$2:$X$2),SUMPRODUCT(M269:X269,$M$4:$X$4,$M$2:$X$2))/(Y269/($K269*$L269)),"")</f>
        <v/>
      </c>
      <c r="AB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3">
        <f>SUMPRODUCT(M270:X270,$M$2:$X$2)*$K270*$L270</f>
        <v/>
      </c>
      <c r="Z270" s="14">
        <f>SUM(M270:X270)</f>
        <v/>
      </c>
      <c r="AA270" s="14">
        <f>IFERROR(IF(UPPER($E270)="L",SUMPRODUCT(M270:X270,$M$3:$X$3,$M$2:$X$2),SUMPRODUCT(M270:X270,$M$4:$X$4,$M$2:$X$2))/(Y270/($K270*$L270)),"")</f>
        <v/>
      </c>
      <c r="AB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n"/>
      <c r="G271" s="9" t="n">
        <v>330</v>
      </c>
      <c r="H271" s="9" t="n">
        <v>357</v>
      </c>
      <c r="I271" s="9" t="inlineStr">
        <is>
          <t>Utility OF / 4th OF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3">
        <f>SUMPRODUCT(M271:X271,$M$2:$X$2)*$K271*$L271</f>
        <v/>
      </c>
      <c r="Z271" s="14">
        <f>SUM(M271:X271)</f>
        <v/>
      </c>
      <c r="AA271" s="14">
        <f>IFERROR(IF(UPPER($E271)="L",SUMPRODUCT(M271:X271,$M$3:$X$3,$M$2:$X$2),SUMPRODUCT(M271:X271,$M$4:$X$4,$M$2:$X$2))/(Y271/($K271*$L271)),"")</f>
        <v/>
      </c>
      <c r="AB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n"/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3">
        <f>SUMPRODUCT(M272:X272,$M$2:$X$2)*$K272*$L272</f>
        <v/>
      </c>
      <c r="Z272" s="14">
        <f>SUM(M272:X272)</f>
        <v/>
      </c>
      <c r="AA272" s="14">
        <f>IFERROR(IF(UPPER($E272)="L",SUMPRODUCT(M272:X272,$M$3:$X$3,$M$2:$X$2),SUMPRODUCT(M272:X272,$M$4:$X$4,$M$2:$X$2))/(Y272/($K272*$L272)),"")</f>
        <v/>
      </c>
      <c r="AB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25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3">
        <f>SUMPRODUCT(M273:X273,$M$2:$X$2)*$K273*$L273</f>
        <v/>
      </c>
      <c r="Z273" s="14">
        <f>SUM(M273:X273)</f>
        <v/>
      </c>
      <c r="AA273" s="14">
        <f>IFERROR(IF(UPPER($E273)="L",SUMPRODUCT(M273:X273,$M$3:$X$3,$M$2:$X$2),SUMPRODUCT(M273:X273,$M$4:$X$4,$M$2:$X$2))/(Y273/($K273*$L273)),"")</f>
        <v/>
      </c>
      <c r="AB273" s="18" t="n"/>
    </row>
    <row r="274">
      <c r="A274" s="9" t="n">
        <v>502110</v>
      </c>
      <c r="B274" s="9" t="inlineStr">
        <is>
          <t>J.D. Martinez</t>
        </is>
      </c>
      <c r="C274" s="9" t="inlineStr">
        <is>
          <t>NYM</t>
        </is>
      </c>
      <c r="D274" s="9" t="n">
        <v>39</v>
      </c>
      <c r="E274" s="16" t="inlineStr">
        <is>
          <t>R</t>
        </is>
      </c>
      <c r="F274" s="16" t="n"/>
      <c r="G274" s="9" t="n">
        <v>495</v>
      </c>
      <c r="H274" s="9" t="n">
        <v>1570</v>
      </c>
      <c r="I274" s="9" t="inlineStr">
        <is>
          <t>Depth (no MLB PA)</t>
        </is>
      </c>
      <c r="J274" s="16" t="inlineStr">
        <is>
          <t>Opening Day</t>
        </is>
      </c>
      <c r="K274" s="11">
        <f>IFERROR(INDEX(Roles!$B$17:$B$20,MATCH(J274,Roles!$A$17:$A$20,0)),1)</f>
        <v/>
      </c>
      <c r="L274" s="17" t="n">
        <v>1</v>
      </c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3">
        <f>SUMPRODUCT(M274:X274,$M$2:$X$2)*$K274*$L274</f>
        <v/>
      </c>
      <c r="Z274" s="14">
        <f>SUM(M274:X274)</f>
        <v/>
      </c>
      <c r="AA274" s="14">
        <f>IFERROR(IF(UPPER($E274)="L",SUMPRODUCT(M274:X274,$M$3:$X$3,$M$2:$X$2),SUMPRODUCT(M274:X274,$M$4:$X$4,$M$2:$X$2))/(Y274/($K274*$L274)),"")</f>
        <v/>
      </c>
      <c r="AB274" s="18" t="n"/>
    </row>
    <row r="275">
      <c r="A275" s="9" t="n">
        <v>696486</v>
      </c>
      <c r="B275" s="9" t="inlineStr">
        <is>
          <t>James Tibbs III</t>
        </is>
      </c>
      <c r="C275" s="9" t="inlineStr">
        <is>
          <t>LAD</t>
        </is>
      </c>
      <c r="D275" s="9" t="n">
        <v>25</v>
      </c>
      <c r="E275" s="16" t="inlineStr">
        <is>
          <t>L</t>
        </is>
      </c>
      <c r="F275" s="16" t="n"/>
      <c r="G275" s="9" t="n">
        <v>355.948717948718</v>
      </c>
      <c r="H275" s="9" t="n">
        <v>355.948717948718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3">
        <f>SUMPRODUCT(M275:X275,$M$2:$X$2)*$K275*$L275</f>
        <v/>
      </c>
      <c r="Z275" s="14">
        <f>SUM(M275:X275)</f>
        <v/>
      </c>
      <c r="AA275" s="14">
        <f>IFERROR(IF(UPPER($E275)="L",SUMPRODUCT(M275:X275,$M$3:$X$3,$M$2:$X$2),SUMPRODUCT(M275:X275,$M$4:$X$4,$M$2:$X$2))/(Y275/($K275*$L275)),"")</f>
        <v/>
      </c>
      <c r="AB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n"/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3">
        <f>SUMPRODUCT(M276:X276,$M$2:$X$2)*$K276*$L276</f>
        <v/>
      </c>
      <c r="Z276" s="14">
        <f>SUM(M276:X276)</f>
        <v/>
      </c>
      <c r="AA276" s="14">
        <f>IFERROR(IF(UPPER($E276)="L",SUMPRODUCT(M276:X276,$M$3:$X$3,$M$2:$X$2),SUMPRODUCT(M276:X276,$M$4:$X$4,$M$2:$X$2))/(Y276/($K276*$L276)),"")</f>
        <v/>
      </c>
      <c r="AB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n"/>
      <c r="G277" s="9" t="n">
        <v>526</v>
      </c>
      <c r="H277" s="9" t="n">
        <v>2483</v>
      </c>
      <c r="I277" s="9" t="inlineStr">
        <is>
          <t>Full Time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3">
        <f>SUMPRODUCT(M277:X277,$M$2:$X$2)*$K277*$L277</f>
        <v/>
      </c>
      <c r="Z277" s="14">
        <f>SUM(M277:X277)</f>
        <v/>
      </c>
      <c r="AA277" s="14">
        <f>IFERROR(IF(UPPER($E277)="L",SUMPRODUCT(M277:X277,$M$3:$X$3,$M$2:$X$2),SUMPRODUCT(M277:X277,$M$4:$X$4,$M$2:$X$2))/(Y277/($K277*$L277)),"")</f>
        <v/>
      </c>
      <c r="AB277" s="18" t="n"/>
    </row>
    <row r="278">
      <c r="A278" s="9" t="n">
        <v>672820</v>
      </c>
      <c r="B278" s="9" t="inlineStr">
        <is>
          <t>Lenyn Sosa</t>
        </is>
      </c>
      <c r="C278" s="9" t="inlineStr">
        <is>
          <t>TOR</t>
        </is>
      </c>
      <c r="D278" s="9" t="n">
        <v>27</v>
      </c>
      <c r="E278" s="16" t="inlineStr">
        <is>
          <t>R</t>
        </is>
      </c>
      <c r="F278" s="16" t="n"/>
      <c r="G278" s="9" t="n">
        <v>117</v>
      </c>
      <c r="H278" s="9" t="n">
        <v>1239</v>
      </c>
      <c r="I278" s="9" t="inlineStr">
        <is>
          <t>Full Time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3">
        <f>SUMPRODUCT(M278:X278,$M$2:$X$2)*$K278*$L278</f>
        <v/>
      </c>
      <c r="Z278" s="14">
        <f>SUM(M278:X278)</f>
        <v/>
      </c>
      <c r="AA278" s="14">
        <f>IFERROR(IF(UPPER($E278)="L",SUMPRODUCT(M278:X278,$M$3:$X$3,$M$2:$X$2),SUMPRODUCT(M278:X278,$M$4:$X$4,$M$2:$X$2))/(Y278/($K278*$L278)),"")</f>
        <v/>
      </c>
      <c r="AB278" s="18" t="n"/>
    </row>
    <row r="279">
      <c r="A279" s="9" t="n">
        <v>687221</v>
      </c>
      <c r="B279" s="9" t="inlineStr">
        <is>
          <t>Dalton Rushing</t>
        </is>
      </c>
      <c r="C279" s="9" t="inlineStr">
        <is>
          <t>LAD</t>
        </is>
      </c>
      <c r="D279" s="9" t="n">
        <v>26</v>
      </c>
      <c r="E279" s="16" t="inlineStr">
        <is>
          <t>L</t>
        </is>
      </c>
      <c r="F279" s="16" t="n"/>
      <c r="G279" s="9" t="n">
        <v>253</v>
      </c>
      <c r="H279" s="9" t="n">
        <v>408</v>
      </c>
      <c r="I279" s="9" t="inlineStr">
        <is>
          <t>Utility OF / 4th OF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3">
        <f>SUMPRODUCT(M279:X279,$M$2:$X$2)*$K279*$L279</f>
        <v/>
      </c>
      <c r="Z279" s="14">
        <f>SUM(M279:X279)</f>
        <v/>
      </c>
      <c r="AA279" s="14">
        <f>IFERROR(IF(UPPER($E279)="L",SUMPRODUCT(M279:X279,$M$3:$X$3,$M$2:$X$2),SUMPRODUCT(M279:X279,$M$4:$X$4,$M$2:$X$2))/(Y279/($K279*$L279)),"")</f>
        <v/>
      </c>
      <c r="AB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n"/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3">
        <f>SUMPRODUCT(M280:X280,$M$2:$X$2)*$K280*$L280</f>
        <v/>
      </c>
      <c r="Z280" s="14">
        <f>SUM(M280:X280)</f>
        <v/>
      </c>
      <c r="AA280" s="14">
        <f>IFERROR(IF(UPPER($E280)="L",SUMPRODUCT(M280:X280,$M$3:$X$3,$M$2:$X$2),SUMPRODUCT(M280:X280,$M$4:$X$4,$M$2:$X$2))/(Y280/($K280*$L280)),"")</f>
        <v/>
      </c>
      <c r="AB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n"/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3">
        <f>SUMPRODUCT(M281:X281,$M$2:$X$2)*$K281*$L281</f>
        <v/>
      </c>
      <c r="Z281" s="14">
        <f>SUM(M281:X281)</f>
        <v/>
      </c>
      <c r="AA281" s="14">
        <f>IFERROR(IF(UPPER($E281)="L",SUMPRODUCT(M281:X281,$M$3:$X$3,$M$2:$X$2),SUMPRODUCT(M281:X281,$M$4:$X$4,$M$2:$X$2))/(Y281/($K281*$L281)),"")</f>
        <v/>
      </c>
      <c r="AB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3">
        <f>SUMPRODUCT(M282:X282,$M$2:$X$2)*$K282*$L282</f>
        <v/>
      </c>
      <c r="Z282" s="14">
        <f>SUM(M282:X282)</f>
        <v/>
      </c>
      <c r="AA282" s="14">
        <f>IFERROR(IF(UPPER($E282)="L",SUMPRODUCT(M282:X282,$M$3:$X$3,$M$2:$X$2),SUMPRODUCT(M282:X282,$M$4:$X$4,$M$2:$X$2))/(Y282/($K282*$L282)),"")</f>
        <v/>
      </c>
      <c r="AB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25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Depth (no MLB PA)</t>
        </is>
      </c>
      <c r="J283" s="16" t="inlineStr">
        <is>
          <t>Opening Day</t>
        </is>
      </c>
      <c r="K283" s="11">
        <f>IFERROR(INDEX(Roles!$B$17:$B$20,MATCH(J283,Roles!$A$17:$A$20,0)),1)</f>
        <v/>
      </c>
      <c r="L283" s="17" t="n">
        <v>1</v>
      </c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3">
        <f>SUMPRODUCT(M283:X283,$M$2:$X$2)*$K283*$L283</f>
        <v/>
      </c>
      <c r="Z283" s="14">
        <f>SUM(M283:X283)</f>
        <v/>
      </c>
      <c r="AA283" s="14">
        <f>IFERROR(IF(UPPER($E283)="L",SUMPRODUCT(M283:X283,$M$3:$X$3,$M$2:$X$2),SUMPRODUCT(M283:X283,$M$4:$X$4,$M$2:$X$2))/(Y283/($K283*$L283)),"")</f>
        <v/>
      </c>
      <c r="AB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3">
        <f>SUMPRODUCT(M284:X284,$M$2:$X$2)*$K284*$L284</f>
        <v/>
      </c>
      <c r="Z284" s="14">
        <f>SUM(M284:X284)</f>
        <v/>
      </c>
      <c r="AA284" s="14">
        <f>IFERROR(IF(UPPER($E284)="L",SUMPRODUCT(M284:X284,$M$3:$X$3,$M$2:$X$2),SUMPRODUCT(M284:X284,$M$4:$X$4,$M$2:$X$2))/(Y284/($K284*$L284)),"")</f>
        <v/>
      </c>
      <c r="AB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25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3">
        <f>SUMPRODUCT(M285:X285,$M$2:$X$2)*$K285*$L285</f>
        <v/>
      </c>
      <c r="Z285" s="14">
        <f>SUM(M285:X285)</f>
        <v/>
      </c>
      <c r="AA285" s="14">
        <f>IFERROR(IF(UPPER($E285)="L",SUMPRODUCT(M285:X285,$M$3:$X$3,$M$2:$X$2),SUMPRODUCT(M285:X285,$M$4:$X$4,$M$2:$X$2))/(Y285/($K285*$L285)),"")</f>
        <v/>
      </c>
      <c r="AB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n"/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3">
        <f>SUMPRODUCT(M286:X286,$M$2:$X$2)*$K286*$L286</f>
        <v/>
      </c>
      <c r="Z286" s="14">
        <f>SUM(M286:X286)</f>
        <v/>
      </c>
      <c r="AA286" s="14">
        <f>IFERROR(IF(UPPER($E286)="L",SUMPRODUCT(M286:X286,$M$3:$X$3,$M$2:$X$2),SUMPRODUCT(M286:X286,$M$4:$X$4,$M$2:$X$2))/(Y286/($K286*$L286)),"")</f>
        <v/>
      </c>
      <c r="AB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n"/>
      <c r="G287" s="9" t="n">
        <v>118</v>
      </c>
      <c r="H287" s="9" t="n">
        <v>126</v>
      </c>
      <c r="I287" s="9" t="inlineStr">
        <is>
          <t>Bench Bat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3">
        <f>SUMPRODUCT(M287:X287,$M$2:$X$2)*$K287*$L287</f>
        <v/>
      </c>
      <c r="Z287" s="14">
        <f>SUM(M287:X287)</f>
        <v/>
      </c>
      <c r="AA287" s="14">
        <f>IFERROR(IF(UPPER($E287)="L",SUMPRODUCT(M287:X287,$M$3:$X$3,$M$2:$X$2),SUMPRODUCT(M287:X287,$M$4:$X$4,$M$2:$X$2))/(Y287/($K287*$L287)),"")</f>
        <v/>
      </c>
      <c r="AB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25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Depth (no MLB PA)</t>
        </is>
      </c>
      <c r="J288" s="16" t="inlineStr">
        <is>
          <t>Opening Day</t>
        </is>
      </c>
      <c r="K288" s="11">
        <f>IFERROR(INDEX(Roles!$B$17:$B$20,MATCH(J288,Roles!$A$17:$A$20,0)),1)</f>
        <v/>
      </c>
      <c r="L288" s="17" t="n">
        <v>1</v>
      </c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3">
        <f>SUMPRODUCT(M288:X288,$M$2:$X$2)*$K288*$L288</f>
        <v/>
      </c>
      <c r="Z288" s="14">
        <f>SUM(M288:X288)</f>
        <v/>
      </c>
      <c r="AA288" s="14">
        <f>IFERROR(IF(UPPER($E288)="L",SUMPRODUCT(M288:X288,$M$3:$X$3,$M$2:$X$2),SUMPRODUCT(M288:X288,$M$4:$X$4,$M$2:$X$2))/(Y288/($K288*$L288)),"")</f>
        <v/>
      </c>
      <c r="AB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n"/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3">
        <f>SUMPRODUCT(M289:X289,$M$2:$X$2)*$K289*$L289</f>
        <v/>
      </c>
      <c r="Z289" s="14">
        <f>SUM(M289:X289)</f>
        <v/>
      </c>
      <c r="AA289" s="14">
        <f>IFERROR(IF(UPPER($E289)="L",SUMPRODUCT(M289:X289,$M$3:$X$3,$M$2:$X$2),SUMPRODUCT(M289:X289,$M$4:$X$4,$M$2:$X$2))/(Y289/($K289*$L289)),"")</f>
        <v/>
      </c>
      <c r="AB289" s="18" t="n"/>
    </row>
    <row r="290">
      <c r="A290" s="9" t="n">
        <v>687627</v>
      </c>
      <c r="B290" s="9" t="inlineStr">
        <is>
          <t>Kody Huff</t>
        </is>
      </c>
      <c r="C290" s="9" t="inlineStr">
        <is>
          <t>CLE</t>
        </is>
      </c>
      <c r="D290" s="9" t="n">
        <v>25</v>
      </c>
      <c r="E290" s="16" t="inlineStr">
        <is>
          <t>R</t>
        </is>
      </c>
      <c r="F290" s="16" t="n"/>
      <c r="G290" s="9" t="n">
        <v>274.1538461538462</v>
      </c>
      <c r="H290" s="9" t="n">
        <v>274.1538461538462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3">
        <f>SUMPRODUCT(M290:X290,$M$2:$X$2)*$K290*$L290</f>
        <v/>
      </c>
      <c r="Z290" s="14">
        <f>SUM(M290:X290)</f>
        <v/>
      </c>
      <c r="AA290" s="14">
        <f>IFERROR(IF(UPPER($E290)="L",SUMPRODUCT(M290:X290,$M$3:$X$3,$M$2:$X$2),SUMPRODUCT(M290:X290,$M$4:$X$4,$M$2:$X$2))/(Y290/($K290*$L290)),"")</f>
        <v/>
      </c>
      <c r="AB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3">
        <f>SUMPRODUCT(M291:X291,$M$2:$X$2)*$K291*$L291</f>
        <v/>
      </c>
      <c r="Z291" s="14">
        <f>SUM(M291:X291)</f>
        <v/>
      </c>
      <c r="AA291" s="14">
        <f>IFERROR(IF(UPPER($E291)="L",SUMPRODUCT(M291:X291,$M$3:$X$3,$M$2:$X$2),SUMPRODUCT(M291:X291,$M$4:$X$4,$M$2:$X$2))/(Y291/($K291*$L291)),"")</f>
        <v/>
      </c>
      <c r="AB291" s="18" t="n"/>
    </row>
    <row r="292">
      <c r="A292" s="9" t="n">
        <v>673995</v>
      </c>
      <c r="B292" s="9" t="inlineStr">
        <is>
          <t>Davis Wendzel</t>
        </is>
      </c>
      <c r="C292" s="9" t="inlineStr">
        <is>
          <t>TEX</t>
        </is>
      </c>
      <c r="D292" s="9" t="n">
        <v>30</v>
      </c>
      <c r="E292" s="16" t="inlineStr">
        <is>
          <t>R</t>
        </is>
      </c>
      <c r="F292" s="16" t="n"/>
      <c r="G292" s="9" t="n">
        <v>4</v>
      </c>
      <c r="H292" s="9" t="n">
        <v>53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3">
        <f>SUMPRODUCT(M292:X292,$M$2:$X$2)*$K292*$L292</f>
        <v/>
      </c>
      <c r="Z292" s="14">
        <f>SUM(M292:X292)</f>
        <v/>
      </c>
      <c r="AA292" s="14">
        <f>IFERROR(IF(UPPER($E292)="L",SUMPRODUCT(M292:X292,$M$3:$X$3,$M$2:$X$2),SUMPRODUCT(M292:X292,$M$4:$X$4,$M$2:$X$2))/(Y292/($K292*$L292)),"")</f>
        <v/>
      </c>
      <c r="AB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25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Depth (no MLB PA)</t>
        </is>
      </c>
      <c r="J293" s="16" t="inlineStr">
        <is>
          <t>Opening Day</t>
        </is>
      </c>
      <c r="K293" s="11">
        <f>IFERROR(INDEX(Roles!$B$17:$B$20,MATCH(J293,Roles!$A$17:$A$20,0)),1)</f>
        <v/>
      </c>
      <c r="L293" s="17" t="n">
        <v>1</v>
      </c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3">
        <f>SUMPRODUCT(M293:X293,$M$2:$X$2)*$K293*$L293</f>
        <v/>
      </c>
      <c r="Z293" s="14">
        <f>SUM(M293:X293)</f>
        <v/>
      </c>
      <c r="AA293" s="14">
        <f>IFERROR(IF(UPPER($E293)="L",SUMPRODUCT(M293:X293,$M$3:$X$3,$M$2:$X$2),SUMPRODUCT(M293:X293,$M$4:$X$4,$M$2:$X$2))/(Y293/($K293*$L293)),"")</f>
        <v/>
      </c>
      <c r="AB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3">
        <f>SUMPRODUCT(M294:X294,$M$2:$X$2)*$K294*$L294</f>
        <v/>
      </c>
      <c r="Z294" s="14">
        <f>SUM(M294:X294)</f>
        <v/>
      </c>
      <c r="AA294" s="14">
        <f>IFERROR(IF(UPPER($E294)="L",SUMPRODUCT(M294:X294,$M$3:$X$3,$M$2:$X$2),SUMPRODUCT(M294:X294,$M$4:$X$4,$M$2:$X$2))/(Y294/($K294*$L294)),"")</f>
        <v/>
      </c>
      <c r="AB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n"/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3">
        <f>SUMPRODUCT(M295:X295,$M$2:$X$2)*$K295*$L295</f>
        <v/>
      </c>
      <c r="Z295" s="14">
        <f>SUM(M295:X295)</f>
        <v/>
      </c>
      <c r="AA295" s="14">
        <f>IFERROR(IF(UPPER($E295)="L",SUMPRODUCT(M295:X295,$M$3:$X$3,$M$2:$X$2),SUMPRODUCT(M295:X295,$M$4:$X$4,$M$2:$X$2))/(Y295/($K295*$L295)),"")</f>
        <v/>
      </c>
      <c r="AB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3">
        <f>SUMPRODUCT(M296:X296,$M$2:$X$2)*$K296*$L296</f>
        <v/>
      </c>
      <c r="Z296" s="14">
        <f>SUM(M296:X296)</f>
        <v/>
      </c>
      <c r="AA296" s="14">
        <f>IFERROR(IF(UPPER($E296)="L",SUMPRODUCT(M296:X296,$M$3:$X$3,$M$2:$X$2),SUMPRODUCT(M296:X296,$M$4:$X$4,$M$2:$X$2))/(Y296/($K296*$L296)),"")</f>
        <v/>
      </c>
      <c r="AB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n"/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3">
        <f>SUMPRODUCT(M297:X297,$M$2:$X$2)*$K297*$L297</f>
        <v/>
      </c>
      <c r="Z297" s="14">
        <f>SUM(M297:X297)</f>
        <v/>
      </c>
      <c r="AA297" s="14">
        <f>IFERROR(IF(UPPER($E297)="L",SUMPRODUCT(M297:X297,$M$3:$X$3,$M$2:$X$2),SUMPRODUCT(M297:X297,$M$4:$X$4,$M$2:$X$2))/(Y297/($K297*$L297)),"")</f>
        <v/>
      </c>
      <c r="AB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3">
        <f>SUMPRODUCT(M298:X298,$M$2:$X$2)*$K298*$L298</f>
        <v/>
      </c>
      <c r="Z298" s="14">
        <f>SUM(M298:X298)</f>
        <v/>
      </c>
      <c r="AA298" s="14">
        <f>IFERROR(IF(UPPER($E298)="L",SUMPRODUCT(M298:X298,$M$3:$X$3,$M$2:$X$2),SUMPRODUCT(M298:X298,$M$4:$X$4,$M$2:$X$2))/(Y298/($K298*$L298)),"")</f>
        <v/>
      </c>
      <c r="AB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3">
        <f>SUMPRODUCT(M299:X299,$M$2:$X$2)*$K299*$L299</f>
        <v/>
      </c>
      <c r="Z299" s="14">
        <f>SUM(M299:X299)</f>
        <v/>
      </c>
      <c r="AA299" s="14">
        <f>IFERROR(IF(UPPER($E299)="L",SUMPRODUCT(M299:X299,$M$3:$X$3,$M$2:$X$2),SUMPRODUCT(M299:X299,$M$4:$X$4,$M$2:$X$2))/(Y299/($K299*$L299)),"")</f>
        <v/>
      </c>
      <c r="AB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n"/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3">
        <f>SUMPRODUCT(M300:X300,$M$2:$X$2)*$K300*$L300</f>
        <v/>
      </c>
      <c r="Z300" s="14">
        <f>SUM(M300:X300)</f>
        <v/>
      </c>
      <c r="AA300" s="14">
        <f>IFERROR(IF(UPPER($E300)="L",SUMPRODUCT(M300:X300,$M$3:$X$3,$M$2:$X$2),SUMPRODUCT(M300:X300,$M$4:$X$4,$M$2:$X$2))/(Y300/($K300*$L300)),"")</f>
        <v/>
      </c>
      <c r="AB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n"/>
      <c r="G301" s="9" t="n">
        <v>144</v>
      </c>
      <c r="H301" s="9" t="n">
        <v>441</v>
      </c>
      <c r="I301" s="9" t="inlineStr">
        <is>
          <t>Utility OF / 4th OF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3">
        <f>SUMPRODUCT(M301:X301,$M$2:$X$2)*$K301*$L301</f>
        <v/>
      </c>
      <c r="Z301" s="14">
        <f>SUM(M301:X301)</f>
        <v/>
      </c>
      <c r="AA301" s="14">
        <f>IFERROR(IF(UPPER($E301)="L",SUMPRODUCT(M301:X301,$M$3:$X$3,$M$2:$X$2),SUMPRODUCT(M301:X301,$M$4:$X$4,$M$2:$X$2))/(Y301/($K301*$L301)),"")</f>
        <v/>
      </c>
      <c r="AB301" s="18" t="n"/>
    </row>
    <row r="302">
      <c r="A302" s="9" t="n">
        <v>624512</v>
      </c>
      <c r="B302" s="9" t="inlineStr">
        <is>
          <t>Reese McGuire</t>
        </is>
      </c>
      <c r="C302" s="9" t="inlineStr">
        <is>
          <t>CWS</t>
        </is>
      </c>
      <c r="D302" s="9" t="n">
        <v>32</v>
      </c>
      <c r="E302" s="16" t="inlineStr">
        <is>
          <t>L</t>
        </is>
      </c>
      <c r="F302" s="16" t="n"/>
      <c r="G302" s="9" t="n">
        <v>34</v>
      </c>
      <c r="H302" s="9" t="n">
        <v>812</v>
      </c>
      <c r="I302" s="9" t="inlineStr">
        <is>
          <t>Bench Bat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3">
        <f>SUMPRODUCT(M302:X302,$M$2:$X$2)*$K302*$L302</f>
        <v/>
      </c>
      <c r="Z302" s="14">
        <f>SUM(M302:X302)</f>
        <v/>
      </c>
      <c r="AA302" s="14">
        <f>IFERROR(IF(UPPER($E302)="L",SUMPRODUCT(M302:X302,$M$3:$X$3,$M$2:$X$2),SUMPRODUCT(M302:X302,$M$4:$X$4,$M$2:$X$2))/(Y302/($K302*$L302)),"")</f>
        <v/>
      </c>
      <c r="AB302" s="18" t="n"/>
    </row>
    <row r="303">
      <c r="A303" s="9" t="n">
        <v>804995</v>
      </c>
      <c r="B303" s="9" t="inlineStr">
        <is>
          <t>Henry Godbout</t>
        </is>
      </c>
      <c r="C303" s="9" t="inlineStr">
        <is>
          <t>BOS</t>
        </is>
      </c>
      <c r="D303" s="9" t="n">
        <v>25</v>
      </c>
      <c r="E303" s="16" t="inlineStr">
        <is>
          <t>R</t>
        </is>
      </c>
      <c r="F303" s="16" t="n"/>
      <c r="G303" s="9" t="n">
        <v>34.1025641025641</v>
      </c>
      <c r="H303" s="9" t="n">
        <v>34.1025641025641</v>
      </c>
      <c r="I303" s="9" t="inlineStr">
        <is>
          <t>Depth (no MLB PA)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3">
        <f>SUMPRODUCT(M303:X303,$M$2:$X$2)*$K303*$L303</f>
        <v/>
      </c>
      <c r="Z303" s="14">
        <f>SUM(M303:X303)</f>
        <v/>
      </c>
      <c r="AA303" s="14">
        <f>IFERROR(IF(UPPER($E303)="L",SUMPRODUCT(M303:X303,$M$3:$X$3,$M$2:$X$2),SUMPRODUCT(M303:X303,$M$4:$X$4,$M$2:$X$2))/(Y303/($K303*$L303)),"")</f>
        <v/>
      </c>
      <c r="AB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25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Depth (no MLB PA)</t>
        </is>
      </c>
      <c r="J304" s="16" t="inlineStr">
        <is>
          <t>Opening Day</t>
        </is>
      </c>
      <c r="K304" s="11">
        <f>IFERROR(INDEX(Roles!$B$17:$B$20,MATCH(J304,Roles!$A$17:$A$20,0)),1)</f>
        <v/>
      </c>
      <c r="L304" s="17" t="n">
        <v>1</v>
      </c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3">
        <f>SUMPRODUCT(M304:X304,$M$2:$X$2)*$K304*$L304</f>
        <v/>
      </c>
      <c r="Z304" s="14">
        <f>SUM(M304:X304)</f>
        <v/>
      </c>
      <c r="AA304" s="14">
        <f>IFERROR(IF(UPPER($E304)="L",SUMPRODUCT(M304:X304,$M$3:$X$3,$M$2:$X$2),SUMPRODUCT(M304:X304,$M$4:$X$4,$M$2:$X$2))/(Y304/($K304*$L304)),"")</f>
        <v/>
      </c>
      <c r="AB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n"/>
      <c r="G305" s="9" t="n">
        <v>315</v>
      </c>
      <c r="H305" s="9" t="n">
        <v>2094</v>
      </c>
      <c r="I305" s="9" t="inlineStr">
        <is>
          <t>Full Time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3">
        <f>SUMPRODUCT(M305:X305,$M$2:$X$2)*$K305*$L305</f>
        <v/>
      </c>
      <c r="Z305" s="14">
        <f>SUM(M305:X305)</f>
        <v/>
      </c>
      <c r="AA305" s="14">
        <f>IFERROR(IF(UPPER($E305)="L",SUMPRODUCT(M305:X305,$M$3:$X$3,$M$2:$X$2),SUMPRODUCT(M305:X305,$M$4:$X$4,$M$2:$X$2))/(Y305/($K305*$L305)),"")</f>
        <v/>
      </c>
      <c r="AB305" s="18" t="n"/>
    </row>
    <row r="306">
      <c r="A306" s="9" t="n">
        <v>455117</v>
      </c>
      <c r="B306" s="9" t="inlineStr">
        <is>
          <t>Martín Maldonado</t>
        </is>
      </c>
      <c r="C306" s="9" t="inlineStr">
        <is>
          <t>SD</t>
        </is>
      </c>
      <c r="D306" s="9" t="n">
        <v>40</v>
      </c>
      <c r="E306" s="16" t="inlineStr">
        <is>
          <t>R</t>
        </is>
      </c>
      <c r="F306" s="16" t="n"/>
      <c r="G306" s="9" t="n">
        <v>161</v>
      </c>
      <c r="H306" s="9" t="n">
        <v>1094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  <c r="V306" s="17" t="n"/>
      <c r="W306" s="17" t="n"/>
      <c r="X306" s="17" t="n"/>
      <c r="Y306" s="13">
        <f>SUMPRODUCT(M306:X306,$M$2:$X$2)*$K306*$L306</f>
        <v/>
      </c>
      <c r="Z306" s="14">
        <f>SUM(M306:X306)</f>
        <v/>
      </c>
      <c r="AA306" s="14">
        <f>IFERROR(IF(UPPER($E306)="L",SUMPRODUCT(M306:X306,$M$3:$X$3,$M$2:$X$2),SUMPRODUCT(M306:X306,$M$4:$X$4,$M$2:$X$2))/(Y306/($K306*$L306)),"")</f>
        <v/>
      </c>
      <c r="AB306" s="18" t="n"/>
    </row>
    <row r="307">
      <c r="A307" s="9" t="n">
        <v>657757</v>
      </c>
      <c r="B307" s="9" t="inlineStr">
        <is>
          <t>Gavin Sheets</t>
        </is>
      </c>
      <c r="C307" s="9" t="inlineStr">
        <is>
          <t>SD</t>
        </is>
      </c>
      <c r="D307" s="9" t="n">
        <v>31</v>
      </c>
      <c r="E307" s="16" t="inlineStr">
        <is>
          <t>L</t>
        </is>
      </c>
      <c r="F307" s="16" t="n"/>
      <c r="G307" s="9" t="n">
        <v>419</v>
      </c>
      <c r="H307" s="9" t="n">
        <v>2219</v>
      </c>
      <c r="I307" s="9" t="inlineStr">
        <is>
          <t>Full Time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  <c r="V307" s="17" t="n"/>
      <c r="W307" s="17" t="n"/>
      <c r="X307" s="17" t="n"/>
      <c r="Y307" s="13">
        <f>SUMPRODUCT(M307:X307,$M$2:$X$2)*$K307*$L307</f>
        <v/>
      </c>
      <c r="Z307" s="14">
        <f>SUM(M307:X307)</f>
        <v/>
      </c>
      <c r="AA307" s="14">
        <f>IFERROR(IF(UPPER($E307)="L",SUMPRODUCT(M307:X307,$M$3:$X$3,$M$2:$X$2),SUMPRODUCT(M307:X307,$M$4:$X$4,$M$2:$X$2))/(Y307/($K307*$L307)),"")</f>
        <v/>
      </c>
      <c r="AB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n"/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3">
        <f>SUMPRODUCT(M308:X308,$M$2:$X$2)*$K308*$L308</f>
        <v/>
      </c>
      <c r="Z308" s="14">
        <f>SUM(M308:X308)</f>
        <v/>
      </c>
      <c r="AA308" s="14">
        <f>IFERROR(IF(UPPER($E308)="L",SUMPRODUCT(M308:X308,$M$3:$X$3,$M$2:$X$2),SUMPRODUCT(M308:X308,$M$4:$X$4,$M$2:$X$2))/(Y308/($K308*$L308)),"")</f>
        <v/>
      </c>
      <c r="AB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3">
        <f>SUMPRODUCT(M309:X309,$M$2:$X$2)*$K309*$L309</f>
        <v/>
      </c>
      <c r="Z309" s="14">
        <f>SUM(M309:X309)</f>
        <v/>
      </c>
      <c r="AA309" s="14">
        <f>IFERROR(IF(UPPER($E309)="L",SUMPRODUCT(M309:X309,$M$3:$X$3,$M$2:$X$2),SUMPRODUCT(M309:X309,$M$4:$X$4,$M$2:$X$2))/(Y309/($K309*$L309)),"")</f>
        <v/>
      </c>
      <c r="AB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n"/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3">
        <f>SUMPRODUCT(M310:X310,$M$2:$X$2)*$K310*$L310</f>
        <v/>
      </c>
      <c r="Z310" s="14">
        <f>SUM(M310:X310)</f>
        <v/>
      </c>
      <c r="AA310" s="14">
        <f>IFERROR(IF(UPPER($E310)="L",SUMPRODUCT(M310:X310,$M$3:$X$3,$M$2:$X$2),SUMPRODUCT(M310:X310,$M$4:$X$4,$M$2:$X$2))/(Y310/($K310*$L310)),"")</f>
        <v/>
      </c>
      <c r="AB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3">
        <f>SUMPRODUCT(M311:X311,$M$2:$X$2)*$K311*$L311</f>
        <v/>
      </c>
      <c r="Z311" s="14">
        <f>SUM(M311:X311)</f>
        <v/>
      </c>
      <c r="AA311" s="14">
        <f>IFERROR(IF(UPPER($E311)="L",SUMPRODUCT(M311:X311,$M$3:$X$3,$M$2:$X$2),SUMPRODUCT(M311:X311,$M$4:$X$4,$M$2:$X$2))/(Y311/($K311*$L311)),"")</f>
        <v/>
      </c>
      <c r="AB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n"/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/>
      <c r="X312" s="17" t="n"/>
      <c r="Y312" s="13">
        <f>SUMPRODUCT(M312:X312,$M$2:$X$2)*$K312*$L312</f>
        <v/>
      </c>
      <c r="Z312" s="14">
        <f>SUM(M312:X312)</f>
        <v/>
      </c>
      <c r="AA312" s="14">
        <f>IFERROR(IF(UPPER($E312)="L",SUMPRODUCT(M312:X312,$M$3:$X$3,$M$2:$X$2),SUMPRODUCT(M312:X312,$M$4:$X$4,$M$2:$X$2))/(Y312/($K312*$L312)),"")</f>
        <v/>
      </c>
      <c r="AB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n"/>
      <c r="G313" s="9" t="n">
        <v>330</v>
      </c>
      <c r="H313" s="9" t="n">
        <v>330</v>
      </c>
      <c r="I313" s="9" t="inlineStr">
        <is>
          <t>Utility OF / 4th OF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  <c r="V313" s="17" t="n"/>
      <c r="W313" s="17" t="n"/>
      <c r="X313" s="17" t="n"/>
      <c r="Y313" s="13">
        <f>SUMPRODUCT(M313:X313,$M$2:$X$2)*$K313*$L313</f>
        <v/>
      </c>
      <c r="Z313" s="14">
        <f>SUM(M313:X313)</f>
        <v/>
      </c>
      <c r="AA313" s="14">
        <f>IFERROR(IF(UPPER($E313)="L",SUMPRODUCT(M313:X313,$M$3:$X$3,$M$2:$X$2),SUMPRODUCT(M313:X313,$M$4:$X$4,$M$2:$X$2))/(Y313/($K313*$L313)),"")</f>
        <v/>
      </c>
      <c r="AB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n"/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3">
        <f>SUMPRODUCT(M314:X314,$M$2:$X$2)*$K314*$L314</f>
        <v/>
      </c>
      <c r="Z314" s="14">
        <f>SUM(M314:X314)</f>
        <v/>
      </c>
      <c r="AA314" s="14">
        <f>IFERROR(IF(UPPER($E314)="L",SUMPRODUCT(M314:X314,$M$3:$X$3,$M$2:$X$2),SUMPRODUCT(M314:X314,$M$4:$X$4,$M$2:$X$2))/(Y314/($K314*$L314)),"")</f>
        <v/>
      </c>
      <c r="AB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n"/>
      <c r="G315" s="9" t="n">
        <v>96</v>
      </c>
      <c r="H315" s="9" t="n">
        <v>1655</v>
      </c>
      <c r="I315" s="9" t="inlineStr">
        <is>
          <t>Utility OF / 4th OF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  <c r="V315" s="17" t="n"/>
      <c r="W315" s="17" t="n"/>
      <c r="X315" s="17" t="n"/>
      <c r="Y315" s="13">
        <f>SUMPRODUCT(M315:X315,$M$2:$X$2)*$K315*$L315</f>
        <v/>
      </c>
      <c r="Z315" s="14">
        <f>SUM(M315:X315)</f>
        <v/>
      </c>
      <c r="AA315" s="14">
        <f>IFERROR(IF(UPPER($E315)="L",SUMPRODUCT(M315:X315,$M$3:$X$3,$M$2:$X$2),SUMPRODUCT(M315:X315,$M$4:$X$4,$M$2:$X$2))/(Y315/($K315*$L315)),"")</f>
        <v/>
      </c>
      <c r="AB315" s="18" t="n"/>
    </row>
    <row r="316">
      <c r="A316" s="9" t="n">
        <v>691792</v>
      </c>
      <c r="B316" s="9" t="inlineStr">
        <is>
          <t>Roc Riggio</t>
        </is>
      </c>
      <c r="C316" s="9" t="inlineStr">
        <is>
          <t>COL</t>
        </is>
      </c>
      <c r="D316" s="9" t="n">
        <v>25</v>
      </c>
      <c r="E316" s="16" t="inlineStr">
        <is>
          <t>L</t>
        </is>
      </c>
      <c r="F316" s="16" t="n"/>
      <c r="G316" s="9" t="n">
        <v>56.41025641025642</v>
      </c>
      <c r="H316" s="9" t="n">
        <v>56.41025641025642</v>
      </c>
      <c r="I316" s="9" t="inlineStr">
        <is>
          <t>Depth (no MLB PA)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  <c r="V316" s="17" t="n"/>
      <c r="W316" s="17" t="n"/>
      <c r="X316" s="17" t="n"/>
      <c r="Y316" s="13">
        <f>SUMPRODUCT(M316:X316,$M$2:$X$2)*$K316*$L316</f>
        <v/>
      </c>
      <c r="Z316" s="14">
        <f>SUM(M316:X316)</f>
        <v/>
      </c>
      <c r="AA316" s="14">
        <f>IFERROR(IF(UPPER($E316)="L",SUMPRODUCT(M316:X316,$M$3:$X$3,$M$2:$X$2),SUMPRODUCT(M316:X316,$M$4:$X$4,$M$2:$X$2))/(Y316/($K316*$L316)),"")</f>
        <v/>
      </c>
      <c r="AB316" s="18" t="n"/>
    </row>
    <row r="317">
      <c r="A317" s="9" t="n">
        <v>656537</v>
      </c>
      <c r="B317" s="9" t="inlineStr">
        <is>
          <t>Derek Hill</t>
        </is>
      </c>
      <c r="C317" s="9" t="inlineStr">
        <is>
          <t>PHI</t>
        </is>
      </c>
      <c r="D317" s="9" t="n">
        <v>31</v>
      </c>
      <c r="E317" s="16" t="inlineStr">
        <is>
          <t>R</t>
        </is>
      </c>
      <c r="F317" s="16" t="n"/>
      <c r="G317" s="9" t="n">
        <v>216</v>
      </c>
      <c r="H317" s="9" t="n">
        <v>679</v>
      </c>
      <c r="I317" s="9" t="inlineStr">
        <is>
          <t>Bench Bat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3">
        <f>SUMPRODUCT(M317:X317,$M$2:$X$2)*$K317*$L317</f>
        <v/>
      </c>
      <c r="Z317" s="14">
        <f>SUM(M317:X317)</f>
        <v/>
      </c>
      <c r="AA317" s="14">
        <f>IFERROR(IF(UPPER($E317)="L",SUMPRODUCT(M317:X317,$M$3:$X$3,$M$2:$X$2),SUMPRODUCT(M317:X317,$M$4:$X$4,$M$2:$X$2))/(Y317/($K317*$L317)),"")</f>
        <v/>
      </c>
      <c r="AB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n"/>
      <c r="G318" s="9" t="n">
        <v>166</v>
      </c>
      <c r="H318" s="9" t="n">
        <v>166</v>
      </c>
      <c r="I318" s="9" t="inlineStr">
        <is>
          <t>Bench Bat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3">
        <f>SUMPRODUCT(M318:X318,$M$2:$X$2)*$K318*$L318</f>
        <v/>
      </c>
      <c r="Z318" s="14">
        <f>SUM(M318:X318)</f>
        <v/>
      </c>
      <c r="AA318" s="14">
        <f>IFERROR(IF(UPPER($E318)="L",SUMPRODUCT(M318:X318,$M$3:$X$3,$M$2:$X$2),SUMPRODUCT(M318:X318,$M$4:$X$4,$M$2:$X$2))/(Y318/($K318*$L318)),"")</f>
        <v/>
      </c>
      <c r="AB318" s="18" t="n"/>
    </row>
    <row r="319">
      <c r="A319" s="9" t="n">
        <v>703156</v>
      </c>
      <c r="B319" s="9" t="inlineStr">
        <is>
          <t>Tony Blanco Jr.</t>
        </is>
      </c>
      <c r="C319" s="9" t="inlineStr">
        <is>
          <t>PIT</t>
        </is>
      </c>
      <c r="D319" s="9" t="n">
        <v>25</v>
      </c>
      <c r="E319" s="16" t="inlineStr">
        <is>
          <t>R</t>
        </is>
      </c>
      <c r="F319" s="16" t="n"/>
      <c r="G319" s="9" t="n">
        <v>67.48717948717949</v>
      </c>
      <c r="H319" s="9" t="n">
        <v>67.48717948717949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3">
        <f>SUMPRODUCT(M319:X319,$M$2:$X$2)*$K319*$L319</f>
        <v/>
      </c>
      <c r="Z319" s="14">
        <f>SUM(M319:X319)</f>
        <v/>
      </c>
      <c r="AA319" s="14">
        <f>IFERROR(IF(UPPER($E319)="L",SUMPRODUCT(M319:X319,$M$3:$X$3,$M$2:$X$2),SUMPRODUCT(M319:X319,$M$4:$X$4,$M$2:$X$2))/(Y319/($K319*$L319)),"")</f>
        <v/>
      </c>
      <c r="AB319" s="18" t="n"/>
    </row>
    <row r="320">
      <c r="A320" s="9" t="n">
        <v>694224</v>
      </c>
      <c r="B320" s="9" t="inlineStr">
        <is>
          <t>Gabriel Gonzalez</t>
        </is>
      </c>
      <c r="C320" s="9" t="inlineStr">
        <is>
          <t>MIN</t>
        </is>
      </c>
      <c r="D320" s="9" t="n">
        <v>23</v>
      </c>
      <c r="E320" s="16" t="inlineStr">
        <is>
          <t>R</t>
        </is>
      </c>
      <c r="F320" s="16" t="n"/>
      <c r="G320" s="9" t="n">
        <v>11</v>
      </c>
      <c r="H320" s="9" t="n">
        <v>11</v>
      </c>
      <c r="I320" s="9" t="inlineStr">
        <is>
          <t>Depth (no MLB PA)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3">
        <f>SUMPRODUCT(M320:X320,$M$2:$X$2)*$K320*$L320</f>
        <v/>
      </c>
      <c r="Z320" s="14">
        <f>SUM(M320:X320)</f>
        <v/>
      </c>
      <c r="AA320" s="14">
        <f>IFERROR(IF(UPPER($E320)="L",SUMPRODUCT(M320:X320,$M$3:$X$3,$M$2:$X$2),SUMPRODUCT(M320:X320,$M$4:$X$4,$M$2:$X$2))/(Y320/($K320*$L320)),"")</f>
        <v/>
      </c>
      <c r="AB320" s="18" t="n"/>
    </row>
    <row r="321">
      <c r="A321" s="9" t="n">
        <v>703477</v>
      </c>
      <c r="B321" s="9" t="inlineStr">
        <is>
          <t>Brooks Brannon</t>
        </is>
      </c>
      <c r="C321" s="9" t="inlineStr">
        <is>
          <t>BOS</t>
        </is>
      </c>
      <c r="D321" s="9" t="n">
        <v>25</v>
      </c>
      <c r="E321" s="16" t="inlineStr">
        <is>
          <t>R</t>
        </is>
      </c>
      <c r="F321" s="16" t="n"/>
      <c r="G321" s="9" t="n">
        <v>139.6410256410256</v>
      </c>
      <c r="H321" s="9" t="n">
        <v>139.6410256410256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3">
        <f>SUMPRODUCT(M321:X321,$M$2:$X$2)*$K321*$L321</f>
        <v/>
      </c>
      <c r="Z321" s="14">
        <f>SUM(M321:X321)</f>
        <v/>
      </c>
      <c r="AA321" s="14">
        <f>IFERROR(IF(UPPER($E321)="L",SUMPRODUCT(M321:X321,$M$3:$X$3,$M$2:$X$2),SUMPRODUCT(M321:X321,$M$4:$X$4,$M$2:$X$2))/(Y321/($K321*$L321)),"")</f>
        <v/>
      </c>
      <c r="AB321" s="18" t="n"/>
    </row>
    <row r="322">
      <c r="A322" s="9" t="n">
        <v>814436</v>
      </c>
      <c r="B322" s="9" t="inlineStr">
        <is>
          <t>Ryan Galanie</t>
        </is>
      </c>
      <c r="C322" s="9" t="inlineStr">
        <is>
          <t>CWS</t>
        </is>
      </c>
      <c r="D322" s="9" t="n">
        <v>25</v>
      </c>
      <c r="E322" s="16" t="inlineStr">
        <is>
          <t>R</t>
        </is>
      </c>
      <c r="F322" s="16" t="n"/>
      <c r="G322" s="9" t="n">
        <v>230.1538461538462</v>
      </c>
      <c r="H322" s="9" t="n">
        <v>230.1538461538462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3">
        <f>SUMPRODUCT(M322:X322,$M$2:$X$2)*$K322*$L322</f>
        <v/>
      </c>
      <c r="Z322" s="14">
        <f>SUM(M322:X322)</f>
        <v/>
      </c>
      <c r="AA322" s="14">
        <f>IFERROR(IF(UPPER($E322)="L",SUMPRODUCT(M322:X322,$M$3:$X$3,$M$2:$X$2),SUMPRODUCT(M322:X322,$M$4:$X$4,$M$2:$X$2))/(Y322/($K322*$L322)),"")</f>
        <v/>
      </c>
      <c r="AB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n"/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3">
        <f>SUMPRODUCT(M323:X323,$M$2:$X$2)*$K323*$L323</f>
        <v/>
      </c>
      <c r="Z323" s="14">
        <f>SUM(M323:X323)</f>
        <v/>
      </c>
      <c r="AA323" s="14">
        <f>IFERROR(IF(UPPER($E323)="L",SUMPRODUCT(M323:X323,$M$3:$X$3,$M$2:$X$2),SUMPRODUCT(M323:X323,$M$4:$X$4,$M$2:$X$2))/(Y323/($K323*$L323)),"")</f>
        <v/>
      </c>
      <c r="AB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n"/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3">
        <f>SUMPRODUCT(M324:X324,$M$2:$X$2)*$K324*$L324</f>
        <v/>
      </c>
      <c r="Z324" s="14">
        <f>SUM(M324:X324)</f>
        <v/>
      </c>
      <c r="AA324" s="14">
        <f>IFERROR(IF(UPPER($E324)="L",SUMPRODUCT(M324:X324,$M$3:$X$3,$M$2:$X$2),SUMPRODUCT(M324:X324,$M$4:$X$4,$M$2:$X$2))/(Y324/($K324*$L324)),"")</f>
        <v/>
      </c>
      <c r="AB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3">
        <f>SUMPRODUCT(M325:X325,$M$2:$X$2)*$K325*$L325</f>
        <v/>
      </c>
      <c r="Z325" s="14">
        <f>SUM(M325:X325)</f>
        <v/>
      </c>
      <c r="AA325" s="14">
        <f>IFERROR(IF(UPPER($E325)="L",SUMPRODUCT(M325:X325,$M$3:$X$3,$M$2:$X$2),SUMPRODUCT(M325:X325,$M$4:$X$4,$M$2:$X$2))/(Y325/($K325*$L325)),"")</f>
        <v/>
      </c>
      <c r="AB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3">
        <f>SUMPRODUCT(M326:X326,$M$2:$X$2)*$K326*$L326</f>
        <v/>
      </c>
      <c r="Z326" s="14">
        <f>SUM(M326:X326)</f>
        <v/>
      </c>
      <c r="AA326" s="14">
        <f>IFERROR(IF(UPPER($E326)="L",SUMPRODUCT(M326:X326,$M$3:$X$3,$M$2:$X$2),SUMPRODUCT(M326:X326,$M$4:$X$4,$M$2:$X$2))/(Y326/($K326*$L326)),"")</f>
        <v/>
      </c>
      <c r="AB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n"/>
      <c r="G327" s="9" t="n">
        <v>500</v>
      </c>
      <c r="H327" s="9" t="n">
        <v>2762</v>
      </c>
      <c r="I327" s="9" t="inlineStr">
        <is>
          <t>Full Time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3">
        <f>SUMPRODUCT(M327:X327,$M$2:$X$2)*$K327*$L327</f>
        <v/>
      </c>
      <c r="Z327" s="14">
        <f>SUM(M327:X327)</f>
        <v/>
      </c>
      <c r="AA327" s="14">
        <f>IFERROR(IF(UPPER($E327)="L",SUMPRODUCT(M327:X327,$M$3:$X$3,$M$2:$X$2),SUMPRODUCT(M327:X327,$M$4:$X$4,$M$2:$X$2))/(Y327/($K327*$L327)),"")</f>
        <v/>
      </c>
      <c r="AB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n"/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3">
        <f>SUMPRODUCT(M328:X328,$M$2:$X$2)*$K328*$L328</f>
        <v/>
      </c>
      <c r="Z328" s="14">
        <f>SUM(M328:X328)</f>
        <v/>
      </c>
      <c r="AA328" s="14">
        <f>IFERROR(IF(UPPER($E328)="L",SUMPRODUCT(M328:X328,$M$3:$X$3,$M$2:$X$2),SUMPRODUCT(M328:X328,$M$4:$X$4,$M$2:$X$2))/(Y328/($K328*$L328)),"")</f>
        <v/>
      </c>
      <c r="AB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n"/>
      <c r="G329" s="9" t="n">
        <v>372</v>
      </c>
      <c r="H329" s="9" t="n">
        <v>372</v>
      </c>
      <c r="I329" s="9" t="inlineStr">
        <is>
          <t>Utility OF / 4th OF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3">
        <f>SUMPRODUCT(M329:X329,$M$2:$X$2)*$K329*$L329</f>
        <v/>
      </c>
      <c r="Z329" s="14">
        <f>SUM(M329:X329)</f>
        <v/>
      </c>
      <c r="AA329" s="14">
        <f>IFERROR(IF(UPPER($E329)="L",SUMPRODUCT(M329:X329,$M$3:$X$3,$M$2:$X$2),SUMPRODUCT(M329:X329,$M$4:$X$4,$M$2:$X$2))/(Y329/($K329*$L329)),"")</f>
        <v/>
      </c>
      <c r="AB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n"/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3">
        <f>SUMPRODUCT(M330:X330,$M$2:$X$2)*$K330*$L330</f>
        <v/>
      </c>
      <c r="Z330" s="14">
        <f>SUM(M330:X330)</f>
        <v/>
      </c>
      <c r="AA330" s="14">
        <f>IFERROR(IF(UPPER($E330)="L",SUMPRODUCT(M330:X330,$M$3:$X$3,$M$2:$X$2),SUMPRODUCT(M330:X330,$M$4:$X$4,$M$2:$X$2))/(Y330/($K330*$L330)),"")</f>
        <v/>
      </c>
      <c r="AB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3">
        <f>SUMPRODUCT(M331:X331,$M$2:$X$2)*$K331*$L331</f>
        <v/>
      </c>
      <c r="Z331" s="14">
        <f>SUM(M331:X331)</f>
        <v/>
      </c>
      <c r="AA331" s="14">
        <f>IFERROR(IF(UPPER($E331)="L",SUMPRODUCT(M331:X331,$M$3:$X$3,$M$2:$X$2),SUMPRODUCT(M331:X331,$M$4:$X$4,$M$2:$X$2))/(Y331/($K331*$L331)),"")</f>
        <v/>
      </c>
      <c r="AB331" s="18" t="n"/>
    </row>
    <row r="332">
      <c r="A332" s="9" t="n">
        <v>681351</v>
      </c>
      <c r="B332" s="9" t="inlineStr">
        <is>
          <t>Logan O'Hoppe</t>
        </is>
      </c>
      <c r="C332" s="9" t="inlineStr">
        <is>
          <t>TEX</t>
        </is>
      </c>
      <c r="D332" s="9" t="n">
        <v>27</v>
      </c>
      <c r="E332" s="16" t="inlineStr">
        <is>
          <t>R</t>
        </is>
      </c>
      <c r="F332" s="16" t="n"/>
      <c r="G332" s="9" t="n">
        <v>274</v>
      </c>
      <c r="H332" s="9" t="n">
        <v>1462</v>
      </c>
      <c r="I332" s="9" t="inlineStr">
        <is>
          <t>Full Time</t>
        </is>
      </c>
      <c r="J332" s="16" t="inlineStr">
        <is>
          <t>Opening Day</t>
        </is>
      </c>
      <c r="K332" s="11">
        <f>IFERROR(INDEX(Roles!$B$17:$B$20,MATCH(J332,Roles!$A$17:$A$20,0)),1)</f>
        <v/>
      </c>
      <c r="L332" s="17" t="n">
        <v>1</v>
      </c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3">
        <f>SUMPRODUCT(M332:X332,$M$2:$X$2)*$K332*$L332</f>
        <v/>
      </c>
      <c r="Z332" s="14">
        <f>SUM(M332:X332)</f>
        <v/>
      </c>
      <c r="AA332" s="14">
        <f>IFERROR(IF(UPPER($E332)="L",SUMPRODUCT(M332:X332,$M$3:$X$3,$M$2:$X$2),SUMPRODUCT(M332:X332,$M$4:$X$4,$M$2:$X$2))/(Y332/($K332*$L332)),"")</f>
        <v/>
      </c>
      <c r="AB332" s="18" t="n"/>
    </row>
    <row r="333">
      <c r="A333" s="9" t="n">
        <v>814409</v>
      </c>
      <c r="B333" s="9" t="inlineStr">
        <is>
          <t>Seaver King</t>
        </is>
      </c>
      <c r="C333" s="9" t="inlineStr">
        <is>
          <t>WSH</t>
        </is>
      </c>
      <c r="D333" s="9" t="n">
        <v>25</v>
      </c>
      <c r="E333" s="16" t="inlineStr">
        <is>
          <t>R</t>
        </is>
      </c>
      <c r="F333" s="16" t="n"/>
      <c r="G333" s="9" t="n">
        <v>195.1794871794872</v>
      </c>
      <c r="H333" s="9" t="n">
        <v>195.1794871794872</v>
      </c>
      <c r="I333" s="9" t="inlineStr">
        <is>
          <t>Depth (no MLB PA)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3">
        <f>SUMPRODUCT(M333:X333,$M$2:$X$2)*$K333*$L333</f>
        <v/>
      </c>
      <c r="Z333" s="14">
        <f>SUM(M333:X333)</f>
        <v/>
      </c>
      <c r="AA333" s="14">
        <f>IFERROR(IF(UPPER($E333)="L",SUMPRODUCT(M333:X333,$M$3:$X$3,$M$2:$X$2),SUMPRODUCT(M333:X333,$M$4:$X$4,$M$2:$X$2))/(Y333/($K333*$L333)),"")</f>
        <v/>
      </c>
      <c r="AB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n"/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3">
        <f>SUMPRODUCT(M334:X334,$M$2:$X$2)*$K334*$L334</f>
        <v/>
      </c>
      <c r="Z334" s="14">
        <f>SUM(M334:X334)</f>
        <v/>
      </c>
      <c r="AA334" s="14">
        <f>IFERROR(IF(UPPER($E334)="L",SUMPRODUCT(M334:X334,$M$3:$X$3,$M$2:$X$2),SUMPRODUCT(M334:X334,$M$4:$X$4,$M$2:$X$2))/(Y334/($K334*$L334)),"")</f>
        <v/>
      </c>
      <c r="AB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3">
        <f>SUMPRODUCT(M335:X335,$M$2:$X$2)*$K335*$L335</f>
        <v/>
      </c>
      <c r="Z335" s="14">
        <f>SUM(M335:X335)</f>
        <v/>
      </c>
      <c r="AA335" s="14">
        <f>IFERROR(IF(UPPER($E335)="L",SUMPRODUCT(M335:X335,$M$3:$X$3,$M$2:$X$2),SUMPRODUCT(M335:X335,$M$4:$X$4,$M$2:$X$2))/(Y335/($K335*$L335)),"")</f>
        <v/>
      </c>
      <c r="AB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3">
        <f>SUMPRODUCT(M336:X336,$M$2:$X$2)*$K336*$L336</f>
        <v/>
      </c>
      <c r="Z336" s="14">
        <f>SUM(M336:X336)</f>
        <v/>
      </c>
      <c r="AA336" s="14">
        <f>IFERROR(IF(UPPER($E336)="L",SUMPRODUCT(M336:X336,$M$3:$X$3,$M$2:$X$2),SUMPRODUCT(M336:X336,$M$4:$X$4,$M$2:$X$2))/(Y336/($K336*$L336)),"")</f>
        <v/>
      </c>
      <c r="AB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n"/>
      <c r="G337" s="9" t="n">
        <v>425</v>
      </c>
      <c r="H337" s="9" t="n">
        <v>1664</v>
      </c>
      <c r="I337" s="9" t="inlineStr">
        <is>
          <t>Full Time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  <c r="V337" s="17" t="n"/>
      <c r="W337" s="17" t="n"/>
      <c r="X337" s="17" t="n"/>
      <c r="Y337" s="13">
        <f>SUMPRODUCT(M337:X337,$M$2:$X$2)*$K337*$L337</f>
        <v/>
      </c>
      <c r="Z337" s="14">
        <f>SUM(M337:X337)</f>
        <v/>
      </c>
      <c r="AA337" s="14">
        <f>IFERROR(IF(UPPER($E337)="L",SUMPRODUCT(M337:X337,$M$3:$X$3,$M$2:$X$2),SUMPRODUCT(M337:X337,$M$4:$X$4,$M$2:$X$2))/(Y337/($K337*$L337)),"")</f>
        <v/>
      </c>
      <c r="AB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n"/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3">
        <f>SUMPRODUCT(M338:X338,$M$2:$X$2)*$K338*$L338</f>
        <v/>
      </c>
      <c r="Z338" s="14">
        <f>SUM(M338:X338)</f>
        <v/>
      </c>
      <c r="AA338" s="14">
        <f>IFERROR(IF(UPPER($E338)="L",SUMPRODUCT(M338:X338,$M$3:$X$3,$M$2:$X$2),SUMPRODUCT(M338:X338,$M$4:$X$4,$M$2:$X$2))/(Y338/($K338*$L338)),"")</f>
        <v/>
      </c>
      <c r="AB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25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3">
        <f>SUMPRODUCT(M339:X339,$M$2:$X$2)*$K339*$L339</f>
        <v/>
      </c>
      <c r="Z339" s="14">
        <f>SUM(M339:X339)</f>
        <v/>
      </c>
      <c r="AA339" s="14">
        <f>IFERROR(IF(UPPER($E339)="L",SUMPRODUCT(M339:X339,$M$3:$X$3,$M$2:$X$2),SUMPRODUCT(M339:X339,$M$4:$X$4,$M$2:$X$2))/(Y339/($K339*$L339)),"")</f>
        <v/>
      </c>
      <c r="AB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n"/>
      <c r="G340" s="9" t="n">
        <v>105</v>
      </c>
      <c r="H340" s="9" t="n">
        <v>1875</v>
      </c>
      <c r="I340" s="9" t="inlineStr">
        <is>
          <t>Utility OF / 4th OF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  <c r="V340" s="17" t="n"/>
      <c r="W340" s="17" t="n"/>
      <c r="X340" s="17" t="n"/>
      <c r="Y340" s="13">
        <f>SUMPRODUCT(M340:X340,$M$2:$X$2)*$K340*$L340</f>
        <v/>
      </c>
      <c r="Z340" s="14">
        <f>SUM(M340:X340)</f>
        <v/>
      </c>
      <c r="AA340" s="14">
        <f>IFERROR(IF(UPPER($E340)="L",SUMPRODUCT(M340:X340,$M$3:$X$3,$M$2:$X$2),SUMPRODUCT(M340:X340,$M$4:$X$4,$M$2:$X$2))/(Y340/($K340*$L340)),"")</f>
        <v/>
      </c>
      <c r="AB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25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Depth (no MLB PA)</t>
        </is>
      </c>
      <c r="J341" s="16" t="inlineStr">
        <is>
          <t>Opening Day</t>
        </is>
      </c>
      <c r="K341" s="11">
        <f>IFERROR(INDEX(Roles!$B$17:$B$20,MATCH(J341,Roles!$A$17:$A$20,0)),1)</f>
        <v/>
      </c>
      <c r="L341" s="17" t="n">
        <v>1</v>
      </c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3">
        <f>SUMPRODUCT(M341:X341,$M$2:$X$2)*$K341*$L341</f>
        <v/>
      </c>
      <c r="Z341" s="14">
        <f>SUM(M341:X341)</f>
        <v/>
      </c>
      <c r="AA341" s="14">
        <f>IFERROR(IF(UPPER($E341)="L",SUMPRODUCT(M341:X341,$M$3:$X$3,$M$2:$X$2),SUMPRODUCT(M341:X341,$M$4:$X$4,$M$2:$X$2))/(Y341/($K341*$L341)),"")</f>
        <v/>
      </c>
      <c r="AB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n"/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3">
        <f>SUMPRODUCT(M342:X342,$M$2:$X$2)*$K342*$L342</f>
        <v/>
      </c>
      <c r="Z342" s="14">
        <f>SUM(M342:X342)</f>
        <v/>
      </c>
      <c r="AA342" s="14">
        <f>IFERROR(IF(UPPER($E342)="L",SUMPRODUCT(M342:X342,$M$3:$X$3,$M$2:$X$2),SUMPRODUCT(M342:X342,$M$4:$X$4,$M$2:$X$2))/(Y342/($K342*$L342)),"")</f>
        <v/>
      </c>
      <c r="AB342" s="18" t="n"/>
    </row>
    <row r="343">
      <c r="A343" s="9" t="n">
        <v>703177</v>
      </c>
      <c r="B343" s="9" t="inlineStr">
        <is>
          <t>Jhonny Severino</t>
        </is>
      </c>
      <c r="C343" s="9" t="inlineStr">
        <is>
          <t>PIT</t>
        </is>
      </c>
      <c r="D343" s="9" t="n">
        <v>25</v>
      </c>
      <c r="E343" s="16" t="inlineStr">
        <is>
          <t>R</t>
        </is>
      </c>
      <c r="F343" s="16" t="n"/>
      <c r="G343" s="9" t="n">
        <v>95.58974358974361</v>
      </c>
      <c r="H343" s="9" t="n">
        <v>95.58974358974361</v>
      </c>
      <c r="I343" s="9" t="inlineStr">
        <is>
          <t>Depth (no MLB PA)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3">
        <f>SUMPRODUCT(M343:X343,$M$2:$X$2)*$K343*$L343</f>
        <v/>
      </c>
      <c r="Z343" s="14">
        <f>SUM(M343:X343)</f>
        <v/>
      </c>
      <c r="AA343" s="14">
        <f>IFERROR(IF(UPPER($E343)="L",SUMPRODUCT(M343:X343,$M$3:$X$3,$M$2:$X$2),SUMPRODUCT(M343:X343,$M$4:$X$4,$M$2:$X$2))/(Y343/($K343*$L343)),"")</f>
        <v/>
      </c>
      <c r="AB343" s="18" t="n"/>
    </row>
    <row r="344">
      <c r="A344" s="9" t="n">
        <v>681393</v>
      </c>
      <c r="B344" s="9" t="inlineStr">
        <is>
          <t>Connor Norby</t>
        </is>
      </c>
      <c r="C344" s="9" t="inlineStr">
        <is>
          <t>COL</t>
        </is>
      </c>
      <c r="D344" s="9" t="n">
        <v>27</v>
      </c>
      <c r="E344" s="16" t="inlineStr">
        <is>
          <t>R</t>
        </is>
      </c>
      <c r="F344" s="16" t="n"/>
      <c r="G344" s="9" t="n">
        <v>383</v>
      </c>
      <c r="H344" s="9" t="n">
        <v>914</v>
      </c>
      <c r="I344" s="9" t="inlineStr">
        <is>
          <t>Utility OF / 4th OF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3">
        <f>SUMPRODUCT(M344:X344,$M$2:$X$2)*$K344*$L344</f>
        <v/>
      </c>
      <c r="Z344" s="14">
        <f>SUM(M344:X344)</f>
        <v/>
      </c>
      <c r="AA344" s="14">
        <f>IFERROR(IF(UPPER($E344)="L",SUMPRODUCT(M344:X344,$M$3:$X$3,$M$2:$X$2),SUMPRODUCT(M344:X344,$M$4:$X$4,$M$2:$X$2))/(Y344/($K344*$L344)),"")</f>
        <v/>
      </c>
      <c r="AB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3">
        <f>SUMPRODUCT(M345:X345,$M$2:$X$2)*$K345*$L345</f>
        <v/>
      </c>
      <c r="Z345" s="14">
        <f>SUM(M345:X345)</f>
        <v/>
      </c>
      <c r="AA345" s="14">
        <f>IFERROR(IF(UPPER($E345)="L",SUMPRODUCT(M345:X345,$M$3:$X$3,$M$2:$X$2),SUMPRODUCT(M345:X345,$M$4:$X$4,$M$2:$X$2))/(Y345/($K345*$L345)),"")</f>
        <v/>
      </c>
      <c r="AB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3">
        <f>SUMPRODUCT(M346:X346,$M$2:$X$2)*$K346*$L346</f>
        <v/>
      </c>
      <c r="Z346" s="14">
        <f>SUM(M346:X346)</f>
        <v/>
      </c>
      <c r="AA346" s="14">
        <f>IFERROR(IF(UPPER($E346)="L",SUMPRODUCT(M346:X346,$M$3:$X$3,$M$2:$X$2),SUMPRODUCT(M346:X346,$M$4:$X$4,$M$2:$X$2))/(Y346/($K346*$L346)),"")</f>
        <v/>
      </c>
      <c r="AB346" s="18" t="n"/>
    </row>
    <row r="347">
      <c r="A347" s="9" t="n">
        <v>677956</v>
      </c>
      <c r="B347" s="9" t="inlineStr">
        <is>
          <t>Rece Hinds</t>
        </is>
      </c>
      <c r="C347" s="9" t="inlineStr">
        <is>
          <t>BAL</t>
        </is>
      </c>
      <c r="D347" s="9" t="n">
        <v>26</v>
      </c>
      <c r="E347" s="16" t="inlineStr">
        <is>
          <t>R</t>
        </is>
      </c>
      <c r="F347" s="16" t="n"/>
      <c r="G347" s="9" t="n">
        <v>71</v>
      </c>
      <c r="H347" s="9" t="n">
        <v>166</v>
      </c>
      <c r="I347" s="9" t="inlineStr">
        <is>
          <t>Bench Bat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3">
        <f>SUMPRODUCT(M347:X347,$M$2:$X$2)*$K347*$L347</f>
        <v/>
      </c>
      <c r="Z347" s="14">
        <f>SUM(M347:X347)</f>
        <v/>
      </c>
      <c r="AA347" s="14">
        <f>IFERROR(IF(UPPER($E347)="L",SUMPRODUCT(M347:X347,$M$3:$X$3,$M$2:$X$2),SUMPRODUCT(M347:X347,$M$4:$X$4,$M$2:$X$2))/(Y347/($K347*$L347)),"")</f>
        <v/>
      </c>
      <c r="AB347" s="18" t="n"/>
    </row>
    <row r="348">
      <c r="A348" s="9" t="n">
        <v>668752</v>
      </c>
      <c r="B348" s="9" t="inlineStr">
        <is>
          <t>Duke Ellis</t>
        </is>
      </c>
      <c r="C348" s="9" t="inlineStr">
        <is>
          <t>NYY</t>
        </is>
      </c>
      <c r="D348" s="9" t="n">
        <v>29</v>
      </c>
      <c r="E348" s="16" t="inlineStr">
        <is>
          <t>L</t>
        </is>
      </c>
      <c r="F348" s="16" t="n"/>
      <c r="G348" s="9" t="n">
        <v>5</v>
      </c>
      <c r="H348" s="9" t="n">
        <v>5</v>
      </c>
      <c r="I348" s="9" t="inlineStr">
        <is>
          <t>Depth (no MLB PA)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/>
      <c r="W348" s="17" t="n"/>
      <c r="X348" s="17" t="n"/>
      <c r="Y348" s="13">
        <f>SUMPRODUCT(M348:X348,$M$2:$X$2)*$K348*$L348</f>
        <v/>
      </c>
      <c r="Z348" s="14">
        <f>SUM(M348:X348)</f>
        <v/>
      </c>
      <c r="AA348" s="14">
        <f>IFERROR(IF(UPPER($E348)="L",SUMPRODUCT(M348:X348,$M$3:$X$3,$M$2:$X$2),SUMPRODUCT(M348:X348,$M$4:$X$4,$M$2:$X$2))/(Y348/($K348*$L348)),"")</f>
        <v/>
      </c>
      <c r="AB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3">
        <f>SUMPRODUCT(M349:X349,$M$2:$X$2)*$K349*$L349</f>
        <v/>
      </c>
      <c r="Z349" s="14">
        <f>SUM(M349:X349)</f>
        <v/>
      </c>
      <c r="AA349" s="14">
        <f>IFERROR(IF(UPPER($E349)="L",SUMPRODUCT(M349:X349,$M$3:$X$3,$M$2:$X$2),SUMPRODUCT(M349:X349,$M$4:$X$4,$M$2:$X$2))/(Y349/($K349*$L349)),"")</f>
        <v/>
      </c>
      <c r="AB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3">
        <f>SUMPRODUCT(M350:X350,$M$2:$X$2)*$K350*$L350</f>
        <v/>
      </c>
      <c r="Z350" s="14">
        <f>SUM(M350:X350)</f>
        <v/>
      </c>
      <c r="AA350" s="14">
        <f>IFERROR(IF(UPPER($E350)="L",SUMPRODUCT(M350:X350,$M$3:$X$3,$M$2:$X$2),SUMPRODUCT(M350:X350,$M$4:$X$4,$M$2:$X$2))/(Y350/($K350*$L350)),"")</f>
        <v/>
      </c>
      <c r="AB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3">
        <f>SUMPRODUCT(M351:X351,$M$2:$X$2)*$K351*$L351</f>
        <v/>
      </c>
      <c r="Z351" s="14">
        <f>SUM(M351:X351)</f>
        <v/>
      </c>
      <c r="AA351" s="14">
        <f>IFERROR(IF(UPPER($E351)="L",SUMPRODUCT(M351:X351,$M$3:$X$3,$M$2:$X$2),SUMPRODUCT(M351:X351,$M$4:$X$4,$M$2:$X$2))/(Y351/($K351*$L351)),"")</f>
        <v/>
      </c>
      <c r="AB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n"/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3">
        <f>SUMPRODUCT(M352:X352,$M$2:$X$2)*$K352*$L352</f>
        <v/>
      </c>
      <c r="Z352" s="14">
        <f>SUM(M352:X352)</f>
        <v/>
      </c>
      <c r="AA352" s="14">
        <f>IFERROR(IF(UPPER($E352)="L",SUMPRODUCT(M352:X352,$M$3:$X$3,$M$2:$X$2),SUMPRODUCT(M352:X352,$M$4:$X$4,$M$2:$X$2))/(Y352/($K352*$L352)),"")</f>
        <v/>
      </c>
      <c r="AB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n"/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3">
        <f>SUMPRODUCT(M353:X353,$M$2:$X$2)*$K353*$L353</f>
        <v/>
      </c>
      <c r="Z353" s="14">
        <f>SUM(M353:X353)</f>
        <v/>
      </c>
      <c r="AA353" s="14">
        <f>IFERROR(IF(UPPER($E353)="L",SUMPRODUCT(M353:X353,$M$3:$X$3,$M$2:$X$2),SUMPRODUCT(M353:X353,$M$4:$X$4,$M$2:$X$2))/(Y353/($K353*$L353)),"")</f>
        <v/>
      </c>
      <c r="AB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n"/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3">
        <f>SUMPRODUCT(M354:X354,$M$2:$X$2)*$K354*$L354</f>
        <v/>
      </c>
      <c r="Z354" s="14">
        <f>SUM(M354:X354)</f>
        <v/>
      </c>
      <c r="AA354" s="14">
        <f>IFERROR(IF(UPPER($E354)="L",SUMPRODUCT(M354:X354,$M$3:$X$3,$M$2:$X$2),SUMPRODUCT(M354:X354,$M$4:$X$4,$M$2:$X$2))/(Y354/($K354*$L354)),"")</f>
        <v/>
      </c>
      <c r="AB354" s="18" t="n"/>
    </row>
    <row r="355">
      <c r="A355" s="9" t="n">
        <v>542194</v>
      </c>
      <c r="B355" s="9" t="inlineStr">
        <is>
          <t>Christian Bethancourt</t>
        </is>
      </c>
      <c r="C355" s="9" t="inlineStr">
        <is>
          <t>CHC</t>
        </is>
      </c>
      <c r="D355" s="9" t="n">
        <v>35</v>
      </c>
      <c r="E355" s="16" t="inlineStr">
        <is>
          <t>R</t>
        </is>
      </c>
      <c r="F355" s="16" t="n"/>
      <c r="G355" s="9" t="n">
        <v>147</v>
      </c>
      <c r="H355" s="9" t="n">
        <v>812</v>
      </c>
      <c r="I355" s="9" t="inlineStr">
        <is>
          <t>Depth (no MLB PA)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3">
        <f>SUMPRODUCT(M355:X355,$M$2:$X$2)*$K355*$L355</f>
        <v/>
      </c>
      <c r="Z355" s="14">
        <f>SUM(M355:X355)</f>
        <v/>
      </c>
      <c r="AA355" s="14">
        <f>IFERROR(IF(UPPER($E355)="L",SUMPRODUCT(M355:X355,$M$3:$X$3,$M$2:$X$2),SUMPRODUCT(M355:X355,$M$4:$X$4,$M$2:$X$2))/(Y355/($K355*$L355)),"")</f>
        <v/>
      </c>
      <c r="AB355" s="18" t="n"/>
    </row>
    <row r="356">
      <c r="A356" s="9" t="n">
        <v>671218</v>
      </c>
      <c r="B356" s="9" t="inlineStr">
        <is>
          <t>Heliot Ramos</t>
        </is>
      </c>
      <c r="C356" s="9" t="inlineStr">
        <is>
          <t>NYY</t>
        </is>
      </c>
      <c r="D356" s="9" t="n">
        <v>27</v>
      </c>
      <c r="E356" s="16" t="inlineStr">
        <is>
          <t>R</t>
        </is>
      </c>
      <c r="F356" s="16" t="n"/>
      <c r="G356" s="9" t="n">
        <v>442</v>
      </c>
      <c r="H356" s="9" t="n">
        <v>1737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3">
        <f>SUMPRODUCT(M356:X356,$M$2:$X$2)*$K356*$L356</f>
        <v/>
      </c>
      <c r="Z356" s="14">
        <f>SUM(M356:X356)</f>
        <v/>
      </c>
      <c r="AA356" s="14">
        <f>IFERROR(IF(UPPER($E356)="L",SUMPRODUCT(M356:X356,$M$3:$X$3,$M$2:$X$2),SUMPRODUCT(M356:X356,$M$4:$X$4,$M$2:$X$2))/(Y356/($K356*$L356)),"")</f>
        <v/>
      </c>
      <c r="AB356" s="18" t="n"/>
    </row>
    <row r="357">
      <c r="A357" s="9" t="n">
        <v>608070</v>
      </c>
      <c r="B357" s="9" t="inlineStr">
        <is>
          <t>José Ramírez</t>
        </is>
      </c>
      <c r="C357" s="9" t="inlineStr">
        <is>
          <t>CLE</t>
        </is>
      </c>
      <c r="D357" s="9" t="n">
        <v>34</v>
      </c>
      <c r="E357" s="16" t="inlineStr">
        <is>
          <t>S</t>
        </is>
      </c>
      <c r="F357" s="16" t="n"/>
      <c r="G357" s="9" t="n">
        <v>544</v>
      </c>
      <c r="H357" s="9" t="n">
        <v>3275</v>
      </c>
      <c r="I357" s="9" t="inlineStr">
        <is>
          <t>Full Time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3">
        <f>SUMPRODUCT(M357:X357,$M$2:$X$2)*$K357*$L357</f>
        <v/>
      </c>
      <c r="Z357" s="14">
        <f>SUM(M357:X357)</f>
        <v/>
      </c>
      <c r="AA357" s="14">
        <f>IFERROR(IF(UPPER($E357)="L",SUMPRODUCT(M357:X357,$M$3:$X$3,$M$2:$X$2),SUMPRODUCT(M357:X357,$M$4:$X$4,$M$2:$X$2))/(Y357/($K357*$L357)),"")</f>
        <v/>
      </c>
      <c r="AB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Depth (no MLB PA)</t>
        </is>
      </c>
      <c r="J358" s="16" t="inlineStr">
        <is>
          <t>Opening Day</t>
        </is>
      </c>
      <c r="K358" s="11">
        <f>IFERROR(INDEX(Roles!$B$17:$B$20,MATCH(J358,Roles!$A$17:$A$20,0)),1)</f>
        <v/>
      </c>
      <c r="L358" s="17" t="n">
        <v>1</v>
      </c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3">
        <f>SUMPRODUCT(M358:X358,$M$2:$X$2)*$K358*$L358</f>
        <v/>
      </c>
      <c r="Z358" s="14">
        <f>SUM(M358:X358)</f>
        <v/>
      </c>
      <c r="AA358" s="14">
        <f>IFERROR(IF(UPPER($E358)="L",SUMPRODUCT(M358:X358,$M$3:$X$3,$M$2:$X$2),SUMPRODUCT(M358:X358,$M$4:$X$4,$M$2:$X$2))/(Y358/($K358*$L358)),"")</f>
        <v/>
      </c>
      <c r="AB358" s="18" t="n"/>
    </row>
    <row r="359">
      <c r="A359" s="9" t="n">
        <v>572191</v>
      </c>
      <c r="B359" s="9" t="inlineStr">
        <is>
          <t>Michael A. Taylor</t>
        </is>
      </c>
      <c r="C359" s="9" t="inlineStr">
        <is>
          <t>CWS</t>
        </is>
      </c>
      <c r="D359" s="9" t="n">
        <v>36</v>
      </c>
      <c r="E359" s="16" t="inlineStr">
        <is>
          <t>R</t>
        </is>
      </c>
      <c r="F359" s="16" t="n"/>
      <c r="G359" s="9" t="n">
        <v>325</v>
      </c>
      <c r="H359" s="9" t="n">
        <v>1469</v>
      </c>
      <c r="I359" s="9" t="inlineStr">
        <is>
          <t>Utility OF / 4th OF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3">
        <f>SUMPRODUCT(M359:X359,$M$2:$X$2)*$K359*$L359</f>
        <v/>
      </c>
      <c r="Z359" s="14">
        <f>SUM(M359:X359)</f>
        <v/>
      </c>
      <c r="AA359" s="14">
        <f>IFERROR(IF(UPPER($E359)="L",SUMPRODUCT(M359:X359,$M$3:$X$3,$M$2:$X$2),SUMPRODUCT(M359:X359,$M$4:$X$4,$M$2:$X$2))/(Y359/($K359*$L359)),"")</f>
        <v/>
      </c>
      <c r="AB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3">
        <f>SUMPRODUCT(M360:X360,$M$2:$X$2)*$K360*$L360</f>
        <v/>
      </c>
      <c r="Z360" s="14">
        <f>SUM(M360:X360)</f>
        <v/>
      </c>
      <c r="AA360" s="14">
        <f>IFERROR(IF(UPPER($E360)="L",SUMPRODUCT(M360:X360,$M$3:$X$3,$M$2:$X$2),SUMPRODUCT(M360:X360,$M$4:$X$4,$M$2:$X$2))/(Y360/($K360*$L360)),"")</f>
        <v/>
      </c>
      <c r="AB360" s="18" t="n"/>
    </row>
    <row r="361">
      <c r="A361" s="9" t="n">
        <v>806230</v>
      </c>
      <c r="B361" s="9" t="inlineStr">
        <is>
          <t>Sammy Stafura</t>
        </is>
      </c>
      <c r="C361" s="9" t="inlineStr">
        <is>
          <t>NYM</t>
        </is>
      </c>
      <c r="D361" s="9" t="n">
        <v>25</v>
      </c>
      <c r="E361" s="16" t="inlineStr">
        <is>
          <t>R</t>
        </is>
      </c>
      <c r="F361" s="16" t="n"/>
      <c r="G361" s="9" t="n">
        <v>61.33333333333334</v>
      </c>
      <c r="H361" s="9" t="n">
        <v>61.33333333333334</v>
      </c>
      <c r="I361" s="9" t="inlineStr">
        <is>
          <t>Depth (no MLB PA)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/>
      <c r="W361" s="17" t="n"/>
      <c r="X361" s="17" t="n"/>
      <c r="Y361" s="13">
        <f>SUMPRODUCT(M361:X361,$M$2:$X$2)*$K361*$L361</f>
        <v/>
      </c>
      <c r="Z361" s="14">
        <f>SUM(M361:X361)</f>
        <v/>
      </c>
      <c r="AA361" s="14">
        <f>IFERROR(IF(UPPER($E361)="L",SUMPRODUCT(M361:X361,$M$3:$X$3,$M$2:$X$2),SUMPRODUCT(M361:X361,$M$4:$X$4,$M$2:$X$2))/(Y361/($K361*$L361)),"")</f>
        <v/>
      </c>
      <c r="AB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n"/>
      <c r="G362" s="9" t="n">
        <v>491</v>
      </c>
      <c r="H362" s="9" t="n">
        <v>835</v>
      </c>
      <c r="I362" s="9" t="inlineStr">
        <is>
          <t>Depth (no MLB PA)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/>
      <c r="Y362" s="13">
        <f>SUMPRODUCT(M362:X362,$M$2:$X$2)*$K362*$L362</f>
        <v/>
      </c>
      <c r="Z362" s="14">
        <f>SUM(M362:X362)</f>
        <v/>
      </c>
      <c r="AA362" s="14">
        <f>IFERROR(IF(UPPER($E362)="L",SUMPRODUCT(M362:X362,$M$3:$X$3,$M$2:$X$2),SUMPRODUCT(M362:X362,$M$4:$X$4,$M$2:$X$2))/(Y362/($K362*$L362)),"")</f>
        <v/>
      </c>
      <c r="AB362" s="18" t="n"/>
    </row>
    <row r="363">
      <c r="A363" s="9" t="n">
        <v>691023</v>
      </c>
      <c r="B363" s="9" t="inlineStr">
        <is>
          <t>Jordan Walker</t>
        </is>
      </c>
      <c r="C363" s="9" t="inlineStr">
        <is>
          <t>STL</t>
        </is>
      </c>
      <c r="D363" s="9" t="n">
        <v>25</v>
      </c>
      <c r="E363" s="16" t="inlineStr">
        <is>
          <t>R</t>
        </is>
      </c>
      <c r="F363" s="16" t="n"/>
      <c r="G363" s="9" t="n">
        <v>667</v>
      </c>
      <c r="H363" s="9" t="n">
        <v>1706</v>
      </c>
      <c r="I363" s="9" t="inlineStr">
        <is>
          <t>Full Time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3">
        <f>SUMPRODUCT(M363:X363,$M$2:$X$2)*$K363*$L363</f>
        <v/>
      </c>
      <c r="Z363" s="14">
        <f>SUM(M363:X363)</f>
        <v/>
      </c>
      <c r="AA363" s="14">
        <f>IFERROR(IF(UPPER($E363)="L",SUMPRODUCT(M363:X363,$M$3:$X$3,$M$2:$X$2),SUMPRODUCT(M363:X363,$M$4:$X$4,$M$2:$X$2))/(Y363/($K363*$L363)),"")</f>
        <v/>
      </c>
      <c r="AB363" s="18" t="n"/>
    </row>
    <row r="364">
      <c r="A364" s="9" t="n">
        <v>695735</v>
      </c>
      <c r="B364" s="9" t="inlineStr">
        <is>
          <t>Creed Willems</t>
        </is>
      </c>
      <c r="C364" s="9" t="inlineStr">
        <is>
          <t>BAL</t>
        </is>
      </c>
      <c r="D364" s="9" t="n">
        <v>25</v>
      </c>
      <c r="E364" s="16" t="inlineStr">
        <is>
          <t>L</t>
        </is>
      </c>
      <c r="F364" s="16" t="n"/>
      <c r="G364" s="9" t="n">
        <v>244.2564102564103</v>
      </c>
      <c r="H364" s="9" t="n">
        <v>244.2564102564103</v>
      </c>
      <c r="I364" s="9" t="inlineStr">
        <is>
          <t>Depth (no MLB PA)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3">
        <f>SUMPRODUCT(M364:X364,$M$2:$X$2)*$K364*$L364</f>
        <v/>
      </c>
      <c r="Z364" s="14">
        <f>SUM(M364:X364)</f>
        <v/>
      </c>
      <c r="AA364" s="14">
        <f>IFERROR(IF(UPPER($E364)="L",SUMPRODUCT(M364:X364,$M$3:$X$3,$M$2:$X$2),SUMPRODUCT(M364:X364,$M$4:$X$4,$M$2:$X$2))/(Y364/($K364*$L364)),"")</f>
        <v/>
      </c>
      <c r="AB364" s="18" t="n"/>
    </row>
    <row r="365">
      <c r="A365" s="9" t="n">
        <v>814522</v>
      </c>
      <c r="B365" s="9" t="inlineStr">
        <is>
          <t>Caden Kendle</t>
        </is>
      </c>
      <c r="C365" s="9" t="inlineStr">
        <is>
          <t>MIN</t>
        </is>
      </c>
      <c r="D365" s="9" t="n">
        <v>25</v>
      </c>
      <c r="E365" s="16" t="inlineStr">
        <is>
          <t>R</t>
        </is>
      </c>
      <c r="F365" s="16" t="n"/>
      <c r="G365" s="9" t="n">
        <v>67.84615384615384</v>
      </c>
      <c r="H365" s="9" t="n">
        <v>67.84615384615384</v>
      </c>
      <c r="I365" s="9" t="inlineStr">
        <is>
          <t>Depth (no MLB PA)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3">
        <f>SUMPRODUCT(M365:X365,$M$2:$X$2)*$K365*$L365</f>
        <v/>
      </c>
      <c r="Z365" s="14">
        <f>SUM(M365:X365)</f>
        <v/>
      </c>
      <c r="AA365" s="14">
        <f>IFERROR(IF(UPPER($E365)="L",SUMPRODUCT(M365:X365,$M$3:$X$3,$M$2:$X$2),SUMPRODUCT(M365:X365,$M$4:$X$4,$M$2:$X$2))/(Y365/($K365*$L365)),"")</f>
        <v/>
      </c>
      <c r="AB365" s="18" t="n"/>
    </row>
    <row r="366">
      <c r="A366" s="9" t="n">
        <v>668904</v>
      </c>
      <c r="B366" s="9" t="inlineStr">
        <is>
          <t>Royce Lewis</t>
        </is>
      </c>
      <c r="C366" s="9" t="inlineStr">
        <is>
          <t>MIN</t>
        </is>
      </c>
      <c r="D366" s="9" t="n">
        <v>28</v>
      </c>
      <c r="E366" s="16" t="inlineStr">
        <is>
          <t>R</t>
        </is>
      </c>
      <c r="F366" s="16" t="n"/>
      <c r="G366" s="9" t="n">
        <v>509</v>
      </c>
      <c r="H366" s="9" t="n">
        <v>1517</v>
      </c>
      <c r="I366" s="9" t="inlineStr">
        <is>
          <t>Full Time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3">
        <f>SUMPRODUCT(M366:X366,$M$2:$X$2)*$K366*$L366</f>
        <v/>
      </c>
      <c r="Z366" s="14">
        <f>SUM(M366:X366)</f>
        <v/>
      </c>
      <c r="AA366" s="14">
        <f>IFERROR(IF(UPPER($E366)="L",SUMPRODUCT(M366:X366,$M$3:$X$3,$M$2:$X$2),SUMPRODUCT(M366:X366,$M$4:$X$4,$M$2:$X$2))/(Y366/($K366*$L366)),"")</f>
        <v/>
      </c>
      <c r="AB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3">
        <f>SUMPRODUCT(M367:X367,$M$2:$X$2)*$K367*$L367</f>
        <v/>
      </c>
      <c r="Z367" s="14">
        <f>SUM(M367:X367)</f>
        <v/>
      </c>
      <c r="AA367" s="14">
        <f>IFERROR(IF(UPPER($E367)="L",SUMPRODUCT(M367:X367,$M$3:$X$3,$M$2:$X$2),SUMPRODUCT(M367:X367,$M$4:$X$4,$M$2:$X$2))/(Y367/($K367*$L367)),"")</f>
        <v/>
      </c>
      <c r="AB367" s="18" t="n"/>
    </row>
    <row r="368">
      <c r="A368" s="9" t="n">
        <v>701337</v>
      </c>
      <c r="B368" s="9" t="inlineStr">
        <is>
          <t>Ethan Petry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98</v>
      </c>
      <c r="H368" s="9" t="n">
        <v>98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3">
        <f>SUMPRODUCT(M368:X368,$M$2:$X$2)*$K368*$L368</f>
        <v/>
      </c>
      <c r="Z368" s="14">
        <f>SUM(M368:X368)</f>
        <v/>
      </c>
      <c r="AA368" s="14">
        <f>IFERROR(IF(UPPER($E368)="L",SUMPRODUCT(M368:X368,$M$3:$X$3,$M$2:$X$2),SUMPRODUCT(M368:X368,$M$4:$X$4,$M$2:$X$2))/(Y368/($K368*$L368)),"")</f>
        <v/>
      </c>
      <c r="AB368" s="18" t="n"/>
    </row>
    <row r="369">
      <c r="A369" s="9" t="n">
        <v>691024</v>
      </c>
      <c r="B369" s="9" t="inlineStr">
        <is>
          <t>Cayden Wallace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136.5128205128205</v>
      </c>
      <c r="H369" s="9" t="n">
        <v>136.5128205128205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3">
        <f>SUMPRODUCT(M369:X369,$M$2:$X$2)*$K369*$L369</f>
        <v/>
      </c>
      <c r="Z369" s="14">
        <f>SUM(M369:X369)</f>
        <v/>
      </c>
      <c r="AA369" s="14">
        <f>IFERROR(IF(UPPER($E369)="L",SUMPRODUCT(M369:X369,$M$3:$X$3,$M$2:$X$2),SUMPRODUCT(M369:X369,$M$4:$X$4,$M$2:$X$2))/(Y369/($K369*$L369)),"")</f>
        <v/>
      </c>
      <c r="AB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3">
        <f>SUMPRODUCT(M370:X370,$M$2:$X$2)*$K370*$L370</f>
        <v/>
      </c>
      <c r="Z370" s="14">
        <f>SUM(M370:X370)</f>
        <v/>
      </c>
      <c r="AA370" s="14">
        <f>IFERROR(IF(UPPER($E370)="L",SUMPRODUCT(M370:X370,$M$3:$X$3,$M$2:$X$2),SUMPRODUCT(M370:X370,$M$4:$X$4,$M$2:$X$2))/(Y370/($K370*$L370)),"")</f>
        <v/>
      </c>
      <c r="AB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25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3">
        <f>SUMPRODUCT(M371:X371,$M$2:$X$2)*$K371*$L371</f>
        <v/>
      </c>
      <c r="Z371" s="14">
        <f>SUM(M371:X371)</f>
        <v/>
      </c>
      <c r="AA371" s="14">
        <f>IFERROR(IF(UPPER($E371)="L",SUMPRODUCT(M371:X371,$M$3:$X$3,$M$2:$X$2),SUMPRODUCT(M371:X371,$M$4:$X$4,$M$2:$X$2))/(Y371/($K371*$L371)),"")</f>
        <v/>
      </c>
      <c r="AB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n"/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3">
        <f>SUMPRODUCT(M372:X372,$M$2:$X$2)*$K372*$L372</f>
        <v/>
      </c>
      <c r="Z372" s="14">
        <f>SUM(M372:X372)</f>
        <v/>
      </c>
      <c r="AA372" s="14">
        <f>IFERROR(IF(UPPER($E372)="L",SUMPRODUCT(M372:X372,$M$3:$X$3,$M$2:$X$2),SUMPRODUCT(M372:X372,$M$4:$X$4,$M$2:$X$2))/(Y372/($K372*$L372)),"")</f>
        <v/>
      </c>
      <c r="AB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3">
        <f>SUMPRODUCT(M373:X373,$M$2:$X$2)*$K373*$L373</f>
        <v/>
      </c>
      <c r="Z373" s="14">
        <f>SUM(M373:X373)</f>
        <v/>
      </c>
      <c r="AA373" s="14">
        <f>IFERROR(IF(UPPER($E373)="L",SUMPRODUCT(M373:X373,$M$3:$X$3,$M$2:$X$2),SUMPRODUCT(M373:X373,$M$4:$X$4,$M$2:$X$2))/(Y373/($K373*$L373)),"")</f>
        <v/>
      </c>
      <c r="AB373" s="18" t="n"/>
    </row>
    <row r="374">
      <c r="A374" s="9" t="n">
        <v>686611</v>
      </c>
      <c r="B374" s="9" t="inlineStr">
        <is>
          <t>Dylan Crews</t>
        </is>
      </c>
      <c r="C374" s="9" t="inlineStr">
        <is>
          <t>WSH</t>
        </is>
      </c>
      <c r="D374" s="9" t="n">
        <v>25</v>
      </c>
      <c r="E374" s="16" t="inlineStr">
        <is>
          <t>R</t>
        </is>
      </c>
      <c r="F374" s="16" t="n"/>
      <c r="G374" s="9" t="n">
        <v>443</v>
      </c>
      <c r="H374" s="9" t="n">
        <v>897</v>
      </c>
      <c r="I374" s="9" t="inlineStr">
        <is>
          <t>Full Time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3">
        <f>SUMPRODUCT(M374:X374,$M$2:$X$2)*$K374*$L374</f>
        <v/>
      </c>
      <c r="Z374" s="14">
        <f>SUM(M374:X374)</f>
        <v/>
      </c>
      <c r="AA374" s="14">
        <f>IFERROR(IF(UPPER($E374)="L",SUMPRODUCT(M374:X374,$M$3:$X$3,$M$2:$X$2),SUMPRODUCT(M374:X374,$M$4:$X$4,$M$2:$X$2))/(Y374/($K374*$L374)),"")</f>
        <v/>
      </c>
      <c r="AB374" s="18" t="n"/>
    </row>
    <row r="375">
      <c r="A375" s="9" t="n">
        <v>702556</v>
      </c>
      <c r="B375" s="9" t="inlineStr">
        <is>
          <t>Austin Overn</t>
        </is>
      </c>
      <c r="C375" s="9" t="inlineStr">
        <is>
          <t>TB</t>
        </is>
      </c>
      <c r="D375" s="9" t="n">
        <v>25</v>
      </c>
      <c r="E375" s="16" t="inlineStr">
        <is>
          <t>L</t>
        </is>
      </c>
      <c r="F375" s="16" t="n"/>
      <c r="G375" s="9" t="n">
        <v>99.07692307692308</v>
      </c>
      <c r="H375" s="9" t="n">
        <v>99.07692307692308</v>
      </c>
      <c r="I375" s="9" t="inlineStr">
        <is>
          <t>Depth (no MLB PA)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3">
        <f>SUMPRODUCT(M375:X375,$M$2:$X$2)*$K375*$L375</f>
        <v/>
      </c>
      <c r="Z375" s="14">
        <f>SUM(M375:X375)</f>
        <v/>
      </c>
      <c r="AA375" s="14">
        <f>IFERROR(IF(UPPER($E375)="L",SUMPRODUCT(M375:X375,$M$3:$X$3,$M$2:$X$2),SUMPRODUCT(M375:X375,$M$4:$X$4,$M$2:$X$2))/(Y375/($K375*$L375)),"")</f>
        <v/>
      </c>
      <c r="AB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n"/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3">
        <f>SUMPRODUCT(M376:X376,$M$2:$X$2)*$K376*$L376</f>
        <v/>
      </c>
      <c r="Z376" s="14">
        <f>SUM(M376:X376)</f>
        <v/>
      </c>
      <c r="AA376" s="14">
        <f>IFERROR(IF(UPPER($E376)="L",SUMPRODUCT(M376:X376,$M$3:$X$3,$M$2:$X$2),SUMPRODUCT(M376:X376,$M$4:$X$4,$M$2:$X$2))/(Y376/($K376*$L376)),"")</f>
        <v/>
      </c>
      <c r="AB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n"/>
      <c r="G377" s="9" t="n">
        <v>204</v>
      </c>
      <c r="H377" s="9" t="n">
        <v>651</v>
      </c>
      <c r="I377" s="9" t="inlineStr">
        <is>
          <t>Utility OF / 4th OF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/>
      <c r="X377" s="17" t="n"/>
      <c r="Y377" s="13">
        <f>SUMPRODUCT(M377:X377,$M$2:$X$2)*$K377*$L377</f>
        <v/>
      </c>
      <c r="Z377" s="14">
        <f>SUM(M377:X377)</f>
        <v/>
      </c>
      <c r="AA377" s="14">
        <f>IFERROR(IF(UPPER($E377)="L",SUMPRODUCT(M377:X377,$M$3:$X$3,$M$2:$X$2),SUMPRODUCT(M377:X377,$M$4:$X$4,$M$2:$X$2))/(Y377/($K377*$L377)),"")</f>
        <v/>
      </c>
      <c r="AB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3">
        <f>SUMPRODUCT(M378:X378,$M$2:$X$2)*$K378*$L378</f>
        <v/>
      </c>
      <c r="Z378" s="14">
        <f>SUM(M378:X378)</f>
        <v/>
      </c>
      <c r="AA378" s="14">
        <f>IFERROR(IF(UPPER($E378)="L",SUMPRODUCT(M378:X378,$M$3:$X$3,$M$2:$X$2),SUMPRODUCT(M378:X378,$M$4:$X$4,$M$2:$X$2))/(Y378/($K378*$L378)),"")</f>
        <v/>
      </c>
      <c r="AB378" s="18" t="n"/>
    </row>
    <row r="379">
      <c r="A379" s="9" t="n">
        <v>703190</v>
      </c>
      <c r="B379" s="9" t="inlineStr">
        <is>
          <t>Johanfran Garcia</t>
        </is>
      </c>
      <c r="C379" s="9" t="inlineStr">
        <is>
          <t>BOS</t>
        </is>
      </c>
      <c r="D379" s="9" t="n">
        <v>25</v>
      </c>
      <c r="E379" s="16" t="inlineStr">
        <is>
          <t>R</t>
        </is>
      </c>
      <c r="F379" s="16" t="n"/>
      <c r="G379" s="9" t="n">
        <v>122.7692307692308</v>
      </c>
      <c r="H379" s="9" t="n">
        <v>122.7692307692308</v>
      </c>
      <c r="I379" s="9" t="inlineStr">
        <is>
          <t>Depth (no MLB PA)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3">
        <f>SUMPRODUCT(M379:X379,$M$2:$X$2)*$K379*$L379</f>
        <v/>
      </c>
      <c r="Z379" s="14">
        <f>SUM(M379:X379)</f>
        <v/>
      </c>
      <c r="AA379" s="14">
        <f>IFERROR(IF(UPPER($E379)="L",SUMPRODUCT(M379:X379,$M$3:$X$3,$M$2:$X$2),SUMPRODUCT(M379:X379,$M$4:$X$4,$M$2:$X$2))/(Y379/($K379*$L379)),"")</f>
        <v/>
      </c>
      <c r="AB379" s="18" t="n"/>
    </row>
    <row r="380">
      <c r="A380" s="9" t="n">
        <v>671056</v>
      </c>
      <c r="B380" s="9" t="inlineStr">
        <is>
          <t>Iván Herrera</t>
        </is>
      </c>
      <c r="C380" s="9" t="inlineStr">
        <is>
          <t>STL</t>
        </is>
      </c>
      <c r="D380" s="9" t="n">
        <v>27</v>
      </c>
      <c r="E380" s="16" t="inlineStr">
        <is>
          <t>R</t>
        </is>
      </c>
      <c r="F380" s="16" t="n"/>
      <c r="G380" s="9" t="n">
        <v>717</v>
      </c>
      <c r="H380" s="9" t="n">
        <v>1494</v>
      </c>
      <c r="I380" s="9" t="inlineStr">
        <is>
          <t>Full Time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3">
        <f>SUMPRODUCT(M380:X380,$M$2:$X$2)*$K380*$L380</f>
        <v/>
      </c>
      <c r="Z380" s="14">
        <f>SUM(M380:X380)</f>
        <v/>
      </c>
      <c r="AA380" s="14">
        <f>IFERROR(IF(UPPER($E380)="L",SUMPRODUCT(M380:X380,$M$3:$X$3,$M$2:$X$2),SUMPRODUCT(M380:X380,$M$4:$X$4,$M$2:$X$2))/(Y380/($K380*$L380)),"")</f>
        <v/>
      </c>
      <c r="AB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Depth (no MLB PA)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/>
      <c r="Y381" s="13">
        <f>SUMPRODUCT(M381:X381,$M$2:$X$2)*$K381*$L381</f>
        <v/>
      </c>
      <c r="Z381" s="14">
        <f>SUM(M381:X381)</f>
        <v/>
      </c>
      <c r="AA381" s="14">
        <f>IFERROR(IF(UPPER($E381)="L",SUMPRODUCT(M381:X381,$M$3:$X$3,$M$2:$X$2),SUMPRODUCT(M381:X381,$M$4:$X$4,$M$2:$X$2))/(Y381/($K381*$L381)),"")</f>
        <v/>
      </c>
      <c r="AB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n"/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3">
        <f>SUMPRODUCT(M382:X382,$M$2:$X$2)*$K382*$L382</f>
        <v/>
      </c>
      <c r="Z382" s="14">
        <f>SUM(M382:X382)</f>
        <v/>
      </c>
      <c r="AA382" s="14">
        <f>IFERROR(IF(UPPER($E382)="L",SUMPRODUCT(M382:X382,$M$3:$X$3,$M$2:$X$2),SUMPRODUCT(M382:X382,$M$4:$X$4,$M$2:$X$2))/(Y382/($K382*$L382)),"")</f>
        <v/>
      </c>
      <c r="AB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3">
        <f>SUMPRODUCT(M383:X383,$M$2:$X$2)*$K383*$L383</f>
        <v/>
      </c>
      <c r="Z383" s="14">
        <f>SUM(M383:X383)</f>
        <v/>
      </c>
      <c r="AA383" s="14">
        <f>IFERROR(IF(UPPER($E383)="L",SUMPRODUCT(M383:X383,$M$3:$X$3,$M$2:$X$2),SUMPRODUCT(M383:X383,$M$4:$X$4,$M$2:$X$2))/(Y383/($K383*$L383)),"")</f>
        <v/>
      </c>
      <c r="AB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3">
        <f>SUMPRODUCT(M384:X384,$M$2:$X$2)*$K384*$L384</f>
        <v/>
      </c>
      <c r="Z384" s="14">
        <f>SUM(M384:X384)</f>
        <v/>
      </c>
      <c r="AA384" s="14">
        <f>IFERROR(IF(UPPER($E384)="L",SUMPRODUCT(M384:X384,$M$3:$X$3,$M$2:$X$2),SUMPRODUCT(M384:X384,$M$4:$X$4,$M$2:$X$2))/(Y384/($K384*$L384)),"")</f>
        <v/>
      </c>
      <c r="AB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n"/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3">
        <f>SUMPRODUCT(M385:X385,$M$2:$X$2)*$K385*$L385</f>
        <v/>
      </c>
      <c r="Z385" s="14">
        <f>SUM(M385:X385)</f>
        <v/>
      </c>
      <c r="AA385" s="14">
        <f>IFERROR(IF(UPPER($E385)="L",SUMPRODUCT(M385:X385,$M$3:$X$3,$M$2:$X$2),SUMPRODUCT(M385:X385,$M$4:$X$4,$M$2:$X$2))/(Y385/($K385*$L385)),"")</f>
        <v/>
      </c>
      <c r="AB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3">
        <f>SUMPRODUCT(M386:X386,$M$2:$X$2)*$K386*$L386</f>
        <v/>
      </c>
      <c r="Z386" s="14">
        <f>SUM(M386:X386)</f>
        <v/>
      </c>
      <c r="AA386" s="14">
        <f>IFERROR(IF(UPPER($E386)="L",SUMPRODUCT(M386:X386,$M$3:$X$3,$M$2:$X$2),SUMPRODUCT(M386:X386,$M$4:$X$4,$M$2:$X$2))/(Y386/($K386*$L386)),"")</f>
        <v/>
      </c>
      <c r="AB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25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3">
        <f>SUMPRODUCT(M387:X387,$M$2:$X$2)*$K387*$L387</f>
        <v/>
      </c>
      <c r="Z387" s="14">
        <f>SUM(M387:X387)</f>
        <v/>
      </c>
      <c r="AA387" s="14">
        <f>IFERROR(IF(UPPER($E387)="L",SUMPRODUCT(M387:X387,$M$3:$X$3,$M$2:$X$2),SUMPRODUCT(M387:X387,$M$4:$X$4,$M$2:$X$2))/(Y387/($K387*$L387)),"")</f>
        <v/>
      </c>
      <c r="AB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25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Depth (no MLB PA)</t>
        </is>
      </c>
      <c r="J388" s="16" t="inlineStr">
        <is>
          <t>Opening Day</t>
        </is>
      </c>
      <c r="K388" s="11">
        <f>IFERROR(INDEX(Roles!$B$17:$B$20,MATCH(J388,Roles!$A$17:$A$20,0)),1)</f>
        <v/>
      </c>
      <c r="L388" s="17" t="n">
        <v>1</v>
      </c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3">
        <f>SUMPRODUCT(M388:X388,$M$2:$X$2)*$K388*$L388</f>
        <v/>
      </c>
      <c r="Z388" s="14">
        <f>SUM(M388:X388)</f>
        <v/>
      </c>
      <c r="AA388" s="14">
        <f>IFERROR(IF(UPPER($E388)="L",SUMPRODUCT(M388:X388,$M$3:$X$3,$M$2:$X$2),SUMPRODUCT(M388:X388,$M$4:$X$4,$M$2:$X$2))/(Y388/($K388*$L388)),"")</f>
        <v/>
      </c>
      <c r="AB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n"/>
      <c r="G389" s="9" t="n">
        <v>278</v>
      </c>
      <c r="H389" s="9" t="n">
        <v>342</v>
      </c>
      <c r="I389" s="9" t="inlineStr">
        <is>
          <t>Utility OF / 4th OF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3">
        <f>SUMPRODUCT(M389:X389,$M$2:$X$2)*$K389*$L389</f>
        <v/>
      </c>
      <c r="Z389" s="14">
        <f>SUM(M389:X389)</f>
        <v/>
      </c>
      <c r="AA389" s="14">
        <f>IFERROR(IF(UPPER($E389)="L",SUMPRODUCT(M389:X389,$M$3:$X$3,$M$2:$X$2),SUMPRODUCT(M389:X389,$M$4:$X$4,$M$2:$X$2))/(Y389/($K389*$L389)),"")</f>
        <v/>
      </c>
      <c r="AB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3">
        <f>SUMPRODUCT(M390:X390,$M$2:$X$2)*$K390*$L390</f>
        <v/>
      </c>
      <c r="Z390" s="14">
        <f>SUM(M390:X390)</f>
        <v/>
      </c>
      <c r="AA390" s="14">
        <f>IFERROR(IF(UPPER($E390)="L",SUMPRODUCT(M390:X390,$M$3:$X$3,$M$2:$X$2),SUMPRODUCT(M390:X390,$M$4:$X$4,$M$2:$X$2))/(Y390/($K390*$L390)),"")</f>
        <v/>
      </c>
      <c r="AB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n"/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3">
        <f>SUMPRODUCT(M391:X391,$M$2:$X$2)*$K391*$L391</f>
        <v/>
      </c>
      <c r="Z391" s="14">
        <f>SUM(M391:X391)</f>
        <v/>
      </c>
      <c r="AA391" s="14">
        <f>IFERROR(IF(UPPER($E391)="L",SUMPRODUCT(M391:X391,$M$3:$X$3,$M$2:$X$2),SUMPRODUCT(M391:X391,$M$4:$X$4,$M$2:$X$2))/(Y391/($K391*$L391)),"")</f>
        <v/>
      </c>
      <c r="AB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3">
        <f>SUMPRODUCT(M392:X392,$M$2:$X$2)*$K392*$L392</f>
        <v/>
      </c>
      <c r="Z392" s="14">
        <f>SUM(M392:X392)</f>
        <v/>
      </c>
      <c r="AA392" s="14">
        <f>IFERROR(IF(UPPER($E392)="L",SUMPRODUCT(M392:X392,$M$3:$X$3,$M$2:$X$2),SUMPRODUCT(M392:X392,$M$4:$X$4,$M$2:$X$2))/(Y392/($K392*$L392)),"")</f>
        <v/>
      </c>
      <c r="AB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3">
        <f>SUMPRODUCT(M393:X393,$M$2:$X$2)*$K393*$L393</f>
        <v/>
      </c>
      <c r="Z393" s="14">
        <f>SUM(M393:X393)</f>
        <v/>
      </c>
      <c r="AA393" s="14">
        <f>IFERROR(IF(UPPER($E393)="L",SUMPRODUCT(M393:X393,$M$3:$X$3,$M$2:$X$2),SUMPRODUCT(M393:X393,$M$4:$X$4,$M$2:$X$2))/(Y393/($K393*$L393)),"")</f>
        <v/>
      </c>
      <c r="AB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3">
        <f>SUMPRODUCT(M394:X394,$M$2:$X$2)*$K394*$L394</f>
        <v/>
      </c>
      <c r="Z394" s="14">
        <f>SUM(M394:X394)</f>
        <v/>
      </c>
      <c r="AA394" s="14">
        <f>IFERROR(IF(UPPER($E394)="L",SUMPRODUCT(M394:X394,$M$3:$X$3,$M$2:$X$2),SUMPRODUCT(M394:X394,$M$4:$X$4,$M$2:$X$2))/(Y394/($K394*$L394)),"")</f>
        <v/>
      </c>
      <c r="AB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n"/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3">
        <f>SUMPRODUCT(M395:X395,$M$2:$X$2)*$K395*$L395</f>
        <v/>
      </c>
      <c r="Z395" s="14">
        <f>SUM(M395:X395)</f>
        <v/>
      </c>
      <c r="AA395" s="14">
        <f>IFERROR(IF(UPPER($E395)="L",SUMPRODUCT(M395:X395,$M$3:$X$3,$M$2:$X$2),SUMPRODUCT(M395:X395,$M$4:$X$4,$M$2:$X$2))/(Y395/($K395*$L395)),"")</f>
        <v/>
      </c>
      <c r="AB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n"/>
      <c r="G396" s="9" t="n">
        <v>197</v>
      </c>
      <c r="H396" s="9" t="n">
        <v>415</v>
      </c>
      <c r="I396" s="9" t="inlineStr">
        <is>
          <t>Bench Bat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  <c r="V396" s="17" t="n"/>
      <c r="W396" s="17" t="n"/>
      <c r="X396" s="17" t="n"/>
      <c r="Y396" s="13">
        <f>SUMPRODUCT(M396:X396,$M$2:$X$2)*$K396*$L396</f>
        <v/>
      </c>
      <c r="Z396" s="14">
        <f>SUM(M396:X396)</f>
        <v/>
      </c>
      <c r="AA396" s="14">
        <f>IFERROR(IF(UPPER($E396)="L",SUMPRODUCT(M396:X396,$M$3:$X$3,$M$2:$X$2),SUMPRODUCT(M396:X396,$M$4:$X$4,$M$2:$X$2))/(Y396/($K396*$L396)),"")</f>
        <v/>
      </c>
      <c r="AB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3">
        <f>SUMPRODUCT(M397:X397,$M$2:$X$2)*$K397*$L397</f>
        <v/>
      </c>
      <c r="Z397" s="14">
        <f>SUM(M397:X397)</f>
        <v/>
      </c>
      <c r="AA397" s="14">
        <f>IFERROR(IF(UPPER($E397)="L",SUMPRODUCT(M397:X397,$M$3:$X$3,$M$2:$X$2),SUMPRODUCT(M397:X397,$M$4:$X$4,$M$2:$X$2))/(Y397/($K397*$L397)),"")</f>
        <v/>
      </c>
      <c r="AB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3">
        <f>SUMPRODUCT(M398:X398,$M$2:$X$2)*$K398*$L398</f>
        <v/>
      </c>
      <c r="Z398" s="14">
        <f>SUM(M398:X398)</f>
        <v/>
      </c>
      <c r="AA398" s="14">
        <f>IFERROR(IF(UPPER($E398)="L",SUMPRODUCT(M398:X398,$M$3:$X$3,$M$2:$X$2),SUMPRODUCT(M398:X398,$M$4:$X$4,$M$2:$X$2))/(Y398/($K398*$L398)),"")</f>
        <v/>
      </c>
      <c r="AB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3">
        <f>SUMPRODUCT(M399:X399,$M$2:$X$2)*$K399*$L399</f>
        <v/>
      </c>
      <c r="Z399" s="14">
        <f>SUM(M399:X399)</f>
        <v/>
      </c>
      <c r="AA399" s="14">
        <f>IFERROR(IF(UPPER($E399)="L",SUMPRODUCT(M399:X399,$M$3:$X$3,$M$2:$X$2),SUMPRODUCT(M399:X399,$M$4:$X$4,$M$2:$X$2))/(Y399/($K399*$L399)),"")</f>
        <v/>
      </c>
      <c r="AB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n"/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3">
        <f>SUMPRODUCT(M400:X400,$M$2:$X$2)*$K400*$L400</f>
        <v/>
      </c>
      <c r="Z400" s="14">
        <f>SUM(M400:X400)</f>
        <v/>
      </c>
      <c r="AA400" s="14">
        <f>IFERROR(IF(UPPER($E400)="L",SUMPRODUCT(M400:X400,$M$3:$X$3,$M$2:$X$2),SUMPRODUCT(M400:X400,$M$4:$X$4,$M$2:$X$2))/(Y400/($K400*$L400)),"")</f>
        <v/>
      </c>
      <c r="AB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n"/>
      <c r="G401" s="9" t="n">
        <v>329</v>
      </c>
      <c r="H401" s="9" t="n">
        <v>817</v>
      </c>
      <c r="I401" s="9" t="inlineStr">
        <is>
          <t>Utility OF / 4th OF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  <c r="V401" s="17" t="n"/>
      <c r="W401" s="17" t="n"/>
      <c r="X401" s="17" t="n"/>
      <c r="Y401" s="13">
        <f>SUMPRODUCT(M401:X401,$M$2:$X$2)*$K401*$L401</f>
        <v/>
      </c>
      <c r="Z401" s="14">
        <f>SUM(M401:X401)</f>
        <v/>
      </c>
      <c r="AA401" s="14">
        <f>IFERROR(IF(UPPER($E401)="L",SUMPRODUCT(M401:X401,$M$3:$X$3,$M$2:$X$2),SUMPRODUCT(M401:X401,$M$4:$X$4,$M$2:$X$2))/(Y401/($K401*$L401)),"")</f>
        <v/>
      </c>
      <c r="AB401" s="18" t="n"/>
    </row>
    <row r="402">
      <c r="A402" s="9" t="n">
        <v>669720</v>
      </c>
      <c r="B402" s="9" t="inlineStr">
        <is>
          <t>Austin Hays</t>
        </is>
      </c>
      <c r="C402" s="9" t="inlineStr">
        <is>
          <t>SD</t>
        </is>
      </c>
      <c r="D402" s="9" t="n">
        <v>31</v>
      </c>
      <c r="E402" s="16" t="inlineStr">
        <is>
          <t>R</t>
        </is>
      </c>
      <c r="F402" s="16" t="n"/>
      <c r="G402" s="9" t="n">
        <v>105</v>
      </c>
      <c r="H402" s="9" t="n">
        <v>1924</v>
      </c>
      <c r="I402" s="9" t="inlineStr">
        <is>
          <t>Full Time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3">
        <f>SUMPRODUCT(M402:X402,$M$2:$X$2)*$K402*$L402</f>
        <v/>
      </c>
      <c r="Z402" s="14">
        <f>SUM(M402:X402)</f>
        <v/>
      </c>
      <c r="AA402" s="14">
        <f>IFERROR(IF(UPPER($E402)="L",SUMPRODUCT(M402:X402,$M$3:$X$3,$M$2:$X$2),SUMPRODUCT(M402:X402,$M$4:$X$4,$M$2:$X$2))/(Y402/($K402*$L402)),"")</f>
        <v/>
      </c>
      <c r="AB402" s="18" t="n"/>
    </row>
    <row r="403">
      <c r="A403" s="9" t="n">
        <v>809686</v>
      </c>
      <c r="B403" s="9" t="inlineStr">
        <is>
          <t>Cam Maldonado</t>
        </is>
      </c>
      <c r="C403" s="9" t="inlineStr">
        <is>
          <t>SF</t>
        </is>
      </c>
      <c r="D403" s="9" t="n">
        <v>25</v>
      </c>
      <c r="E403" s="16" t="inlineStr">
        <is>
          <t>R</t>
        </is>
      </c>
      <c r="F403" s="16" t="n"/>
      <c r="G403" s="9" t="n">
        <v>18.46153846153846</v>
      </c>
      <c r="H403" s="9" t="n">
        <v>18.46153846153846</v>
      </c>
      <c r="I403" s="9" t="inlineStr">
        <is>
          <t>Depth (no MLB PA)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3">
        <f>SUMPRODUCT(M403:X403,$M$2:$X$2)*$K403*$L403</f>
        <v/>
      </c>
      <c r="Z403" s="14">
        <f>SUM(M403:X403)</f>
        <v/>
      </c>
      <c r="AA403" s="14">
        <f>IFERROR(IF(UPPER($E403)="L",SUMPRODUCT(M403:X403,$M$3:$X$3,$M$2:$X$2),SUMPRODUCT(M403:X403,$M$4:$X$4,$M$2:$X$2))/(Y403/($K403*$L403)),"")</f>
        <v/>
      </c>
      <c r="AB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3">
        <f>SUMPRODUCT(M404:X404,$M$2:$X$2)*$K404*$L404</f>
        <v/>
      </c>
      <c r="Z404" s="14">
        <f>SUM(M404:X404)</f>
        <v/>
      </c>
      <c r="AA404" s="14">
        <f>IFERROR(IF(UPPER($E404)="L",SUMPRODUCT(M404:X404,$M$3:$X$3,$M$2:$X$2),SUMPRODUCT(M404:X404,$M$4:$X$4,$M$2:$X$2))/(Y404/($K404*$L404)),"")</f>
        <v/>
      </c>
      <c r="AB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3">
        <f>SUMPRODUCT(M405:X405,$M$2:$X$2)*$K405*$L405</f>
        <v/>
      </c>
      <c r="Z405" s="14">
        <f>SUM(M405:X405)</f>
        <v/>
      </c>
      <c r="AA405" s="14">
        <f>IFERROR(IF(UPPER($E405)="L",SUMPRODUCT(M405:X405,$M$3:$X$3,$M$2:$X$2),SUMPRODUCT(M405:X405,$M$4:$X$4,$M$2:$X$2))/(Y405/($K405*$L405)),"")</f>
        <v/>
      </c>
      <c r="AB405" s="18" t="n"/>
    </row>
    <row r="406">
      <c r="A406" s="9" t="n">
        <v>663698</v>
      </c>
      <c r="B406" s="9" t="inlineStr">
        <is>
          <t>Joey Bart</t>
        </is>
      </c>
      <c r="C406" s="9" t="inlineStr">
        <is>
          <t>CWS</t>
        </is>
      </c>
      <c r="D406" s="9" t="n">
        <v>30</v>
      </c>
      <c r="E406" s="16" t="inlineStr">
        <is>
          <t>R</t>
        </is>
      </c>
      <c r="F406" s="16" t="n"/>
      <c r="G406" s="9" t="n">
        <v>128</v>
      </c>
      <c r="H406" s="9" t="n">
        <v>1128</v>
      </c>
      <c r="I406" s="9" t="inlineStr">
        <is>
          <t>Utility OF / 4th OF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3">
        <f>SUMPRODUCT(M406:X406,$M$2:$X$2)*$K406*$L406</f>
        <v/>
      </c>
      <c r="Z406" s="14">
        <f>SUM(M406:X406)</f>
        <v/>
      </c>
      <c r="AA406" s="14">
        <f>IFERROR(IF(UPPER($E406)="L",SUMPRODUCT(M406:X406,$M$3:$X$3,$M$2:$X$2),SUMPRODUCT(M406:X406,$M$4:$X$4,$M$2:$X$2))/(Y406/($K406*$L406)),"")</f>
        <v/>
      </c>
      <c r="AB406" s="18" t="n"/>
    </row>
    <row r="407">
      <c r="A407" s="9" t="n">
        <v>683454</v>
      </c>
      <c r="B407" s="9" t="inlineStr">
        <is>
          <t>Brayan Buelvas</t>
        </is>
      </c>
      <c r="C407" s="9" t="inlineStr">
        <is>
          <t>OAK</t>
        </is>
      </c>
      <c r="D407" s="9" t="n">
        <v>25</v>
      </c>
      <c r="E407" s="16" t="inlineStr">
        <is>
          <t>R</t>
        </is>
      </c>
      <c r="F407" s="16" t="n"/>
      <c r="G407" s="9" t="n">
        <v>226.2051282051282</v>
      </c>
      <c r="H407" s="9" t="n">
        <v>226.2051282051282</v>
      </c>
      <c r="I407" s="9" t="inlineStr">
        <is>
          <t>Depth (no MLB PA)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3">
        <f>SUMPRODUCT(M407:X407,$M$2:$X$2)*$K407*$L407</f>
        <v/>
      </c>
      <c r="Z407" s="14">
        <f>SUM(M407:X407)</f>
        <v/>
      </c>
      <c r="AA407" s="14">
        <f>IFERROR(IF(UPPER($E407)="L",SUMPRODUCT(M407:X407,$M$3:$X$3,$M$2:$X$2),SUMPRODUCT(M407:X407,$M$4:$X$4,$M$2:$X$2))/(Y407/($K407*$L407)),"")</f>
        <v/>
      </c>
      <c r="AB407" s="18" t="n"/>
    </row>
    <row r="408">
      <c r="A408" s="9" t="n">
        <v>701162</v>
      </c>
      <c r="B408" s="9" t="inlineStr">
        <is>
          <t>Ben Malgeri</t>
        </is>
      </c>
      <c r="C408" s="9" t="inlineStr">
        <is>
          <t>DET</t>
        </is>
      </c>
      <c r="D408" s="9" t="n">
        <v>27</v>
      </c>
      <c r="E408" s="16" t="inlineStr">
        <is>
          <t>R</t>
        </is>
      </c>
      <c r="F408" s="16" t="n"/>
      <c r="G408" s="9" t="n">
        <v>140</v>
      </c>
      <c r="H408" s="9" t="n">
        <v>140</v>
      </c>
      <c r="I408" s="9" t="inlineStr">
        <is>
          <t>Bench Bat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/>
      <c r="Y408" s="13">
        <f>SUMPRODUCT(M408:X408,$M$2:$X$2)*$K408*$L408</f>
        <v/>
      </c>
      <c r="Z408" s="14">
        <f>SUM(M408:X408)</f>
        <v/>
      </c>
      <c r="AA408" s="14">
        <f>IFERROR(IF(UPPER($E408)="L",SUMPRODUCT(M408:X408,$M$3:$X$3,$M$2:$X$2),SUMPRODUCT(M408:X408,$M$4:$X$4,$M$2:$X$2))/(Y408/($K408*$L408)),"")</f>
        <v/>
      </c>
      <c r="AB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n"/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3">
        <f>SUMPRODUCT(M409:X409,$M$2:$X$2)*$K409*$L409</f>
        <v/>
      </c>
      <c r="Z409" s="14">
        <f>SUM(M409:X409)</f>
        <v/>
      </c>
      <c r="AA409" s="14">
        <f>IFERROR(IF(UPPER($E409)="L",SUMPRODUCT(M409:X409,$M$3:$X$3,$M$2:$X$2),SUMPRODUCT(M409:X409,$M$4:$X$4,$M$2:$X$2))/(Y409/($K409*$L409)),"")</f>
        <v/>
      </c>
      <c r="AB409" s="18" t="n"/>
    </row>
    <row r="410">
      <c r="A410" s="9" t="n">
        <v>680777</v>
      </c>
      <c r="B410" s="9" t="inlineStr">
        <is>
          <t>Ryan Jeffers</t>
        </is>
      </c>
      <c r="C410" s="9" t="inlineStr">
        <is>
          <t>MIN</t>
        </is>
      </c>
      <c r="D410" s="9" t="n">
        <v>30</v>
      </c>
      <c r="E410" s="16" t="inlineStr">
        <is>
          <t>R</t>
        </is>
      </c>
      <c r="F410" s="16" t="n"/>
      <c r="G410" s="9" t="n">
        <v>369</v>
      </c>
      <c r="H410" s="9" t="n">
        <v>1869</v>
      </c>
      <c r="I410" s="9" t="inlineStr">
        <is>
          <t>Full Time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3">
        <f>SUMPRODUCT(M410:X410,$M$2:$X$2)*$K410*$L410</f>
        <v/>
      </c>
      <c r="Z410" s="14">
        <f>SUM(M410:X410)</f>
        <v/>
      </c>
      <c r="AA410" s="14">
        <f>IFERROR(IF(UPPER($E410)="L",SUMPRODUCT(M410:X410,$M$3:$X$3,$M$2:$X$2),SUMPRODUCT(M410:X410,$M$4:$X$4,$M$2:$X$2))/(Y410/($K410*$L410)),"")</f>
        <v/>
      </c>
      <c r="AB410" s="18" t="n"/>
    </row>
    <row r="411">
      <c r="A411" s="9" t="n">
        <v>602074</v>
      </c>
      <c r="B411" s="9" t="inlineStr">
        <is>
          <t>Yonathan Daza</t>
        </is>
      </c>
      <c r="C411" s="9" t="inlineStr">
        <is>
          <t>COL</t>
        </is>
      </c>
      <c r="D411" s="9" t="n">
        <v>33</v>
      </c>
      <c r="E411" s="16" t="inlineStr">
        <is>
          <t>R</t>
        </is>
      </c>
      <c r="F411" s="16" t="n"/>
      <c r="G411" s="9" t="n">
        <v>80</v>
      </c>
      <c r="H411" s="9" t="n">
        <v>488</v>
      </c>
      <c r="I411" s="9" t="inlineStr">
        <is>
          <t>Depth (no MLB PA)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7" t="n"/>
      <c r="X411" s="17" t="n"/>
      <c r="Y411" s="13">
        <f>SUMPRODUCT(M411:X411,$M$2:$X$2)*$K411*$L411</f>
        <v/>
      </c>
      <c r="Z411" s="14">
        <f>SUM(M411:X411)</f>
        <v/>
      </c>
      <c r="AA411" s="14">
        <f>IFERROR(IF(UPPER($E411)="L",SUMPRODUCT(M411:X411,$M$3:$X$3,$M$2:$X$2),SUMPRODUCT(M411:X411,$M$4:$X$4,$M$2:$X$2))/(Y411/($K411*$L411)),"")</f>
        <v/>
      </c>
      <c r="AB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3">
        <f>SUMPRODUCT(M412:X412,$M$2:$X$2)*$K412*$L412</f>
        <v/>
      </c>
      <c r="Z412" s="14">
        <f>SUM(M412:X412)</f>
        <v/>
      </c>
      <c r="AA412" s="14">
        <f>IFERROR(IF(UPPER($E412)="L",SUMPRODUCT(M412:X412,$M$3:$X$3,$M$2:$X$2),SUMPRODUCT(M412:X412,$M$4:$X$4,$M$2:$X$2))/(Y412/($K412*$L412)),"")</f>
        <v/>
      </c>
      <c r="AB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n"/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3">
        <f>SUMPRODUCT(M413:X413,$M$2:$X$2)*$K413*$L413</f>
        <v/>
      </c>
      <c r="Z413" s="14">
        <f>SUM(M413:X413)</f>
        <v/>
      </c>
      <c r="AA413" s="14">
        <f>IFERROR(IF(UPPER($E413)="L",SUMPRODUCT(M413:X413,$M$3:$X$3,$M$2:$X$2),SUMPRODUCT(M413:X413,$M$4:$X$4,$M$2:$X$2))/(Y413/($K413*$L413)),"")</f>
        <v/>
      </c>
      <c r="AB413" s="18" t="n"/>
    </row>
    <row r="414">
      <c r="A414" s="9" t="n">
        <v>694374</v>
      </c>
      <c r="B414" s="9" t="inlineStr">
        <is>
          <t>Tim Tawa</t>
        </is>
      </c>
      <c r="C414" s="9" t="inlineStr">
        <is>
          <t>ARI</t>
        </is>
      </c>
      <c r="D414" s="9" t="n">
        <v>28</v>
      </c>
      <c r="E414" s="16" t="inlineStr">
        <is>
          <t>R</t>
        </is>
      </c>
      <c r="F414" s="16" t="n"/>
      <c r="G414" s="9" t="n">
        <v>351</v>
      </c>
      <c r="H414" s="9" t="n">
        <v>576</v>
      </c>
      <c r="I414" s="9" t="inlineStr">
        <is>
          <t>Utility OF / 4th OF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3">
        <f>SUMPRODUCT(M414:X414,$M$2:$X$2)*$K414*$L414</f>
        <v/>
      </c>
      <c r="Z414" s="14">
        <f>SUM(M414:X414)</f>
        <v/>
      </c>
      <c r="AA414" s="14">
        <f>IFERROR(IF(UPPER($E414)="L",SUMPRODUCT(M414:X414,$M$3:$X$3,$M$2:$X$2),SUMPRODUCT(M414:X414,$M$4:$X$4,$M$2:$X$2))/(Y414/($K414*$L414)),"")</f>
        <v/>
      </c>
      <c r="AB414" s="18" t="n"/>
    </row>
    <row r="415">
      <c r="A415" s="9" t="n">
        <v>801954</v>
      </c>
      <c r="B415" s="9" t="inlineStr">
        <is>
          <t>Beau Ankeney</t>
        </is>
      </c>
      <c r="C415" s="9" t="inlineStr">
        <is>
          <t>DET</t>
        </is>
      </c>
      <c r="D415" s="9" t="n">
        <v>25</v>
      </c>
      <c r="E415" s="16" t="inlineStr">
        <is>
          <t>R</t>
        </is>
      </c>
      <c r="F415" s="16" t="n"/>
      <c r="G415" s="9" t="n">
        <v>23.17948717948718</v>
      </c>
      <c r="H415" s="9" t="n">
        <v>23.17948717948718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3">
        <f>SUMPRODUCT(M415:X415,$M$2:$X$2)*$K415*$L415</f>
        <v/>
      </c>
      <c r="Z415" s="14">
        <f>SUM(M415:X415)</f>
        <v/>
      </c>
      <c r="AA415" s="14">
        <f>IFERROR(IF(UPPER($E415)="L",SUMPRODUCT(M415:X415,$M$3:$X$3,$M$2:$X$2),SUMPRODUCT(M415:X415,$M$4:$X$4,$M$2:$X$2))/(Y415/($K415*$L415)),"")</f>
        <v/>
      </c>
      <c r="AB415" s="18" t="n"/>
    </row>
    <row r="416">
      <c r="A416" s="9" t="n">
        <v>670868</v>
      </c>
      <c r="B416" s="9" t="inlineStr">
        <is>
          <t>Abrahan Gutierrez</t>
        </is>
      </c>
      <c r="C416" s="9" t="inlineStr">
        <is>
          <t>NYY</t>
        </is>
      </c>
      <c r="D416" s="9" t="n">
        <v>25</v>
      </c>
      <c r="E416" s="16" t="inlineStr">
        <is>
          <t>R</t>
        </is>
      </c>
      <c r="F416" s="16" t="n"/>
      <c r="G416" s="9" t="n">
        <v>31.02564102564103</v>
      </c>
      <c r="H416" s="9" t="n">
        <v>31.02564102564103</v>
      </c>
      <c r="I416" s="9" t="inlineStr">
        <is>
          <t>Depth (no MLB PA)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3">
        <f>SUMPRODUCT(M416:X416,$M$2:$X$2)*$K416*$L416</f>
        <v/>
      </c>
      <c r="Z416" s="14">
        <f>SUM(M416:X416)</f>
        <v/>
      </c>
      <c r="AA416" s="14">
        <f>IFERROR(IF(UPPER($E416)="L",SUMPRODUCT(M416:X416,$M$3:$X$3,$M$2:$X$2),SUMPRODUCT(M416:X416,$M$4:$X$4,$M$2:$X$2))/(Y416/($K416*$L416)),"")</f>
        <v/>
      </c>
      <c r="AB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n"/>
      <c r="G417" s="9" t="n">
        <v>12</v>
      </c>
      <c r="H417" s="9" t="n">
        <v>126</v>
      </c>
      <c r="I417" s="9" t="inlineStr">
        <is>
          <t>Bench Bat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3">
        <f>SUMPRODUCT(M417:X417,$M$2:$X$2)*$K417*$L417</f>
        <v/>
      </c>
      <c r="Z417" s="14">
        <f>SUM(M417:X417)</f>
        <v/>
      </c>
      <c r="AA417" s="14">
        <f>IFERROR(IF(UPPER($E417)="L",SUMPRODUCT(M417:X417,$M$3:$X$3,$M$2:$X$2),SUMPRODUCT(M417:X417,$M$4:$X$4,$M$2:$X$2))/(Y417/($K417*$L417)),"")</f>
        <v/>
      </c>
      <c r="AB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n"/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3">
        <f>SUMPRODUCT(M418:X418,$M$2:$X$2)*$K418*$L418</f>
        <v/>
      </c>
      <c r="Z418" s="14">
        <f>SUM(M418:X418)</f>
        <v/>
      </c>
      <c r="AA418" s="14">
        <f>IFERROR(IF(UPPER($E418)="L",SUMPRODUCT(M418:X418,$M$3:$X$3,$M$2:$X$2),SUMPRODUCT(M418:X418,$M$4:$X$4,$M$2:$X$2))/(Y418/($K418*$L418)),"")</f>
        <v/>
      </c>
      <c r="AB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n"/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3">
        <f>SUMPRODUCT(M419:X419,$M$2:$X$2)*$K419*$L419</f>
        <v/>
      </c>
      <c r="Z419" s="14">
        <f>SUM(M419:X419)</f>
        <v/>
      </c>
      <c r="AA419" s="14">
        <f>IFERROR(IF(UPPER($E419)="L",SUMPRODUCT(M419:X419,$M$3:$X$3,$M$2:$X$2),SUMPRODUCT(M419:X419,$M$4:$X$4,$M$2:$X$2))/(Y419/($K419*$L419)),"")</f>
        <v/>
      </c>
      <c r="AB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3">
        <f>SUMPRODUCT(M420:X420,$M$2:$X$2)*$K420*$L420</f>
        <v/>
      </c>
      <c r="Z420" s="14">
        <f>SUM(M420:X420)</f>
        <v/>
      </c>
      <c r="AA420" s="14">
        <f>IFERROR(IF(UPPER($E420)="L",SUMPRODUCT(M420:X420,$M$3:$X$3,$M$2:$X$2),SUMPRODUCT(M420:X420,$M$4:$X$4,$M$2:$X$2))/(Y420/($K420*$L420)),"")</f>
        <v/>
      </c>
      <c r="AB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n"/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/>
      <c r="W421" s="17" t="n"/>
      <c r="X421" s="17" t="n"/>
      <c r="Y421" s="13">
        <f>SUMPRODUCT(M421:X421,$M$2:$X$2)*$K421*$L421</f>
        <v/>
      </c>
      <c r="Z421" s="14">
        <f>SUM(M421:X421)</f>
        <v/>
      </c>
      <c r="AA421" s="14">
        <f>IFERROR(IF(UPPER($E421)="L",SUMPRODUCT(M421:X421,$M$3:$X$3,$M$2:$X$2),SUMPRODUCT(M421:X421,$M$4:$X$4,$M$2:$X$2))/(Y421/($K421*$L421)),"")</f>
        <v/>
      </c>
      <c r="AB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n"/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Opening Day</t>
        </is>
      </c>
      <c r="K422" s="11">
        <f>IFERROR(INDEX(Roles!$B$17:$B$20,MATCH(J422,Roles!$A$17:$A$20,0)),1)</f>
        <v/>
      </c>
      <c r="L422" s="17" t="n">
        <v>1</v>
      </c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/>
      <c r="W422" s="17" t="n"/>
      <c r="X422" s="17" t="n"/>
      <c r="Y422" s="13">
        <f>SUMPRODUCT(M422:X422,$M$2:$X$2)*$K422*$L422</f>
        <v/>
      </c>
      <c r="Z422" s="14">
        <f>SUM(M422:X422)</f>
        <v/>
      </c>
      <c r="AA422" s="14">
        <f>IFERROR(IF(UPPER($E422)="L",SUMPRODUCT(M422:X422,$M$3:$X$3,$M$2:$X$2),SUMPRODUCT(M422:X422,$M$4:$X$4,$M$2:$X$2))/(Y422/($K422*$L422)),"")</f>
        <v/>
      </c>
      <c r="AB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3">
        <f>SUMPRODUCT(M423:X423,$M$2:$X$2)*$K423*$L423</f>
        <v/>
      </c>
      <c r="Z423" s="14">
        <f>SUM(M423:X423)</f>
        <v/>
      </c>
      <c r="AA423" s="14">
        <f>IFERROR(IF(UPPER($E423)="L",SUMPRODUCT(M423:X423,$M$3:$X$3,$M$2:$X$2),SUMPRODUCT(M423:X423,$M$4:$X$4,$M$2:$X$2))/(Y423/($K423*$L423)),"")</f>
        <v/>
      </c>
      <c r="AB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3">
        <f>SUMPRODUCT(M424:X424,$M$2:$X$2)*$K424*$L424</f>
        <v/>
      </c>
      <c r="Z424" s="14">
        <f>SUM(M424:X424)</f>
        <v/>
      </c>
      <c r="AA424" s="14">
        <f>IFERROR(IF(UPPER($E424)="L",SUMPRODUCT(M424:X424,$M$3:$X$3,$M$2:$X$2),SUMPRODUCT(M424:X424,$M$4:$X$4,$M$2:$X$2))/(Y424/($K424*$L424)),"")</f>
        <v/>
      </c>
      <c r="AB424" s="18" t="n"/>
    </row>
    <row r="425">
      <c r="A425" s="9" t="n">
        <v>689200</v>
      </c>
      <c r="B425" s="9" t="inlineStr">
        <is>
          <t>Jacob Melton</t>
        </is>
      </c>
      <c r="C425" s="9" t="inlineStr">
        <is>
          <t>HOU</t>
        </is>
      </c>
      <c r="D425" s="9" t="n">
        <v>26</v>
      </c>
      <c r="E425" s="16" t="inlineStr">
        <is>
          <t>L</t>
        </is>
      </c>
      <c r="F425" s="16" t="n"/>
      <c r="G425" s="9" t="n">
        <v>78</v>
      </c>
      <c r="H425" s="9" t="n">
        <v>78</v>
      </c>
      <c r="I425" s="9" t="inlineStr">
        <is>
          <t>Bench Bat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3">
        <f>SUMPRODUCT(M425:X425,$M$2:$X$2)*$K425*$L425</f>
        <v/>
      </c>
      <c r="Z425" s="14">
        <f>SUM(M425:X425)</f>
        <v/>
      </c>
      <c r="AA425" s="14">
        <f>IFERROR(IF(UPPER($E425)="L",SUMPRODUCT(M425:X425,$M$3:$X$3,$M$2:$X$2),SUMPRODUCT(M425:X425,$M$4:$X$4,$M$2:$X$2))/(Y425/($K425*$L425)),"")</f>
        <v/>
      </c>
      <c r="AB425" s="18" t="n"/>
    </row>
    <row r="426">
      <c r="A426" s="9" t="n">
        <v>834962</v>
      </c>
      <c r="B426" s="9" t="inlineStr">
        <is>
          <t>Anthony DePino</t>
        </is>
      </c>
      <c r="C426" s="9" t="inlineStr">
        <is>
          <t>CWS</t>
        </is>
      </c>
      <c r="D426" s="9" t="n">
        <v>25</v>
      </c>
      <c r="E426" s="16" t="inlineStr">
        <is>
          <t>R</t>
        </is>
      </c>
      <c r="F426" s="16" t="n"/>
      <c r="G426" s="9" t="n">
        <v>137.8461538461538</v>
      </c>
      <c r="H426" s="9" t="n">
        <v>137.8461538461538</v>
      </c>
      <c r="I426" s="9" t="inlineStr">
        <is>
          <t>Depth (no MLB PA)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/>
      <c r="X426" s="17" t="n"/>
      <c r="Y426" s="13">
        <f>SUMPRODUCT(M426:X426,$M$2:$X$2)*$K426*$L426</f>
        <v/>
      </c>
      <c r="Z426" s="14">
        <f>SUM(M426:X426)</f>
        <v/>
      </c>
      <c r="AA426" s="14">
        <f>IFERROR(IF(UPPER($E426)="L",SUMPRODUCT(M426:X426,$M$3:$X$3,$M$2:$X$2),SUMPRODUCT(M426:X426,$M$4:$X$4,$M$2:$X$2))/(Y426/($K426*$L426)),"")</f>
        <v/>
      </c>
      <c r="AB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3">
        <f>SUMPRODUCT(M427:X427,$M$2:$X$2)*$K427*$L427</f>
        <v/>
      </c>
      <c r="Z427" s="14">
        <f>SUM(M427:X427)</f>
        <v/>
      </c>
      <c r="AA427" s="14">
        <f>IFERROR(IF(UPPER($E427)="L",SUMPRODUCT(M427:X427,$M$3:$X$3,$M$2:$X$2),SUMPRODUCT(M427:X427,$M$4:$X$4,$M$2:$X$2))/(Y427/($K427*$L427)),"")</f>
        <v/>
      </c>
      <c r="AB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3">
        <f>SUMPRODUCT(M428:X428,$M$2:$X$2)*$K428*$L428</f>
        <v/>
      </c>
      <c r="Z428" s="14">
        <f>SUM(M428:X428)</f>
        <v/>
      </c>
      <c r="AA428" s="14">
        <f>IFERROR(IF(UPPER($E428)="L",SUMPRODUCT(M428:X428,$M$3:$X$3,$M$2:$X$2),SUMPRODUCT(M428:X428,$M$4:$X$4,$M$2:$X$2))/(Y428/($K428*$L428)),"")</f>
        <v/>
      </c>
      <c r="AB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n"/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/>
      <c r="X429" s="17" t="n"/>
      <c r="Y429" s="13">
        <f>SUMPRODUCT(M429:X429,$M$2:$X$2)*$K429*$L429</f>
        <v/>
      </c>
      <c r="Z429" s="14">
        <f>SUM(M429:X429)</f>
        <v/>
      </c>
      <c r="AA429" s="14">
        <f>IFERROR(IF(UPPER($E429)="L",SUMPRODUCT(M429:X429,$M$3:$X$3,$M$2:$X$2),SUMPRODUCT(M429:X429,$M$4:$X$4,$M$2:$X$2))/(Y429/($K429*$L429)),"")</f>
        <v/>
      </c>
      <c r="AB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3">
        <f>SUMPRODUCT(M430:X430,$M$2:$X$2)*$K430*$L430</f>
        <v/>
      </c>
      <c r="Z430" s="14">
        <f>SUM(M430:X430)</f>
        <v/>
      </c>
      <c r="AA430" s="14">
        <f>IFERROR(IF(UPPER($E430)="L",SUMPRODUCT(M430:X430,$M$3:$X$3,$M$2:$X$2),SUMPRODUCT(M430:X430,$M$4:$X$4,$M$2:$X$2))/(Y430/($K430*$L430)),"")</f>
        <v/>
      </c>
      <c r="AB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n"/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3">
        <f>SUMPRODUCT(M431:X431,$M$2:$X$2)*$K431*$L431</f>
        <v/>
      </c>
      <c r="Z431" s="14">
        <f>SUM(M431:X431)</f>
        <v/>
      </c>
      <c r="AA431" s="14">
        <f>IFERROR(IF(UPPER($E431)="L",SUMPRODUCT(M431:X431,$M$3:$X$3,$M$2:$X$2),SUMPRODUCT(M431:X431,$M$4:$X$4,$M$2:$X$2))/(Y431/($K431*$L431)),"")</f>
        <v/>
      </c>
      <c r="AB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3">
        <f>SUMPRODUCT(M432:X432,$M$2:$X$2)*$K432*$L432</f>
        <v/>
      </c>
      <c r="Z432" s="14">
        <f>SUM(M432:X432)</f>
        <v/>
      </c>
      <c r="AA432" s="14">
        <f>IFERROR(IF(UPPER($E432)="L",SUMPRODUCT(M432:X432,$M$3:$X$3,$M$2:$X$2),SUMPRODUCT(M432:X432,$M$4:$X$4,$M$2:$X$2))/(Y432/($K432*$L432)),"")</f>
        <v/>
      </c>
      <c r="AB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3">
        <f>SUMPRODUCT(M433:X433,$M$2:$X$2)*$K433*$L433</f>
        <v/>
      </c>
      <c r="Z433" s="14">
        <f>SUM(M433:X433)</f>
        <v/>
      </c>
      <c r="AA433" s="14">
        <f>IFERROR(IF(UPPER($E433)="L",SUMPRODUCT(M433:X433,$M$3:$X$3,$M$2:$X$2),SUMPRODUCT(M433:X433,$M$4:$X$4,$M$2:$X$2))/(Y433/($K433*$L433)),"")</f>
        <v/>
      </c>
      <c r="AB433" s="18" t="n"/>
    </row>
    <row r="434">
      <c r="A434" s="9" t="n">
        <v>822578</v>
      </c>
      <c r="B434" s="9" t="inlineStr">
        <is>
          <t>Brandon Butterworth</t>
        </is>
      </c>
      <c r="C434" s="9" t="inlineStr">
        <is>
          <t>BAL</t>
        </is>
      </c>
      <c r="D434" s="9" t="n">
        <v>25</v>
      </c>
      <c r="E434" s="16" t="inlineStr">
        <is>
          <t>R</t>
        </is>
      </c>
      <c r="F434" s="16" t="n"/>
      <c r="G434" s="9" t="n">
        <v>60.92307692307693</v>
      </c>
      <c r="H434" s="9" t="n">
        <v>60.92307692307693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3">
        <f>SUMPRODUCT(M434:X434,$M$2:$X$2)*$K434*$L434</f>
        <v/>
      </c>
      <c r="Z434" s="14">
        <f>SUM(M434:X434)</f>
        <v/>
      </c>
      <c r="AA434" s="14">
        <f>IFERROR(IF(UPPER($E434)="L",SUMPRODUCT(M434:X434,$M$3:$X$3,$M$2:$X$2),SUMPRODUCT(M434:X434,$M$4:$X$4,$M$2:$X$2))/(Y434/($K434*$L434)),"")</f>
        <v/>
      </c>
      <c r="AB434" s="18" t="n"/>
    </row>
    <row r="435">
      <c r="A435" s="9" t="n">
        <v>815044</v>
      </c>
      <c r="B435" s="9" t="inlineStr">
        <is>
          <t>Sam Mongelli</t>
        </is>
      </c>
      <c r="C435" s="9" t="inlineStr">
        <is>
          <t>LAD</t>
        </is>
      </c>
      <c r="D435" s="9" t="n">
        <v>25</v>
      </c>
      <c r="E435" s="16" t="inlineStr">
        <is>
          <t>R</t>
        </is>
      </c>
      <c r="F435" s="16" t="n"/>
      <c r="G435" s="9" t="n">
        <v>14</v>
      </c>
      <c r="H435" s="9" t="n">
        <v>14</v>
      </c>
      <c r="I435" s="9" t="inlineStr">
        <is>
          <t>Depth (no MLB PA)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  <c r="V435" s="17" t="n"/>
      <c r="W435" s="17" t="n"/>
      <c r="X435" s="17" t="n"/>
      <c r="Y435" s="13">
        <f>SUMPRODUCT(M435:X435,$M$2:$X$2)*$K435*$L435</f>
        <v/>
      </c>
      <c r="Z435" s="14">
        <f>SUM(M435:X435)</f>
        <v/>
      </c>
      <c r="AA435" s="14">
        <f>IFERROR(IF(UPPER($E435)="L",SUMPRODUCT(M435:X435,$M$3:$X$3,$M$2:$X$2),SUMPRODUCT(M435:X435,$M$4:$X$4,$M$2:$X$2))/(Y435/($K435*$L435)),"")</f>
        <v/>
      </c>
      <c r="AB435" s="18" t="n"/>
    </row>
    <row r="436">
      <c r="A436" s="9" t="n">
        <v>624641</v>
      </c>
      <c r="B436" s="9" t="inlineStr">
        <is>
          <t>Edmundo Sosa</t>
        </is>
      </c>
      <c r="C436" s="9" t="inlineStr">
        <is>
          <t>PHI</t>
        </is>
      </c>
      <c r="D436" s="9" t="n">
        <v>31</v>
      </c>
      <c r="E436" s="16" t="inlineStr">
        <is>
          <t>R</t>
        </is>
      </c>
      <c r="F436" s="16" t="n"/>
      <c r="G436" s="9" t="n">
        <v>250</v>
      </c>
      <c r="H436" s="9" t="n">
        <v>1275</v>
      </c>
      <c r="I436" s="9" t="inlineStr">
        <is>
          <t>Utility OF / 4th OF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3">
        <f>SUMPRODUCT(M436:X436,$M$2:$X$2)*$K436*$L436</f>
        <v/>
      </c>
      <c r="Z436" s="14">
        <f>SUM(M436:X436)</f>
        <v/>
      </c>
      <c r="AA436" s="14">
        <f>IFERROR(IF(UPPER($E436)="L",SUMPRODUCT(M436:X436,$M$3:$X$3,$M$2:$X$2),SUMPRODUCT(M436:X436,$M$4:$X$4,$M$2:$X$2))/(Y436/($K436*$L436)),"")</f>
        <v/>
      </c>
      <c r="AB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3">
        <f>SUMPRODUCT(M437:X437,$M$2:$X$2)*$K437*$L437</f>
        <v/>
      </c>
      <c r="Z437" s="14">
        <f>SUM(M437:X437)</f>
        <v/>
      </c>
      <c r="AA437" s="14">
        <f>IFERROR(IF(UPPER($E437)="L",SUMPRODUCT(M437:X437,$M$3:$X$3,$M$2:$X$2),SUMPRODUCT(M437:X437,$M$4:$X$4,$M$2:$X$2))/(Y437/($K437*$L437)),"")</f>
        <v/>
      </c>
      <c r="AB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25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3">
        <f>SUMPRODUCT(M438:X438,$M$2:$X$2)*$K438*$L438</f>
        <v/>
      </c>
      <c r="Z438" s="14">
        <f>SUM(M438:X438)</f>
        <v/>
      </c>
      <c r="AA438" s="14">
        <f>IFERROR(IF(UPPER($E438)="L",SUMPRODUCT(M438:X438,$M$3:$X$3,$M$2:$X$2),SUMPRODUCT(M438:X438,$M$4:$X$4,$M$2:$X$2))/(Y438/($K438*$L438)),"")</f>
        <v/>
      </c>
      <c r="AB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25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Depth (no MLB PA)</t>
        </is>
      </c>
      <c r="J439" s="16" t="inlineStr">
        <is>
          <t>Opening Day</t>
        </is>
      </c>
      <c r="K439" s="11">
        <f>IFERROR(INDEX(Roles!$B$17:$B$20,MATCH(J439,Roles!$A$17:$A$20,0)),1)</f>
        <v/>
      </c>
      <c r="L439" s="17" t="n">
        <v>1</v>
      </c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/>
      <c r="Y439" s="13">
        <f>SUMPRODUCT(M439:X439,$M$2:$X$2)*$K439*$L439</f>
        <v/>
      </c>
      <c r="Z439" s="14">
        <f>SUM(M439:X439)</f>
        <v/>
      </c>
      <c r="AA439" s="14">
        <f>IFERROR(IF(UPPER($E439)="L",SUMPRODUCT(M439:X439,$M$3:$X$3,$M$2:$X$2),SUMPRODUCT(M439:X439,$M$4:$X$4,$M$2:$X$2))/(Y439/($K439*$L439)),"")</f>
        <v/>
      </c>
      <c r="AB439" s="18" t="n"/>
    </row>
    <row r="440">
      <c r="A440" s="9" t="n">
        <v>669261</v>
      </c>
      <c r="B440" s="9" t="inlineStr">
        <is>
          <t>Jack Suwinski</t>
        </is>
      </c>
      <c r="C440" s="9" t="inlineStr">
        <is>
          <t>PIT</t>
        </is>
      </c>
      <c r="D440" s="9" t="n">
        <v>28</v>
      </c>
      <c r="E440" s="16" t="inlineStr">
        <is>
          <t>L</t>
        </is>
      </c>
      <c r="F440" s="16" t="n"/>
      <c r="G440" s="9" t="n">
        <v>178</v>
      </c>
      <c r="H440" s="9" t="n">
        <v>1361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/>
      <c r="X440" s="17" t="n"/>
      <c r="Y440" s="13">
        <f>SUMPRODUCT(M440:X440,$M$2:$X$2)*$K440*$L440</f>
        <v/>
      </c>
      <c r="Z440" s="14">
        <f>SUM(M440:X440)</f>
        <v/>
      </c>
      <c r="AA440" s="14">
        <f>IFERROR(IF(UPPER($E440)="L",SUMPRODUCT(M440:X440,$M$3:$X$3,$M$2:$X$2),SUMPRODUCT(M440:X440,$M$4:$X$4,$M$2:$X$2))/(Y440/($K440*$L440)),"")</f>
        <v/>
      </c>
      <c r="AB440" s="18" t="n"/>
    </row>
    <row r="441">
      <c r="A441" s="9" t="n">
        <v>681584</v>
      </c>
      <c r="B441" s="9" t="inlineStr">
        <is>
          <t>David Villar</t>
        </is>
      </c>
      <c r="C441" s="9" t="inlineStr">
        <is>
          <t>SF</t>
        </is>
      </c>
      <c r="D441" s="9" t="n">
        <v>30</v>
      </c>
      <c r="E441" s="16" t="inlineStr">
        <is>
          <t>R</t>
        </is>
      </c>
      <c r="F441" s="16" t="n"/>
      <c r="G441" s="9" t="n">
        <v>25</v>
      </c>
      <c r="H441" s="9" t="n">
        <v>383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/>
      <c r="X441" s="17" t="n"/>
      <c r="Y441" s="13">
        <f>SUMPRODUCT(M441:X441,$M$2:$X$2)*$K441*$L441</f>
        <v/>
      </c>
      <c r="Z441" s="14">
        <f>SUM(M441:X441)</f>
        <v/>
      </c>
      <c r="AA441" s="14">
        <f>IFERROR(IF(UPPER($E441)="L",SUMPRODUCT(M441:X441,$M$3:$X$3,$M$2:$X$2),SUMPRODUCT(M441:X441,$M$4:$X$4,$M$2:$X$2))/(Y441/($K441*$L441)),"")</f>
        <v/>
      </c>
      <c r="AB441" s="18" t="n"/>
    </row>
    <row r="442">
      <c r="A442" s="9" t="n">
        <v>827665</v>
      </c>
      <c r="B442" s="9" t="inlineStr">
        <is>
          <t>Dillon Lewis</t>
        </is>
      </c>
      <c r="C442" s="9" t="inlineStr">
        <is>
          <t>MIA</t>
        </is>
      </c>
      <c r="D442" s="9" t="n">
        <v>25</v>
      </c>
      <c r="E442" s="16" t="inlineStr">
        <is>
          <t>R</t>
        </is>
      </c>
      <c r="F442" s="16" t="n"/>
      <c r="G442" s="9" t="n">
        <v>131.7435897435897</v>
      </c>
      <c r="H442" s="9" t="n">
        <v>131.7435897435897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3">
        <f>SUMPRODUCT(M442:X442,$M$2:$X$2)*$K442*$L442</f>
        <v/>
      </c>
      <c r="Z442" s="14">
        <f>SUM(M442:X442)</f>
        <v/>
      </c>
      <c r="AA442" s="14">
        <f>IFERROR(IF(UPPER($E442)="L",SUMPRODUCT(M442:X442,$M$3:$X$3,$M$2:$X$2),SUMPRODUCT(M442:X442,$M$4:$X$4,$M$2:$X$2))/(Y442/($K442*$L442)),"")</f>
        <v/>
      </c>
      <c r="AB442" s="18" t="n"/>
    </row>
    <row r="443">
      <c r="A443" s="9" t="n">
        <v>687554</v>
      </c>
      <c r="B443" s="9" t="inlineStr">
        <is>
          <t>DJ Gladney</t>
        </is>
      </c>
      <c r="C443" s="9" t="inlineStr">
        <is>
          <t>NYY</t>
        </is>
      </c>
      <c r="D443" s="9" t="n">
        <v>25</v>
      </c>
      <c r="E443" s="16" t="inlineStr">
        <is>
          <t>R</t>
        </is>
      </c>
      <c r="F443" s="16" t="n"/>
      <c r="G443" s="9" t="n">
        <v>170.1538461538462</v>
      </c>
      <c r="H443" s="9" t="n">
        <v>170.1538461538462</v>
      </c>
      <c r="I443" s="9" t="inlineStr">
        <is>
          <t>Depth (no MLB PA)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3">
        <f>SUMPRODUCT(M443:X443,$M$2:$X$2)*$K443*$L443</f>
        <v/>
      </c>
      <c r="Z443" s="14">
        <f>SUM(M443:X443)</f>
        <v/>
      </c>
      <c r="AA443" s="14">
        <f>IFERROR(IF(UPPER($E443)="L",SUMPRODUCT(M443:X443,$M$3:$X$3,$M$2:$X$2),SUMPRODUCT(M443:X443,$M$4:$X$4,$M$2:$X$2))/(Y443/($K443*$L443)),"")</f>
        <v/>
      </c>
      <c r="AB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n"/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/>
      <c r="W444" s="17" t="n"/>
      <c r="X444" s="17" t="n"/>
      <c r="Y444" s="13">
        <f>SUMPRODUCT(M444:X444,$M$2:$X$2)*$K444*$L444</f>
        <v/>
      </c>
      <c r="Z444" s="14">
        <f>SUM(M444:X444)</f>
        <v/>
      </c>
      <c r="AA444" s="14">
        <f>IFERROR(IF(UPPER($E444)="L",SUMPRODUCT(M444:X444,$M$3:$X$3,$M$2:$X$2),SUMPRODUCT(M444:X444,$M$4:$X$4,$M$2:$X$2))/(Y444/($K444*$L444)),"")</f>
        <v/>
      </c>
      <c r="AB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n"/>
      <c r="G445" s="9" t="n">
        <v>408</v>
      </c>
      <c r="H445" s="9" t="n">
        <v>2379</v>
      </c>
      <c r="I445" s="9" t="inlineStr">
        <is>
          <t>Full Time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3">
        <f>SUMPRODUCT(M445:X445,$M$2:$X$2)*$K445*$L445</f>
        <v/>
      </c>
      <c r="Z445" s="14">
        <f>SUM(M445:X445)</f>
        <v/>
      </c>
      <c r="AA445" s="14">
        <f>IFERROR(IF(UPPER($E445)="L",SUMPRODUCT(M445:X445,$M$3:$X$3,$M$2:$X$2),SUMPRODUCT(M445:X445,$M$4:$X$4,$M$2:$X$2))/(Y445/($K445*$L445)),"")</f>
        <v/>
      </c>
      <c r="AB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3">
        <f>SUMPRODUCT(M446:X446,$M$2:$X$2)*$K446*$L446</f>
        <v/>
      </c>
      <c r="Z446" s="14">
        <f>SUM(M446:X446)</f>
        <v/>
      </c>
      <c r="AA446" s="14">
        <f>IFERROR(IF(UPPER($E446)="L",SUMPRODUCT(M446:X446,$M$3:$X$3,$M$2:$X$2),SUMPRODUCT(M446:X446,$M$4:$X$4,$M$2:$X$2))/(Y446/($K446*$L446)),"")</f>
        <v/>
      </c>
      <c r="AB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3">
        <f>SUMPRODUCT(M447:X447,$M$2:$X$2)*$K447*$L447</f>
        <v/>
      </c>
      <c r="Z447" s="14">
        <f>SUM(M447:X447)</f>
        <v/>
      </c>
      <c r="AA447" s="14">
        <f>IFERROR(IF(UPPER($E447)="L",SUMPRODUCT(M447:X447,$M$3:$X$3,$M$2:$X$2),SUMPRODUCT(M447:X447,$M$4:$X$4,$M$2:$X$2))/(Y447/($K447*$L447)),"")</f>
        <v/>
      </c>
      <c r="AB447" s="18" t="n"/>
    </row>
    <row r="448">
      <c r="A448" s="9" t="n">
        <v>691777</v>
      </c>
      <c r="B448" s="9" t="inlineStr">
        <is>
          <t>Max Muncy</t>
        </is>
      </c>
      <c r="C448" s="9" t="inlineStr">
        <is>
          <t>OAK</t>
        </is>
      </c>
      <c r="D448" s="9" t="n">
        <v>24</v>
      </c>
      <c r="E448" s="16" t="inlineStr">
        <is>
          <t>R</t>
        </is>
      </c>
      <c r="F448" s="16" t="n"/>
      <c r="G448" s="9" t="n">
        <v>284</v>
      </c>
      <c r="H448" s="9" t="n">
        <v>504</v>
      </c>
      <c r="I448" s="9" t="inlineStr">
        <is>
          <t>Utility OF / 4th OF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3">
        <f>SUMPRODUCT(M448:X448,$M$2:$X$2)*$K448*$L448</f>
        <v/>
      </c>
      <c r="Z448" s="14">
        <f>SUM(M448:X448)</f>
        <v/>
      </c>
      <c r="AA448" s="14">
        <f>IFERROR(IF(UPPER($E448)="L",SUMPRODUCT(M448:X448,$M$3:$X$3,$M$2:$X$2),SUMPRODUCT(M448:X448,$M$4:$X$4,$M$2:$X$2))/(Y448/($K448*$L448)),"")</f>
        <v/>
      </c>
      <c r="AB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3">
        <f>SUMPRODUCT(M449:X449,$M$2:$X$2)*$K449*$L449</f>
        <v/>
      </c>
      <c r="Z449" s="14">
        <f>SUM(M449:X449)</f>
        <v/>
      </c>
      <c r="AA449" s="14">
        <f>IFERROR(IF(UPPER($E449)="L",SUMPRODUCT(M449:X449,$M$3:$X$3,$M$2:$X$2),SUMPRODUCT(M449:X449,$M$4:$X$4,$M$2:$X$2))/(Y449/($K449*$L449)),"")</f>
        <v/>
      </c>
      <c r="AB449" s="18" t="n"/>
    </row>
    <row r="450">
      <c r="A450" s="9" t="n">
        <v>801629</v>
      </c>
      <c r="B450" s="9" t="inlineStr">
        <is>
          <t>Cade McGee</t>
        </is>
      </c>
      <c r="C450" s="9" t="inlineStr">
        <is>
          <t>STL</t>
        </is>
      </c>
      <c r="D450" s="9" t="n">
        <v>25</v>
      </c>
      <c r="E450" s="16" t="inlineStr">
        <is>
          <t>R</t>
        </is>
      </c>
      <c r="F450" s="16" t="n"/>
      <c r="G450" s="9" t="n">
        <v>15.07692307692308</v>
      </c>
      <c r="H450" s="9" t="n">
        <v>15.07692307692308</v>
      </c>
      <c r="I450" s="9" t="inlineStr">
        <is>
          <t>Depth (no MLB PA)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  <c r="V450" s="17" t="n"/>
      <c r="W450" s="17" t="n"/>
      <c r="X450" s="17" t="n"/>
      <c r="Y450" s="13">
        <f>SUMPRODUCT(M450:X450,$M$2:$X$2)*$K450*$L450</f>
        <v/>
      </c>
      <c r="Z450" s="14">
        <f>SUM(M450:X450)</f>
        <v/>
      </c>
      <c r="AA450" s="14">
        <f>IFERROR(IF(UPPER($E450)="L",SUMPRODUCT(M450:X450,$M$3:$X$3,$M$2:$X$2),SUMPRODUCT(M450:X450,$M$4:$X$4,$M$2:$X$2))/(Y450/($K450*$L450)),"")</f>
        <v/>
      </c>
      <c r="AB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3">
        <f>SUMPRODUCT(M451:X451,$M$2:$X$2)*$K451*$L451</f>
        <v/>
      </c>
      <c r="Z451" s="14">
        <f>SUM(M451:X451)</f>
        <v/>
      </c>
      <c r="AA451" s="14">
        <f>IFERROR(IF(UPPER($E451)="L",SUMPRODUCT(M451:X451,$M$3:$X$3,$M$2:$X$2),SUMPRODUCT(M451:X451,$M$4:$X$4,$M$2:$X$2))/(Y451/($K451*$L451)),"")</f>
        <v/>
      </c>
      <c r="AB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3">
        <f>SUMPRODUCT(M452:X452,$M$2:$X$2)*$K452*$L452</f>
        <v/>
      </c>
      <c r="Z452" s="14">
        <f>SUM(M452:X452)</f>
        <v/>
      </c>
      <c r="AA452" s="14">
        <f>IFERROR(IF(UPPER($E452)="L",SUMPRODUCT(M452:X452,$M$3:$X$3,$M$2:$X$2),SUMPRODUCT(M452:X452,$M$4:$X$4,$M$2:$X$2))/(Y452/($K452*$L452)),"")</f>
        <v/>
      </c>
      <c r="AB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n"/>
      <c r="G453" s="9" t="n">
        <v>655</v>
      </c>
      <c r="H453" s="9" t="n">
        <v>1006</v>
      </c>
      <c r="I453" s="9" t="inlineStr">
        <is>
          <t>Full Time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3">
        <f>SUMPRODUCT(M453:X453,$M$2:$X$2)*$K453*$L453</f>
        <v/>
      </c>
      <c r="Z453" s="14">
        <f>SUM(M453:X453)</f>
        <v/>
      </c>
      <c r="AA453" s="14">
        <f>IFERROR(IF(UPPER($E453)="L",SUMPRODUCT(M453:X453,$M$3:$X$3,$M$2:$X$2),SUMPRODUCT(M453:X453,$M$4:$X$4,$M$2:$X$2))/(Y453/($K453*$L453)),"")</f>
        <v/>
      </c>
      <c r="AB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3">
        <f>SUMPRODUCT(M454:X454,$M$2:$X$2)*$K454*$L454</f>
        <v/>
      </c>
      <c r="Z454" s="14">
        <f>SUM(M454:X454)</f>
        <v/>
      </c>
      <c r="AA454" s="14">
        <f>IFERROR(IF(UPPER($E454)="L",SUMPRODUCT(M454:X454,$M$3:$X$3,$M$2:$X$2),SUMPRODUCT(M454:X454,$M$4:$X$4,$M$2:$X$2))/(Y454/($K454*$L454)),"")</f>
        <v/>
      </c>
      <c r="AB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3">
        <f>SUMPRODUCT(M455:X455,$M$2:$X$2)*$K455*$L455</f>
        <v/>
      </c>
      <c r="Z455" s="14">
        <f>SUM(M455:X455)</f>
        <v/>
      </c>
      <c r="AA455" s="14">
        <f>IFERROR(IF(UPPER($E455)="L",SUMPRODUCT(M455:X455,$M$3:$X$3,$M$2:$X$2),SUMPRODUCT(M455:X455,$M$4:$X$4,$M$2:$X$2))/(Y455/($K455*$L455)),"")</f>
        <v/>
      </c>
      <c r="AB455" s="18" t="n"/>
    </row>
    <row r="456">
      <c r="A456" s="9" t="n">
        <v>694974</v>
      </c>
      <c r="B456" s="9" t="inlineStr">
        <is>
          <t>Colby Shade</t>
        </is>
      </c>
      <c r="C456" s="9" t="inlineStr">
        <is>
          <t>MIA</t>
        </is>
      </c>
      <c r="D456" s="9" t="n">
        <v>25</v>
      </c>
      <c r="E456" s="16" t="inlineStr">
        <is>
          <t>R</t>
        </is>
      </c>
      <c r="F456" s="16" t="n"/>
      <c r="G456" s="9" t="n">
        <v>39.48717948717948</v>
      </c>
      <c r="H456" s="9" t="n">
        <v>39.48717948717948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3">
        <f>SUMPRODUCT(M456:X456,$M$2:$X$2)*$K456*$L456</f>
        <v/>
      </c>
      <c r="Z456" s="14">
        <f>SUM(M456:X456)</f>
        <v/>
      </c>
      <c r="AA456" s="14">
        <f>IFERROR(IF(UPPER($E456)="L",SUMPRODUCT(M456:X456,$M$3:$X$3,$M$2:$X$2),SUMPRODUCT(M456:X456,$M$4:$X$4,$M$2:$X$2))/(Y456/($K456*$L456)),"")</f>
        <v/>
      </c>
      <c r="AB456" s="18" t="n"/>
    </row>
    <row r="457">
      <c r="A457" s="9" t="n">
        <v>668952</v>
      </c>
      <c r="B457" s="9" t="inlineStr">
        <is>
          <t>Ryan Kreidler</t>
        </is>
      </c>
      <c r="C457" s="9" t="inlineStr">
        <is>
          <t>MIN</t>
        </is>
      </c>
      <c r="D457" s="9" t="n">
        <v>29</v>
      </c>
      <c r="E457" s="16" t="inlineStr">
        <is>
          <t>R</t>
        </is>
      </c>
      <c r="F457" s="16" t="n"/>
      <c r="G457" s="9" t="n">
        <v>267</v>
      </c>
      <c r="H457" s="9" t="n">
        <v>478</v>
      </c>
      <c r="I457" s="9" t="inlineStr">
        <is>
          <t>Utility OF / 4th OF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  <c r="V457" s="17" t="n"/>
      <c r="W457" s="17" t="n"/>
      <c r="X457" s="17" t="n"/>
      <c r="Y457" s="13">
        <f>SUMPRODUCT(M457:X457,$M$2:$X$2)*$K457*$L457</f>
        <v/>
      </c>
      <c r="Z457" s="14">
        <f>SUM(M457:X457)</f>
        <v/>
      </c>
      <c r="AA457" s="14">
        <f>IFERROR(IF(UPPER($E457)="L",SUMPRODUCT(M457:X457,$M$3:$X$3,$M$2:$X$2),SUMPRODUCT(M457:X457,$M$4:$X$4,$M$2:$X$2))/(Y457/($K457*$L457)),"")</f>
        <v/>
      </c>
      <c r="AB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n"/>
      <c r="G458" s="9" t="n">
        <v>100</v>
      </c>
      <c r="H458" s="9" t="n">
        <v>1633</v>
      </c>
      <c r="I458" s="9" t="inlineStr">
        <is>
          <t>Utility OF / 4th OF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  <c r="V458" s="17" t="n"/>
      <c r="W458" s="17" t="n"/>
      <c r="X458" s="17" t="n"/>
      <c r="Y458" s="13">
        <f>SUMPRODUCT(M458:X458,$M$2:$X$2)*$K458*$L458</f>
        <v/>
      </c>
      <c r="Z458" s="14">
        <f>SUM(M458:X458)</f>
        <v/>
      </c>
      <c r="AA458" s="14">
        <f>IFERROR(IF(UPPER($E458)="L",SUMPRODUCT(M458:X458,$M$3:$X$3,$M$2:$X$2),SUMPRODUCT(M458:X458,$M$4:$X$4,$M$2:$X$2))/(Y458/($K458*$L458)),"")</f>
        <v/>
      </c>
      <c r="AB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n"/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/>
      <c r="X459" s="17" t="n"/>
      <c r="Y459" s="13">
        <f>SUMPRODUCT(M459:X459,$M$2:$X$2)*$K459*$L459</f>
        <v/>
      </c>
      <c r="Z459" s="14">
        <f>SUM(M459:X459)</f>
        <v/>
      </c>
      <c r="AA459" s="14">
        <f>IFERROR(IF(UPPER($E459)="L",SUMPRODUCT(M459:X459,$M$3:$X$3,$M$2:$X$2),SUMPRODUCT(M459:X459,$M$4:$X$4,$M$2:$X$2))/(Y459/($K459*$L459)),"")</f>
        <v/>
      </c>
      <c r="AB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n"/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3">
        <f>SUMPRODUCT(M460:X460,$M$2:$X$2)*$K460*$L460</f>
        <v/>
      </c>
      <c r="Z460" s="14">
        <f>SUM(M460:X460)</f>
        <v/>
      </c>
      <c r="AA460" s="14">
        <f>IFERROR(IF(UPPER($E460)="L",SUMPRODUCT(M460:X460,$M$3:$X$3,$M$2:$X$2),SUMPRODUCT(M460:X460,$M$4:$X$4,$M$2:$X$2))/(Y460/($K460*$L460)),"")</f>
        <v/>
      </c>
      <c r="AB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3">
        <f>SUMPRODUCT(M461:X461,$M$2:$X$2)*$K461*$L461</f>
        <v/>
      </c>
      <c r="Z461" s="14">
        <f>SUM(M461:X461)</f>
        <v/>
      </c>
      <c r="AA461" s="14">
        <f>IFERROR(IF(UPPER($E461)="L",SUMPRODUCT(M461:X461,$M$3:$X$3,$M$2:$X$2),SUMPRODUCT(M461:X461,$M$4:$X$4,$M$2:$X$2))/(Y461/($K461*$L461)),"")</f>
        <v/>
      </c>
      <c r="AB461" s="18" t="n"/>
    </row>
    <row r="462">
      <c r="A462" s="9" t="n">
        <v>664670</v>
      </c>
      <c r="B462" s="9" t="inlineStr">
        <is>
          <t>Alejo Lopez</t>
        </is>
      </c>
      <c r="C462" s="9" t="inlineStr">
        <is>
          <t>CIN</t>
        </is>
      </c>
      <c r="D462" s="9" t="n">
        <v>31</v>
      </c>
      <c r="E462" s="16" t="inlineStr">
        <is>
          <t>S</t>
        </is>
      </c>
      <c r="F462" s="16" t="n"/>
      <c r="G462" s="9" t="n">
        <v>2</v>
      </c>
      <c r="H462" s="9" t="n">
        <v>158</v>
      </c>
      <c r="I462" s="9" t="inlineStr">
        <is>
          <t>Depth (no MLB PA)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3">
        <f>SUMPRODUCT(M462:X462,$M$2:$X$2)*$K462*$L462</f>
        <v/>
      </c>
      <c r="Z462" s="14">
        <f>SUM(M462:X462)</f>
        <v/>
      </c>
      <c r="AA462" s="14">
        <f>IFERROR(IF(UPPER($E462)="L",SUMPRODUCT(M462:X462,$M$3:$X$3,$M$2:$X$2),SUMPRODUCT(M462:X462,$M$4:$X$4,$M$2:$X$2))/(Y462/($K462*$L462)),"")</f>
        <v/>
      </c>
      <c r="AB462" s="18" t="n"/>
    </row>
    <row r="463">
      <c r="A463" s="9" t="n">
        <v>666211</v>
      </c>
      <c r="B463" s="9" t="inlineStr">
        <is>
          <t>Taylor Trammell</t>
        </is>
      </c>
      <c r="C463" s="9" t="inlineStr">
        <is>
          <t>HOU</t>
        </is>
      </c>
      <c r="D463" s="9" t="n">
        <v>29</v>
      </c>
      <c r="E463" s="16" t="inlineStr">
        <is>
          <t>L</t>
        </is>
      </c>
      <c r="F463" s="16" t="n"/>
      <c r="G463" s="9" t="n">
        <v>289</v>
      </c>
      <c r="H463" s="9" t="n">
        <v>605</v>
      </c>
      <c r="I463" s="9" t="inlineStr">
        <is>
          <t>Utility OF / 4th OF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3">
        <f>SUMPRODUCT(M463:X463,$M$2:$X$2)*$K463*$L463</f>
        <v/>
      </c>
      <c r="Z463" s="14">
        <f>SUM(M463:X463)</f>
        <v/>
      </c>
      <c r="AA463" s="14">
        <f>IFERROR(IF(UPPER($E463)="L",SUMPRODUCT(M463:X463,$M$3:$X$3,$M$2:$X$2),SUMPRODUCT(M463:X463,$M$4:$X$4,$M$2:$X$2))/(Y463/($K463*$L463)),"")</f>
        <v/>
      </c>
      <c r="AB463" s="18" t="n"/>
    </row>
    <row r="464">
      <c r="A464" s="9" t="n">
        <v>671976</v>
      </c>
      <c r="B464" s="9" t="inlineStr">
        <is>
          <t>Tristan Peters</t>
        </is>
      </c>
      <c r="C464" s="9" t="inlineStr">
        <is>
          <t>CWS</t>
        </is>
      </c>
      <c r="D464" s="9" t="n">
        <v>27</v>
      </c>
      <c r="E464" s="16" t="inlineStr">
        <is>
          <t>L</t>
        </is>
      </c>
      <c r="F464" s="16" t="n"/>
      <c r="G464" s="9" t="n">
        <v>491</v>
      </c>
      <c r="H464" s="9" t="n">
        <v>503</v>
      </c>
      <c r="I464" s="9" t="inlineStr">
        <is>
          <t>Full Time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3">
        <f>SUMPRODUCT(M464:X464,$M$2:$X$2)*$K464*$L464</f>
        <v/>
      </c>
      <c r="Z464" s="14">
        <f>SUM(M464:X464)</f>
        <v/>
      </c>
      <c r="AA464" s="14">
        <f>IFERROR(IF(UPPER($E464)="L",SUMPRODUCT(M464:X464,$M$3:$X$3,$M$2:$X$2),SUMPRODUCT(M464:X464,$M$4:$X$4,$M$2:$X$2))/(Y464/($K464*$L464)),"")</f>
        <v/>
      </c>
      <c r="AB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n"/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3">
        <f>SUMPRODUCT(M465:X465,$M$2:$X$2)*$K465*$L465</f>
        <v/>
      </c>
      <c r="Z465" s="14">
        <f>SUM(M465:X465)</f>
        <v/>
      </c>
      <c r="AA465" s="14">
        <f>IFERROR(IF(UPPER($E465)="L",SUMPRODUCT(M465:X465,$M$3:$X$3,$M$2:$X$2),SUMPRODUCT(M465:X465,$M$4:$X$4,$M$2:$X$2))/(Y465/($K465*$L465)),"")</f>
        <v/>
      </c>
      <c r="AB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3">
        <f>SUMPRODUCT(M466:X466,$M$2:$X$2)*$K466*$L466</f>
        <v/>
      </c>
      <c r="Z466" s="14">
        <f>SUM(M466:X466)</f>
        <v/>
      </c>
      <c r="AA466" s="14">
        <f>IFERROR(IF(UPPER($E466)="L",SUMPRODUCT(M466:X466,$M$3:$X$3,$M$2:$X$2),SUMPRODUCT(M466:X466,$M$4:$X$4,$M$2:$X$2))/(Y466/($K466*$L466)),"")</f>
        <v/>
      </c>
      <c r="AB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3">
        <f>SUMPRODUCT(M467:X467,$M$2:$X$2)*$K467*$L467</f>
        <v/>
      </c>
      <c r="Z467" s="14">
        <f>SUM(M467:X467)</f>
        <v/>
      </c>
      <c r="AA467" s="14">
        <f>IFERROR(IF(UPPER($E467)="L",SUMPRODUCT(M467:X467,$M$3:$X$3,$M$2:$X$2),SUMPRODUCT(M467:X467,$M$4:$X$4,$M$2:$X$2))/(Y467/($K467*$L467)),"")</f>
        <v/>
      </c>
      <c r="AB467" s="18" t="n"/>
    </row>
    <row r="468">
      <c r="A468" s="9" t="n">
        <v>842249</v>
      </c>
      <c r="B468" s="9" t="inlineStr">
        <is>
          <t>Graham Brown</t>
        </is>
      </c>
      <c r="C468" s="9" t="inlineStr">
        <is>
          <t>MIN</t>
        </is>
      </c>
      <c r="D468" s="9" t="n">
        <v>25</v>
      </c>
      <c r="E468" s="16" t="inlineStr">
        <is>
          <t>R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3">
        <f>SUMPRODUCT(M468:X468,$M$2:$X$2)*$K468*$L468</f>
        <v/>
      </c>
      <c r="Z468" s="14">
        <f>SUM(M468:X468)</f>
        <v/>
      </c>
      <c r="AA468" s="14">
        <f>IFERROR(IF(UPPER($E468)="L",SUMPRODUCT(M468:X468,$M$3:$X$3,$M$2:$X$2),SUMPRODUCT(M468:X468,$M$4:$X$4,$M$2:$X$2))/(Y468/($K468*$L468)),"")</f>
        <v/>
      </c>
      <c r="AB468" s="18" t="n"/>
    </row>
    <row r="469">
      <c r="A469" s="9" t="n">
        <v>804466</v>
      </c>
      <c r="B469" s="9" t="inlineStr">
        <is>
          <t>Carter Garate</t>
        </is>
      </c>
      <c r="C469" s="9" t="inlineStr">
        <is>
          <t>TEX</t>
        </is>
      </c>
      <c r="D469" s="9" t="n">
        <v>25</v>
      </c>
      <c r="E469" s="16" t="inlineStr">
        <is>
          <t>L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3">
        <f>SUMPRODUCT(M469:X469,$M$2:$X$2)*$K469*$L469</f>
        <v/>
      </c>
      <c r="Z469" s="14">
        <f>SUM(M469:X469)</f>
        <v/>
      </c>
      <c r="AA469" s="14">
        <f>IFERROR(IF(UPPER($E469)="L",SUMPRODUCT(M469:X469,$M$3:$X$3,$M$2:$X$2),SUMPRODUCT(M469:X469,$M$4:$X$4,$M$2:$X$2))/(Y469/($K469*$L469)),"")</f>
        <v/>
      </c>
      <c r="AB469" s="18" t="n"/>
    </row>
    <row r="470">
      <c r="A470" s="9" t="n">
        <v>828600</v>
      </c>
      <c r="B470" s="9" t="inlineStr">
        <is>
          <t>Hayden Gilliland</t>
        </is>
      </c>
      <c r="C470" s="9" t="inlineStr">
        <is>
          <t>LAD</t>
        </is>
      </c>
      <c r="D470" s="9" t="n">
        <v>25</v>
      </c>
      <c r="E470" s="16" t="inlineStr">
        <is>
          <t>L</t>
        </is>
      </c>
      <c r="F470" s="16" t="n"/>
      <c r="G470" s="9" t="n">
        <v>17.58974358974359</v>
      </c>
      <c r="H470" s="9" t="n">
        <v>17.58974358974359</v>
      </c>
      <c r="I470" s="9" t="inlineStr">
        <is>
          <t>Depth (no MLB PA)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3">
        <f>SUMPRODUCT(M470:X470,$M$2:$X$2)*$K470*$L470</f>
        <v/>
      </c>
      <c r="Z470" s="14">
        <f>SUM(M470:X470)</f>
        <v/>
      </c>
      <c r="AA470" s="14">
        <f>IFERROR(IF(UPPER($E470)="L",SUMPRODUCT(M470:X470,$M$3:$X$3,$M$2:$X$2),SUMPRODUCT(M470:X470,$M$4:$X$4,$M$2:$X$2))/(Y470/($K470*$L470)),"")</f>
        <v/>
      </c>
      <c r="AB470" s="18" t="n"/>
    </row>
    <row r="471">
      <c r="A471" s="9" t="n">
        <v>596146</v>
      </c>
      <c r="B471" s="9" t="inlineStr">
        <is>
          <t>Max Kepler</t>
        </is>
      </c>
      <c r="C471" s="9" t="inlineStr">
        <is>
          <t>ARI</t>
        </is>
      </c>
      <c r="D471" s="9" t="n">
        <v>34</v>
      </c>
      <c r="E471" s="16" t="inlineStr">
        <is>
          <t>L</t>
        </is>
      </c>
      <c r="F471" s="16" t="n"/>
      <c r="G471" s="9" t="n">
        <v>145</v>
      </c>
      <c r="H471" s="9" t="n">
        <v>1955</v>
      </c>
      <c r="I471" s="9" t="inlineStr">
        <is>
          <t>Full Time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3">
        <f>SUMPRODUCT(M471:X471,$M$2:$X$2)*$K471*$L471</f>
        <v/>
      </c>
      <c r="Z471" s="14">
        <f>SUM(M471:X471)</f>
        <v/>
      </c>
      <c r="AA471" s="14">
        <f>IFERROR(IF(UPPER($E471)="L",SUMPRODUCT(M471:X471,$M$3:$X$3,$M$2:$X$2),SUMPRODUCT(M471:X471,$M$4:$X$4,$M$2:$X$2))/(Y471/($K471*$L471)),"")</f>
        <v/>
      </c>
      <c r="AB471" s="18" t="n"/>
    </row>
    <row r="472">
      <c r="A472" s="9" t="n">
        <v>811287</v>
      </c>
      <c r="B472" s="9" t="inlineStr">
        <is>
          <t>Carson Roccaforte</t>
        </is>
      </c>
      <c r="C472" s="9" t="inlineStr">
        <is>
          <t>KC</t>
        </is>
      </c>
      <c r="D472" s="9" t="n">
        <v>25</v>
      </c>
      <c r="E472" s="16" t="inlineStr">
        <is>
          <t>L</t>
        </is>
      </c>
      <c r="F472" s="16" t="n"/>
      <c r="G472" s="9" t="n">
        <v>64.87179487179488</v>
      </c>
      <c r="H472" s="9" t="n">
        <v>64.87179487179488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3">
        <f>SUMPRODUCT(M472:X472,$M$2:$X$2)*$K472*$L472</f>
        <v/>
      </c>
      <c r="Z472" s="14">
        <f>SUM(M472:X472)</f>
        <v/>
      </c>
      <c r="AA472" s="14">
        <f>IFERROR(IF(UPPER($E472)="L",SUMPRODUCT(M472:X472,$M$3:$X$3,$M$2:$X$2),SUMPRODUCT(M472:X472,$M$4:$X$4,$M$2:$X$2))/(Y472/($K472*$L472)),"")</f>
        <v/>
      </c>
      <c r="AB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3">
        <f>SUMPRODUCT(M473:X473,$M$2:$X$2)*$K473*$L473</f>
        <v/>
      </c>
      <c r="Z473" s="14">
        <f>SUM(M473:X473)</f>
        <v/>
      </c>
      <c r="AA473" s="14">
        <f>IFERROR(IF(UPPER($E473)="L",SUMPRODUCT(M473:X473,$M$3:$X$3,$M$2:$X$2),SUMPRODUCT(M473:X473,$M$4:$X$4,$M$2:$X$2))/(Y473/($K473*$L473)),"")</f>
        <v/>
      </c>
      <c r="AB473" s="18" t="n"/>
    </row>
    <row r="474">
      <c r="A474" s="9" t="n">
        <v>821273</v>
      </c>
      <c r="B474" s="9" t="inlineStr">
        <is>
          <t>Edward Florentino</t>
        </is>
      </c>
      <c r="C474" s="9" t="inlineStr">
        <is>
          <t>PIT</t>
        </is>
      </c>
      <c r="D474" s="9" t="n">
        <v>25</v>
      </c>
      <c r="E474" s="16" t="inlineStr">
        <is>
          <t>L</t>
        </is>
      </c>
      <c r="F474" s="16" t="n"/>
      <c r="G474" s="9" t="n">
        <v>86.97435897435898</v>
      </c>
      <c r="H474" s="9" t="n">
        <v>86.97435897435898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3">
        <f>SUMPRODUCT(M474:X474,$M$2:$X$2)*$K474*$L474</f>
        <v/>
      </c>
      <c r="Z474" s="14">
        <f>SUM(M474:X474)</f>
        <v/>
      </c>
      <c r="AA474" s="14">
        <f>IFERROR(IF(UPPER($E474)="L",SUMPRODUCT(M474:X474,$M$3:$X$3,$M$2:$X$2),SUMPRODUCT(M474:X474,$M$4:$X$4,$M$2:$X$2))/(Y474/($K474*$L474)),"")</f>
        <v/>
      </c>
      <c r="AB474" s="18" t="n"/>
    </row>
    <row r="475">
      <c r="A475" s="9" t="n">
        <v>686981</v>
      </c>
      <c r="B475" s="9" t="inlineStr">
        <is>
          <t>Brenden Dixon</t>
        </is>
      </c>
      <c r="C475" s="9" t="inlineStr">
        <is>
          <t>CWS</t>
        </is>
      </c>
      <c r="D475" s="9" t="n">
        <v>25</v>
      </c>
      <c r="E475" s="16" t="inlineStr">
        <is>
          <t>R</t>
        </is>
      </c>
      <c r="F475" s="16" t="n"/>
      <c r="G475" s="9" t="n">
        <v>33.74358974358974</v>
      </c>
      <c r="H475" s="9" t="n">
        <v>33.74358974358974</v>
      </c>
      <c r="I475" s="9" t="inlineStr">
        <is>
          <t>Depth (no MLB PA)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3">
        <f>SUMPRODUCT(M475:X475,$M$2:$X$2)*$K475*$L475</f>
        <v/>
      </c>
      <c r="Z475" s="14">
        <f>SUM(M475:X475)</f>
        <v/>
      </c>
      <c r="AA475" s="14">
        <f>IFERROR(IF(UPPER($E475)="L",SUMPRODUCT(M475:X475,$M$3:$X$3,$M$2:$X$2),SUMPRODUCT(M475:X475,$M$4:$X$4,$M$2:$X$2))/(Y475/($K475*$L475)),"")</f>
        <v/>
      </c>
      <c r="AB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3">
        <f>SUMPRODUCT(M476:X476,$M$2:$X$2)*$K476*$L476</f>
        <v/>
      </c>
      <c r="Z476" s="14">
        <f>SUM(M476:X476)</f>
        <v/>
      </c>
      <c r="AA476" s="14">
        <f>IFERROR(IF(UPPER($E476)="L",SUMPRODUCT(M476:X476,$M$3:$X$3,$M$2:$X$2),SUMPRODUCT(M476:X476,$M$4:$X$4,$M$2:$X$2))/(Y476/($K476*$L476)),"")</f>
        <v/>
      </c>
      <c r="AB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n"/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3">
        <f>SUMPRODUCT(M477:X477,$M$2:$X$2)*$K477*$L477</f>
        <v/>
      </c>
      <c r="Z477" s="14">
        <f>SUM(M477:X477)</f>
        <v/>
      </c>
      <c r="AA477" s="14">
        <f>IFERROR(IF(UPPER($E477)="L",SUMPRODUCT(M477:X477,$M$3:$X$3,$M$2:$X$2),SUMPRODUCT(M477:X477,$M$4:$X$4,$M$2:$X$2))/(Y477/($K477*$L477)),"")</f>
        <v/>
      </c>
      <c r="AB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n"/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3">
        <f>SUMPRODUCT(M478:X478,$M$2:$X$2)*$K478*$L478</f>
        <v/>
      </c>
      <c r="Z478" s="14">
        <f>SUM(M478:X478)</f>
        <v/>
      </c>
      <c r="AA478" s="14">
        <f>IFERROR(IF(UPPER($E478)="L",SUMPRODUCT(M478:X478,$M$3:$X$3,$M$2:$X$2),SUMPRODUCT(M478:X478,$M$4:$X$4,$M$2:$X$2))/(Y478/($K478*$L478)),"")</f>
        <v/>
      </c>
      <c r="AB478" s="18" t="n"/>
    </row>
    <row r="479">
      <c r="A479" s="9" t="n">
        <v>809092</v>
      </c>
      <c r="B479" s="9" t="inlineStr">
        <is>
          <t>Murf Gray</t>
        </is>
      </c>
      <c r="C479" s="9" t="inlineStr">
        <is>
          <t>PIT</t>
        </is>
      </c>
      <c r="D479" s="9" t="n">
        <v>25</v>
      </c>
      <c r="E479" s="16" t="inlineStr">
        <is>
          <t>R</t>
        </is>
      </c>
      <c r="F479" s="16" t="n"/>
      <c r="G479" s="9" t="n">
        <v>66.05128205128206</v>
      </c>
      <c r="H479" s="9" t="n">
        <v>66.05128205128206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3">
        <f>SUMPRODUCT(M479:X479,$M$2:$X$2)*$K479*$L479</f>
        <v/>
      </c>
      <c r="Z479" s="14">
        <f>SUM(M479:X479)</f>
        <v/>
      </c>
      <c r="AA479" s="14">
        <f>IFERROR(IF(UPPER($E479)="L",SUMPRODUCT(M479:X479,$M$3:$X$3,$M$2:$X$2),SUMPRODUCT(M479:X479,$M$4:$X$4,$M$2:$X$2))/(Y479/($K479*$L479)),"")</f>
        <v/>
      </c>
      <c r="AB479" s="18" t="n"/>
    </row>
    <row r="480">
      <c r="A480" s="9" t="n">
        <v>621466</v>
      </c>
      <c r="B480" s="9" t="inlineStr">
        <is>
          <t>DJ Stewart</t>
        </is>
      </c>
      <c r="C480" s="9" t="inlineStr">
        <is>
          <t>NYM</t>
        </is>
      </c>
      <c r="D480" s="9" t="n">
        <v>33</v>
      </c>
      <c r="E480" s="16" t="inlineStr">
        <is>
          <t>L</t>
        </is>
      </c>
      <c r="F480" s="16" t="n"/>
      <c r="G480" s="9" t="n">
        <v>194</v>
      </c>
      <c r="H480" s="9" t="n">
        <v>382</v>
      </c>
      <c r="I480" s="9" t="inlineStr">
        <is>
          <t>Depth (no MLB PA)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3">
        <f>SUMPRODUCT(M480:X480,$M$2:$X$2)*$K480*$L480</f>
        <v/>
      </c>
      <c r="Z480" s="14">
        <f>SUM(M480:X480)</f>
        <v/>
      </c>
      <c r="AA480" s="14">
        <f>IFERROR(IF(UPPER($E480)="L",SUMPRODUCT(M480:X480,$M$3:$X$3,$M$2:$X$2),SUMPRODUCT(M480:X480,$M$4:$X$4,$M$2:$X$2))/(Y480/($K480*$L480)),"")</f>
        <v/>
      </c>
      <c r="AB480" s="18" t="n"/>
    </row>
    <row r="481">
      <c r="A481" s="9" t="n">
        <v>543281</v>
      </c>
      <c r="B481" s="9" t="inlineStr">
        <is>
          <t>Josh Harrison</t>
        </is>
      </c>
      <c r="C481" s="9" t="inlineStr">
        <is>
          <t>PHI</t>
        </is>
      </c>
      <c r="D481" s="9" t="n">
        <v>39</v>
      </c>
      <c r="E481" s="16" t="inlineStr">
        <is>
          <t>R</t>
        </is>
      </c>
      <c r="F481" s="16" t="n"/>
      <c r="G481" s="9" t="n">
        <v>114</v>
      </c>
      <c r="H481" s="9" t="n">
        <v>539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3">
        <f>SUMPRODUCT(M481:X481,$M$2:$X$2)*$K481*$L481</f>
        <v/>
      </c>
      <c r="Z481" s="14">
        <f>SUM(M481:X481)</f>
        <v/>
      </c>
      <c r="AA481" s="14">
        <f>IFERROR(IF(UPPER($E481)="L",SUMPRODUCT(M481:X481,$M$3:$X$3,$M$2:$X$2),SUMPRODUCT(M481:X481,$M$4:$X$4,$M$2:$X$2))/(Y481/($K481*$L481)),"")</f>
        <v/>
      </c>
      <c r="AB481" s="18" t="n"/>
    </row>
    <row r="482">
      <c r="A482" s="9" t="n">
        <v>800448</v>
      </c>
      <c r="B482" s="9" t="inlineStr">
        <is>
          <t>Echedry Vargas</t>
        </is>
      </c>
      <c r="C482" s="9" t="inlineStr">
        <is>
          <t>MIA</t>
        </is>
      </c>
      <c r="D482" s="9" t="n">
        <v>25</v>
      </c>
      <c r="E482" s="16" t="inlineStr">
        <is>
          <t>R</t>
        </is>
      </c>
      <c r="F482" s="16" t="n"/>
      <c r="G482" s="9" t="n">
        <v>49.47692307692308</v>
      </c>
      <c r="H482" s="9" t="n">
        <v>49.47692307692308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3">
        <f>SUMPRODUCT(M482:X482,$M$2:$X$2)*$K482*$L482</f>
        <v/>
      </c>
      <c r="Z482" s="14">
        <f>SUM(M482:X482)</f>
        <v/>
      </c>
      <c r="AA482" s="14">
        <f>IFERROR(IF(UPPER($E482)="L",SUMPRODUCT(M482:X482,$M$3:$X$3,$M$2:$X$2),SUMPRODUCT(M482:X482,$M$4:$X$4,$M$2:$X$2))/(Y482/($K482*$L482)),"")</f>
        <v/>
      </c>
      <c r="AB482" s="18" t="n"/>
    </row>
    <row r="483">
      <c r="A483" s="9" t="n">
        <v>703680</v>
      </c>
      <c r="B483" s="9" t="inlineStr">
        <is>
          <t>Brandon Compton</t>
        </is>
      </c>
      <c r="C483" s="9" t="inlineStr">
        <is>
          <t>MIA</t>
        </is>
      </c>
      <c r="D483" s="9" t="n">
        <v>25</v>
      </c>
      <c r="E483" s="16" t="inlineStr">
        <is>
          <t>L</t>
        </is>
      </c>
      <c r="F483" s="16" t="n"/>
      <c r="G483" s="9" t="n">
        <v>37.23076923076923</v>
      </c>
      <c r="H483" s="9" t="n">
        <v>37.23076923076923</v>
      </c>
      <c r="I483" s="9" t="inlineStr">
        <is>
          <t>Depth (no MLB PA)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3">
        <f>SUMPRODUCT(M483:X483,$M$2:$X$2)*$K483*$L483</f>
        <v/>
      </c>
      <c r="Z483" s="14">
        <f>SUM(M483:X483)</f>
        <v/>
      </c>
      <c r="AA483" s="14">
        <f>IFERROR(IF(UPPER($E483)="L",SUMPRODUCT(M483:X483,$M$3:$X$3,$M$2:$X$2),SUMPRODUCT(M483:X483,$M$4:$X$4,$M$2:$X$2))/(Y483/($K483*$L483)),"")</f>
        <v/>
      </c>
      <c r="AB483" s="18" t="n"/>
    </row>
    <row r="484">
      <c r="A484" s="9" t="n">
        <v>840332</v>
      </c>
      <c r="B484" s="9" t="inlineStr">
        <is>
          <t>Joe Tiroly</t>
        </is>
      </c>
      <c r="C484" s="9" t="inlineStr">
        <is>
          <t>SD</t>
        </is>
      </c>
      <c r="D484" s="9" t="n">
        <v>25</v>
      </c>
      <c r="E484" s="16" t="inlineStr">
        <is>
          <t>R</t>
        </is>
      </c>
      <c r="F484" s="16" t="n"/>
      <c r="G484" s="9" t="n">
        <v>8.615384615384615</v>
      </c>
      <c r="H484" s="9" t="n">
        <v>8.615384615384615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3">
        <f>SUMPRODUCT(M484:X484,$M$2:$X$2)*$K484*$L484</f>
        <v/>
      </c>
      <c r="Z484" s="14">
        <f>SUM(M484:X484)</f>
        <v/>
      </c>
      <c r="AA484" s="14">
        <f>IFERROR(IF(UPPER($E484)="L",SUMPRODUCT(M484:X484,$M$3:$X$3,$M$2:$X$2),SUMPRODUCT(M484:X484,$M$4:$X$4,$M$2:$X$2))/(Y484/($K484*$L484)),"")</f>
        <v/>
      </c>
      <c r="AB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n"/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3">
        <f>SUMPRODUCT(M485:X485,$M$2:$X$2)*$K485*$L485</f>
        <v/>
      </c>
      <c r="Z485" s="14">
        <f>SUM(M485:X485)</f>
        <v/>
      </c>
      <c r="AA485" s="14">
        <f>IFERROR(IF(UPPER($E485)="L",SUMPRODUCT(M485:X485,$M$3:$X$3,$M$2:$X$2),SUMPRODUCT(M485:X485,$M$4:$X$4,$M$2:$X$2))/(Y485/($K485*$L485)),"")</f>
        <v/>
      </c>
      <c r="AB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3">
        <f>SUMPRODUCT(M486:X486,$M$2:$X$2)*$K486*$L486</f>
        <v/>
      </c>
      <c r="Z486" s="14">
        <f>SUM(M486:X486)</f>
        <v/>
      </c>
      <c r="AA486" s="14">
        <f>IFERROR(IF(UPPER($E486)="L",SUMPRODUCT(M486:X486,$M$3:$X$3,$M$2:$X$2),SUMPRODUCT(M486:X486,$M$4:$X$4,$M$2:$X$2))/(Y486/($K486*$L486)),"")</f>
        <v/>
      </c>
      <c r="AB486" s="18" t="n"/>
    </row>
    <row r="487">
      <c r="A487" s="9" t="n">
        <v>702239</v>
      </c>
      <c r="B487" s="9" t="inlineStr">
        <is>
          <t>Colin Tuft</t>
        </is>
      </c>
      <c r="C487" s="9" t="inlineStr">
        <is>
          <t>BAL</t>
        </is>
      </c>
      <c r="D487" s="9" t="n">
        <v>25</v>
      </c>
      <c r="E487" s="16" t="inlineStr">
        <is>
          <t>R</t>
        </is>
      </c>
      <c r="F487" s="16" t="n"/>
      <c r="G487" s="9" t="n">
        <v>18.66666666666667</v>
      </c>
      <c r="H487" s="9" t="n">
        <v>18.66666666666667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3">
        <f>SUMPRODUCT(M487:X487,$M$2:$X$2)*$K487*$L487</f>
        <v/>
      </c>
      <c r="Z487" s="14">
        <f>SUM(M487:X487)</f>
        <v/>
      </c>
      <c r="AA487" s="14">
        <f>IFERROR(IF(UPPER($E487)="L",SUMPRODUCT(M487:X487,$M$3:$X$3,$M$2:$X$2),SUMPRODUCT(M487:X487,$M$4:$X$4,$M$2:$X$2))/(Y487/($K487*$L487)),"")</f>
        <v/>
      </c>
      <c r="AB487" s="18" t="n"/>
    </row>
    <row r="488">
      <c r="A488" s="9" t="n">
        <v>690469</v>
      </c>
      <c r="B488" s="9" t="inlineStr">
        <is>
          <t>Kyle Hayes</t>
        </is>
      </c>
      <c r="C488" s="9" t="inlineStr">
        <is>
          <t>WSH</t>
        </is>
      </c>
      <c r="D488" s="9" t="n">
        <v>25</v>
      </c>
      <c r="E488" s="16" t="inlineStr">
        <is>
          <t>R</t>
        </is>
      </c>
      <c r="F488" s="16" t="n"/>
      <c r="G488" s="9" t="n">
        <v>9.025641025641027</v>
      </c>
      <c r="H488" s="9" t="n">
        <v>9.025641025641027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3">
        <f>SUMPRODUCT(M488:X488,$M$2:$X$2)*$K488*$L488</f>
        <v/>
      </c>
      <c r="Z488" s="14">
        <f>SUM(M488:X488)</f>
        <v/>
      </c>
      <c r="AA488" s="14">
        <f>IFERROR(IF(UPPER($E488)="L",SUMPRODUCT(M488:X488,$M$3:$X$3,$M$2:$X$2),SUMPRODUCT(M488:X488,$M$4:$X$4,$M$2:$X$2))/(Y488/($K488*$L488)),"")</f>
        <v/>
      </c>
      <c r="AB488" s="18" t="n"/>
    </row>
    <row r="489">
      <c r="A489" s="9" t="n">
        <v>687262</v>
      </c>
      <c r="B489" s="9" t="inlineStr">
        <is>
          <t>Jorge Corona</t>
        </is>
      </c>
      <c r="C489" s="9" t="inlineStr">
        <is>
          <t>CWS</t>
        </is>
      </c>
      <c r="D489" s="9" t="n">
        <v>25</v>
      </c>
      <c r="E489" s="16" t="inlineStr">
        <is>
          <t>R</t>
        </is>
      </c>
      <c r="F489" s="16" t="n"/>
      <c r="G489" s="9" t="n">
        <v>74.30769230769231</v>
      </c>
      <c r="H489" s="9" t="n">
        <v>74.30769230769231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3">
        <f>SUMPRODUCT(M489:X489,$M$2:$X$2)*$K489*$L489</f>
        <v/>
      </c>
      <c r="Z489" s="14">
        <f>SUM(M489:X489)</f>
        <v/>
      </c>
      <c r="AA489" s="14">
        <f>IFERROR(IF(UPPER($E489)="L",SUMPRODUCT(M489:X489,$M$3:$X$3,$M$2:$X$2),SUMPRODUCT(M489:X489,$M$4:$X$4,$M$2:$X$2))/(Y489/($K489*$L489)),"")</f>
        <v/>
      </c>
      <c r="AB489" s="18" t="n"/>
    </row>
    <row r="490">
      <c r="A490" s="9" t="n">
        <v>815697</v>
      </c>
      <c r="B490" s="9" t="inlineStr">
        <is>
          <t>Arturo Disla</t>
        </is>
      </c>
      <c r="C490" s="9" t="inlineStr">
        <is>
          <t>TEX</t>
        </is>
      </c>
      <c r="D490" s="9" t="n">
        <v>25</v>
      </c>
      <c r="E490" s="16" t="inlineStr">
        <is>
          <t>R</t>
        </is>
      </c>
      <c r="F490" s="16" t="n"/>
      <c r="G490" s="9" t="n">
        <v>146.8205128205128</v>
      </c>
      <c r="H490" s="9" t="n">
        <v>146.8205128205128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3">
        <f>SUMPRODUCT(M490:X490,$M$2:$X$2)*$K490*$L490</f>
        <v/>
      </c>
      <c r="Z490" s="14">
        <f>SUM(M490:X490)</f>
        <v/>
      </c>
      <c r="AA490" s="14">
        <f>IFERROR(IF(UPPER($E490)="L",SUMPRODUCT(M490:X490,$M$3:$X$3,$M$2:$X$2),SUMPRODUCT(M490:X490,$M$4:$X$4,$M$2:$X$2))/(Y490/($K490*$L490)),"")</f>
        <v/>
      </c>
      <c r="AB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n"/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3">
        <f>SUMPRODUCT(M491:X491,$M$2:$X$2)*$K491*$L491</f>
        <v/>
      </c>
      <c r="Z491" s="14">
        <f>SUM(M491:X491)</f>
        <v/>
      </c>
      <c r="AA491" s="14">
        <f>IFERROR(IF(UPPER($E491)="L",SUMPRODUCT(M491:X491,$M$3:$X$3,$M$2:$X$2),SUMPRODUCT(M491:X491,$M$4:$X$4,$M$2:$X$2))/(Y491/($K491*$L491)),"")</f>
        <v/>
      </c>
      <c r="AB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25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3">
        <f>SUMPRODUCT(M492:X492,$M$2:$X$2)*$K492*$L492</f>
        <v/>
      </c>
      <c r="Z492" s="14">
        <f>SUM(M492:X492)</f>
        <v/>
      </c>
      <c r="AA492" s="14">
        <f>IFERROR(IF(UPPER($E492)="L",SUMPRODUCT(M492:X492,$M$3:$X$3,$M$2:$X$2),SUMPRODUCT(M492:X492,$M$4:$X$4,$M$2:$X$2))/(Y492/($K492*$L492)),"")</f>
        <v/>
      </c>
      <c r="AB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3">
        <f>SUMPRODUCT(M493:X493,$M$2:$X$2)*$K493*$L493</f>
        <v/>
      </c>
      <c r="Z493" s="14">
        <f>SUM(M493:X493)</f>
        <v/>
      </c>
      <c r="AA493" s="14">
        <f>IFERROR(IF(UPPER($E493)="L",SUMPRODUCT(M493:X493,$M$3:$X$3,$M$2:$X$2),SUMPRODUCT(M493:X493,$M$4:$X$4,$M$2:$X$2))/(Y493/($K493*$L493)),"")</f>
        <v/>
      </c>
      <c r="AB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3">
        <f>SUMPRODUCT(M494:X494,$M$2:$X$2)*$K494*$L494</f>
        <v/>
      </c>
      <c r="Z494" s="14">
        <f>SUM(M494:X494)</f>
        <v/>
      </c>
      <c r="AA494" s="14">
        <f>IFERROR(IF(UPPER($E494)="L",SUMPRODUCT(M494:X494,$M$3:$X$3,$M$2:$X$2),SUMPRODUCT(M494:X494,$M$4:$X$4,$M$2:$X$2))/(Y494/($K494*$L494)),"")</f>
        <v/>
      </c>
      <c r="AB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n"/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/>
      <c r="W495" s="17" t="n"/>
      <c r="X495" s="17" t="n"/>
      <c r="Y495" s="13">
        <f>SUMPRODUCT(M495:X495,$M$2:$X$2)*$K495*$L495</f>
        <v/>
      </c>
      <c r="Z495" s="14">
        <f>SUM(M495:X495)</f>
        <v/>
      </c>
      <c r="AA495" s="14">
        <f>IFERROR(IF(UPPER($E495)="L",SUMPRODUCT(M495:X495,$M$3:$X$3,$M$2:$X$2),SUMPRODUCT(M495:X495,$M$4:$X$4,$M$2:$X$2))/(Y495/($K495*$L495)),"")</f>
        <v/>
      </c>
      <c r="AB495" s="18" t="n"/>
    </row>
    <row r="496">
      <c r="A496" s="9" t="n">
        <v>640457</v>
      </c>
      <c r="B496" s="9" t="inlineStr">
        <is>
          <t>Austin Meadows</t>
        </is>
      </c>
      <c r="C496" s="9" t="inlineStr">
        <is>
          <t>DET</t>
        </is>
      </c>
      <c r="D496" s="9" t="n">
        <v>32</v>
      </c>
      <c r="E496" s="16" t="inlineStr">
        <is>
          <t>L</t>
        </is>
      </c>
      <c r="F496" s="16" t="n"/>
      <c r="G496" s="9" t="n">
        <v>21</v>
      </c>
      <c r="H496" s="9" t="n">
        <v>168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3">
        <f>SUMPRODUCT(M496:X496,$M$2:$X$2)*$K496*$L496</f>
        <v/>
      </c>
      <c r="Z496" s="14">
        <f>SUM(M496:X496)</f>
        <v/>
      </c>
      <c r="AA496" s="14">
        <f>IFERROR(IF(UPPER($E496)="L",SUMPRODUCT(M496:X496,$M$3:$X$3,$M$2:$X$2),SUMPRODUCT(M496:X496,$M$4:$X$4,$M$2:$X$2))/(Y496/($K496*$L496)),"")</f>
        <v/>
      </c>
      <c r="AB496" s="18" t="n"/>
    </row>
    <row r="497">
      <c r="A497" s="9" t="n">
        <v>681377</v>
      </c>
      <c r="B497" s="9" t="inlineStr">
        <is>
          <t>Josh Hood</t>
        </is>
      </c>
      <c r="C497" s="9" t="inlineStr">
        <is>
          <t>SEA</t>
        </is>
      </c>
      <c r="D497" s="9" t="n">
        <v>25</v>
      </c>
      <c r="E497" s="16" t="inlineStr">
        <is>
          <t>R</t>
        </is>
      </c>
      <c r="F497" s="16" t="n"/>
      <c r="G497" s="9" t="n">
        <v>106.2564102564102</v>
      </c>
      <c r="H497" s="9" t="n">
        <v>106.2564102564102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3">
        <f>SUMPRODUCT(M497:X497,$M$2:$X$2)*$K497*$L497</f>
        <v/>
      </c>
      <c r="Z497" s="14">
        <f>SUM(M497:X497)</f>
        <v/>
      </c>
      <c r="AA497" s="14">
        <f>IFERROR(IF(UPPER($E497)="L",SUMPRODUCT(M497:X497,$M$3:$X$3,$M$2:$X$2),SUMPRODUCT(M497:X497,$M$4:$X$4,$M$2:$X$2))/(Y497/($K497*$L497)),"")</f>
        <v/>
      </c>
      <c r="AB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3">
        <f>SUMPRODUCT(M498:X498,$M$2:$X$2)*$K498*$L498</f>
        <v/>
      </c>
      <c r="Z498" s="14">
        <f>SUM(M498:X498)</f>
        <v/>
      </c>
      <c r="AA498" s="14">
        <f>IFERROR(IF(UPPER($E498)="L",SUMPRODUCT(M498:X498,$M$3:$X$3,$M$2:$X$2),SUMPRODUCT(M498:X498,$M$4:$X$4,$M$2:$X$2))/(Y498/($K498*$L498)),"")</f>
        <v/>
      </c>
      <c r="AB498" s="18" t="n"/>
    </row>
    <row r="499">
      <c r="A499" s="9" t="n">
        <v>592696</v>
      </c>
      <c r="B499" s="9" t="inlineStr">
        <is>
          <t>Eddie Rosario</t>
        </is>
      </c>
      <c r="C499" s="9" t="inlineStr">
        <is>
          <t>ATL</t>
        </is>
      </c>
      <c r="D499" s="9" t="n">
        <v>35</v>
      </c>
      <c r="E499" s="16" t="inlineStr">
        <is>
          <t>L</t>
        </is>
      </c>
      <c r="F499" s="16" t="n"/>
      <c r="G499" s="9" t="n">
        <v>8</v>
      </c>
      <c r="H499" s="9" t="n">
        <v>1113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3">
        <f>SUMPRODUCT(M499:X499,$M$2:$X$2)*$K499*$L499</f>
        <v/>
      </c>
      <c r="Z499" s="14">
        <f>SUM(M499:X499)</f>
        <v/>
      </c>
      <c r="AA499" s="14">
        <f>IFERROR(IF(UPPER($E499)="L",SUMPRODUCT(M499:X499,$M$3:$X$3,$M$2:$X$2),SUMPRODUCT(M499:X499,$M$4:$X$4,$M$2:$X$2))/(Y499/($K499*$L499)),"")</f>
        <v/>
      </c>
      <c r="AB499" s="18" t="n"/>
    </row>
    <row r="500">
      <c r="A500" s="9" t="n">
        <v>807728</v>
      </c>
      <c r="B500" s="9" t="inlineStr">
        <is>
          <t>Carter Graham</t>
        </is>
      </c>
      <c r="C500" s="9" t="inlineStr">
        <is>
          <t>CIN</t>
        </is>
      </c>
      <c r="D500" s="9" t="n">
        <v>25</v>
      </c>
      <c r="E500" s="16" t="inlineStr">
        <is>
          <t>R</t>
        </is>
      </c>
      <c r="F500" s="16" t="n"/>
      <c r="G500" s="9" t="n">
        <v>91.53846153846152</v>
      </c>
      <c r="H500" s="9" t="n">
        <v>91.53846153846152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3">
        <f>SUMPRODUCT(M500:X500,$M$2:$X$2)*$K500*$L500</f>
        <v/>
      </c>
      <c r="Z500" s="14">
        <f>SUM(M500:X500)</f>
        <v/>
      </c>
      <c r="AA500" s="14">
        <f>IFERROR(IF(UPPER($E500)="L",SUMPRODUCT(M500:X500,$M$3:$X$3,$M$2:$X$2),SUMPRODUCT(M500:X500,$M$4:$X$4,$M$2:$X$2))/(Y500/($K500*$L500)),"")</f>
        <v/>
      </c>
      <c r="AB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n"/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3">
        <f>SUMPRODUCT(M501:X501,$M$2:$X$2)*$K501*$L501</f>
        <v/>
      </c>
      <c r="Z501" s="14">
        <f>SUM(M501:X501)</f>
        <v/>
      </c>
      <c r="AA501" s="14">
        <f>IFERROR(IF(UPPER($E501)="L",SUMPRODUCT(M501:X501,$M$3:$X$3,$M$2:$X$2),SUMPRODUCT(M501:X501,$M$4:$X$4,$M$2:$X$2))/(Y501/($K501*$L501)),"")</f>
        <v/>
      </c>
      <c r="AB501" s="18" t="n"/>
    </row>
    <row r="502">
      <c r="A502" s="9" t="n">
        <v>805127</v>
      </c>
      <c r="B502" s="9" t="inlineStr">
        <is>
          <t>Devin Taylor</t>
        </is>
      </c>
      <c r="C502" s="9" t="inlineStr">
        <is>
          <t>OAK</t>
        </is>
      </c>
      <c r="D502" s="9" t="n">
        <v>25</v>
      </c>
      <c r="E502" s="16" t="inlineStr">
        <is>
          <t>L</t>
        </is>
      </c>
      <c r="F502" s="16" t="n"/>
      <c r="G502" s="9" t="n">
        <v>38.35897435897436</v>
      </c>
      <c r="H502" s="9" t="n">
        <v>38.35897435897436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3">
        <f>SUMPRODUCT(M502:X502,$M$2:$X$2)*$K502*$L502</f>
        <v/>
      </c>
      <c r="Z502" s="14">
        <f>SUM(M502:X502)</f>
        <v/>
      </c>
      <c r="AA502" s="14">
        <f>IFERROR(IF(UPPER($E502)="L",SUMPRODUCT(M502:X502,$M$3:$X$3,$M$2:$X$2),SUMPRODUCT(M502:X502,$M$4:$X$4,$M$2:$X$2))/(Y502/($K502*$L502)),"")</f>
        <v/>
      </c>
      <c r="AB502" s="18" t="n"/>
    </row>
    <row r="503">
      <c r="A503" s="9" t="n">
        <v>691292</v>
      </c>
      <c r="B503" s="9" t="inlineStr">
        <is>
          <t>Angel Ortiz</t>
        </is>
      </c>
      <c r="C503" s="9" t="inlineStr">
        <is>
          <t>ARI</t>
        </is>
      </c>
      <c r="D503" s="9" t="n">
        <v>25</v>
      </c>
      <c r="E503" s="16" t="inlineStr">
        <is>
          <t>L</t>
        </is>
      </c>
      <c r="F503" s="16" t="n"/>
      <c r="G503" s="9" t="n">
        <v>82.92307692307693</v>
      </c>
      <c r="H503" s="9" t="n">
        <v>82.92307692307693</v>
      </c>
      <c r="I503" s="9" t="inlineStr">
        <is>
          <t>Depth (no MLB PA)</t>
        </is>
      </c>
      <c r="J503" s="16" t="inlineStr">
        <is>
          <t>Opening Day</t>
        </is>
      </c>
      <c r="K503" s="11">
        <f>IFERROR(INDEX(Roles!$B$17:$B$20,MATCH(J503,Roles!$A$17:$A$20,0)),1)</f>
        <v/>
      </c>
      <c r="L503" s="17" t="n">
        <v>1</v>
      </c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/>
      <c r="Y503" s="13">
        <f>SUMPRODUCT(M503:X503,$M$2:$X$2)*$K503*$L503</f>
        <v/>
      </c>
      <c r="Z503" s="14">
        <f>SUM(M503:X503)</f>
        <v/>
      </c>
      <c r="AA503" s="14">
        <f>IFERROR(IF(UPPER($E503)="L",SUMPRODUCT(M503:X503,$M$3:$X$3,$M$2:$X$2),SUMPRODUCT(M503:X503,$M$4:$X$4,$M$2:$X$2))/(Y503/($K503*$L503)),"")</f>
        <v/>
      </c>
      <c r="AB503" s="18" t="n"/>
    </row>
    <row r="504">
      <c r="A504" s="9" t="n">
        <v>671732</v>
      </c>
      <c r="B504" s="9" t="inlineStr">
        <is>
          <t>Lawrence Butler</t>
        </is>
      </c>
      <c r="C504" s="9" t="inlineStr">
        <is>
          <t>OAK</t>
        </is>
      </c>
      <c r="D504" s="9" t="n">
        <v>26</v>
      </c>
      <c r="E504" s="16" t="inlineStr">
        <is>
          <t>L</t>
        </is>
      </c>
      <c r="F504" s="16" t="n"/>
      <c r="G504" s="9" t="n">
        <v>539</v>
      </c>
      <c r="H504" s="9" t="n">
        <v>1749</v>
      </c>
      <c r="I504" s="9" t="inlineStr">
        <is>
          <t>Full Time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3">
        <f>SUMPRODUCT(M504:X504,$M$2:$X$2)*$K504*$L504</f>
        <v/>
      </c>
      <c r="Z504" s="14">
        <f>SUM(M504:X504)</f>
        <v/>
      </c>
      <c r="AA504" s="14">
        <f>IFERROR(IF(UPPER($E504)="L",SUMPRODUCT(M504:X504,$M$3:$X$3,$M$2:$X$2),SUMPRODUCT(M504:X504,$M$4:$X$4,$M$2:$X$2))/(Y504/($K504*$L504)),"")</f>
        <v/>
      </c>
      <c r="AB504" s="18" t="n"/>
    </row>
    <row r="505">
      <c r="A505" s="9" t="n">
        <v>600303</v>
      </c>
      <c r="B505" s="9" t="inlineStr">
        <is>
          <t>Tommy La Stella</t>
        </is>
      </c>
      <c r="C505" s="9" t="inlineStr">
        <is>
          <t>SF</t>
        </is>
      </c>
      <c r="D505" s="9" t="n">
        <v>38</v>
      </c>
      <c r="E505" s="16" t="inlineStr">
        <is>
          <t>L</t>
        </is>
      </c>
      <c r="F505" s="16" t="n"/>
      <c r="G505" s="9" t="n">
        <v>24</v>
      </c>
      <c r="H505" s="9" t="n">
        <v>219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3">
        <f>SUMPRODUCT(M505:X505,$M$2:$X$2)*$K505*$L505</f>
        <v/>
      </c>
      <c r="Z505" s="14">
        <f>SUM(M505:X505)</f>
        <v/>
      </c>
      <c r="AA505" s="14">
        <f>IFERROR(IF(UPPER($E505)="L",SUMPRODUCT(M505:X505,$M$3:$X$3,$M$2:$X$2),SUMPRODUCT(M505:X505,$M$4:$X$4,$M$2:$X$2))/(Y505/($K505*$L505)),"")</f>
        <v/>
      </c>
      <c r="AB505" s="18" t="n"/>
    </row>
    <row r="506">
      <c r="A506" s="9" t="n">
        <v>806263</v>
      </c>
      <c r="B506" s="9" t="inlineStr">
        <is>
          <t>Brandon Winokur</t>
        </is>
      </c>
      <c r="C506" s="9" t="inlineStr">
        <is>
          <t>MIN</t>
        </is>
      </c>
      <c r="D506" s="9" t="n">
        <v>25</v>
      </c>
      <c r="E506" s="16" t="inlineStr">
        <is>
          <t>R</t>
        </is>
      </c>
      <c r="F506" s="16" t="n"/>
      <c r="G506" s="9" t="n">
        <v>84</v>
      </c>
      <c r="H506" s="9" t="n">
        <v>84</v>
      </c>
      <c r="I506" s="9" t="inlineStr">
        <is>
          <t>Depth (no MLB PA)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3">
        <f>SUMPRODUCT(M506:X506,$M$2:$X$2)*$K506*$L506</f>
        <v/>
      </c>
      <c r="Z506" s="14">
        <f>SUM(M506:X506)</f>
        <v/>
      </c>
      <c r="AA506" s="14">
        <f>IFERROR(IF(UPPER($E506)="L",SUMPRODUCT(M506:X506,$M$3:$X$3,$M$2:$X$2),SUMPRODUCT(M506:X506,$M$4:$X$4,$M$2:$X$2))/(Y506/($K506*$L506)),"")</f>
        <v/>
      </c>
      <c r="AB506" s="18" t="n"/>
    </row>
    <row r="507">
      <c r="A507" s="9" t="n">
        <v>700845</v>
      </c>
      <c r="B507" s="9" t="inlineStr">
        <is>
          <t>Adam Zebrowski</t>
        </is>
      </c>
      <c r="C507" s="9" t="inlineStr">
        <is>
          <t>ATL</t>
        </is>
      </c>
      <c r="D507" s="9" t="n">
        <v>25</v>
      </c>
      <c r="E507" s="16" t="inlineStr">
        <is>
          <t>R</t>
        </is>
      </c>
      <c r="F507" s="16" t="n"/>
      <c r="G507" s="9" t="n">
        <v>38.92307692307693</v>
      </c>
      <c r="H507" s="9" t="n">
        <v>38.92307692307693</v>
      </c>
      <c r="I507" s="9" t="inlineStr">
        <is>
          <t>Depth (no MLB PA)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3">
        <f>SUMPRODUCT(M507:X507,$M$2:$X$2)*$K507*$L507</f>
        <v/>
      </c>
      <c r="Z507" s="14">
        <f>SUM(M507:X507)</f>
        <v/>
      </c>
      <c r="AA507" s="14">
        <f>IFERROR(IF(UPPER($E507)="L",SUMPRODUCT(M507:X507,$M$3:$X$3,$M$2:$X$2),SUMPRODUCT(M507:X507,$M$4:$X$4,$M$2:$X$2))/(Y507/($K507*$L507)),"")</f>
        <v/>
      </c>
      <c r="AB507" s="18" t="n"/>
    </row>
    <row r="508">
      <c r="A508" s="9" t="n">
        <v>815896</v>
      </c>
      <c r="B508" s="9" t="inlineStr">
        <is>
          <t>Emil Morales</t>
        </is>
      </c>
      <c r="C508" s="9" t="inlineStr">
        <is>
          <t>LAD</t>
        </is>
      </c>
      <c r="D508" s="9" t="n">
        <v>25</v>
      </c>
      <c r="E508" s="16" t="inlineStr">
        <is>
          <t>R</t>
        </is>
      </c>
      <c r="F508" s="16" t="n"/>
      <c r="G508" s="9" t="n">
        <v>74.05128205128206</v>
      </c>
      <c r="H508" s="9" t="n">
        <v>74.05128205128206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3">
        <f>SUMPRODUCT(M508:X508,$M$2:$X$2)*$K508*$L508</f>
        <v/>
      </c>
      <c r="Z508" s="14">
        <f>SUM(M508:X508)</f>
        <v/>
      </c>
      <c r="AA508" s="14">
        <f>IFERROR(IF(UPPER($E508)="L",SUMPRODUCT(M508:X508,$M$3:$X$3,$M$2:$X$2),SUMPRODUCT(M508:X508,$M$4:$X$4,$M$2:$X$2))/(Y508/($K508*$L508)),"")</f>
        <v/>
      </c>
      <c r="AB508" s="18" t="n"/>
    </row>
    <row r="509">
      <c r="A509" s="9" t="n">
        <v>821327</v>
      </c>
      <c r="B509" s="9" t="inlineStr">
        <is>
          <t>Jake Bennett</t>
        </is>
      </c>
      <c r="C509" s="9" t="inlineStr">
        <is>
          <t>TOR</t>
        </is>
      </c>
      <c r="D509" s="9" t="n">
        <v>25</v>
      </c>
      <c r="E509" s="16" t="inlineStr">
        <is>
          <t>R</t>
        </is>
      </c>
      <c r="F509" s="16" t="n"/>
      <c r="G509" s="9" t="n">
        <v>9.846153846153848</v>
      </c>
      <c r="H509" s="9" t="n">
        <v>9.846153846153848</v>
      </c>
      <c r="I509" s="9" t="inlineStr">
        <is>
          <t>Depth (no MLB PA)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3">
        <f>SUMPRODUCT(M509:X509,$M$2:$X$2)*$K509*$L509</f>
        <v/>
      </c>
      <c r="Z509" s="14">
        <f>SUM(M509:X509)</f>
        <v/>
      </c>
      <c r="AA509" s="14">
        <f>IFERROR(IF(UPPER($E509)="L",SUMPRODUCT(M509:X509,$M$3:$X$3,$M$2:$X$2),SUMPRODUCT(M509:X509,$M$4:$X$4,$M$2:$X$2))/(Y509/($K509*$L509)),"")</f>
        <v/>
      </c>
      <c r="AB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3">
        <f>SUMPRODUCT(M510:X510,$M$2:$X$2)*$K510*$L510</f>
        <v/>
      </c>
      <c r="Z510" s="14">
        <f>SUM(M510:X510)</f>
        <v/>
      </c>
      <c r="AA510" s="14">
        <f>IFERROR(IF(UPPER($E510)="L",SUMPRODUCT(M510:X510,$M$3:$X$3,$M$2:$X$2),SUMPRODUCT(M510:X510,$M$4:$X$4,$M$2:$X$2))/(Y510/($K510*$L510)),"")</f>
        <v/>
      </c>
      <c r="AB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3">
        <f>SUMPRODUCT(M511:X511,$M$2:$X$2)*$K511*$L511</f>
        <v/>
      </c>
      <c r="Z511" s="14">
        <f>SUM(M511:X511)</f>
        <v/>
      </c>
      <c r="AA511" s="14">
        <f>IFERROR(IF(UPPER($E511)="L",SUMPRODUCT(M511:X511,$M$3:$X$3,$M$2:$X$2),SUMPRODUCT(M511:X511,$M$4:$X$4,$M$2:$X$2))/(Y511/($K511*$L511)),"")</f>
        <v/>
      </c>
      <c r="AB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25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3">
        <f>SUMPRODUCT(M512:X512,$M$2:$X$2)*$K512*$L512</f>
        <v/>
      </c>
      <c r="Z512" s="14">
        <f>SUM(M512:X512)</f>
        <v/>
      </c>
      <c r="AA512" s="14">
        <f>IFERROR(IF(UPPER($E512)="L",SUMPRODUCT(M512:X512,$M$3:$X$3,$M$2:$X$2),SUMPRODUCT(M512:X512,$M$4:$X$4,$M$2:$X$2))/(Y512/($K512*$L512)),"")</f>
        <v/>
      </c>
      <c r="AB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3">
        <f>SUMPRODUCT(M513:X513,$M$2:$X$2)*$K513*$L513</f>
        <v/>
      </c>
      <c r="Z513" s="14">
        <f>SUM(M513:X513)</f>
        <v/>
      </c>
      <c r="AA513" s="14">
        <f>IFERROR(IF(UPPER($E513)="L",SUMPRODUCT(M513:X513,$M$3:$X$3,$M$2:$X$2),SUMPRODUCT(M513:X513,$M$4:$X$4,$M$2:$X$2))/(Y513/($K513*$L513)),"")</f>
        <v/>
      </c>
      <c r="AB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n"/>
      <c r="G514" s="9" t="n">
        <v>686</v>
      </c>
      <c r="H514" s="9" t="n">
        <v>3116</v>
      </c>
      <c r="I514" s="9" t="inlineStr">
        <is>
          <t>Full Time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3">
        <f>SUMPRODUCT(M514:X514,$M$2:$X$2)*$K514*$L514</f>
        <v/>
      </c>
      <c r="Z514" s="14">
        <f>SUM(M514:X514)</f>
        <v/>
      </c>
      <c r="AA514" s="14">
        <f>IFERROR(IF(UPPER($E514)="L",SUMPRODUCT(M514:X514,$M$3:$X$3,$M$2:$X$2),SUMPRODUCT(M514:X514,$M$4:$X$4,$M$2:$X$2))/(Y514/($K514*$L514)),"")</f>
        <v/>
      </c>
      <c r="AB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3">
        <f>SUMPRODUCT(M515:X515,$M$2:$X$2)*$K515*$L515</f>
        <v/>
      </c>
      <c r="Z515" s="14">
        <f>SUM(M515:X515)</f>
        <v/>
      </c>
      <c r="AA515" s="14">
        <f>IFERROR(IF(UPPER($E515)="L",SUMPRODUCT(M515:X515,$M$3:$X$3,$M$2:$X$2),SUMPRODUCT(M515:X515,$M$4:$X$4,$M$2:$X$2))/(Y515/($K515*$L515)),"")</f>
        <v/>
      </c>
      <c r="AB515" s="18" t="n"/>
    </row>
    <row r="516">
      <c r="A516" s="9" t="n">
        <v>641943</v>
      </c>
      <c r="B516" s="9" t="inlineStr">
        <is>
          <t>Joshua Palacios</t>
        </is>
      </c>
      <c r="C516" s="9" t="inlineStr">
        <is>
          <t>CWS</t>
        </is>
      </c>
      <c r="D516" s="9" t="n">
        <v>31</v>
      </c>
      <c r="E516" s="16" t="inlineStr">
        <is>
          <t>L</t>
        </is>
      </c>
      <c r="F516" s="16" t="n"/>
      <c r="G516" s="9" t="n">
        <v>145</v>
      </c>
      <c r="H516" s="9" t="n">
        <v>536</v>
      </c>
      <c r="I516" s="9" t="inlineStr">
        <is>
          <t>Bench Bat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3">
        <f>SUMPRODUCT(M516:X516,$M$2:$X$2)*$K516*$L516</f>
        <v/>
      </c>
      <c r="Z516" s="14">
        <f>SUM(M516:X516)</f>
        <v/>
      </c>
      <c r="AA516" s="14">
        <f>IFERROR(IF(UPPER($E516)="L",SUMPRODUCT(M516:X516,$M$3:$X$3,$M$2:$X$2),SUMPRODUCT(M516:X516,$M$4:$X$4,$M$2:$X$2))/(Y516/($K516*$L516)),"")</f>
        <v/>
      </c>
      <c r="AB516" s="18" t="n"/>
    </row>
    <row r="517">
      <c r="A517" s="9" t="n">
        <v>806245</v>
      </c>
      <c r="B517" s="9" t="inlineStr">
        <is>
          <t>Carson Tinney</t>
        </is>
      </c>
      <c r="C517" s="9" t="inlineStr">
        <is>
          <t>MIN</t>
        </is>
      </c>
      <c r="D517" s="9" t="n">
        <v>25</v>
      </c>
      <c r="E517" s="16" t="inlineStr">
        <is>
          <t>R</t>
        </is>
      </c>
      <c r="F517" s="16" t="n"/>
      <c r="G517" s="9" t="n">
        <v>12.55384615384615</v>
      </c>
      <c r="H517" s="9" t="n">
        <v>12.55384615384615</v>
      </c>
      <c r="I517" s="9" t="inlineStr">
        <is>
          <t>Depth (no MLB PA)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/>
      <c r="X517" s="17" t="n"/>
      <c r="Y517" s="13">
        <f>SUMPRODUCT(M517:X517,$M$2:$X$2)*$K517*$L517</f>
        <v/>
      </c>
      <c r="Z517" s="14">
        <f>SUM(M517:X517)</f>
        <v/>
      </c>
      <c r="AA517" s="14">
        <f>IFERROR(IF(UPPER($E517)="L",SUMPRODUCT(M517:X517,$M$3:$X$3,$M$2:$X$2),SUMPRODUCT(M517:X517,$M$4:$X$4,$M$2:$X$2))/(Y517/($K517*$L517)),"")</f>
        <v/>
      </c>
      <c r="AB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3">
        <f>SUMPRODUCT(M518:X518,$M$2:$X$2)*$K518*$L518</f>
        <v/>
      </c>
      <c r="Z518" s="14">
        <f>SUM(M518:X518)</f>
        <v/>
      </c>
      <c r="AA518" s="14">
        <f>IFERROR(IF(UPPER($E518)="L",SUMPRODUCT(M518:X518,$M$3:$X$3,$M$2:$X$2),SUMPRODUCT(M518:X518,$M$4:$X$4,$M$2:$X$2))/(Y518/($K518*$L518)),"")</f>
        <v/>
      </c>
      <c r="AB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3">
        <f>SUMPRODUCT(M519:X519,$M$2:$X$2)*$K519*$L519</f>
        <v/>
      </c>
      <c r="Z519" s="14">
        <f>SUM(M519:X519)</f>
        <v/>
      </c>
      <c r="AA519" s="14">
        <f>IFERROR(IF(UPPER($E519)="L",SUMPRODUCT(M519:X519,$M$3:$X$3,$M$2:$X$2),SUMPRODUCT(M519:X519,$M$4:$X$4,$M$2:$X$2))/(Y519/($K519*$L519)),"")</f>
        <v/>
      </c>
      <c r="AB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3">
        <f>SUMPRODUCT(M520:X520,$M$2:$X$2)*$K520*$L520</f>
        <v/>
      </c>
      <c r="Z520" s="14">
        <f>SUM(M520:X520)</f>
        <v/>
      </c>
      <c r="AA520" s="14">
        <f>IFERROR(IF(UPPER($E520)="L",SUMPRODUCT(M520:X520,$M$3:$X$3,$M$2:$X$2),SUMPRODUCT(M520:X520,$M$4:$X$4,$M$2:$X$2))/(Y520/($K520*$L520)),"")</f>
        <v/>
      </c>
      <c r="AB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25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Depth (no MLB PA)</t>
        </is>
      </c>
      <c r="J521" s="16" t="inlineStr">
        <is>
          <t>Opening Day</t>
        </is>
      </c>
      <c r="K521" s="11">
        <f>IFERROR(INDEX(Roles!$B$17:$B$20,MATCH(J521,Roles!$A$17:$A$20,0)),1)</f>
        <v/>
      </c>
      <c r="L521" s="17" t="n">
        <v>1</v>
      </c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3">
        <f>SUMPRODUCT(M521:X521,$M$2:$X$2)*$K521*$L521</f>
        <v/>
      </c>
      <c r="Z521" s="14">
        <f>SUM(M521:X521)</f>
        <v/>
      </c>
      <c r="AA521" s="14">
        <f>IFERROR(IF(UPPER($E521)="L",SUMPRODUCT(M521:X521,$M$3:$X$3,$M$2:$X$2),SUMPRODUCT(M521:X521,$M$4:$X$4,$M$2:$X$2))/(Y521/($K521*$L521)),"")</f>
        <v/>
      </c>
      <c r="AB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25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3">
        <f>SUMPRODUCT(M522:X522,$M$2:$X$2)*$K522*$L522</f>
        <v/>
      </c>
      <c r="Z522" s="14">
        <f>SUM(M522:X522)</f>
        <v/>
      </c>
      <c r="AA522" s="14">
        <f>IFERROR(IF(UPPER($E522)="L",SUMPRODUCT(M522:X522,$M$3:$X$3,$M$2:$X$2),SUMPRODUCT(M522:X522,$M$4:$X$4,$M$2:$X$2))/(Y522/($K522*$L522)),"")</f>
        <v/>
      </c>
      <c r="AB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n"/>
      <c r="G523" s="9" t="n">
        <v>80</v>
      </c>
      <c r="H523" s="9" t="n">
        <v>80</v>
      </c>
      <c r="I523" s="9" t="inlineStr">
        <is>
          <t>Bench Bat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3">
        <f>SUMPRODUCT(M523:X523,$M$2:$X$2)*$K523*$L523</f>
        <v/>
      </c>
      <c r="Z523" s="14">
        <f>SUM(M523:X523)</f>
        <v/>
      </c>
      <c r="AA523" s="14">
        <f>IFERROR(IF(UPPER($E523)="L",SUMPRODUCT(M523:X523,$M$3:$X$3,$M$2:$X$2),SUMPRODUCT(M523:X523,$M$4:$X$4,$M$2:$X$2))/(Y523/($K523*$L523)),"")</f>
        <v/>
      </c>
      <c r="AB523" s="18" t="n"/>
    </row>
    <row r="524">
      <c r="A524" s="9" t="n">
        <v>678662</v>
      </c>
      <c r="B524" s="9" t="inlineStr">
        <is>
          <t>Ezequiel Tovar</t>
        </is>
      </c>
      <c r="C524" s="9" t="inlineStr">
        <is>
          <t>COL</t>
        </is>
      </c>
      <c r="D524" s="9" t="n">
        <v>25</v>
      </c>
      <c r="E524" s="16" t="inlineStr">
        <is>
          <t>R</t>
        </is>
      </c>
      <c r="F524" s="16" t="n"/>
      <c r="G524" s="9" t="n">
        <v>506</v>
      </c>
      <c r="H524" s="9" t="n">
        <v>2241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3">
        <f>SUMPRODUCT(M524:X524,$M$2:$X$2)*$K524*$L524</f>
        <v/>
      </c>
      <c r="Z524" s="14">
        <f>SUM(M524:X524)</f>
        <v/>
      </c>
      <c r="AA524" s="14">
        <f>IFERROR(IF(UPPER($E524)="L",SUMPRODUCT(M524:X524,$M$3:$X$3,$M$2:$X$2),SUMPRODUCT(M524:X524,$M$4:$X$4,$M$2:$X$2))/(Y524/($K524*$L524)),"")</f>
        <v/>
      </c>
      <c r="AB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3">
        <f>SUMPRODUCT(M525:X525,$M$2:$X$2)*$K525*$L525</f>
        <v/>
      </c>
      <c r="Z525" s="14">
        <f>SUM(M525:X525)</f>
        <v/>
      </c>
      <c r="AA525" s="14">
        <f>IFERROR(IF(UPPER($E525)="L",SUMPRODUCT(M525:X525,$M$3:$X$3,$M$2:$X$2),SUMPRODUCT(M525:X525,$M$4:$X$4,$M$2:$X$2))/(Y525/($K525*$L525)),"")</f>
        <v/>
      </c>
      <c r="AB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n"/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3">
        <f>SUMPRODUCT(M526:X526,$M$2:$X$2)*$K526*$L526</f>
        <v/>
      </c>
      <c r="Z526" s="14">
        <f>SUM(M526:X526)</f>
        <v/>
      </c>
      <c r="AA526" s="14">
        <f>IFERROR(IF(UPPER($E526)="L",SUMPRODUCT(M526:X526,$M$3:$X$3,$M$2:$X$2),SUMPRODUCT(M526:X526,$M$4:$X$4,$M$2:$X$2))/(Y526/($K526*$L526)),"")</f>
        <v/>
      </c>
      <c r="AB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n"/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/>
      <c r="X527" s="17" t="n"/>
      <c r="Y527" s="13">
        <f>SUMPRODUCT(M527:X527,$M$2:$X$2)*$K527*$L527</f>
        <v/>
      </c>
      <c r="Z527" s="14">
        <f>SUM(M527:X527)</f>
        <v/>
      </c>
      <c r="AA527" s="14">
        <f>IFERROR(IF(UPPER($E527)="L",SUMPRODUCT(M527:X527,$M$3:$X$3,$M$2:$X$2),SUMPRODUCT(M527:X527,$M$4:$X$4,$M$2:$X$2))/(Y527/($K527*$L527)),"")</f>
        <v/>
      </c>
      <c r="AB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3">
        <f>SUMPRODUCT(M528:X528,$M$2:$X$2)*$K528*$L528</f>
        <v/>
      </c>
      <c r="Z528" s="14">
        <f>SUM(M528:X528)</f>
        <v/>
      </c>
      <c r="AA528" s="14">
        <f>IFERROR(IF(UPPER($E528)="L",SUMPRODUCT(M528:X528,$M$3:$X$3,$M$2:$X$2),SUMPRODUCT(M528:X528,$M$4:$X$4,$M$2:$X$2))/(Y528/($K528*$L528)),"")</f>
        <v/>
      </c>
      <c r="AB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3">
        <f>SUMPRODUCT(M529:X529,$M$2:$X$2)*$K529*$L529</f>
        <v/>
      </c>
      <c r="Z529" s="14">
        <f>SUM(M529:X529)</f>
        <v/>
      </c>
      <c r="AA529" s="14">
        <f>IFERROR(IF(UPPER($E529)="L",SUMPRODUCT(M529:X529,$M$3:$X$3,$M$2:$X$2),SUMPRODUCT(M529:X529,$M$4:$X$4,$M$2:$X$2))/(Y529/($K529*$L529)),"")</f>
        <v/>
      </c>
      <c r="AB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3">
        <f>SUMPRODUCT(M530:X530,$M$2:$X$2)*$K530*$L530</f>
        <v/>
      </c>
      <c r="Z530" s="14">
        <f>SUM(M530:X530)</f>
        <v/>
      </c>
      <c r="AA530" s="14">
        <f>IFERROR(IF(UPPER($E530)="L",SUMPRODUCT(M530:X530,$M$3:$X$3,$M$2:$X$2),SUMPRODUCT(M530:X530,$M$4:$X$4,$M$2:$X$2))/(Y530/($K530*$L530)),"")</f>
        <v/>
      </c>
      <c r="AB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3">
        <f>SUMPRODUCT(M531:X531,$M$2:$X$2)*$K531*$L531</f>
        <v/>
      </c>
      <c r="Z531" s="14">
        <f>SUM(M531:X531)</f>
        <v/>
      </c>
      <c r="AA531" s="14">
        <f>IFERROR(IF(UPPER($E531)="L",SUMPRODUCT(M531:X531,$M$3:$X$3,$M$2:$X$2),SUMPRODUCT(M531:X531,$M$4:$X$4,$M$2:$X$2))/(Y531/($K531*$L531)),"")</f>
        <v/>
      </c>
      <c r="AB531" s="18" t="n"/>
    </row>
    <row r="532">
      <c r="A532" s="9" t="n">
        <v>687310</v>
      </c>
      <c r="B532" s="9" t="inlineStr">
        <is>
          <t>Will Simpson</t>
        </is>
      </c>
      <c r="C532" s="9" t="inlineStr">
        <is>
          <t>TB</t>
        </is>
      </c>
      <c r="D532" s="9" t="n">
        <v>25</v>
      </c>
      <c r="E532" s="16" t="inlineStr">
        <is>
          <t>R</t>
        </is>
      </c>
      <c r="F532" s="16" t="n"/>
      <c r="G532" s="9" t="n">
        <v>11.84615384615385</v>
      </c>
      <c r="H532" s="9" t="n">
        <v>11.84615384615385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3">
        <f>SUMPRODUCT(M532:X532,$M$2:$X$2)*$K532*$L532</f>
        <v/>
      </c>
      <c r="Z532" s="14">
        <f>SUM(M532:X532)</f>
        <v/>
      </c>
      <c r="AA532" s="14">
        <f>IFERROR(IF(UPPER($E532)="L",SUMPRODUCT(M532:X532,$M$3:$X$3,$M$2:$X$2),SUMPRODUCT(M532:X532,$M$4:$X$4,$M$2:$X$2))/(Y532/($K532*$L532)),"")</f>
        <v/>
      </c>
      <c r="AB532" s="18" t="n"/>
    </row>
    <row r="533">
      <c r="A533" s="9" t="n">
        <v>830339</v>
      </c>
      <c r="B533" s="9" t="inlineStr">
        <is>
          <t>Luke Pettitte</t>
        </is>
      </c>
      <c r="C533" s="9" t="inlineStr">
        <is>
          <t>NYY</t>
        </is>
      </c>
      <c r="D533" s="9" t="n">
        <v>25</v>
      </c>
      <c r="E533" s="16" t="inlineStr">
        <is>
          <t>R</t>
        </is>
      </c>
      <c r="F533" s="16" t="n"/>
      <c r="G533" s="9" t="n">
        <v>5.538461538461538</v>
      </c>
      <c r="H533" s="9" t="n">
        <v>5.538461538461538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3">
        <f>SUMPRODUCT(M533:X533,$M$2:$X$2)*$K533*$L533</f>
        <v/>
      </c>
      <c r="Z533" s="14">
        <f>SUM(M533:X533)</f>
        <v/>
      </c>
      <c r="AA533" s="14">
        <f>IFERROR(IF(UPPER($E533)="L",SUMPRODUCT(M533:X533,$M$3:$X$3,$M$2:$X$2),SUMPRODUCT(M533:X533,$M$4:$X$4,$M$2:$X$2))/(Y533/($K533*$L533)),"")</f>
        <v/>
      </c>
      <c r="AB533" s="18" t="n"/>
    </row>
    <row r="534">
      <c r="A534" s="9" t="n">
        <v>827629</v>
      </c>
      <c r="B534" s="9" t="inlineStr">
        <is>
          <t>Austin Machado</t>
        </is>
      </c>
      <c r="C534" s="9" t="inlineStr">
        <is>
          <t>ATL</t>
        </is>
      </c>
      <c r="D534" s="9" t="n">
        <v>25</v>
      </c>
      <c r="E534" s="16" t="inlineStr">
        <is>
          <t>L</t>
        </is>
      </c>
      <c r="F534" s="16" t="n"/>
      <c r="G534" s="9" t="n">
        <v>5.384615384615384</v>
      </c>
      <c r="H534" s="9" t="n">
        <v>5.384615384615384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3">
        <f>SUMPRODUCT(M534:X534,$M$2:$X$2)*$K534*$L534</f>
        <v/>
      </c>
      <c r="Z534" s="14">
        <f>SUM(M534:X534)</f>
        <v/>
      </c>
      <c r="AA534" s="14">
        <f>IFERROR(IF(UPPER($E534)="L",SUMPRODUCT(M534:X534,$M$3:$X$3,$M$2:$X$2),SUMPRODUCT(M534:X534,$M$4:$X$4,$M$2:$X$2))/(Y534/($K534*$L534)),"")</f>
        <v/>
      </c>
      <c r="AB534" s="18" t="n"/>
    </row>
    <row r="535">
      <c r="A535" s="9" t="n">
        <v>696521</v>
      </c>
      <c r="B535" s="9" t="inlineStr">
        <is>
          <t>Garrett Spain</t>
        </is>
      </c>
      <c r="C535" s="9" t="inlineStr">
        <is>
          <t>MIN</t>
        </is>
      </c>
      <c r="D535" s="9" t="n">
        <v>25</v>
      </c>
      <c r="E535" s="16" t="inlineStr">
        <is>
          <t>L</t>
        </is>
      </c>
      <c r="F535" s="16" t="n"/>
      <c r="G535" s="9" t="n">
        <v>175.1794871794872</v>
      </c>
      <c r="H535" s="9" t="n">
        <v>175.1794871794872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3">
        <f>SUMPRODUCT(M535:X535,$M$2:$X$2)*$K535*$L535</f>
        <v/>
      </c>
      <c r="Z535" s="14">
        <f>SUM(M535:X535)</f>
        <v/>
      </c>
      <c r="AA535" s="14">
        <f>IFERROR(IF(UPPER($E535)="L",SUMPRODUCT(M535:X535,$M$3:$X$3,$M$2:$X$2),SUMPRODUCT(M535:X535,$M$4:$X$4,$M$2:$X$2))/(Y535/($K535*$L535)),"")</f>
        <v/>
      </c>
      <c r="AB535" s="18" t="n"/>
    </row>
    <row r="536">
      <c r="A536" s="9" t="n">
        <v>682796</v>
      </c>
      <c r="B536" s="9" t="inlineStr">
        <is>
          <t>Eddinson Paulino</t>
        </is>
      </c>
      <c r="C536" s="9" t="inlineStr">
        <is>
          <t>NYM</t>
        </is>
      </c>
      <c r="D536" s="9" t="n">
        <v>25</v>
      </c>
      <c r="E536" s="16" t="inlineStr">
        <is>
          <t>L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3">
        <f>SUMPRODUCT(M536:X536,$M$2:$X$2)*$K536*$L536</f>
        <v/>
      </c>
      <c r="Z536" s="14">
        <f>SUM(M536:X536)</f>
        <v/>
      </c>
      <c r="AA536" s="14">
        <f>IFERROR(IF(UPPER($E536)="L",SUMPRODUCT(M536:X536,$M$3:$X$3,$M$2:$X$2),SUMPRODUCT(M536:X536,$M$4:$X$4,$M$2:$X$2))/(Y536/($K536*$L536)),"")</f>
        <v/>
      </c>
      <c r="AB536" s="18" t="n"/>
    </row>
    <row r="537">
      <c r="A537" s="9" t="n">
        <v>808024</v>
      </c>
      <c r="B537" s="9" t="inlineStr">
        <is>
          <t>Carlos Virahonda</t>
        </is>
      </c>
      <c r="C537" s="9" t="inlineStr">
        <is>
          <t>ARI</t>
        </is>
      </c>
      <c r="D537" s="9" t="n">
        <v>25</v>
      </c>
      <c r="E537" s="16" t="inlineStr">
        <is>
          <t>R</t>
        </is>
      </c>
      <c r="F537" s="16" t="n"/>
      <c r="G537" s="9" t="n">
        <v>5.384615384615384</v>
      </c>
      <c r="H537" s="9" t="n">
        <v>5.384615384615384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3">
        <f>SUMPRODUCT(M537:X537,$M$2:$X$2)*$K537*$L537</f>
        <v/>
      </c>
      <c r="Z537" s="14">
        <f>SUM(M537:X537)</f>
        <v/>
      </c>
      <c r="AA537" s="14">
        <f>IFERROR(IF(UPPER($E537)="L",SUMPRODUCT(M537:X537,$M$3:$X$3,$M$2:$X$2),SUMPRODUCT(M537:X537,$M$4:$X$4,$M$2:$X$2))/(Y537/($K537*$L537)),"")</f>
        <v/>
      </c>
      <c r="AB537" s="18" t="n"/>
    </row>
    <row r="538">
      <c r="A538" s="9" t="n">
        <v>699213</v>
      </c>
      <c r="B538" s="9" t="inlineStr">
        <is>
          <t>Gleider Figuereo</t>
        </is>
      </c>
      <c r="C538" s="9" t="inlineStr">
        <is>
          <t>TEX</t>
        </is>
      </c>
      <c r="D538" s="9" t="n">
        <v>25</v>
      </c>
      <c r="E538" s="16" t="inlineStr">
        <is>
          <t>L</t>
        </is>
      </c>
      <c r="F538" s="16" t="n"/>
      <c r="G538" s="9" t="n">
        <v>13.64102564102564</v>
      </c>
      <c r="H538" s="9" t="n">
        <v>13.64102564102564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3">
        <f>SUMPRODUCT(M538:X538,$M$2:$X$2)*$K538*$L538</f>
        <v/>
      </c>
      <c r="Z538" s="14">
        <f>SUM(M538:X538)</f>
        <v/>
      </c>
      <c r="AA538" s="14">
        <f>IFERROR(IF(UPPER($E538)="L",SUMPRODUCT(M538:X538,$M$3:$X$3,$M$2:$X$2),SUMPRODUCT(M538:X538,$M$4:$X$4,$M$2:$X$2))/(Y538/($K538*$L538)),"")</f>
        <v/>
      </c>
      <c r="AB538" s="18" t="n"/>
    </row>
    <row r="539">
      <c r="A539" s="9" t="n">
        <v>824713</v>
      </c>
      <c r="B539" s="9" t="inlineStr">
        <is>
          <t>Andrew Williamson</t>
        </is>
      </c>
      <c r="C539" s="9" t="inlineStr">
        <is>
          <t>STL</t>
        </is>
      </c>
      <c r="D539" s="9" t="n">
        <v>25</v>
      </c>
      <c r="E539" s="16" t="inlineStr">
        <is>
          <t>L</t>
        </is>
      </c>
      <c r="F539" s="16" t="n"/>
      <c r="G539" s="9" t="n">
        <v>17.23076923076923</v>
      </c>
      <c r="H539" s="9" t="n">
        <v>17.23076923076923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3">
        <f>SUMPRODUCT(M539:X539,$M$2:$X$2)*$K539*$L539</f>
        <v/>
      </c>
      <c r="Z539" s="14">
        <f>SUM(M539:X539)</f>
        <v/>
      </c>
      <c r="AA539" s="14">
        <f>IFERROR(IF(UPPER($E539)="L",SUMPRODUCT(M539:X539,$M$3:$X$3,$M$2:$X$2),SUMPRODUCT(M539:X539,$M$4:$X$4,$M$2:$X$2))/(Y539/($K539*$L539)),"")</f>
        <v/>
      </c>
      <c r="AB539" s="18" t="n"/>
    </row>
    <row r="540">
      <c r="A540" s="9" t="n">
        <v>683001</v>
      </c>
      <c r="B540" s="9" t="inlineStr">
        <is>
          <t>Ethan Hearn</t>
        </is>
      </c>
      <c r="C540" s="9" t="inlineStr">
        <is>
          <t>CHC</t>
        </is>
      </c>
      <c r="D540" s="9" t="n">
        <v>25</v>
      </c>
      <c r="E540" s="16" t="inlineStr">
        <is>
          <t>L</t>
        </is>
      </c>
      <c r="F540" s="16" t="n"/>
      <c r="G540" s="9" t="n">
        <v>40.61538461538462</v>
      </c>
      <c r="H540" s="9" t="n">
        <v>40.61538461538462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3">
        <f>SUMPRODUCT(M540:X540,$M$2:$X$2)*$K540*$L540</f>
        <v/>
      </c>
      <c r="Z540" s="14">
        <f>SUM(M540:X540)</f>
        <v/>
      </c>
      <c r="AA540" s="14">
        <f>IFERROR(IF(UPPER($E540)="L",SUMPRODUCT(M540:X540,$M$3:$X$3,$M$2:$X$2),SUMPRODUCT(M540:X540,$M$4:$X$4,$M$2:$X$2))/(Y540/($K540*$L540)),"")</f>
        <v/>
      </c>
      <c r="AB540" s="18" t="n"/>
    </row>
    <row r="541">
      <c r="A541" s="9" t="n">
        <v>680118</v>
      </c>
      <c r="B541" s="9" t="inlineStr">
        <is>
          <t>Dairon Blanco</t>
        </is>
      </c>
      <c r="C541" s="9" t="inlineStr">
        <is>
          <t>KC</t>
        </is>
      </c>
      <c r="D541" s="9" t="n">
        <v>34</v>
      </c>
      <c r="E541" s="16" t="inlineStr">
        <is>
          <t>R</t>
        </is>
      </c>
      <c r="F541" s="16" t="n"/>
      <c r="G541" s="9" t="n">
        <v>8</v>
      </c>
      <c r="H541" s="9" t="n">
        <v>285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3">
        <f>SUMPRODUCT(M541:X541,$M$2:$X$2)*$K541*$L541</f>
        <v/>
      </c>
      <c r="Z541" s="14">
        <f>SUM(M541:X541)</f>
        <v/>
      </c>
      <c r="AA541" s="14">
        <f>IFERROR(IF(UPPER($E541)="L",SUMPRODUCT(M541:X541,$M$3:$X$3,$M$2:$X$2),SUMPRODUCT(M541:X541,$M$4:$X$4,$M$2:$X$2))/(Y541/($K541*$L541)),"")</f>
        <v/>
      </c>
      <c r="AB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3">
        <f>SUMPRODUCT(M542:X542,$M$2:$X$2)*$K542*$L542</f>
        <v/>
      </c>
      <c r="Z542" s="14">
        <f>SUM(M542:X542)</f>
        <v/>
      </c>
      <c r="AA542" s="14">
        <f>IFERROR(IF(UPPER($E542)="L",SUMPRODUCT(M542:X542,$M$3:$X$3,$M$2:$X$2),SUMPRODUCT(M542:X542,$M$4:$X$4,$M$2:$X$2))/(Y542/($K542*$L542)),"")</f>
        <v/>
      </c>
      <c r="AB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3">
        <f>SUMPRODUCT(M543:X543,$M$2:$X$2)*$K543*$L543</f>
        <v/>
      </c>
      <c r="Z543" s="14">
        <f>SUM(M543:X543)</f>
        <v/>
      </c>
      <c r="AA543" s="14">
        <f>IFERROR(IF(UPPER($E543)="L",SUMPRODUCT(M543:X543,$M$3:$X$3,$M$2:$X$2),SUMPRODUCT(M543:X543,$M$4:$X$4,$M$2:$X$2))/(Y543/($K543*$L543)),"")</f>
        <v/>
      </c>
      <c r="AB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3">
        <f>SUMPRODUCT(M544:X544,$M$2:$X$2)*$K544*$L544</f>
        <v/>
      </c>
      <c r="Z544" s="14">
        <f>SUM(M544:X544)</f>
        <v/>
      </c>
      <c r="AA544" s="14">
        <f>IFERROR(IF(UPPER($E544)="L",SUMPRODUCT(M544:X544,$M$3:$X$3,$M$2:$X$2),SUMPRODUCT(M544:X544,$M$4:$X$4,$M$2:$X$2))/(Y544/($K544*$L544)),"")</f>
        <v/>
      </c>
      <c r="AB544" s="18" t="n"/>
    </row>
    <row r="545">
      <c r="A545" s="9" t="n">
        <v>800406</v>
      </c>
      <c r="B545" s="9" t="inlineStr">
        <is>
          <t>Aron Estrada</t>
        </is>
      </c>
      <c r="C545" s="9" t="inlineStr">
        <is>
          <t>BAL</t>
        </is>
      </c>
      <c r="D545" s="9" t="n">
        <v>25</v>
      </c>
      <c r="E545" s="16" t="inlineStr">
        <is>
          <t>S</t>
        </is>
      </c>
      <c r="F545" s="16" t="n"/>
      <c r="G545" s="9" t="n">
        <v>12.41025641025641</v>
      </c>
      <c r="H545" s="9" t="n">
        <v>12.41025641025641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3">
        <f>SUMPRODUCT(M545:X545,$M$2:$X$2)*$K545*$L545</f>
        <v/>
      </c>
      <c r="Z545" s="14">
        <f>SUM(M545:X545)</f>
        <v/>
      </c>
      <c r="AA545" s="14">
        <f>IFERROR(IF(UPPER($E545)="L",SUMPRODUCT(M545:X545,$M$3:$X$3,$M$2:$X$2),SUMPRODUCT(M545:X545,$M$4:$X$4,$M$2:$X$2))/(Y545/($K545*$L545)),"")</f>
        <v/>
      </c>
      <c r="AB545" s="18" t="n"/>
    </row>
    <row r="546">
      <c r="A546" s="9" t="n">
        <v>805964</v>
      </c>
      <c r="B546" s="9" t="inlineStr">
        <is>
          <t>Stanley Tucker</t>
        </is>
      </c>
      <c r="C546" s="9" t="inlineStr">
        <is>
          <t>BOS</t>
        </is>
      </c>
      <c r="D546" s="9" t="n">
        <v>25</v>
      </c>
      <c r="E546" s="16" t="inlineStr">
        <is>
          <t>R</t>
        </is>
      </c>
      <c r="F546" s="16" t="n"/>
      <c r="G546" s="9" t="n">
        <v>5.743589743589744</v>
      </c>
      <c r="H546" s="9" t="n">
        <v>5.743589743589744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3">
        <f>SUMPRODUCT(M546:X546,$M$2:$X$2)*$K546*$L546</f>
        <v/>
      </c>
      <c r="Z546" s="14">
        <f>SUM(M546:X546)</f>
        <v/>
      </c>
      <c r="AA546" s="14">
        <f>IFERROR(IF(UPPER($E546)="L",SUMPRODUCT(M546:X546,$M$3:$X$3,$M$2:$X$2),SUMPRODUCT(M546:X546,$M$4:$X$4,$M$2:$X$2))/(Y546/($K546*$L546)),"")</f>
        <v/>
      </c>
      <c r="AB546" s="18" t="n"/>
    </row>
    <row r="547">
      <c r="A547" s="9" t="n">
        <v>676724</v>
      </c>
      <c r="B547" s="9" t="inlineStr">
        <is>
          <t>Jared Young</t>
        </is>
      </c>
      <c r="C547" s="9" t="inlineStr">
        <is>
          <t>NYM</t>
        </is>
      </c>
      <c r="D547" s="9" t="n">
        <v>31</v>
      </c>
      <c r="E547" s="16" t="inlineStr">
        <is>
          <t>L</t>
        </is>
      </c>
      <c r="F547" s="16" t="n"/>
      <c r="G547" s="9" t="n">
        <v>342</v>
      </c>
      <c r="H547" s="9" t="n">
        <v>458</v>
      </c>
      <c r="I547" s="9" t="inlineStr">
        <is>
          <t>Utility OF / 4th OF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/>
      <c r="X547" s="17" t="n"/>
      <c r="Y547" s="13">
        <f>SUMPRODUCT(M547:X547,$M$2:$X$2)*$K547*$L547</f>
        <v/>
      </c>
      <c r="Z547" s="14">
        <f>SUM(M547:X547)</f>
        <v/>
      </c>
      <c r="AA547" s="14">
        <f>IFERROR(IF(UPPER($E547)="L",SUMPRODUCT(M547:X547,$M$3:$X$3,$M$2:$X$2),SUMPRODUCT(M547:X547,$M$4:$X$4,$M$2:$X$2))/(Y547/($K547*$L547)),"")</f>
        <v/>
      </c>
      <c r="AB547" s="18" t="n"/>
    </row>
    <row r="548">
      <c r="A548" s="9" t="n">
        <v>681974</v>
      </c>
      <c r="B548" s="9" t="inlineStr">
        <is>
          <t>Onix Vega</t>
        </is>
      </c>
      <c r="C548" s="9" t="inlineStr">
        <is>
          <t>NYM</t>
        </is>
      </c>
      <c r="D548" s="9" t="n">
        <v>25</v>
      </c>
      <c r="E548" s="16" t="inlineStr">
        <is>
          <t>R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3">
        <f>SUMPRODUCT(M548:X548,$M$2:$X$2)*$K548*$L548</f>
        <v/>
      </c>
      <c r="Z548" s="14">
        <f>SUM(M548:X548)</f>
        <v/>
      </c>
      <c r="AA548" s="14">
        <f>IFERROR(IF(UPPER($E548)="L",SUMPRODUCT(M548:X548,$M$3:$X$3,$M$2:$X$2),SUMPRODUCT(M548:X548,$M$4:$X$4,$M$2:$X$2))/(Y548/($K548*$L548)),"")</f>
        <v/>
      </c>
      <c r="AB548" s="18" t="n"/>
    </row>
    <row r="549">
      <c r="A549" s="9" t="n">
        <v>683002</v>
      </c>
      <c r="B549" s="9" t="inlineStr">
        <is>
          <t>Gunnar Henderson</t>
        </is>
      </c>
      <c r="C549" s="9" t="inlineStr">
        <is>
          <t>BAL</t>
        </is>
      </c>
      <c r="D549" s="9" t="n">
        <v>26</v>
      </c>
      <c r="E549" s="16" t="inlineStr">
        <is>
          <t>L</t>
        </is>
      </c>
      <c r="F549" s="16" t="n"/>
      <c r="G549" s="9" t="n">
        <v>702</v>
      </c>
      <c r="H549" s="9" t="n">
        <v>2826</v>
      </c>
      <c r="I549" s="9" t="inlineStr">
        <is>
          <t>Full Time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3">
        <f>SUMPRODUCT(M549:X549,$M$2:$X$2)*$K549*$L549</f>
        <v/>
      </c>
      <c r="Z549" s="14">
        <f>SUM(M549:X549)</f>
        <v/>
      </c>
      <c r="AA549" s="14">
        <f>IFERROR(IF(UPPER($E549)="L",SUMPRODUCT(M549:X549,$M$3:$X$3,$M$2:$X$2),SUMPRODUCT(M549:X549,$M$4:$X$4,$M$2:$X$2))/(Y549/($K549*$L549)),"")</f>
        <v/>
      </c>
      <c r="AB549" s="18" t="n"/>
    </row>
    <row r="550">
      <c r="A550" s="9" t="n">
        <v>702488</v>
      </c>
      <c r="B550" s="9" t="inlineStr">
        <is>
          <t>Logan Wagner</t>
        </is>
      </c>
      <c r="C550" s="9" t="inlineStr">
        <is>
          <t>LAD</t>
        </is>
      </c>
      <c r="D550" s="9" t="n">
        <v>25</v>
      </c>
      <c r="E550" s="16" t="inlineStr">
        <is>
          <t>S</t>
        </is>
      </c>
      <c r="F550" s="16" t="n"/>
      <c r="G550" s="9" t="n">
        <v>45.94871794871795</v>
      </c>
      <c r="H550" s="9" t="n">
        <v>45.94871794871795</v>
      </c>
      <c r="I550" s="9" t="inlineStr">
        <is>
          <t>Depth (no MLB PA)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3">
        <f>SUMPRODUCT(M550:X550,$M$2:$X$2)*$K550*$L550</f>
        <v/>
      </c>
      <c r="Z550" s="14">
        <f>SUM(M550:X550)</f>
        <v/>
      </c>
      <c r="AA550" s="14">
        <f>IFERROR(IF(UPPER($E550)="L",SUMPRODUCT(M550:X550,$M$3:$X$3,$M$2:$X$2),SUMPRODUCT(M550:X550,$M$4:$X$4,$M$2:$X$2))/(Y550/($K550*$L550)),"")</f>
        <v/>
      </c>
      <c r="AB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25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Depth (no MLB PA)</t>
        </is>
      </c>
      <c r="J551" s="16" t="inlineStr">
        <is>
          <t>Opening Day</t>
        </is>
      </c>
      <c r="K551" s="11">
        <f>IFERROR(INDEX(Roles!$B$17:$B$20,MATCH(J551,Roles!$A$17:$A$20,0)),1)</f>
        <v/>
      </c>
      <c r="L551" s="17" t="n">
        <v>1</v>
      </c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/>
      <c r="Y551" s="13">
        <f>SUMPRODUCT(M551:X551,$M$2:$X$2)*$K551*$L551</f>
        <v/>
      </c>
      <c r="Z551" s="14">
        <f>SUM(M551:X551)</f>
        <v/>
      </c>
      <c r="AA551" s="14">
        <f>IFERROR(IF(UPPER($E551)="L",SUMPRODUCT(M551:X551,$M$3:$X$3,$M$2:$X$2),SUMPRODUCT(M551:X551,$M$4:$X$4,$M$2:$X$2))/(Y551/($K551*$L551)),"")</f>
        <v/>
      </c>
      <c r="AB551" s="18" t="n"/>
    </row>
    <row r="552">
      <c r="A552" s="9" t="n">
        <v>667803</v>
      </c>
      <c r="B552" s="9" t="inlineStr">
        <is>
          <t>Ernesto Martinez Jr.</t>
        </is>
      </c>
      <c r="C552" s="9" t="inlineStr">
        <is>
          <t>NYY</t>
        </is>
      </c>
      <c r="D552" s="9" t="n">
        <v>25</v>
      </c>
      <c r="E552" s="16" t="inlineStr">
        <is>
          <t>L</t>
        </is>
      </c>
      <c r="F552" s="16" t="n"/>
      <c r="G552" s="9" t="n">
        <v>247.0769230769231</v>
      </c>
      <c r="H552" s="9" t="n">
        <v>247.0769230769231</v>
      </c>
      <c r="I552" s="9" t="inlineStr">
        <is>
          <t>Depth (no MLB PA)</t>
        </is>
      </c>
      <c r="J552" s="16" t="inlineStr">
        <is>
          <t>Opening Day</t>
        </is>
      </c>
      <c r="K552" s="11">
        <f>IFERROR(INDEX(Roles!$B$17:$B$20,MATCH(J552,Roles!$A$17:$A$20,0)),1)</f>
        <v/>
      </c>
      <c r="L552" s="17" t="n">
        <v>1</v>
      </c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3">
        <f>SUMPRODUCT(M552:X552,$M$2:$X$2)*$K552*$L552</f>
        <v/>
      </c>
      <c r="Z552" s="14">
        <f>SUM(M552:X552)</f>
        <v/>
      </c>
      <c r="AA552" s="14">
        <f>IFERROR(IF(UPPER($E552)="L",SUMPRODUCT(M552:X552,$M$3:$X$3,$M$2:$X$2),SUMPRODUCT(M552:X552,$M$4:$X$4,$M$2:$X$2))/(Y552/($K552*$L552)),"")</f>
        <v/>
      </c>
      <c r="AB552" s="18" t="n"/>
    </row>
    <row r="553">
      <c r="A553" s="9" t="n">
        <v>699471</v>
      </c>
      <c r="B553" s="9" t="inlineStr">
        <is>
          <t>Ivan Melendez</t>
        </is>
      </c>
      <c r="C553" s="9" t="inlineStr">
        <is>
          <t>ARI</t>
        </is>
      </c>
      <c r="D553" s="9" t="n">
        <v>25</v>
      </c>
      <c r="E553" s="16" t="inlineStr">
        <is>
          <t>R</t>
        </is>
      </c>
      <c r="F553" s="16" t="n"/>
      <c r="G553" s="9" t="n">
        <v>27.07692307692308</v>
      </c>
      <c r="H553" s="9" t="n">
        <v>27.07692307692308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3">
        <f>SUMPRODUCT(M553:X553,$M$2:$X$2)*$K553*$L553</f>
        <v/>
      </c>
      <c r="Z553" s="14">
        <f>SUM(M553:X553)</f>
        <v/>
      </c>
      <c r="AA553" s="14">
        <f>IFERROR(IF(UPPER($E553)="L",SUMPRODUCT(M553:X553,$M$3:$X$3,$M$2:$X$2),SUMPRODUCT(M553:X553,$M$4:$X$4,$M$2:$X$2))/(Y553/($K553*$L553)),"")</f>
        <v/>
      </c>
      <c r="AB553" s="18" t="n"/>
    </row>
    <row r="554">
      <c r="A554" s="9" t="n">
        <v>804109</v>
      </c>
      <c r="B554" s="9" t="inlineStr">
        <is>
          <t>Aiva Arquette</t>
        </is>
      </c>
      <c r="C554" s="9" t="inlineStr">
        <is>
          <t>MIA</t>
        </is>
      </c>
      <c r="D554" s="9" t="n">
        <v>25</v>
      </c>
      <c r="E554" s="16" t="inlineStr">
        <is>
          <t>R</t>
        </is>
      </c>
      <c r="F554" s="16" t="n"/>
      <c r="G554" s="9" t="n">
        <v>80.41025641025641</v>
      </c>
      <c r="H554" s="9" t="n">
        <v>80.41025641025641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3">
        <f>SUMPRODUCT(M554:X554,$M$2:$X$2)*$K554*$L554</f>
        <v/>
      </c>
      <c r="Z554" s="14">
        <f>SUM(M554:X554)</f>
        <v/>
      </c>
      <c r="AA554" s="14">
        <f>IFERROR(IF(UPPER($E554)="L",SUMPRODUCT(M554:X554,$M$3:$X$3,$M$2:$X$2),SUMPRODUCT(M554:X554,$M$4:$X$4,$M$2:$X$2))/(Y554/($K554*$L554)),"")</f>
        <v/>
      </c>
      <c r="AB554" s="18" t="n"/>
    </row>
    <row r="555">
      <c r="A555" s="9" t="n">
        <v>692046</v>
      </c>
      <c r="B555" s="9" t="inlineStr">
        <is>
          <t>Axel Sanchez</t>
        </is>
      </c>
      <c r="C555" s="9" t="inlineStr">
        <is>
          <t>SEA</t>
        </is>
      </c>
      <c r="D555" s="9" t="n">
        <v>25</v>
      </c>
      <c r="E555" s="16" t="inlineStr">
        <is>
          <t>R</t>
        </is>
      </c>
      <c r="F555" s="16" t="n"/>
      <c r="G555" s="9" t="n">
        <v>41.74358974358975</v>
      </c>
      <c r="H555" s="9" t="n">
        <v>41.74358974358975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3">
        <f>SUMPRODUCT(M555:X555,$M$2:$X$2)*$K555*$L555</f>
        <v/>
      </c>
      <c r="Z555" s="14">
        <f>SUM(M555:X555)</f>
        <v/>
      </c>
      <c r="AA555" s="14">
        <f>IFERROR(IF(UPPER($E555)="L",SUMPRODUCT(M555:X555,$M$3:$X$3,$M$2:$X$2),SUMPRODUCT(M555:X555,$M$4:$X$4,$M$2:$X$2))/(Y555/($K555*$L555)),"")</f>
        <v/>
      </c>
      <c r="AB555" s="18" t="n"/>
    </row>
    <row r="556">
      <c r="A556" s="9" t="n">
        <v>829038</v>
      </c>
      <c r="B556" s="9" t="inlineStr">
        <is>
          <t>Cris Rodriguez</t>
        </is>
      </c>
      <c r="C556" s="9" t="inlineStr">
        <is>
          <t>DET</t>
        </is>
      </c>
      <c r="D556" s="9" t="n">
        <v>25</v>
      </c>
      <c r="E556" s="16" t="inlineStr">
        <is>
          <t>R</t>
        </is>
      </c>
      <c r="F556" s="16" t="n"/>
      <c r="G556" s="9" t="n">
        <v>4.061538461538461</v>
      </c>
      <c r="H556" s="9" t="n">
        <v>4.061538461538461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3">
        <f>SUMPRODUCT(M556:X556,$M$2:$X$2)*$K556*$L556</f>
        <v/>
      </c>
      <c r="Z556" s="14">
        <f>SUM(M556:X556)</f>
        <v/>
      </c>
      <c r="AA556" s="14">
        <f>IFERROR(IF(UPPER($E556)="L",SUMPRODUCT(M556:X556,$M$3:$X$3,$M$2:$X$2),SUMPRODUCT(M556:X556,$M$4:$X$4,$M$2:$X$2))/(Y556/($K556*$L556)),"")</f>
        <v/>
      </c>
      <c r="AB556" s="18" t="n"/>
    </row>
    <row r="557">
      <c r="A557" s="9" t="n">
        <v>801489</v>
      </c>
      <c r="B557" s="9" t="inlineStr">
        <is>
          <t>Tyce Armstrong</t>
        </is>
      </c>
      <c r="C557" s="9" t="inlineStr">
        <is>
          <t>NYY</t>
        </is>
      </c>
      <c r="D557" s="9" t="n">
        <v>25</v>
      </c>
      <c r="E557" s="16" t="inlineStr">
        <is>
          <t>R</t>
        </is>
      </c>
      <c r="F557" s="16" t="n"/>
      <c r="G557" s="9" t="n">
        <v>10.33846153846154</v>
      </c>
      <c r="H557" s="9" t="n">
        <v>10.33846153846154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3">
        <f>SUMPRODUCT(M557:X557,$M$2:$X$2)*$K557*$L557</f>
        <v/>
      </c>
      <c r="Z557" s="14">
        <f>SUM(M557:X557)</f>
        <v/>
      </c>
      <c r="AA557" s="14">
        <f>IFERROR(IF(UPPER($E557)="L",SUMPRODUCT(M557:X557,$M$3:$X$3,$M$2:$X$2),SUMPRODUCT(M557:X557,$M$4:$X$4,$M$2:$X$2))/(Y557/($K557*$L557)),"")</f>
        <v/>
      </c>
      <c r="AB557" s="18" t="n"/>
    </row>
    <row r="558">
      <c r="A558" s="9" t="n">
        <v>816113</v>
      </c>
      <c r="B558" s="9" t="inlineStr">
        <is>
          <t>Eli Willits</t>
        </is>
      </c>
      <c r="C558" s="9" t="inlineStr">
        <is>
          <t>WSH</t>
        </is>
      </c>
      <c r="D558" s="9" t="n">
        <v>25</v>
      </c>
      <c r="E558" s="16" t="inlineStr">
        <is>
          <t>S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3">
        <f>SUMPRODUCT(M558:X558,$M$2:$X$2)*$K558*$L558</f>
        <v/>
      </c>
      <c r="Z558" s="14">
        <f>SUM(M558:X558)</f>
        <v/>
      </c>
      <c r="AA558" s="14">
        <f>IFERROR(IF(UPPER($E558)="L",SUMPRODUCT(M558:X558,$M$3:$X$3,$M$2:$X$2),SUMPRODUCT(M558:X558,$M$4:$X$4,$M$2:$X$2))/(Y558/($K558*$L558)),"")</f>
        <v/>
      </c>
      <c r="AB558" s="18" t="n"/>
    </row>
    <row r="559">
      <c r="A559" s="9" t="n">
        <v>801187</v>
      </c>
      <c r="B559" s="9" t="inlineStr">
        <is>
          <t>Chase Adkison</t>
        </is>
      </c>
      <c r="C559" s="9" t="inlineStr">
        <is>
          <t>STL</t>
        </is>
      </c>
      <c r="D559" s="9" t="n">
        <v>25</v>
      </c>
      <c r="E559" s="16" t="inlineStr">
        <is>
          <t>R</t>
        </is>
      </c>
      <c r="F559" s="16" t="n"/>
      <c r="G559" s="9" t="n">
        <v>6.102564102564103</v>
      </c>
      <c r="H559" s="9" t="n">
        <v>6.102564102564103</v>
      </c>
      <c r="I559" s="9" t="inlineStr">
        <is>
          <t>Depth (no MLB PA)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3">
        <f>SUMPRODUCT(M559:X559,$M$2:$X$2)*$K559*$L559</f>
        <v/>
      </c>
      <c r="Z559" s="14">
        <f>SUM(M559:X559)</f>
        <v/>
      </c>
      <c r="AA559" s="14">
        <f>IFERROR(IF(UPPER($E559)="L",SUMPRODUCT(M559:X559,$M$3:$X$3,$M$2:$X$2),SUMPRODUCT(M559:X559,$M$4:$X$4,$M$2:$X$2))/(Y559/($K559*$L559)),"")</f>
        <v/>
      </c>
      <c r="AB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3">
        <f>SUMPRODUCT(M560:X560,$M$2:$X$2)*$K560*$L560</f>
        <v/>
      </c>
      <c r="Z560" s="14">
        <f>SUM(M560:X560)</f>
        <v/>
      </c>
      <c r="AA560" s="14">
        <f>IFERROR(IF(UPPER($E560)="L",SUMPRODUCT(M560:X560,$M$3:$X$3,$M$2:$X$2),SUMPRODUCT(M560:X560,$M$4:$X$4,$M$2:$X$2))/(Y560/($K560*$L560)),"")</f>
        <v/>
      </c>
      <c r="AB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25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Depth (no MLB PA)</t>
        </is>
      </c>
      <c r="J561" s="16" t="inlineStr">
        <is>
          <t>Opening Day</t>
        </is>
      </c>
      <c r="K561" s="11">
        <f>IFERROR(INDEX(Roles!$B$17:$B$20,MATCH(J561,Roles!$A$17:$A$20,0)),1)</f>
        <v/>
      </c>
      <c r="L561" s="17" t="n">
        <v>1</v>
      </c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3">
        <f>SUMPRODUCT(M561:X561,$M$2:$X$2)*$K561*$L561</f>
        <v/>
      </c>
      <c r="Z561" s="14">
        <f>SUM(M561:X561)</f>
        <v/>
      </c>
      <c r="AA561" s="14">
        <f>IFERROR(IF(UPPER($E561)="L",SUMPRODUCT(M561:X561,$M$3:$X$3,$M$2:$X$2),SUMPRODUCT(M561:X561,$M$4:$X$4,$M$2:$X$2))/(Y561/($K561*$L561)),"")</f>
        <v/>
      </c>
      <c r="AB561" s="18" t="n"/>
    </row>
    <row r="562">
      <c r="A562" s="9" t="n">
        <v>663993</v>
      </c>
      <c r="B562" s="9" t="inlineStr">
        <is>
          <t>Nathaniel Lowe</t>
        </is>
      </c>
      <c r="C562" s="9" t="inlineStr">
        <is>
          <t>CLE</t>
        </is>
      </c>
      <c r="D562" s="9" t="n">
        <v>31</v>
      </c>
      <c r="E562" s="16" t="inlineStr">
        <is>
          <t>L</t>
        </is>
      </c>
      <c r="F562" s="16" t="n"/>
      <c r="G562" s="9" t="n">
        <v>429</v>
      </c>
      <c r="H562" s="9" t="n">
        <v>2972</v>
      </c>
      <c r="I562" s="9" t="inlineStr">
        <is>
          <t>Full Time</t>
        </is>
      </c>
      <c r="J562" s="16" t="inlineStr">
        <is>
          <t>Opening Day</t>
        </is>
      </c>
      <c r="K562" s="11">
        <f>IFERROR(INDEX(Roles!$B$17:$B$20,MATCH(J562,Roles!$A$17:$A$20,0)),1)</f>
        <v/>
      </c>
      <c r="L562" s="17" t="n">
        <v>1</v>
      </c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/>
      <c r="Y562" s="13">
        <f>SUMPRODUCT(M562:X562,$M$2:$X$2)*$K562*$L562</f>
        <v/>
      </c>
      <c r="Z562" s="14">
        <f>SUM(M562:X562)</f>
        <v/>
      </c>
      <c r="AA562" s="14">
        <f>IFERROR(IF(UPPER($E562)="L",SUMPRODUCT(M562:X562,$M$3:$X$3,$M$2:$X$2),SUMPRODUCT(M562:X562,$M$4:$X$4,$M$2:$X$2))/(Y562/($K562*$L562)),"")</f>
        <v/>
      </c>
      <c r="AB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25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3">
        <f>SUMPRODUCT(M563:X563,$M$2:$X$2)*$K563*$L563</f>
        <v/>
      </c>
      <c r="Z563" s="14">
        <f>SUM(M563:X563)</f>
        <v/>
      </c>
      <c r="AA563" s="14">
        <f>IFERROR(IF(UPPER($E563)="L",SUMPRODUCT(M563:X563,$M$3:$X$3,$M$2:$X$2),SUMPRODUCT(M563:X563,$M$4:$X$4,$M$2:$X$2))/(Y563/($K563*$L563)),"")</f>
        <v/>
      </c>
      <c r="AB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n"/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3">
        <f>SUMPRODUCT(M564:X564,$M$2:$X$2)*$K564*$L564</f>
        <v/>
      </c>
      <c r="Z564" s="14">
        <f>SUM(M564:X564)</f>
        <v/>
      </c>
      <c r="AA564" s="14">
        <f>IFERROR(IF(UPPER($E564)="L",SUMPRODUCT(M564:X564,$M$3:$X$3,$M$2:$X$2),SUMPRODUCT(M564:X564,$M$4:$X$4,$M$2:$X$2))/(Y564/($K564*$L564)),"")</f>
        <v/>
      </c>
      <c r="AB564" s="18" t="n"/>
    </row>
    <row r="565">
      <c r="A565" s="9" t="n">
        <v>813488</v>
      </c>
      <c r="B565" s="9" t="inlineStr">
        <is>
          <t>Jayden Lobliner</t>
        </is>
      </c>
      <c r="C565" s="9" t="inlineStr">
        <is>
          <t>STL</t>
        </is>
      </c>
      <c r="D565" s="9" t="n">
        <v>25</v>
      </c>
      <c r="E565" s="16" t="inlineStr">
        <is>
          <t>R</t>
        </is>
      </c>
      <c r="F565" s="16" t="n"/>
      <c r="G565" s="9" t="n">
        <v>6.523076923076923</v>
      </c>
      <c r="H565" s="9" t="n">
        <v>6.523076923076923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3">
        <f>SUMPRODUCT(M565:X565,$M$2:$X$2)*$K565*$L565</f>
        <v/>
      </c>
      <c r="Z565" s="14">
        <f>SUM(M565:X565)</f>
        <v/>
      </c>
      <c r="AA565" s="14">
        <f>IFERROR(IF(UPPER($E565)="L",SUMPRODUCT(M565:X565,$M$3:$X$3,$M$2:$X$2),SUMPRODUCT(M565:X565,$M$4:$X$4,$M$2:$X$2))/(Y565/($K565*$L565)),"")</f>
        <v/>
      </c>
      <c r="AB565" s="18" t="n"/>
    </row>
    <row r="566">
      <c r="A566" s="9" t="n">
        <v>691278</v>
      </c>
      <c r="B566" s="9" t="inlineStr">
        <is>
          <t>Moises Alcala</t>
        </is>
      </c>
      <c r="C566" s="9" t="inlineStr">
        <is>
          <t>ARI</t>
        </is>
      </c>
      <c r="D566" s="9" t="n">
        <v>25</v>
      </c>
      <c r="E566" s="16" t="inlineStr">
        <is>
          <t>S</t>
        </is>
      </c>
      <c r="F566" s="16" t="n"/>
      <c r="G566" s="9" t="n">
        <v>2.338461538461539</v>
      </c>
      <c r="H566" s="9" t="n">
        <v>2.338461538461539</v>
      </c>
      <c r="I566" s="9" t="inlineStr">
        <is>
          <t>Depth (no MLB PA)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  <c r="V566" s="17" t="n"/>
      <c r="W566" s="17" t="n"/>
      <c r="X566" s="17" t="n"/>
      <c r="Y566" s="13">
        <f>SUMPRODUCT(M566:X566,$M$2:$X$2)*$K566*$L566</f>
        <v/>
      </c>
      <c r="Z566" s="14">
        <f>SUM(M566:X566)</f>
        <v/>
      </c>
      <c r="AA566" s="14">
        <f>IFERROR(IF(UPPER($E566)="L",SUMPRODUCT(M566:X566,$M$3:$X$3,$M$2:$X$2),SUMPRODUCT(M566:X566,$M$4:$X$4,$M$2:$X$2))/(Y566/($K566*$L566)),"")</f>
        <v/>
      </c>
      <c r="AB566" s="18" t="n"/>
    </row>
    <row r="567">
      <c r="A567" s="9" t="n">
        <v>701350</v>
      </c>
      <c r="B567" s="9" t="inlineStr">
        <is>
          <t>Roman Anthony</t>
        </is>
      </c>
      <c r="C567" s="9" t="inlineStr">
        <is>
          <t>BOS</t>
        </is>
      </c>
      <c r="D567" s="9" t="n">
        <v>23</v>
      </c>
      <c r="E567" s="16" t="inlineStr">
        <is>
          <t>L</t>
        </is>
      </c>
      <c r="F567" s="16" t="n"/>
      <c r="G567" s="9" t="n">
        <v>242</v>
      </c>
      <c r="H567" s="9" t="n">
        <v>545</v>
      </c>
      <c r="I567" s="9" t="inlineStr">
        <is>
          <t>Utility OF / 4th OF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3">
        <f>SUMPRODUCT(M567:X567,$M$2:$X$2)*$K567*$L567</f>
        <v/>
      </c>
      <c r="Z567" s="14">
        <f>SUM(M567:X567)</f>
        <v/>
      </c>
      <c r="AA567" s="14">
        <f>IFERROR(IF(UPPER($E567)="L",SUMPRODUCT(M567:X567,$M$3:$X$3,$M$2:$X$2),SUMPRODUCT(M567:X567,$M$4:$X$4,$M$2:$X$2))/(Y567/($K567*$L567)),"")</f>
        <v/>
      </c>
      <c r="AB567" s="18" t="n"/>
    </row>
    <row r="568">
      <c r="A568" s="9" t="n">
        <v>814822</v>
      </c>
      <c r="B568" s="9" t="inlineStr">
        <is>
          <t>Henry Ford</t>
        </is>
      </c>
      <c r="C568" s="9" t="inlineStr">
        <is>
          <t>SEA</t>
        </is>
      </c>
      <c r="D568" s="9" t="n">
        <v>25</v>
      </c>
      <c r="E568" s="16" t="inlineStr">
        <is>
          <t>R</t>
        </is>
      </c>
      <c r="F568" s="16" t="n"/>
      <c r="G568" s="9" t="n">
        <v>6.646153846153847</v>
      </c>
      <c r="H568" s="9" t="n">
        <v>6.646153846153847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3">
        <f>SUMPRODUCT(M568:X568,$M$2:$X$2)*$K568*$L568</f>
        <v/>
      </c>
      <c r="Z568" s="14">
        <f>SUM(M568:X568)</f>
        <v/>
      </c>
      <c r="AA568" s="14">
        <f>IFERROR(IF(UPPER($E568)="L",SUMPRODUCT(M568:X568,$M$3:$X$3,$M$2:$X$2),SUMPRODUCT(M568:X568,$M$4:$X$4,$M$2:$X$2))/(Y568/($K568*$L568)),"")</f>
        <v/>
      </c>
      <c r="AB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3">
        <f>SUMPRODUCT(M569:X569,$M$2:$X$2)*$K569*$L569</f>
        <v/>
      </c>
      <c r="Z569" s="14">
        <f>SUM(M569:X569)</f>
        <v/>
      </c>
      <c r="AA569" s="14">
        <f>IFERROR(IF(UPPER($E569)="L",SUMPRODUCT(M569:X569,$M$3:$X$3,$M$2:$X$2),SUMPRODUCT(M569:X569,$M$4:$X$4,$M$2:$X$2))/(Y569/($K569*$L569)),"")</f>
        <v/>
      </c>
      <c r="AB569" s="18" t="n"/>
    </row>
    <row r="570">
      <c r="A570" s="9" t="n">
        <v>703483</v>
      </c>
      <c r="B570" s="9" t="inlineStr">
        <is>
          <t>Dixon Williams</t>
        </is>
      </c>
      <c r="C570" s="9" t="inlineStr">
        <is>
          <t>ATL</t>
        </is>
      </c>
      <c r="D570" s="9" t="n">
        <v>25</v>
      </c>
      <c r="E570" s="16" t="inlineStr">
        <is>
          <t>L</t>
        </is>
      </c>
      <c r="F570" s="16" t="n"/>
      <c r="G570" s="9" t="n">
        <v>14.71794871794872</v>
      </c>
      <c r="H570" s="9" t="n">
        <v>14.71794871794872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3">
        <f>SUMPRODUCT(M570:X570,$M$2:$X$2)*$K570*$L570</f>
        <v/>
      </c>
      <c r="Z570" s="14">
        <f>SUM(M570:X570)</f>
        <v/>
      </c>
      <c r="AA570" s="14">
        <f>IFERROR(IF(UPPER($E570)="L",SUMPRODUCT(M570:X570,$M$3:$X$3,$M$2:$X$2),SUMPRODUCT(M570:X570,$M$4:$X$4,$M$2:$X$2))/(Y570/($K570*$L570)),"")</f>
        <v/>
      </c>
      <c r="AB570" s="18" t="n"/>
    </row>
    <row r="571">
      <c r="A571" s="9" t="n">
        <v>800201</v>
      </c>
      <c r="B571" s="9" t="inlineStr">
        <is>
          <t>Rafael Ramirez Jr.</t>
        </is>
      </c>
      <c r="C571" s="9" t="inlineStr">
        <is>
          <t>WSH</t>
        </is>
      </c>
      <c r="D571" s="9" t="n">
        <v>25</v>
      </c>
      <c r="E571" s="16" t="inlineStr">
        <is>
          <t>L</t>
        </is>
      </c>
      <c r="F571" s="16" t="n"/>
      <c r="G571" s="9" t="n">
        <v>2.461538461538462</v>
      </c>
      <c r="H571" s="9" t="n">
        <v>2.461538461538462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3">
        <f>SUMPRODUCT(M571:X571,$M$2:$X$2)*$K571*$L571</f>
        <v/>
      </c>
      <c r="Z571" s="14">
        <f>SUM(M571:X571)</f>
        <v/>
      </c>
      <c r="AA571" s="14">
        <f>IFERROR(IF(UPPER($E571)="L",SUMPRODUCT(M571:X571,$M$3:$X$3,$M$2:$X$2),SUMPRODUCT(M571:X571,$M$4:$X$4,$M$2:$X$2))/(Y571/($K571*$L571)),"")</f>
        <v/>
      </c>
      <c r="AB571" s="18" t="n"/>
    </row>
    <row r="572">
      <c r="A572" s="9" t="n">
        <v>701333</v>
      </c>
      <c r="B572" s="9" t="inlineStr">
        <is>
          <t>Colby Shelton</t>
        </is>
      </c>
      <c r="C572" s="9" t="inlineStr">
        <is>
          <t>CWS</t>
        </is>
      </c>
      <c r="D572" s="9" t="n">
        <v>25</v>
      </c>
      <c r="E572" s="16" t="inlineStr">
        <is>
          <t>L</t>
        </is>
      </c>
      <c r="F572" s="16" t="n"/>
      <c r="G572" s="9" t="n">
        <v>137.4871794871795</v>
      </c>
      <c r="H572" s="9" t="n">
        <v>137.4871794871795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3">
        <f>SUMPRODUCT(M572:X572,$M$2:$X$2)*$K572*$L572</f>
        <v/>
      </c>
      <c r="Z572" s="14">
        <f>SUM(M572:X572)</f>
        <v/>
      </c>
      <c r="AA572" s="14">
        <f>IFERROR(IF(UPPER($E572)="L",SUMPRODUCT(M572:X572,$M$3:$X$3,$M$2:$X$2),SUMPRODUCT(M572:X572,$M$4:$X$4,$M$2:$X$2))/(Y572/($K572*$L572)),"")</f>
        <v/>
      </c>
      <c r="AB572" s="18" t="n"/>
    </row>
    <row r="573">
      <c r="A573" s="9" t="n">
        <v>805117</v>
      </c>
      <c r="B573" s="9" t="inlineStr">
        <is>
          <t>Jean Carlos Sió</t>
        </is>
      </c>
      <c r="C573" s="9" t="inlineStr">
        <is>
          <t>SF</t>
        </is>
      </c>
      <c r="D573" s="9" t="n">
        <v>25</v>
      </c>
      <c r="E573" s="16" t="inlineStr">
        <is>
          <t>L</t>
        </is>
      </c>
      <c r="F573" s="16" t="n"/>
      <c r="G573" s="9" t="n">
        <v>88.66666666666667</v>
      </c>
      <c r="H573" s="9" t="n">
        <v>88.66666666666667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3">
        <f>SUMPRODUCT(M573:X573,$M$2:$X$2)*$K573*$L573</f>
        <v/>
      </c>
      <c r="Z573" s="14">
        <f>SUM(M573:X573)</f>
        <v/>
      </c>
      <c r="AA573" s="14">
        <f>IFERROR(IF(UPPER($E573)="L",SUMPRODUCT(M573:X573,$M$3:$X$3,$M$2:$X$2),SUMPRODUCT(M573:X573,$M$4:$X$4,$M$2:$X$2))/(Y573/($K573*$L573)),"")</f>
        <v/>
      </c>
      <c r="AB573" s="18" t="n"/>
    </row>
    <row r="574">
      <c r="A574" s="9" t="n">
        <v>570731</v>
      </c>
      <c r="B574" s="9" t="inlineStr">
        <is>
          <t>Jonathan Schoop</t>
        </is>
      </c>
      <c r="C574" s="9" t="inlineStr">
        <is>
          <t>DET</t>
        </is>
      </c>
      <c r="D574" s="9" t="n">
        <v>35</v>
      </c>
      <c r="E574" s="16" t="inlineStr">
        <is>
          <t>R</t>
        </is>
      </c>
      <c r="F574" s="16" t="n"/>
      <c r="G574" s="9" t="n">
        <v>151</v>
      </c>
      <c r="H574" s="9" t="n">
        <v>661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3">
        <f>SUMPRODUCT(M574:X574,$M$2:$X$2)*$K574*$L574</f>
        <v/>
      </c>
      <c r="Z574" s="14">
        <f>SUM(M574:X574)</f>
        <v/>
      </c>
      <c r="AA574" s="14">
        <f>IFERROR(IF(UPPER($E574)="L",SUMPRODUCT(M574:X574,$M$3:$X$3,$M$2:$X$2),SUMPRODUCT(M574:X574,$M$4:$X$4,$M$2:$X$2))/(Y574/($K574*$L574)),"")</f>
        <v/>
      </c>
      <c r="AB574" s="18" t="n"/>
    </row>
    <row r="575">
      <c r="A575" s="9" t="n">
        <v>681171</v>
      </c>
      <c r="B575" s="9" t="inlineStr">
        <is>
          <t>Gavin Dugas</t>
        </is>
      </c>
      <c r="C575" s="9" t="inlineStr">
        <is>
          <t>WSH</t>
        </is>
      </c>
      <c r="D575" s="9" t="n">
        <v>25</v>
      </c>
      <c r="E575" s="16" t="inlineStr">
        <is>
          <t>R</t>
        </is>
      </c>
      <c r="F575" s="16" t="n"/>
      <c r="G575" s="9" t="n">
        <v>6.564102564102566</v>
      </c>
      <c r="H575" s="9" t="n">
        <v>6.564102564102566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3">
        <f>SUMPRODUCT(M575:X575,$M$2:$X$2)*$K575*$L575</f>
        <v/>
      </c>
      <c r="Z575" s="14">
        <f>SUM(M575:X575)</f>
        <v/>
      </c>
      <c r="AA575" s="14">
        <f>IFERROR(IF(UPPER($E575)="L",SUMPRODUCT(M575:X575,$M$3:$X$3,$M$2:$X$2),SUMPRODUCT(M575:X575,$M$4:$X$4,$M$2:$X$2))/(Y575/($K575*$L575)),"")</f>
        <v/>
      </c>
      <c r="AB575" s="18" t="n"/>
    </row>
    <row r="576">
      <c r="A576" s="9" t="n">
        <v>703060</v>
      </c>
      <c r="B576" s="9" t="inlineStr">
        <is>
          <t>Alejandro Urias</t>
        </is>
      </c>
      <c r="C576" s="9" t="inlineStr">
        <is>
          <t>NYM</t>
        </is>
      </c>
      <c r="D576" s="9" t="n">
        <v>25</v>
      </c>
      <c r="E576" s="16" t="inlineStr">
        <is>
          <t>R</t>
        </is>
      </c>
      <c r="F576" s="16" t="n"/>
      <c r="G576" s="9" t="n">
        <v>2.666666666666667</v>
      </c>
      <c r="H576" s="9" t="n">
        <v>2.666666666666667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3">
        <f>SUMPRODUCT(M576:X576,$M$2:$X$2)*$K576*$L576</f>
        <v/>
      </c>
      <c r="Z576" s="14">
        <f>SUM(M576:X576)</f>
        <v/>
      </c>
      <c r="AA576" s="14">
        <f>IFERROR(IF(UPPER($E576)="L",SUMPRODUCT(M576:X576,$M$3:$X$3,$M$2:$X$2),SUMPRODUCT(M576:X576,$M$4:$X$4,$M$2:$X$2))/(Y576/($K576*$L576)),"")</f>
        <v/>
      </c>
      <c r="AB576" s="18" t="n"/>
    </row>
    <row r="577">
      <c r="A577" s="9" t="n">
        <v>679602</v>
      </c>
      <c r="B577" s="9" t="inlineStr">
        <is>
          <t>Drew Ehrhard</t>
        </is>
      </c>
      <c r="C577" s="9" t="inlineStr">
        <is>
          <t>BOS</t>
        </is>
      </c>
      <c r="D577" s="9" t="n">
        <v>25</v>
      </c>
      <c r="E577" s="16" t="inlineStr">
        <is>
          <t>R</t>
        </is>
      </c>
      <c r="F577" s="16" t="n"/>
      <c r="G577" s="9" t="n">
        <v>15.07692307692308</v>
      </c>
      <c r="H577" s="9" t="n">
        <v>15.07692307692308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3">
        <f>SUMPRODUCT(M577:X577,$M$2:$X$2)*$K577*$L577</f>
        <v/>
      </c>
      <c r="Z577" s="14">
        <f>SUM(M577:X577)</f>
        <v/>
      </c>
      <c r="AA577" s="14">
        <f>IFERROR(IF(UPPER($E577)="L",SUMPRODUCT(M577:X577,$M$3:$X$3,$M$2:$X$2),SUMPRODUCT(M577:X577,$M$4:$X$4,$M$2:$X$2))/(Y577/($K577*$L577)),"")</f>
        <v/>
      </c>
      <c r="AB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3">
        <f>SUMPRODUCT(M578:X578,$M$2:$X$2)*$K578*$L578</f>
        <v/>
      </c>
      <c r="Z578" s="14">
        <f>SUM(M578:X578)</f>
        <v/>
      </c>
      <c r="AA578" s="14">
        <f>IFERROR(IF(UPPER($E578)="L",SUMPRODUCT(M578:X578,$M$3:$X$3,$M$2:$X$2),SUMPRODUCT(M578:X578,$M$4:$X$4,$M$2:$X$2))/(Y578/($K578*$L578)),"")</f>
        <v/>
      </c>
      <c r="AB578" s="18" t="n"/>
    </row>
    <row r="579">
      <c r="A579" s="9" t="n">
        <v>803734</v>
      </c>
      <c r="B579" s="9" t="inlineStr">
        <is>
          <t>Hayden Yost</t>
        </is>
      </c>
      <c r="C579" s="9" t="inlineStr">
        <is>
          <t>SEA</t>
        </is>
      </c>
      <c r="D579" s="9" t="n">
        <v>25</v>
      </c>
      <c r="E579" s="16" t="inlineStr">
        <is>
          <t>L</t>
        </is>
      </c>
      <c r="F579" s="16" t="n"/>
      <c r="G579" s="9" t="n">
        <v>13.41538461538462</v>
      </c>
      <c r="H579" s="9" t="n">
        <v>13.41538461538462</v>
      </c>
      <c r="I579" s="9" t="inlineStr">
        <is>
          <t>Depth (no MLB PA)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3">
        <f>SUMPRODUCT(M579:X579,$M$2:$X$2)*$K579*$L579</f>
        <v/>
      </c>
      <c r="Z579" s="14">
        <f>SUM(M579:X579)</f>
        <v/>
      </c>
      <c r="AA579" s="14">
        <f>IFERROR(IF(UPPER($E579)="L",SUMPRODUCT(M579:X579,$M$3:$X$3,$M$2:$X$2),SUMPRODUCT(M579:X579,$M$4:$X$4,$M$2:$X$2))/(Y579/($K579*$L579)),"")</f>
        <v/>
      </c>
      <c r="AB579" s="18" t="n"/>
    </row>
    <row r="580">
      <c r="A580" s="9" t="n">
        <v>815608</v>
      </c>
      <c r="B580" s="9" t="inlineStr">
        <is>
          <t>Wyatt Sanford</t>
        </is>
      </c>
      <c r="C580" s="9" t="inlineStr">
        <is>
          <t>PIT</t>
        </is>
      </c>
      <c r="D580" s="9" t="n">
        <v>25</v>
      </c>
      <c r="E580" s="16" t="inlineStr">
        <is>
          <t>L</t>
        </is>
      </c>
      <c r="F580" s="16" t="n"/>
      <c r="G580" s="9" t="n">
        <v>66.05128205128206</v>
      </c>
      <c r="H580" s="9" t="n">
        <v>66.05128205128206</v>
      </c>
      <c r="I580" s="9" t="inlineStr">
        <is>
          <t>Depth (no MLB PA)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3">
        <f>SUMPRODUCT(M580:X580,$M$2:$X$2)*$K580*$L580</f>
        <v/>
      </c>
      <c r="Z580" s="14">
        <f>SUM(M580:X580)</f>
        <v/>
      </c>
      <c r="AA580" s="14">
        <f>IFERROR(IF(UPPER($E580)="L",SUMPRODUCT(M580:X580,$M$3:$X$3,$M$2:$X$2),SUMPRODUCT(M580:X580,$M$4:$X$4,$M$2:$X$2))/(Y580/($K580*$L580)),"")</f>
        <v/>
      </c>
      <c r="AB580" s="18" t="n"/>
    </row>
    <row r="581">
      <c r="A581" s="9" t="n">
        <v>656811</v>
      </c>
      <c r="B581" s="9" t="inlineStr">
        <is>
          <t>Ryan O'Hearn</t>
        </is>
      </c>
      <c r="C581" s="9" t="inlineStr">
        <is>
          <t>PIT</t>
        </is>
      </c>
      <c r="D581" s="9" t="n">
        <v>33</v>
      </c>
      <c r="E581" s="16" t="inlineStr">
        <is>
          <t>L</t>
        </is>
      </c>
      <c r="F581" s="16" t="n"/>
      <c r="G581" s="9" t="n">
        <v>451</v>
      </c>
      <c r="H581" s="9" t="n">
        <v>2002</v>
      </c>
      <c r="I581" s="9" t="inlineStr">
        <is>
          <t>Full Time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3">
        <f>SUMPRODUCT(M581:X581,$M$2:$X$2)*$K581*$L581</f>
        <v/>
      </c>
      <c r="Z581" s="14">
        <f>SUM(M581:X581)</f>
        <v/>
      </c>
      <c r="AA581" s="14">
        <f>IFERROR(IF(UPPER($E581)="L",SUMPRODUCT(M581:X581,$M$3:$X$3,$M$2:$X$2),SUMPRODUCT(M581:X581,$M$4:$X$4,$M$2:$X$2))/(Y581/($K581*$L581)),"")</f>
        <v/>
      </c>
      <c r="AB581" s="18" t="n"/>
    </row>
    <row r="582">
      <c r="A582" s="9" t="n">
        <v>701360</v>
      </c>
      <c r="B582" s="9" t="inlineStr">
        <is>
          <t>Chris Arroyo</t>
        </is>
      </c>
      <c r="C582" s="9" t="inlineStr">
        <is>
          <t>MIA</t>
        </is>
      </c>
      <c r="D582" s="9" t="n">
        <v>25</v>
      </c>
      <c r="E582" s="16" t="inlineStr">
        <is>
          <t>L</t>
        </is>
      </c>
      <c r="F582" s="16" t="n"/>
      <c r="G582" s="9" t="n">
        <v>1</v>
      </c>
      <c r="H582" s="9" t="n">
        <v>1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3">
        <f>SUMPRODUCT(M582:X582,$M$2:$X$2)*$K582*$L582</f>
        <v/>
      </c>
      <c r="Z582" s="14">
        <f>SUM(M582:X582)</f>
        <v/>
      </c>
      <c r="AA582" s="14">
        <f>IFERROR(IF(UPPER($E582)="L",SUMPRODUCT(M582:X582,$M$3:$X$3,$M$2:$X$2),SUMPRODUCT(M582:X582,$M$4:$X$4,$M$2:$X$2))/(Y582/($K582*$L582)),"")</f>
        <v/>
      </c>
      <c r="AB582" s="18" t="n"/>
    </row>
    <row r="583">
      <c r="A583" s="9" t="n">
        <v>835219</v>
      </c>
      <c r="B583" s="9" t="inlineStr">
        <is>
          <t>Anthony Potestio</t>
        </is>
      </c>
      <c r="C583" s="9" t="inlineStr">
        <is>
          <t>NYY</t>
        </is>
      </c>
      <c r="D583" s="9" t="n">
        <v>25</v>
      </c>
      <c r="E583" s="16" t="inlineStr">
        <is>
          <t>L</t>
        </is>
      </c>
      <c r="F583" s="16" t="n"/>
      <c r="G583" s="9" t="n">
        <v>9.353846153846154</v>
      </c>
      <c r="H583" s="9" t="n">
        <v>9.353846153846154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3">
        <f>SUMPRODUCT(M583:X583,$M$2:$X$2)*$K583*$L583</f>
        <v/>
      </c>
      <c r="Z583" s="14">
        <f>SUM(M583:X583)</f>
        <v/>
      </c>
      <c r="AA583" s="14">
        <f>IFERROR(IF(UPPER($E583)="L",SUMPRODUCT(M583:X583,$M$3:$X$3,$M$2:$X$2),SUMPRODUCT(M583:X583,$M$4:$X$4,$M$2:$X$2))/(Y583/($K583*$L583)),"")</f>
        <v/>
      </c>
      <c r="AB583" s="18" t="n"/>
    </row>
    <row r="584">
      <c r="A584" s="9" t="n">
        <v>543063</v>
      </c>
      <c r="B584" s="9" t="inlineStr">
        <is>
          <t>Brandon Crawford</t>
        </is>
      </c>
      <c r="C584" s="9" t="inlineStr">
        <is>
          <t>STL</t>
        </is>
      </c>
      <c r="D584" s="9" t="n">
        <v>40</v>
      </c>
      <c r="E584" s="16" t="inlineStr">
        <is>
          <t>L</t>
        </is>
      </c>
      <c r="F584" s="16" t="n"/>
      <c r="G584" s="9" t="n">
        <v>80</v>
      </c>
      <c r="H584" s="9" t="n">
        <v>858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3">
        <f>SUMPRODUCT(M584:X584,$M$2:$X$2)*$K584*$L584</f>
        <v/>
      </c>
      <c r="Z584" s="14">
        <f>SUM(M584:X584)</f>
        <v/>
      </c>
      <c r="AA584" s="14">
        <f>IFERROR(IF(UPPER($E584)="L",SUMPRODUCT(M584:X584,$M$3:$X$3,$M$2:$X$2),SUMPRODUCT(M584:X584,$M$4:$X$4,$M$2:$X$2))/(Y584/($K584*$L584)),"")</f>
        <v/>
      </c>
      <c r="AB584" s="18" t="n"/>
    </row>
    <row r="585">
      <c r="A585" s="9" t="n">
        <v>624513</v>
      </c>
      <c r="B585" s="9" t="inlineStr">
        <is>
          <t>Dom Nuñez</t>
        </is>
      </c>
      <c r="C585" s="9" t="inlineStr">
        <is>
          <t>COL</t>
        </is>
      </c>
      <c r="D585" s="9" t="n">
        <v>32</v>
      </c>
      <c r="E585" s="16" t="inlineStr">
        <is>
          <t>L</t>
        </is>
      </c>
      <c r="F585" s="16" t="n"/>
      <c r="G585" s="9" t="n">
        <v>7</v>
      </c>
      <c r="H585" s="9" t="n">
        <v>48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3">
        <f>SUMPRODUCT(M585:X585,$M$2:$X$2)*$K585*$L585</f>
        <v/>
      </c>
      <c r="Z585" s="14">
        <f>SUM(M585:X585)</f>
        <v/>
      </c>
      <c r="AA585" s="14">
        <f>IFERROR(IF(UPPER($E585)="L",SUMPRODUCT(M585:X585,$M$3:$X$3,$M$2:$X$2),SUMPRODUCT(M585:X585,$M$4:$X$4,$M$2:$X$2))/(Y585/($K585*$L585)),"")</f>
        <v/>
      </c>
      <c r="AB585" s="18" t="n"/>
    </row>
    <row r="586">
      <c r="A586" s="9" t="n">
        <v>828714</v>
      </c>
      <c r="B586" s="9" t="inlineStr">
        <is>
          <t>Daniel Jackson</t>
        </is>
      </c>
      <c r="C586" s="9" t="inlineStr">
        <is>
          <t>COL</t>
        </is>
      </c>
      <c r="D586" s="9" t="n">
        <v>25</v>
      </c>
      <c r="E586" s="16" t="inlineStr">
        <is>
          <t>R</t>
        </is>
      </c>
      <c r="F586" s="16" t="n"/>
      <c r="G586" s="9" t="n">
        <v>11.69230769230769</v>
      </c>
      <c r="H586" s="9" t="n">
        <v>11.69230769230769</v>
      </c>
      <c r="I586" s="9" t="inlineStr">
        <is>
          <t>Depth (no MLB PA)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  <c r="V586" s="17" t="n"/>
      <c r="W586" s="17" t="n"/>
      <c r="X586" s="17" t="n"/>
      <c r="Y586" s="13">
        <f>SUMPRODUCT(M586:X586,$M$2:$X$2)*$K586*$L586</f>
        <v/>
      </c>
      <c r="Z586" s="14">
        <f>SUM(M586:X586)</f>
        <v/>
      </c>
      <c r="AA586" s="14">
        <f>IFERROR(IF(UPPER($E586)="L",SUMPRODUCT(M586:X586,$M$3:$X$3,$M$2:$X$2),SUMPRODUCT(M586:X586,$M$4:$X$4,$M$2:$X$2))/(Y586/($K586*$L586)),"")</f>
        <v/>
      </c>
      <c r="AB586" s="18" t="n"/>
    </row>
    <row r="587">
      <c r="A587" s="9" t="n">
        <v>809720</v>
      </c>
      <c r="B587" s="9" t="inlineStr">
        <is>
          <t>Damian Bravo</t>
        </is>
      </c>
      <c r="C587" s="9" t="inlineStr">
        <is>
          <t>SF</t>
        </is>
      </c>
      <c r="D587" s="9" t="n">
        <v>25</v>
      </c>
      <c r="E587" s="16" t="inlineStr">
        <is>
          <t>R</t>
        </is>
      </c>
      <c r="F587" s="16" t="n"/>
      <c r="G587" s="9" t="n">
        <v>15.17948717948718</v>
      </c>
      <c r="H587" s="9" t="n">
        <v>15.17948717948718</v>
      </c>
      <c r="I587" s="9" t="inlineStr">
        <is>
          <t>Depth (no MLB PA)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3">
        <f>SUMPRODUCT(M587:X587,$M$2:$X$2)*$K587*$L587</f>
        <v/>
      </c>
      <c r="Z587" s="14">
        <f>SUM(M587:X587)</f>
        <v/>
      </c>
      <c r="AA587" s="14">
        <f>IFERROR(IF(UPPER($E587)="L",SUMPRODUCT(M587:X587,$M$3:$X$3,$M$2:$X$2),SUMPRODUCT(M587:X587,$M$4:$X$4,$M$2:$X$2))/(Y587/($K587*$L587)),"")</f>
        <v/>
      </c>
      <c r="AB587" s="18" t="n"/>
    </row>
    <row r="588">
      <c r="A588" s="9" t="n">
        <v>814444</v>
      </c>
      <c r="B588" s="9" t="inlineStr">
        <is>
          <t>Will Turner</t>
        </is>
      </c>
      <c r="C588" s="9" t="inlineStr">
        <is>
          <t>BOS</t>
        </is>
      </c>
      <c r="D588" s="9" t="n">
        <v>25</v>
      </c>
      <c r="E588" s="16" t="inlineStr">
        <is>
          <t>L</t>
        </is>
      </c>
      <c r="F588" s="16" t="n"/>
      <c r="G588" s="9" t="n">
        <v>145.3846153846154</v>
      </c>
      <c r="H588" s="9" t="n">
        <v>145.3846153846154</v>
      </c>
      <c r="I588" s="9" t="inlineStr">
        <is>
          <t>Depth (no MLB PA)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3">
        <f>SUMPRODUCT(M588:X588,$M$2:$X$2)*$K588*$L588</f>
        <v/>
      </c>
      <c r="Z588" s="14">
        <f>SUM(M588:X588)</f>
        <v/>
      </c>
      <c r="AA588" s="14">
        <f>IFERROR(IF(UPPER($E588)="L",SUMPRODUCT(M588:X588,$M$3:$X$3,$M$2:$X$2),SUMPRODUCT(M588:X588,$M$4:$X$4,$M$2:$X$2))/(Y588/($K588*$L588)),"")</f>
        <v/>
      </c>
      <c r="AB588" s="18" t="n"/>
    </row>
    <row r="589">
      <c r="A589" s="9" t="n">
        <v>815787</v>
      </c>
      <c r="B589" s="9" t="inlineStr">
        <is>
          <t>Ethan Holliday</t>
        </is>
      </c>
      <c r="C589" s="9" t="inlineStr">
        <is>
          <t>COL</t>
        </is>
      </c>
      <c r="D589" s="9" t="n">
        <v>25</v>
      </c>
      <c r="E589" s="16" t="inlineStr">
        <is>
          <t>L</t>
        </is>
      </c>
      <c r="F589" s="16" t="n"/>
      <c r="G589" s="9" t="n">
        <v>17.84615384615385</v>
      </c>
      <c r="H589" s="9" t="n">
        <v>17.84615384615385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3">
        <f>SUMPRODUCT(M589:X589,$M$2:$X$2)*$K589*$L589</f>
        <v/>
      </c>
      <c r="Z589" s="14">
        <f>SUM(M589:X589)</f>
        <v/>
      </c>
      <c r="AA589" s="14">
        <f>IFERROR(IF(UPPER($E589)="L",SUMPRODUCT(M589:X589,$M$3:$X$3,$M$2:$X$2),SUMPRODUCT(M589:X589,$M$4:$X$4,$M$2:$X$2))/(Y589/($K589*$L589)),"")</f>
        <v/>
      </c>
      <c r="AB589" s="18" t="n"/>
    </row>
    <row r="590">
      <c r="A590" s="9" t="n">
        <v>668939</v>
      </c>
      <c r="B590" s="9" t="inlineStr">
        <is>
          <t>Adley Rutschman</t>
        </is>
      </c>
      <c r="C590" s="9" t="inlineStr">
        <is>
          <t>BOS</t>
        </is>
      </c>
      <c r="D590" s="9" t="n">
        <v>29</v>
      </c>
      <c r="E590" s="16" t="inlineStr">
        <is>
          <t>S</t>
        </is>
      </c>
      <c r="F590" s="16" t="n"/>
      <c r="G590" s="9" t="n">
        <v>410</v>
      </c>
      <c r="H590" s="9" t="n">
        <v>2570</v>
      </c>
      <c r="I590" s="9" t="inlineStr">
        <is>
          <t>Full Time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3">
        <f>SUMPRODUCT(M590:X590,$M$2:$X$2)*$K590*$L590</f>
        <v/>
      </c>
      <c r="Z590" s="14">
        <f>SUM(M590:X590)</f>
        <v/>
      </c>
      <c r="AA590" s="14">
        <f>IFERROR(IF(UPPER($E590)="L",SUMPRODUCT(M590:X590,$M$3:$X$3,$M$2:$X$2),SUMPRODUCT(M590:X590,$M$4:$X$4,$M$2:$X$2))/(Y590/($K590*$L590)),"")</f>
        <v/>
      </c>
      <c r="AB590" s="18" t="n"/>
    </row>
    <row r="591">
      <c r="A591" s="9" t="n">
        <v>703449</v>
      </c>
      <c r="B591" s="9" t="inlineStr">
        <is>
          <t>Nathan Hall</t>
        </is>
      </c>
      <c r="C591" s="9" t="inlineStr">
        <is>
          <t>ARI</t>
        </is>
      </c>
      <c r="D591" s="9" t="n">
        <v>25</v>
      </c>
      <c r="E591" s="16" t="inlineStr">
        <is>
          <t>R</t>
        </is>
      </c>
      <c r="F591" s="16" t="n"/>
      <c r="G591" s="9" t="n">
        <v>5.415384615384616</v>
      </c>
      <c r="H591" s="9" t="n">
        <v>5.415384615384616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3">
        <f>SUMPRODUCT(M591:X591,$M$2:$X$2)*$K591*$L591</f>
        <v/>
      </c>
      <c r="Z591" s="14">
        <f>SUM(M591:X591)</f>
        <v/>
      </c>
      <c r="AA591" s="14">
        <f>IFERROR(IF(UPPER($E591)="L",SUMPRODUCT(M591:X591,$M$3:$X$3,$M$2:$X$2),SUMPRODUCT(M591:X591,$M$4:$X$4,$M$2:$X$2))/(Y591/($K591*$L591)),"")</f>
        <v/>
      </c>
      <c r="AB591" s="18" t="n"/>
    </row>
    <row r="592">
      <c r="A592" s="9" t="n">
        <v>667690</v>
      </c>
      <c r="B592" s="9" t="inlineStr">
        <is>
          <t>C.J. Stubbs</t>
        </is>
      </c>
      <c r="C592" s="9" t="inlineStr">
        <is>
          <t>WSH</t>
        </is>
      </c>
      <c r="D592" s="9" t="n">
        <v>30</v>
      </c>
      <c r="E592" s="16" t="inlineStr">
        <is>
          <t>R</t>
        </is>
      </c>
      <c r="F592" s="16" t="n"/>
      <c r="G592" s="9" t="n">
        <v>3</v>
      </c>
      <c r="H592" s="9" t="n">
        <v>3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3">
        <f>SUMPRODUCT(M592:X592,$M$2:$X$2)*$K592*$L592</f>
        <v/>
      </c>
      <c r="Z592" s="14">
        <f>SUM(M592:X592)</f>
        <v/>
      </c>
      <c r="AA592" s="14">
        <f>IFERROR(IF(UPPER($E592)="L",SUMPRODUCT(M592:X592,$M$3:$X$3,$M$2:$X$2),SUMPRODUCT(M592:X592,$M$4:$X$4,$M$2:$X$2))/(Y592/($K592*$L592)),"")</f>
        <v/>
      </c>
      <c r="AB592" s="18" t="n"/>
    </row>
    <row r="593">
      <c r="A593" s="9" t="n">
        <v>691003</v>
      </c>
      <c r="B593" s="9" t="inlineStr">
        <is>
          <t>Tre' Morgan</t>
        </is>
      </c>
      <c r="C593" s="9" t="inlineStr">
        <is>
          <t>TB</t>
        </is>
      </c>
      <c r="D593" s="9" t="n">
        <v>25</v>
      </c>
      <c r="E593" s="16" t="inlineStr">
        <is>
          <t>L</t>
        </is>
      </c>
      <c r="F593" s="16" t="n"/>
      <c r="G593" s="9" t="n">
        <v>131.4358974358975</v>
      </c>
      <c r="H593" s="9" t="n">
        <v>131.4358974358975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3">
        <f>SUMPRODUCT(M593:X593,$M$2:$X$2)*$K593*$L593</f>
        <v/>
      </c>
      <c r="Z593" s="14">
        <f>SUM(M593:X593)</f>
        <v/>
      </c>
      <c r="AA593" s="14">
        <f>IFERROR(IF(UPPER($E593)="L",SUMPRODUCT(M593:X593,$M$3:$X$3,$M$2:$X$2),SUMPRODUCT(M593:X593,$M$4:$X$4,$M$2:$X$2))/(Y593/($K593*$L593)),"")</f>
        <v/>
      </c>
      <c r="AB593" s="18" t="n"/>
    </row>
    <row r="594">
      <c r="A594" s="9" t="n">
        <v>665839</v>
      </c>
      <c r="B594" s="9" t="inlineStr">
        <is>
          <t>Enmanuel Valdez</t>
        </is>
      </c>
      <c r="C594" s="9" t="inlineStr">
        <is>
          <t>PIT</t>
        </is>
      </c>
      <c r="D594" s="9" t="n">
        <v>28</v>
      </c>
      <c r="E594" s="16" t="inlineStr">
        <is>
          <t>L</t>
        </is>
      </c>
      <c r="F594" s="16" t="n"/>
      <c r="G594" s="9" t="n">
        <v>102</v>
      </c>
      <c r="H594" s="9" t="n">
        <v>474</v>
      </c>
      <c r="I594" s="9" t="inlineStr">
        <is>
          <t>Bench Bat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3">
        <f>SUMPRODUCT(M594:X594,$M$2:$X$2)*$K594*$L594</f>
        <v/>
      </c>
      <c r="Z594" s="14">
        <f>SUM(M594:X594)</f>
        <v/>
      </c>
      <c r="AA594" s="14">
        <f>IFERROR(IF(UPPER($E594)="L",SUMPRODUCT(M594:X594,$M$3:$X$3,$M$2:$X$2),SUMPRODUCT(M594:X594,$M$4:$X$4,$M$2:$X$2))/(Y594/($K594*$L594)),"")</f>
        <v/>
      </c>
      <c r="AB594" s="18" t="n"/>
    </row>
    <row r="595">
      <c r="A595" s="9" t="n">
        <v>814385</v>
      </c>
      <c r="B595" s="9" t="inlineStr">
        <is>
          <t>Jack Natili</t>
        </is>
      </c>
      <c r="C595" s="9" t="inlineStr">
        <is>
          <t>COL</t>
        </is>
      </c>
      <c r="D595" s="9" t="n">
        <v>25</v>
      </c>
      <c r="E595" s="16" t="inlineStr">
        <is>
          <t>R</t>
        </is>
      </c>
      <c r="F595" s="16" t="n"/>
      <c r="G595" s="9" t="n">
        <v>7.63076923076923</v>
      </c>
      <c r="H595" s="9" t="n">
        <v>7.63076923076923</v>
      </c>
      <c r="I595" s="9" t="inlineStr">
        <is>
          <t>Depth (no MLB PA)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/>
      <c r="X595" s="17" t="n"/>
      <c r="Y595" s="13">
        <f>SUMPRODUCT(M595:X595,$M$2:$X$2)*$K595*$L595</f>
        <v/>
      </c>
      <c r="Z595" s="14">
        <f>SUM(M595:X595)</f>
        <v/>
      </c>
      <c r="AA595" s="14">
        <f>IFERROR(IF(UPPER($E595)="L",SUMPRODUCT(M595:X595,$M$3:$X$3,$M$2:$X$2),SUMPRODUCT(M595:X595,$M$4:$X$4,$M$2:$X$2))/(Y595/($K595*$L595)),"")</f>
        <v/>
      </c>
      <c r="AB595" s="18" t="n"/>
    </row>
    <row r="596">
      <c r="A596" s="9" t="n">
        <v>800266</v>
      </c>
      <c r="B596" s="9" t="inlineStr">
        <is>
          <t>Yordalin Peña</t>
        </is>
      </c>
      <c r="C596" s="9" t="inlineStr">
        <is>
          <t>STL</t>
        </is>
      </c>
      <c r="D596" s="9" t="n">
        <v>25</v>
      </c>
      <c r="E596" s="16" t="inlineStr">
        <is>
          <t>R</t>
        </is>
      </c>
      <c r="F596" s="16" t="n"/>
      <c r="G596" s="9" t="n">
        <v>15.38461538461538</v>
      </c>
      <c r="H596" s="9" t="n">
        <v>15.38461538461538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3">
        <f>SUMPRODUCT(M596:X596,$M$2:$X$2)*$K596*$L596</f>
        <v/>
      </c>
      <c r="Z596" s="14">
        <f>SUM(M596:X596)</f>
        <v/>
      </c>
      <c r="AA596" s="14">
        <f>IFERROR(IF(UPPER($E596)="L",SUMPRODUCT(M596:X596,$M$3:$X$3,$M$2:$X$2),SUMPRODUCT(M596:X596,$M$4:$X$4,$M$2:$X$2))/(Y596/($K596*$L596)),"")</f>
        <v/>
      </c>
      <c r="AB596" s="18" t="n"/>
    </row>
    <row r="597">
      <c r="A597" s="9" t="n">
        <v>686404</v>
      </c>
      <c r="B597" s="9" t="inlineStr">
        <is>
          <t>Wuilfredo Antunez</t>
        </is>
      </c>
      <c r="C597" s="9" t="inlineStr">
        <is>
          <t>PHI</t>
        </is>
      </c>
      <c r="D597" s="9" t="n">
        <v>25</v>
      </c>
      <c r="E597" s="16" t="inlineStr">
        <is>
          <t>L</t>
        </is>
      </c>
      <c r="F597" s="16" t="n"/>
      <c r="G597" s="9" t="n">
        <v>14.1025641025641</v>
      </c>
      <c r="H597" s="9" t="n">
        <v>14.1025641025641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3">
        <f>SUMPRODUCT(M597:X597,$M$2:$X$2)*$K597*$L597</f>
        <v/>
      </c>
      <c r="Z597" s="14">
        <f>SUM(M597:X597)</f>
        <v/>
      </c>
      <c r="AA597" s="14">
        <f>IFERROR(IF(UPPER($E597)="L",SUMPRODUCT(M597:X597,$M$3:$X$3,$M$2:$X$2),SUMPRODUCT(M597:X597,$M$4:$X$4,$M$2:$X$2))/(Y597/($K597*$L597)),"")</f>
        <v/>
      </c>
      <c r="AB597" s="18" t="n"/>
    </row>
    <row r="598">
      <c r="A598" s="9" t="n">
        <v>821107</v>
      </c>
      <c r="B598" s="9" t="inlineStr">
        <is>
          <t>Yairo Padilla</t>
        </is>
      </c>
      <c r="C598" s="9" t="inlineStr">
        <is>
          <t>STL</t>
        </is>
      </c>
      <c r="D598" s="9" t="n">
        <v>25</v>
      </c>
      <c r="E598" s="16" t="inlineStr">
        <is>
          <t>S</t>
        </is>
      </c>
      <c r="F598" s="16" t="n"/>
      <c r="G598" s="9" t="n">
        <v>3.282051282051283</v>
      </c>
      <c r="H598" s="9" t="n">
        <v>3.282051282051283</v>
      </c>
      <c r="I598" s="9" t="inlineStr">
        <is>
          <t>Depth (no MLB PA)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3">
        <f>SUMPRODUCT(M598:X598,$M$2:$X$2)*$K598*$L598</f>
        <v/>
      </c>
      <c r="Z598" s="14">
        <f>SUM(M598:X598)</f>
        <v/>
      </c>
      <c r="AA598" s="14">
        <f>IFERROR(IF(UPPER($E598)="L",SUMPRODUCT(M598:X598,$M$3:$X$3,$M$2:$X$2),SUMPRODUCT(M598:X598,$M$4:$X$4,$M$2:$X$2))/(Y598/($K598*$L598)),"")</f>
        <v/>
      </c>
      <c r="AB598" s="18" t="n"/>
    </row>
    <row r="599">
      <c r="A599" s="9" t="n">
        <v>806988</v>
      </c>
      <c r="B599" s="9" t="inlineStr">
        <is>
          <t>Welbyn Francisca</t>
        </is>
      </c>
      <c r="C599" s="9" t="inlineStr">
        <is>
          <t>CLE</t>
        </is>
      </c>
      <c r="D599" s="9" t="n">
        <v>25</v>
      </c>
      <c r="E599" s="16" t="inlineStr">
        <is>
          <t>S</t>
        </is>
      </c>
      <c r="F599" s="16" t="n"/>
      <c r="G599" s="9" t="n">
        <v>7.538461538461538</v>
      </c>
      <c r="H599" s="9" t="n">
        <v>7.538461538461538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3">
        <f>SUMPRODUCT(M599:X599,$M$2:$X$2)*$K599*$L599</f>
        <v/>
      </c>
      <c r="Z599" s="14">
        <f>SUM(M599:X599)</f>
        <v/>
      </c>
      <c r="AA599" s="14">
        <f>IFERROR(IF(UPPER($E599)="L",SUMPRODUCT(M599:X599,$M$3:$X$3,$M$2:$X$2),SUMPRODUCT(M599:X599,$M$4:$X$4,$M$2:$X$2))/(Y599/($K599*$L599)),"")</f>
        <v/>
      </c>
      <c r="AB599" s="18" t="n"/>
    </row>
    <row r="600">
      <c r="A600" s="9" t="n">
        <v>683490</v>
      </c>
      <c r="B600" s="9" t="inlineStr">
        <is>
          <t>J.J. D'Orazio</t>
        </is>
      </c>
      <c r="C600" s="9" t="inlineStr">
        <is>
          <t>LAA</t>
        </is>
      </c>
      <c r="D600" s="9" t="n">
        <v>25</v>
      </c>
      <c r="E600" s="16" t="inlineStr">
        <is>
          <t>R</t>
        </is>
      </c>
      <c r="F600" s="16" t="n"/>
      <c r="G600" s="9" t="n">
        <v>57.43589743589744</v>
      </c>
      <c r="H600" s="9" t="n">
        <v>57.43589743589744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3">
        <f>SUMPRODUCT(M600:X600,$M$2:$X$2)*$K600*$L600</f>
        <v/>
      </c>
      <c r="Z600" s="14">
        <f>SUM(M600:X600)</f>
        <v/>
      </c>
      <c r="AA600" s="14">
        <f>IFERROR(IF(UPPER($E600)="L",SUMPRODUCT(M600:X600,$M$3:$X$3,$M$2:$X$2),SUMPRODUCT(M600:X600,$M$4:$X$4,$M$2:$X$2))/(Y600/($K600*$L600)),"")</f>
        <v/>
      </c>
      <c r="AB600" s="18" t="n"/>
    </row>
    <row r="601">
      <c r="A601" s="9" t="n">
        <v>805021</v>
      </c>
      <c r="B601" s="9" t="inlineStr">
        <is>
          <t>Drew Smith</t>
        </is>
      </c>
      <c r="C601" s="9" t="inlineStr">
        <is>
          <t>SF</t>
        </is>
      </c>
      <c r="D601" s="9" t="n">
        <v>25</v>
      </c>
      <c r="E601" s="16" t="inlineStr">
        <is>
          <t>R</t>
        </is>
      </c>
      <c r="F601" s="16" t="n"/>
      <c r="G601" s="9" t="n">
        <v>1.476923076923077</v>
      </c>
      <c r="H601" s="9" t="n">
        <v>1.476923076923077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3">
        <f>SUMPRODUCT(M601:X601,$M$2:$X$2)*$K601*$L601</f>
        <v/>
      </c>
      <c r="Z601" s="14">
        <f>SUM(M601:X601)</f>
        <v/>
      </c>
      <c r="AA601" s="14">
        <f>IFERROR(IF(UPPER($E601)="L",SUMPRODUCT(M601:X601,$M$3:$X$3,$M$2:$X$2),SUMPRODUCT(M601:X601,$M$4:$X$4,$M$2:$X$2))/(Y601/($K601*$L601)),"")</f>
        <v/>
      </c>
      <c r="AB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3">
        <f>SUMPRODUCT(M602:X602,$M$2:$X$2)*$K602*$L602</f>
        <v/>
      </c>
      <c r="Z602" s="14">
        <f>SUM(M602:X602)</f>
        <v/>
      </c>
      <c r="AA602" s="14">
        <f>IFERROR(IF(UPPER($E602)="L",SUMPRODUCT(M602:X602,$M$3:$X$3,$M$2:$X$2),SUMPRODUCT(M602:X602,$M$4:$X$4,$M$2:$X$2))/(Y602/($K602*$L602)),"")</f>
        <v/>
      </c>
      <c r="AB602" s="18" t="n"/>
    </row>
    <row r="603">
      <c r="A603" s="9" t="n">
        <v>701649</v>
      </c>
      <c r="B603" s="9" t="inlineStr">
        <is>
          <t>James Triantos</t>
        </is>
      </c>
      <c r="C603" s="9" t="inlineStr">
        <is>
          <t>CHC</t>
        </is>
      </c>
      <c r="D603" s="9" t="n">
        <v>24</v>
      </c>
      <c r="E603" s="16" t="inlineStr">
        <is>
          <t>R</t>
        </is>
      </c>
      <c r="F603" s="16" t="n"/>
      <c r="G603" s="9" t="n">
        <v>9</v>
      </c>
      <c r="H603" s="9" t="n">
        <v>9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3">
        <f>SUMPRODUCT(M603:X603,$M$2:$X$2)*$K603*$L603</f>
        <v/>
      </c>
      <c r="Z603" s="14">
        <f>SUM(M603:X603)</f>
        <v/>
      </c>
      <c r="AA603" s="14">
        <f>IFERROR(IF(UPPER($E603)="L",SUMPRODUCT(M603:X603,$M$3:$X$3,$M$2:$X$2),SUMPRODUCT(M603:X603,$M$4:$X$4,$M$2:$X$2))/(Y603/($K603*$L603)),"")</f>
        <v/>
      </c>
      <c r="AB603" s="18" t="n"/>
    </row>
    <row r="604">
      <c r="A604" s="9" t="n">
        <v>821507</v>
      </c>
      <c r="B604" s="9" t="inlineStr">
        <is>
          <t>Tre Broussard</t>
        </is>
      </c>
      <c r="C604" s="9" t="inlineStr">
        <is>
          <t>CLE</t>
        </is>
      </c>
      <c r="D604" s="9" t="n">
        <v>25</v>
      </c>
      <c r="E604" s="16" t="inlineStr">
        <is>
          <t>L</t>
        </is>
      </c>
      <c r="F604" s="16" t="n"/>
      <c r="G604" s="9" t="n">
        <v>1.6</v>
      </c>
      <c r="H604" s="9" t="n">
        <v>1.6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3">
        <f>SUMPRODUCT(M604:X604,$M$2:$X$2)*$K604*$L604</f>
        <v/>
      </c>
      <c r="Z604" s="14">
        <f>SUM(M604:X604)</f>
        <v/>
      </c>
      <c r="AA604" s="14">
        <f>IFERROR(IF(UPPER($E604)="L",SUMPRODUCT(M604:X604,$M$3:$X$3,$M$2:$X$2),SUMPRODUCT(M604:X604,$M$4:$X$4,$M$2:$X$2))/(Y604/($K604*$L604)),"")</f>
        <v/>
      </c>
      <c r="AB604" s="18" t="n"/>
    </row>
    <row r="605">
      <c r="A605" s="9" t="n">
        <v>663624</v>
      </c>
      <c r="B605" s="9" t="inlineStr">
        <is>
          <t>Ryan Mountcastle</t>
        </is>
      </c>
      <c r="C605" s="9" t="inlineStr">
        <is>
          <t>BAL</t>
        </is>
      </c>
      <c r="D605" s="9" t="n">
        <v>30</v>
      </c>
      <c r="E605" s="16" t="inlineStr">
        <is>
          <t>R</t>
        </is>
      </c>
      <c r="F605" s="16" t="n"/>
      <c r="G605" s="9" t="n">
        <v>15</v>
      </c>
      <c r="H605" s="9" t="n">
        <v>1958</v>
      </c>
      <c r="I605" s="9" t="inlineStr">
        <is>
          <t>Utility OF / 4th OF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3">
        <f>SUMPRODUCT(M605:X605,$M$2:$X$2)*$K605*$L605</f>
        <v/>
      </c>
      <c r="Z605" s="14">
        <f>SUM(M605:X605)</f>
        <v/>
      </c>
      <c r="AA605" s="14">
        <f>IFERROR(IF(UPPER($E605)="L",SUMPRODUCT(M605:X605,$M$3:$X$3,$M$2:$X$2),SUMPRODUCT(M605:X605,$M$4:$X$4,$M$2:$X$2))/(Y605/($K605*$L605)),"")</f>
        <v/>
      </c>
      <c r="AB605" s="18" t="n"/>
    </row>
    <row r="606">
      <c r="A606" s="9" t="n">
        <v>822487</v>
      </c>
      <c r="B606" s="9" t="inlineStr">
        <is>
          <t>Zach MacDonald</t>
        </is>
      </c>
      <c r="C606" s="9" t="inlineStr">
        <is>
          <t>DET</t>
        </is>
      </c>
      <c r="D606" s="9" t="n">
        <v>25</v>
      </c>
      <c r="E606" s="16" t="inlineStr">
        <is>
          <t>R</t>
        </is>
      </c>
      <c r="F606" s="16" t="n"/>
      <c r="G606" s="9" t="n">
        <v>3.487179487179488</v>
      </c>
      <c r="H606" s="9" t="n">
        <v>3.487179487179488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3">
        <f>SUMPRODUCT(M606:X606,$M$2:$X$2)*$K606*$L606</f>
        <v/>
      </c>
      <c r="Z606" s="14">
        <f>SUM(M606:X606)</f>
        <v/>
      </c>
      <c r="AA606" s="14">
        <f>IFERROR(IF(UPPER($E606)="L",SUMPRODUCT(M606:X606,$M$3:$X$3,$M$2:$X$2),SUMPRODUCT(M606:X606,$M$4:$X$4,$M$2:$X$2))/(Y606/($K606*$L606)),"")</f>
        <v/>
      </c>
      <c r="AB606" s="18" t="n"/>
    </row>
    <row r="607">
      <c r="A607" s="9" t="n">
        <v>800463</v>
      </c>
      <c r="B607" s="9" t="inlineStr">
        <is>
          <t>Jean Joseph</t>
        </is>
      </c>
      <c r="C607" s="9" t="inlineStr">
        <is>
          <t>TOR</t>
        </is>
      </c>
      <c r="D607" s="9" t="n">
        <v>25</v>
      </c>
      <c r="E607" s="16" t="inlineStr">
        <is>
          <t>R</t>
        </is>
      </c>
      <c r="F607" s="16" t="n"/>
      <c r="G607" s="9" t="n">
        <v>15.7948717948718</v>
      </c>
      <c r="H607" s="9" t="n">
        <v>15.7948717948718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3">
        <f>SUMPRODUCT(M607:X607,$M$2:$X$2)*$K607*$L607</f>
        <v/>
      </c>
      <c r="Z607" s="14">
        <f>SUM(M607:X607)</f>
        <v/>
      </c>
      <c r="AA607" s="14">
        <f>IFERROR(IF(UPPER($E607)="L",SUMPRODUCT(M607:X607,$M$3:$X$3,$M$2:$X$2),SUMPRODUCT(M607:X607,$M$4:$X$4,$M$2:$X$2))/(Y607/($K607*$L607)),"")</f>
        <v/>
      </c>
      <c r="AB607" s="18" t="n"/>
    </row>
    <row r="608">
      <c r="A608" s="9" t="n">
        <v>689425</v>
      </c>
      <c r="B608" s="9" t="inlineStr">
        <is>
          <t>Charlie Muniz</t>
        </is>
      </c>
      <c r="C608" s="9" t="inlineStr">
        <is>
          <t>SF</t>
        </is>
      </c>
      <c r="D608" s="9" t="n">
        <v>25</v>
      </c>
      <c r="E608" s="16" t="inlineStr">
        <is>
          <t>R</t>
        </is>
      </c>
      <c r="F608" s="16" t="n"/>
      <c r="G608" s="9" t="n">
        <v>3.487179487179488</v>
      </c>
      <c r="H608" s="9" t="n">
        <v>3.487179487179488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3">
        <f>SUMPRODUCT(M608:X608,$M$2:$X$2)*$K608*$L608</f>
        <v/>
      </c>
      <c r="Z608" s="14">
        <f>SUM(M608:X608)</f>
        <v/>
      </c>
      <c r="AA608" s="14">
        <f>IFERROR(IF(UPPER($E608)="L",SUMPRODUCT(M608:X608,$M$3:$X$3,$M$2:$X$2),SUMPRODUCT(M608:X608,$M$4:$X$4,$M$2:$X$2))/(Y608/($K608*$L608)),"")</f>
        <v/>
      </c>
      <c r="AB608" s="18" t="n"/>
    </row>
    <row r="609">
      <c r="A609" s="9" t="n">
        <v>842711</v>
      </c>
      <c r="B609" s="9" t="inlineStr">
        <is>
          <t>Owen Henne</t>
        </is>
      </c>
      <c r="C609" s="9" t="inlineStr">
        <is>
          <t>STL</t>
        </is>
      </c>
      <c r="D609" s="9" t="n">
        <v>25</v>
      </c>
      <c r="E609" s="16" t="inlineStr">
        <is>
          <t>R</t>
        </is>
      </c>
      <c r="F609" s="16" t="n"/>
      <c r="G609" s="9" t="n">
        <v>7.876923076923077</v>
      </c>
      <c r="H609" s="9" t="n">
        <v>7.876923076923077</v>
      </c>
      <c r="I609" s="9" t="inlineStr">
        <is>
          <t>Depth (no MLB PA)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3">
        <f>SUMPRODUCT(M609:X609,$M$2:$X$2)*$K609*$L609</f>
        <v/>
      </c>
      <c r="Z609" s="14">
        <f>SUM(M609:X609)</f>
        <v/>
      </c>
      <c r="AA609" s="14">
        <f>IFERROR(IF(UPPER($E609)="L",SUMPRODUCT(M609:X609,$M$3:$X$3,$M$2:$X$2),SUMPRODUCT(M609:X609,$M$4:$X$4,$M$2:$X$2))/(Y609/($K609*$L609)),"")</f>
        <v/>
      </c>
      <c r="AB609" s="18" t="n"/>
    </row>
    <row r="610">
      <c r="A610" s="9" t="n">
        <v>829823</v>
      </c>
      <c r="B610" s="9" t="inlineStr">
        <is>
          <t>Juan Tomas</t>
        </is>
      </c>
      <c r="C610" s="9" t="inlineStr">
        <is>
          <t>CHC</t>
        </is>
      </c>
      <c r="D610" s="9" t="n">
        <v>25</v>
      </c>
      <c r="E610" s="16" t="inlineStr">
        <is>
          <t>S</t>
        </is>
      </c>
      <c r="F610" s="16" t="n"/>
      <c r="G610" s="9" t="n">
        <v>1.723076923076923</v>
      </c>
      <c r="H610" s="9" t="n">
        <v>1.723076923076923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3">
        <f>SUMPRODUCT(M610:X610,$M$2:$X$2)*$K610*$L610</f>
        <v/>
      </c>
      <c r="Z610" s="14">
        <f>SUM(M610:X610)</f>
        <v/>
      </c>
      <c r="AA610" s="14">
        <f>IFERROR(IF(UPPER($E610)="L",SUMPRODUCT(M610:X610,$M$3:$X$3,$M$2:$X$2),SUMPRODUCT(M610:X610,$M$4:$X$4,$M$2:$X$2))/(Y610/($K610*$L610)),"")</f>
        <v/>
      </c>
      <c r="AB610" s="18" t="n"/>
    </row>
    <row r="611">
      <c r="A611" s="9" t="n">
        <v>701136</v>
      </c>
      <c r="B611" s="9" t="inlineStr">
        <is>
          <t>Kerrington Cross</t>
        </is>
      </c>
      <c r="C611" s="9" t="inlineStr">
        <is>
          <t>SD</t>
        </is>
      </c>
      <c r="D611" s="9" t="n">
        <v>25</v>
      </c>
      <c r="E611" s="16" t="inlineStr">
        <is>
          <t>R</t>
        </is>
      </c>
      <c r="F611" s="16" t="n"/>
      <c r="G611" s="9" t="n">
        <v>7.897435897435898</v>
      </c>
      <c r="H611" s="9" t="n">
        <v>7.897435897435898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3">
        <f>SUMPRODUCT(M611:X611,$M$2:$X$2)*$K611*$L611</f>
        <v/>
      </c>
      <c r="Z611" s="14">
        <f>SUM(M611:X611)</f>
        <v/>
      </c>
      <c r="AA611" s="14">
        <f>IFERROR(IF(UPPER($E611)="L",SUMPRODUCT(M611:X611,$M$3:$X$3,$M$2:$X$2),SUMPRODUCT(M611:X611,$M$4:$X$4,$M$2:$X$2))/(Y611/($K611*$L611)),"")</f>
        <v/>
      </c>
      <c r="AB611" s="18" t="n"/>
    </row>
    <row r="612">
      <c r="A612" s="9" t="n">
        <v>656024</v>
      </c>
      <c r="B612" s="9" t="inlineStr">
        <is>
          <t>Carlos Pérez</t>
        </is>
      </c>
      <c r="C612" s="9" t="inlineStr">
        <is>
          <t>CWS</t>
        </is>
      </c>
      <c r="D612" s="9" t="n">
        <v>30</v>
      </c>
      <c r="E612" s="16" t="inlineStr">
        <is>
          <t>R</t>
        </is>
      </c>
      <c r="F612" s="16" t="n"/>
      <c r="G612" s="9" t="n">
        <v>53</v>
      </c>
      <c r="H612" s="9" t="n">
        <v>71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3">
        <f>SUMPRODUCT(M612:X612,$M$2:$X$2)*$K612*$L612</f>
        <v/>
      </c>
      <c r="Z612" s="14">
        <f>SUM(M612:X612)</f>
        <v/>
      </c>
      <c r="AA612" s="14">
        <f>IFERROR(IF(UPPER($E612)="L",SUMPRODUCT(M612:X612,$M$3:$X$3,$M$2:$X$2),SUMPRODUCT(M612:X612,$M$4:$X$4,$M$2:$X$2))/(Y612/($K612*$L612)),"")</f>
        <v/>
      </c>
      <c r="AB612" s="18" t="n"/>
    </row>
    <row r="613">
      <c r="A613" s="9" t="n">
        <v>800424</v>
      </c>
      <c r="B613" s="9" t="inlineStr">
        <is>
          <t>Oswaldo Osorio</t>
        </is>
      </c>
      <c r="C613" s="9" t="inlineStr">
        <is>
          <t>LAD</t>
        </is>
      </c>
      <c r="D613" s="9" t="n">
        <v>25</v>
      </c>
      <c r="E613" s="16" t="inlineStr">
        <is>
          <t>L</t>
        </is>
      </c>
      <c r="F613" s="16" t="n"/>
      <c r="G613" s="9" t="n">
        <v>26.83076923076923</v>
      </c>
      <c r="H613" s="9" t="n">
        <v>26.83076923076923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3">
        <f>SUMPRODUCT(M613:X613,$M$2:$X$2)*$K613*$L613</f>
        <v/>
      </c>
      <c r="Z613" s="14">
        <f>SUM(M613:X613)</f>
        <v/>
      </c>
      <c r="AA613" s="14">
        <f>IFERROR(IF(UPPER($E613)="L",SUMPRODUCT(M613:X613,$M$3:$X$3,$M$2:$X$2),SUMPRODUCT(M613:X613,$M$4:$X$4,$M$2:$X$2))/(Y613/($K613*$L613)),"")</f>
        <v/>
      </c>
      <c r="AB613" s="18" t="n"/>
    </row>
    <row r="614">
      <c r="A614" s="9" t="n">
        <v>808141</v>
      </c>
      <c r="B614" s="9" t="inlineStr">
        <is>
          <t>José Pirela</t>
        </is>
      </c>
      <c r="C614" s="9" t="inlineStr">
        <is>
          <t>CLE</t>
        </is>
      </c>
      <c r="D614" s="9" t="n">
        <v>25</v>
      </c>
      <c r="E614" s="16" t="inlineStr">
        <is>
          <t>L</t>
        </is>
      </c>
      <c r="F614" s="16" t="n"/>
      <c r="G614" s="9" t="n">
        <v>19.89743589743589</v>
      </c>
      <c r="H614" s="9" t="n">
        <v>19.89743589743589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3">
        <f>SUMPRODUCT(M614:X614,$M$2:$X$2)*$K614*$L614</f>
        <v/>
      </c>
      <c r="Z614" s="14">
        <f>SUM(M614:X614)</f>
        <v/>
      </c>
      <c r="AA614" s="14">
        <f>IFERROR(IF(UPPER($E614)="L",SUMPRODUCT(M614:X614,$M$3:$X$3,$M$2:$X$2),SUMPRODUCT(M614:X614,$M$4:$X$4,$M$2:$X$2))/(Y614/($K614*$L614)),"")</f>
        <v/>
      </c>
      <c r="AB614" s="18" t="n"/>
    </row>
    <row r="615">
      <c r="A615" s="9" t="n">
        <v>815898</v>
      </c>
      <c r="B615" s="9" t="inlineStr">
        <is>
          <t>Yovanny Rodriguez</t>
        </is>
      </c>
      <c r="C615" s="9" t="inlineStr">
        <is>
          <t>NYM</t>
        </is>
      </c>
      <c r="D615" s="9" t="n">
        <v>25</v>
      </c>
      <c r="E615" s="16" t="inlineStr">
        <is>
          <t>R</t>
        </is>
      </c>
      <c r="F615" s="16" t="n"/>
      <c r="G615" s="9" t="n">
        <v>12.30769230769231</v>
      </c>
      <c r="H615" s="9" t="n">
        <v>12.30769230769231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3">
        <f>SUMPRODUCT(M615:X615,$M$2:$X$2)*$K615*$L615</f>
        <v/>
      </c>
      <c r="Z615" s="14">
        <f>SUM(M615:X615)</f>
        <v/>
      </c>
      <c r="AA615" s="14">
        <f>IFERROR(IF(UPPER($E615)="L",SUMPRODUCT(M615:X615,$M$3:$X$3,$M$2:$X$2),SUMPRODUCT(M615:X615,$M$4:$X$4,$M$2:$X$2))/(Y615/($K615*$L615)),"")</f>
        <v/>
      </c>
      <c r="AB615" s="18" t="n"/>
    </row>
    <row r="616">
      <c r="A616" s="9" t="n">
        <v>808083</v>
      </c>
      <c r="B616" s="9" t="inlineStr">
        <is>
          <t>Kelvin Alcantara</t>
        </is>
      </c>
      <c r="C616" s="9" t="inlineStr">
        <is>
          <t>SEA</t>
        </is>
      </c>
      <c r="D616" s="9" t="n">
        <v>25</v>
      </c>
      <c r="E616" s="16" t="inlineStr">
        <is>
          <t>L</t>
        </is>
      </c>
      <c r="F616" s="16" t="n"/>
      <c r="G616" s="9" t="n">
        <v>1.846153846153846</v>
      </c>
      <c r="H616" s="9" t="n">
        <v>1.846153846153846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3">
        <f>SUMPRODUCT(M616:X616,$M$2:$X$2)*$K616*$L616</f>
        <v/>
      </c>
      <c r="Z616" s="14">
        <f>SUM(M616:X616)</f>
        <v/>
      </c>
      <c r="AA616" s="14">
        <f>IFERROR(IF(UPPER($E616)="L",SUMPRODUCT(M616:X616,$M$3:$X$3,$M$2:$X$2),SUMPRODUCT(M616:X616,$M$4:$X$4,$M$2:$X$2))/(Y616/($K616*$L616)),"")</f>
        <v/>
      </c>
      <c r="AB616" s="18" t="n"/>
    </row>
    <row r="617">
      <c r="A617" s="9" t="n">
        <v>691405</v>
      </c>
      <c r="B617" s="9" t="inlineStr">
        <is>
          <t>Juan Benjamin</t>
        </is>
      </c>
      <c r="C617" s="9" t="inlineStr">
        <is>
          <t>CLE</t>
        </is>
      </c>
      <c r="D617" s="9" t="n">
        <v>25</v>
      </c>
      <c r="E617" s="16" t="inlineStr">
        <is>
          <t>S</t>
        </is>
      </c>
      <c r="F617" s="16" t="n"/>
      <c r="G617" s="9" t="n">
        <v>29.33333333333334</v>
      </c>
      <c r="H617" s="9" t="n">
        <v>29.33333333333334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3">
        <f>SUMPRODUCT(M617:X617,$M$2:$X$2)*$K617*$L617</f>
        <v/>
      </c>
      <c r="Z617" s="14">
        <f>SUM(M617:X617)</f>
        <v/>
      </c>
      <c r="AA617" s="14">
        <f>IFERROR(IF(UPPER($E617)="L",SUMPRODUCT(M617:X617,$M$3:$X$3,$M$2:$X$2),SUMPRODUCT(M617:X617,$M$4:$X$4,$M$2:$X$2))/(Y617/($K617*$L617)),"")</f>
        <v/>
      </c>
      <c r="AB617" s="18" t="n"/>
    </row>
    <row r="618">
      <c r="A618" s="9" t="n">
        <v>803033</v>
      </c>
      <c r="B618" s="9" t="inlineStr">
        <is>
          <t>Matthew Etzel</t>
        </is>
      </c>
      <c r="C618" s="9" t="inlineStr">
        <is>
          <t>MIA</t>
        </is>
      </c>
      <c r="D618" s="9" t="n">
        <v>25</v>
      </c>
      <c r="E618" s="16" t="inlineStr">
        <is>
          <t>L</t>
        </is>
      </c>
      <c r="F618" s="16" t="n"/>
      <c r="G618" s="9" t="n">
        <v>281.4871794871795</v>
      </c>
      <c r="H618" s="9" t="n">
        <v>281.4871794871795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3">
        <f>SUMPRODUCT(M618:X618,$M$2:$X$2)*$K618*$L618</f>
        <v/>
      </c>
      <c r="Z618" s="14">
        <f>SUM(M618:X618)</f>
        <v/>
      </c>
      <c r="AA618" s="14">
        <f>IFERROR(IF(UPPER($E618)="L",SUMPRODUCT(M618:X618,$M$3:$X$3,$M$2:$X$2),SUMPRODUCT(M618:X618,$M$4:$X$4,$M$2:$X$2))/(Y618/($K618*$L618)),"")</f>
        <v/>
      </c>
      <c r="AB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3">
        <f>SUMPRODUCT(M619:X619,$M$2:$X$2)*$K619*$L619</f>
        <v/>
      </c>
      <c r="Z619" s="14">
        <f>SUM(M619:X619)</f>
        <v/>
      </c>
      <c r="AA619" s="14">
        <f>IFERROR(IF(UPPER($E619)="L",SUMPRODUCT(M619:X619,$M$3:$X$3,$M$2:$X$2),SUMPRODUCT(M619:X619,$M$4:$X$4,$M$2:$X$2))/(Y619/($K619*$L619)),"")</f>
        <v/>
      </c>
      <c r="AB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3">
        <f>SUMPRODUCT(M620:X620,$M$2:$X$2)*$K620*$L620</f>
        <v/>
      </c>
      <c r="Z620" s="14">
        <f>SUM(M620:X620)</f>
        <v/>
      </c>
      <c r="AA620" s="14">
        <f>IFERROR(IF(UPPER($E620)="L",SUMPRODUCT(M620:X620,$M$3:$X$3,$M$2:$X$2),SUMPRODUCT(M620:X620,$M$4:$X$4,$M$2:$X$2))/(Y620/($K620*$L620)),"")</f>
        <v/>
      </c>
      <c r="AB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3">
        <f>SUMPRODUCT(M621:X621,$M$2:$X$2)*$K621*$L621</f>
        <v/>
      </c>
      <c r="Z621" s="14">
        <f>SUM(M621:X621)</f>
        <v/>
      </c>
      <c r="AA621" s="14">
        <f>IFERROR(IF(UPPER($E621)="L",SUMPRODUCT(M621:X621,$M$3:$X$3,$M$2:$X$2),SUMPRODUCT(M621:X621,$M$4:$X$4,$M$2:$X$2))/(Y621/($K621*$L621)),"")</f>
        <v/>
      </c>
      <c r="AB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3">
        <f>SUMPRODUCT(M622:X622,$M$2:$X$2)*$K622*$L622</f>
        <v/>
      </c>
      <c r="Z622" s="14">
        <f>SUM(M622:X622)</f>
        <v/>
      </c>
      <c r="AA622" s="14">
        <f>IFERROR(IF(UPPER($E622)="L",SUMPRODUCT(M622:X622,$M$3:$X$3,$M$2:$X$2),SUMPRODUCT(M622:X622,$M$4:$X$4,$M$2:$X$2))/(Y622/($K622*$L622)),"")</f>
        <v/>
      </c>
      <c r="AB622" s="18" t="n"/>
    </row>
    <row r="623">
      <c r="A623" s="9" t="n">
        <v>828333</v>
      </c>
      <c r="B623" s="9" t="inlineStr">
        <is>
          <t>John Smith III</t>
        </is>
      </c>
      <c r="C623" s="9" t="inlineStr">
        <is>
          <t>NYM</t>
        </is>
      </c>
      <c r="D623" s="9" t="n">
        <v>25</v>
      </c>
      <c r="E623" s="16" t="inlineStr">
        <is>
          <t>R</t>
        </is>
      </c>
      <c r="F623" s="16" t="n"/>
      <c r="G623" s="9" t="n">
        <v>4.102564102564103</v>
      </c>
      <c r="H623" s="9" t="n">
        <v>4.102564102564103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3">
        <f>SUMPRODUCT(M623:X623,$M$2:$X$2)*$K623*$L623</f>
        <v/>
      </c>
      <c r="Z623" s="14">
        <f>SUM(M623:X623)</f>
        <v/>
      </c>
      <c r="AA623" s="14">
        <f>IFERROR(IF(UPPER($E623)="L",SUMPRODUCT(M623:X623,$M$3:$X$3,$M$2:$X$2),SUMPRODUCT(M623:X623,$M$4:$X$4,$M$2:$X$2))/(Y623/($K623*$L623)),"")</f>
        <v/>
      </c>
      <c r="AB623" s="18" t="n"/>
    </row>
    <row r="624">
      <c r="A624" s="9" t="n">
        <v>683609</v>
      </c>
      <c r="B624" s="9" t="inlineStr">
        <is>
          <t>Victor Duarte</t>
        </is>
      </c>
      <c r="C624" s="9" t="inlineStr">
        <is>
          <t>SD</t>
        </is>
      </c>
      <c r="D624" s="9" t="n">
        <v>25</v>
      </c>
      <c r="E624" s="16" t="inlineStr">
        <is>
          <t>R</t>
        </is>
      </c>
      <c r="F624" s="16" t="n"/>
      <c r="G624" s="9" t="n">
        <v>29.33333333333334</v>
      </c>
      <c r="H624" s="9" t="n">
        <v>29.33333333333334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3">
        <f>SUMPRODUCT(M624:X624,$M$2:$X$2)*$K624*$L624</f>
        <v/>
      </c>
      <c r="Z624" s="14">
        <f>SUM(M624:X624)</f>
        <v/>
      </c>
      <c r="AA624" s="14">
        <f>IFERROR(IF(UPPER($E624)="L",SUMPRODUCT(M624:X624,$M$3:$X$3,$M$2:$X$2),SUMPRODUCT(M624:X624,$M$4:$X$4,$M$2:$X$2))/(Y624/($K624*$L624)),"")</f>
        <v/>
      </c>
      <c r="AB624" s="18" t="n"/>
    </row>
    <row r="625">
      <c r="A625" s="9" t="n">
        <v>672478</v>
      </c>
      <c r="B625" s="9" t="inlineStr">
        <is>
          <t>Jordan Diaz</t>
        </is>
      </c>
      <c r="C625" s="9" t="inlineStr">
        <is>
          <t>OAK</t>
        </is>
      </c>
      <c r="D625" s="9" t="n">
        <v>26</v>
      </c>
      <c r="E625" s="16" t="inlineStr">
        <is>
          <t>R</t>
        </is>
      </c>
      <c r="F625" s="16" t="n"/>
      <c r="G625" s="9" t="n">
        <v>293</v>
      </c>
      <c r="H625" s="9" t="n">
        <v>344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3">
        <f>SUMPRODUCT(M625:X625,$M$2:$X$2)*$K625*$L625</f>
        <v/>
      </c>
      <c r="Z625" s="14">
        <f>SUM(M625:X625)</f>
        <v/>
      </c>
      <c r="AA625" s="14">
        <f>IFERROR(IF(UPPER($E625)="L",SUMPRODUCT(M625:X625,$M$3:$X$3,$M$2:$X$2),SUMPRODUCT(M625:X625,$M$4:$X$4,$M$2:$X$2))/(Y625/($K625*$L625)),"")</f>
        <v/>
      </c>
      <c r="AB625" s="18" t="n"/>
    </row>
    <row r="626">
      <c r="A626" s="9" t="n">
        <v>822324</v>
      </c>
      <c r="B626" s="9" t="inlineStr">
        <is>
          <t>Blake Penso</t>
        </is>
      </c>
      <c r="C626" s="9" t="inlineStr">
        <is>
          <t>COL</t>
        </is>
      </c>
      <c r="D626" s="9" t="n">
        <v>25</v>
      </c>
      <c r="E626" s="16" t="inlineStr">
        <is>
          <t>R</t>
        </is>
      </c>
      <c r="F626" s="16" t="n"/>
      <c r="G626" s="9" t="n">
        <v>4.102564102564103</v>
      </c>
      <c r="H626" s="9" t="n">
        <v>4.102564102564103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3">
        <f>SUMPRODUCT(M626:X626,$M$2:$X$2)*$K626*$L626</f>
        <v/>
      </c>
      <c r="Z626" s="14">
        <f>SUM(M626:X626)</f>
        <v/>
      </c>
      <c r="AA626" s="14">
        <f>IFERROR(IF(UPPER($E626)="L",SUMPRODUCT(M626:X626,$M$3:$X$3,$M$2:$X$2),SUMPRODUCT(M626:X626,$M$4:$X$4,$M$2:$X$2))/(Y626/($K626*$L626)),"")</f>
        <v/>
      </c>
      <c r="AB626" s="18" t="n"/>
    </row>
    <row r="627">
      <c r="A627" s="9" t="n">
        <v>823766</v>
      </c>
      <c r="B627" s="9" t="inlineStr">
        <is>
          <t>Jimmy Keenan</t>
        </is>
      </c>
      <c r="C627" s="9" t="inlineStr">
        <is>
          <t>MIN</t>
        </is>
      </c>
      <c r="D627" s="9" t="n">
        <v>25</v>
      </c>
      <c r="E627" s="16" t="inlineStr">
        <is>
          <t>R</t>
        </is>
      </c>
      <c r="F627" s="16" t="n"/>
      <c r="G627" s="9" t="n">
        <v>4.307692307692308</v>
      </c>
      <c r="H627" s="9" t="n">
        <v>4.307692307692308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3">
        <f>SUMPRODUCT(M627:X627,$M$2:$X$2)*$K627*$L627</f>
        <v/>
      </c>
      <c r="Z627" s="14">
        <f>SUM(M627:X627)</f>
        <v/>
      </c>
      <c r="AA627" s="14">
        <f>IFERROR(IF(UPPER($E627)="L",SUMPRODUCT(M627:X627,$M$3:$X$3,$M$2:$X$2),SUMPRODUCT(M627:X627,$M$4:$X$4,$M$2:$X$2))/(Y627/($K627*$L627)),"")</f>
        <v/>
      </c>
      <c r="AB627" s="18" t="n"/>
    </row>
    <row r="628">
      <c r="A628" s="9" t="n">
        <v>690804</v>
      </c>
      <c r="B628" s="9" t="inlineStr">
        <is>
          <t>Ryan Nicholson</t>
        </is>
      </c>
      <c r="C628" s="9" t="inlineStr">
        <is>
          <t>LAA</t>
        </is>
      </c>
      <c r="D628" s="9" t="n">
        <v>25</v>
      </c>
      <c r="E628" s="16" t="inlineStr">
        <is>
          <t>L</t>
        </is>
      </c>
      <c r="F628" s="16" t="n"/>
      <c r="G628" s="9" t="n">
        <v>44.56410256410257</v>
      </c>
      <c r="H628" s="9" t="n">
        <v>44.56410256410257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3">
        <f>SUMPRODUCT(M628:X628,$M$2:$X$2)*$K628*$L628</f>
        <v/>
      </c>
      <c r="Z628" s="14">
        <f>SUM(M628:X628)</f>
        <v/>
      </c>
      <c r="AA628" s="14">
        <f>IFERROR(IF(UPPER($E628)="L",SUMPRODUCT(M628:X628,$M$3:$X$3,$M$2:$X$2),SUMPRODUCT(M628:X628,$M$4:$X$4,$M$2:$X$2))/(Y628/($K628*$L628)),"")</f>
        <v/>
      </c>
      <c r="AB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25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Opening Day</t>
        </is>
      </c>
      <c r="K629" s="11">
        <f>IFERROR(INDEX(Roles!$B$17:$B$20,MATCH(J629,Roles!$A$17:$A$20,0)),1)</f>
        <v/>
      </c>
      <c r="L629" s="17" t="n">
        <v>1</v>
      </c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3">
        <f>SUMPRODUCT(M629:X629,$M$2:$X$2)*$K629*$L629</f>
        <v/>
      </c>
      <c r="Z629" s="14">
        <f>SUM(M629:X629)</f>
        <v/>
      </c>
      <c r="AA629" s="14">
        <f>IFERROR(IF(UPPER($E629)="L",SUMPRODUCT(M629:X629,$M$3:$X$3,$M$2:$X$2),SUMPRODUCT(M629:X629,$M$4:$X$4,$M$2:$X$2))/(Y629/($K629*$L629)),"")</f>
        <v/>
      </c>
      <c r="AB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3">
        <f>SUMPRODUCT(M630:X630,$M$2:$X$2)*$K630*$L630</f>
        <v/>
      </c>
      <c r="Z630" s="14">
        <f>SUM(M630:X630)</f>
        <v/>
      </c>
      <c r="AA630" s="14">
        <f>IFERROR(IF(UPPER($E630)="L",SUMPRODUCT(M630:X630,$M$3:$X$3,$M$2:$X$2),SUMPRODUCT(M630:X630,$M$4:$X$4,$M$2:$X$2))/(Y630/($K630*$L630)),"")</f>
        <v/>
      </c>
      <c r="AB630" s="18" t="n"/>
    </row>
    <row r="631">
      <c r="A631" s="9" t="n">
        <v>806919</v>
      </c>
      <c r="B631" s="9" t="inlineStr">
        <is>
          <t>Jose Gonzalez</t>
        </is>
      </c>
      <c r="C631" s="9" t="inlineStr">
        <is>
          <t>LAD</t>
        </is>
      </c>
      <c r="D631" s="9" t="n">
        <v>25</v>
      </c>
      <c r="E631" s="16" t="inlineStr">
        <is>
          <t>L</t>
        </is>
      </c>
      <c r="F631" s="16" t="n"/>
      <c r="G631" s="9" t="n">
        <v>2.338461538461539</v>
      </c>
      <c r="H631" s="9" t="n">
        <v>2.338461538461539</v>
      </c>
      <c r="I631" s="9" t="inlineStr">
        <is>
          <t>Depth (no MLB PA)</t>
        </is>
      </c>
      <c r="J631" s="16" t="inlineStr">
        <is>
          <t>Opening Day</t>
        </is>
      </c>
      <c r="K631" s="11">
        <f>IFERROR(INDEX(Roles!$B$17:$B$20,MATCH(J631,Roles!$A$17:$A$20,0)),1)</f>
        <v/>
      </c>
      <c r="L631" s="17" t="n">
        <v>1</v>
      </c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3">
        <f>SUMPRODUCT(M631:X631,$M$2:$X$2)*$K631*$L631</f>
        <v/>
      </c>
      <c r="Z631" s="14">
        <f>SUM(M631:X631)</f>
        <v/>
      </c>
      <c r="AA631" s="14">
        <f>IFERROR(IF(UPPER($E631)="L",SUMPRODUCT(M631:X631,$M$3:$X$3,$M$2:$X$2),SUMPRODUCT(M631:X631,$M$4:$X$4,$M$2:$X$2))/(Y631/($K631*$L631)),"")</f>
        <v/>
      </c>
      <c r="AB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3">
        <f>SUMPRODUCT(M632:X632,$M$2:$X$2)*$K632*$L632</f>
        <v/>
      </c>
      <c r="Z632" s="14">
        <f>SUM(M632:X632)</f>
        <v/>
      </c>
      <c r="AA632" s="14">
        <f>IFERROR(IF(UPPER($E632)="L",SUMPRODUCT(M632:X632,$M$3:$X$3,$M$2:$X$2),SUMPRODUCT(M632:X632,$M$4:$X$4,$M$2:$X$2))/(Y632/($K632*$L632)),"")</f>
        <v/>
      </c>
      <c r="AB632" s="18" t="n"/>
    </row>
    <row r="633">
      <c r="A633" s="9" t="n">
        <v>812442</v>
      </c>
      <c r="B633" s="9" t="inlineStr">
        <is>
          <t>Stephen Hrustich</t>
        </is>
      </c>
      <c r="C633" s="9" t="inlineStr">
        <is>
          <t>DET</t>
        </is>
      </c>
      <c r="D633" s="9" t="n">
        <v>25</v>
      </c>
      <c r="E633" s="16" t="inlineStr">
        <is>
          <t>R</t>
        </is>
      </c>
      <c r="F633" s="16" t="n"/>
      <c r="G633" s="9" t="n">
        <v>8.615384615384615</v>
      </c>
      <c r="H633" s="9" t="n">
        <v>8.615384615384615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3">
        <f>SUMPRODUCT(M633:X633,$M$2:$X$2)*$K633*$L633</f>
        <v/>
      </c>
      <c r="Z633" s="14">
        <f>SUM(M633:X633)</f>
        <v/>
      </c>
      <c r="AA633" s="14">
        <f>IFERROR(IF(UPPER($E633)="L",SUMPRODUCT(M633:X633,$M$3:$X$3,$M$2:$X$2),SUMPRODUCT(M633:X633,$M$4:$X$4,$M$2:$X$2))/(Y633/($K633*$L633)),"")</f>
        <v/>
      </c>
      <c r="AB633" s="18" t="n"/>
    </row>
    <row r="634">
      <c r="A634" s="9" t="n">
        <v>669236</v>
      </c>
      <c r="B634" s="9" t="inlineStr">
        <is>
          <t>Jeremiah Jackson</t>
        </is>
      </c>
      <c r="C634" s="9" t="inlineStr">
        <is>
          <t>BAL</t>
        </is>
      </c>
      <c r="D634" s="9" t="n">
        <v>27</v>
      </c>
      <c r="E634" s="16" t="inlineStr">
        <is>
          <t>R</t>
        </is>
      </c>
      <c r="F634" s="16" t="n"/>
      <c r="G634" s="9" t="n">
        <v>293</v>
      </c>
      <c r="H634" s="9" t="n">
        <v>476</v>
      </c>
      <c r="I634" s="9" t="inlineStr">
        <is>
          <t>Utility OF / 4th OF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  <c r="V634" s="17" t="n"/>
      <c r="W634" s="17" t="n"/>
      <c r="X634" s="17" t="n"/>
      <c r="Y634" s="13">
        <f>SUMPRODUCT(M634:X634,$M$2:$X$2)*$K634*$L634</f>
        <v/>
      </c>
      <c r="Z634" s="14">
        <f>SUM(M634:X634)</f>
        <v/>
      </c>
      <c r="AA634" s="14">
        <f>IFERROR(IF(UPPER($E634)="L",SUMPRODUCT(M634:X634,$M$3:$X$3,$M$2:$X$2),SUMPRODUCT(M634:X634,$M$4:$X$4,$M$2:$X$2))/(Y634/($K634*$L634)),"")</f>
        <v/>
      </c>
      <c r="AB634" s="18" t="n"/>
    </row>
    <row r="635">
      <c r="A635" s="9" t="n">
        <v>815195</v>
      </c>
      <c r="B635" s="9" t="inlineStr">
        <is>
          <t>Wilder Dalis</t>
        </is>
      </c>
      <c r="C635" s="9" t="inlineStr">
        <is>
          <t>COL</t>
        </is>
      </c>
      <c r="D635" s="9" t="n">
        <v>25</v>
      </c>
      <c r="E635" s="16" t="inlineStr">
        <is>
          <t>S</t>
        </is>
      </c>
      <c r="F635" s="16" t="n"/>
      <c r="G635" s="9" t="n">
        <v>12.51282051282051</v>
      </c>
      <c r="H635" s="9" t="n">
        <v>12.51282051282051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3">
        <f>SUMPRODUCT(M635:X635,$M$2:$X$2)*$K635*$L635</f>
        <v/>
      </c>
      <c r="Z635" s="14">
        <f>SUM(M635:X635)</f>
        <v/>
      </c>
      <c r="AA635" s="14">
        <f>IFERROR(IF(UPPER($E635)="L",SUMPRODUCT(M635:X635,$M$3:$X$3,$M$2:$X$2),SUMPRODUCT(M635:X635,$M$4:$X$4,$M$2:$X$2))/(Y635/($K635*$L635)),"")</f>
        <v/>
      </c>
      <c r="AB635" s="18" t="n"/>
    </row>
    <row r="636">
      <c r="A636" s="9" t="n">
        <v>809730</v>
      </c>
      <c r="B636" s="9" t="inlineStr">
        <is>
          <t>Weber Neels</t>
        </is>
      </c>
      <c r="C636" s="9" t="inlineStr">
        <is>
          <t>ARI</t>
        </is>
      </c>
      <c r="D636" s="9" t="n">
        <v>25</v>
      </c>
      <c r="E636" s="16" t="inlineStr">
        <is>
          <t>R</t>
        </is>
      </c>
      <c r="F636" s="16" t="n"/>
      <c r="G636" s="9" t="n">
        <v>6.646153846153847</v>
      </c>
      <c r="H636" s="9" t="n">
        <v>6.646153846153847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3">
        <f>SUMPRODUCT(M636:X636,$M$2:$X$2)*$K636*$L636</f>
        <v/>
      </c>
      <c r="Z636" s="14">
        <f>SUM(M636:X636)</f>
        <v/>
      </c>
      <c r="AA636" s="14">
        <f>IFERROR(IF(UPPER($E636)="L",SUMPRODUCT(M636:X636,$M$3:$X$3,$M$2:$X$2),SUMPRODUCT(M636:X636,$M$4:$X$4,$M$2:$X$2))/(Y636/($K636*$L636)),"")</f>
        <v/>
      </c>
      <c r="AB636" s="18" t="n"/>
    </row>
    <row r="637">
      <c r="A637" s="9" t="n">
        <v>695301</v>
      </c>
      <c r="B637" s="9" t="inlineStr">
        <is>
          <t>Ryland Zaborowski</t>
        </is>
      </c>
      <c r="C637" s="9" t="inlineStr">
        <is>
          <t>LAA</t>
        </is>
      </c>
      <c r="D637" s="9" t="n">
        <v>25</v>
      </c>
      <c r="E637" s="16" t="inlineStr">
        <is>
          <t>R</t>
        </is>
      </c>
      <c r="F637" s="16" t="n"/>
      <c r="G637" s="9" t="n">
        <v>8.410256410256411</v>
      </c>
      <c r="H637" s="9" t="n">
        <v>8.410256410256411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3">
        <f>SUMPRODUCT(M637:X637,$M$2:$X$2)*$K637*$L637</f>
        <v/>
      </c>
      <c r="Z637" s="14">
        <f>SUM(M637:X637)</f>
        <v/>
      </c>
      <c r="AA637" s="14">
        <f>IFERROR(IF(UPPER($E637)="L",SUMPRODUCT(M637:X637,$M$3:$X$3,$M$2:$X$2),SUMPRODUCT(M637:X637,$M$4:$X$4,$M$2:$X$2))/(Y637/($K637*$L637)),"")</f>
        <v/>
      </c>
      <c r="AB637" s="18" t="n"/>
    </row>
    <row r="638">
      <c r="A638" s="9" t="n">
        <v>822034</v>
      </c>
      <c r="B638" s="9" t="inlineStr">
        <is>
          <t>Ryan Tayman</t>
        </is>
      </c>
      <c r="C638" s="9" t="inlineStr">
        <is>
          <t>NYM</t>
        </is>
      </c>
      <c r="D638" s="9" t="n">
        <v>25</v>
      </c>
      <c r="E638" s="16" t="inlineStr">
        <is>
          <t>R</t>
        </is>
      </c>
      <c r="F638" s="16" t="n"/>
      <c r="G638" s="9" t="n">
        <v>10.95384615384615</v>
      </c>
      <c r="H638" s="9" t="n">
        <v>10.95384615384615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3">
        <f>SUMPRODUCT(M638:X638,$M$2:$X$2)*$K638*$L638</f>
        <v/>
      </c>
      <c r="Z638" s="14">
        <f>SUM(M638:X638)</f>
        <v/>
      </c>
      <c r="AA638" s="14">
        <f>IFERROR(IF(UPPER($E638)="L",SUMPRODUCT(M638:X638,$M$3:$X$3,$M$2:$X$2),SUMPRODUCT(M638:X638,$M$4:$X$4,$M$2:$X$2))/(Y638/($K638*$L638)),"")</f>
        <v/>
      </c>
      <c r="AB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3">
        <f>SUMPRODUCT(M639:X639,$M$2:$X$2)*$K639*$L639</f>
        <v/>
      </c>
      <c r="Z639" s="14">
        <f>SUM(M639:X639)</f>
        <v/>
      </c>
      <c r="AA639" s="14">
        <f>IFERROR(IF(UPPER($E639)="L",SUMPRODUCT(M639:X639,$M$3:$X$3,$M$2:$X$2),SUMPRODUCT(M639:X639,$M$4:$X$4,$M$2:$X$2))/(Y639/($K639*$L639)),"")</f>
        <v/>
      </c>
      <c r="AB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3">
        <f>SUMPRODUCT(M640:X640,$M$2:$X$2)*$K640*$L640</f>
        <v/>
      </c>
      <c r="Z640" s="14">
        <f>SUM(M640:X640)</f>
        <v/>
      </c>
      <c r="AA640" s="14">
        <f>IFERROR(IF(UPPER($E640)="L",SUMPRODUCT(M640:X640,$M$3:$X$3,$M$2:$X$2),SUMPRODUCT(M640:X640,$M$4:$X$4,$M$2:$X$2))/(Y640/($K640*$L640)),"")</f>
        <v/>
      </c>
      <c r="AB640" s="18" t="n"/>
    </row>
    <row r="641">
      <c r="A641" s="9" t="n">
        <v>814457</v>
      </c>
      <c r="B641" s="9" t="inlineStr">
        <is>
          <t>Jake Casey</t>
        </is>
      </c>
      <c r="C641" s="9" t="inlineStr">
        <is>
          <t>TOR</t>
        </is>
      </c>
      <c r="D641" s="9" t="n">
        <v>25</v>
      </c>
      <c r="E641" s="16" t="inlineStr">
        <is>
          <t>L</t>
        </is>
      </c>
      <c r="F641" s="16" t="n"/>
      <c r="G641" s="9" t="n">
        <v>48.41025641025641</v>
      </c>
      <c r="H641" s="9" t="n">
        <v>48.41025641025641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3">
        <f>SUMPRODUCT(M641:X641,$M$2:$X$2)*$K641*$L641</f>
        <v/>
      </c>
      <c r="Z641" s="14">
        <f>SUM(M641:X641)</f>
        <v/>
      </c>
      <c r="AA641" s="14">
        <f>IFERROR(IF(UPPER($E641)="L",SUMPRODUCT(M641:X641,$M$3:$X$3,$M$2:$X$2),SUMPRODUCT(M641:X641,$M$4:$X$4,$M$2:$X$2))/(Y641/($K641*$L641)),"")</f>
        <v/>
      </c>
      <c r="AB641" s="18" t="n"/>
    </row>
    <row r="642">
      <c r="A642" s="9" t="n">
        <v>801307</v>
      </c>
      <c r="B642" s="9" t="inlineStr">
        <is>
          <t>Gregory Bozzo</t>
        </is>
      </c>
      <c r="C642" s="9" t="inlineStr">
        <is>
          <t>NYY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3">
        <f>SUMPRODUCT(M642:X642,$M$2:$X$2)*$K642*$L642</f>
        <v/>
      </c>
      <c r="Z642" s="14">
        <f>SUM(M642:X642)</f>
        <v/>
      </c>
      <c r="AA642" s="14">
        <f>IFERROR(IF(UPPER($E642)="L",SUMPRODUCT(M642:X642,$M$3:$X$3,$M$2:$X$2),SUMPRODUCT(M642:X642,$M$4:$X$4,$M$2:$X$2))/(Y642/($K642*$L642)),"")</f>
        <v/>
      </c>
      <c r="AB642" s="18" t="n"/>
    </row>
    <row r="643">
      <c r="A643" s="9" t="n">
        <v>701820</v>
      </c>
      <c r="B643" s="9" t="inlineStr">
        <is>
          <t>Jacob Friend</t>
        </is>
      </c>
      <c r="C643" s="9" t="inlineStr">
        <is>
          <t>CIN</t>
        </is>
      </c>
      <c r="D643" s="9" t="n">
        <v>25</v>
      </c>
      <c r="E643" s="16" t="inlineStr">
        <is>
          <t>L</t>
        </is>
      </c>
      <c r="F643" s="16" t="n"/>
      <c r="G643" s="9" t="n">
        <v>55.7948717948718</v>
      </c>
      <c r="H643" s="9" t="n">
        <v>55.7948717948718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3">
        <f>SUMPRODUCT(M643:X643,$M$2:$X$2)*$K643*$L643</f>
        <v/>
      </c>
      <c r="Z643" s="14">
        <f>SUM(M643:X643)</f>
        <v/>
      </c>
      <c r="AA643" s="14">
        <f>IFERROR(IF(UPPER($E643)="L",SUMPRODUCT(M643:X643,$M$3:$X$3,$M$2:$X$2),SUMPRODUCT(M643:X643,$M$4:$X$4,$M$2:$X$2))/(Y643/($K643*$L643)),"")</f>
        <v/>
      </c>
      <c r="AB643" s="18" t="n"/>
    </row>
    <row r="644">
      <c r="A644" s="9" t="n">
        <v>828657</v>
      </c>
      <c r="B644" s="9" t="inlineStr">
        <is>
          <t>Aiden Robbins</t>
        </is>
      </c>
      <c r="C644" s="9" t="inlineStr">
        <is>
          <t>NYM</t>
        </is>
      </c>
      <c r="D644" s="9" t="n">
        <v>25</v>
      </c>
      <c r="E644" s="16" t="inlineStr">
        <is>
          <t>R</t>
        </is>
      </c>
      <c r="F644" s="16" t="n"/>
      <c r="G644" s="9" t="n">
        <v>4.512820512820514</v>
      </c>
      <c r="H644" s="9" t="n">
        <v>4.512820512820514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3">
        <f>SUMPRODUCT(M644:X644,$M$2:$X$2)*$K644*$L644</f>
        <v/>
      </c>
      <c r="Z644" s="14">
        <f>SUM(M644:X644)</f>
        <v/>
      </c>
      <c r="AA644" s="14">
        <f>IFERROR(IF(UPPER($E644)="L",SUMPRODUCT(M644:X644,$M$3:$X$3,$M$2:$X$2),SUMPRODUCT(M644:X644,$M$4:$X$4,$M$2:$X$2))/(Y644/($K644*$L644)),"")</f>
        <v/>
      </c>
      <c r="AB644" s="18" t="n"/>
    </row>
    <row r="645">
      <c r="A645" s="9" t="n">
        <v>686438</v>
      </c>
      <c r="B645" s="9" t="inlineStr">
        <is>
          <t>Rubel Cespedes</t>
        </is>
      </c>
      <c r="C645" s="9" t="inlineStr">
        <is>
          <t>LAA</t>
        </is>
      </c>
      <c r="D645" s="9" t="n">
        <v>25</v>
      </c>
      <c r="E645" s="16" t="inlineStr">
        <is>
          <t>L</t>
        </is>
      </c>
      <c r="F645" s="16" t="n"/>
      <c r="G645" s="9" t="n">
        <v>2.584615384615385</v>
      </c>
      <c r="H645" s="9" t="n">
        <v>2.584615384615385</v>
      </c>
      <c r="I645" s="9" t="inlineStr">
        <is>
          <t>Depth (no MLB PA)</t>
        </is>
      </c>
      <c r="J645" s="16" t="inlineStr">
        <is>
          <t>Opening Day</t>
        </is>
      </c>
      <c r="K645" s="11">
        <f>IFERROR(INDEX(Roles!$B$17:$B$20,MATCH(J645,Roles!$A$17:$A$20,0)),1)</f>
        <v/>
      </c>
      <c r="L645" s="17" t="n">
        <v>1</v>
      </c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3">
        <f>SUMPRODUCT(M645:X645,$M$2:$X$2)*$K645*$L645</f>
        <v/>
      </c>
      <c r="Z645" s="14">
        <f>SUM(M645:X645)</f>
        <v/>
      </c>
      <c r="AA645" s="14">
        <f>IFERROR(IF(UPPER($E645)="L",SUMPRODUCT(M645:X645,$M$3:$X$3,$M$2:$X$2),SUMPRODUCT(M645:X645,$M$4:$X$4,$M$2:$X$2))/(Y645/($K645*$L645)),"")</f>
        <v/>
      </c>
      <c r="AB645" s="18" t="n"/>
    </row>
    <row r="646">
      <c r="A646" s="9" t="n">
        <v>835409</v>
      </c>
      <c r="B646" s="9" t="inlineStr">
        <is>
          <t>Erasmi Rodriguez</t>
        </is>
      </c>
      <c r="C646" s="9" t="inlineStr">
        <is>
          <t>CWS</t>
        </is>
      </c>
      <c r="D646" s="9" t="n">
        <v>25</v>
      </c>
      <c r="E646" s="16" t="inlineStr">
        <is>
          <t>R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3">
        <f>SUMPRODUCT(M646:X646,$M$2:$X$2)*$K646*$L646</f>
        <v/>
      </c>
      <c r="Z646" s="14">
        <f>SUM(M646:X646)</f>
        <v/>
      </c>
      <c r="AA646" s="14">
        <f>IFERROR(IF(UPPER($E646)="L",SUMPRODUCT(M646:X646,$M$3:$X$3,$M$2:$X$2),SUMPRODUCT(M646:X646,$M$4:$X$4,$M$2:$X$2))/(Y646/($K646*$L646)),"")</f>
        <v/>
      </c>
      <c r="AB646" s="18" t="n"/>
    </row>
    <row r="647">
      <c r="A647" s="9" t="n">
        <v>686617</v>
      </c>
      <c r="B647" s="9" t="inlineStr">
        <is>
          <t>Christian Fagnant</t>
        </is>
      </c>
      <c r="C647" s="9" t="inlineStr">
        <is>
          <t>WSH</t>
        </is>
      </c>
      <c r="D647" s="9" t="n">
        <v>25</v>
      </c>
      <c r="E647" s="16" t="inlineStr">
        <is>
          <t>L</t>
        </is>
      </c>
      <c r="F647" s="16" t="n"/>
      <c r="G647" s="9" t="n">
        <v>2.584615384615385</v>
      </c>
      <c r="H647" s="9" t="n">
        <v>2.584615384615385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3">
        <f>SUMPRODUCT(M647:X647,$M$2:$X$2)*$K647*$L647</f>
        <v/>
      </c>
      <c r="Z647" s="14">
        <f>SUM(M647:X647)</f>
        <v/>
      </c>
      <c r="AA647" s="14">
        <f>IFERROR(IF(UPPER($E647)="L",SUMPRODUCT(M647:X647,$M$3:$X$3,$M$2:$X$2),SUMPRODUCT(M647:X647,$M$4:$X$4,$M$2:$X$2))/(Y647/($K647*$L647)),"")</f>
        <v/>
      </c>
      <c r="AB647" s="18" t="n"/>
    </row>
    <row r="648">
      <c r="A648" s="9" t="n">
        <v>663445</v>
      </c>
      <c r="B648" s="9" t="inlineStr">
        <is>
          <t>James Nelson</t>
        </is>
      </c>
      <c r="C648" s="9" t="inlineStr">
        <is>
          <t>HOU</t>
        </is>
      </c>
      <c r="D648" s="9" t="n">
        <v>25</v>
      </c>
      <c r="E648" s="16" t="inlineStr">
        <is>
          <t>R</t>
        </is>
      </c>
      <c r="F648" s="16" t="n"/>
      <c r="G648" s="9" t="n">
        <v>104.9230769230769</v>
      </c>
      <c r="H648" s="9" t="n">
        <v>104.9230769230769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3">
        <f>SUMPRODUCT(M648:X648,$M$2:$X$2)*$K648*$L648</f>
        <v/>
      </c>
      <c r="Z648" s="14">
        <f>SUM(M648:X648)</f>
        <v/>
      </c>
      <c r="AA648" s="14">
        <f>IFERROR(IF(UPPER($E648)="L",SUMPRODUCT(M648:X648,$M$3:$X$3,$M$2:$X$2),SUMPRODUCT(M648:X648,$M$4:$X$4,$M$2:$X$2))/(Y648/($K648*$L648)),"")</f>
        <v/>
      </c>
      <c r="AB648" s="18" t="n"/>
    </row>
    <row r="649">
      <c r="A649" s="9" t="n">
        <v>670231</v>
      </c>
      <c r="B649" s="9" t="inlineStr">
        <is>
          <t>John Rave</t>
        </is>
      </c>
      <c r="C649" s="9" t="inlineStr">
        <is>
          <t>KC</t>
        </is>
      </c>
      <c r="D649" s="9" t="n">
        <v>29</v>
      </c>
      <c r="E649" s="16" t="inlineStr">
        <is>
          <t>L</t>
        </is>
      </c>
      <c r="F649" s="16" t="n"/>
      <c r="G649" s="9" t="n">
        <v>161</v>
      </c>
      <c r="H649" s="9" t="n">
        <v>336</v>
      </c>
      <c r="I649" s="9" t="inlineStr">
        <is>
          <t>Bench Bat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3">
        <f>SUMPRODUCT(M649:X649,$M$2:$X$2)*$K649*$L649</f>
        <v/>
      </c>
      <c r="Z649" s="14">
        <f>SUM(M649:X649)</f>
        <v/>
      </c>
      <c r="AA649" s="14">
        <f>IFERROR(IF(UPPER($E649)="L",SUMPRODUCT(M649:X649,$M$3:$X$3,$M$2:$X$2),SUMPRODUCT(M649:X649,$M$4:$X$4,$M$2:$X$2))/(Y649/($K649*$L649)),"")</f>
        <v/>
      </c>
      <c r="AB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3">
        <f>SUMPRODUCT(M650:X650,$M$2:$X$2)*$K650*$L650</f>
        <v/>
      </c>
      <c r="Z650" s="14">
        <f>SUM(M650:X650)</f>
        <v/>
      </c>
      <c r="AA650" s="14">
        <f>IFERROR(IF(UPPER($E650)="L",SUMPRODUCT(M650:X650,$M$3:$X$3,$M$2:$X$2),SUMPRODUCT(M650:X650,$M$4:$X$4,$M$2:$X$2))/(Y650/($K650*$L650)),"")</f>
        <v/>
      </c>
      <c r="AB650" s="18" t="n"/>
    </row>
    <row r="651">
      <c r="A651" s="9" t="n">
        <v>700815</v>
      </c>
      <c r="B651" s="9" t="inlineStr">
        <is>
          <t>Matthew Ellis</t>
        </is>
      </c>
      <c r="C651" s="9" t="inlineStr">
        <is>
          <t>SEA</t>
        </is>
      </c>
      <c r="D651" s="9" t="n">
        <v>25</v>
      </c>
      <c r="E651" s="16" t="inlineStr">
        <is>
          <t>L</t>
        </is>
      </c>
      <c r="F651" s="16" t="n"/>
      <c r="G651" s="9" t="n">
        <v>68.30769230769231</v>
      </c>
      <c r="H651" s="9" t="n">
        <v>68.30769230769231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3">
        <f>SUMPRODUCT(M651:X651,$M$2:$X$2)*$K651*$L651</f>
        <v/>
      </c>
      <c r="Z651" s="14">
        <f>SUM(M651:X651)</f>
        <v/>
      </c>
      <c r="AA651" s="14">
        <f>IFERROR(IF(UPPER($E651)="L",SUMPRODUCT(M651:X651,$M$3:$X$3,$M$2:$X$2),SUMPRODUCT(M651:X651,$M$4:$X$4,$M$2:$X$2))/(Y651/($K651*$L651)),"")</f>
        <v/>
      </c>
      <c r="AB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3">
        <f>SUMPRODUCT(M652:X652,$M$2:$X$2)*$K652*$L652</f>
        <v/>
      </c>
      <c r="Z652" s="14">
        <f>SUM(M652:X652)</f>
        <v/>
      </c>
      <c r="AA652" s="14">
        <f>IFERROR(IF(UPPER($E652)="L",SUMPRODUCT(M652:X652,$M$3:$X$3,$M$2:$X$2),SUMPRODUCT(M652:X652,$M$4:$X$4,$M$2:$X$2))/(Y652/($K652*$L652)),"")</f>
        <v/>
      </c>
      <c r="AB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n"/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/>
      <c r="X653" s="17" t="n"/>
      <c r="Y653" s="13">
        <f>SUMPRODUCT(M653:X653,$M$2:$X$2)*$K653*$L653</f>
        <v/>
      </c>
      <c r="Z653" s="14">
        <f>SUM(M653:X653)</f>
        <v/>
      </c>
      <c r="AA653" s="14">
        <f>IFERROR(IF(UPPER($E653)="L",SUMPRODUCT(M653:X653,$M$3:$X$3,$M$2:$X$2),SUMPRODUCT(M653:X653,$M$4:$X$4,$M$2:$X$2))/(Y653/($K653*$L653)),"")</f>
        <v/>
      </c>
      <c r="AB653" s="18" t="n"/>
    </row>
    <row r="654">
      <c r="A654" s="9" t="n">
        <v>800434</v>
      </c>
      <c r="B654" s="9" t="inlineStr">
        <is>
          <t>Jose Alpuria</t>
        </is>
      </c>
      <c r="C654" s="9" t="inlineStr">
        <is>
          <t>ARI</t>
        </is>
      </c>
      <c r="D654" s="9" t="n">
        <v>25</v>
      </c>
      <c r="E654" s="16" t="inlineStr">
        <is>
          <t>R</t>
        </is>
      </c>
      <c r="F654" s="16" t="n"/>
      <c r="G654" s="9" t="n">
        <v>4.923076923076923</v>
      </c>
      <c r="H654" s="9" t="n">
        <v>4.923076923076923</v>
      </c>
      <c r="I654" s="9" t="inlineStr">
        <is>
          <t>Depth (no MLB PA)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  <c r="V654" s="17" t="n"/>
      <c r="W654" s="17" t="n"/>
      <c r="X654" s="17" t="n"/>
      <c r="Y654" s="13">
        <f>SUMPRODUCT(M654:X654,$M$2:$X$2)*$K654*$L654</f>
        <v/>
      </c>
      <c r="Z654" s="14">
        <f>SUM(M654:X654)</f>
        <v/>
      </c>
      <c r="AA654" s="14">
        <f>IFERROR(IF(UPPER($E654)="L",SUMPRODUCT(M654:X654,$M$3:$X$3,$M$2:$X$2),SUMPRODUCT(M654:X654,$M$4:$X$4,$M$2:$X$2))/(Y654/($K654*$L654)),"")</f>
        <v/>
      </c>
      <c r="AB654" s="18" t="n"/>
    </row>
    <row r="655">
      <c r="A655" s="9" t="n">
        <v>661531</v>
      </c>
      <c r="B655" s="9" t="inlineStr">
        <is>
          <t>Brian Serven</t>
        </is>
      </c>
      <c r="C655" s="9" t="inlineStr">
        <is>
          <t>OAK</t>
        </is>
      </c>
      <c r="D655" s="9" t="n">
        <v>32</v>
      </c>
      <c r="E655" s="16" t="inlineStr">
        <is>
          <t>R</t>
        </is>
      </c>
      <c r="F655" s="16" t="n"/>
      <c r="G655" s="9" t="n">
        <v>85</v>
      </c>
      <c r="H655" s="9" t="n">
        <v>384</v>
      </c>
      <c r="I655" s="9" t="inlineStr">
        <is>
          <t>Bench Bat</t>
        </is>
      </c>
      <c r="J655" s="16" t="inlineStr">
        <is>
          <t>Opening Day</t>
        </is>
      </c>
      <c r="K655" s="11">
        <f>IFERROR(INDEX(Roles!$B$17:$B$20,MATCH(J655,Roles!$A$17:$A$20,0)),1)</f>
        <v/>
      </c>
      <c r="L655" s="17" t="n">
        <v>1</v>
      </c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3">
        <f>SUMPRODUCT(M655:X655,$M$2:$X$2)*$K655*$L655</f>
        <v/>
      </c>
      <c r="Z655" s="14">
        <f>SUM(M655:X655)</f>
        <v/>
      </c>
      <c r="AA655" s="14">
        <f>IFERROR(IF(UPPER($E655)="L",SUMPRODUCT(M655:X655,$M$3:$X$3,$M$2:$X$2),SUMPRODUCT(M655:X655,$M$4:$X$4,$M$2:$X$2))/(Y655/($K655*$L655)),"")</f>
        <v/>
      </c>
      <c r="AB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3">
        <f>SUMPRODUCT(M656:X656,$M$2:$X$2)*$K656*$L656</f>
        <v/>
      </c>
      <c r="Z656" s="14">
        <f>SUM(M656:X656)</f>
        <v/>
      </c>
      <c r="AA656" s="14">
        <f>IFERROR(IF(UPPER($E656)="L",SUMPRODUCT(M656:X656,$M$3:$X$3,$M$2:$X$2),SUMPRODUCT(M656:X656,$M$4:$X$4,$M$2:$X$2))/(Y656/($K656*$L656)),"")</f>
        <v/>
      </c>
      <c r="AB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3">
        <f>SUMPRODUCT(M657:X657,$M$2:$X$2)*$K657*$L657</f>
        <v/>
      </c>
      <c r="Z657" s="14">
        <f>SUM(M657:X657)</f>
        <v/>
      </c>
      <c r="AA657" s="14">
        <f>IFERROR(IF(UPPER($E657)="L",SUMPRODUCT(M657:X657,$M$3:$X$3,$M$2:$X$2),SUMPRODUCT(M657:X657,$M$4:$X$4,$M$2:$X$2))/(Y657/($K657*$L657)),"")</f>
        <v/>
      </c>
      <c r="AB657" s="18" t="n"/>
    </row>
    <row r="658">
      <c r="A658" s="9" t="n">
        <v>838338</v>
      </c>
      <c r="B658" s="9" t="inlineStr">
        <is>
          <t>Giaconino Lasaracina</t>
        </is>
      </c>
      <c r="C658" s="9" t="inlineStr">
        <is>
          <t>TOR</t>
        </is>
      </c>
      <c r="D658" s="9" t="n">
        <v>25</v>
      </c>
      <c r="E658" s="16" t="inlineStr">
        <is>
          <t>R</t>
        </is>
      </c>
      <c r="F658" s="16" t="n"/>
      <c r="G658" s="9" t="n">
        <v>17.84615384615385</v>
      </c>
      <c r="H658" s="9" t="n">
        <v>17.84615384615385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3">
        <f>SUMPRODUCT(M658:X658,$M$2:$X$2)*$K658*$L658</f>
        <v/>
      </c>
      <c r="Z658" s="14">
        <f>SUM(M658:X658)</f>
        <v/>
      </c>
      <c r="AA658" s="14">
        <f>IFERROR(IF(UPPER($E658)="L",SUMPRODUCT(M658:X658,$M$3:$X$3,$M$2:$X$2),SUMPRODUCT(M658:X658,$M$4:$X$4,$M$2:$X$2))/(Y658/($K658*$L658)),"")</f>
        <v/>
      </c>
      <c r="AB658" s="18" t="n"/>
    </row>
    <row r="659">
      <c r="A659" s="9" t="n">
        <v>802599</v>
      </c>
      <c r="B659" s="9" t="inlineStr">
        <is>
          <t>Jack Penney</t>
        </is>
      </c>
      <c r="C659" s="9" t="inlineStr">
        <is>
          <t>DET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3">
        <f>SUMPRODUCT(M659:X659,$M$2:$X$2)*$K659*$L659</f>
        <v/>
      </c>
      <c r="Z659" s="14">
        <f>SUM(M659:X659)</f>
        <v/>
      </c>
      <c r="AA659" s="14">
        <f>IFERROR(IF(UPPER($E659)="L",SUMPRODUCT(M659:X659,$M$3:$X$3,$M$2:$X$2),SUMPRODUCT(M659:X659,$M$4:$X$4,$M$2:$X$2))/(Y659/($K659*$L659)),"")</f>
        <v/>
      </c>
      <c r="AB659" s="18" t="n"/>
    </row>
    <row r="660">
      <c r="A660" s="9" t="n">
        <v>800615</v>
      </c>
      <c r="B660" s="9" t="inlineStr">
        <is>
          <t>Luke Scherrer</t>
        </is>
      </c>
      <c r="C660" s="9" t="inlineStr">
        <is>
          <t>PIT</t>
        </is>
      </c>
      <c r="D660" s="9" t="n">
        <v>25</v>
      </c>
      <c r="E660" s="16" t="inlineStr">
        <is>
          <t>R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3">
        <f>SUMPRODUCT(M660:X660,$M$2:$X$2)*$K660*$L660</f>
        <v/>
      </c>
      <c r="Z660" s="14">
        <f>SUM(M660:X660)</f>
        <v/>
      </c>
      <c r="AA660" s="14">
        <f>IFERROR(IF(UPPER($E660)="L",SUMPRODUCT(M660:X660,$M$3:$X$3,$M$2:$X$2),SUMPRODUCT(M660:X660,$M$4:$X$4,$M$2:$X$2))/(Y660/($K660*$L660)),"")</f>
        <v/>
      </c>
      <c r="AB660" s="18" t="n"/>
    </row>
    <row r="661">
      <c r="A661" s="9" t="n">
        <v>815009</v>
      </c>
      <c r="B661" s="9" t="inlineStr">
        <is>
          <t>Cesar Mujica</t>
        </is>
      </c>
      <c r="C661" s="9" t="inlineStr">
        <is>
          <t>PHI</t>
        </is>
      </c>
      <c r="D661" s="9" t="n">
        <v>25</v>
      </c>
      <c r="E661" s="16" t="inlineStr">
        <is>
          <t>R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3">
        <f>SUMPRODUCT(M661:X661,$M$2:$X$2)*$K661*$L661</f>
        <v/>
      </c>
      <c r="Z661" s="14">
        <f>SUM(M661:X661)</f>
        <v/>
      </c>
      <c r="AA661" s="14">
        <f>IFERROR(IF(UPPER($E661)="L",SUMPRODUCT(M661:X661,$M$3:$X$3,$M$2:$X$2),SUMPRODUCT(M661:X661,$M$4:$X$4,$M$2:$X$2))/(Y661/($K661*$L661)),"")</f>
        <v/>
      </c>
      <c r="AB661" s="18" t="n"/>
    </row>
    <row r="662">
      <c r="A662" s="9" t="n">
        <v>816111</v>
      </c>
      <c r="B662" s="9" t="inlineStr">
        <is>
          <t>Tate Southisene</t>
        </is>
      </c>
      <c r="C662" s="9" t="inlineStr">
        <is>
          <t>ATL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3">
        <f>SUMPRODUCT(M662:X662,$M$2:$X$2)*$K662*$L662</f>
        <v/>
      </c>
      <c r="Z662" s="14">
        <f>SUM(M662:X662)</f>
        <v/>
      </c>
      <c r="AA662" s="14">
        <f>IFERROR(IF(UPPER($E662)="L",SUMPRODUCT(M662:X662,$M$3:$X$3,$M$2:$X$2),SUMPRODUCT(M662:X662,$M$4:$X$4,$M$2:$X$2))/(Y662/($K662*$L662)),"")</f>
        <v/>
      </c>
      <c r="AB662" s="18" t="n"/>
    </row>
    <row r="663">
      <c r="A663" s="9" t="n">
        <v>815931</v>
      </c>
      <c r="B663" s="9" t="inlineStr">
        <is>
          <t>Yolfran Castillo</t>
        </is>
      </c>
      <c r="C663" s="9" t="inlineStr">
        <is>
          <t>TEX</t>
        </is>
      </c>
      <c r="D663" s="9" t="n">
        <v>25</v>
      </c>
      <c r="E663" s="16" t="inlineStr">
        <is>
          <t>R</t>
        </is>
      </c>
      <c r="F663" s="16" t="n"/>
      <c r="G663" s="9" t="n">
        <v>1.025641025641026</v>
      </c>
      <c r="H663" s="9" t="n">
        <v>1.025641025641026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3">
        <f>SUMPRODUCT(M663:X663,$M$2:$X$2)*$K663*$L663</f>
        <v/>
      </c>
      <c r="Z663" s="14">
        <f>SUM(M663:X663)</f>
        <v/>
      </c>
      <c r="AA663" s="14">
        <f>IFERROR(IF(UPPER($E663)="L",SUMPRODUCT(M663:X663,$M$3:$X$3,$M$2:$X$2),SUMPRODUCT(M663:X663,$M$4:$X$4,$M$2:$X$2))/(Y663/($K663*$L663)),"")</f>
        <v/>
      </c>
      <c r="AB663" s="18" t="n"/>
    </row>
    <row r="664">
      <c r="A664" s="9" t="n">
        <v>815899</v>
      </c>
      <c r="B664" s="9" t="inlineStr">
        <is>
          <t>Jose Perdomo</t>
        </is>
      </c>
      <c r="C664" s="9" t="inlineStr">
        <is>
          <t>ATL</t>
        </is>
      </c>
      <c r="D664" s="9" t="n">
        <v>25</v>
      </c>
      <c r="E664" s="16" t="inlineStr">
        <is>
          <t>R</t>
        </is>
      </c>
      <c r="F664" s="16" t="n"/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3">
        <f>SUMPRODUCT(M664:X664,$M$2:$X$2)*$K664*$L664</f>
        <v/>
      </c>
      <c r="Z664" s="14">
        <f>SUM(M664:X664)</f>
        <v/>
      </c>
      <c r="AA664" s="14">
        <f>IFERROR(IF(UPPER($E664)="L",SUMPRODUCT(M664:X664,$M$3:$X$3,$M$2:$X$2),SUMPRODUCT(M664:X664,$M$4:$X$4,$M$2:$X$2))/(Y664/($K664*$L664)),"")</f>
        <v/>
      </c>
      <c r="AB664" s="18" t="n"/>
    </row>
    <row r="665">
      <c r="A665" s="9" t="n">
        <v>815694</v>
      </c>
      <c r="B665" s="9" t="inlineStr">
        <is>
          <t>Lou Albrecht</t>
        </is>
      </c>
      <c r="C665" s="9" t="inlineStr">
        <is>
          <t>PHI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3">
        <f>SUMPRODUCT(M665:X665,$M$2:$X$2)*$K665*$L665</f>
        <v/>
      </c>
      <c r="Z665" s="14">
        <f>SUM(M665:X665)</f>
        <v/>
      </c>
      <c r="AA665" s="14">
        <f>IFERROR(IF(UPPER($E665)="L",SUMPRODUCT(M665:X665,$M$3:$X$3,$M$2:$X$2),SUMPRODUCT(M665:X665,$M$4:$X$4,$M$2:$X$2))/(Y665/($K665*$L665)),"")</f>
        <v/>
      </c>
      <c r="AB665" s="18" t="n"/>
    </row>
    <row r="666">
      <c r="A666" s="9" t="n">
        <v>827412</v>
      </c>
      <c r="B666" s="9" t="inlineStr">
        <is>
          <t>Gabriel Flores</t>
        </is>
      </c>
      <c r="C666" s="9" t="inlineStr">
        <is>
          <t>PHI</t>
        </is>
      </c>
      <c r="D666" s="9" t="n">
        <v>25</v>
      </c>
      <c r="E666" s="16" t="inlineStr">
        <is>
          <t>R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3">
        <f>SUMPRODUCT(M666:X666,$M$2:$X$2)*$K666*$L666</f>
        <v/>
      </c>
      <c r="Z666" s="14">
        <f>SUM(M666:X666)</f>
        <v/>
      </c>
      <c r="AA666" s="14">
        <f>IFERROR(IF(UPPER($E666)="L",SUMPRODUCT(M666:X666,$M$3:$X$3,$M$2:$X$2),SUMPRODUCT(M666:X666,$M$4:$X$4,$M$2:$X$2))/(Y666/($K666*$L666)),"")</f>
        <v/>
      </c>
      <c r="AB666" s="18" t="n"/>
    </row>
    <row r="667">
      <c r="A667" s="9" t="n">
        <v>800188</v>
      </c>
      <c r="B667" s="9" t="inlineStr">
        <is>
          <t>Dario Laverde</t>
        </is>
      </c>
      <c r="C667" s="9" t="inlineStr">
        <is>
          <t>LAA</t>
        </is>
      </c>
      <c r="D667" s="9" t="n">
        <v>25</v>
      </c>
      <c r="E667" s="16" t="inlineStr">
        <is>
          <t>L</t>
        </is>
      </c>
      <c r="F667" s="16" t="n"/>
      <c r="G667" s="9" t="n">
        <v>1.025641025641026</v>
      </c>
      <c r="H667" s="9" t="n">
        <v>1.025641025641026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3">
        <f>SUMPRODUCT(M667:X667,$M$2:$X$2)*$K667*$L667</f>
        <v/>
      </c>
      <c r="Z667" s="14">
        <f>SUM(M667:X667)</f>
        <v/>
      </c>
      <c r="AA667" s="14">
        <f>IFERROR(IF(UPPER($E667)="L",SUMPRODUCT(M667:X667,$M$3:$X$3,$M$2:$X$2),SUMPRODUCT(M667:X667,$M$4:$X$4,$M$2:$X$2))/(Y667/($K667*$L667)),"")</f>
        <v/>
      </c>
      <c r="AB667" s="18" t="n"/>
    </row>
    <row r="668">
      <c r="A668" s="9" t="n">
        <v>683176</v>
      </c>
      <c r="B668" s="9" t="inlineStr">
        <is>
          <t>Nate Rombach</t>
        </is>
      </c>
      <c r="C668" s="9" t="inlineStr">
        <is>
          <t>WSH</t>
        </is>
      </c>
      <c r="D668" s="9" t="n">
        <v>25</v>
      </c>
      <c r="E668" s="16" t="inlineStr">
        <is>
          <t>R</t>
        </is>
      </c>
      <c r="F668" s="16" t="n"/>
      <c r="G668" s="9" t="n">
        <v>1</v>
      </c>
      <c r="H668" s="9" t="n">
        <v>1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3">
        <f>SUMPRODUCT(M668:X668,$M$2:$X$2)*$K668*$L668</f>
        <v/>
      </c>
      <c r="Z668" s="14">
        <f>SUM(M668:X668)</f>
        <v/>
      </c>
      <c r="AA668" s="14">
        <f>IFERROR(IF(UPPER($E668)="L",SUMPRODUCT(M668:X668,$M$3:$X$3,$M$2:$X$2),SUMPRODUCT(M668:X668,$M$4:$X$4,$M$2:$X$2))/(Y668/($K668*$L668)),"")</f>
        <v/>
      </c>
      <c r="AB668" s="18" t="n"/>
    </row>
    <row r="669">
      <c r="A669" s="9" t="n">
        <v>808233</v>
      </c>
      <c r="B669" s="9" t="inlineStr">
        <is>
          <t>Alfredo Rodriguez</t>
        </is>
      </c>
      <c r="C669" s="9" t="inlineStr">
        <is>
          <t>TB</t>
        </is>
      </c>
      <c r="D669" s="9" t="n">
        <v>25</v>
      </c>
      <c r="E669" s="16" t="inlineStr">
        <is>
          <t>R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3">
        <f>SUMPRODUCT(M669:X669,$M$2:$X$2)*$K669*$L669</f>
        <v/>
      </c>
      <c r="Z669" s="14">
        <f>SUM(M669:X669)</f>
        <v/>
      </c>
      <c r="AA669" s="14">
        <f>IFERROR(IF(UPPER($E669)="L",SUMPRODUCT(M669:X669,$M$3:$X$3,$M$2:$X$2),SUMPRODUCT(M669:X669,$M$4:$X$4,$M$2:$X$2))/(Y669/($K669*$L669)),"")</f>
        <v/>
      </c>
      <c r="AB669" s="18" t="n"/>
    </row>
    <row r="670">
      <c r="A670" s="9" t="n">
        <v>805212</v>
      </c>
      <c r="B670" s="9" t="inlineStr">
        <is>
          <t>Jacob Galloway</t>
        </is>
      </c>
      <c r="C670" s="9" t="inlineStr">
        <is>
          <t>SEA</t>
        </is>
      </c>
      <c r="D670" s="9" t="n">
        <v>25</v>
      </c>
      <c r="E670" s="16" t="inlineStr">
        <is>
          <t>L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3">
        <f>SUMPRODUCT(M670:X670,$M$2:$X$2)*$K670*$L670</f>
        <v/>
      </c>
      <c r="Z670" s="14">
        <f>SUM(M670:X670)</f>
        <v/>
      </c>
      <c r="AA670" s="14">
        <f>IFERROR(IF(UPPER($E670)="L",SUMPRODUCT(M670:X670,$M$3:$X$3,$M$2:$X$2),SUMPRODUCT(M670:X670,$M$4:$X$4,$M$2:$X$2))/(Y670/($K670*$L670)),"")</f>
        <v/>
      </c>
      <c r="AB670" s="18" t="n"/>
    </row>
    <row r="671">
      <c r="A671" s="9" t="n">
        <v>805145</v>
      </c>
      <c r="B671" s="9" t="inlineStr">
        <is>
          <t>Jake Bold</t>
        </is>
      </c>
      <c r="C671" s="9" t="inlineStr">
        <is>
          <t>SD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3">
        <f>SUMPRODUCT(M671:X671,$M$2:$X$2)*$K671*$L671</f>
        <v/>
      </c>
      <c r="Z671" s="14">
        <f>SUM(M671:X671)</f>
        <v/>
      </c>
      <c r="AA671" s="14">
        <f>IFERROR(IF(UPPER($E671)="L",SUMPRODUCT(M671:X671,$M$3:$X$3,$M$2:$X$2),SUMPRODUCT(M671:X671,$M$4:$X$4,$M$2:$X$2))/(Y671/($K671*$L671)),"")</f>
        <v/>
      </c>
      <c r="AB671" s="18" t="n"/>
    </row>
    <row r="672">
      <c r="A672" s="9" t="n">
        <v>656686</v>
      </c>
      <c r="B672" s="9" t="inlineStr">
        <is>
          <t>Corbin Martin</t>
        </is>
      </c>
      <c r="C672" s="9" t="inlineStr">
        <is>
          <t>CHC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3">
        <f>SUMPRODUCT(M672:X672,$M$2:$X$2)*$K672*$L672</f>
        <v/>
      </c>
      <c r="Z672" s="14">
        <f>SUM(M672:X672)</f>
        <v/>
      </c>
      <c r="AA672" s="14">
        <f>IFERROR(IF(UPPER($E672)="L",SUMPRODUCT(M672:X672,$M$3:$X$3,$M$2:$X$2),SUMPRODUCT(M672:X672,$M$4:$X$4,$M$2:$X$2))/(Y672/($K672*$L672)),"")</f>
        <v/>
      </c>
      <c r="AB672" s="18" t="n"/>
    </row>
    <row r="673">
      <c r="A673" s="9" t="n">
        <v>815586</v>
      </c>
      <c r="B673" s="9" t="inlineStr">
        <is>
          <t>Joe Olsavsky</t>
        </is>
      </c>
      <c r="C673" s="9" t="inlineStr">
        <is>
          <t>ATL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3">
        <f>SUMPRODUCT(M673:X673,$M$2:$X$2)*$K673*$L673</f>
        <v/>
      </c>
      <c r="Z673" s="14">
        <f>SUM(M673:X673)</f>
        <v/>
      </c>
      <c r="AA673" s="14">
        <f>IFERROR(IF(UPPER($E673)="L",SUMPRODUCT(M673:X673,$M$3:$X$3,$M$2:$X$2),SUMPRODUCT(M673:X673,$M$4:$X$4,$M$2:$X$2))/(Y673/($K673*$L673)),"")</f>
        <v/>
      </c>
      <c r="AB673" s="18" t="n"/>
    </row>
    <row r="674">
      <c r="A674" s="9" t="n">
        <v>805990</v>
      </c>
      <c r="B674" s="9" t="inlineStr">
        <is>
          <t>Grant Kipp</t>
        </is>
      </c>
      <c r="C674" s="9" t="inlineStr">
        <is>
          <t>CHC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3">
        <f>SUMPRODUCT(M674:X674,$M$2:$X$2)*$K674*$L674</f>
        <v/>
      </c>
      <c r="Z674" s="14">
        <f>SUM(M674:X674)</f>
        <v/>
      </c>
      <c r="AA674" s="14">
        <f>IFERROR(IF(UPPER($E674)="L",SUMPRODUCT(M674:X674,$M$3:$X$3,$M$2:$X$2),SUMPRODUCT(M674:X674,$M$4:$X$4,$M$2:$X$2))/(Y674/($K674*$L674)),"")</f>
        <v/>
      </c>
      <c r="AB674" s="18" t="n"/>
    </row>
    <row r="675">
      <c r="A675" s="9" t="n">
        <v>829702</v>
      </c>
      <c r="B675" s="9" t="inlineStr">
        <is>
          <t>Edgardo Figueroa</t>
        </is>
      </c>
      <c r="C675" s="9" t="inlineStr">
        <is>
          <t>WSH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3">
        <f>SUMPRODUCT(M675:X675,$M$2:$X$2)*$K675*$L675</f>
        <v/>
      </c>
      <c r="Z675" s="14">
        <f>SUM(M675:X675)</f>
        <v/>
      </c>
      <c r="AA675" s="14">
        <f>IFERROR(IF(UPPER($E675)="L",SUMPRODUCT(M675:X675,$M$3:$X$3,$M$2:$X$2),SUMPRODUCT(M675:X675,$M$4:$X$4,$M$2:$X$2))/(Y675/($K675*$L675)),"")</f>
        <v/>
      </c>
      <c r="AB675" s="18" t="n"/>
    </row>
    <row r="676">
      <c r="A676" s="9" t="n">
        <v>621389</v>
      </c>
      <c r="B676" s="9" t="inlineStr">
        <is>
          <t>Ty Blach</t>
        </is>
      </c>
      <c r="C676" s="9" t="inlineStr">
        <is>
          <t>CHC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3">
        <f>SUMPRODUCT(M676:X676,$M$2:$X$2)*$K676*$L676</f>
        <v/>
      </c>
      <c r="Z676" s="14">
        <f>SUM(M676:X676)</f>
        <v/>
      </c>
      <c r="AA676" s="14">
        <f>IFERROR(IF(UPPER($E676)="L",SUMPRODUCT(M676:X676,$M$3:$X$3,$M$2:$X$2),SUMPRODUCT(M676:X676,$M$4:$X$4,$M$2:$X$2))/(Y676/($K676*$L676)),"")</f>
        <v/>
      </c>
      <c r="AB676" s="18" t="n"/>
    </row>
    <row r="677">
      <c r="A677" s="9" t="n">
        <v>808343</v>
      </c>
      <c r="B677" s="9" t="inlineStr">
        <is>
          <t>Jormy Nivar</t>
        </is>
      </c>
      <c r="C677" s="9" t="inlineStr">
        <is>
          <t>TEX</t>
        </is>
      </c>
      <c r="D677" s="9" t="n">
        <v>25</v>
      </c>
      <c r="E677" s="16" t="inlineStr">
        <is>
          <t>R</t>
        </is>
      </c>
      <c r="F677" s="16" t="n"/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3">
        <f>SUMPRODUCT(M677:X677,$M$2:$X$2)*$K677*$L677</f>
        <v/>
      </c>
      <c r="Z677" s="14">
        <f>SUM(M677:X677)</f>
        <v/>
      </c>
      <c r="AA677" s="14">
        <f>IFERROR(IF(UPPER($E677)="L",SUMPRODUCT(M677:X677,$M$3:$X$3,$M$2:$X$2),SUMPRODUCT(M677:X677,$M$4:$X$4,$M$2:$X$2))/(Y677/($K677*$L677)),"")</f>
        <v/>
      </c>
      <c r="AB677" s="18" t="n"/>
    </row>
    <row r="678">
      <c r="A678" s="9" t="n">
        <v>800331</v>
      </c>
      <c r="B678" s="9" t="inlineStr">
        <is>
          <t>Francisco Toledo</t>
        </is>
      </c>
      <c r="C678" s="9" t="inlineStr">
        <is>
          <t>NYM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3">
        <f>SUMPRODUCT(M678:X678,$M$2:$X$2)*$K678*$L678</f>
        <v/>
      </c>
      <c r="Z678" s="14">
        <f>SUM(M678:X678)</f>
        <v/>
      </c>
      <c r="AA678" s="14">
        <f>IFERROR(IF(UPPER($E678)="L",SUMPRODUCT(M678:X678,$M$3:$X$3,$M$2:$X$2),SUMPRODUCT(M678:X678,$M$4:$X$4,$M$2:$X$2))/(Y678/($K678*$L678)),"")</f>
        <v/>
      </c>
      <c r="AB678" s="18" t="n"/>
    </row>
    <row r="679">
      <c r="A679" s="9" t="n">
        <v>691384</v>
      </c>
      <c r="B679" s="9" t="inlineStr">
        <is>
          <t>Luis Perales</t>
        </is>
      </c>
      <c r="C679" s="9" t="inlineStr">
        <is>
          <t>WSH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3">
        <f>SUMPRODUCT(M679:X679,$M$2:$X$2)*$K679*$L679</f>
        <v/>
      </c>
      <c r="Z679" s="14">
        <f>SUM(M679:X679)</f>
        <v/>
      </c>
      <c r="AA679" s="14">
        <f>IFERROR(IF(UPPER($E679)="L",SUMPRODUCT(M679:X679,$M$3:$X$3,$M$2:$X$2),SUMPRODUCT(M679:X679,$M$4:$X$4,$M$2:$X$2))/(Y679/($K679*$L679)),"")</f>
        <v/>
      </c>
      <c r="AB679" s="18" t="n"/>
    </row>
    <row r="680">
      <c r="A680" s="9" t="n">
        <v>690523</v>
      </c>
      <c r="B680" s="9" t="inlineStr">
        <is>
          <t>Joe Campagna</t>
        </is>
      </c>
      <c r="C680" s="9" t="inlineStr">
        <is>
          <t>DET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3">
        <f>SUMPRODUCT(M680:X680,$M$2:$X$2)*$K680*$L680</f>
        <v/>
      </c>
      <c r="Z680" s="14">
        <f>SUM(M680:X680)</f>
        <v/>
      </c>
      <c r="AA680" s="14">
        <f>IFERROR(IF(UPPER($E680)="L",SUMPRODUCT(M680:X680,$M$3:$X$3,$M$2:$X$2),SUMPRODUCT(M680:X680,$M$4:$X$4,$M$2:$X$2))/(Y680/($K680*$L680)),"")</f>
        <v/>
      </c>
      <c r="AB680" s="18" t="n"/>
    </row>
    <row r="681">
      <c r="A681" s="9" t="n">
        <v>800508</v>
      </c>
      <c r="B681" s="9" t="inlineStr">
        <is>
          <t>Franyerber Montilla</t>
        </is>
      </c>
      <c r="C681" s="9" t="inlineStr">
        <is>
          <t>DET</t>
        </is>
      </c>
      <c r="D681" s="9" t="n">
        <v>25</v>
      </c>
      <c r="E681" s="16" t="inlineStr">
        <is>
          <t>S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3">
        <f>SUMPRODUCT(M681:X681,$M$2:$X$2)*$K681*$L681</f>
        <v/>
      </c>
      <c r="Z681" s="14">
        <f>SUM(M681:X681)</f>
        <v/>
      </c>
      <c r="AA681" s="14">
        <f>IFERROR(IF(UPPER($E681)="L",SUMPRODUCT(M681:X681,$M$3:$X$3,$M$2:$X$2),SUMPRODUCT(M681:X681,$M$4:$X$4,$M$2:$X$2))/(Y681/($K681*$L681)),"")</f>
        <v/>
      </c>
      <c r="AB681" s="18" t="n"/>
    </row>
    <row r="682">
      <c r="A682" s="9" t="n">
        <v>831590</v>
      </c>
      <c r="B682" s="9" t="inlineStr">
        <is>
          <t>Taylor Darden</t>
        </is>
      </c>
      <c r="C682" s="9" t="inlineStr">
        <is>
          <t>NYM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3">
        <f>SUMPRODUCT(M682:X682,$M$2:$X$2)*$K682*$L682</f>
        <v/>
      </c>
      <c r="Z682" s="14">
        <f>SUM(M682:X682)</f>
        <v/>
      </c>
      <c r="AA682" s="14">
        <f>IFERROR(IF(UPPER($E682)="L",SUMPRODUCT(M682:X682,$M$3:$X$3,$M$2:$X$2),SUMPRODUCT(M682:X682,$M$4:$X$4,$M$2:$X$2))/(Y682/($K682*$L682)),"")</f>
        <v/>
      </c>
      <c r="AB682" s="18" t="n"/>
    </row>
    <row r="683">
      <c r="A683" s="9" t="n">
        <v>681172</v>
      </c>
      <c r="B683" s="9" t="inlineStr">
        <is>
          <t>Tyler Tolve</t>
        </is>
      </c>
      <c r="C683" s="9" t="inlineStr">
        <is>
          <t>ATL</t>
        </is>
      </c>
      <c r="D683" s="9" t="n">
        <v>25</v>
      </c>
      <c r="E683" s="16" t="inlineStr">
        <is>
          <t>L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3">
        <f>SUMPRODUCT(M683:X683,$M$2:$X$2)*$K683*$L683</f>
        <v/>
      </c>
      <c r="Z683" s="14">
        <f>SUM(M683:X683)</f>
        <v/>
      </c>
      <c r="AA683" s="14">
        <f>IFERROR(IF(UPPER($E683)="L",SUMPRODUCT(M683:X683,$M$3:$X$3,$M$2:$X$2),SUMPRODUCT(M683:X683,$M$4:$X$4,$M$2:$X$2))/(Y683/($K683*$L683)),"")</f>
        <v/>
      </c>
      <c r="AB683" s="18" t="n"/>
    </row>
    <row r="684">
      <c r="A684" s="9" t="n">
        <v>815004</v>
      </c>
      <c r="B684" s="9" t="inlineStr">
        <is>
          <t>Maylerson Casanova</t>
        </is>
      </c>
      <c r="C684" s="9" t="inlineStr">
        <is>
          <t>PHI</t>
        </is>
      </c>
      <c r="D684" s="9" t="n">
        <v>25</v>
      </c>
      <c r="E684" s="16" t="inlineStr">
        <is>
          <t>R</t>
        </is>
      </c>
      <c r="F684" s="16" t="n"/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3">
        <f>SUMPRODUCT(M684:X684,$M$2:$X$2)*$K684*$L684</f>
        <v/>
      </c>
      <c r="Z684" s="14">
        <f>SUM(M684:X684)</f>
        <v/>
      </c>
      <c r="AA684" s="14">
        <f>IFERROR(IF(UPPER($E684)="L",SUMPRODUCT(M684:X684,$M$3:$X$3,$M$2:$X$2),SUMPRODUCT(M684:X684,$M$4:$X$4,$M$2:$X$2))/(Y684/($K684*$L684)),"")</f>
        <v/>
      </c>
      <c r="AB684" s="18" t="n"/>
    </row>
    <row r="685">
      <c r="A685" s="9" t="n">
        <v>640454</v>
      </c>
      <c r="B685" s="9" t="inlineStr">
        <is>
          <t>Matt Krook</t>
        </is>
      </c>
      <c r="C685" s="9" t="inlineStr">
        <is>
          <t>OAK</t>
        </is>
      </c>
      <c r="D685" s="9" t="n">
        <v>25</v>
      </c>
      <c r="E685" s="16" t="inlineStr">
        <is>
          <t>L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3">
        <f>SUMPRODUCT(M685:X685,$M$2:$X$2)*$K685*$L685</f>
        <v/>
      </c>
      <c r="Z685" s="14">
        <f>SUM(M685:X685)</f>
        <v/>
      </c>
      <c r="AA685" s="14">
        <f>IFERROR(IF(UPPER($E685)="L",SUMPRODUCT(M685:X685,$M$3:$X$3,$M$2:$X$2),SUMPRODUCT(M685:X685,$M$4:$X$4,$M$2:$X$2))/(Y685/($K685*$L685)),"")</f>
        <v/>
      </c>
      <c r="AB685" s="18" t="n"/>
    </row>
    <row r="686">
      <c r="A686" s="9" t="n">
        <v>703447</v>
      </c>
      <c r="B686" s="9" t="inlineStr">
        <is>
          <t>Jacob Jarrell</t>
        </is>
      </c>
      <c r="C686" s="9" t="inlineStr">
        <is>
          <t>ATL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3">
        <f>SUMPRODUCT(M686:X686,$M$2:$X$2)*$K686*$L686</f>
        <v/>
      </c>
      <c r="Z686" s="14">
        <f>SUM(M686:X686)</f>
        <v/>
      </c>
      <c r="AA686" s="14">
        <f>IFERROR(IF(UPPER($E686)="L",SUMPRODUCT(M686:X686,$M$3:$X$3,$M$2:$X$2),SUMPRODUCT(M686:X686,$M$4:$X$4,$M$2:$X$2))/(Y686/($K686*$L686)),"")</f>
        <v/>
      </c>
      <c r="AB686" s="18" t="n"/>
    </row>
    <row r="687">
      <c r="A687" s="9" t="n">
        <v>703152</v>
      </c>
      <c r="B687" s="9" t="inlineStr">
        <is>
          <t>Anthony Gutierrez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3">
        <f>SUMPRODUCT(M687:X687,$M$2:$X$2)*$K687*$L687</f>
        <v/>
      </c>
      <c r="Z687" s="14">
        <f>SUM(M687:X687)</f>
        <v/>
      </c>
      <c r="AA687" s="14">
        <f>IFERROR(IF(UPPER($E687)="L",SUMPRODUCT(M687:X687,$M$3:$X$3,$M$2:$X$2),SUMPRODUCT(M687:X687,$M$4:$X$4,$M$2:$X$2))/(Y687/($K687*$L687)),"")</f>
        <v/>
      </c>
      <c r="AB687" s="18" t="n"/>
    </row>
    <row r="688">
      <c r="A688" s="9" t="n">
        <v>808033</v>
      </c>
      <c r="B688" s="9" t="inlineStr">
        <is>
          <t>Jonathan Rivero</t>
        </is>
      </c>
      <c r="C688" s="9" t="inlineStr">
        <is>
          <t>PIT</t>
        </is>
      </c>
      <c r="D688" s="9" t="n">
        <v>25</v>
      </c>
      <c r="E688" s="16" t="inlineStr">
        <is>
          <t>L</t>
        </is>
      </c>
      <c r="F688" s="16" t="n"/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3">
        <f>SUMPRODUCT(M688:X688,$M$2:$X$2)*$K688*$L688</f>
        <v/>
      </c>
      <c r="Z688" s="14">
        <f>SUM(M688:X688)</f>
        <v/>
      </c>
      <c r="AA688" s="14">
        <f>IFERROR(IF(UPPER($E688)="L",SUMPRODUCT(M688:X688,$M$3:$X$3,$M$2:$X$2),SUMPRODUCT(M688:X688,$M$4:$X$4,$M$2:$X$2))/(Y688/($K688*$L688)),"")</f>
        <v/>
      </c>
      <c r="AB688" s="18" t="n"/>
    </row>
    <row r="689">
      <c r="A689" s="9" t="n">
        <v>828408</v>
      </c>
      <c r="B689" s="9" t="inlineStr">
        <is>
          <t>Evan Bouldin</t>
        </is>
      </c>
      <c r="C689" s="9" t="inlineStr">
        <is>
          <t>PHI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3">
        <f>SUMPRODUCT(M689:X689,$M$2:$X$2)*$K689*$L689</f>
        <v/>
      </c>
      <c r="Z689" s="14">
        <f>SUM(M689:X689)</f>
        <v/>
      </c>
      <c r="AA689" s="14">
        <f>IFERROR(IF(UPPER($E689)="L",SUMPRODUCT(M689:X689,$M$3:$X$3,$M$2:$X$2),SUMPRODUCT(M689:X689,$M$4:$X$4,$M$2:$X$2))/(Y689/($K689*$L689)),"")</f>
        <v/>
      </c>
      <c r="AB689" s="18" t="n"/>
    </row>
    <row r="690">
      <c r="A690" s="9" t="n">
        <v>815917</v>
      </c>
      <c r="B690" s="9" t="inlineStr">
        <is>
          <t>Angel Guzman</t>
        </is>
      </c>
      <c r="C690" s="9" t="inlineStr">
        <is>
          <t>TOR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3">
        <f>SUMPRODUCT(M690:X690,$M$2:$X$2)*$K690*$L690</f>
        <v/>
      </c>
      <c r="Z690" s="14">
        <f>SUM(M690:X690)</f>
        <v/>
      </c>
      <c r="AA690" s="14">
        <f>IFERROR(IF(UPPER($E690)="L",SUMPRODUCT(M690:X690,$M$3:$X$3,$M$2:$X$2),SUMPRODUCT(M690:X690,$M$4:$X$4,$M$2:$X$2))/(Y690/($K690*$L690)),"")</f>
        <v/>
      </c>
      <c r="AB690" s="18" t="n"/>
    </row>
    <row r="691">
      <c r="A691" s="9" t="n">
        <v>821523</v>
      </c>
      <c r="B691" s="9" t="inlineStr">
        <is>
          <t>Victor Leal</t>
        </is>
      </c>
      <c r="C691" s="9" t="inlineStr">
        <is>
          <t>MIN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3">
        <f>SUMPRODUCT(M691:X691,$M$2:$X$2)*$K691*$L691</f>
        <v/>
      </c>
      <c r="Z691" s="14">
        <f>SUM(M691:X691)</f>
        <v/>
      </c>
      <c r="AA691" s="14">
        <f>IFERROR(IF(UPPER($E691)="L",SUMPRODUCT(M691:X691,$M$3:$X$3,$M$2:$X$2),SUMPRODUCT(M691:X691,$M$4:$X$4,$M$2:$X$2))/(Y691/($K691*$L691)),"")</f>
        <v/>
      </c>
      <c r="AB691" s="18" t="n"/>
    </row>
    <row r="692">
      <c r="A692" s="9" t="n">
        <v>820856</v>
      </c>
      <c r="B692" s="9" t="inlineStr">
        <is>
          <t>Alexander Mambel</t>
        </is>
      </c>
      <c r="C692" s="9" t="inlineStr">
        <is>
          <t>BOS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3">
        <f>SUMPRODUCT(M692:X692,$M$2:$X$2)*$K692*$L692</f>
        <v/>
      </c>
      <c r="Z692" s="14">
        <f>SUM(M692:X692)</f>
        <v/>
      </c>
      <c r="AA692" s="14">
        <f>IFERROR(IF(UPPER($E692)="L",SUMPRODUCT(M692:X692,$M$3:$X$3,$M$2:$X$2),SUMPRODUCT(M692:X692,$M$4:$X$4,$M$2:$X$2))/(Y692/($K692*$L692)),"")</f>
        <v/>
      </c>
      <c r="AB692" s="18" t="n"/>
    </row>
    <row r="693">
      <c r="A693" s="9" t="n">
        <v>821348</v>
      </c>
      <c r="B693" s="9" t="inlineStr">
        <is>
          <t>Brent Iredale</t>
        </is>
      </c>
      <c r="C693" s="9" t="inlineStr">
        <is>
          <t>PIT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3">
        <f>SUMPRODUCT(M693:X693,$M$2:$X$2)*$K693*$L693</f>
        <v/>
      </c>
      <c r="Z693" s="14">
        <f>SUM(M693:X693)</f>
        <v/>
      </c>
      <c r="AA693" s="14">
        <f>IFERROR(IF(UPPER($E693)="L",SUMPRODUCT(M693:X693,$M$3:$X$3,$M$2:$X$2),SUMPRODUCT(M693:X693,$M$4:$X$4,$M$2:$X$2))/(Y693/($K693*$L693)),"")</f>
        <v/>
      </c>
      <c r="AB693" s="18" t="n"/>
    </row>
    <row r="694">
      <c r="A694" s="9" t="n">
        <v>814453</v>
      </c>
      <c r="B694" s="9" t="inlineStr">
        <is>
          <t>Nathan Archer</t>
        </is>
      </c>
      <c r="C694" s="9" t="inlineStr">
        <is>
          <t>CWS</t>
        </is>
      </c>
      <c r="D694" s="9" t="n">
        <v>25</v>
      </c>
      <c r="E694" s="16" t="inlineStr">
        <is>
          <t>L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3">
        <f>SUMPRODUCT(M694:X694,$M$2:$X$2)*$K694*$L694</f>
        <v/>
      </c>
      <c r="Z694" s="14">
        <f>SUM(M694:X694)</f>
        <v/>
      </c>
      <c r="AA694" s="14">
        <f>IFERROR(IF(UPPER($E694)="L",SUMPRODUCT(M694:X694,$M$3:$X$3,$M$2:$X$2),SUMPRODUCT(M694:X694,$M$4:$X$4,$M$2:$X$2))/(Y694/($K694*$L694)),"")</f>
        <v/>
      </c>
      <c r="AB694" s="18" t="n"/>
    </row>
    <row r="695">
      <c r="A695" s="9" t="n">
        <v>691464</v>
      </c>
      <c r="B695" s="9" t="inlineStr">
        <is>
          <t>Fernando Caldera</t>
        </is>
      </c>
      <c r="C695" s="9" t="inlineStr">
        <is>
          <t>HOU</t>
        </is>
      </c>
      <c r="D695" s="9" t="n">
        <v>25</v>
      </c>
      <c r="E695" s="16" t="inlineStr">
        <is>
          <t>R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3">
        <f>SUMPRODUCT(M695:X695,$M$2:$X$2)*$K695*$L695</f>
        <v/>
      </c>
      <c r="Z695" s="14">
        <f>SUM(M695:X695)</f>
        <v/>
      </c>
      <c r="AA695" s="14">
        <f>IFERROR(IF(UPPER($E695)="L",SUMPRODUCT(M695:X695,$M$3:$X$3,$M$2:$X$2),SUMPRODUCT(M695:X695,$M$4:$X$4,$M$2:$X$2))/(Y695/($K695*$L695)),"")</f>
        <v/>
      </c>
      <c r="AB695" s="18" t="n"/>
    </row>
    <row r="696">
      <c r="A696" s="9" t="n">
        <v>814394</v>
      </c>
      <c r="B696" s="9" t="inlineStr">
        <is>
          <t>Colin Summerhill</t>
        </is>
      </c>
      <c r="C696" s="9" t="inlineStr">
        <is>
          <t>LAA</t>
        </is>
      </c>
      <c r="D696" s="9" t="n">
        <v>25</v>
      </c>
      <c r="E696" s="16" t="inlineStr">
        <is>
          <t>R</t>
        </is>
      </c>
      <c r="F696" s="16" t="n"/>
      <c r="G696" s="9" t="n">
        <v>1.025641025641026</v>
      </c>
      <c r="H696" s="9" t="n">
        <v>1.025641025641026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3">
        <f>SUMPRODUCT(M696:X696,$M$2:$X$2)*$K696*$L696</f>
        <v/>
      </c>
      <c r="Z696" s="14">
        <f>SUM(M696:X696)</f>
        <v/>
      </c>
      <c r="AA696" s="14">
        <f>IFERROR(IF(UPPER($E696)="L",SUMPRODUCT(M696:X696,$M$3:$X$3,$M$2:$X$2),SUMPRODUCT(M696:X696,$M$4:$X$4,$M$2:$X$2))/(Y696/($K696*$L696)),"")</f>
        <v/>
      </c>
      <c r="AB696" s="18" t="n"/>
    </row>
    <row r="697">
      <c r="A697" s="9" t="n">
        <v>808153</v>
      </c>
      <c r="B697" s="9" t="inlineStr">
        <is>
          <t>Luis Merejo</t>
        </is>
      </c>
      <c r="C697" s="9" t="inlineStr">
        <is>
          <t>CLE</t>
        </is>
      </c>
      <c r="D697" s="9" t="n">
        <v>25</v>
      </c>
      <c r="E697" s="16" t="inlineStr">
        <is>
          <t>R</t>
        </is>
      </c>
      <c r="F697" s="16" t="n"/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3">
        <f>SUMPRODUCT(M697:X697,$M$2:$X$2)*$K697*$L697</f>
        <v/>
      </c>
      <c r="Z697" s="14">
        <f>SUM(M697:X697)</f>
        <v/>
      </c>
      <c r="AA697" s="14">
        <f>IFERROR(IF(UPPER($E697)="L",SUMPRODUCT(M697:X697,$M$3:$X$3,$M$2:$X$2),SUMPRODUCT(M697:X697,$M$4:$X$4,$M$2:$X$2))/(Y697/($K697*$L697)),"")</f>
        <v/>
      </c>
      <c r="AB697" s="18" t="n"/>
    </row>
    <row r="698">
      <c r="A698" s="9" t="n">
        <v>811294</v>
      </c>
      <c r="B698" s="9" t="inlineStr">
        <is>
          <t>Caden Sorrell</t>
        </is>
      </c>
      <c r="C698" s="9" t="inlineStr">
        <is>
          <t>CHC</t>
        </is>
      </c>
      <c r="D698" s="9" t="n">
        <v>25</v>
      </c>
      <c r="E698" s="16" t="inlineStr">
        <is>
          <t>L</t>
        </is>
      </c>
      <c r="F698" s="16" t="n"/>
      <c r="G698" s="9" t="n">
        <v>11.56923076923077</v>
      </c>
      <c r="H698" s="9" t="n">
        <v>11.56923076923077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3">
        <f>SUMPRODUCT(M698:X698,$M$2:$X$2)*$K698*$L698</f>
        <v/>
      </c>
      <c r="Z698" s="14">
        <f>SUM(M698:X698)</f>
        <v/>
      </c>
      <c r="AA698" s="14">
        <f>IFERROR(IF(UPPER($E698)="L",SUMPRODUCT(M698:X698,$M$3:$X$3,$M$2:$X$2),SUMPRODUCT(M698:X698,$M$4:$X$4,$M$2:$X$2))/(Y698/($K698*$L698)),"")</f>
        <v/>
      </c>
      <c r="AB698" s="18" t="n"/>
    </row>
    <row r="699">
      <c r="A699" s="9" t="n">
        <v>829716</v>
      </c>
      <c r="B699" s="9" t="inlineStr">
        <is>
          <t>Darell Morel</t>
        </is>
      </c>
      <c r="C699" s="9" t="inlineStr">
        <is>
          <t>PIT</t>
        </is>
      </c>
      <c r="D699" s="9" t="n">
        <v>25</v>
      </c>
      <c r="E699" s="16" t="inlineStr">
        <is>
          <t>L</t>
        </is>
      </c>
      <c r="F699" s="16" t="n"/>
      <c r="G699" s="9" t="n">
        <v>1</v>
      </c>
      <c r="H699" s="9" t="n">
        <v>1</v>
      </c>
      <c r="I699" s="9" t="inlineStr">
        <is>
          <t>Depth (no MLB PA)</t>
        </is>
      </c>
      <c r="J699" s="16" t="inlineStr">
        <is>
          <t>Opening Day</t>
        </is>
      </c>
      <c r="K699" s="11">
        <f>IFERROR(INDEX(Roles!$B$17:$B$20,MATCH(J699,Roles!$A$17:$A$20,0)),1)</f>
        <v/>
      </c>
      <c r="L699" s="17" t="n">
        <v>1</v>
      </c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/>
      <c r="Y699" s="13">
        <f>SUMPRODUCT(M699:X699,$M$2:$X$2)*$K699*$L699</f>
        <v/>
      </c>
      <c r="Z699" s="14">
        <f>SUM(M699:X699)</f>
        <v/>
      </c>
      <c r="AA699" s="14">
        <f>IFERROR(IF(UPPER($E699)="L",SUMPRODUCT(M699:X699,$M$3:$X$3,$M$2:$X$2),SUMPRODUCT(M699:X699,$M$4:$X$4,$M$2:$X$2))/(Y699/($K699*$L699)),"")</f>
        <v/>
      </c>
      <c r="AB699" s="18" t="n"/>
    </row>
    <row r="700">
      <c r="A700" s="9" t="n">
        <v>801854</v>
      </c>
      <c r="B700" s="9" t="inlineStr">
        <is>
          <t>Ben Wilmes</t>
        </is>
      </c>
      <c r="C700" s="9" t="inlineStr">
        <is>
          <t>COL</t>
        </is>
      </c>
      <c r="D700" s="9" t="n">
        <v>25</v>
      </c>
      <c r="E700" s="16" t="inlineStr">
        <is>
          <t>R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3">
        <f>SUMPRODUCT(M700:X700,$M$2:$X$2)*$K700*$L700</f>
        <v/>
      </c>
      <c r="Z700" s="14">
        <f>SUM(M700:X700)</f>
        <v/>
      </c>
      <c r="AA700" s="14">
        <f>IFERROR(IF(UPPER($E700)="L",SUMPRODUCT(M700:X700,$M$3:$X$3,$M$2:$X$2),SUMPRODUCT(M700:X700,$M$4:$X$4,$M$2:$X$2))/(Y700/($K700*$L700)),"")</f>
        <v/>
      </c>
      <c r="AB700" s="18" t="n"/>
    </row>
    <row r="701">
      <c r="A701" s="9" t="n">
        <v>842160</v>
      </c>
      <c r="B701" s="9" t="inlineStr">
        <is>
          <t>Owen Clyne</t>
        </is>
      </c>
      <c r="C701" s="9" t="inlineStr">
        <is>
          <t>PHI</t>
        </is>
      </c>
      <c r="D701" s="9" t="n">
        <v>25</v>
      </c>
      <c r="E701" s="16" t="inlineStr">
        <is>
          <t>L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3">
        <f>SUMPRODUCT(M701:X701,$M$2:$X$2)*$K701*$L701</f>
        <v/>
      </c>
      <c r="Z701" s="14">
        <f>SUM(M701:X701)</f>
        <v/>
      </c>
      <c r="AA701" s="14">
        <f>IFERROR(IF(UPPER($E701)="L",SUMPRODUCT(M701:X701,$M$3:$X$3,$M$2:$X$2),SUMPRODUCT(M701:X701,$M$4:$X$4,$M$2:$X$2))/(Y701/($K701*$L701)),"")</f>
        <v/>
      </c>
      <c r="AB701" s="18" t="n"/>
    </row>
    <row r="702">
      <c r="A702" s="9" t="n">
        <v>821672</v>
      </c>
      <c r="B702" s="9" t="inlineStr">
        <is>
          <t>Eduardo Rojas</t>
        </is>
      </c>
      <c r="C702" s="9" t="inlineStr">
        <is>
          <t>LAD</t>
        </is>
      </c>
      <c r="D702" s="9" t="n">
        <v>25</v>
      </c>
      <c r="E702" s="16" t="inlineStr">
        <is>
          <t>S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3">
        <f>SUMPRODUCT(M702:X702,$M$2:$X$2)*$K702*$L702</f>
        <v/>
      </c>
      <c r="Z702" s="14">
        <f>SUM(M702:X702)</f>
        <v/>
      </c>
      <c r="AA702" s="14">
        <f>IFERROR(IF(UPPER($E702)="L",SUMPRODUCT(M702:X702,$M$3:$X$3,$M$2:$X$2),SUMPRODUCT(M702:X702,$M$4:$X$4,$M$2:$X$2))/(Y702/($K702*$L702)),"")</f>
        <v/>
      </c>
      <c r="AB702" s="18" t="n"/>
    </row>
    <row r="703">
      <c r="A703" s="9" t="n">
        <v>806166</v>
      </c>
      <c r="B703" s="9" t="inlineStr">
        <is>
          <t>Tyler Minnick</t>
        </is>
      </c>
      <c r="C703" s="9" t="inlineStr">
        <is>
          <t>PHI</t>
        </is>
      </c>
      <c r="D703" s="9" t="n">
        <v>25</v>
      </c>
      <c r="E703" s="16" t="inlineStr">
        <is>
          <t>R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3">
        <f>SUMPRODUCT(M703:X703,$M$2:$X$2)*$K703*$L703</f>
        <v/>
      </c>
      <c r="Z703" s="14">
        <f>SUM(M703:X703)</f>
        <v/>
      </c>
      <c r="AA703" s="14">
        <f>IFERROR(IF(UPPER($E703)="L",SUMPRODUCT(M703:X703,$M$3:$X$3,$M$2:$X$2),SUMPRODUCT(M703:X703,$M$4:$X$4,$M$2:$X$2))/(Y703/($K703*$L703)),"")</f>
        <v/>
      </c>
      <c r="AB703" s="18" t="n"/>
    </row>
    <row r="704">
      <c r="A704" s="9" t="n">
        <v>593833</v>
      </c>
      <c r="B704" s="9" t="inlineStr">
        <is>
          <t>Wander Suero</t>
        </is>
      </c>
      <c r="C704" s="9" t="inlineStr">
        <is>
          <t>OAK</t>
        </is>
      </c>
      <c r="D704" s="9" t="n">
        <v>25</v>
      </c>
      <c r="E704" s="16" t="inlineStr">
        <is>
          <t>R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3">
        <f>SUMPRODUCT(M704:X704,$M$2:$X$2)*$K704*$L704</f>
        <v/>
      </c>
      <c r="Z704" s="14">
        <f>SUM(M704:X704)</f>
        <v/>
      </c>
      <c r="AA704" s="14">
        <f>IFERROR(IF(UPPER($E704)="L",SUMPRODUCT(M704:X704,$M$3:$X$3,$M$2:$X$2),SUMPRODUCT(M704:X704,$M$4:$X$4,$M$2:$X$2))/(Y704/($K704*$L704)),"")</f>
        <v/>
      </c>
      <c r="AB704" s="18" t="n"/>
    </row>
    <row r="705">
      <c r="A705" s="9" t="n">
        <v>830412</v>
      </c>
      <c r="B705" s="9" t="inlineStr">
        <is>
          <t>Renyel Campos</t>
        </is>
      </c>
      <c r="C705" s="9" t="inlineStr">
        <is>
          <t>TOR</t>
        </is>
      </c>
      <c r="D705" s="9" t="n">
        <v>25</v>
      </c>
      <c r="E705" s="16" t="inlineStr">
        <is>
          <t>L</t>
        </is>
      </c>
      <c r="F705" s="16" t="n"/>
      <c r="G705" s="9" t="n">
        <v>1</v>
      </c>
      <c r="H705" s="9" t="n">
        <v>1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3">
        <f>SUMPRODUCT(M705:X705,$M$2:$X$2)*$K705*$L705</f>
        <v/>
      </c>
      <c r="Z705" s="14">
        <f>SUM(M705:X705)</f>
        <v/>
      </c>
      <c r="AA705" s="14">
        <f>IFERROR(IF(UPPER($E705)="L",SUMPRODUCT(M705:X705,$M$3:$X$3,$M$2:$X$2),SUMPRODUCT(M705:X705,$M$4:$X$4,$M$2:$X$2))/(Y705/($K705*$L705)),"")</f>
        <v/>
      </c>
      <c r="AB705" s="18" t="n"/>
    </row>
    <row r="706">
      <c r="A706" s="9" t="n">
        <v>808538</v>
      </c>
      <c r="B706" s="9" t="inlineStr">
        <is>
          <t>Luis Parababire</t>
        </is>
      </c>
      <c r="C706" s="9" t="inlineStr">
        <is>
          <t>ATL</t>
        </is>
      </c>
      <c r="D706" s="9" t="n">
        <v>25</v>
      </c>
      <c r="E706" s="16" t="inlineStr">
        <is>
          <t>R</t>
        </is>
      </c>
      <c r="F706" s="16" t="n"/>
      <c r="G706" s="9" t="n">
        <v>1</v>
      </c>
      <c r="H706" s="9" t="n">
        <v>1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3">
        <f>SUMPRODUCT(M706:X706,$M$2:$X$2)*$K706*$L706</f>
        <v/>
      </c>
      <c r="Z706" s="14">
        <f>SUM(M706:X706)</f>
        <v/>
      </c>
      <c r="AA706" s="14">
        <f>IFERROR(IF(UPPER($E706)="L",SUMPRODUCT(M706:X706,$M$3:$X$3,$M$2:$X$2),SUMPRODUCT(M706:X706,$M$4:$X$4,$M$2:$X$2))/(Y706/($K706*$L706)),"")</f>
        <v/>
      </c>
      <c r="AB706" s="18" t="n"/>
    </row>
    <row r="707">
      <c r="A707" s="9" t="n">
        <v>802085</v>
      </c>
      <c r="B707" s="9" t="inlineStr">
        <is>
          <t>Geury Rodriguez</t>
        </is>
      </c>
      <c r="C707" s="9" t="inlineStr">
        <is>
          <t>TEX</t>
        </is>
      </c>
      <c r="D707" s="9" t="n">
        <v>25</v>
      </c>
      <c r="E707" s="16" t="inlineStr">
        <is>
          <t>L</t>
        </is>
      </c>
      <c r="F707" s="16" t="n"/>
      <c r="G707" s="9" t="n">
        <v>1</v>
      </c>
      <c r="H707" s="9" t="n">
        <v>1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3">
        <f>SUMPRODUCT(M707:X707,$M$2:$X$2)*$K707*$L707</f>
        <v/>
      </c>
      <c r="Z707" s="14">
        <f>SUM(M707:X707)</f>
        <v/>
      </c>
      <c r="AA707" s="14">
        <f>IFERROR(IF(UPPER($E707)="L",SUMPRODUCT(M707:X707,$M$3:$X$3,$M$2:$X$2),SUMPRODUCT(M707:X707,$M$4:$X$4,$M$2:$X$2))/(Y707/($K707*$L707)),"")</f>
        <v/>
      </c>
      <c r="AB707" s="18" t="n"/>
    </row>
    <row r="708">
      <c r="A708" s="9" t="n">
        <v>801525</v>
      </c>
      <c r="B708" s="9" t="inlineStr">
        <is>
          <t>Wady Mendez</t>
        </is>
      </c>
      <c r="C708" s="9" t="inlineStr">
        <is>
          <t>TEX</t>
        </is>
      </c>
      <c r="D708" s="9" t="n">
        <v>25</v>
      </c>
      <c r="E708" s="16" t="inlineStr">
        <is>
          <t>L</t>
        </is>
      </c>
      <c r="F708" s="16" t="n"/>
      <c r="G708" s="9" t="n">
        <v>1</v>
      </c>
      <c r="H708" s="9" t="n">
        <v>1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3">
        <f>SUMPRODUCT(M708:X708,$M$2:$X$2)*$K708*$L708</f>
        <v/>
      </c>
      <c r="Z708" s="14">
        <f>SUM(M708:X708)</f>
        <v/>
      </c>
      <c r="AA708" s="14">
        <f>IFERROR(IF(UPPER($E708)="L",SUMPRODUCT(M708:X708,$M$3:$X$3,$M$2:$X$2),SUMPRODUCT(M708:X708,$M$4:$X$4,$M$2:$X$2))/(Y708/($K708*$L708)),"")</f>
        <v/>
      </c>
      <c r="AB708" s="18" t="n"/>
    </row>
    <row r="709">
      <c r="A709" s="9" t="n">
        <v>836276</v>
      </c>
      <c r="B709" s="9" t="inlineStr">
        <is>
          <t>August Cuneo</t>
        </is>
      </c>
      <c r="C709" s="9" t="inlineStr">
        <is>
          <t>HOU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3">
        <f>SUMPRODUCT(M709:X709,$M$2:$X$2)*$K709*$L709</f>
        <v/>
      </c>
      <c r="Z709" s="14">
        <f>SUM(M709:X709)</f>
        <v/>
      </c>
      <c r="AA709" s="14">
        <f>IFERROR(IF(UPPER($E709)="L",SUMPRODUCT(M709:X709,$M$3:$X$3,$M$2:$X$2),SUMPRODUCT(M709:X709,$M$4:$X$4,$M$2:$X$2))/(Y709/($K709*$L709)),"")</f>
        <v/>
      </c>
      <c r="AB709" s="18" t="n"/>
    </row>
    <row r="710">
      <c r="A710" s="9" t="n">
        <v>834605</v>
      </c>
      <c r="B710" s="9" t="inlineStr">
        <is>
          <t>Seong-Jun Kim</t>
        </is>
      </c>
      <c r="C710" s="9" t="inlineStr">
        <is>
          <t>TEX</t>
        </is>
      </c>
      <c r="D710" s="9" t="n">
        <v>25</v>
      </c>
      <c r="E710" s="16" t="inlineStr">
        <is>
          <t>R</t>
        </is>
      </c>
      <c r="F710" s="16" t="n"/>
      <c r="G710" s="9" t="n">
        <v>3.2</v>
      </c>
      <c r="H710" s="9" t="n">
        <v>3.2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3">
        <f>SUMPRODUCT(M710:X710,$M$2:$X$2)*$K710*$L710</f>
        <v/>
      </c>
      <c r="Z710" s="14">
        <f>SUM(M710:X710)</f>
        <v/>
      </c>
      <c r="AA710" s="14">
        <f>IFERROR(IF(UPPER($E710)="L",SUMPRODUCT(M710:X710,$M$3:$X$3,$M$2:$X$2),SUMPRODUCT(M710:X710,$M$4:$X$4,$M$2:$X$2))/(Y710/($K710*$L710)),"")</f>
        <v/>
      </c>
      <c r="AB710" s="18" t="n"/>
    </row>
    <row r="711">
      <c r="A711" s="9" t="n">
        <v>671925</v>
      </c>
      <c r="B711" s="9" t="inlineStr">
        <is>
          <t>Matt Coutney</t>
        </is>
      </c>
      <c r="C711" s="9" t="inlineStr">
        <is>
          <t>LAA</t>
        </is>
      </c>
      <c r="D711" s="9" t="n">
        <v>25</v>
      </c>
      <c r="E711" s="16" t="inlineStr">
        <is>
          <t>L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3">
        <f>SUMPRODUCT(M711:X711,$M$2:$X$2)*$K711*$L711</f>
        <v/>
      </c>
      <c r="Z711" s="14">
        <f>SUM(M711:X711)</f>
        <v/>
      </c>
      <c r="AA711" s="14">
        <f>IFERROR(IF(UPPER($E711)="L",SUMPRODUCT(M711:X711,$M$3:$X$3,$M$2:$X$2),SUMPRODUCT(M711:X711,$M$4:$X$4,$M$2:$X$2))/(Y711/($K711*$L711)),"")</f>
        <v/>
      </c>
      <c r="AB711" s="18" t="n"/>
    </row>
    <row r="712">
      <c r="A712" s="9" t="n">
        <v>805466</v>
      </c>
      <c r="B712" s="9" t="inlineStr">
        <is>
          <t>Cruzmel Arias</t>
        </is>
      </c>
      <c r="C712" s="9" t="inlineStr">
        <is>
          <t>COL</t>
        </is>
      </c>
      <c r="D712" s="9" t="n">
        <v>25</v>
      </c>
      <c r="E712" s="16" t="inlineStr">
        <is>
          <t>R</t>
        </is>
      </c>
      <c r="F712" s="16" t="n"/>
      <c r="G712" s="9" t="n">
        <v>3.2</v>
      </c>
      <c r="H712" s="9" t="n">
        <v>3.2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3">
        <f>SUMPRODUCT(M712:X712,$M$2:$X$2)*$K712*$L712</f>
        <v/>
      </c>
      <c r="Z712" s="14">
        <f>SUM(M712:X712)</f>
        <v/>
      </c>
      <c r="AA712" s="14">
        <f>IFERROR(IF(UPPER($E712)="L",SUMPRODUCT(M712:X712,$M$3:$X$3,$M$2:$X$2),SUMPRODUCT(M712:X712,$M$4:$X$4,$M$2:$X$2))/(Y712/($K712*$L712)),"")</f>
        <v/>
      </c>
      <c r="AB712" s="18" t="n"/>
    </row>
    <row r="713">
      <c r="A713" s="9" t="n">
        <v>702632</v>
      </c>
      <c r="B713" s="9" t="inlineStr">
        <is>
          <t>Michael Gupton</t>
        </is>
      </c>
      <c r="C713" s="9" t="inlineStr">
        <is>
          <t>CHC</t>
        </is>
      </c>
      <c r="D713" s="9" t="n">
        <v>25</v>
      </c>
      <c r="E713" s="16" t="inlineStr">
        <is>
          <t>R</t>
        </is>
      </c>
      <c r="F713" s="16" t="n"/>
      <c r="G713" s="9" t="n">
        <v>1.076923076923077</v>
      </c>
      <c r="H713" s="9" t="n">
        <v>1.076923076923077</v>
      </c>
      <c r="I713" s="9" t="inlineStr">
        <is>
          <t>Depth (no MLB PA)</t>
        </is>
      </c>
      <c r="J713" s="16" t="inlineStr">
        <is>
          <t>Opening Day</t>
        </is>
      </c>
      <c r="K713" s="11">
        <f>IFERROR(INDEX(Roles!$B$17:$B$20,MATCH(J713,Roles!$A$17:$A$20,0)),1)</f>
        <v/>
      </c>
      <c r="L713" s="17" t="n">
        <v>1</v>
      </c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3">
        <f>SUMPRODUCT(M713:X713,$M$2:$X$2)*$K713*$L713</f>
        <v/>
      </c>
      <c r="Z713" s="14">
        <f>SUM(M713:X713)</f>
        <v/>
      </c>
      <c r="AA713" s="14">
        <f>IFERROR(IF(UPPER($E713)="L",SUMPRODUCT(M713:X713,$M$3:$X$3,$M$2:$X$2),SUMPRODUCT(M713:X713,$M$4:$X$4,$M$2:$X$2))/(Y713/($K713*$L713)),"")</f>
        <v/>
      </c>
      <c r="AB713" s="18" t="n"/>
    </row>
    <row r="714">
      <c r="A714" s="9" t="n">
        <v>805692</v>
      </c>
      <c r="B714" s="9" t="inlineStr">
        <is>
          <t>Ricson Gonzalez</t>
        </is>
      </c>
      <c r="C714" s="9" t="inlineStr">
        <is>
          <t>KC</t>
        </is>
      </c>
      <c r="D714" s="9" t="n">
        <v>25</v>
      </c>
      <c r="E714" s="16" t="inlineStr">
        <is>
          <t>R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3">
        <f>SUMPRODUCT(M714:X714,$M$2:$X$2)*$K714*$L714</f>
        <v/>
      </c>
      <c r="Z714" s="14">
        <f>SUM(M714:X714)</f>
        <v/>
      </c>
      <c r="AA714" s="14">
        <f>IFERROR(IF(UPPER($E714)="L",SUMPRODUCT(M714:X714,$M$3:$X$3,$M$2:$X$2),SUMPRODUCT(M714:X714,$M$4:$X$4,$M$2:$X$2))/(Y714/($K714*$L714)),"")</f>
        <v/>
      </c>
      <c r="AB714" s="18" t="n"/>
    </row>
    <row r="715">
      <c r="A715" s="9" t="n">
        <v>805587</v>
      </c>
      <c r="B715" s="9" t="inlineStr">
        <is>
          <t>Drew Wyers</t>
        </is>
      </c>
      <c r="C715" s="9" t="inlineStr">
        <is>
          <t>HOU</t>
        </is>
      </c>
      <c r="D715" s="9" t="n">
        <v>25</v>
      </c>
      <c r="E715" s="16" t="inlineStr">
        <is>
          <t>R</t>
        </is>
      </c>
      <c r="F715" s="16" t="n"/>
      <c r="G715" s="9" t="n">
        <v>1.076923076923077</v>
      </c>
      <c r="H715" s="9" t="n">
        <v>1.076923076923077</v>
      </c>
      <c r="I715" s="9" t="inlineStr">
        <is>
          <t>Depth (no MLB PA)</t>
        </is>
      </c>
      <c r="J715" s="16" t="inlineStr">
        <is>
          <t>Opening Day</t>
        </is>
      </c>
      <c r="K715" s="11">
        <f>IFERROR(INDEX(Roles!$B$17:$B$20,MATCH(J715,Roles!$A$17:$A$20,0)),1)</f>
        <v/>
      </c>
      <c r="L715" s="17" t="n">
        <v>1</v>
      </c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3">
        <f>SUMPRODUCT(M715:X715,$M$2:$X$2)*$K715*$L715</f>
        <v/>
      </c>
      <c r="Z715" s="14">
        <f>SUM(M715:X715)</f>
        <v/>
      </c>
      <c r="AA715" s="14">
        <f>IFERROR(IF(UPPER($E715)="L",SUMPRODUCT(M715:X715,$M$3:$X$3,$M$2:$X$2),SUMPRODUCT(M715:X715,$M$4:$X$4,$M$2:$X$2))/(Y715/($K715*$L715)),"")</f>
        <v/>
      </c>
      <c r="AB715" s="18" t="n"/>
    </row>
    <row r="716">
      <c r="A716" s="9" t="n">
        <v>680779</v>
      </c>
      <c r="B716" s="9" t="inlineStr">
        <is>
          <t>Henry Davis</t>
        </is>
      </c>
      <c r="C716" s="9" t="inlineStr">
        <is>
          <t>PIT</t>
        </is>
      </c>
      <c r="D716" s="9" t="n">
        <v>27</v>
      </c>
      <c r="E716" s="16" t="inlineStr">
        <is>
          <t>R</t>
        </is>
      </c>
      <c r="F716" s="16" t="n"/>
      <c r="G716" s="9" t="n">
        <v>298</v>
      </c>
      <c r="H716" s="9" t="n">
        <v>958</v>
      </c>
      <c r="I716" s="9" t="inlineStr">
        <is>
          <t>Utility OF / 4th OF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3">
        <f>SUMPRODUCT(M716:X716,$M$2:$X$2)*$K716*$L716</f>
        <v/>
      </c>
      <c r="Z716" s="14">
        <f>SUM(M716:X716)</f>
        <v/>
      </c>
      <c r="AA716" s="14">
        <f>IFERROR(IF(UPPER($E716)="L",SUMPRODUCT(M716:X716,$M$3:$X$3,$M$2:$X$2),SUMPRODUCT(M716:X716,$M$4:$X$4,$M$2:$X$2))/(Y716/($K716*$L716)),"")</f>
        <v/>
      </c>
      <c r="AB716" s="18" t="n"/>
    </row>
    <row r="717">
      <c r="A717" s="9" t="n">
        <v>701816</v>
      </c>
      <c r="B717" s="9" t="inlineStr">
        <is>
          <t>John Cristino</t>
        </is>
      </c>
      <c r="C717" s="9" t="inlineStr">
        <is>
          <t>NYY</t>
        </is>
      </c>
      <c r="D717" s="9" t="n">
        <v>25</v>
      </c>
      <c r="E717" s="16" t="inlineStr">
        <is>
          <t>R</t>
        </is>
      </c>
      <c r="F717" s="16" t="n"/>
      <c r="G717" s="9" t="n">
        <v>1.076923076923077</v>
      </c>
      <c r="H717" s="9" t="n">
        <v>1.076923076923077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3">
        <f>SUMPRODUCT(M717:X717,$M$2:$X$2)*$K717*$L717</f>
        <v/>
      </c>
      <c r="Z717" s="14">
        <f>SUM(M717:X717)</f>
        <v/>
      </c>
      <c r="AA717" s="14">
        <f>IFERROR(IF(UPPER($E717)="L",SUMPRODUCT(M717:X717,$M$3:$X$3,$M$2:$X$2),SUMPRODUCT(M717:X717,$M$4:$X$4,$M$2:$X$2))/(Y717/($K717*$L717)),"")</f>
        <v/>
      </c>
      <c r="AB717" s="18" t="n"/>
    </row>
    <row r="718">
      <c r="A718" s="9" t="n">
        <v>806739</v>
      </c>
      <c r="B718" s="9" t="inlineStr">
        <is>
          <t>Jayden Kim</t>
        </is>
      </c>
      <c r="C718" s="9" t="inlineStr">
        <is>
          <t>PIT</t>
        </is>
      </c>
      <c r="D718" s="9" t="n">
        <v>25</v>
      </c>
      <c r="E718" s="16" t="inlineStr">
        <is>
          <t>R</t>
        </is>
      </c>
      <c r="F718" s="16" t="n"/>
      <c r="G718" s="9" t="n">
        <v>1.107692307692308</v>
      </c>
      <c r="H718" s="9" t="n">
        <v>1.107692307692308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3">
        <f>SUMPRODUCT(M718:X718,$M$2:$X$2)*$K718*$L718</f>
        <v/>
      </c>
      <c r="Z718" s="14">
        <f>SUM(M718:X718)</f>
        <v/>
      </c>
      <c r="AA718" s="14">
        <f>IFERROR(IF(UPPER($E718)="L",SUMPRODUCT(M718:X718,$M$3:$X$3,$M$2:$X$2),SUMPRODUCT(M718:X718,$M$4:$X$4,$M$2:$X$2))/(Y718/($K718*$L718)),"")</f>
        <v/>
      </c>
      <c r="AB718" s="18" t="n"/>
    </row>
    <row r="719">
      <c r="A719" s="9" t="n">
        <v>821244</v>
      </c>
      <c r="B719" s="9" t="inlineStr">
        <is>
          <t>Francisco Loreto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3">
        <f>SUMPRODUCT(M719:X719,$M$2:$X$2)*$K719*$L719</f>
        <v/>
      </c>
      <c r="Z719" s="14">
        <f>SUM(M719:X719)</f>
        <v/>
      </c>
      <c r="AA719" s="14">
        <f>IFERROR(IF(UPPER($E719)="L",SUMPRODUCT(M719:X719,$M$3:$X$3,$M$2:$X$2),SUMPRODUCT(M719:X719,$M$4:$X$4,$M$2:$X$2))/(Y719/($K719*$L719)),"")</f>
        <v/>
      </c>
      <c r="AB719" s="18" t="n"/>
    </row>
    <row r="720">
      <c r="A720" s="9" t="n">
        <v>801563</v>
      </c>
      <c r="B720" s="9" t="inlineStr">
        <is>
          <t>Austin Smith</t>
        </is>
      </c>
      <c r="C720" s="9" t="inlineStr">
        <is>
          <t>TOR</t>
        </is>
      </c>
      <c r="D720" s="9" t="n">
        <v>25</v>
      </c>
      <c r="E720" s="16" t="inlineStr">
        <is>
          <t>L</t>
        </is>
      </c>
      <c r="F720" s="16" t="n"/>
      <c r="G720" s="9" t="n">
        <v>21.94871794871795</v>
      </c>
      <c r="H720" s="9" t="n">
        <v>21.94871794871795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3">
        <f>SUMPRODUCT(M720:X720,$M$2:$X$2)*$K720*$L720</f>
        <v/>
      </c>
      <c r="Z720" s="14">
        <f>SUM(M720:X720)</f>
        <v/>
      </c>
      <c r="AA720" s="14">
        <f>IFERROR(IF(UPPER($E720)="L",SUMPRODUCT(M720:X720,$M$3:$X$3,$M$2:$X$2),SUMPRODUCT(M720:X720,$M$4:$X$4,$M$2:$X$2))/(Y720/($K720*$L720)),"")</f>
        <v/>
      </c>
      <c r="AB720" s="18" t="n"/>
    </row>
    <row r="721">
      <c r="A721" s="9" t="n">
        <v>822796</v>
      </c>
      <c r="B721" s="9" t="inlineStr">
        <is>
          <t>Scott Gell</t>
        </is>
      </c>
      <c r="C721" s="9" t="inlineStr">
        <is>
          <t>SF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3">
        <f>SUMPRODUCT(M721:X721,$M$2:$X$2)*$K721*$L721</f>
        <v/>
      </c>
      <c r="Z721" s="14">
        <f>SUM(M721:X721)</f>
        <v/>
      </c>
      <c r="AA721" s="14">
        <f>IFERROR(IF(UPPER($E721)="L",SUMPRODUCT(M721:X721,$M$3:$X$3,$M$2:$X$2),SUMPRODUCT(M721:X721,$M$4:$X$4,$M$2:$X$2))/(Y721/($K721*$L721)),"")</f>
        <v/>
      </c>
      <c r="AB721" s="18" t="n"/>
    </row>
    <row r="722">
      <c r="A722" s="9" t="n">
        <v>695603</v>
      </c>
      <c r="B722" s="9" t="inlineStr">
        <is>
          <t>Benny Montgomery</t>
        </is>
      </c>
      <c r="C722" s="9" t="inlineStr">
        <is>
          <t>COL</t>
        </is>
      </c>
      <c r="D722" s="9" t="n">
        <v>25</v>
      </c>
      <c r="E722" s="16" t="inlineStr">
        <is>
          <t>R</t>
        </is>
      </c>
      <c r="F722" s="16" t="n"/>
      <c r="G722" s="9" t="n">
        <v>58.15384615384615</v>
      </c>
      <c r="H722" s="9" t="n">
        <v>58.15384615384615</v>
      </c>
      <c r="I722" s="9" t="inlineStr">
        <is>
          <t>Depth (no MLB PA)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  <c r="V722" s="17" t="n"/>
      <c r="W722" s="17" t="n"/>
      <c r="X722" s="17" t="n"/>
      <c r="Y722" s="13">
        <f>SUMPRODUCT(M722:X722,$M$2:$X$2)*$K722*$L722</f>
        <v/>
      </c>
      <c r="Z722" s="14">
        <f>SUM(M722:X722)</f>
        <v/>
      </c>
      <c r="AA722" s="14">
        <f>IFERROR(IF(UPPER($E722)="L",SUMPRODUCT(M722:X722,$M$3:$X$3,$M$2:$X$2),SUMPRODUCT(M722:X722,$M$4:$X$4,$M$2:$X$2))/(Y722/($K722*$L722)),"")</f>
        <v/>
      </c>
      <c r="AB722" s="18" t="n"/>
    </row>
    <row r="723">
      <c r="A723" s="9" t="n">
        <v>666748</v>
      </c>
      <c r="B723" s="9" t="inlineStr">
        <is>
          <t>Mitch Neunborn</t>
        </is>
      </c>
      <c r="C723" s="9" t="inlineStr">
        <is>
          <t>PHI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3">
        <f>SUMPRODUCT(M723:X723,$M$2:$X$2)*$K723*$L723</f>
        <v/>
      </c>
      <c r="Z723" s="14">
        <f>SUM(M723:X723)</f>
        <v/>
      </c>
      <c r="AA723" s="14">
        <f>IFERROR(IF(UPPER($E723)="L",SUMPRODUCT(M723:X723,$M$3:$X$3,$M$2:$X$2),SUMPRODUCT(M723:X723,$M$4:$X$4,$M$2:$X$2))/(Y723/($K723*$L723)),"")</f>
        <v/>
      </c>
      <c r="AB723" s="18" t="n"/>
    </row>
    <row r="724">
      <c r="A724" s="9" t="n">
        <v>814294</v>
      </c>
      <c r="B724" s="9" t="inlineStr">
        <is>
          <t>Dario Reynoso</t>
        </is>
      </c>
      <c r="C724" s="9" t="inlineStr">
        <is>
          <t>SF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3">
        <f>SUMPRODUCT(M724:X724,$M$2:$X$2)*$K724*$L724</f>
        <v/>
      </c>
      <c r="Z724" s="14">
        <f>SUM(M724:X724)</f>
        <v/>
      </c>
      <c r="AA724" s="14">
        <f>IFERROR(IF(UPPER($E724)="L",SUMPRODUCT(M724:X724,$M$3:$X$3,$M$2:$X$2),SUMPRODUCT(M724:X724,$M$4:$X$4,$M$2:$X$2))/(Y724/($K724*$L724)),"")</f>
        <v/>
      </c>
      <c r="AB724" s="18" t="n"/>
    </row>
    <row r="725">
      <c r="A725" s="9" t="n">
        <v>814781</v>
      </c>
      <c r="B725" s="9" t="inlineStr">
        <is>
          <t>Jonathan Hogart</t>
        </is>
      </c>
      <c r="C725" s="9" t="inlineStr">
        <is>
          <t>PHI</t>
        </is>
      </c>
      <c r="D725" s="9" t="n">
        <v>25</v>
      </c>
      <c r="E725" s="16" t="inlineStr">
        <is>
          <t>R</t>
        </is>
      </c>
      <c r="F725" s="16" t="n"/>
      <c r="G725" s="9" t="n">
        <v>1.128205128205128</v>
      </c>
      <c r="H725" s="9" t="n">
        <v>1.128205128205128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3">
        <f>SUMPRODUCT(M725:X725,$M$2:$X$2)*$K725*$L725</f>
        <v/>
      </c>
      <c r="Z725" s="14">
        <f>SUM(M725:X725)</f>
        <v/>
      </c>
      <c r="AA725" s="14">
        <f>IFERROR(IF(UPPER($E725)="L",SUMPRODUCT(M725:X725,$M$3:$X$3,$M$2:$X$2),SUMPRODUCT(M725:X725,$M$4:$X$4,$M$2:$X$2))/(Y725/($K725*$L725)),"")</f>
        <v/>
      </c>
      <c r="AB725" s="18" t="n"/>
    </row>
    <row r="726">
      <c r="A726" s="9" t="n">
        <v>808143</v>
      </c>
      <c r="B726" s="9" t="inlineStr">
        <is>
          <t>Sebastian De Andrade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3">
        <f>SUMPRODUCT(M726:X726,$M$2:$X$2)*$K726*$L726</f>
        <v/>
      </c>
      <c r="Z726" s="14">
        <f>SUM(M726:X726)</f>
        <v/>
      </c>
      <c r="AA726" s="14">
        <f>IFERROR(IF(UPPER($E726)="L",SUMPRODUCT(M726:X726,$M$3:$X$3,$M$2:$X$2),SUMPRODUCT(M726:X726,$M$4:$X$4,$M$2:$X$2))/(Y726/($K726*$L726)),"")</f>
        <v/>
      </c>
      <c r="AB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3">
        <f>SUMPRODUCT(M727:X727,$M$2:$X$2)*$K727*$L727</f>
        <v/>
      </c>
      <c r="Z727" s="14">
        <f>SUM(M727:X727)</f>
        <v/>
      </c>
      <c r="AA727" s="14">
        <f>IFERROR(IF(UPPER($E727)="L",SUMPRODUCT(M727:X727,$M$3:$X$3,$M$2:$X$2),SUMPRODUCT(M727:X727,$M$4:$X$4,$M$2:$X$2))/(Y727/($K727*$L727)),"")</f>
        <v/>
      </c>
      <c r="AB727" s="18" t="n"/>
    </row>
    <row r="728">
      <c r="A728" s="9" t="n">
        <v>837510</v>
      </c>
      <c r="B728" s="9" t="inlineStr">
        <is>
          <t>Eric Jeon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3">
        <f>SUMPRODUCT(M728:X728,$M$2:$X$2)*$K728*$L728</f>
        <v/>
      </c>
      <c r="Z728" s="14">
        <f>SUM(M728:X728)</f>
        <v/>
      </c>
      <c r="AA728" s="14">
        <f>IFERROR(IF(UPPER($E728)="L",SUMPRODUCT(M728:X728,$M$3:$X$3,$M$2:$X$2),SUMPRODUCT(M728:X728,$M$4:$X$4,$M$2:$X$2))/(Y728/($K728*$L728)),"")</f>
        <v/>
      </c>
      <c r="AB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3">
        <f>SUMPRODUCT(M729:X729,$M$2:$X$2)*$K729*$L729</f>
        <v/>
      </c>
      <c r="Z729" s="14">
        <f>SUM(M729:X729)</f>
        <v/>
      </c>
      <c r="AA729" s="14">
        <f>IFERROR(IF(UPPER($E729)="L",SUMPRODUCT(M729:X729,$M$3:$X$3,$M$2:$X$2),SUMPRODUCT(M729:X729,$M$4:$X$4,$M$2:$X$2))/(Y729/($K729*$L729)),"")</f>
        <v/>
      </c>
      <c r="AB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3">
        <f>SUMPRODUCT(M730:X730,$M$2:$X$2)*$K730*$L730</f>
        <v/>
      </c>
      <c r="Z730" s="14">
        <f>SUM(M730:X730)</f>
        <v/>
      </c>
      <c r="AA730" s="14">
        <f>IFERROR(IF(UPPER($E730)="L",SUMPRODUCT(M730:X730,$M$3:$X$3,$M$2:$X$2),SUMPRODUCT(M730:X730,$M$4:$X$4,$M$2:$X$2))/(Y730/($K730*$L730)),"")</f>
        <v/>
      </c>
      <c r="AB730" s="18" t="n"/>
    </row>
    <row r="731">
      <c r="A731" s="9" t="n">
        <v>691948</v>
      </c>
      <c r="B731" s="9" t="inlineStr">
        <is>
          <t>Jordan Thompson</t>
        </is>
      </c>
      <c r="C731" s="9" t="inlineStr">
        <is>
          <t>LAD</t>
        </is>
      </c>
      <c r="D731" s="9" t="n">
        <v>25</v>
      </c>
      <c r="E731" s="16" t="inlineStr">
        <is>
          <t>R</t>
        </is>
      </c>
      <c r="F731" s="16" t="n"/>
      <c r="G731" s="9" t="n">
        <v>1.435897435897436</v>
      </c>
      <c r="H731" s="9" t="n">
        <v>1.435897435897436</v>
      </c>
      <c r="I731" s="9" t="inlineStr">
        <is>
          <t>Depth (no MLB PA)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3">
        <f>SUMPRODUCT(M731:X731,$M$2:$X$2)*$K731*$L731</f>
        <v/>
      </c>
      <c r="Z731" s="14">
        <f>SUM(M731:X731)</f>
        <v/>
      </c>
      <c r="AA731" s="14">
        <f>IFERROR(IF(UPPER($E731)="L",SUMPRODUCT(M731:X731,$M$3:$X$3,$M$2:$X$2),SUMPRODUCT(M731:X731,$M$4:$X$4,$M$2:$X$2))/(Y731/($K731*$L731)),"")</f>
        <v/>
      </c>
      <c r="AB731" s="18" t="n"/>
    </row>
    <row r="732">
      <c r="A732" s="9" t="n">
        <v>800179</v>
      </c>
      <c r="B732" s="9" t="inlineStr">
        <is>
          <t>Nolan Beltran</t>
        </is>
      </c>
      <c r="C732" s="9" t="inlineStr">
        <is>
          <t>PHI</t>
        </is>
      </c>
      <c r="D732" s="9" t="n">
        <v>25</v>
      </c>
      <c r="E732" s="16" t="inlineStr">
        <is>
          <t>L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3">
        <f>SUMPRODUCT(M732:X732,$M$2:$X$2)*$K732*$L732</f>
        <v/>
      </c>
      <c r="Z732" s="14">
        <f>SUM(M732:X732)</f>
        <v/>
      </c>
      <c r="AA732" s="14">
        <f>IFERROR(IF(UPPER($E732)="L",SUMPRODUCT(M732:X732,$M$3:$X$3,$M$2:$X$2),SUMPRODUCT(M732:X732,$M$4:$X$4,$M$2:$X$2))/(Y732/($K732*$L732)),"")</f>
        <v/>
      </c>
      <c r="AB732" s="18" t="n"/>
    </row>
    <row r="733">
      <c r="A733" s="9" t="n">
        <v>800438</v>
      </c>
      <c r="B733" s="9" t="inlineStr">
        <is>
          <t>Andrés Nolaya</t>
        </is>
      </c>
      <c r="C733" s="9" t="inlineStr">
        <is>
          <t>BAL</t>
        </is>
      </c>
      <c r="D733" s="9" t="n">
        <v>25</v>
      </c>
      <c r="E733" s="16" t="inlineStr">
        <is>
          <t>R</t>
        </is>
      </c>
      <c r="F733" s="16" t="n"/>
      <c r="G733" s="9" t="n">
        <v>1.435897435897436</v>
      </c>
      <c r="H733" s="9" t="n">
        <v>1.435897435897436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3">
        <f>SUMPRODUCT(M733:X733,$M$2:$X$2)*$K733*$L733</f>
        <v/>
      </c>
      <c r="Z733" s="14">
        <f>SUM(M733:X733)</f>
        <v/>
      </c>
      <c r="AA733" s="14">
        <f>IFERROR(IF(UPPER($E733)="L",SUMPRODUCT(M733:X733,$M$3:$X$3,$M$2:$X$2),SUMPRODUCT(M733:X733,$M$4:$X$4,$M$2:$X$2))/(Y733/($K733*$L733)),"")</f>
        <v/>
      </c>
      <c r="AB733" s="18" t="n"/>
    </row>
    <row r="734">
      <c r="A734" s="9" t="n">
        <v>685076</v>
      </c>
      <c r="B734" s="9" t="inlineStr">
        <is>
          <t>Jack Blomgren</t>
        </is>
      </c>
      <c r="C734" s="9" t="inlineStr">
        <is>
          <t>TEX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3">
        <f>SUMPRODUCT(M734:X734,$M$2:$X$2)*$K734*$L734</f>
        <v/>
      </c>
      <c r="Z734" s="14">
        <f>SUM(M734:X734)</f>
        <v/>
      </c>
      <c r="AA734" s="14">
        <f>IFERROR(IF(UPPER($E734)="L",SUMPRODUCT(M734:X734,$M$3:$X$3,$M$2:$X$2),SUMPRODUCT(M734:X734,$M$4:$X$4,$M$2:$X$2))/(Y734/($K734*$L734)),"")</f>
        <v/>
      </c>
      <c r="AB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3">
        <f>SUMPRODUCT(M735:X735,$M$2:$X$2)*$K735*$L735</f>
        <v/>
      </c>
      <c r="Z735" s="14">
        <f>SUM(M735:X735)</f>
        <v/>
      </c>
      <c r="AA735" s="14">
        <f>IFERROR(IF(UPPER($E735)="L",SUMPRODUCT(M735:X735,$M$3:$X$3,$M$2:$X$2),SUMPRODUCT(M735:X735,$M$4:$X$4,$M$2:$X$2))/(Y735/($K735*$L735)),"")</f>
        <v/>
      </c>
      <c r="AB735" s="18" t="n"/>
    </row>
    <row r="736">
      <c r="A736" s="9" t="n">
        <v>467793</v>
      </c>
      <c r="B736" s="9" t="inlineStr">
        <is>
          <t>Carlos Santana</t>
        </is>
      </c>
      <c r="C736" s="9" t="inlineStr">
        <is>
          <t>ARI</t>
        </is>
      </c>
      <c r="D736" s="9" t="n">
        <v>41</v>
      </c>
      <c r="E736" s="16" t="inlineStr">
        <is>
          <t>S</t>
        </is>
      </c>
      <c r="F736" s="16" t="n"/>
      <c r="G736" s="9" t="n">
        <v>26</v>
      </c>
      <c r="H736" s="9" t="n">
        <v>2219</v>
      </c>
      <c r="I736" s="9" t="inlineStr">
        <is>
          <t>Full Time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3">
        <f>SUMPRODUCT(M736:X736,$M$2:$X$2)*$K736*$L736</f>
        <v/>
      </c>
      <c r="Z736" s="14">
        <f>SUM(M736:X736)</f>
        <v/>
      </c>
      <c r="AA736" s="14">
        <f>IFERROR(IF(UPPER($E736)="L",SUMPRODUCT(M736:X736,$M$3:$X$3,$M$2:$X$2),SUMPRODUCT(M736:X736,$M$4:$X$4,$M$2:$X$2))/(Y736/($K736*$L736)),"")</f>
        <v/>
      </c>
      <c r="AB736" s="18" t="n"/>
    </row>
    <row r="737">
      <c r="A737" s="9" t="n">
        <v>811314</v>
      </c>
      <c r="B737" s="9" t="inlineStr">
        <is>
          <t>Bryan Gonzalez Garcia</t>
        </is>
      </c>
      <c r="C737" s="9" t="inlineStr">
        <is>
          <t>LAD</t>
        </is>
      </c>
      <c r="D737" s="9" t="n">
        <v>25</v>
      </c>
      <c r="E737" s="16" t="inlineStr">
        <is>
          <t>R</t>
        </is>
      </c>
      <c r="F737" s="16" t="n"/>
      <c r="G737" s="9" t="n">
        <v>1.435897435897436</v>
      </c>
      <c r="H737" s="9" t="n">
        <v>1.435897435897436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3">
        <f>SUMPRODUCT(M737:X737,$M$2:$X$2)*$K737*$L737</f>
        <v/>
      </c>
      <c r="Z737" s="14">
        <f>SUM(M737:X737)</f>
        <v/>
      </c>
      <c r="AA737" s="14">
        <f>IFERROR(IF(UPPER($E737)="L",SUMPRODUCT(M737:X737,$M$3:$X$3,$M$2:$X$2),SUMPRODUCT(M737:X737,$M$4:$X$4,$M$2:$X$2))/(Y737/($K737*$L737)),"")</f>
        <v/>
      </c>
      <c r="AB737" s="18" t="n"/>
    </row>
    <row r="738">
      <c r="A738" s="9" t="n">
        <v>806065</v>
      </c>
      <c r="B738" s="9" t="inlineStr">
        <is>
          <t>Mason Eckelman</t>
        </is>
      </c>
      <c r="C738" s="9" t="inlineStr">
        <is>
          <t>SEA</t>
        </is>
      </c>
      <c r="D738" s="9" t="n">
        <v>25</v>
      </c>
      <c r="E738" s="16" t="inlineStr">
        <is>
          <t>L</t>
        </is>
      </c>
      <c r="F738" s="16" t="n"/>
      <c r="G738" s="9" t="n">
        <v>3.569230769230769</v>
      </c>
      <c r="H738" s="9" t="n">
        <v>3.569230769230769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3">
        <f>SUMPRODUCT(M738:X738,$M$2:$X$2)*$K738*$L738</f>
        <v/>
      </c>
      <c r="Z738" s="14">
        <f>SUM(M738:X738)</f>
        <v/>
      </c>
      <c r="AA738" s="14">
        <f>IFERROR(IF(UPPER($E738)="L",SUMPRODUCT(M738:X738,$M$3:$X$3,$M$2:$X$2),SUMPRODUCT(M738:X738,$M$4:$X$4,$M$2:$X$2))/(Y738/($K738*$L738)),"")</f>
        <v/>
      </c>
      <c r="AB738" s="18" t="n"/>
    </row>
    <row r="739">
      <c r="A739" s="9" t="n">
        <v>800348</v>
      </c>
      <c r="B739" s="9" t="inlineStr">
        <is>
          <t>Edwin Amparo</t>
        </is>
      </c>
      <c r="C739" s="9" t="inlineStr">
        <is>
          <t>BAL</t>
        </is>
      </c>
      <c r="D739" s="9" t="n">
        <v>25</v>
      </c>
      <c r="E739" s="16" t="inlineStr">
        <is>
          <t>S</t>
        </is>
      </c>
      <c r="F739" s="16" t="n"/>
      <c r="G739" s="9" t="n">
        <v>1.435897435897436</v>
      </c>
      <c r="H739" s="9" t="n">
        <v>1.435897435897436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3">
        <f>SUMPRODUCT(M739:X739,$M$2:$X$2)*$K739*$L739</f>
        <v/>
      </c>
      <c r="Z739" s="14">
        <f>SUM(M739:X739)</f>
        <v/>
      </c>
      <c r="AA739" s="14">
        <f>IFERROR(IF(UPPER($E739)="L",SUMPRODUCT(M739:X739,$M$3:$X$3,$M$2:$X$2),SUMPRODUCT(M739:X739,$M$4:$X$4,$M$2:$X$2))/(Y739/($K739*$L739)),"")</f>
        <v/>
      </c>
      <c r="AB739" s="18" t="n"/>
    </row>
    <row r="740">
      <c r="A740" s="9" t="n">
        <v>808118</v>
      </c>
      <c r="B740" s="9" t="inlineStr">
        <is>
          <t>Félix Amparo</t>
        </is>
      </c>
      <c r="C740" s="9" t="inlineStr">
        <is>
          <t>BAL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3">
        <f>SUMPRODUCT(M740:X740,$M$2:$X$2)*$K740*$L740</f>
        <v/>
      </c>
      <c r="Z740" s="14">
        <f>SUM(M740:X740)</f>
        <v/>
      </c>
      <c r="AA740" s="14">
        <f>IFERROR(IF(UPPER($E740)="L",SUMPRODUCT(M740:X740,$M$3:$X$3,$M$2:$X$2),SUMPRODUCT(M740:X740,$M$4:$X$4,$M$2:$X$2))/(Y740/($K740*$L740)),"")</f>
        <v/>
      </c>
      <c r="AB740" s="18" t="n"/>
    </row>
    <row r="741">
      <c r="A741" s="9" t="n">
        <v>805801</v>
      </c>
      <c r="B741" s="9" t="inlineStr">
        <is>
          <t>Nazzan Zanetello</t>
        </is>
      </c>
      <c r="C741" s="9" t="inlineStr">
        <is>
          <t>BOS</t>
        </is>
      </c>
      <c r="D741" s="9" t="n">
        <v>25</v>
      </c>
      <c r="E741" s="16" t="inlineStr">
        <is>
          <t>R</t>
        </is>
      </c>
      <c r="F741" s="16" t="n"/>
      <c r="G741" s="9" t="n">
        <v>25.43589743589744</v>
      </c>
      <c r="H741" s="9" t="n">
        <v>25.43589743589744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3">
        <f>SUMPRODUCT(M741:X741,$M$2:$X$2)*$K741*$L741</f>
        <v/>
      </c>
      <c r="Z741" s="14">
        <f>SUM(M741:X741)</f>
        <v/>
      </c>
      <c r="AA741" s="14">
        <f>IFERROR(IF(UPPER($E741)="L",SUMPRODUCT(M741:X741,$M$3:$X$3,$M$2:$X$2),SUMPRODUCT(M741:X741,$M$4:$X$4,$M$2:$X$2))/(Y741/($K741*$L741)),"")</f>
        <v/>
      </c>
      <c r="AB741" s="18" t="n"/>
    </row>
    <row r="742">
      <c r="A742" s="9" t="n">
        <v>806873</v>
      </c>
      <c r="B742" s="9" t="inlineStr">
        <is>
          <t>Yael Romero</t>
        </is>
      </c>
      <c r="C742" s="9" t="inlineStr">
        <is>
          <t>CIN</t>
        </is>
      </c>
      <c r="D742" s="9" t="n">
        <v>25</v>
      </c>
      <c r="E742" s="16" t="inlineStr">
        <is>
          <t>L</t>
        </is>
      </c>
      <c r="F742" s="16" t="n"/>
      <c r="G742" s="9" t="n">
        <v>1.476923076923077</v>
      </c>
      <c r="H742" s="9" t="n">
        <v>1.476923076923077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3">
        <f>SUMPRODUCT(M742:X742,$M$2:$X$2)*$K742*$L742</f>
        <v/>
      </c>
      <c r="Z742" s="14">
        <f>SUM(M742:X742)</f>
        <v/>
      </c>
      <c r="AA742" s="14">
        <f>IFERROR(IF(UPPER($E742)="L",SUMPRODUCT(M742:X742,$M$3:$X$3,$M$2:$X$2),SUMPRODUCT(M742:X742,$M$4:$X$4,$M$2:$X$2))/(Y742/($K742*$L742)),"")</f>
        <v/>
      </c>
      <c r="AB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3">
        <f>SUMPRODUCT(M743:X743,$M$2:$X$2)*$K743*$L743</f>
        <v/>
      </c>
      <c r="Z743" s="14">
        <f>SUM(M743:X743)</f>
        <v/>
      </c>
      <c r="AA743" s="14">
        <f>IFERROR(IF(UPPER($E743)="L",SUMPRODUCT(M743:X743,$M$3:$X$3,$M$2:$X$2),SUMPRODUCT(M743:X743,$M$4:$X$4,$M$2:$X$2))/(Y743/($K743*$L743)),"")</f>
        <v/>
      </c>
      <c r="AB743" s="18" t="n"/>
    </row>
    <row r="744">
      <c r="A744" s="9" t="n">
        <v>806498</v>
      </c>
      <c r="B744" s="9" t="inlineStr">
        <is>
          <t>Cam Kozeal</t>
        </is>
      </c>
      <c r="C744" s="9" t="inlineStr">
        <is>
          <t>MIA</t>
        </is>
      </c>
      <c r="D744" s="9" t="n">
        <v>25</v>
      </c>
      <c r="E744" s="16" t="inlineStr">
        <is>
          <t>L</t>
        </is>
      </c>
      <c r="F744" s="16" t="n"/>
      <c r="G744" s="9" t="n">
        <v>5.907692307692308</v>
      </c>
      <c r="H744" s="9" t="n">
        <v>5.907692307692308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3">
        <f>SUMPRODUCT(M744:X744,$M$2:$X$2)*$K744*$L744</f>
        <v/>
      </c>
      <c r="Z744" s="14">
        <f>SUM(M744:X744)</f>
        <v/>
      </c>
      <c r="AA744" s="14">
        <f>IFERROR(IF(UPPER($E744)="L",SUMPRODUCT(M744:X744,$M$3:$X$3,$M$2:$X$2),SUMPRODUCT(M744:X744,$M$4:$X$4,$M$2:$X$2))/(Y744/($K744*$L744)),"")</f>
        <v/>
      </c>
      <c r="AB744" s="18" t="n"/>
    </row>
    <row r="745">
      <c r="A745" s="9" t="n">
        <v>660758</v>
      </c>
      <c r="B745" s="9" t="inlineStr">
        <is>
          <t>Sandro Fabian</t>
        </is>
      </c>
      <c r="C745" s="9" t="inlineStr">
        <is>
          <t>TEX</t>
        </is>
      </c>
      <c r="D745" s="9" t="n">
        <v>29</v>
      </c>
      <c r="E745" s="16" t="inlineStr">
        <is>
          <t>R</t>
        </is>
      </c>
      <c r="F745" s="16" t="n"/>
      <c r="G745" s="9" t="n">
        <v>5</v>
      </c>
      <c r="H745" s="9" t="n">
        <v>5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3">
        <f>SUMPRODUCT(M745:X745,$M$2:$X$2)*$K745*$L745</f>
        <v/>
      </c>
      <c r="Z745" s="14">
        <f>SUM(M745:X745)</f>
        <v/>
      </c>
      <c r="AA745" s="14">
        <f>IFERROR(IF(UPPER($E745)="L",SUMPRODUCT(M745:X745,$M$3:$X$3,$M$2:$X$2),SUMPRODUCT(M745:X745,$M$4:$X$4,$M$2:$X$2))/(Y745/($K745*$L745)),"")</f>
        <v/>
      </c>
      <c r="AB745" s="18" t="n"/>
    </row>
    <row r="746">
      <c r="A746" s="9" t="n">
        <v>518586</v>
      </c>
      <c r="B746" s="9" t="inlineStr">
        <is>
          <t>Charlie Culberson</t>
        </is>
      </c>
      <c r="C746" s="9" t="inlineStr">
        <is>
          <t>TEX</t>
        </is>
      </c>
      <c r="D746" s="9" t="n">
        <v>38</v>
      </c>
      <c r="E746" s="16" t="inlineStr">
        <is>
          <t>R</t>
        </is>
      </c>
      <c r="F746" s="16" t="n"/>
      <c r="G746" s="9" t="n">
        <v>1</v>
      </c>
      <c r="H746" s="9" t="n">
        <v>125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3">
        <f>SUMPRODUCT(M746:X746,$M$2:$X$2)*$K746*$L746</f>
        <v/>
      </c>
      <c r="Z746" s="14">
        <f>SUM(M746:X746)</f>
        <v/>
      </c>
      <c r="AA746" s="14">
        <f>IFERROR(IF(UPPER($E746)="L",SUMPRODUCT(M746:X746,$M$3:$X$3,$M$2:$X$2),SUMPRODUCT(M746:X746,$M$4:$X$4,$M$2:$X$2))/(Y746/($K746*$L746)),"")</f>
        <v/>
      </c>
      <c r="AB746" s="18" t="n"/>
    </row>
    <row r="747">
      <c r="A747" s="9" t="n">
        <v>806039</v>
      </c>
      <c r="B747" s="9" t="inlineStr">
        <is>
          <t>Drew Burress</t>
        </is>
      </c>
      <c r="C747" s="9" t="inlineStr">
        <is>
          <t>OAK</t>
        </is>
      </c>
      <c r="D747" s="9" t="n">
        <v>25</v>
      </c>
      <c r="E747" s="16" t="inlineStr">
        <is>
          <t>R</t>
        </is>
      </c>
      <c r="F747" s="16" t="n"/>
      <c r="G747" s="9" t="n">
        <v>16.36923076923077</v>
      </c>
      <c r="H747" s="9" t="n">
        <v>16.36923076923077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3">
        <f>SUMPRODUCT(M747:X747,$M$2:$X$2)*$K747*$L747</f>
        <v/>
      </c>
      <c r="Z747" s="14">
        <f>SUM(M747:X747)</f>
        <v/>
      </c>
      <c r="AA747" s="14">
        <f>IFERROR(IF(UPPER($E747)="L",SUMPRODUCT(M747:X747,$M$3:$X$3,$M$2:$X$2),SUMPRODUCT(M747:X747,$M$4:$X$4,$M$2:$X$2))/(Y747/($K747*$L747)),"")</f>
        <v/>
      </c>
      <c r="AB747" s="18" t="n"/>
    </row>
    <row r="748">
      <c r="A748" s="9" t="n">
        <v>828255</v>
      </c>
      <c r="B748" s="9" t="inlineStr">
        <is>
          <t>Ethan Conrad</t>
        </is>
      </c>
      <c r="C748" s="9" t="inlineStr">
        <is>
          <t>CHC</t>
        </is>
      </c>
      <c r="D748" s="9" t="n">
        <v>25</v>
      </c>
      <c r="E748" s="16" t="inlineStr">
        <is>
          <t>L</t>
        </is>
      </c>
      <c r="F748" s="16" t="n"/>
      <c r="G748" s="9" t="n">
        <v>1.641025641025641</v>
      </c>
      <c r="H748" s="9" t="n">
        <v>1.641025641025641</v>
      </c>
      <c r="I748" s="9" t="inlineStr">
        <is>
          <t>Depth (no MLB PA)</t>
        </is>
      </c>
      <c r="J748" s="16" t="inlineStr">
        <is>
          <t>Opening Day</t>
        </is>
      </c>
      <c r="K748" s="11">
        <f>IFERROR(INDEX(Roles!$B$17:$B$20,MATCH(J748,Roles!$A$17:$A$20,0)),1)</f>
        <v/>
      </c>
      <c r="L748" s="17" t="n">
        <v>1</v>
      </c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3">
        <f>SUMPRODUCT(M748:X748,$M$2:$X$2)*$K748*$L748</f>
        <v/>
      </c>
      <c r="Z748" s="14">
        <f>SUM(M748:X748)</f>
        <v/>
      </c>
      <c r="AA748" s="14">
        <f>IFERROR(IF(UPPER($E748)="L",SUMPRODUCT(M748:X748,$M$3:$X$3,$M$2:$X$2),SUMPRODUCT(M748:X748,$M$4:$X$4,$M$2:$X$2))/(Y748/($K748*$L748)),"")</f>
        <v/>
      </c>
      <c r="AB748" s="18" t="n"/>
    </row>
    <row r="749">
      <c r="A749" s="9" t="n">
        <v>836079</v>
      </c>
      <c r="B749" s="9" t="inlineStr">
        <is>
          <t>Rylan Mills</t>
        </is>
      </c>
      <c r="C749" s="9" t="inlineStr">
        <is>
          <t>MIL</t>
        </is>
      </c>
      <c r="D749" s="9" t="n">
        <v>25</v>
      </c>
      <c r="E749" s="16" t="inlineStr">
        <is>
          <t>R</t>
        </is>
      </c>
      <c r="F749" s="16" t="n"/>
      <c r="G749" s="9" t="n">
        <v>30.64615384615384</v>
      </c>
      <c r="H749" s="9" t="n">
        <v>30.64615384615384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3">
        <f>SUMPRODUCT(M749:X749,$M$2:$X$2)*$K749*$L749</f>
        <v/>
      </c>
      <c r="Z749" s="14">
        <f>SUM(M749:X749)</f>
        <v/>
      </c>
      <c r="AA749" s="14">
        <f>IFERROR(IF(UPPER($E749)="L",SUMPRODUCT(M749:X749,$M$3:$X$3,$M$2:$X$2),SUMPRODUCT(M749:X749,$M$4:$X$4,$M$2:$X$2))/(Y749/($K749*$L749)),"")</f>
        <v/>
      </c>
      <c r="AB749" s="18" t="n"/>
    </row>
    <row r="750">
      <c r="A750" s="9" t="n">
        <v>834582</v>
      </c>
      <c r="B750" s="9" t="inlineStr">
        <is>
          <t>Jack Collins</t>
        </is>
      </c>
      <c r="C750" s="9" t="inlineStr">
        <is>
          <t>TEX</t>
        </is>
      </c>
      <c r="D750" s="9" t="n">
        <v>25</v>
      </c>
      <c r="E750" s="16" t="inlineStr">
        <is>
          <t>R</t>
        </is>
      </c>
      <c r="F750" s="16" t="n"/>
      <c r="G750" s="9" t="n">
        <v>1.6</v>
      </c>
      <c r="H750" s="9" t="n">
        <v>1.6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3">
        <f>SUMPRODUCT(M750:X750,$M$2:$X$2)*$K750*$L750</f>
        <v/>
      </c>
      <c r="Z750" s="14">
        <f>SUM(M750:X750)</f>
        <v/>
      </c>
      <c r="AA750" s="14">
        <f>IFERROR(IF(UPPER($E750)="L",SUMPRODUCT(M750:X750,$M$3:$X$3,$M$2:$X$2),SUMPRODUCT(M750:X750,$M$4:$X$4,$M$2:$X$2))/(Y750/($K750*$L750)),"")</f>
        <v/>
      </c>
      <c r="AB750" s="18" t="n"/>
    </row>
    <row r="751">
      <c r="A751" s="9" t="n">
        <v>825159</v>
      </c>
      <c r="B751" s="9" t="inlineStr">
        <is>
          <t>Yunior Amparo</t>
        </is>
      </c>
      <c r="C751" s="9" t="inlineStr">
        <is>
          <t>NYM</t>
        </is>
      </c>
      <c r="D751" s="9" t="n">
        <v>25</v>
      </c>
      <c r="E751" s="16" t="inlineStr">
        <is>
          <t>R</t>
        </is>
      </c>
      <c r="F751" s="16" t="n"/>
      <c r="G751" s="9" t="n">
        <v>1.723076923076923</v>
      </c>
      <c r="H751" s="9" t="n">
        <v>1.723076923076923</v>
      </c>
      <c r="I751" s="9" t="inlineStr">
        <is>
          <t>Depth (no MLB PA)</t>
        </is>
      </c>
      <c r="J751" s="16" t="inlineStr">
        <is>
          <t>Opening Day</t>
        </is>
      </c>
      <c r="K751" s="11">
        <f>IFERROR(INDEX(Roles!$B$17:$B$20,MATCH(J751,Roles!$A$17:$A$20,0)),1)</f>
        <v/>
      </c>
      <c r="L751" s="17" t="n">
        <v>1</v>
      </c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3">
        <f>SUMPRODUCT(M751:X751,$M$2:$X$2)*$K751*$L751</f>
        <v/>
      </c>
      <c r="Z751" s="14">
        <f>SUM(M751:X751)</f>
        <v/>
      </c>
      <c r="AA751" s="14">
        <f>IFERROR(IF(UPPER($E751)="L",SUMPRODUCT(M751:X751,$M$3:$X$3,$M$2:$X$2),SUMPRODUCT(M751:X751,$M$4:$X$4,$M$2:$X$2))/(Y751/($K751*$L751)),"")</f>
        <v/>
      </c>
      <c r="AB751" s="18" t="n"/>
    </row>
    <row r="752">
      <c r="A752" s="9" t="n">
        <v>806273</v>
      </c>
      <c r="B752" s="9" t="inlineStr">
        <is>
          <t>Adam Retzbach</t>
        </is>
      </c>
      <c r="C752" s="9" t="inlineStr">
        <is>
          <t>BAL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3">
        <f>SUMPRODUCT(M752:X752,$M$2:$X$2)*$K752*$L752</f>
        <v/>
      </c>
      <c r="Z752" s="14">
        <f>SUM(M752:X752)</f>
        <v/>
      </c>
      <c r="AA752" s="14">
        <f>IFERROR(IF(UPPER($E752)="L",SUMPRODUCT(M752:X752,$M$3:$X$3,$M$2:$X$2),SUMPRODUCT(M752:X752,$M$4:$X$4,$M$2:$X$2))/(Y752/($K752*$L752)),"")</f>
        <v/>
      </c>
      <c r="AB752" s="18" t="n"/>
    </row>
    <row r="753">
      <c r="A753" s="9" t="n">
        <v>692944</v>
      </c>
      <c r="B753" s="9" t="inlineStr">
        <is>
          <t>Kevin Villavicencio</t>
        </is>
      </c>
      <c r="C753" s="9" t="inlineStr">
        <is>
          <t>NYM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3">
        <f>SUMPRODUCT(M753:X753,$M$2:$X$2)*$K753*$L753</f>
        <v/>
      </c>
      <c r="Z753" s="14">
        <f>SUM(M753:X753)</f>
        <v/>
      </c>
      <c r="AA753" s="14">
        <f>IFERROR(IF(UPPER($E753)="L",SUMPRODUCT(M753:X753,$M$3:$X$3,$M$2:$X$2),SUMPRODUCT(M753:X753,$M$4:$X$4,$M$2:$X$2))/(Y753/($K753*$L753)),"")</f>
        <v/>
      </c>
      <c r="AB753" s="18" t="n"/>
    </row>
    <row r="754">
      <c r="A754" s="9" t="n">
        <v>698973</v>
      </c>
      <c r="B754" s="9" t="inlineStr">
        <is>
          <t>Jose Astudillo</t>
        </is>
      </c>
      <c r="C754" s="9" t="inlineStr">
        <is>
          <t>SF</t>
        </is>
      </c>
      <c r="D754" s="9" t="n">
        <v>25</v>
      </c>
      <c r="E754" s="16" t="inlineStr">
        <is>
          <t>R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3">
        <f>SUMPRODUCT(M754:X754,$M$2:$X$2)*$K754*$L754</f>
        <v/>
      </c>
      <c r="Z754" s="14">
        <f>SUM(M754:X754)</f>
        <v/>
      </c>
      <c r="AA754" s="14">
        <f>IFERROR(IF(UPPER($E754)="L",SUMPRODUCT(M754:X754,$M$3:$X$3,$M$2:$X$2),SUMPRODUCT(M754:X754,$M$4:$X$4,$M$2:$X$2))/(Y754/($K754*$L754)),"")</f>
        <v/>
      </c>
      <c r="AB754" s="18" t="n"/>
    </row>
    <row r="755">
      <c r="A755" s="9" t="n">
        <v>825891</v>
      </c>
      <c r="B755" s="9" t="inlineStr">
        <is>
          <t>Trevor Condon</t>
        </is>
      </c>
      <c r="C755" s="9" t="inlineStr">
        <is>
          <t>STL</t>
        </is>
      </c>
      <c r="D755" s="9" t="n">
        <v>25</v>
      </c>
      <c r="E755" s="16" t="inlineStr">
        <is>
          <t>L</t>
        </is>
      </c>
      <c r="F755" s="16" t="n"/>
      <c r="G755" s="9" t="n">
        <v>3.815384615384615</v>
      </c>
      <c r="H755" s="9" t="n">
        <v>3.815384615384615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3">
        <f>SUMPRODUCT(M755:X755,$M$2:$X$2)*$K755*$L755</f>
        <v/>
      </c>
      <c r="Z755" s="14">
        <f>SUM(M755:X755)</f>
        <v/>
      </c>
      <c r="AA755" s="14">
        <f>IFERROR(IF(UPPER($E755)="L",SUMPRODUCT(M755:X755,$M$3:$X$3,$M$2:$X$2),SUMPRODUCT(M755:X755,$M$4:$X$4,$M$2:$X$2))/(Y755/($K755*$L755)),"")</f>
        <v/>
      </c>
      <c r="AB755" s="18" t="n"/>
    </row>
    <row r="756">
      <c r="A756" s="9" t="n">
        <v>691710</v>
      </c>
      <c r="B756" s="9" t="inlineStr">
        <is>
          <t>Vincent Perozo</t>
        </is>
      </c>
      <c r="C756" s="9" t="inlineStr">
        <is>
          <t>NYM</t>
        </is>
      </c>
      <c r="D756" s="9" t="n">
        <v>25</v>
      </c>
      <c r="E756" s="16" t="inlineStr">
        <is>
          <t>L</t>
        </is>
      </c>
      <c r="F756" s="16" t="n"/>
      <c r="G756" s="9" t="n">
        <v>1.692307692307692</v>
      </c>
      <c r="H756" s="9" t="n">
        <v>1.692307692307692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3">
        <f>SUMPRODUCT(M756:X756,$M$2:$X$2)*$K756*$L756</f>
        <v/>
      </c>
      <c r="Z756" s="14">
        <f>SUM(M756:X756)</f>
        <v/>
      </c>
      <c r="AA756" s="14">
        <f>IFERROR(IF(UPPER($E756)="L",SUMPRODUCT(M756:X756,$M$3:$X$3,$M$2:$X$2),SUMPRODUCT(M756:X756,$M$4:$X$4,$M$2:$X$2))/(Y756/($K756*$L756)),"")</f>
        <v/>
      </c>
      <c r="AB756" s="18" t="n"/>
    </row>
    <row r="757">
      <c r="A757" s="9" t="n">
        <v>842420</v>
      </c>
      <c r="B757" s="9" t="inlineStr">
        <is>
          <t>Dominic Kibler</t>
        </is>
      </c>
      <c r="C757" s="9" t="inlineStr">
        <is>
          <t>ATL</t>
        </is>
      </c>
      <c r="D757" s="9" t="n">
        <v>25</v>
      </c>
      <c r="E757" s="16" t="inlineStr">
        <is>
          <t>L</t>
        </is>
      </c>
      <c r="F757" s="16" t="n"/>
      <c r="G757" s="9" t="n">
        <v>3.815384615384615</v>
      </c>
      <c r="H757" s="9" t="n">
        <v>3.815384615384615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3">
        <f>SUMPRODUCT(M757:X757,$M$2:$X$2)*$K757*$L757</f>
        <v/>
      </c>
      <c r="Z757" s="14">
        <f>SUM(M757:X757)</f>
        <v/>
      </c>
      <c r="AA757" s="14">
        <f>IFERROR(IF(UPPER($E757)="L",SUMPRODUCT(M757:X757,$M$3:$X$3,$M$2:$X$2),SUMPRODUCT(M757:X757,$M$4:$X$4,$M$2:$X$2))/(Y757/($K757*$L757)),"")</f>
        <v/>
      </c>
      <c r="AB757" s="18" t="n"/>
    </row>
    <row r="758">
      <c r="A758" s="9" t="n">
        <v>821933</v>
      </c>
      <c r="B758" s="9" t="inlineStr">
        <is>
          <t>Landon Hodge</t>
        </is>
      </c>
      <c r="C758" s="9" t="inlineStr">
        <is>
          <t>CWS</t>
        </is>
      </c>
      <c r="D758" s="9" t="n">
        <v>25</v>
      </c>
      <c r="E758" s="16" t="inlineStr">
        <is>
          <t>L</t>
        </is>
      </c>
      <c r="F758" s="16" t="n"/>
      <c r="G758" s="9" t="n">
        <v>1.723076923076923</v>
      </c>
      <c r="H758" s="9" t="n">
        <v>1.723076923076923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3">
        <f>SUMPRODUCT(M758:X758,$M$2:$X$2)*$K758*$L758</f>
        <v/>
      </c>
      <c r="Z758" s="14">
        <f>SUM(M758:X758)</f>
        <v/>
      </c>
      <c r="AA758" s="14">
        <f>IFERROR(IF(UPPER($E758)="L",SUMPRODUCT(M758:X758,$M$3:$X$3,$M$2:$X$2),SUMPRODUCT(M758:X758,$M$4:$X$4,$M$2:$X$2))/(Y758/($K758*$L758)),"")</f>
        <v/>
      </c>
      <c r="AB758" s="18" t="n"/>
    </row>
    <row r="759">
      <c r="A759" s="9" t="n">
        <v>801346</v>
      </c>
      <c r="B759" s="9" t="inlineStr">
        <is>
          <t>Luis Hernandez</t>
        </is>
      </c>
      <c r="C759" s="9" t="inlineStr">
        <is>
          <t>MIN</t>
        </is>
      </c>
      <c r="D759" s="9" t="n">
        <v>25</v>
      </c>
      <c r="E759" s="16" t="inlineStr">
        <is>
          <t>R</t>
        </is>
      </c>
      <c r="F759" s="16" t="n"/>
      <c r="G759" s="9" t="n">
        <v>1.692307692307692</v>
      </c>
      <c r="H759" s="9" t="n">
        <v>1.692307692307692</v>
      </c>
      <c r="I759" s="9" t="inlineStr">
        <is>
          <t>Depth (no MLB PA)</t>
        </is>
      </c>
      <c r="J759" s="16" t="inlineStr">
        <is>
          <t>Opening Day</t>
        </is>
      </c>
      <c r="K759" s="11">
        <f>IFERROR(INDEX(Roles!$B$17:$B$20,MATCH(J759,Roles!$A$17:$A$20,0)),1)</f>
        <v/>
      </c>
      <c r="L759" s="17" t="n">
        <v>1</v>
      </c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3">
        <f>SUMPRODUCT(M759:X759,$M$2:$X$2)*$K759*$L759</f>
        <v/>
      </c>
      <c r="Z759" s="14">
        <f>SUM(M759:X759)</f>
        <v/>
      </c>
      <c r="AA759" s="14">
        <f>IFERROR(IF(UPPER($E759)="L",SUMPRODUCT(M759:X759,$M$3:$X$3,$M$2:$X$2),SUMPRODUCT(M759:X759,$M$4:$X$4,$M$2:$X$2))/(Y759/($K759*$L759)),"")</f>
        <v/>
      </c>
      <c r="AB759" s="18" t="n"/>
    </row>
    <row r="760">
      <c r="A760" s="9" t="n">
        <v>694565</v>
      </c>
      <c r="B760" s="9" t="inlineStr">
        <is>
          <t>Alex Stone</t>
        </is>
      </c>
      <c r="C760" s="9" t="inlineStr">
        <is>
          <t>TOR</t>
        </is>
      </c>
      <c r="D760" s="9" t="n">
        <v>25</v>
      </c>
      <c r="E760" s="16" t="inlineStr">
        <is>
          <t>R</t>
        </is>
      </c>
      <c r="F760" s="16" t="n"/>
      <c r="G760" s="9" t="n">
        <v>1.692307692307692</v>
      </c>
      <c r="H760" s="9" t="n">
        <v>1.692307692307692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3">
        <f>SUMPRODUCT(M760:X760,$M$2:$X$2)*$K760*$L760</f>
        <v/>
      </c>
      <c r="Z760" s="14">
        <f>SUM(M760:X760)</f>
        <v/>
      </c>
      <c r="AA760" s="14">
        <f>IFERROR(IF(UPPER($E760)="L",SUMPRODUCT(M760:X760,$M$3:$X$3,$M$2:$X$2),SUMPRODUCT(M760:X760,$M$4:$X$4,$M$2:$X$2))/(Y760/($K760*$L760)),"")</f>
        <v/>
      </c>
      <c r="AB760" s="18" t="n"/>
    </row>
    <row r="761">
      <c r="A761" s="9" t="n">
        <v>676560</v>
      </c>
      <c r="B761" s="9" t="inlineStr">
        <is>
          <t>Hemmanuel Rosario</t>
        </is>
      </c>
      <c r="C761" s="9" t="inlineStr">
        <is>
          <t>HOU</t>
        </is>
      </c>
      <c r="D761" s="9" t="n">
        <v>25</v>
      </c>
      <c r="E761" s="16" t="inlineStr">
        <is>
          <t>R</t>
        </is>
      </c>
      <c r="F761" s="16" t="n"/>
      <c r="G761" s="9" t="n">
        <v>1.692307692307692</v>
      </c>
      <c r="H761" s="9" t="n">
        <v>1.692307692307692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3">
        <f>SUMPRODUCT(M761:X761,$M$2:$X$2)*$K761*$L761</f>
        <v/>
      </c>
      <c r="Z761" s="14">
        <f>SUM(M761:X761)</f>
        <v/>
      </c>
      <c r="AA761" s="14">
        <f>IFERROR(IF(UPPER($E761)="L",SUMPRODUCT(M761:X761,$M$3:$X$3,$M$2:$X$2),SUMPRODUCT(M761:X761,$M$4:$X$4,$M$2:$X$2))/(Y761/($K761*$L761)),"")</f>
        <v/>
      </c>
      <c r="AB761" s="18" t="n"/>
    </row>
    <row r="762">
      <c r="A762" s="9" t="n">
        <v>809452</v>
      </c>
      <c r="B762" s="9" t="inlineStr">
        <is>
          <t>Damian Ruiz</t>
        </is>
      </c>
      <c r="C762" s="9" t="inlineStr">
        <is>
          <t>CIN</t>
        </is>
      </c>
      <c r="D762" s="9" t="n">
        <v>25</v>
      </c>
      <c r="E762" s="16" t="inlineStr">
        <is>
          <t>R</t>
        </is>
      </c>
      <c r="F762" s="16" t="n"/>
      <c r="G762" s="9" t="n">
        <v>9.846153846153848</v>
      </c>
      <c r="H762" s="9" t="n">
        <v>9.846153846153848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3">
        <f>SUMPRODUCT(M762:X762,$M$2:$X$2)*$K762*$L762</f>
        <v/>
      </c>
      <c r="Z762" s="14">
        <f>SUM(M762:X762)</f>
        <v/>
      </c>
      <c r="AA762" s="14">
        <f>IFERROR(IF(UPPER($E762)="L",SUMPRODUCT(M762:X762,$M$3:$X$3,$M$2:$X$2),SUMPRODUCT(M762:X762,$M$4:$X$4,$M$2:$X$2))/(Y762/($K762*$L762)),"")</f>
        <v/>
      </c>
      <c r="AB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3">
        <f>SUMPRODUCT(M763:X763,$M$2:$X$2)*$K763*$L763</f>
        <v/>
      </c>
      <c r="Z763" s="14">
        <f>SUM(M763:X763)</f>
        <v/>
      </c>
      <c r="AA763" s="14">
        <f>IFERROR(IF(UPPER($E763)="L",SUMPRODUCT(M763:X763,$M$3:$X$3,$M$2:$X$2),SUMPRODUCT(M763:X763,$M$4:$X$4,$M$2:$X$2))/(Y763/($K763*$L763)),"")</f>
        <v/>
      </c>
      <c r="AB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25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Opening Day</t>
        </is>
      </c>
      <c r="K764" s="11">
        <f>IFERROR(INDEX(Roles!$B$17:$B$20,MATCH(J764,Roles!$A$17:$A$20,0)),1)</f>
        <v/>
      </c>
      <c r="L764" s="17" t="n">
        <v>1</v>
      </c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3">
        <f>SUMPRODUCT(M764:X764,$M$2:$X$2)*$K764*$L764</f>
        <v/>
      </c>
      <c r="Z764" s="14">
        <f>SUM(M764:X764)</f>
        <v/>
      </c>
      <c r="AA764" s="14">
        <f>IFERROR(IF(UPPER($E764)="L",SUMPRODUCT(M764:X764,$M$3:$X$3,$M$2:$X$2),SUMPRODUCT(M764:X764,$M$4:$X$4,$M$2:$X$2))/(Y764/($K764*$L764)),"")</f>
        <v/>
      </c>
      <c r="AB764" s="18" t="n"/>
    </row>
    <row r="765">
      <c r="A765" s="9" t="n">
        <v>829191</v>
      </c>
      <c r="B765" s="9" t="inlineStr">
        <is>
          <t>Joephillip Guzman</t>
        </is>
      </c>
      <c r="C765" s="9" t="inlineStr">
        <is>
          <t>BAL</t>
        </is>
      </c>
      <c r="D765" s="9" t="n">
        <v>25</v>
      </c>
      <c r="E765" s="16" t="inlineStr">
        <is>
          <t>R</t>
        </is>
      </c>
      <c r="F765" s="16" t="n"/>
      <c r="G765" s="9" t="n">
        <v>1.846153846153846</v>
      </c>
      <c r="H765" s="9" t="n">
        <v>1.846153846153846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3">
        <f>SUMPRODUCT(M765:X765,$M$2:$X$2)*$K765*$L765</f>
        <v/>
      </c>
      <c r="Z765" s="14">
        <f>SUM(M765:X765)</f>
        <v/>
      </c>
      <c r="AA765" s="14">
        <f>IFERROR(IF(UPPER($E765)="L",SUMPRODUCT(M765:X765,$M$3:$X$3,$M$2:$X$2),SUMPRODUCT(M765:X765,$M$4:$X$4,$M$2:$X$2))/(Y765/($K765*$L765)),"")</f>
        <v/>
      </c>
      <c r="AB765" s="18" t="n"/>
    </row>
    <row r="766">
      <c r="A766" s="9" t="n">
        <v>804133</v>
      </c>
      <c r="B766" s="9" t="inlineStr">
        <is>
          <t>Braden Holcomb</t>
        </is>
      </c>
      <c r="C766" s="9" t="inlineStr">
        <is>
          <t>CWS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3">
        <f>SUMPRODUCT(M766:X766,$M$2:$X$2)*$K766*$L766</f>
        <v/>
      </c>
      <c r="Z766" s="14">
        <f>SUM(M766:X766)</f>
        <v/>
      </c>
      <c r="AA766" s="14">
        <f>IFERROR(IF(UPPER($E766)="L",SUMPRODUCT(M766:X766,$M$3:$X$3,$M$2:$X$2),SUMPRODUCT(M766:X766,$M$4:$X$4,$M$2:$X$2))/(Y766/($K766*$L766)),"")</f>
        <v/>
      </c>
      <c r="AB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25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Opening Day</t>
        </is>
      </c>
      <c r="K767" s="11">
        <f>IFERROR(INDEX(Roles!$B$17:$B$20,MATCH(J767,Roles!$A$17:$A$20,0)),1)</f>
        <v/>
      </c>
      <c r="L767" s="17" t="n">
        <v>1</v>
      </c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3">
        <f>SUMPRODUCT(M767:X767,$M$2:$X$2)*$K767*$L767</f>
        <v/>
      </c>
      <c r="Z767" s="14">
        <f>SUM(M767:X767)</f>
        <v/>
      </c>
      <c r="AA767" s="14">
        <f>IFERROR(IF(UPPER($E767)="L",SUMPRODUCT(M767:X767,$M$3:$X$3,$M$2:$X$2),SUMPRODUCT(M767:X767,$M$4:$X$4,$M$2:$X$2))/(Y767/($K767*$L767)),"")</f>
        <v/>
      </c>
      <c r="AB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3">
        <f>SUMPRODUCT(M768:X768,$M$2:$X$2)*$K768*$L768</f>
        <v/>
      </c>
      <c r="Z768" s="14">
        <f>SUM(M768:X768)</f>
        <v/>
      </c>
      <c r="AA768" s="14">
        <f>IFERROR(IF(UPPER($E768)="L",SUMPRODUCT(M768:X768,$M$3:$X$3,$M$2:$X$2),SUMPRODUCT(M768:X768,$M$4:$X$4,$M$2:$X$2))/(Y768/($K768*$L768)),"")</f>
        <v/>
      </c>
      <c r="AB768" s="18" t="n"/>
    </row>
    <row r="769">
      <c r="A769" s="9" t="n">
        <v>815924</v>
      </c>
      <c r="B769" s="9" t="inlineStr">
        <is>
          <t>Eduardo Beltre</t>
        </is>
      </c>
      <c r="C769" s="9" t="inlineStr">
        <is>
          <t>MIN</t>
        </is>
      </c>
      <c r="D769" s="9" t="n">
        <v>25</v>
      </c>
      <c r="E769" s="16" t="inlineStr">
        <is>
          <t>R</t>
        </is>
      </c>
      <c r="F769" s="16" t="n"/>
      <c r="G769" s="9" t="n">
        <v>8.246153846153845</v>
      </c>
      <c r="H769" s="9" t="n">
        <v>8.246153846153845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3">
        <f>SUMPRODUCT(M769:X769,$M$2:$X$2)*$K769*$L769</f>
        <v/>
      </c>
      <c r="Z769" s="14">
        <f>SUM(M769:X769)</f>
        <v/>
      </c>
      <c r="AA769" s="14">
        <f>IFERROR(IF(UPPER($E769)="L",SUMPRODUCT(M769:X769,$M$3:$X$3,$M$2:$X$2),SUMPRODUCT(M769:X769,$M$4:$X$4,$M$2:$X$2))/(Y769/($K769*$L769)),"")</f>
        <v/>
      </c>
      <c r="AB769" s="18" t="n"/>
    </row>
    <row r="770">
      <c r="A770" s="9" t="n">
        <v>541645</v>
      </c>
      <c r="B770" s="9" t="inlineStr">
        <is>
          <t>Avisaíl García</t>
        </is>
      </c>
      <c r="C770" s="9" t="inlineStr">
        <is>
          <t>MIA</t>
        </is>
      </c>
      <c r="D770" s="9" t="n">
        <v>36</v>
      </c>
      <c r="E770" s="16" t="inlineStr">
        <is>
          <t>R</t>
        </is>
      </c>
      <c r="F770" s="16" t="n"/>
      <c r="G770" s="9" t="n">
        <v>51</v>
      </c>
      <c r="H770" s="9" t="n">
        <v>549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3">
        <f>SUMPRODUCT(M770:X770,$M$2:$X$2)*$K770*$L770</f>
        <v/>
      </c>
      <c r="Z770" s="14">
        <f>SUM(M770:X770)</f>
        <v/>
      </c>
      <c r="AA770" s="14">
        <f>IFERROR(IF(UPPER($E770)="L",SUMPRODUCT(M770:X770,$M$3:$X$3,$M$2:$X$2),SUMPRODUCT(M770:X770,$M$4:$X$4,$M$2:$X$2))/(Y770/($K770*$L770)),"")</f>
        <v/>
      </c>
      <c r="AB770" s="18" t="n"/>
    </row>
    <row r="771">
      <c r="A771" s="9" t="n">
        <v>656775</v>
      </c>
      <c r="B771" s="9" t="inlineStr">
        <is>
          <t>Cedric Mullins</t>
        </is>
      </c>
      <c r="C771" s="9" t="inlineStr">
        <is>
          <t>TB</t>
        </is>
      </c>
      <c r="D771" s="9" t="n">
        <v>32</v>
      </c>
      <c r="E771" s="16" t="inlineStr">
        <is>
          <t>L</t>
        </is>
      </c>
      <c r="F771" s="16" t="n"/>
      <c r="G771" s="9" t="n">
        <v>502</v>
      </c>
      <c r="H771" s="9" t="n">
        <v>2626</v>
      </c>
      <c r="I771" s="9" t="inlineStr">
        <is>
          <t>Full Time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3">
        <f>SUMPRODUCT(M771:X771,$M$2:$X$2)*$K771*$L771</f>
        <v/>
      </c>
      <c r="Z771" s="14">
        <f>SUM(M771:X771)</f>
        <v/>
      </c>
      <c r="AA771" s="14">
        <f>IFERROR(IF(UPPER($E771)="L",SUMPRODUCT(M771:X771,$M$3:$X$3,$M$2:$X$2),SUMPRODUCT(M771:X771,$M$4:$X$4,$M$2:$X$2))/(Y771/($K771*$L771)),"")</f>
        <v/>
      </c>
      <c r="AB771" s="18" t="n"/>
    </row>
    <row r="772">
      <c r="A772" s="9" t="n">
        <v>815011</v>
      </c>
      <c r="B772" s="9" t="inlineStr">
        <is>
          <t>Henniel Alcala</t>
        </is>
      </c>
      <c r="C772" s="9" t="inlineStr">
        <is>
          <t>CHC</t>
        </is>
      </c>
      <c r="D772" s="9" t="n">
        <v>25</v>
      </c>
      <c r="E772" s="16" t="inlineStr">
        <is>
          <t>R</t>
        </is>
      </c>
      <c r="F772" s="16" t="n"/>
      <c r="G772" s="9" t="n">
        <v>4.061538461538461</v>
      </c>
      <c r="H772" s="9" t="n">
        <v>4.061538461538461</v>
      </c>
      <c r="I772" s="9" t="inlineStr">
        <is>
          <t>Depth (no MLB PA)</t>
        </is>
      </c>
      <c r="J772" s="16" t="inlineStr">
        <is>
          <t>Opening Day</t>
        </is>
      </c>
      <c r="K772" s="11">
        <f>IFERROR(INDEX(Roles!$B$17:$B$20,MATCH(J772,Roles!$A$17:$A$20,0)),1)</f>
        <v/>
      </c>
      <c r="L772" s="17" t="n">
        <v>1</v>
      </c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3">
        <f>SUMPRODUCT(M772:X772,$M$2:$X$2)*$K772*$L772</f>
        <v/>
      </c>
      <c r="Z772" s="14">
        <f>SUM(M772:X772)</f>
        <v/>
      </c>
      <c r="AA772" s="14">
        <f>IFERROR(IF(UPPER($E772)="L",SUMPRODUCT(M772:X772,$M$3:$X$3,$M$2:$X$2),SUMPRODUCT(M772:X772,$M$4:$X$4,$M$2:$X$2))/(Y772/($K772*$L772)),"")</f>
        <v/>
      </c>
      <c r="AB772" s="18" t="n"/>
    </row>
    <row r="773">
      <c r="A773" s="9" t="n">
        <v>807383</v>
      </c>
      <c r="B773" s="9" t="inlineStr">
        <is>
          <t>Randy Guzman</t>
        </is>
      </c>
      <c r="C773" s="9" t="inlineStr">
        <is>
          <t>NYM</t>
        </is>
      </c>
      <c r="D773" s="9" t="n">
        <v>25</v>
      </c>
      <c r="E773" s="16" t="inlineStr">
        <is>
          <t>R</t>
        </is>
      </c>
      <c r="F773" s="16" t="n"/>
      <c r="G773" s="9" t="n">
        <v>6.153846153846154</v>
      </c>
      <c r="H773" s="9" t="n">
        <v>6.153846153846154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3">
        <f>SUMPRODUCT(M773:X773,$M$2:$X$2)*$K773*$L773</f>
        <v/>
      </c>
      <c r="Z773" s="14">
        <f>SUM(M773:X773)</f>
        <v/>
      </c>
      <c r="AA773" s="14">
        <f>IFERROR(IF(UPPER($E773)="L",SUMPRODUCT(M773:X773,$M$3:$X$3,$M$2:$X$2),SUMPRODUCT(M773:X773,$M$4:$X$4,$M$2:$X$2))/(Y773/($K773*$L773)),"")</f>
        <v/>
      </c>
      <c r="AB773" s="18" t="n"/>
    </row>
    <row r="774">
      <c r="A774" s="9" t="n">
        <v>679972</v>
      </c>
      <c r="B774" s="9" t="inlineStr">
        <is>
          <t>Arturo De Freitas</t>
        </is>
      </c>
      <c r="C774" s="9" t="inlineStr">
        <is>
          <t>TEX</t>
        </is>
      </c>
      <c r="D774" s="9" t="n">
        <v>25</v>
      </c>
      <c r="E774" s="16" t="inlineStr">
        <is>
          <t>R</t>
        </is>
      </c>
      <c r="F774" s="16" t="n"/>
      <c r="G774" s="9" t="n">
        <v>22.15384615384616</v>
      </c>
      <c r="H774" s="9" t="n">
        <v>22.15384615384616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3">
        <f>SUMPRODUCT(M774:X774,$M$2:$X$2)*$K774*$L774</f>
        <v/>
      </c>
      <c r="Z774" s="14">
        <f>SUM(M774:X774)</f>
        <v/>
      </c>
      <c r="AA774" s="14">
        <f>IFERROR(IF(UPPER($E774)="L",SUMPRODUCT(M774:X774,$M$3:$X$3,$M$2:$X$2),SUMPRODUCT(M774:X774,$M$4:$X$4,$M$2:$X$2))/(Y774/($K774*$L774)),"")</f>
        <v/>
      </c>
      <c r="AB774" s="18" t="n"/>
    </row>
    <row r="775">
      <c r="A775" s="9" t="n">
        <v>700385</v>
      </c>
      <c r="B775" s="9" t="inlineStr">
        <is>
          <t>Gabriel Silva</t>
        </is>
      </c>
      <c r="C775" s="9" t="inlineStr">
        <is>
          <t>KC</t>
        </is>
      </c>
      <c r="D775" s="9" t="n">
        <v>25</v>
      </c>
      <c r="E775" s="16" t="inlineStr">
        <is>
          <t>R</t>
        </is>
      </c>
      <c r="F775" s="16" t="n"/>
      <c r="G775" s="9" t="n">
        <v>8.36923076923077</v>
      </c>
      <c r="H775" s="9" t="n">
        <v>8.36923076923077</v>
      </c>
      <c r="I775" s="9" t="inlineStr">
        <is>
          <t>Depth (no MLB PA)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/>
      <c r="W775" s="17" t="n"/>
      <c r="X775" s="17" t="n"/>
      <c r="Y775" s="13">
        <f>SUMPRODUCT(M775:X775,$M$2:$X$2)*$K775*$L775</f>
        <v/>
      </c>
      <c r="Z775" s="14">
        <f>SUM(M775:X775)</f>
        <v/>
      </c>
      <c r="AA775" s="14">
        <f>IFERROR(IF(UPPER($E775)="L",SUMPRODUCT(M775:X775,$M$3:$X$3,$M$2:$X$2),SUMPRODUCT(M775:X775,$M$4:$X$4,$M$2:$X$2))/(Y775/($K775*$L775)),"")</f>
        <v/>
      </c>
      <c r="AB775" s="18" t="n"/>
    </row>
    <row r="776">
      <c r="A776" s="9" t="n">
        <v>830337</v>
      </c>
      <c r="B776" s="9" t="inlineStr">
        <is>
          <t>Ben Tryon</t>
        </is>
      </c>
      <c r="C776" s="9" t="inlineStr">
        <is>
          <t>HOU</t>
        </is>
      </c>
      <c r="D776" s="9" t="n">
        <v>25</v>
      </c>
      <c r="E776" s="16" t="inlineStr">
        <is>
          <t>L</t>
        </is>
      </c>
      <c r="F776" s="16" t="n"/>
      <c r="G776" s="9" t="n">
        <v>6.276923076923077</v>
      </c>
      <c r="H776" s="9" t="n">
        <v>6.276923076923077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3">
        <f>SUMPRODUCT(M776:X776,$M$2:$X$2)*$K776*$L776</f>
        <v/>
      </c>
      <c r="Z776" s="14">
        <f>SUM(M776:X776)</f>
        <v/>
      </c>
      <c r="AA776" s="14">
        <f>IFERROR(IF(UPPER($E776)="L",SUMPRODUCT(M776:X776,$M$3:$X$3,$M$2:$X$2),SUMPRODUCT(M776:X776,$M$4:$X$4,$M$2:$X$2))/(Y776/($K776*$L776)),"")</f>
        <v/>
      </c>
      <c r="AB776" s="18" t="n"/>
    </row>
    <row r="777">
      <c r="A777" s="9" t="n">
        <v>806025</v>
      </c>
      <c r="B777" s="9" t="inlineStr">
        <is>
          <t>Brayden Bakes</t>
        </is>
      </c>
      <c r="C777" s="9" t="inlineStr">
        <is>
          <t>PHI</t>
        </is>
      </c>
      <c r="D777" s="9" t="n">
        <v>25</v>
      </c>
      <c r="E777" s="16" t="inlineStr">
        <is>
          <t>L</t>
        </is>
      </c>
      <c r="F777" s="16" t="n"/>
      <c r="G777" s="9" t="n">
        <v>6.276923076923077</v>
      </c>
      <c r="H777" s="9" t="n">
        <v>6.276923076923077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3">
        <f>SUMPRODUCT(M777:X777,$M$2:$X$2)*$K777*$L777</f>
        <v/>
      </c>
      <c r="Z777" s="14">
        <f>SUM(M777:X777)</f>
        <v/>
      </c>
      <c r="AA777" s="14">
        <f>IFERROR(IF(UPPER($E777)="L",SUMPRODUCT(M777:X777,$M$3:$X$3,$M$2:$X$2),SUMPRODUCT(M777:X777,$M$4:$X$4,$M$2:$X$2))/(Y777/($K777*$L777)),"")</f>
        <v/>
      </c>
      <c r="AB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3">
        <f>SUMPRODUCT(M778:X778,$M$2:$X$2)*$K778*$L778</f>
        <v/>
      </c>
      <c r="Z778" s="14">
        <f>SUM(M778:X778)</f>
        <v/>
      </c>
      <c r="AA778" s="14">
        <f>IFERROR(IF(UPPER($E778)="L",SUMPRODUCT(M778:X778,$M$3:$X$3,$M$2:$X$2),SUMPRODUCT(M778:X778,$M$4:$X$4,$M$2:$X$2))/(Y778/($K778*$L778)),"")</f>
        <v/>
      </c>
      <c r="AB778" s="18" t="n"/>
    </row>
    <row r="779">
      <c r="A779" s="9" t="n">
        <v>824765</v>
      </c>
      <c r="B779" s="9" t="inlineStr">
        <is>
          <t>Michael Martinez</t>
        </is>
      </c>
      <c r="C779" s="9" t="inlineStr">
        <is>
          <t>ATL</t>
        </is>
      </c>
      <c r="D779" s="9" t="n">
        <v>25</v>
      </c>
      <c r="E779" s="16" t="inlineStr">
        <is>
          <t>R</t>
        </is>
      </c>
      <c r="F779" s="16" t="n"/>
      <c r="G779" s="9" t="n">
        <v>16.73846153846154</v>
      </c>
      <c r="H779" s="9" t="n">
        <v>16.73846153846154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3">
        <f>SUMPRODUCT(M779:X779,$M$2:$X$2)*$K779*$L779</f>
        <v/>
      </c>
      <c r="Z779" s="14">
        <f>SUM(M779:X779)</f>
        <v/>
      </c>
      <c r="AA779" s="14">
        <f>IFERROR(IF(UPPER($E779)="L",SUMPRODUCT(M779:X779,$M$3:$X$3,$M$2:$X$2),SUMPRODUCT(M779:X779,$M$4:$X$4,$M$2:$X$2))/(Y779/($K779*$L779)),"")</f>
        <v/>
      </c>
      <c r="AB779" s="18" t="n"/>
    </row>
    <row r="780">
      <c r="A780" s="9" t="n">
        <v>813852</v>
      </c>
      <c r="B780" s="9" t="inlineStr">
        <is>
          <t>Trey Paige</t>
        </is>
      </c>
      <c r="C780" s="9" t="inlineStr">
        <is>
          <t>STL</t>
        </is>
      </c>
      <c r="D780" s="9" t="n">
        <v>25</v>
      </c>
      <c r="E780" s="16" t="inlineStr">
        <is>
          <t>L</t>
        </is>
      </c>
      <c r="F780" s="16" t="n"/>
      <c r="G780" s="9" t="n">
        <v>32.71794871794872</v>
      </c>
      <c r="H780" s="9" t="n">
        <v>32.71794871794872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3">
        <f>SUMPRODUCT(M780:X780,$M$2:$X$2)*$K780*$L780</f>
        <v/>
      </c>
      <c r="Z780" s="14">
        <f>SUM(M780:X780)</f>
        <v/>
      </c>
      <c r="AA780" s="14">
        <f>IFERROR(IF(UPPER($E780)="L",SUMPRODUCT(M780:X780,$M$3:$X$3,$M$2:$X$2),SUMPRODUCT(M780:X780,$M$4:$X$4,$M$2:$X$2))/(Y780/($K780*$L780)),"")</f>
        <v/>
      </c>
      <c r="AB780" s="18" t="n"/>
    </row>
    <row r="781">
      <c r="A781" s="9" t="n">
        <v>683233</v>
      </c>
      <c r="B781" s="9" t="inlineStr">
        <is>
          <t>Douglas Hodo III</t>
        </is>
      </c>
      <c r="C781" s="9" t="inlineStr">
        <is>
          <t>BAL</t>
        </is>
      </c>
      <c r="D781" s="9" t="n">
        <v>25</v>
      </c>
      <c r="E781" s="16" t="inlineStr">
        <is>
          <t>R</t>
        </is>
      </c>
      <c r="F781" s="16" t="n"/>
      <c r="G781" s="9" t="n">
        <v>68.2051282051282</v>
      </c>
      <c r="H781" s="9" t="n">
        <v>68.2051282051282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3">
        <f>SUMPRODUCT(M781:X781,$M$2:$X$2)*$K781*$L781</f>
        <v/>
      </c>
      <c r="Z781" s="14">
        <f>SUM(M781:X781)</f>
        <v/>
      </c>
      <c r="AA781" s="14">
        <f>IFERROR(IF(UPPER($E781)="L",SUMPRODUCT(M781:X781,$M$3:$X$3,$M$2:$X$2),SUMPRODUCT(M781:X781,$M$4:$X$4,$M$2:$X$2))/(Y781/($K781*$L781)),"")</f>
        <v/>
      </c>
      <c r="AB781" s="18" t="n"/>
    </row>
    <row r="782">
      <c r="A782" s="9" t="n">
        <v>822496</v>
      </c>
      <c r="B782" s="9" t="inlineStr">
        <is>
          <t>Bayram Hot</t>
        </is>
      </c>
      <c r="C782" s="9" t="inlineStr">
        <is>
          <t>NYY</t>
        </is>
      </c>
      <c r="D782" s="9" t="n">
        <v>25</v>
      </c>
      <c r="E782" s="16" t="inlineStr">
        <is>
          <t>R</t>
        </is>
      </c>
      <c r="F782" s="16" t="n"/>
      <c r="G782" s="9" t="n">
        <v>2.092307692307692</v>
      </c>
      <c r="H782" s="9" t="n">
        <v>2.092307692307692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3">
        <f>SUMPRODUCT(M782:X782,$M$2:$X$2)*$K782*$L782</f>
        <v/>
      </c>
      <c r="Z782" s="14">
        <f>SUM(M782:X782)</f>
        <v/>
      </c>
      <c r="AA782" s="14">
        <f>IFERROR(IF(UPPER($E782)="L",SUMPRODUCT(M782:X782,$M$3:$X$3,$M$2:$X$2),SUMPRODUCT(M782:X782,$M$4:$X$4,$M$2:$X$2))/(Y782/($K782*$L782)),"")</f>
        <v/>
      </c>
      <c r="AB782" s="18" t="n"/>
    </row>
    <row r="783">
      <c r="A783" s="9" t="n">
        <v>675382</v>
      </c>
      <c r="B783" s="9" t="inlineStr">
        <is>
          <t>Andrew Sojka</t>
        </is>
      </c>
      <c r="C783" s="9" t="inlineStr">
        <is>
          <t>DET</t>
        </is>
      </c>
      <c r="D783" s="9" t="n">
        <v>25</v>
      </c>
      <c r="E783" s="16" t="inlineStr">
        <is>
          <t>L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3">
        <f>SUMPRODUCT(M783:X783,$M$2:$X$2)*$K783*$L783</f>
        <v/>
      </c>
      <c r="Z783" s="14">
        <f>SUM(M783:X783)</f>
        <v/>
      </c>
      <c r="AA783" s="14">
        <f>IFERROR(IF(UPPER($E783)="L",SUMPRODUCT(M783:X783,$M$3:$X$3,$M$2:$X$2),SUMPRODUCT(M783:X783,$M$4:$X$4,$M$2:$X$2))/(Y783/($K783*$L783)),"")</f>
        <v/>
      </c>
      <c r="AB783" s="18" t="n"/>
    </row>
    <row r="784">
      <c r="A784" s="9" t="n">
        <v>695742</v>
      </c>
      <c r="B784" s="9" t="inlineStr">
        <is>
          <t>Hudson White</t>
        </is>
      </c>
      <c r="C784" s="9" t="inlineStr">
        <is>
          <t>BOS</t>
        </is>
      </c>
      <c r="D784" s="9" t="n">
        <v>25</v>
      </c>
      <c r="E784" s="16" t="inlineStr">
        <is>
          <t>R</t>
        </is>
      </c>
      <c r="F784" s="16" t="n"/>
      <c r="G784" s="9" t="n">
        <v>2.153846153846154</v>
      </c>
      <c r="H784" s="9" t="n">
        <v>2.153846153846154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3">
        <f>SUMPRODUCT(M784:X784,$M$2:$X$2)*$K784*$L784</f>
        <v/>
      </c>
      <c r="Z784" s="14">
        <f>SUM(M784:X784)</f>
        <v/>
      </c>
      <c r="AA784" s="14">
        <f>IFERROR(IF(UPPER($E784)="L",SUMPRODUCT(M784:X784,$M$3:$X$3,$M$2:$X$2),SUMPRODUCT(M784:X784,$M$4:$X$4,$M$2:$X$2))/(Y784/($K784*$L784)),"")</f>
        <v/>
      </c>
      <c r="AB784" s="18" t="n"/>
    </row>
    <row r="785">
      <c r="A785" s="9" t="n">
        <v>695426</v>
      </c>
      <c r="B785" s="9" t="inlineStr">
        <is>
          <t>Spencer Bramwell</t>
        </is>
      </c>
      <c r="C785" s="9" t="inlineStr">
        <is>
          <t>MIA</t>
        </is>
      </c>
      <c r="D785" s="9" t="n">
        <v>25</v>
      </c>
      <c r="E785" s="16" t="inlineStr">
        <is>
          <t>R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3">
        <f>SUMPRODUCT(M785:X785,$M$2:$X$2)*$K785*$L785</f>
        <v/>
      </c>
      <c r="Z785" s="14">
        <f>SUM(M785:X785)</f>
        <v/>
      </c>
      <c r="AA785" s="14">
        <f>IFERROR(IF(UPPER($E785)="L",SUMPRODUCT(M785:X785,$M$3:$X$3,$M$2:$X$2),SUMPRODUCT(M785:X785,$M$4:$X$4,$M$2:$X$2))/(Y785/($K785*$L785)),"")</f>
        <v/>
      </c>
      <c r="AB785" s="18" t="n"/>
    </row>
    <row r="786">
      <c r="A786" s="9" t="n">
        <v>829089</v>
      </c>
      <c r="B786" s="9" t="inlineStr">
        <is>
          <t>Romeli Espinosa</t>
        </is>
      </c>
      <c r="C786" s="9" t="inlineStr">
        <is>
          <t>PHI</t>
        </is>
      </c>
      <c r="D786" s="9" t="n">
        <v>25</v>
      </c>
      <c r="E786" s="16" t="inlineStr">
        <is>
          <t>R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3">
        <f>SUMPRODUCT(M786:X786,$M$2:$X$2)*$K786*$L786</f>
        <v/>
      </c>
      <c r="Z786" s="14">
        <f>SUM(M786:X786)</f>
        <v/>
      </c>
      <c r="AA786" s="14">
        <f>IFERROR(IF(UPPER($E786)="L",SUMPRODUCT(M786:X786,$M$3:$X$3,$M$2:$X$2),SUMPRODUCT(M786:X786,$M$4:$X$4,$M$2:$X$2))/(Y786/($K786*$L786)),"")</f>
        <v/>
      </c>
      <c r="AB786" s="18" t="n"/>
    </row>
    <row r="787">
      <c r="A787" s="9" t="n">
        <v>800643</v>
      </c>
      <c r="B787" s="9" t="inlineStr">
        <is>
          <t>Ty Hanchey</t>
        </is>
      </c>
      <c r="C787" s="9" t="inlineStr">
        <is>
          <t>SF</t>
        </is>
      </c>
      <c r="D787" s="9" t="n">
        <v>25</v>
      </c>
      <c r="E787" s="16" t="inlineStr">
        <is>
          <t>L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3">
        <f>SUMPRODUCT(M787:X787,$M$2:$X$2)*$K787*$L787</f>
        <v/>
      </c>
      <c r="Z787" s="14">
        <f>SUM(M787:X787)</f>
        <v/>
      </c>
      <c r="AA787" s="14">
        <f>IFERROR(IF(UPPER($E787)="L",SUMPRODUCT(M787:X787,$M$3:$X$3,$M$2:$X$2),SUMPRODUCT(M787:X787,$M$4:$X$4,$M$2:$X$2))/(Y787/($K787*$L787)),"")</f>
        <v/>
      </c>
      <c r="AB787" s="18" t="n"/>
    </row>
    <row r="788">
      <c r="A788" s="9" t="n">
        <v>687600</v>
      </c>
      <c r="B788" s="9" t="inlineStr">
        <is>
          <t>Kaden Hopson</t>
        </is>
      </c>
      <c r="C788" s="9" t="inlineStr">
        <is>
          <t>LAA</t>
        </is>
      </c>
      <c r="D788" s="9" t="n">
        <v>25</v>
      </c>
      <c r="E788" s="16" t="inlineStr">
        <is>
          <t>L</t>
        </is>
      </c>
      <c r="F788" s="16" t="n"/>
      <c r="G788" s="9" t="n">
        <v>2.256410256410257</v>
      </c>
      <c r="H788" s="9" t="n">
        <v>2.256410256410257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3">
        <f>SUMPRODUCT(M788:X788,$M$2:$X$2)*$K788*$L788</f>
        <v/>
      </c>
      <c r="Z788" s="14">
        <f>SUM(M788:X788)</f>
        <v/>
      </c>
      <c r="AA788" s="14">
        <f>IFERROR(IF(UPPER($E788)="L",SUMPRODUCT(M788:X788,$M$3:$X$3,$M$2:$X$2),SUMPRODUCT(M788:X788,$M$4:$X$4,$M$2:$X$2))/(Y788/($K788*$L788)),"")</f>
        <v/>
      </c>
      <c r="AB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3">
        <f>SUMPRODUCT(M789:X789,$M$2:$X$2)*$K789*$L789</f>
        <v/>
      </c>
      <c r="Z789" s="14">
        <f>SUM(M789:X789)</f>
        <v/>
      </c>
      <c r="AA789" s="14">
        <f>IFERROR(IF(UPPER($E789)="L",SUMPRODUCT(M789:X789,$M$3:$X$3,$M$2:$X$2),SUMPRODUCT(M789:X789,$M$4:$X$4,$M$2:$X$2))/(Y789/($K789*$L789)),"")</f>
        <v/>
      </c>
      <c r="AB789" s="18" t="n"/>
    </row>
    <row r="790">
      <c r="A790" s="9" t="n">
        <v>691392</v>
      </c>
      <c r="B790" s="9" t="inlineStr">
        <is>
          <t>Johnny Ascanio</t>
        </is>
      </c>
      <c r="C790" s="9" t="inlineStr">
        <is>
          <t>CIN</t>
        </is>
      </c>
      <c r="D790" s="9" t="n">
        <v>25</v>
      </c>
      <c r="E790" s="16" t="inlineStr">
        <is>
          <t>S</t>
        </is>
      </c>
      <c r="F790" s="16" t="n"/>
      <c r="G790" s="9" t="n">
        <v>2.256410256410257</v>
      </c>
      <c r="H790" s="9" t="n">
        <v>2.256410256410257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3">
        <f>SUMPRODUCT(M790:X790,$M$2:$X$2)*$K790*$L790</f>
        <v/>
      </c>
      <c r="Z790" s="14">
        <f>SUM(M790:X790)</f>
        <v/>
      </c>
      <c r="AA790" s="14">
        <f>IFERROR(IF(UPPER($E790)="L",SUMPRODUCT(M790:X790,$M$3:$X$3,$M$2:$X$2),SUMPRODUCT(M790:X790,$M$4:$X$4,$M$2:$X$2))/(Y790/($K790*$L790)),"")</f>
        <v/>
      </c>
      <c r="AB790" s="18" t="n"/>
    </row>
    <row r="791">
      <c r="A791" s="9" t="n">
        <v>800384</v>
      </c>
      <c r="B791" s="9" t="inlineStr">
        <is>
          <t>Nicandro Aybar</t>
        </is>
      </c>
      <c r="C791" s="9" t="inlineStr">
        <is>
          <t>TB</t>
        </is>
      </c>
      <c r="D791" s="9" t="n">
        <v>25</v>
      </c>
      <c r="E791" s="16" t="inlineStr">
        <is>
          <t>S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3">
        <f>SUMPRODUCT(M791:X791,$M$2:$X$2)*$K791*$L791</f>
        <v/>
      </c>
      <c r="Z791" s="14">
        <f>SUM(M791:X791)</f>
        <v/>
      </c>
      <c r="AA791" s="14">
        <f>IFERROR(IF(UPPER($E791)="L",SUMPRODUCT(M791:X791,$M$3:$X$3,$M$2:$X$2),SUMPRODUCT(M791:X791,$M$4:$X$4,$M$2:$X$2))/(Y791/($K791*$L791)),"")</f>
        <v/>
      </c>
      <c r="AB791" s="18" t="n"/>
    </row>
    <row r="792">
      <c r="A792" s="9" t="n">
        <v>691276</v>
      </c>
      <c r="B792" s="9" t="inlineStr">
        <is>
          <t>Luis Caicuto</t>
        </is>
      </c>
      <c r="C792" s="9" t="inlineStr">
        <is>
          <t>PHI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3">
        <f>SUMPRODUCT(M792:X792,$M$2:$X$2)*$K792*$L792</f>
        <v/>
      </c>
      <c r="Z792" s="14">
        <f>SUM(M792:X792)</f>
        <v/>
      </c>
      <c r="AA792" s="14">
        <f>IFERROR(IF(UPPER($E792)="L",SUMPRODUCT(M792:X792,$M$3:$X$3,$M$2:$X$2),SUMPRODUCT(M792:X792,$M$4:$X$4,$M$2:$X$2))/(Y792/($K792*$L792)),"")</f>
        <v/>
      </c>
      <c r="AB792" s="18" t="n"/>
    </row>
    <row r="793">
      <c r="A793" s="9" t="n">
        <v>808368</v>
      </c>
      <c r="B793" s="9" t="inlineStr">
        <is>
          <t>Juan Sulbaran</t>
        </is>
      </c>
      <c r="C793" s="9" t="inlineStr">
        <is>
          <t>TEX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3">
        <f>SUMPRODUCT(M793:X793,$M$2:$X$2)*$K793*$L793</f>
        <v/>
      </c>
      <c r="Z793" s="14">
        <f>SUM(M793:X793)</f>
        <v/>
      </c>
      <c r="AA793" s="14">
        <f>IFERROR(IF(UPPER($E793)="L",SUMPRODUCT(M793:X793,$M$3:$X$3,$M$2:$X$2),SUMPRODUCT(M793:X793,$M$4:$X$4,$M$2:$X$2))/(Y793/($K793*$L793)),"")</f>
        <v/>
      </c>
      <c r="AB793" s="18" t="n"/>
    </row>
    <row r="794">
      <c r="A794" s="9" t="n">
        <v>821877</v>
      </c>
      <c r="B794" s="9" t="inlineStr">
        <is>
          <t>Blake Schaaf</t>
        </is>
      </c>
      <c r="C794" s="9" t="inlineStr">
        <is>
          <t>NYY</t>
        </is>
      </c>
      <c r="D794" s="9" t="n">
        <v>25</v>
      </c>
      <c r="E794" s="16" t="inlineStr">
        <is>
          <t>L</t>
        </is>
      </c>
      <c r="F794" s="16" t="n"/>
      <c r="G794" s="9" t="n">
        <v>2.215384615384616</v>
      </c>
      <c r="H794" s="9" t="n">
        <v>2.215384615384616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3">
        <f>SUMPRODUCT(M794:X794,$M$2:$X$2)*$K794*$L794</f>
        <v/>
      </c>
      <c r="Z794" s="14">
        <f>SUM(M794:X794)</f>
        <v/>
      </c>
      <c r="AA794" s="14">
        <f>IFERROR(IF(UPPER($E794)="L",SUMPRODUCT(M794:X794,$M$3:$X$3,$M$2:$X$2),SUMPRODUCT(M794:X794,$M$4:$X$4,$M$2:$X$2))/(Y794/($K794*$L794)),"")</f>
        <v/>
      </c>
      <c r="AB794" s="18" t="n"/>
    </row>
    <row r="795">
      <c r="A795" s="9" t="n">
        <v>821791</v>
      </c>
      <c r="B795" s="9" t="inlineStr">
        <is>
          <t>Angel Brachi</t>
        </is>
      </c>
      <c r="C795" s="9" t="inlineStr">
        <is>
          <t>MIA</t>
        </is>
      </c>
      <c r="D795" s="9" t="n">
        <v>25</v>
      </c>
      <c r="E795" s="16" t="inlineStr">
        <is>
          <t>R</t>
        </is>
      </c>
      <c r="F795" s="16" t="n"/>
      <c r="G795" s="9" t="n">
        <v>2.215384615384616</v>
      </c>
      <c r="H795" s="9" t="n">
        <v>2.215384615384616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3">
        <f>SUMPRODUCT(M795:X795,$M$2:$X$2)*$K795*$L795</f>
        <v/>
      </c>
      <c r="Z795" s="14">
        <f>SUM(M795:X795)</f>
        <v/>
      </c>
      <c r="AA795" s="14">
        <f>IFERROR(IF(UPPER($E795)="L",SUMPRODUCT(M795:X795,$M$3:$X$3,$M$2:$X$2),SUMPRODUCT(M795:X795,$M$4:$X$4,$M$2:$X$2))/(Y795/($K795*$L795)),"")</f>
        <v/>
      </c>
      <c r="AB795" s="18" t="n"/>
    </row>
    <row r="796">
      <c r="A796" s="9" t="n">
        <v>812430</v>
      </c>
      <c r="B796" s="9" t="inlineStr">
        <is>
          <t>Heriberto Caraballo</t>
        </is>
      </c>
      <c r="C796" s="9" t="inlineStr">
        <is>
          <t>STL</t>
        </is>
      </c>
      <c r="D796" s="9" t="n">
        <v>25</v>
      </c>
      <c r="E796" s="16" t="inlineStr">
        <is>
          <t>R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3">
        <f>SUMPRODUCT(M796:X796,$M$2:$X$2)*$K796*$L796</f>
        <v/>
      </c>
      <c r="Z796" s="14">
        <f>SUM(M796:X796)</f>
        <v/>
      </c>
      <c r="AA796" s="14">
        <f>IFERROR(IF(UPPER($E796)="L",SUMPRODUCT(M796:X796,$M$3:$X$3,$M$2:$X$2),SUMPRODUCT(M796:X796,$M$4:$X$4,$M$2:$X$2))/(Y796/($K796*$L796)),"")</f>
        <v/>
      </c>
      <c r="AB796" s="18" t="n"/>
    </row>
    <row r="797">
      <c r="A797" s="9" t="n">
        <v>681317</v>
      </c>
      <c r="B797" s="9" t="inlineStr">
        <is>
          <t>Jeremiah Boyd</t>
        </is>
      </c>
      <c r="C797" s="9" t="inlineStr">
        <is>
          <t>ARI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3">
        <f>SUMPRODUCT(M797:X797,$M$2:$X$2)*$K797*$L797</f>
        <v/>
      </c>
      <c r="Z797" s="14">
        <f>SUM(M797:X797)</f>
        <v/>
      </c>
      <c r="AA797" s="14">
        <f>IFERROR(IF(UPPER($E797)="L",SUMPRODUCT(M797:X797,$M$3:$X$3,$M$2:$X$2),SUMPRODUCT(M797:X797,$M$4:$X$4,$M$2:$X$2))/(Y797/($K797*$L797)),"")</f>
        <v/>
      </c>
      <c r="AB797" s="18" t="n"/>
    </row>
    <row r="798">
      <c r="A798" s="9" t="n">
        <v>814362</v>
      </c>
      <c r="B798" s="9" t="inlineStr">
        <is>
          <t>Alberto Rios</t>
        </is>
      </c>
      <c r="C798" s="9" t="inlineStr">
        <is>
          <t>LAA</t>
        </is>
      </c>
      <c r="D798" s="9" t="n">
        <v>25</v>
      </c>
      <c r="E798" s="16" t="inlineStr">
        <is>
          <t>R</t>
        </is>
      </c>
      <c r="F798" s="16" t="n"/>
      <c r="G798" s="9" t="n">
        <v>2.256410256410257</v>
      </c>
      <c r="H798" s="9" t="n">
        <v>2.256410256410257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3">
        <f>SUMPRODUCT(M798:X798,$M$2:$X$2)*$K798*$L798</f>
        <v/>
      </c>
      <c r="Z798" s="14">
        <f>SUM(M798:X798)</f>
        <v/>
      </c>
      <c r="AA798" s="14">
        <f>IFERROR(IF(UPPER($E798)="L",SUMPRODUCT(M798:X798,$M$3:$X$3,$M$2:$X$2),SUMPRODUCT(M798:X798,$M$4:$X$4,$M$2:$X$2))/(Y798/($K798*$L798)),"")</f>
        <v/>
      </c>
      <c r="AB798" s="18" t="n"/>
    </row>
    <row r="799">
      <c r="A799" s="9" t="n">
        <v>671748</v>
      </c>
      <c r="B799" s="9" t="inlineStr">
        <is>
          <t>Casey Yamauchi</t>
        </is>
      </c>
      <c r="C799" s="9" t="inlineStr">
        <is>
          <t>OAK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3">
        <f>SUMPRODUCT(M799:X799,$M$2:$X$2)*$K799*$L799</f>
        <v/>
      </c>
      <c r="Z799" s="14">
        <f>SUM(M799:X799)</f>
        <v/>
      </c>
      <c r="AA799" s="14">
        <f>IFERROR(IF(UPPER($E799)="L",SUMPRODUCT(M799:X799,$M$3:$X$3,$M$2:$X$2),SUMPRODUCT(M799:X799,$M$4:$X$4,$M$2:$X$2))/(Y799/($K799*$L799)),"")</f>
        <v/>
      </c>
      <c r="AB799" s="18" t="n"/>
    </row>
    <row r="800">
      <c r="A800" s="9" t="n">
        <v>806212</v>
      </c>
      <c r="B800" s="9" t="inlineStr">
        <is>
          <t>Stone Russell</t>
        </is>
      </c>
      <c r="C800" s="9" t="inlineStr">
        <is>
          <t>KC</t>
        </is>
      </c>
      <c r="D800" s="9" t="n">
        <v>25</v>
      </c>
      <c r="E800" s="16" t="inlineStr">
        <is>
          <t>R</t>
        </is>
      </c>
      <c r="F800" s="16" t="n"/>
      <c r="G800" s="9" t="n">
        <v>2.256410256410257</v>
      </c>
      <c r="H800" s="9" t="n">
        <v>2.256410256410257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3">
        <f>SUMPRODUCT(M800:X800,$M$2:$X$2)*$K800*$L800</f>
        <v/>
      </c>
      <c r="Z800" s="14">
        <f>SUM(M800:X800)</f>
        <v/>
      </c>
      <c r="AA800" s="14">
        <f>IFERROR(IF(UPPER($E800)="L",SUMPRODUCT(M800:X800,$M$3:$X$3,$M$2:$X$2),SUMPRODUCT(M800:X800,$M$4:$X$4,$M$2:$X$2))/(Y800/($K800*$L800)),"")</f>
        <v/>
      </c>
      <c r="AB800" s="18" t="n"/>
    </row>
    <row r="801">
      <c r="A801" s="9" t="n">
        <v>691571</v>
      </c>
      <c r="B801" s="9" t="inlineStr">
        <is>
          <t>Johan Macias</t>
        </is>
      </c>
      <c r="C801" s="9" t="inlineStr">
        <is>
          <t>LAA</t>
        </is>
      </c>
      <c r="D801" s="9" t="n">
        <v>25</v>
      </c>
      <c r="E801" s="16" t="inlineStr">
        <is>
          <t>S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3">
        <f>SUMPRODUCT(M801:X801,$M$2:$X$2)*$K801*$L801</f>
        <v/>
      </c>
      <c r="Z801" s="14">
        <f>SUM(M801:X801)</f>
        <v/>
      </c>
      <c r="AA801" s="14">
        <f>IFERROR(IF(UPPER($E801)="L",SUMPRODUCT(M801:X801,$M$3:$X$3,$M$2:$X$2),SUMPRODUCT(M801:X801,$M$4:$X$4,$M$2:$X$2))/(Y801/($K801*$L801)),"")</f>
        <v/>
      </c>
      <c r="AB801" s="18" t="n"/>
    </row>
    <row r="802">
      <c r="A802" s="9" t="n">
        <v>821790</v>
      </c>
      <c r="B802" s="9" t="inlineStr">
        <is>
          <t>Ronald Ramirez</t>
        </is>
      </c>
      <c r="C802" s="9" t="inlineStr">
        <is>
          <t>DET</t>
        </is>
      </c>
      <c r="D802" s="9" t="n">
        <v>25</v>
      </c>
      <c r="E802" s="16" t="inlineStr">
        <is>
          <t>R</t>
        </is>
      </c>
      <c r="F802" s="16" t="n"/>
      <c r="G802" s="9" t="n">
        <v>4.430769230769231</v>
      </c>
      <c r="H802" s="9" t="n">
        <v>4.430769230769231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3">
        <f>SUMPRODUCT(M802:X802,$M$2:$X$2)*$K802*$L802</f>
        <v/>
      </c>
      <c r="Z802" s="14">
        <f>SUM(M802:X802)</f>
        <v/>
      </c>
      <c r="AA802" s="14">
        <f>IFERROR(IF(UPPER($E802)="L",SUMPRODUCT(M802:X802,$M$3:$X$3,$M$2:$X$2),SUMPRODUCT(M802:X802,$M$4:$X$4,$M$2:$X$2))/(Y802/($K802*$L802)),"")</f>
        <v/>
      </c>
      <c r="AB802" s="18" t="n"/>
    </row>
    <row r="803">
      <c r="A803" s="9" t="n">
        <v>695494</v>
      </c>
      <c r="B803" s="9" t="inlineStr">
        <is>
          <t>Kevin Bazzell</t>
        </is>
      </c>
      <c r="C803" s="9" t="inlineStr">
        <is>
          <t>WSH</t>
        </is>
      </c>
      <c r="D803" s="9" t="n">
        <v>25</v>
      </c>
      <c r="E803" s="16" t="inlineStr">
        <is>
          <t>R</t>
        </is>
      </c>
      <c r="F803" s="16" t="n"/>
      <c r="G803" s="9" t="n">
        <v>19.38461538461538</v>
      </c>
      <c r="H803" s="9" t="n">
        <v>19.38461538461538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3">
        <f>SUMPRODUCT(M803:X803,$M$2:$X$2)*$K803*$L803</f>
        <v/>
      </c>
      <c r="Z803" s="14">
        <f>SUM(M803:X803)</f>
        <v/>
      </c>
      <c r="AA803" s="14">
        <f>IFERROR(IF(UPPER($E803)="L",SUMPRODUCT(M803:X803,$M$3:$X$3,$M$2:$X$2),SUMPRODUCT(M803:X803,$M$4:$X$4,$M$2:$X$2))/(Y803/($K803*$L803)),"")</f>
        <v/>
      </c>
      <c r="AB803" s="18" t="n"/>
    </row>
    <row r="804">
      <c r="A804" s="9" t="n">
        <v>642197</v>
      </c>
      <c r="B804" s="9" t="inlineStr">
        <is>
          <t>Jamie Westbrook</t>
        </is>
      </c>
      <c r="C804" s="9" t="inlineStr">
        <is>
          <t>BOS</t>
        </is>
      </c>
      <c r="D804" s="9" t="n">
        <v>32</v>
      </c>
      <c r="E804" s="16" t="inlineStr">
        <is>
          <t>R</t>
        </is>
      </c>
      <c r="F804" s="16" t="n"/>
      <c r="G804" s="9" t="n">
        <v>48</v>
      </c>
      <c r="H804" s="9" t="n">
        <v>48</v>
      </c>
      <c r="I804" s="9" t="inlineStr">
        <is>
          <t>Depth (no MLB PA)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3">
        <f>SUMPRODUCT(M804:X804,$M$2:$X$2)*$K804*$L804</f>
        <v/>
      </c>
      <c r="Z804" s="14">
        <f>SUM(M804:X804)</f>
        <v/>
      </c>
      <c r="AA804" s="14">
        <f>IFERROR(IF(UPPER($E804)="L",SUMPRODUCT(M804:X804,$M$3:$X$3,$M$2:$X$2),SUMPRODUCT(M804:X804,$M$4:$X$4,$M$2:$X$2))/(Y804/($K804*$L804)),"")</f>
        <v/>
      </c>
      <c r="AB804" s="18" t="n"/>
    </row>
    <row r="805">
      <c r="A805" s="9" t="n">
        <v>805763</v>
      </c>
      <c r="B805" s="9" t="inlineStr">
        <is>
          <t>Drake Logan</t>
        </is>
      </c>
      <c r="C805" s="9" t="inlineStr">
        <is>
          <t>CWS</t>
        </is>
      </c>
      <c r="D805" s="9" t="n">
        <v>25</v>
      </c>
      <c r="E805" s="16" t="inlineStr">
        <is>
          <t>R</t>
        </is>
      </c>
      <c r="F805" s="16" t="n"/>
      <c r="G805" s="9" t="n">
        <v>26.92307692307692</v>
      </c>
      <c r="H805" s="9" t="n">
        <v>26.92307692307692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3">
        <f>SUMPRODUCT(M805:X805,$M$2:$X$2)*$K805*$L805</f>
        <v/>
      </c>
      <c r="Z805" s="14">
        <f>SUM(M805:X805)</f>
        <v/>
      </c>
      <c r="AA805" s="14">
        <f>IFERROR(IF(UPPER($E805)="L",SUMPRODUCT(M805:X805,$M$3:$X$3,$M$2:$X$2),SUMPRODUCT(M805:X805,$M$4:$X$4,$M$2:$X$2))/(Y805/($K805*$L805)),"")</f>
        <v/>
      </c>
      <c r="AB805" s="18" t="n"/>
    </row>
    <row r="806">
      <c r="A806" s="9" t="n">
        <v>694200</v>
      </c>
      <c r="B806" s="9" t="inlineStr">
        <is>
          <t>Ariel Almonte</t>
        </is>
      </c>
      <c r="C806" s="9" t="inlineStr">
        <is>
          <t>CIN</t>
        </is>
      </c>
      <c r="D806" s="9" t="n">
        <v>25</v>
      </c>
      <c r="E806" s="16" t="inlineStr">
        <is>
          <t>L</t>
        </is>
      </c>
      <c r="F806" s="16" t="n"/>
      <c r="G806" s="9" t="n">
        <v>22.56410256410257</v>
      </c>
      <c r="H806" s="9" t="n">
        <v>22.56410256410257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3">
        <f>SUMPRODUCT(M806:X806,$M$2:$X$2)*$K806*$L806</f>
        <v/>
      </c>
      <c r="Z806" s="14">
        <f>SUM(M806:X806)</f>
        <v/>
      </c>
      <c r="AA806" s="14">
        <f>IFERROR(IF(UPPER($E806)="L",SUMPRODUCT(M806:X806,$M$3:$X$3,$M$2:$X$2),SUMPRODUCT(M806:X806,$M$4:$X$4,$M$2:$X$2))/(Y806/($K806*$L806)),"")</f>
        <v/>
      </c>
      <c r="AB806" s="18" t="n"/>
    </row>
    <row r="807">
      <c r="A807" s="9" t="n">
        <v>607043</v>
      </c>
      <c r="B807" s="9" t="inlineStr">
        <is>
          <t>Brandon Nimmo</t>
        </is>
      </c>
      <c r="C807" s="9" t="inlineStr">
        <is>
          <t>TEX</t>
        </is>
      </c>
      <c r="D807" s="9" t="n">
        <v>34</v>
      </c>
      <c r="E807" s="16" t="inlineStr">
        <is>
          <t>L</t>
        </is>
      </c>
      <c r="F807" s="16" t="n"/>
      <c r="G807" s="9" t="n">
        <v>655</v>
      </c>
      <c r="H807" s="9" t="n">
        <v>3325</v>
      </c>
      <c r="I807" s="9" t="inlineStr">
        <is>
          <t>Full Time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3">
        <f>SUMPRODUCT(M807:X807,$M$2:$X$2)*$K807*$L807</f>
        <v/>
      </c>
      <c r="Z807" s="14">
        <f>SUM(M807:X807)</f>
        <v/>
      </c>
      <c r="AA807" s="14">
        <f>IFERROR(IF(UPPER($E807)="L",SUMPRODUCT(M807:X807,$M$3:$X$3,$M$2:$X$2),SUMPRODUCT(M807:X807,$M$4:$X$4,$M$2:$X$2))/(Y807/($K807*$L807)),"")</f>
        <v/>
      </c>
      <c r="AB807" s="18" t="n"/>
    </row>
    <row r="808">
      <c r="A808" s="9" t="n">
        <v>702668</v>
      </c>
      <c r="B808" s="9" t="inlineStr">
        <is>
          <t>Korbyn Dickerson</t>
        </is>
      </c>
      <c r="C808" s="9" t="inlineStr">
        <is>
          <t>SEA</t>
        </is>
      </c>
      <c r="D808" s="9" t="n">
        <v>25</v>
      </c>
      <c r="E808" s="16" t="inlineStr">
        <is>
          <t>R</t>
        </is>
      </c>
      <c r="F808" s="16" t="n"/>
      <c r="G808" s="9" t="n">
        <v>26.87179487179488</v>
      </c>
      <c r="H808" s="9" t="n">
        <v>26.87179487179488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3">
        <f>SUMPRODUCT(M808:X808,$M$2:$X$2)*$K808*$L808</f>
        <v/>
      </c>
      <c r="Z808" s="14">
        <f>SUM(M808:X808)</f>
        <v/>
      </c>
      <c r="AA808" s="14">
        <f>IFERROR(IF(UPPER($E808)="L",SUMPRODUCT(M808:X808,$M$3:$X$3,$M$2:$X$2),SUMPRODUCT(M808:X808,$M$4:$X$4,$M$2:$X$2))/(Y808/($K808*$L808)),"")</f>
        <v/>
      </c>
      <c r="AB808" s="18" t="n"/>
    </row>
    <row r="809">
      <c r="A809" s="9" t="n">
        <v>814452</v>
      </c>
      <c r="B809" s="9" t="inlineStr">
        <is>
          <t>Anthony Martinez</t>
        </is>
      </c>
      <c r="C809" s="9" t="inlineStr">
        <is>
          <t>CLE</t>
        </is>
      </c>
      <c r="D809" s="9" t="n">
        <v>25</v>
      </c>
      <c r="E809" s="16" t="inlineStr">
        <is>
          <t>L</t>
        </is>
      </c>
      <c r="F809" s="16" t="n"/>
      <c r="G809" s="9" t="n">
        <v>35.48717948717949</v>
      </c>
      <c r="H809" s="9" t="n">
        <v>35.48717948717949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3">
        <f>SUMPRODUCT(M809:X809,$M$2:$X$2)*$K809*$L809</f>
        <v/>
      </c>
      <c r="Z809" s="14">
        <f>SUM(M809:X809)</f>
        <v/>
      </c>
      <c r="AA809" s="14">
        <f>IFERROR(IF(UPPER($E809)="L",SUMPRODUCT(M809:X809,$M$3:$X$3,$M$2:$X$2),SUMPRODUCT(M809:X809,$M$4:$X$4,$M$2:$X$2))/(Y809/($K809*$L809)),"")</f>
        <v/>
      </c>
      <c r="AB809" s="18" t="n"/>
    </row>
    <row r="810">
      <c r="A810" s="9" t="n">
        <v>408234</v>
      </c>
      <c r="B810" s="9" t="inlineStr">
        <is>
          <t>Miguel Cabrera</t>
        </is>
      </c>
      <c r="C810" s="9" t="inlineStr">
        <is>
          <t>DET</t>
        </is>
      </c>
      <c r="D810" s="9" t="n">
        <v>44</v>
      </c>
      <c r="E810" s="16" t="inlineStr">
        <is>
          <t>R</t>
        </is>
      </c>
      <c r="F810" s="16" t="n"/>
      <c r="G810" s="9" t="n">
        <v>370</v>
      </c>
      <c r="H810" s="9" t="n">
        <v>803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3">
        <f>SUMPRODUCT(M810:X810,$M$2:$X$2)*$K810*$L810</f>
        <v/>
      </c>
      <c r="Z810" s="14">
        <f>SUM(M810:X810)</f>
        <v/>
      </c>
      <c r="AA810" s="14">
        <f>IFERROR(IF(UPPER($E810)="L",SUMPRODUCT(M810:X810,$M$3:$X$3,$M$2:$X$2),SUMPRODUCT(M810:X810,$M$4:$X$4,$M$2:$X$2))/(Y810/($K810*$L810)),"")</f>
        <v/>
      </c>
      <c r="AB810" s="18" t="n"/>
    </row>
    <row r="811">
      <c r="A811" s="9" t="n">
        <v>822518</v>
      </c>
      <c r="B811" s="9" t="inlineStr">
        <is>
          <t>Vahn Lackey</t>
        </is>
      </c>
      <c r="C811" s="9" t="inlineStr">
        <is>
          <t>MIN</t>
        </is>
      </c>
      <c r="D811" s="9" t="n">
        <v>25</v>
      </c>
      <c r="E811" s="16" t="inlineStr">
        <is>
          <t>R</t>
        </is>
      </c>
      <c r="F811" s="16" t="n"/>
      <c r="G811" s="9" t="n">
        <v>10.66666666666667</v>
      </c>
      <c r="H811" s="9" t="n">
        <v>10.66666666666667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3">
        <f>SUMPRODUCT(M811:X811,$M$2:$X$2)*$K811*$L811</f>
        <v/>
      </c>
      <c r="Z811" s="14">
        <f>SUM(M811:X811)</f>
        <v/>
      </c>
      <c r="AA811" s="14">
        <f>IFERROR(IF(UPPER($E811)="L",SUMPRODUCT(M811:X811,$M$3:$X$3,$M$2:$X$2),SUMPRODUCT(M811:X811,$M$4:$X$4,$M$2:$X$2))/(Y811/($K811*$L811)),"")</f>
        <v/>
      </c>
      <c r="AB811" s="18" t="n"/>
    </row>
    <row r="812">
      <c r="A812" s="9" t="n">
        <v>808793</v>
      </c>
      <c r="B812" s="9" t="inlineStr">
        <is>
          <t>Henry Kaczmar</t>
        </is>
      </c>
      <c r="C812" s="9" t="inlineStr">
        <is>
          <t>SEA</t>
        </is>
      </c>
      <c r="D812" s="9" t="n">
        <v>25</v>
      </c>
      <c r="E812" s="16" t="inlineStr">
        <is>
          <t>L</t>
        </is>
      </c>
      <c r="F812" s="16" t="n"/>
      <c r="G812" s="9" t="n">
        <v>2.461538461538462</v>
      </c>
      <c r="H812" s="9" t="n">
        <v>2.461538461538462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3">
        <f>SUMPRODUCT(M812:X812,$M$2:$X$2)*$K812*$L812</f>
        <v/>
      </c>
      <c r="Z812" s="14">
        <f>SUM(M812:X812)</f>
        <v/>
      </c>
      <c r="AA812" s="14">
        <f>IFERROR(IF(UPPER($E812)="L",SUMPRODUCT(M812:X812,$M$3:$X$3,$M$2:$X$2),SUMPRODUCT(M812:X812,$M$4:$X$4,$M$2:$X$2))/(Y812/($K812*$L812)),"")</f>
        <v/>
      </c>
      <c r="AB812" s="18" t="n"/>
    </row>
    <row r="813">
      <c r="A813" s="9" t="n">
        <v>699228</v>
      </c>
      <c r="B813" s="9" t="inlineStr">
        <is>
          <t>Jakey Josepha</t>
        </is>
      </c>
      <c r="C813" s="9" t="inlineStr">
        <is>
          <t>ARI</t>
        </is>
      </c>
      <c r="D813" s="9" t="n">
        <v>25</v>
      </c>
      <c r="E813" s="16" t="inlineStr">
        <is>
          <t>L</t>
        </is>
      </c>
      <c r="F813" s="16" t="n"/>
      <c r="G813" s="9" t="n">
        <v>2.512820512820513</v>
      </c>
      <c r="H813" s="9" t="n">
        <v>2.512820512820513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3">
        <f>SUMPRODUCT(M813:X813,$M$2:$X$2)*$K813*$L813</f>
        <v/>
      </c>
      <c r="Z813" s="14">
        <f>SUM(M813:X813)</f>
        <v/>
      </c>
      <c r="AA813" s="14">
        <f>IFERROR(IF(UPPER($E813)="L",SUMPRODUCT(M813:X813,$M$3:$X$3,$M$2:$X$2),SUMPRODUCT(M813:X813,$M$4:$X$4,$M$2:$X$2))/(Y813/($K813*$L813)),"")</f>
        <v/>
      </c>
      <c r="AB813" s="18" t="n"/>
    </row>
    <row r="814">
      <c r="A814" s="9" t="n">
        <v>699166</v>
      </c>
      <c r="B814" s="9" t="inlineStr">
        <is>
          <t>Edgardo Ordonez</t>
        </is>
      </c>
      <c r="C814" s="9" t="inlineStr">
        <is>
          <t>MIL</t>
        </is>
      </c>
      <c r="D814" s="9" t="n">
        <v>25</v>
      </c>
      <c r="E814" s="16" t="inlineStr">
        <is>
          <t>L</t>
        </is>
      </c>
      <c r="F814" s="16" t="n"/>
      <c r="G814" s="9" t="n">
        <v>2.512820512820513</v>
      </c>
      <c r="H814" s="9" t="n">
        <v>2.512820512820513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3">
        <f>SUMPRODUCT(M814:X814,$M$2:$X$2)*$K814*$L814</f>
        <v/>
      </c>
      <c r="Z814" s="14">
        <f>SUM(M814:X814)</f>
        <v/>
      </c>
      <c r="AA814" s="14">
        <f>IFERROR(IF(UPPER($E814)="L",SUMPRODUCT(M814:X814,$M$3:$X$3,$M$2:$X$2),SUMPRODUCT(M814:X814,$M$4:$X$4,$M$2:$X$2))/(Y814/($K814*$L814)),"")</f>
        <v/>
      </c>
      <c r="AB814" s="18" t="n"/>
    </row>
    <row r="815">
      <c r="A815" s="9" t="n">
        <v>622666</v>
      </c>
      <c r="B815" s="9" t="inlineStr">
        <is>
          <t>Johan Camargo</t>
        </is>
      </c>
      <c r="C815" s="9" t="inlineStr">
        <is>
          <t>PHI</t>
        </is>
      </c>
      <c r="D815" s="9" t="n">
        <v>33</v>
      </c>
      <c r="E815" s="16" t="inlineStr">
        <is>
          <t>S</t>
        </is>
      </c>
      <c r="F815" s="16" t="n"/>
      <c r="G815" s="9" t="n">
        <v>20</v>
      </c>
      <c r="H815" s="9" t="n">
        <v>186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3">
        <f>SUMPRODUCT(M815:X815,$M$2:$X$2)*$K815*$L815</f>
        <v/>
      </c>
      <c r="Z815" s="14">
        <f>SUM(M815:X815)</f>
        <v/>
      </c>
      <c r="AA815" s="14">
        <f>IFERROR(IF(UPPER($E815)="L",SUMPRODUCT(M815:X815,$M$3:$X$3,$M$2:$X$2),SUMPRODUCT(M815:X815,$M$4:$X$4,$M$2:$X$2))/(Y815/($K815*$L815)),"")</f>
        <v/>
      </c>
      <c r="AB815" s="18" t="n"/>
    </row>
    <row r="816">
      <c r="A816" s="9" t="n">
        <v>806499</v>
      </c>
      <c r="B816" s="9" t="inlineStr">
        <is>
          <t>Avery Ortiz</t>
        </is>
      </c>
      <c r="C816" s="9" t="inlineStr">
        <is>
          <t>WSH</t>
        </is>
      </c>
      <c r="D816" s="9" t="n">
        <v>25</v>
      </c>
      <c r="E816" s="16" t="inlineStr">
        <is>
          <t>R</t>
        </is>
      </c>
      <c r="F816" s="16" t="n"/>
      <c r="G816" s="9" t="n">
        <v>8.861538461538462</v>
      </c>
      <c r="H816" s="9" t="n">
        <v>8.861538461538462</v>
      </c>
      <c r="I816" s="9" t="inlineStr">
        <is>
          <t>Depth (no MLB PA)</t>
        </is>
      </c>
      <c r="J816" s="16" t="inlineStr">
        <is>
          <t>Opening Day</t>
        </is>
      </c>
      <c r="K816" s="11">
        <f>IFERROR(INDEX(Roles!$B$17:$B$20,MATCH(J816,Roles!$A$17:$A$20,0)),1)</f>
        <v/>
      </c>
      <c r="L816" s="17" t="n">
        <v>1</v>
      </c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3">
        <f>SUMPRODUCT(M816:X816,$M$2:$X$2)*$K816*$L816</f>
        <v/>
      </c>
      <c r="Z816" s="14">
        <f>SUM(M816:X816)</f>
        <v/>
      </c>
      <c r="AA816" s="14">
        <f>IFERROR(IF(UPPER($E816)="L",SUMPRODUCT(M816:X816,$M$3:$X$3,$M$2:$X$2),SUMPRODUCT(M816:X816,$M$4:$X$4,$M$2:$X$2))/(Y816/($K816*$L816)),"")</f>
        <v/>
      </c>
      <c r="AB816" s="18" t="n"/>
    </row>
    <row r="817">
      <c r="A817" s="9" t="n">
        <v>808067</v>
      </c>
      <c r="B817" s="9" t="inlineStr">
        <is>
          <t>Branny De Oleo</t>
        </is>
      </c>
      <c r="C817" s="9" t="inlineStr">
        <is>
          <t>NYM</t>
        </is>
      </c>
      <c r="D817" s="9" t="n">
        <v>25</v>
      </c>
      <c r="E817" s="16" t="inlineStr">
        <is>
          <t>R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3">
        <f>SUMPRODUCT(M817:X817,$M$2:$X$2)*$K817*$L817</f>
        <v/>
      </c>
      <c r="Z817" s="14">
        <f>SUM(M817:X817)</f>
        <v/>
      </c>
      <c r="AA817" s="14">
        <f>IFERROR(IF(UPPER($E817)="L",SUMPRODUCT(M817:X817,$M$3:$X$3,$M$2:$X$2),SUMPRODUCT(M817:X817,$M$4:$X$4,$M$2:$X$2))/(Y817/($K817*$L817)),"")</f>
        <v/>
      </c>
      <c r="AB817" s="18" t="n"/>
    </row>
    <row r="818">
      <c r="A818" s="9" t="n">
        <v>656821</v>
      </c>
      <c r="B818" s="9" t="inlineStr">
        <is>
          <t>Kevin Padlo</t>
        </is>
      </c>
      <c r="C818" s="9" t="inlineStr">
        <is>
          <t>PIT</t>
        </is>
      </c>
      <c r="D818" s="9" t="n">
        <v>30</v>
      </c>
      <c r="E818" s="16" t="inlineStr">
        <is>
          <t>R</t>
        </is>
      </c>
      <c r="F818" s="16" t="n"/>
      <c r="G818" s="9" t="n">
        <v>8</v>
      </c>
      <c r="H818" s="9" t="n">
        <v>42</v>
      </c>
      <c r="I818" s="9" t="inlineStr">
        <is>
          <t>Depth (no MLB PA)</t>
        </is>
      </c>
      <c r="J818" s="16" t="inlineStr">
        <is>
          <t>Opening Day</t>
        </is>
      </c>
      <c r="K818" s="11">
        <f>IFERROR(INDEX(Roles!$B$17:$B$20,MATCH(J818,Roles!$A$17:$A$20,0)),1)</f>
        <v/>
      </c>
      <c r="L818" s="17" t="n">
        <v>1</v>
      </c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3">
        <f>SUMPRODUCT(M818:X818,$M$2:$X$2)*$K818*$L818</f>
        <v/>
      </c>
      <c r="Z818" s="14">
        <f>SUM(M818:X818)</f>
        <v/>
      </c>
      <c r="AA818" s="14">
        <f>IFERROR(IF(UPPER($E818)="L",SUMPRODUCT(M818:X818,$M$3:$X$3,$M$2:$X$2),SUMPRODUCT(M818:X818,$M$4:$X$4,$M$2:$X$2))/(Y818/($K818*$L818)),"")</f>
        <v/>
      </c>
      <c r="AB818" s="18" t="n"/>
    </row>
    <row r="819">
      <c r="A819" s="9" t="n">
        <v>829073</v>
      </c>
      <c r="B819" s="9" t="inlineStr">
        <is>
          <t>Brailyn Antunez</t>
        </is>
      </c>
      <c r="C819" s="9" t="inlineStr">
        <is>
          <t>MIL</t>
        </is>
      </c>
      <c r="D819" s="9" t="n">
        <v>25</v>
      </c>
      <c r="E819" s="16" t="inlineStr">
        <is>
          <t>R</t>
        </is>
      </c>
      <c r="F819" s="16" t="n"/>
      <c r="G819" s="9" t="n">
        <v>17.35384615384615</v>
      </c>
      <c r="H819" s="9" t="n">
        <v>17.35384615384615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3">
        <f>SUMPRODUCT(M819:X819,$M$2:$X$2)*$K819*$L819</f>
        <v/>
      </c>
      <c r="Z819" s="14">
        <f>SUM(M819:X819)</f>
        <v/>
      </c>
      <c r="AA819" s="14">
        <f>IFERROR(IF(UPPER($E819)="L",SUMPRODUCT(M819:X819,$M$3:$X$3,$M$2:$X$2),SUMPRODUCT(M819:X819,$M$4:$X$4,$M$2:$X$2))/(Y819/($K819*$L819)),"")</f>
        <v/>
      </c>
      <c r="AB819" s="18" t="n"/>
    </row>
    <row r="820">
      <c r="A820" s="9" t="n">
        <v>824028</v>
      </c>
      <c r="B820" s="9" t="inlineStr">
        <is>
          <t>Gage Miller</t>
        </is>
      </c>
      <c r="C820" s="9" t="inlineStr">
        <is>
          <t>MIA</t>
        </is>
      </c>
      <c r="D820" s="9" t="n">
        <v>25</v>
      </c>
      <c r="E820" s="16" t="inlineStr">
        <is>
          <t>R</t>
        </is>
      </c>
      <c r="F820" s="16" t="n"/>
      <c r="G820" s="9" t="n">
        <v>107.7435897435898</v>
      </c>
      <c r="H820" s="9" t="n">
        <v>107.7435897435898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3">
        <f>SUMPRODUCT(M820:X820,$M$2:$X$2)*$K820*$L820</f>
        <v/>
      </c>
      <c r="Z820" s="14">
        <f>SUM(M820:X820)</f>
        <v/>
      </c>
      <c r="AA820" s="14">
        <f>IFERROR(IF(UPPER($E820)="L",SUMPRODUCT(M820:X820,$M$3:$X$3,$M$2:$X$2),SUMPRODUCT(M820:X820,$M$4:$X$4,$M$2:$X$2))/(Y820/($K820*$L820)),"")</f>
        <v/>
      </c>
      <c r="AB820" s="18" t="n"/>
    </row>
    <row r="821">
      <c r="A821" s="9" t="n">
        <v>701618</v>
      </c>
      <c r="B821" s="9" t="inlineStr">
        <is>
          <t>Damon Keith</t>
        </is>
      </c>
      <c r="C821" s="9" t="inlineStr">
        <is>
          <t>MIL</t>
        </is>
      </c>
      <c r="D821" s="9" t="n">
        <v>25</v>
      </c>
      <c r="E821" s="16" t="inlineStr">
        <is>
          <t>R</t>
        </is>
      </c>
      <c r="F821" s="16" t="n"/>
      <c r="G821" s="9" t="n">
        <v>85.43589743589743</v>
      </c>
      <c r="H821" s="9" t="n">
        <v>85.43589743589743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3">
        <f>SUMPRODUCT(M821:X821,$M$2:$X$2)*$K821*$L821</f>
        <v/>
      </c>
      <c r="Z821" s="14">
        <f>SUM(M821:X821)</f>
        <v/>
      </c>
      <c r="AA821" s="14">
        <f>IFERROR(IF(UPPER($E821)="L",SUMPRODUCT(M821:X821,$M$3:$X$3,$M$2:$X$2),SUMPRODUCT(M821:X821,$M$4:$X$4,$M$2:$X$2))/(Y821/($K821*$L821)),"")</f>
        <v/>
      </c>
      <c r="AB821" s="18" t="n"/>
    </row>
    <row r="822">
      <c r="A822" s="9" t="n">
        <v>821920</v>
      </c>
      <c r="B822" s="9" t="inlineStr">
        <is>
          <t>Kuhio Aloy</t>
        </is>
      </c>
      <c r="C822" s="9" t="inlineStr">
        <is>
          <t>NYM</t>
        </is>
      </c>
      <c r="D822" s="9" t="n">
        <v>25</v>
      </c>
      <c r="E822" s="16" t="inlineStr">
        <is>
          <t>R</t>
        </is>
      </c>
      <c r="F822" s="16" t="n"/>
      <c r="G822" s="9" t="n">
        <v>11.07692307692308</v>
      </c>
      <c r="H822" s="9" t="n">
        <v>11.07692307692308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3">
        <f>SUMPRODUCT(M822:X822,$M$2:$X$2)*$K822*$L822</f>
        <v/>
      </c>
      <c r="Z822" s="14">
        <f>SUM(M822:X822)</f>
        <v/>
      </c>
      <c r="AA822" s="14">
        <f>IFERROR(IF(UPPER($E822)="L",SUMPRODUCT(M822:X822,$M$3:$X$3,$M$2:$X$2),SUMPRODUCT(M822:X822,$M$4:$X$4,$M$2:$X$2))/(Y822/($K822*$L822)),"")</f>
        <v/>
      </c>
      <c r="AB822" s="18" t="n"/>
    </row>
    <row r="823">
      <c r="A823" s="9" t="n">
        <v>690944</v>
      </c>
      <c r="B823" s="9" t="inlineStr">
        <is>
          <t>Curtis Washington Jr.</t>
        </is>
      </c>
      <c r="C823" s="9" t="inlineStr">
        <is>
          <t>SEA</t>
        </is>
      </c>
      <c r="D823" s="9" t="n">
        <v>25</v>
      </c>
      <c r="E823" s="16" t="inlineStr">
        <is>
          <t>R</t>
        </is>
      </c>
      <c r="F823" s="16" t="n"/>
      <c r="G823" s="9" t="n">
        <v>38.97435897435898</v>
      </c>
      <c r="H823" s="9" t="n">
        <v>38.97435897435898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3">
        <f>SUMPRODUCT(M823:X823,$M$2:$X$2)*$K823*$L823</f>
        <v/>
      </c>
      <c r="Z823" s="14">
        <f>SUM(M823:X823)</f>
        <v/>
      </c>
      <c r="AA823" s="14">
        <f>IFERROR(IF(UPPER($E823)="L",SUMPRODUCT(M823:X823,$M$3:$X$3,$M$2:$X$2),SUMPRODUCT(M823:X823,$M$4:$X$4,$M$2:$X$2))/(Y823/($K823*$L823)),"")</f>
        <v/>
      </c>
      <c r="AB823" s="18" t="n"/>
    </row>
    <row r="824">
      <c r="A824" s="9" t="n">
        <v>800526</v>
      </c>
      <c r="B824" s="9" t="inlineStr">
        <is>
          <t>Ivan Sosa</t>
        </is>
      </c>
      <c r="C824" s="9" t="inlineStr">
        <is>
          <t>KC</t>
        </is>
      </c>
      <c r="D824" s="9" t="n">
        <v>25</v>
      </c>
      <c r="E824" s="16" t="inlineStr">
        <is>
          <t>R</t>
        </is>
      </c>
      <c r="F824" s="16" t="n"/>
      <c r="G824" s="9" t="n">
        <v>19.32307692307692</v>
      </c>
      <c r="H824" s="9" t="n">
        <v>19.32307692307692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3">
        <f>SUMPRODUCT(M824:X824,$M$2:$X$2)*$K824*$L824</f>
        <v/>
      </c>
      <c r="Z824" s="14">
        <f>SUM(M824:X824)</f>
        <v/>
      </c>
      <c r="AA824" s="14">
        <f>IFERROR(IF(UPPER($E824)="L",SUMPRODUCT(M824:X824,$M$3:$X$3,$M$2:$X$2),SUMPRODUCT(M824:X824,$M$4:$X$4,$M$2:$X$2))/(Y824/($K824*$L824)),"")</f>
        <v/>
      </c>
      <c r="AB824" s="18" t="n"/>
    </row>
    <row r="825">
      <c r="A825" s="9" t="n">
        <v>831546</v>
      </c>
      <c r="B825" s="9" t="inlineStr">
        <is>
          <t>Kyeler Thompson</t>
        </is>
      </c>
      <c r="C825" s="9" t="inlineStr">
        <is>
          <t>LAD</t>
        </is>
      </c>
      <c r="D825" s="9" t="n">
        <v>25</v>
      </c>
      <c r="E825" s="16" t="inlineStr">
        <is>
          <t>R</t>
        </is>
      </c>
      <c r="F825" s="16" t="n"/>
      <c r="G825" s="9" t="n">
        <v>2.584615384615385</v>
      </c>
      <c r="H825" s="9" t="n">
        <v>2.584615384615385</v>
      </c>
      <c r="I825" s="9" t="inlineStr">
        <is>
          <t>Depth (no MLB PA)</t>
        </is>
      </c>
      <c r="J825" s="16" t="inlineStr">
        <is>
          <t>Opening Day</t>
        </is>
      </c>
      <c r="K825" s="11">
        <f>IFERROR(INDEX(Roles!$B$17:$B$20,MATCH(J825,Roles!$A$17:$A$20,0)),1)</f>
        <v/>
      </c>
      <c r="L825" s="17" t="n">
        <v>1</v>
      </c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3">
        <f>SUMPRODUCT(M825:X825,$M$2:$X$2)*$K825*$L825</f>
        <v/>
      </c>
      <c r="Z825" s="14">
        <f>SUM(M825:X825)</f>
        <v/>
      </c>
      <c r="AA825" s="14">
        <f>IFERROR(IF(UPPER($E825)="L",SUMPRODUCT(M825:X825,$M$3:$X$3,$M$2:$X$2),SUMPRODUCT(M825:X825,$M$4:$X$4,$M$2:$X$2))/(Y825/($K825*$L825)),"")</f>
        <v/>
      </c>
      <c r="AB825" s="18" t="n"/>
    </row>
    <row r="826">
      <c r="A826" s="9" t="n">
        <v>821648</v>
      </c>
      <c r="B826" s="9" t="inlineStr">
        <is>
          <t>Wilberson De Pena</t>
        </is>
      </c>
      <c r="C826" s="9" t="inlineStr">
        <is>
          <t>NYY</t>
        </is>
      </c>
      <c r="D826" s="9" t="n">
        <v>25</v>
      </c>
      <c r="E826" s="16" t="inlineStr">
        <is>
          <t>R</t>
        </is>
      </c>
      <c r="F826" s="16" t="n"/>
      <c r="G826" s="9" t="n">
        <v>11.07692307692308</v>
      </c>
      <c r="H826" s="9" t="n">
        <v>11.07692307692308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3">
        <f>SUMPRODUCT(M826:X826,$M$2:$X$2)*$K826*$L826</f>
        <v/>
      </c>
      <c r="Z826" s="14">
        <f>SUM(M826:X826)</f>
        <v/>
      </c>
      <c r="AA826" s="14">
        <f>IFERROR(IF(UPPER($E826)="L",SUMPRODUCT(M826:X826,$M$3:$X$3,$M$2:$X$2),SUMPRODUCT(M826:X826,$M$4:$X$4,$M$2:$X$2))/(Y826/($K826*$L826)),"")</f>
        <v/>
      </c>
      <c r="AB826" s="18" t="n"/>
    </row>
    <row r="827">
      <c r="A827" s="9" t="n">
        <v>808263</v>
      </c>
      <c r="B827" s="9" t="inlineStr">
        <is>
          <t>Daniel Rojas</t>
        </is>
      </c>
      <c r="C827" s="9" t="inlineStr">
        <is>
          <t>STL</t>
        </is>
      </c>
      <c r="D827" s="9" t="n">
        <v>25</v>
      </c>
      <c r="E827" s="16" t="inlineStr">
        <is>
          <t>R</t>
        </is>
      </c>
      <c r="F827" s="16" t="n"/>
      <c r="G827" s="9" t="n">
        <v>2.584615384615385</v>
      </c>
      <c r="H827" s="9" t="n">
        <v>2.584615384615385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3">
        <f>SUMPRODUCT(M827:X827,$M$2:$X$2)*$K827*$L827</f>
        <v/>
      </c>
      <c r="Z827" s="14">
        <f>SUM(M827:X827)</f>
        <v/>
      </c>
      <c r="AA827" s="14">
        <f>IFERROR(IF(UPPER($E827)="L",SUMPRODUCT(M827:X827,$M$3:$X$3,$M$2:$X$2),SUMPRODUCT(M827:X827,$M$4:$X$4,$M$2:$X$2))/(Y827/($K827*$L827)),"")</f>
        <v/>
      </c>
      <c r="AB827" s="18" t="n"/>
    </row>
    <row r="828">
      <c r="A828" s="9" t="n">
        <v>805785</v>
      </c>
      <c r="B828" s="9" t="inlineStr">
        <is>
          <t>Ryder Helfrick</t>
        </is>
      </c>
      <c r="C828" s="9" t="inlineStr">
        <is>
          <t>ARI</t>
        </is>
      </c>
      <c r="D828" s="9" t="n">
        <v>25</v>
      </c>
      <c r="E828" s="16" t="inlineStr">
        <is>
          <t>R</t>
        </is>
      </c>
      <c r="F828" s="16" t="n"/>
      <c r="G828" s="9" t="n">
        <v>13.16923076923077</v>
      </c>
      <c r="H828" s="9" t="n">
        <v>13.16923076923077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3">
        <f>SUMPRODUCT(M828:X828,$M$2:$X$2)*$K828*$L828</f>
        <v/>
      </c>
      <c r="Z828" s="14">
        <f>SUM(M828:X828)</f>
        <v/>
      </c>
      <c r="AA828" s="14">
        <f>IFERROR(IF(UPPER($E828)="L",SUMPRODUCT(M828:X828,$M$3:$X$3,$M$2:$X$2),SUMPRODUCT(M828:X828,$M$4:$X$4,$M$2:$X$2))/(Y828/($K828*$L828)),"")</f>
        <v/>
      </c>
      <c r="AB828" s="18" t="n"/>
    </row>
    <row r="829">
      <c r="A829" s="9" t="n">
        <v>808698</v>
      </c>
      <c r="B829" s="9" t="inlineStr">
        <is>
          <t>Pedro Roque</t>
        </is>
      </c>
      <c r="C829" s="9" t="inlineStr">
        <is>
          <t>KC</t>
        </is>
      </c>
      <c r="D829" s="9" t="n">
        <v>25</v>
      </c>
      <c r="E829" s="16" t="inlineStr">
        <is>
          <t>R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3">
        <f>SUMPRODUCT(M829:X829,$M$2:$X$2)*$K829*$L829</f>
        <v/>
      </c>
      <c r="Z829" s="14">
        <f>SUM(M829:X829)</f>
        <v/>
      </c>
      <c r="AA829" s="14">
        <f>IFERROR(IF(UPPER($E829)="L",SUMPRODUCT(M829:X829,$M$3:$X$3,$M$2:$X$2),SUMPRODUCT(M829:X829,$M$4:$X$4,$M$2:$X$2))/(Y829/($K829*$L829)),"")</f>
        <v/>
      </c>
      <c r="AB829" s="18" t="n"/>
    </row>
    <row r="830">
      <c r="A830" s="9" t="n">
        <v>808106</v>
      </c>
      <c r="B830" s="9" t="inlineStr">
        <is>
          <t>Gabriel Lara</t>
        </is>
      </c>
      <c r="C830" s="9" t="inlineStr">
        <is>
          <t>NYY</t>
        </is>
      </c>
      <c r="D830" s="9" t="n">
        <v>25</v>
      </c>
      <c r="E830" s="16" t="inlineStr">
        <is>
          <t>L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3">
        <f>SUMPRODUCT(M830:X830,$M$2:$X$2)*$K830*$L830</f>
        <v/>
      </c>
      <c r="Z830" s="14">
        <f>SUM(M830:X830)</f>
        <v/>
      </c>
      <c r="AA830" s="14">
        <f>IFERROR(IF(UPPER($E830)="L",SUMPRODUCT(M830:X830,$M$3:$X$3,$M$2:$X$2),SUMPRODUCT(M830:X830,$M$4:$X$4,$M$2:$X$2))/(Y830/($K830*$L830)),"")</f>
        <v/>
      </c>
      <c r="AB830" s="18" t="n"/>
    </row>
    <row r="831">
      <c r="A831" s="9" t="n">
        <v>814514</v>
      </c>
      <c r="B831" s="9" t="inlineStr">
        <is>
          <t>AJ Salgado</t>
        </is>
      </c>
      <c r="C831" s="9" t="inlineStr">
        <is>
          <t>NYM</t>
        </is>
      </c>
      <c r="D831" s="9" t="n">
        <v>25</v>
      </c>
      <c r="E831" s="16" t="inlineStr">
        <is>
          <t>L</t>
        </is>
      </c>
      <c r="F831" s="16" t="n"/>
      <c r="G831" s="9" t="n">
        <v>2.666666666666667</v>
      </c>
      <c r="H831" s="9" t="n">
        <v>2.666666666666667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3">
        <f>SUMPRODUCT(M831:X831,$M$2:$X$2)*$K831*$L831</f>
        <v/>
      </c>
      <c r="Z831" s="14">
        <f>SUM(M831:X831)</f>
        <v/>
      </c>
      <c r="AA831" s="14">
        <f>IFERROR(IF(UPPER($E831)="L",SUMPRODUCT(M831:X831,$M$3:$X$3,$M$2:$X$2),SUMPRODUCT(M831:X831,$M$4:$X$4,$M$2:$X$2))/(Y831/($K831*$L831)),"")</f>
        <v/>
      </c>
      <c r="AB831" s="18" t="n"/>
    </row>
    <row r="832">
      <c r="A832" s="9" t="n">
        <v>825130</v>
      </c>
      <c r="B832" s="9" t="inlineStr">
        <is>
          <t>Lane Haworth</t>
        </is>
      </c>
      <c r="C832" s="9" t="inlineStr">
        <is>
          <t>PHI</t>
        </is>
      </c>
      <c r="D832" s="9" t="n">
        <v>25</v>
      </c>
      <c r="E832" s="16" t="inlineStr">
        <is>
          <t>L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3">
        <f>SUMPRODUCT(M832:X832,$M$2:$X$2)*$K832*$L832</f>
        <v/>
      </c>
      <c r="Z832" s="14">
        <f>SUM(M832:X832)</f>
        <v/>
      </c>
      <c r="AA832" s="14">
        <f>IFERROR(IF(UPPER($E832)="L",SUMPRODUCT(M832:X832,$M$3:$X$3,$M$2:$X$2),SUMPRODUCT(M832:X832,$M$4:$X$4,$M$2:$X$2))/(Y832/($K832*$L832)),"")</f>
        <v/>
      </c>
      <c r="AB832" s="18" t="n"/>
    </row>
    <row r="833">
      <c r="A833" s="9" t="n">
        <v>702444</v>
      </c>
      <c r="B833" s="9" t="inlineStr">
        <is>
          <t>Eric Martinez</t>
        </is>
      </c>
      <c r="C833" s="9" t="inlineStr">
        <is>
          <t>MIL</t>
        </is>
      </c>
      <c r="D833" s="9" t="n">
        <v>25</v>
      </c>
      <c r="E833" s="16" t="inlineStr">
        <is>
          <t>R</t>
        </is>
      </c>
      <c r="F833" s="16" t="n"/>
      <c r="G833" s="9" t="n">
        <v>2.707692307692308</v>
      </c>
      <c r="H833" s="9" t="n">
        <v>2.707692307692308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3">
        <f>SUMPRODUCT(M833:X833,$M$2:$X$2)*$K833*$L833</f>
        <v/>
      </c>
      <c r="Z833" s="14">
        <f>SUM(M833:X833)</f>
        <v/>
      </c>
      <c r="AA833" s="14">
        <f>IFERROR(IF(UPPER($E833)="L",SUMPRODUCT(M833:X833,$M$3:$X$3,$M$2:$X$2),SUMPRODUCT(M833:X833,$M$4:$X$4,$M$2:$X$2))/(Y833/($K833*$L833)),"")</f>
        <v/>
      </c>
      <c r="AB833" s="18" t="n"/>
    </row>
    <row r="834">
      <c r="A834" s="9" t="n">
        <v>687731</v>
      </c>
      <c r="B834" s="9" t="inlineStr">
        <is>
          <t>Trevor Werner</t>
        </is>
      </c>
      <c r="C834" s="9" t="inlineStr">
        <is>
          <t>KC</t>
        </is>
      </c>
      <c r="D834" s="9" t="n">
        <v>25</v>
      </c>
      <c r="E834" s="16" t="inlineStr">
        <is>
          <t>R</t>
        </is>
      </c>
      <c r="F834" s="16" t="n"/>
      <c r="G834" s="9" t="n">
        <v>31.17948717948718</v>
      </c>
      <c r="H834" s="9" t="n">
        <v>31.17948717948718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3">
        <f>SUMPRODUCT(M834:X834,$M$2:$X$2)*$K834*$L834</f>
        <v/>
      </c>
      <c r="Z834" s="14">
        <f>SUM(M834:X834)</f>
        <v/>
      </c>
      <c r="AA834" s="14">
        <f>IFERROR(IF(UPPER($E834)="L",SUMPRODUCT(M834:X834,$M$3:$X$3,$M$2:$X$2),SUMPRODUCT(M834:X834,$M$4:$X$4,$M$2:$X$2))/(Y834/($K834*$L834)),"")</f>
        <v/>
      </c>
      <c r="AB834" s="18" t="n"/>
    </row>
    <row r="835">
      <c r="A835" s="9" t="n">
        <v>808278</v>
      </c>
      <c r="B835" s="9" t="inlineStr">
        <is>
          <t>Facundo Velásquez</t>
        </is>
      </c>
      <c r="C835" s="9" t="inlineStr">
        <is>
          <t>STL</t>
        </is>
      </c>
      <c r="D835" s="9" t="n">
        <v>25</v>
      </c>
      <c r="E835" s="16" t="inlineStr">
        <is>
          <t>S</t>
        </is>
      </c>
      <c r="F835" s="16" t="n"/>
      <c r="G835" s="9" t="n">
        <v>8.984615384615385</v>
      </c>
      <c r="H835" s="9" t="n">
        <v>8.984615384615385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3">
        <f>SUMPRODUCT(M835:X835,$M$2:$X$2)*$K835*$L835</f>
        <v/>
      </c>
      <c r="Z835" s="14">
        <f>SUM(M835:X835)</f>
        <v/>
      </c>
      <c r="AA835" s="14">
        <f>IFERROR(IF(UPPER($E835)="L",SUMPRODUCT(M835:X835,$M$3:$X$3,$M$2:$X$2),SUMPRODUCT(M835:X835,$M$4:$X$4,$M$2:$X$2))/(Y835/($K835*$L835)),"")</f>
        <v/>
      </c>
      <c r="AB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3">
        <f>SUMPRODUCT(M836:X836,$M$2:$X$2)*$K836*$L836</f>
        <v/>
      </c>
      <c r="Z836" s="14">
        <f>SUM(M836:X836)</f>
        <v/>
      </c>
      <c r="AA836" s="14">
        <f>IFERROR(IF(UPPER($E836)="L",SUMPRODUCT(M836:X836,$M$3:$X$3,$M$2:$X$2),SUMPRODUCT(M836:X836,$M$4:$X$4,$M$2:$X$2))/(Y836/($K836*$L836)),"")</f>
        <v/>
      </c>
      <c r="AB836" s="18" t="n"/>
    </row>
    <row r="837">
      <c r="A837" s="9" t="n">
        <v>833397</v>
      </c>
      <c r="B837" s="9" t="inlineStr">
        <is>
          <t>James Quinn-Irons</t>
        </is>
      </c>
      <c r="C837" s="9" t="inlineStr">
        <is>
          <t>TB</t>
        </is>
      </c>
      <c r="D837" s="9" t="n">
        <v>25</v>
      </c>
      <c r="E837" s="16" t="inlineStr">
        <is>
          <t>R</t>
        </is>
      </c>
      <c r="F837" s="16" t="n"/>
      <c r="G837" s="9" t="n">
        <v>2.707692307692308</v>
      </c>
      <c r="H837" s="9" t="n">
        <v>2.707692307692308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3">
        <f>SUMPRODUCT(M837:X837,$M$2:$X$2)*$K837*$L837</f>
        <v/>
      </c>
      <c r="Z837" s="14">
        <f>SUM(M837:X837)</f>
        <v/>
      </c>
      <c r="AA837" s="14">
        <f>IFERROR(IF(UPPER($E837)="L",SUMPRODUCT(M837:X837,$M$3:$X$3,$M$2:$X$2),SUMPRODUCT(M837:X837,$M$4:$X$4,$M$2:$X$2))/(Y837/($K837*$L837)),"")</f>
        <v/>
      </c>
      <c r="AB837" s="18" t="n"/>
    </row>
    <row r="838">
      <c r="A838" s="9" t="n">
        <v>828811</v>
      </c>
      <c r="B838" s="9" t="inlineStr">
        <is>
          <t>Tyler Spangler</t>
        </is>
      </c>
      <c r="C838" s="9" t="inlineStr">
        <is>
          <t>PHI</t>
        </is>
      </c>
      <c r="D838" s="9" t="n">
        <v>25</v>
      </c>
      <c r="E838" s="16" t="inlineStr">
        <is>
          <t>L</t>
        </is>
      </c>
      <c r="F838" s="16" t="n"/>
      <c r="G838" s="9" t="n">
        <v>4.923076923076923</v>
      </c>
      <c r="H838" s="9" t="n">
        <v>4.923076923076923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3">
        <f>SUMPRODUCT(M838:X838,$M$2:$X$2)*$K838*$L838</f>
        <v/>
      </c>
      <c r="Z838" s="14">
        <f>SUM(M838:X838)</f>
        <v/>
      </c>
      <c r="AA838" s="14">
        <f>IFERROR(IF(UPPER($E838)="L",SUMPRODUCT(M838:X838,$M$3:$X$3,$M$2:$X$2),SUMPRODUCT(M838:X838,$M$4:$X$4,$M$2:$X$2))/(Y838/($K838*$L838)),"")</f>
        <v/>
      </c>
      <c r="AB838" s="18" t="n"/>
    </row>
    <row r="839">
      <c r="A839" s="9" t="n">
        <v>804751</v>
      </c>
      <c r="B839" s="9" t="inlineStr">
        <is>
          <t>Logan Poteet</t>
        </is>
      </c>
      <c r="C839" s="9" t="inlineStr">
        <is>
          <t>CHC</t>
        </is>
      </c>
      <c r="D839" s="9" t="n">
        <v>25</v>
      </c>
      <c r="E839" s="16" t="inlineStr">
        <is>
          <t>R</t>
        </is>
      </c>
      <c r="F839" s="16" t="n"/>
      <c r="G839" s="9" t="n">
        <v>30.97435897435897</v>
      </c>
      <c r="H839" s="9" t="n">
        <v>30.97435897435897</v>
      </c>
      <c r="I839" s="9" t="inlineStr">
        <is>
          <t>Depth (no MLB PA)</t>
        </is>
      </c>
      <c r="J839" s="16" t="inlineStr">
        <is>
          <t>Opening Day</t>
        </is>
      </c>
      <c r="K839" s="11">
        <f>IFERROR(INDEX(Roles!$B$17:$B$20,MATCH(J839,Roles!$A$17:$A$20,0)),1)</f>
        <v/>
      </c>
      <c r="L839" s="17" t="n">
        <v>1</v>
      </c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3">
        <f>SUMPRODUCT(M839:X839,$M$2:$X$2)*$K839*$L839</f>
        <v/>
      </c>
      <c r="Z839" s="14">
        <f>SUM(M839:X839)</f>
        <v/>
      </c>
      <c r="AA839" s="14">
        <f>IFERROR(IF(UPPER($E839)="L",SUMPRODUCT(M839:X839,$M$3:$X$3,$M$2:$X$2),SUMPRODUCT(M839:X839,$M$4:$X$4,$M$2:$X$2))/(Y839/($K839*$L839)),"")</f>
        <v/>
      </c>
      <c r="AB839" s="18" t="n"/>
    </row>
    <row r="840">
      <c r="A840" s="9" t="n">
        <v>695467</v>
      </c>
      <c r="B840" s="9" t="inlineStr">
        <is>
          <t>Juan Montero</t>
        </is>
      </c>
      <c r="C840" s="9" t="inlineStr">
        <is>
          <t>BOS</t>
        </is>
      </c>
      <c r="D840" s="9" t="n">
        <v>25</v>
      </c>
      <c r="E840" s="16" t="inlineStr">
        <is>
          <t>R</t>
        </is>
      </c>
      <c r="F840" s="16" t="n"/>
      <c r="G840" s="9" t="n">
        <v>2.820512820512821</v>
      </c>
      <c r="H840" s="9" t="n">
        <v>2.820512820512821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3">
        <f>SUMPRODUCT(M840:X840,$M$2:$X$2)*$K840*$L840</f>
        <v/>
      </c>
      <c r="Z840" s="14">
        <f>SUM(M840:X840)</f>
        <v/>
      </c>
      <c r="AA840" s="14">
        <f>IFERROR(IF(UPPER($E840)="L",SUMPRODUCT(M840:X840,$M$3:$X$3,$M$2:$X$2),SUMPRODUCT(M840:X840,$M$4:$X$4,$M$2:$X$2))/(Y840/($K840*$L840)),"")</f>
        <v/>
      </c>
      <c r="AB840" s="18" t="n"/>
    </row>
    <row r="841">
      <c r="A841" s="9" t="n">
        <v>822904</v>
      </c>
      <c r="B841" s="9" t="inlineStr">
        <is>
          <t>Rashawn Galloway</t>
        </is>
      </c>
      <c r="C841" s="9" t="inlineStr">
        <is>
          <t>HOU</t>
        </is>
      </c>
      <c r="D841" s="9" t="n">
        <v>25</v>
      </c>
      <c r="E841" s="16" t="inlineStr">
        <is>
          <t>R</t>
        </is>
      </c>
      <c r="F841" s="16" t="n"/>
      <c r="G841" s="9" t="n">
        <v>2.830769230769231</v>
      </c>
      <c r="H841" s="9" t="n">
        <v>2.830769230769231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3">
        <f>SUMPRODUCT(M841:X841,$M$2:$X$2)*$K841*$L841</f>
        <v/>
      </c>
      <c r="Z841" s="14">
        <f>SUM(M841:X841)</f>
        <v/>
      </c>
      <c r="AA841" s="14">
        <f>IFERROR(IF(UPPER($E841)="L",SUMPRODUCT(M841:X841,$M$3:$X$3,$M$2:$X$2),SUMPRODUCT(M841:X841,$M$4:$X$4,$M$2:$X$2))/(Y841/($K841*$L841)),"")</f>
        <v/>
      </c>
      <c r="AB841" s="18" t="n"/>
    </row>
    <row r="842">
      <c r="A842" s="9" t="n">
        <v>806227</v>
      </c>
      <c r="B842" s="9" t="inlineStr">
        <is>
          <t>Alex Sosa</t>
        </is>
      </c>
      <c r="C842" s="9" t="inlineStr">
        <is>
          <t>OAK</t>
        </is>
      </c>
      <c r="D842" s="9" t="n">
        <v>25</v>
      </c>
      <c r="E842" s="16" t="inlineStr">
        <is>
          <t>L</t>
        </is>
      </c>
      <c r="F842" s="16" t="n"/>
      <c r="G842" s="9" t="n">
        <v>9.23076923076923</v>
      </c>
      <c r="H842" s="9" t="n">
        <v>9.23076923076923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3">
        <f>SUMPRODUCT(M842:X842,$M$2:$X$2)*$K842*$L842</f>
        <v/>
      </c>
      <c r="Z842" s="14">
        <f>SUM(M842:X842)</f>
        <v/>
      </c>
      <c r="AA842" s="14">
        <f>IFERROR(IF(UPPER($E842)="L",SUMPRODUCT(M842:X842,$M$3:$X$3,$M$2:$X$2),SUMPRODUCT(M842:X842,$M$4:$X$4,$M$2:$X$2))/(Y842/($K842*$L842)),"")</f>
        <v/>
      </c>
      <c r="AB842" s="18" t="n"/>
    </row>
    <row r="843">
      <c r="A843" s="9" t="n">
        <v>800197</v>
      </c>
      <c r="B843" s="9" t="inlineStr">
        <is>
          <t>Richard Ramirez</t>
        </is>
      </c>
      <c r="C843" s="9" t="inlineStr">
        <is>
          <t>PIT</t>
        </is>
      </c>
      <c r="D843" s="9" t="n">
        <v>25</v>
      </c>
      <c r="E843" s="16" t="inlineStr">
        <is>
          <t>R</t>
        </is>
      </c>
      <c r="F843" s="16" t="n"/>
      <c r="G843" s="9" t="n">
        <v>6.974358974358975</v>
      </c>
      <c r="H843" s="9" t="n">
        <v>6.974358974358975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3">
        <f>SUMPRODUCT(M843:X843,$M$2:$X$2)*$K843*$L843</f>
        <v/>
      </c>
      <c r="Z843" s="14">
        <f>SUM(M843:X843)</f>
        <v/>
      </c>
      <c r="AA843" s="14">
        <f>IFERROR(IF(UPPER($E843)="L",SUMPRODUCT(M843:X843,$M$3:$X$3,$M$2:$X$2),SUMPRODUCT(M843:X843,$M$4:$X$4,$M$2:$X$2))/(Y843/($K843*$L843)),"")</f>
        <v/>
      </c>
      <c r="AB843" s="18" t="n"/>
    </row>
    <row r="844">
      <c r="A844" s="9" t="n">
        <v>805025</v>
      </c>
      <c r="B844" s="9" t="inlineStr">
        <is>
          <t>Rylan Galvan</t>
        </is>
      </c>
      <c r="C844" s="9" t="inlineStr">
        <is>
          <t>CWS</t>
        </is>
      </c>
      <c r="D844" s="9" t="n">
        <v>25</v>
      </c>
      <c r="E844" s="16" t="inlineStr">
        <is>
          <t>R</t>
        </is>
      </c>
      <c r="F844" s="16" t="n"/>
      <c r="G844" s="9" t="n">
        <v>10.87179487179487</v>
      </c>
      <c r="H844" s="9" t="n">
        <v>10.87179487179487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3">
        <f>SUMPRODUCT(M844:X844,$M$2:$X$2)*$K844*$L844</f>
        <v/>
      </c>
      <c r="Z844" s="14">
        <f>SUM(M844:X844)</f>
        <v/>
      </c>
      <c r="AA844" s="14">
        <f>IFERROR(IF(UPPER($E844)="L",SUMPRODUCT(M844:X844,$M$3:$X$3,$M$2:$X$2),SUMPRODUCT(M844:X844,$M$4:$X$4,$M$2:$X$2))/(Y844/($K844*$L844)),"")</f>
        <v/>
      </c>
      <c r="AB844" s="18" t="n"/>
    </row>
    <row r="845">
      <c r="A845" s="9" t="n">
        <v>815966</v>
      </c>
      <c r="B845" s="9" t="inlineStr">
        <is>
          <t>Irvin Nunez</t>
        </is>
      </c>
      <c r="C845" s="9" t="inlineStr">
        <is>
          <t>MIN</t>
        </is>
      </c>
      <c r="D845" s="9" t="n">
        <v>25</v>
      </c>
      <c r="E845" s="16" t="inlineStr">
        <is>
          <t>R</t>
        </is>
      </c>
      <c r="F845" s="16" t="n"/>
      <c r="G845" s="9" t="n">
        <v>11.07692307692308</v>
      </c>
      <c r="H845" s="9" t="n">
        <v>11.07692307692308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3">
        <f>SUMPRODUCT(M845:X845,$M$2:$X$2)*$K845*$L845</f>
        <v/>
      </c>
      <c r="Z845" s="14">
        <f>SUM(M845:X845)</f>
        <v/>
      </c>
      <c r="AA845" s="14">
        <f>IFERROR(IF(UPPER($E845)="L",SUMPRODUCT(M845:X845,$M$3:$X$3,$M$2:$X$2),SUMPRODUCT(M845:X845,$M$4:$X$4,$M$2:$X$2))/(Y845/($K845*$L845)),"")</f>
        <v/>
      </c>
      <c r="AB845" s="18" t="n"/>
    </row>
    <row r="846">
      <c r="A846" s="9" t="n">
        <v>808380</v>
      </c>
      <c r="B846" s="9" t="inlineStr">
        <is>
          <t>Yosneiker Rivas</t>
        </is>
      </c>
      <c r="C846" s="9" t="inlineStr">
        <is>
          <t>SF</t>
        </is>
      </c>
      <c r="D846" s="9" t="n">
        <v>25</v>
      </c>
      <c r="E846" s="16" t="inlineStr">
        <is>
          <t>L</t>
        </is>
      </c>
      <c r="F846" s="16" t="n"/>
      <c r="G846" s="9" t="n">
        <v>5.046153846153846</v>
      </c>
      <c r="H846" s="9" t="n">
        <v>5.046153846153846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3">
        <f>SUMPRODUCT(M846:X846,$M$2:$X$2)*$K846*$L846</f>
        <v/>
      </c>
      <c r="Z846" s="14">
        <f>SUM(M846:X846)</f>
        <v/>
      </c>
      <c r="AA846" s="14">
        <f>IFERROR(IF(UPPER($E846)="L",SUMPRODUCT(M846:X846,$M$3:$X$3,$M$2:$X$2),SUMPRODUCT(M846:X846,$M$4:$X$4,$M$2:$X$2))/(Y846/($K846*$L846)),"")</f>
        <v/>
      </c>
      <c r="AB846" s="18" t="n"/>
    </row>
    <row r="847">
      <c r="A847" s="9" t="n">
        <v>801592</v>
      </c>
      <c r="B847" s="9" t="inlineStr">
        <is>
          <t>Zander Darby</t>
        </is>
      </c>
      <c r="C847" s="9" t="inlineStr">
        <is>
          <t>SF</t>
        </is>
      </c>
      <c r="D847" s="9" t="n">
        <v>25</v>
      </c>
      <c r="E847" s="16" t="inlineStr">
        <is>
          <t>L</t>
        </is>
      </c>
      <c r="F847" s="16" t="n"/>
      <c r="G847" s="9" t="n">
        <v>2.820512820512821</v>
      </c>
      <c r="H847" s="9" t="n">
        <v>2.820512820512821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3">
        <f>SUMPRODUCT(M847:X847,$M$2:$X$2)*$K847*$L847</f>
        <v/>
      </c>
      <c r="Z847" s="14">
        <f>SUM(M847:X847)</f>
        <v/>
      </c>
      <c r="AA847" s="14">
        <f>IFERROR(IF(UPPER($E847)="L",SUMPRODUCT(M847:X847,$M$3:$X$3,$M$2:$X$2),SUMPRODUCT(M847:X847,$M$4:$X$4,$M$2:$X$2))/(Y847/($K847*$L847)),"")</f>
        <v/>
      </c>
      <c r="AB847" s="18" t="n"/>
    </row>
    <row r="848">
      <c r="A848" s="9" t="n">
        <v>802541</v>
      </c>
      <c r="B848" s="9" t="inlineStr">
        <is>
          <t>Bryan Broecker</t>
        </is>
      </c>
      <c r="C848" s="9" t="inlineStr">
        <is>
          <t>TB</t>
        </is>
      </c>
      <c r="D848" s="9" t="n">
        <v>25</v>
      </c>
      <c r="E848" s="16" t="inlineStr">
        <is>
          <t>R</t>
        </is>
      </c>
      <c r="F848" s="16" t="n"/>
      <c r="G848" s="9" t="n">
        <v>2.820512820512821</v>
      </c>
      <c r="H848" s="9" t="n">
        <v>2.820512820512821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3">
        <f>SUMPRODUCT(M848:X848,$M$2:$X$2)*$K848*$L848</f>
        <v/>
      </c>
      <c r="Z848" s="14">
        <f>SUM(M848:X848)</f>
        <v/>
      </c>
      <c r="AA848" s="14">
        <f>IFERROR(IF(UPPER($E848)="L",SUMPRODUCT(M848:X848,$M$3:$X$3,$M$2:$X$2),SUMPRODUCT(M848:X848,$M$4:$X$4,$M$2:$X$2))/(Y848/($K848*$L848)),"")</f>
        <v/>
      </c>
      <c r="AB848" s="18" t="n"/>
    </row>
    <row r="849">
      <c r="A849" s="9" t="n">
        <v>829768</v>
      </c>
      <c r="B849" s="9" t="inlineStr">
        <is>
          <t>Malvin Fernandez</t>
        </is>
      </c>
      <c r="C849" s="9" t="inlineStr">
        <is>
          <t>ATL</t>
        </is>
      </c>
      <c r="D849" s="9" t="n">
        <v>25</v>
      </c>
      <c r="E849" s="16" t="inlineStr">
        <is>
          <t>S</t>
        </is>
      </c>
      <c r="F849" s="16" t="n"/>
      <c r="G849" s="9" t="n">
        <v>2.871794871794872</v>
      </c>
      <c r="H849" s="9" t="n">
        <v>2.871794871794872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3">
        <f>SUMPRODUCT(M849:X849,$M$2:$X$2)*$K849*$L849</f>
        <v/>
      </c>
      <c r="Z849" s="14">
        <f>SUM(M849:X849)</f>
        <v/>
      </c>
      <c r="AA849" s="14">
        <f>IFERROR(IF(UPPER($E849)="L",SUMPRODUCT(M849:X849,$M$3:$X$3,$M$2:$X$2),SUMPRODUCT(M849:X849,$M$4:$X$4,$M$2:$X$2))/(Y849/($K849*$L849)),"")</f>
        <v/>
      </c>
      <c r="AB849" s="18" t="n"/>
    </row>
    <row r="850">
      <c r="A850" s="9" t="n">
        <v>823703</v>
      </c>
      <c r="B850" s="9" t="inlineStr">
        <is>
          <t>Anthony Donofrio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3">
        <f>SUMPRODUCT(M850:X850,$M$2:$X$2)*$K850*$L850</f>
        <v/>
      </c>
      <c r="Z850" s="14">
        <f>SUM(M850:X850)</f>
        <v/>
      </c>
      <c r="AA850" s="14">
        <f>IFERROR(IF(UPPER($E850)="L",SUMPRODUCT(M850:X850,$M$3:$X$3,$M$2:$X$2),SUMPRODUCT(M850:X850,$M$4:$X$4,$M$2:$X$2))/(Y850/($K850*$L850)),"")</f>
        <v/>
      </c>
      <c r="AB850" s="18" t="n"/>
    </row>
    <row r="851">
      <c r="A851" s="9" t="n">
        <v>814456</v>
      </c>
      <c r="B851" s="9" t="inlineStr">
        <is>
          <t>Jo Oyama</t>
        </is>
      </c>
      <c r="C851" s="9" t="inlineStr">
        <is>
          <t>SEA</t>
        </is>
      </c>
      <c r="D851" s="9" t="n">
        <v>25</v>
      </c>
      <c r="E851" s="16" t="inlineStr">
        <is>
          <t>L</t>
        </is>
      </c>
      <c r="F851" s="16" t="n"/>
      <c r="G851" s="9" t="n">
        <v>2.871794871794872</v>
      </c>
      <c r="H851" s="9" t="n">
        <v>2.871794871794872</v>
      </c>
      <c r="I851" s="9" t="inlineStr">
        <is>
          <t>Depth (no MLB PA)</t>
        </is>
      </c>
      <c r="J851" s="16" t="inlineStr">
        <is>
          <t>Opening Day</t>
        </is>
      </c>
      <c r="K851" s="11">
        <f>IFERROR(INDEX(Roles!$B$17:$B$20,MATCH(J851,Roles!$A$17:$A$20,0)),1)</f>
        <v/>
      </c>
      <c r="L851" s="17" t="n">
        <v>1</v>
      </c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3">
        <f>SUMPRODUCT(M851:X851,$M$2:$X$2)*$K851*$L851</f>
        <v/>
      </c>
      <c r="Z851" s="14">
        <f>SUM(M851:X851)</f>
        <v/>
      </c>
      <c r="AA851" s="14">
        <f>IFERROR(IF(UPPER($E851)="L",SUMPRODUCT(M851:X851,$M$3:$X$3,$M$2:$X$2),SUMPRODUCT(M851:X851,$M$4:$X$4,$M$2:$X$2))/(Y851/($K851*$L851)),"")</f>
        <v/>
      </c>
      <c r="AB851" s="18" t="n"/>
    </row>
    <row r="852">
      <c r="A852" s="9" t="n">
        <v>826163</v>
      </c>
      <c r="B852" s="9" t="inlineStr">
        <is>
          <t>Carter Dorighi</t>
        </is>
      </c>
      <c r="C852" s="9" t="inlineStr">
        <is>
          <t>SEA</t>
        </is>
      </c>
      <c r="D852" s="9" t="n">
        <v>25</v>
      </c>
      <c r="E852" s="16" t="inlineStr">
        <is>
          <t>L</t>
        </is>
      </c>
      <c r="F852" s="16" t="n"/>
      <c r="G852" s="9" t="n">
        <v>2.871794871794872</v>
      </c>
      <c r="H852" s="9" t="n">
        <v>2.871794871794872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3">
        <f>SUMPRODUCT(M852:X852,$M$2:$X$2)*$K852*$L852</f>
        <v/>
      </c>
      <c r="Z852" s="14">
        <f>SUM(M852:X852)</f>
        <v/>
      </c>
      <c r="AA852" s="14">
        <f>IFERROR(IF(UPPER($E852)="L",SUMPRODUCT(M852:X852,$M$3:$X$3,$M$2:$X$2),SUMPRODUCT(M852:X852,$M$4:$X$4,$M$2:$X$2))/(Y852/($K852*$L852)),"")</f>
        <v/>
      </c>
      <c r="AB852" s="18" t="n"/>
    </row>
    <row r="853">
      <c r="A853" s="9" t="n">
        <v>702610</v>
      </c>
      <c r="B853" s="9" t="inlineStr">
        <is>
          <t>Ike Irish</t>
        </is>
      </c>
      <c r="C853" s="9" t="inlineStr">
        <is>
          <t>BAL</t>
        </is>
      </c>
      <c r="D853" s="9" t="n">
        <v>25</v>
      </c>
      <c r="E853" s="16" t="inlineStr">
        <is>
          <t>L</t>
        </is>
      </c>
      <c r="F853" s="16" t="n"/>
      <c r="G853" s="9" t="n">
        <v>68.30769230769231</v>
      </c>
      <c r="H853" s="9" t="n">
        <v>68.30769230769231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3">
        <f>SUMPRODUCT(M853:X853,$M$2:$X$2)*$K853*$L853</f>
        <v/>
      </c>
      <c r="Z853" s="14">
        <f>SUM(M853:X853)</f>
        <v/>
      </c>
      <c r="AA853" s="14">
        <f>IFERROR(IF(UPPER($E853)="L",SUMPRODUCT(M853:X853,$M$3:$X$3,$M$2:$X$2),SUMPRODUCT(M853:X853,$M$4:$X$4,$M$2:$X$2))/(Y853/($K853*$L853)),"")</f>
        <v/>
      </c>
      <c r="AB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3">
        <f>SUMPRODUCT(M854:X854,$M$2:$X$2)*$K854*$L854</f>
        <v/>
      </c>
      <c r="Z854" s="14">
        <f>SUM(M854:X854)</f>
        <v/>
      </c>
      <c r="AA854" s="14">
        <f>IFERROR(IF(UPPER($E854)="L",SUMPRODUCT(M854:X854,$M$3:$X$3,$M$2:$X$2),SUMPRODUCT(M854:X854,$M$4:$X$4,$M$2:$X$2))/(Y854/($K854*$L854)),"")</f>
        <v/>
      </c>
      <c r="AB854" s="18" t="n"/>
    </row>
    <row r="855">
      <c r="A855" s="9" t="n">
        <v>807999</v>
      </c>
      <c r="B855" s="9" t="inlineStr">
        <is>
          <t>David Guzman</t>
        </is>
      </c>
      <c r="C855" s="9" t="inlineStr">
        <is>
          <t>TOR</t>
        </is>
      </c>
      <c r="D855" s="9" t="n">
        <v>25</v>
      </c>
      <c r="E855" s="16" t="inlineStr">
        <is>
          <t>L</t>
        </is>
      </c>
      <c r="F855" s="16" t="n"/>
      <c r="G855" s="9" t="n">
        <v>2.871794871794872</v>
      </c>
      <c r="H855" s="9" t="n">
        <v>2.871794871794872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3">
        <f>SUMPRODUCT(M855:X855,$M$2:$X$2)*$K855*$L855</f>
        <v/>
      </c>
      <c r="Z855" s="14">
        <f>SUM(M855:X855)</f>
        <v/>
      </c>
      <c r="AA855" s="14">
        <f>IFERROR(IF(UPPER($E855)="L",SUMPRODUCT(M855:X855,$M$3:$X$3,$M$2:$X$2),SUMPRODUCT(M855:X855,$M$4:$X$4,$M$2:$X$2))/(Y855/($K855*$L855)),"")</f>
        <v/>
      </c>
      <c r="AB855" s="18" t="n"/>
    </row>
    <row r="856">
      <c r="A856" s="9" t="n">
        <v>703191</v>
      </c>
      <c r="B856" s="9" t="inlineStr">
        <is>
          <t>Yilber Herrera</t>
        </is>
      </c>
      <c r="C856" s="9" t="inlineStr">
        <is>
          <t>MIN</t>
        </is>
      </c>
      <c r="D856" s="9" t="n">
        <v>25</v>
      </c>
      <c r="E856" s="16" t="inlineStr">
        <is>
          <t>S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3">
        <f>SUMPRODUCT(M856:X856,$M$2:$X$2)*$K856*$L856</f>
        <v/>
      </c>
      <c r="Z856" s="14">
        <f>SUM(M856:X856)</f>
        <v/>
      </c>
      <c r="AA856" s="14">
        <f>IFERROR(IF(UPPER($E856)="L",SUMPRODUCT(M856:X856,$M$3:$X$3,$M$2:$X$2),SUMPRODUCT(M856:X856,$M$4:$X$4,$M$2:$X$2))/(Y856/($K856*$L856)),"")</f>
        <v/>
      </c>
      <c r="AB856" s="18" t="n"/>
    </row>
    <row r="857">
      <c r="A857" s="9" t="n">
        <v>681400</v>
      </c>
      <c r="B857" s="9" t="inlineStr">
        <is>
          <t>Danny Serretti</t>
        </is>
      </c>
      <c r="C857" s="9" t="inlineStr">
        <is>
          <t>ARI</t>
        </is>
      </c>
      <c r="D857" s="9" t="n">
        <v>25</v>
      </c>
      <c r="E857" s="16" t="inlineStr">
        <is>
          <t>S</t>
        </is>
      </c>
      <c r="F857" s="16" t="n"/>
      <c r="G857" s="9" t="n">
        <v>77.84615384615385</v>
      </c>
      <c r="H857" s="9" t="n">
        <v>77.84615384615385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3">
        <f>SUMPRODUCT(M857:X857,$M$2:$X$2)*$K857*$L857</f>
        <v/>
      </c>
      <c r="Z857" s="14">
        <f>SUM(M857:X857)</f>
        <v/>
      </c>
      <c r="AA857" s="14">
        <f>IFERROR(IF(UPPER($E857)="L",SUMPRODUCT(M857:X857,$M$3:$X$3,$M$2:$X$2),SUMPRODUCT(M857:X857,$M$4:$X$4,$M$2:$X$2))/(Y857/($K857*$L857)),"")</f>
        <v/>
      </c>
      <c r="AB857" s="18" t="n"/>
    </row>
    <row r="858">
      <c r="A858" s="9" t="n">
        <v>840371</v>
      </c>
      <c r="B858" s="9" t="inlineStr">
        <is>
          <t>Tyson LeBlanc</t>
        </is>
      </c>
      <c r="C858" s="9" t="inlineStr">
        <is>
          <t>DET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3">
        <f>SUMPRODUCT(M858:X858,$M$2:$X$2)*$K858*$L858</f>
        <v/>
      </c>
      <c r="Z858" s="14">
        <f>SUM(M858:X858)</f>
        <v/>
      </c>
      <c r="AA858" s="14">
        <f>IFERROR(IF(UPPER($E858)="L",SUMPRODUCT(M858:X858,$M$3:$X$3,$M$2:$X$2),SUMPRODUCT(M858:X858,$M$4:$X$4,$M$2:$X$2))/(Y858/($K858*$L858)),"")</f>
        <v/>
      </c>
      <c r="AB858" s="18" t="n"/>
    </row>
    <row r="859">
      <c r="A859" s="9" t="n">
        <v>682616</v>
      </c>
      <c r="B859" s="9" t="inlineStr">
        <is>
          <t>Diego Cartaya</t>
        </is>
      </c>
      <c r="C859" s="9" t="inlineStr">
        <is>
          <t>SF</t>
        </is>
      </c>
      <c r="D859" s="9" t="n">
        <v>25</v>
      </c>
      <c r="E859" s="16" t="inlineStr">
        <is>
          <t>R</t>
        </is>
      </c>
      <c r="F859" s="16" t="n"/>
      <c r="G859" s="9" t="n">
        <v>6.974358974358975</v>
      </c>
      <c r="H859" s="9" t="n">
        <v>6.974358974358975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3">
        <f>SUMPRODUCT(M859:X859,$M$2:$X$2)*$K859*$L859</f>
        <v/>
      </c>
      <c r="Z859" s="14">
        <f>SUM(M859:X859)</f>
        <v/>
      </c>
      <c r="AA859" s="14">
        <f>IFERROR(IF(UPPER($E859)="L",SUMPRODUCT(M859:X859,$M$3:$X$3,$M$2:$X$2),SUMPRODUCT(M859:X859,$M$4:$X$4,$M$2:$X$2))/(Y859/($K859*$L859)),"")</f>
        <v/>
      </c>
      <c r="AB859" s="18" t="n"/>
    </row>
    <row r="860">
      <c r="A860" s="9" t="n">
        <v>831384</v>
      </c>
      <c r="B860" s="9" t="inlineStr">
        <is>
          <t>Josh Owens</t>
        </is>
      </c>
      <c r="C860" s="9" t="inlineStr">
        <is>
          <t>TEX</t>
        </is>
      </c>
      <c r="D860" s="9" t="n">
        <v>25</v>
      </c>
      <c r="E860" s="16" t="inlineStr">
        <is>
          <t>L</t>
        </is>
      </c>
      <c r="F860" s="16" t="n"/>
      <c r="G860" s="9" t="n">
        <v>2.953846153846154</v>
      </c>
      <c r="H860" s="9" t="n">
        <v>2.953846153846154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3">
        <f>SUMPRODUCT(M860:X860,$M$2:$X$2)*$K860*$L860</f>
        <v/>
      </c>
      <c r="Z860" s="14">
        <f>SUM(M860:X860)</f>
        <v/>
      </c>
      <c r="AA860" s="14">
        <f>IFERROR(IF(UPPER($E860)="L",SUMPRODUCT(M860:X860,$M$3:$X$3,$M$2:$X$2),SUMPRODUCT(M860:X860,$M$4:$X$4,$M$2:$X$2))/(Y860/($K860*$L860)),"")</f>
        <v/>
      </c>
      <c r="AB860" s="18" t="n"/>
    </row>
    <row r="861">
      <c r="A861" s="9" t="n">
        <v>814829</v>
      </c>
      <c r="B861" s="9" t="inlineStr">
        <is>
          <t>Maddox Molony</t>
        </is>
      </c>
      <c r="C861" s="9" t="inlineStr">
        <is>
          <t>DET</t>
        </is>
      </c>
      <c r="D861" s="9" t="n">
        <v>25</v>
      </c>
      <c r="E861" s="16" t="inlineStr">
        <is>
          <t>R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3">
        <f>SUMPRODUCT(M861:X861,$M$2:$X$2)*$K861*$L861</f>
        <v/>
      </c>
      <c r="Z861" s="14">
        <f>SUM(M861:X861)</f>
        <v/>
      </c>
      <c r="AA861" s="14">
        <f>IFERROR(IF(UPPER($E861)="L",SUMPRODUCT(M861:X861,$M$3:$X$3,$M$2:$X$2),SUMPRODUCT(M861:X861,$M$4:$X$4,$M$2:$X$2))/(Y861/($K861*$L861)),"")</f>
        <v/>
      </c>
      <c r="AB861" s="18" t="n"/>
    </row>
    <row r="862">
      <c r="A862" s="9" t="n">
        <v>816000</v>
      </c>
      <c r="B862" s="9" t="inlineStr">
        <is>
          <t>Owen Gregg</t>
        </is>
      </c>
      <c r="C862" s="9" t="inlineStr">
        <is>
          <t>TOR</t>
        </is>
      </c>
      <c r="D862" s="9" t="n">
        <v>25</v>
      </c>
      <c r="E862" s="16" t="inlineStr">
        <is>
          <t>R</t>
        </is>
      </c>
      <c r="F862" s="16" t="n"/>
      <c r="G862" s="9" t="n">
        <v>2.953846153846154</v>
      </c>
      <c r="H862" s="9" t="n">
        <v>2.953846153846154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3">
        <f>SUMPRODUCT(M862:X862,$M$2:$X$2)*$K862*$L862</f>
        <v/>
      </c>
      <c r="Z862" s="14">
        <f>SUM(M862:X862)</f>
        <v/>
      </c>
      <c r="AA862" s="14">
        <f>IFERROR(IF(UPPER($E862)="L",SUMPRODUCT(M862:X862,$M$3:$X$3,$M$2:$X$2),SUMPRODUCT(M862:X862,$M$4:$X$4,$M$2:$X$2))/(Y862/($K862*$L862)),"")</f>
        <v/>
      </c>
      <c r="AB862" s="18" t="n"/>
    </row>
    <row r="863">
      <c r="A863" s="9" t="n">
        <v>835318</v>
      </c>
      <c r="B863" s="9" t="inlineStr">
        <is>
          <t>Aidan Redahan</t>
        </is>
      </c>
      <c r="C863" s="9" t="inlineStr">
        <is>
          <t>COL</t>
        </is>
      </c>
      <c r="D863" s="9" t="n">
        <v>25</v>
      </c>
      <c r="E863" s="16" t="inlineStr">
        <is>
          <t>L</t>
        </is>
      </c>
      <c r="F863" s="16" t="n"/>
      <c r="G863" s="9" t="n">
        <v>5.16923076923077</v>
      </c>
      <c r="H863" s="9" t="n">
        <v>5.16923076923077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3">
        <f>SUMPRODUCT(M863:X863,$M$2:$X$2)*$K863*$L863</f>
        <v/>
      </c>
      <c r="Z863" s="14">
        <f>SUM(M863:X863)</f>
        <v/>
      </c>
      <c r="AA863" s="14">
        <f>IFERROR(IF(UPPER($E863)="L",SUMPRODUCT(M863:X863,$M$3:$X$3,$M$2:$X$2),SUMPRODUCT(M863:X863,$M$4:$X$4,$M$2:$X$2))/(Y863/($K863*$L863)),"")</f>
        <v/>
      </c>
      <c r="AB863" s="18" t="n"/>
    </row>
    <row r="864">
      <c r="A864" s="9" t="n">
        <v>703766</v>
      </c>
      <c r="B864" s="9" t="inlineStr">
        <is>
          <t>Dakota Harris</t>
        </is>
      </c>
      <c r="C864" s="9" t="inlineStr">
        <is>
          <t>STL</t>
        </is>
      </c>
      <c r="D864" s="9" t="n">
        <v>25</v>
      </c>
      <c r="E864" s="16" t="inlineStr">
        <is>
          <t>R</t>
        </is>
      </c>
      <c r="F864" s="16" t="n"/>
      <c r="G864" s="9" t="n">
        <v>33.28205128205128</v>
      </c>
      <c r="H864" s="9" t="n">
        <v>33.28205128205128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3">
        <f>SUMPRODUCT(M864:X864,$M$2:$X$2)*$K864*$L864</f>
        <v/>
      </c>
      <c r="Z864" s="14">
        <f>SUM(M864:X864)</f>
        <v/>
      </c>
      <c r="AA864" s="14">
        <f>IFERROR(IF(UPPER($E864)="L",SUMPRODUCT(M864:X864,$M$3:$X$3,$M$2:$X$2),SUMPRODUCT(M864:X864,$M$4:$X$4,$M$2:$X$2))/(Y864/($K864*$L864)),"")</f>
        <v/>
      </c>
      <c r="AB864" s="18" t="n"/>
    </row>
    <row r="865">
      <c r="A865" s="9" t="n">
        <v>813314</v>
      </c>
      <c r="B865" s="9" t="inlineStr">
        <is>
          <t>Logan Hughes</t>
        </is>
      </c>
      <c r="C865" s="9" t="inlineStr">
        <is>
          <t>HOU</t>
        </is>
      </c>
      <c r="D865" s="9" t="n">
        <v>25</v>
      </c>
      <c r="E865" s="16" t="inlineStr">
        <is>
          <t>L</t>
        </is>
      </c>
      <c r="F865" s="16" t="n"/>
      <c r="G865" s="9" t="n">
        <v>11.56923076923077</v>
      </c>
      <c r="H865" s="9" t="n">
        <v>11.56923076923077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3">
        <f>SUMPRODUCT(M865:X865,$M$2:$X$2)*$K865*$L865</f>
        <v/>
      </c>
      <c r="Z865" s="14">
        <f>SUM(M865:X865)</f>
        <v/>
      </c>
      <c r="AA865" s="14">
        <f>IFERROR(IF(UPPER($E865)="L",SUMPRODUCT(M865:X865,$M$3:$X$3,$M$2:$X$2),SUMPRODUCT(M865:X865,$M$4:$X$4,$M$2:$X$2))/(Y865/($K865*$L865)),"")</f>
        <v/>
      </c>
      <c r="AB865" s="18" t="n"/>
    </row>
    <row r="866">
      <c r="A866" s="9" t="n">
        <v>814458</v>
      </c>
      <c r="B866" s="9" t="inlineStr">
        <is>
          <t>Fenwick Trimble</t>
        </is>
      </c>
      <c r="C866" s="9" t="inlineStr">
        <is>
          <t>MIA</t>
        </is>
      </c>
      <c r="D866" s="9" t="n">
        <v>25</v>
      </c>
      <c r="E866" s="16" t="inlineStr">
        <is>
          <t>R</t>
        </is>
      </c>
      <c r="F866" s="16" t="n"/>
      <c r="G866" s="9" t="n">
        <v>129.5897435897436</v>
      </c>
      <c r="H866" s="9" t="n">
        <v>129.5897435897436</v>
      </c>
      <c r="I866" s="9" t="inlineStr">
        <is>
          <t>Depth (no MLB PA)</t>
        </is>
      </c>
      <c r="J866" s="16" t="inlineStr">
        <is>
          <t>Opening Day</t>
        </is>
      </c>
      <c r="K866" s="11">
        <f>IFERROR(INDEX(Roles!$B$17:$B$20,MATCH(J866,Roles!$A$17:$A$20,0)),1)</f>
        <v/>
      </c>
      <c r="L866" s="17" t="n">
        <v>1</v>
      </c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3">
        <f>SUMPRODUCT(M866:X866,$M$2:$X$2)*$K866*$L866</f>
        <v/>
      </c>
      <c r="Z866" s="14">
        <f>SUM(M866:X866)</f>
        <v/>
      </c>
      <c r="AA866" s="14">
        <f>IFERROR(IF(UPPER($E866)="L",SUMPRODUCT(M866:X866,$M$3:$X$3,$M$2:$X$2),SUMPRODUCT(M866:X866,$M$4:$X$4,$M$2:$X$2))/(Y866/($K866*$L866)),"")</f>
        <v/>
      </c>
      <c r="AB866" s="18" t="n"/>
    </row>
    <row r="867">
      <c r="A867" s="9" t="n">
        <v>808096</v>
      </c>
      <c r="B867" s="9" t="inlineStr">
        <is>
          <t>Reiner Herrera</t>
        </is>
      </c>
      <c r="C867" s="9" t="inlineStr">
        <is>
          <t>CLE</t>
        </is>
      </c>
      <c r="D867" s="9" t="n">
        <v>25</v>
      </c>
      <c r="E867" s="16" t="inlineStr">
        <is>
          <t>L</t>
        </is>
      </c>
      <c r="F867" s="16" t="n"/>
      <c r="G867" s="9" t="n">
        <v>18.09230769230769</v>
      </c>
      <c r="H867" s="9" t="n">
        <v>18.09230769230769</v>
      </c>
      <c r="I867" s="9" t="inlineStr">
        <is>
          <t>Depth (no MLB PA)</t>
        </is>
      </c>
      <c r="J867" s="16" t="inlineStr">
        <is>
          <t>Opening Day</t>
        </is>
      </c>
      <c r="K867" s="11">
        <f>IFERROR(INDEX(Roles!$B$17:$B$20,MATCH(J867,Roles!$A$17:$A$20,0)),1)</f>
        <v/>
      </c>
      <c r="L867" s="17" t="n">
        <v>1</v>
      </c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3">
        <f>SUMPRODUCT(M867:X867,$M$2:$X$2)*$K867*$L867</f>
        <v/>
      </c>
      <c r="Z867" s="14">
        <f>SUM(M867:X867)</f>
        <v/>
      </c>
      <c r="AA867" s="14">
        <f>IFERROR(IF(UPPER($E867)="L",SUMPRODUCT(M867:X867,$M$3:$X$3,$M$2:$X$2),SUMPRODUCT(M867:X867,$M$4:$X$4,$M$2:$X$2))/(Y867/($K867*$L867)),"")</f>
        <v/>
      </c>
      <c r="AB867" s="18" t="n"/>
    </row>
    <row r="868">
      <c r="A868" s="9" t="n">
        <v>828808</v>
      </c>
      <c r="B868" s="9" t="inlineStr">
        <is>
          <t>Wessley Roberson</t>
        </is>
      </c>
      <c r="C868" s="9" t="inlineStr">
        <is>
          <t>MIA</t>
        </is>
      </c>
      <c r="D868" s="9" t="n">
        <v>25</v>
      </c>
      <c r="E868" s="16" t="inlineStr">
        <is>
          <t>L</t>
        </is>
      </c>
      <c r="F868" s="16" t="n"/>
      <c r="G868" s="9" t="n">
        <v>3.076923076923077</v>
      </c>
      <c r="H868" s="9" t="n">
        <v>3.076923076923077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3">
        <f>SUMPRODUCT(M868:X868,$M$2:$X$2)*$K868*$L868</f>
        <v/>
      </c>
      <c r="Z868" s="14">
        <f>SUM(M868:X868)</f>
        <v/>
      </c>
      <c r="AA868" s="14">
        <f>IFERROR(IF(UPPER($E868)="L",SUMPRODUCT(M868:X868,$M$3:$X$3,$M$2:$X$2),SUMPRODUCT(M868:X868,$M$4:$X$4,$M$2:$X$2))/(Y868/($K868*$L868)),"")</f>
        <v/>
      </c>
      <c r="AB868" s="18" t="n"/>
    </row>
    <row r="869">
      <c r="A869" s="9" t="n">
        <v>701331</v>
      </c>
      <c r="B869" s="9" t="inlineStr">
        <is>
          <t>Blake Cyr</t>
        </is>
      </c>
      <c r="C869" s="9" t="inlineStr">
        <is>
          <t>NYY</t>
        </is>
      </c>
      <c r="D869" s="9" t="n">
        <v>25</v>
      </c>
      <c r="E869" s="16" t="inlineStr">
        <is>
          <t>R</t>
        </is>
      </c>
      <c r="F869" s="16" t="n"/>
      <c r="G869" s="9" t="n">
        <v>5.16923076923077</v>
      </c>
      <c r="H869" s="9" t="n">
        <v>5.16923076923077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3">
        <f>SUMPRODUCT(M869:X869,$M$2:$X$2)*$K869*$L869</f>
        <v/>
      </c>
      <c r="Z869" s="14">
        <f>SUM(M869:X869)</f>
        <v/>
      </c>
      <c r="AA869" s="14">
        <f>IFERROR(IF(UPPER($E869)="L",SUMPRODUCT(M869:X869,$M$3:$X$3,$M$2:$X$2),SUMPRODUCT(M869:X869,$M$4:$X$4,$M$2:$X$2))/(Y869/($K869*$L869)),"")</f>
        <v/>
      </c>
      <c r="AB869" s="18" t="n"/>
    </row>
    <row r="870">
      <c r="A870" s="9" t="n">
        <v>806995</v>
      </c>
      <c r="B870" s="9" t="inlineStr">
        <is>
          <t>Filippo Di Turi</t>
        </is>
      </c>
      <c r="C870" s="9" t="inlineStr">
        <is>
          <t>MIL</t>
        </is>
      </c>
      <c r="D870" s="9" t="n">
        <v>25</v>
      </c>
      <c r="E870" s="16" t="inlineStr">
        <is>
          <t>S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Opening Day</t>
        </is>
      </c>
      <c r="K870" s="11">
        <f>IFERROR(INDEX(Roles!$B$17:$B$20,MATCH(J870,Roles!$A$17:$A$20,0)),1)</f>
        <v/>
      </c>
      <c r="L870" s="17" t="n">
        <v>1</v>
      </c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3">
        <f>SUMPRODUCT(M870:X870,$M$2:$X$2)*$K870*$L870</f>
        <v/>
      </c>
      <c r="Z870" s="14">
        <f>SUM(M870:X870)</f>
        <v/>
      </c>
      <c r="AA870" s="14">
        <f>IFERROR(IF(UPPER($E870)="L",SUMPRODUCT(M870:X870,$M$3:$X$3,$M$2:$X$2),SUMPRODUCT(M870:X870,$M$4:$X$4,$M$2:$X$2))/(Y870/($K870*$L870)),"")</f>
        <v/>
      </c>
      <c r="AB870" s="18" t="n"/>
    </row>
    <row r="871">
      <c r="A871" s="9" t="n">
        <v>806884</v>
      </c>
      <c r="B871" s="9" t="inlineStr">
        <is>
          <t>Luis Escudero</t>
        </is>
      </c>
      <c r="C871" s="9" t="inlineStr">
        <is>
          <t>NYY</t>
        </is>
      </c>
      <c r="D871" s="9" t="n">
        <v>25</v>
      </c>
      <c r="E871" s="16" t="inlineStr">
        <is>
          <t>S</t>
        </is>
      </c>
      <c r="F871" s="16" t="n"/>
      <c r="G871" s="9" t="n">
        <v>24.36923076923077</v>
      </c>
      <c r="H871" s="9" t="n">
        <v>24.36923076923077</v>
      </c>
      <c r="I871" s="9" t="inlineStr">
        <is>
          <t>Depth (no MLB PA)</t>
        </is>
      </c>
      <c r="J871" s="16" t="inlineStr">
        <is>
          <t>Opening Day</t>
        </is>
      </c>
      <c r="K871" s="11">
        <f>IFERROR(INDEX(Roles!$B$17:$B$20,MATCH(J871,Roles!$A$17:$A$20,0)),1)</f>
        <v/>
      </c>
      <c r="L871" s="17" t="n">
        <v>1</v>
      </c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3">
        <f>SUMPRODUCT(M871:X871,$M$2:$X$2)*$K871*$L871</f>
        <v/>
      </c>
      <c r="Z871" s="14">
        <f>SUM(M871:X871)</f>
        <v/>
      </c>
      <c r="AA871" s="14">
        <f>IFERROR(IF(UPPER($E871)="L",SUMPRODUCT(M871:X871,$M$3:$X$3,$M$2:$X$2),SUMPRODUCT(M871:X871,$M$4:$X$4,$M$2:$X$2))/(Y871/($K871*$L871)),"")</f>
        <v/>
      </c>
      <c r="AB871" s="18" t="n"/>
    </row>
    <row r="872">
      <c r="A872" s="9" t="n">
        <v>821156</v>
      </c>
      <c r="B872" s="9" t="inlineStr">
        <is>
          <t>Carl Calixte</t>
        </is>
      </c>
      <c r="C872" s="9" t="inlineStr">
        <is>
          <t>PIT</t>
        </is>
      </c>
      <c r="D872" s="9" t="n">
        <v>25</v>
      </c>
      <c r="E872" s="16" t="inlineStr">
        <is>
          <t>R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3">
        <f>SUMPRODUCT(M872:X872,$M$2:$X$2)*$K872*$L872</f>
        <v/>
      </c>
      <c r="Z872" s="14">
        <f>SUM(M872:X872)</f>
        <v/>
      </c>
      <c r="AA872" s="14">
        <f>IFERROR(IF(UPPER($E872)="L",SUMPRODUCT(M872:X872,$M$3:$X$3,$M$2:$X$2),SUMPRODUCT(M872:X872,$M$4:$X$4,$M$2:$X$2))/(Y872/($K872*$L872)),"")</f>
        <v/>
      </c>
      <c r="AB872" s="18" t="n"/>
    </row>
    <row r="873">
      <c r="A873" s="9" t="n">
        <v>836068</v>
      </c>
      <c r="B873" s="9" t="inlineStr">
        <is>
          <t>Brayden Corn</t>
        </is>
      </c>
      <c r="C873" s="9" t="inlineStr">
        <is>
          <t>SEA</t>
        </is>
      </c>
      <c r="D873" s="9" t="n">
        <v>25</v>
      </c>
      <c r="E873" s="16" t="inlineStr">
        <is>
          <t>R</t>
        </is>
      </c>
      <c r="F873" s="16" t="n"/>
      <c r="G873" s="9" t="n">
        <v>3.076923076923077</v>
      </c>
      <c r="H873" s="9" t="n">
        <v>3.076923076923077</v>
      </c>
      <c r="I873" s="9" t="inlineStr">
        <is>
          <t>Depth (no MLB PA)</t>
        </is>
      </c>
      <c r="J873" s="16" t="inlineStr">
        <is>
          <t>Opening Day</t>
        </is>
      </c>
      <c r="K873" s="11">
        <f>IFERROR(INDEX(Roles!$B$17:$B$20,MATCH(J873,Roles!$A$17:$A$20,0)),1)</f>
        <v/>
      </c>
      <c r="L873" s="17" t="n">
        <v>1</v>
      </c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3">
        <f>SUMPRODUCT(M873:X873,$M$2:$X$2)*$K873*$L873</f>
        <v/>
      </c>
      <c r="Z873" s="14">
        <f>SUM(M873:X873)</f>
        <v/>
      </c>
      <c r="AA873" s="14">
        <f>IFERROR(IF(UPPER($E873)="L",SUMPRODUCT(M873:X873,$M$3:$X$3,$M$2:$X$2),SUMPRODUCT(M873:X873,$M$4:$X$4,$M$2:$X$2))/(Y873/($K873*$L873)),"")</f>
        <v/>
      </c>
      <c r="AB873" s="18" t="n"/>
    </row>
    <row r="874">
      <c r="A874" s="9" t="n">
        <v>803284</v>
      </c>
      <c r="B874" s="9" t="inlineStr">
        <is>
          <t>Max Belyeu</t>
        </is>
      </c>
      <c r="C874" s="9" t="inlineStr">
        <is>
          <t>COL</t>
        </is>
      </c>
      <c r="D874" s="9" t="n">
        <v>25</v>
      </c>
      <c r="E874" s="16" t="inlineStr">
        <is>
          <t>L</t>
        </is>
      </c>
      <c r="F874" s="16" t="n"/>
      <c r="G874" s="9" t="n">
        <v>55.38461538461539</v>
      </c>
      <c r="H874" s="9" t="n">
        <v>55.38461538461539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3">
        <f>SUMPRODUCT(M874:X874,$M$2:$X$2)*$K874*$L874</f>
        <v/>
      </c>
      <c r="Z874" s="14">
        <f>SUM(M874:X874)</f>
        <v/>
      </c>
      <c r="AA874" s="14">
        <f>IFERROR(IF(UPPER($E874)="L",SUMPRODUCT(M874:X874,$M$3:$X$3,$M$2:$X$2),SUMPRODUCT(M874:X874,$M$4:$X$4,$M$2:$X$2))/(Y874/($K874*$L874)),"")</f>
        <v/>
      </c>
      <c r="AB874" s="18" t="n"/>
    </row>
    <row r="875">
      <c r="A875" s="9" t="n">
        <v>828395</v>
      </c>
      <c r="B875" s="9" t="inlineStr">
        <is>
          <t>Jason Schiavone</t>
        </is>
      </c>
      <c r="C875" s="9" t="inlineStr">
        <is>
          <t>HOU</t>
        </is>
      </c>
      <c r="D875" s="9" t="n">
        <v>25</v>
      </c>
      <c r="E875" s="16" t="inlineStr">
        <is>
          <t>R</t>
        </is>
      </c>
      <c r="F875" s="16" t="n"/>
      <c r="G875" s="9" t="n">
        <v>18.05128205128205</v>
      </c>
      <c r="H875" s="9" t="n">
        <v>18.05128205128205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3">
        <f>SUMPRODUCT(M875:X875,$M$2:$X$2)*$K875*$L875</f>
        <v/>
      </c>
      <c r="Z875" s="14">
        <f>SUM(M875:X875)</f>
        <v/>
      </c>
      <c r="AA875" s="14">
        <f>IFERROR(IF(UPPER($E875)="L",SUMPRODUCT(M875:X875,$M$3:$X$3,$M$2:$X$2),SUMPRODUCT(M875:X875,$M$4:$X$4,$M$2:$X$2))/(Y875/($K875*$L875)),"")</f>
        <v/>
      </c>
      <c r="AB875" s="18" t="n"/>
    </row>
    <row r="876">
      <c r="A876" s="9" t="n">
        <v>823775</v>
      </c>
      <c r="B876" s="9" t="inlineStr">
        <is>
          <t>DJ Newman</t>
        </is>
      </c>
      <c r="C876" s="9" t="inlineStr">
        <is>
          <t>HOU</t>
        </is>
      </c>
      <c r="D876" s="9" t="n">
        <v>25</v>
      </c>
      <c r="E876" s="16" t="inlineStr">
        <is>
          <t>R</t>
        </is>
      </c>
      <c r="F876" s="16" t="n"/>
      <c r="G876" s="9" t="n">
        <v>15.58974358974359</v>
      </c>
      <c r="H876" s="9" t="n">
        <v>15.58974358974359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3">
        <f>SUMPRODUCT(M876:X876,$M$2:$X$2)*$K876*$L876</f>
        <v/>
      </c>
      <c r="Z876" s="14">
        <f>SUM(M876:X876)</f>
        <v/>
      </c>
      <c r="AA876" s="14">
        <f>IFERROR(IF(UPPER($E876)="L",SUMPRODUCT(M876:X876,$M$3:$X$3,$M$2:$X$2),SUMPRODUCT(M876:X876,$M$4:$X$4,$M$2:$X$2))/(Y876/($K876*$L876)),"")</f>
        <v/>
      </c>
      <c r="AB876" s="18" t="n"/>
    </row>
    <row r="877">
      <c r="A877" s="9" t="n">
        <v>687084</v>
      </c>
      <c r="B877" s="9" t="inlineStr">
        <is>
          <t>Joshua Mears</t>
        </is>
      </c>
      <c r="C877" s="9" t="inlineStr">
        <is>
          <t>SD</t>
        </is>
      </c>
      <c r="D877" s="9" t="n">
        <v>25</v>
      </c>
      <c r="E877" s="16" t="inlineStr">
        <is>
          <t>R</t>
        </is>
      </c>
      <c r="F877" s="16" t="n"/>
      <c r="G877" s="9" t="n">
        <v>3.230769230769231</v>
      </c>
      <c r="H877" s="9" t="n">
        <v>3.230769230769231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3">
        <f>SUMPRODUCT(M877:X877,$M$2:$X$2)*$K877*$L877</f>
        <v/>
      </c>
      <c r="Z877" s="14">
        <f>SUM(M877:X877)</f>
        <v/>
      </c>
      <c r="AA877" s="14">
        <f>IFERROR(IF(UPPER($E877)="L",SUMPRODUCT(M877:X877,$M$3:$X$3,$M$2:$X$2),SUMPRODUCT(M877:X877,$M$4:$X$4,$M$2:$X$2))/(Y877/($K877*$L877)),"")</f>
        <v/>
      </c>
      <c r="AB877" s="18" t="n"/>
    </row>
    <row r="878">
      <c r="A878" s="9" t="n">
        <v>806495</v>
      </c>
      <c r="B878" s="9" t="inlineStr">
        <is>
          <t>Kale Fountain</t>
        </is>
      </c>
      <c r="C878" s="9" t="inlineStr">
        <is>
          <t>SD</t>
        </is>
      </c>
      <c r="D878" s="9" t="n">
        <v>25</v>
      </c>
      <c r="E878" s="16" t="inlineStr">
        <is>
          <t>R</t>
        </is>
      </c>
      <c r="F878" s="16" t="n"/>
      <c r="G878" s="9" t="n">
        <v>7.507692307692307</v>
      </c>
      <c r="H878" s="9" t="n">
        <v>7.507692307692307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3">
        <f>SUMPRODUCT(M878:X878,$M$2:$X$2)*$K878*$L878</f>
        <v/>
      </c>
      <c r="Z878" s="14">
        <f>SUM(M878:X878)</f>
        <v/>
      </c>
      <c r="AA878" s="14">
        <f>IFERROR(IF(UPPER($E878)="L",SUMPRODUCT(M878:X878,$M$3:$X$3,$M$2:$X$2),SUMPRODUCT(M878:X878,$M$4:$X$4,$M$2:$X$2))/(Y878/($K878*$L878)),"")</f>
        <v/>
      </c>
      <c r="AB878" s="18" t="n"/>
    </row>
    <row r="879">
      <c r="A879" s="9" t="n">
        <v>694953</v>
      </c>
      <c r="B879" s="9" t="inlineStr">
        <is>
          <t>C.J. Pittaro</t>
        </is>
      </c>
      <c r="C879" s="9" t="inlineStr">
        <is>
          <t>OAK</t>
        </is>
      </c>
      <c r="D879" s="9" t="n">
        <v>25</v>
      </c>
      <c r="E879" s="16" t="inlineStr">
        <is>
          <t>L</t>
        </is>
      </c>
      <c r="F879" s="16" t="n"/>
      <c r="G879" s="9" t="n">
        <v>3.230769230769231</v>
      </c>
      <c r="H879" s="9" t="n">
        <v>3.230769230769231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3">
        <f>SUMPRODUCT(M879:X879,$M$2:$X$2)*$K879*$L879</f>
        <v/>
      </c>
      <c r="Z879" s="14">
        <f>SUM(M879:X879)</f>
        <v/>
      </c>
      <c r="AA879" s="14">
        <f>IFERROR(IF(UPPER($E879)="L",SUMPRODUCT(M879:X879,$M$3:$X$3,$M$2:$X$2),SUMPRODUCT(M879:X879,$M$4:$X$4,$M$2:$X$2))/(Y879/($K879*$L879)),"")</f>
        <v/>
      </c>
      <c r="AB879" s="18" t="n"/>
    </row>
    <row r="880">
      <c r="A880" s="9" t="n">
        <v>805890</v>
      </c>
      <c r="B880" s="9" t="inlineStr">
        <is>
          <t>Kaden Carpenter</t>
        </is>
      </c>
      <c r="C880" s="9" t="inlineStr">
        <is>
          <t>TEX</t>
        </is>
      </c>
      <c r="D880" s="9" t="n">
        <v>25</v>
      </c>
      <c r="E880" s="16" t="inlineStr">
        <is>
          <t>L</t>
        </is>
      </c>
      <c r="F880" s="16" t="n"/>
      <c r="G880" s="9" t="n">
        <v>15.87692307692308</v>
      </c>
      <c r="H880" s="9" t="n">
        <v>15.87692307692308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3">
        <f>SUMPRODUCT(M880:X880,$M$2:$X$2)*$K880*$L880</f>
        <v/>
      </c>
      <c r="Z880" s="14">
        <f>SUM(M880:X880)</f>
        <v/>
      </c>
      <c r="AA880" s="14">
        <f>IFERROR(IF(UPPER($E880)="L",SUMPRODUCT(M880:X880,$M$3:$X$3,$M$2:$X$2),SUMPRODUCT(M880:X880,$M$4:$X$4,$M$2:$X$2))/(Y880/($K880*$L880)),"")</f>
        <v/>
      </c>
      <c r="AB880" s="18" t="n"/>
    </row>
    <row r="881">
      <c r="A881" s="9" t="n">
        <v>807971</v>
      </c>
      <c r="B881" s="9" t="inlineStr">
        <is>
          <t>Juan Rosas</t>
        </is>
      </c>
      <c r="C881" s="9" t="inlineStr">
        <is>
          <t>TOR</t>
        </is>
      </c>
      <c r="D881" s="9" t="n">
        <v>25</v>
      </c>
      <c r="E881" s="16" t="inlineStr">
        <is>
          <t>R</t>
        </is>
      </c>
      <c r="F881" s="16" t="n"/>
      <c r="G881" s="9" t="n">
        <v>5.292307692307692</v>
      </c>
      <c r="H881" s="9" t="n">
        <v>5.292307692307692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3">
        <f>SUMPRODUCT(M881:X881,$M$2:$X$2)*$K881*$L881</f>
        <v/>
      </c>
      <c r="Z881" s="14">
        <f>SUM(M881:X881)</f>
        <v/>
      </c>
      <c r="AA881" s="14">
        <f>IFERROR(IF(UPPER($E881)="L",SUMPRODUCT(M881:X881,$M$3:$X$3,$M$2:$X$2),SUMPRODUCT(M881:X881,$M$4:$X$4,$M$2:$X$2))/(Y881/($K881*$L881)),"")</f>
        <v/>
      </c>
      <c r="AB881" s="18" t="n"/>
    </row>
    <row r="882">
      <c r="A882" s="9" t="n">
        <v>824425</v>
      </c>
      <c r="B882" s="9" t="inlineStr">
        <is>
          <t>Diego Castellanos</t>
        </is>
      </c>
      <c r="C882" s="9" t="inlineStr">
        <is>
          <t>NYY</t>
        </is>
      </c>
      <c r="D882" s="9" t="n">
        <v>25</v>
      </c>
      <c r="E882" s="16" t="inlineStr">
        <is>
          <t>L</t>
        </is>
      </c>
      <c r="F882" s="16" t="n"/>
      <c r="G882" s="9" t="n">
        <v>9.723076923076922</v>
      </c>
      <c r="H882" s="9" t="n">
        <v>9.723076923076922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3">
        <f>SUMPRODUCT(M882:X882,$M$2:$X$2)*$K882*$L882</f>
        <v/>
      </c>
      <c r="Z882" s="14">
        <f>SUM(M882:X882)</f>
        <v/>
      </c>
      <c r="AA882" s="14">
        <f>IFERROR(IF(UPPER($E882)="L",SUMPRODUCT(M882:X882,$M$3:$X$3,$M$2:$X$2),SUMPRODUCT(M882:X882,$M$4:$X$4,$M$2:$X$2))/(Y882/($K882*$L882)),"")</f>
        <v/>
      </c>
      <c r="AB882" s="18" t="n"/>
    </row>
    <row r="883">
      <c r="A883" s="9" t="n">
        <v>702686</v>
      </c>
      <c r="B883" s="9" t="inlineStr">
        <is>
          <t>Everett Cooper III</t>
        </is>
      </c>
      <c r="C883" s="9" t="inlineStr">
        <is>
          <t>WSH</t>
        </is>
      </c>
      <c r="D883" s="9" t="n">
        <v>25</v>
      </c>
      <c r="E883" s="16" t="inlineStr">
        <is>
          <t>L</t>
        </is>
      </c>
      <c r="F883" s="16" t="n"/>
      <c r="G883" s="9" t="n">
        <v>3.323076923076924</v>
      </c>
      <c r="H883" s="9" t="n">
        <v>3.323076923076924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3">
        <f>SUMPRODUCT(M883:X883,$M$2:$X$2)*$K883*$L883</f>
        <v/>
      </c>
      <c r="Z883" s="14">
        <f>SUM(M883:X883)</f>
        <v/>
      </c>
      <c r="AA883" s="14">
        <f>IFERROR(IF(UPPER($E883)="L",SUMPRODUCT(M883:X883,$M$3:$X$3,$M$2:$X$2),SUMPRODUCT(M883:X883,$M$4:$X$4,$M$2:$X$2))/(Y883/($K883*$L883)),"")</f>
        <v/>
      </c>
      <c r="AB883" s="18" t="n"/>
    </row>
    <row r="884">
      <c r="A884" s="9" t="n">
        <v>572138</v>
      </c>
      <c r="B884" s="9" t="inlineStr">
        <is>
          <t>Jon Singleton</t>
        </is>
      </c>
      <c r="C884" s="9" t="inlineStr">
        <is>
          <t>HOU</t>
        </is>
      </c>
      <c r="D884" s="9" t="n">
        <v>35</v>
      </c>
      <c r="E884" s="16" t="inlineStr">
        <is>
          <t>L</t>
        </is>
      </c>
      <c r="F884" s="16" t="n"/>
      <c r="G884" s="9" t="n">
        <v>9</v>
      </c>
      <c r="H884" s="9" t="n">
        <v>519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3">
        <f>SUMPRODUCT(M884:X884,$M$2:$X$2)*$K884*$L884</f>
        <v/>
      </c>
      <c r="Z884" s="14">
        <f>SUM(M884:X884)</f>
        <v/>
      </c>
      <c r="AA884" s="14">
        <f>IFERROR(IF(UPPER($E884)="L",SUMPRODUCT(M884:X884,$M$3:$X$3,$M$2:$X$2),SUMPRODUCT(M884:X884,$M$4:$X$4,$M$2:$X$2))/(Y884/($K884*$L884)),"")</f>
        <v/>
      </c>
      <c r="AB884" s="18" t="n"/>
    </row>
    <row r="885">
      <c r="A885" s="9" t="n">
        <v>605421</v>
      </c>
      <c r="B885" s="9" t="inlineStr">
        <is>
          <t>Michael Pérez</t>
        </is>
      </c>
      <c r="C885" s="9" t="inlineStr">
        <is>
          <t>NYM</t>
        </is>
      </c>
      <c r="D885" s="9" t="n">
        <v>34</v>
      </c>
      <c r="E885" s="16" t="inlineStr">
        <is>
          <t>L</t>
        </is>
      </c>
      <c r="F885" s="16" t="n"/>
      <c r="G885" s="9" t="n">
        <v>8</v>
      </c>
      <c r="H885" s="9" t="n">
        <v>140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3">
        <f>SUMPRODUCT(M885:X885,$M$2:$X$2)*$K885*$L885</f>
        <v/>
      </c>
      <c r="Z885" s="14">
        <f>SUM(M885:X885)</f>
        <v/>
      </c>
      <c r="AA885" s="14">
        <f>IFERROR(IF(UPPER($E885)="L",SUMPRODUCT(M885:X885,$M$3:$X$3,$M$2:$X$2),SUMPRODUCT(M885:X885,$M$4:$X$4,$M$2:$X$2))/(Y885/($K885*$L885)),"")</f>
        <v/>
      </c>
      <c r="AB885" s="18" t="n"/>
    </row>
    <row r="886">
      <c r="A886" s="9" t="n">
        <v>804561</v>
      </c>
      <c r="B886" s="9" t="inlineStr">
        <is>
          <t>Eric Guevara</t>
        </is>
      </c>
      <c r="C886" s="9" t="inlineStr">
        <is>
          <t>MIA</t>
        </is>
      </c>
      <c r="D886" s="9" t="n">
        <v>25</v>
      </c>
      <c r="E886" s="16" t="inlineStr">
        <is>
          <t>R</t>
        </is>
      </c>
      <c r="F886" s="16" t="n"/>
      <c r="G886" s="9" t="n">
        <v>7.507692307692307</v>
      </c>
      <c r="H886" s="9" t="n">
        <v>7.507692307692307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3">
        <f>SUMPRODUCT(M886:X886,$M$2:$X$2)*$K886*$L886</f>
        <v/>
      </c>
      <c r="Z886" s="14">
        <f>SUM(M886:X886)</f>
        <v/>
      </c>
      <c r="AA886" s="14">
        <f>IFERROR(IF(UPPER($E886)="L",SUMPRODUCT(M886:X886,$M$3:$X$3,$M$2:$X$2),SUMPRODUCT(M886:X886,$M$4:$X$4,$M$2:$X$2))/(Y886/($K886*$L886)),"")</f>
        <v/>
      </c>
      <c r="AB886" s="18" t="n"/>
    </row>
    <row r="887">
      <c r="A887" s="9" t="n">
        <v>702594</v>
      </c>
      <c r="B887" s="9" t="inlineStr">
        <is>
          <t>Jack Lausch</t>
        </is>
      </c>
      <c r="C887" s="9" t="inlineStr">
        <is>
          <t>CIN</t>
        </is>
      </c>
      <c r="D887" s="9" t="n">
        <v>25</v>
      </c>
      <c r="E887" s="16" t="inlineStr">
        <is>
          <t>L</t>
        </is>
      </c>
      <c r="F887" s="16" t="n"/>
      <c r="G887" s="9" t="n">
        <v>7.384615384615386</v>
      </c>
      <c r="H887" s="9" t="n">
        <v>7.384615384615386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3">
        <f>SUMPRODUCT(M887:X887,$M$2:$X$2)*$K887*$L887</f>
        <v/>
      </c>
      <c r="Z887" s="14">
        <f>SUM(M887:X887)</f>
        <v/>
      </c>
      <c r="AA887" s="14">
        <f>IFERROR(IF(UPPER($E887)="L",SUMPRODUCT(M887:X887,$M$3:$X$3,$M$2:$X$2),SUMPRODUCT(M887:X887,$M$4:$X$4,$M$2:$X$2))/(Y887/($K887*$L887)),"")</f>
        <v/>
      </c>
      <c r="AB887" s="18" t="n"/>
    </row>
    <row r="888">
      <c r="A888" s="9" t="n">
        <v>702270</v>
      </c>
      <c r="B888" s="9" t="inlineStr">
        <is>
          <t>Malcolm Moore</t>
        </is>
      </c>
      <c r="C888" s="9" t="inlineStr">
        <is>
          <t>TEX</t>
        </is>
      </c>
      <c r="D888" s="9" t="n">
        <v>25</v>
      </c>
      <c r="E888" s="16" t="inlineStr">
        <is>
          <t>L</t>
        </is>
      </c>
      <c r="F888" s="16" t="n"/>
      <c r="G888" s="9" t="n">
        <v>70.35897435897435</v>
      </c>
      <c r="H888" s="9" t="n">
        <v>70.35897435897435</v>
      </c>
      <c r="I888" s="9" t="inlineStr">
        <is>
          <t>Depth (no MLB PA)</t>
        </is>
      </c>
      <c r="J888" s="16" t="inlineStr">
        <is>
          <t>Opening Day</t>
        </is>
      </c>
      <c r="K888" s="11">
        <f>IFERROR(INDEX(Roles!$B$17:$B$20,MATCH(J888,Roles!$A$17:$A$20,0)),1)</f>
        <v/>
      </c>
      <c r="L888" s="17" t="n">
        <v>1</v>
      </c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3">
        <f>SUMPRODUCT(M888:X888,$M$2:$X$2)*$K888*$L888</f>
        <v/>
      </c>
      <c r="Z888" s="14">
        <f>SUM(M888:X888)</f>
        <v/>
      </c>
      <c r="AA888" s="14">
        <f>IFERROR(IF(UPPER($E888)="L",SUMPRODUCT(M888:X888,$M$3:$X$3,$M$2:$X$2),SUMPRODUCT(M888:X888,$M$4:$X$4,$M$2:$X$2))/(Y888/($K888*$L888)),"")</f>
        <v/>
      </c>
      <c r="AB888" s="18" t="n"/>
    </row>
    <row r="889">
      <c r="A889" s="9" t="n">
        <v>702750</v>
      </c>
      <c r="B889" s="9" t="inlineStr">
        <is>
          <t>Edinson Duran</t>
        </is>
      </c>
      <c r="C889" s="9" t="inlineStr">
        <is>
          <t>NYY</t>
        </is>
      </c>
      <c r="D889" s="9" t="n">
        <v>25</v>
      </c>
      <c r="E889" s="16" t="inlineStr">
        <is>
          <t>R</t>
        </is>
      </c>
      <c r="F889" s="16" t="n"/>
      <c r="G889" s="9" t="n">
        <v>3.384615384615385</v>
      </c>
      <c r="H889" s="9" t="n">
        <v>3.384615384615385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3">
        <f>SUMPRODUCT(M889:X889,$M$2:$X$2)*$K889*$L889</f>
        <v/>
      </c>
      <c r="Z889" s="14">
        <f>SUM(M889:X889)</f>
        <v/>
      </c>
      <c r="AA889" s="14">
        <f>IFERROR(IF(UPPER($E889)="L",SUMPRODUCT(M889:X889,$M$3:$X$3,$M$2:$X$2),SUMPRODUCT(M889:X889,$M$4:$X$4,$M$2:$X$2))/(Y889/($K889*$L889)),"")</f>
        <v/>
      </c>
      <c r="AB889" s="18" t="n"/>
    </row>
    <row r="890">
      <c r="A890" s="9" t="n">
        <v>813075</v>
      </c>
      <c r="B890" s="9" t="inlineStr">
        <is>
          <t>Jacob Lombard</t>
        </is>
      </c>
      <c r="C890" s="9" t="inlineStr">
        <is>
          <t>MIA</t>
        </is>
      </c>
      <c r="D890" s="9" t="n">
        <v>25</v>
      </c>
      <c r="E890" s="16" t="inlineStr">
        <is>
          <t>R</t>
        </is>
      </c>
      <c r="F890" s="16" t="n"/>
      <c r="G890" s="9" t="n">
        <v>11.69230769230769</v>
      </c>
      <c r="H890" s="9" t="n">
        <v>11.69230769230769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3">
        <f>SUMPRODUCT(M890:X890,$M$2:$X$2)*$K890*$L890</f>
        <v/>
      </c>
      <c r="Z890" s="14">
        <f>SUM(M890:X890)</f>
        <v/>
      </c>
      <c r="AA890" s="14">
        <f>IFERROR(IF(UPPER($E890)="L",SUMPRODUCT(M890:X890,$M$3:$X$3,$M$2:$X$2),SUMPRODUCT(M890:X890,$M$4:$X$4,$M$2:$X$2))/(Y890/($K890*$L890)),"")</f>
        <v/>
      </c>
      <c r="AB890" s="18" t="n"/>
    </row>
    <row r="891">
      <c r="A891" s="9" t="n">
        <v>821818</v>
      </c>
      <c r="B891" s="9" t="inlineStr">
        <is>
          <t>Luis Corobo</t>
        </is>
      </c>
      <c r="C891" s="9" t="inlineStr">
        <is>
          <t>MIL</t>
        </is>
      </c>
      <c r="D891" s="9" t="n">
        <v>25</v>
      </c>
      <c r="E891" s="16" t="inlineStr">
        <is>
          <t>R</t>
        </is>
      </c>
      <c r="F891" s="16" t="n"/>
      <c r="G891" s="9" t="n">
        <v>3.323076923076924</v>
      </c>
      <c r="H891" s="9" t="n">
        <v>3.323076923076924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3">
        <f>SUMPRODUCT(M891:X891,$M$2:$X$2)*$K891*$L891</f>
        <v/>
      </c>
      <c r="Z891" s="14">
        <f>SUM(M891:X891)</f>
        <v/>
      </c>
      <c r="AA891" s="14">
        <f>IFERROR(IF(UPPER($E891)="L",SUMPRODUCT(M891:X891,$M$3:$X$3,$M$2:$X$2),SUMPRODUCT(M891:X891,$M$4:$X$4,$M$2:$X$2))/(Y891/($K891*$L891)),"")</f>
        <v/>
      </c>
      <c r="AB891" s="18" t="n"/>
    </row>
    <row r="892">
      <c r="A892" s="9" t="n">
        <v>687357</v>
      </c>
      <c r="B892" s="9" t="inlineStr">
        <is>
          <t>Jack Scanlon</t>
        </is>
      </c>
      <c r="C892" s="9" t="inlineStr">
        <is>
          <t>PIT</t>
        </is>
      </c>
      <c r="D892" s="9" t="n">
        <v>25</v>
      </c>
      <c r="E892" s="16" t="inlineStr">
        <is>
          <t>L</t>
        </is>
      </c>
      <c r="F892" s="16" t="n"/>
      <c r="G892" s="9" t="n">
        <v>9.6</v>
      </c>
      <c r="H892" s="9" t="n">
        <v>9.6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3">
        <f>SUMPRODUCT(M892:X892,$M$2:$X$2)*$K892*$L892</f>
        <v/>
      </c>
      <c r="Z892" s="14">
        <f>SUM(M892:X892)</f>
        <v/>
      </c>
      <c r="AA892" s="14">
        <f>IFERROR(IF(UPPER($E892)="L",SUMPRODUCT(M892:X892,$M$3:$X$3,$M$2:$X$2),SUMPRODUCT(M892:X892,$M$4:$X$4,$M$2:$X$2))/(Y892/($K892*$L892)),"")</f>
        <v/>
      </c>
      <c r="AB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3">
        <f>SUMPRODUCT(M893:X893,$M$2:$X$2)*$K893*$L893</f>
        <v/>
      </c>
      <c r="Z893" s="14">
        <f>SUM(M893:X893)</f>
        <v/>
      </c>
      <c r="AA893" s="14">
        <f>IFERROR(IF(UPPER($E893)="L",SUMPRODUCT(M893:X893,$M$3:$X$3,$M$2:$X$2),SUMPRODUCT(M893:X893,$M$4:$X$4,$M$2:$X$2))/(Y893/($K893*$L893)),"")</f>
        <v/>
      </c>
      <c r="AB893" s="18" t="n"/>
    </row>
    <row r="894">
      <c r="A894" s="9" t="n">
        <v>677338</v>
      </c>
      <c r="B894" s="9" t="inlineStr">
        <is>
          <t>GJ Hill</t>
        </is>
      </c>
      <c r="C894" s="9" t="inlineStr">
        <is>
          <t>COL</t>
        </is>
      </c>
      <c r="D894" s="9" t="n">
        <v>25</v>
      </c>
      <c r="E894" s="16" t="inlineStr">
        <is>
          <t>S</t>
        </is>
      </c>
      <c r="F894" s="16" t="n"/>
      <c r="G894" s="9" t="n">
        <v>136.051282051282</v>
      </c>
      <c r="H894" s="9" t="n">
        <v>136.051282051282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3">
        <f>SUMPRODUCT(M894:X894,$M$2:$X$2)*$K894*$L894</f>
        <v/>
      </c>
      <c r="Z894" s="14">
        <f>SUM(M894:X894)</f>
        <v/>
      </c>
      <c r="AA894" s="14">
        <f>IFERROR(IF(UPPER($E894)="L",SUMPRODUCT(M894:X894,$M$3:$X$3,$M$2:$X$2),SUMPRODUCT(M894:X894,$M$4:$X$4,$M$2:$X$2))/(Y894/($K894*$L894)),"")</f>
        <v/>
      </c>
      <c r="AB894" s="18" t="n"/>
    </row>
    <row r="895">
      <c r="A895" s="9" t="n">
        <v>813697</v>
      </c>
      <c r="B895" s="9" t="inlineStr">
        <is>
          <t>Sam Biller</t>
        </is>
      </c>
      <c r="C895" s="9" t="inlineStr">
        <is>
          <t>NYM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3">
        <f>SUMPRODUCT(M895:X895,$M$2:$X$2)*$K895*$L895</f>
        <v/>
      </c>
      <c r="Z895" s="14">
        <f>SUM(M895:X895)</f>
        <v/>
      </c>
      <c r="AA895" s="14">
        <f>IFERROR(IF(UPPER($E895)="L",SUMPRODUCT(M895:X895,$M$3:$X$3,$M$2:$X$2),SUMPRODUCT(M895:X895,$M$4:$X$4,$M$2:$X$2))/(Y895/($K895*$L895)),"")</f>
        <v/>
      </c>
      <c r="AB895" s="18" t="n"/>
    </row>
    <row r="896">
      <c r="A896" s="9" t="n">
        <v>660681</v>
      </c>
      <c r="B896" s="9" t="inlineStr">
        <is>
          <t>Leandro Cedeño</t>
        </is>
      </c>
      <c r="C896" s="9" t="inlineStr">
        <is>
          <t>SD</t>
        </is>
      </c>
      <c r="D896" s="9" t="n">
        <v>25</v>
      </c>
      <c r="E896" s="16" t="inlineStr">
        <is>
          <t>R</t>
        </is>
      </c>
      <c r="F896" s="16" t="n"/>
      <c r="G896" s="9" t="n">
        <v>36.97435897435898</v>
      </c>
      <c r="H896" s="9" t="n">
        <v>36.97435897435898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3">
        <f>SUMPRODUCT(M896:X896,$M$2:$X$2)*$K896*$L896</f>
        <v/>
      </c>
      <c r="Z896" s="14">
        <f>SUM(M896:X896)</f>
        <v/>
      </c>
      <c r="AA896" s="14">
        <f>IFERROR(IF(UPPER($E896)="L",SUMPRODUCT(M896:X896,$M$3:$X$3,$M$2:$X$2),SUMPRODUCT(M896:X896,$M$4:$X$4,$M$2:$X$2))/(Y896/($K896*$L896)),"")</f>
        <v/>
      </c>
      <c r="AB896" s="18" t="n"/>
    </row>
    <row r="897">
      <c r="A897" s="9" t="n">
        <v>690996</v>
      </c>
      <c r="B897" s="9" t="inlineStr">
        <is>
          <t>T.J. McCants</t>
        </is>
      </c>
      <c r="C897" s="9" t="inlineStr">
        <is>
          <t>CWS</t>
        </is>
      </c>
      <c r="D897" s="9" t="n">
        <v>25</v>
      </c>
      <c r="E897" s="16" t="inlineStr">
        <is>
          <t>L</t>
        </is>
      </c>
      <c r="F897" s="16" t="n"/>
      <c r="G897" s="9" t="n">
        <v>3.384615384615385</v>
      </c>
      <c r="H897" s="9" t="n">
        <v>3.384615384615385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3">
        <f>SUMPRODUCT(M897:X897,$M$2:$X$2)*$K897*$L897</f>
        <v/>
      </c>
      <c r="Z897" s="14">
        <f>SUM(M897:X897)</f>
        <v/>
      </c>
      <c r="AA897" s="14">
        <f>IFERROR(IF(UPPER($E897)="L",SUMPRODUCT(M897:X897,$M$3:$X$3,$M$2:$X$2),SUMPRODUCT(M897:X897,$M$4:$X$4,$M$2:$X$2))/(Y897/($K897*$L897)),"")</f>
        <v/>
      </c>
      <c r="AB897" s="18" t="n"/>
    </row>
    <row r="898">
      <c r="A898" s="9" t="n">
        <v>686781</v>
      </c>
      <c r="B898" s="9" t="inlineStr">
        <is>
          <t>Brandon Lewis</t>
        </is>
      </c>
      <c r="C898" s="9" t="inlineStr">
        <is>
          <t>PHI</t>
        </is>
      </c>
      <c r="D898" s="9" t="n">
        <v>25</v>
      </c>
      <c r="E898" s="16" t="inlineStr">
        <is>
          <t>R</t>
        </is>
      </c>
      <c r="F898" s="16" t="n"/>
      <c r="G898" s="9" t="n">
        <v>23.7948717948718</v>
      </c>
      <c r="H898" s="9" t="n">
        <v>23.7948717948718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3">
        <f>SUMPRODUCT(M898:X898,$M$2:$X$2)*$K898*$L898</f>
        <v/>
      </c>
      <c r="Z898" s="14">
        <f>SUM(M898:X898)</f>
        <v/>
      </c>
      <c r="AA898" s="14">
        <f>IFERROR(IF(UPPER($E898)="L",SUMPRODUCT(M898:X898,$M$3:$X$3,$M$2:$X$2),SUMPRODUCT(M898:X898,$M$4:$X$4,$M$2:$X$2))/(Y898/($K898*$L898)),"")</f>
        <v/>
      </c>
      <c r="AB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3">
        <f>SUMPRODUCT(M899:X899,$M$2:$X$2)*$K899*$L899</f>
        <v/>
      </c>
      <c r="Z899" s="14">
        <f>SUM(M899:X899)</f>
        <v/>
      </c>
      <c r="AA899" s="14">
        <f>IFERROR(IF(UPPER($E899)="L",SUMPRODUCT(M899:X899,$M$3:$X$3,$M$2:$X$2),SUMPRODUCT(M899:X899,$M$4:$X$4,$M$2:$X$2))/(Y899/($K899*$L899)),"")</f>
        <v/>
      </c>
      <c r="AB899" s="18" t="n"/>
    </row>
    <row r="900">
      <c r="A900" s="9" t="n">
        <v>809569</v>
      </c>
      <c r="B900" s="9" t="inlineStr">
        <is>
          <t>Maika Niu</t>
        </is>
      </c>
      <c r="C900" s="9" t="inlineStr">
        <is>
          <t>NYY</t>
        </is>
      </c>
      <c r="D900" s="9" t="n">
        <v>25</v>
      </c>
      <c r="E900" s="16" t="inlineStr">
        <is>
          <t>R</t>
        </is>
      </c>
      <c r="F900" s="16" t="n"/>
      <c r="G900" s="9" t="n">
        <v>19.89743589743589</v>
      </c>
      <c r="H900" s="9" t="n">
        <v>19.89743589743589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3">
        <f>SUMPRODUCT(M900:X900,$M$2:$X$2)*$K900*$L900</f>
        <v/>
      </c>
      <c r="Z900" s="14">
        <f>SUM(M900:X900)</f>
        <v/>
      </c>
      <c r="AA900" s="14">
        <f>IFERROR(IF(UPPER($E900)="L",SUMPRODUCT(M900:X900,$M$3:$X$3,$M$2:$X$2),SUMPRODUCT(M900:X900,$M$4:$X$4,$M$2:$X$2))/(Y900/($K900*$L900)),"")</f>
        <v/>
      </c>
      <c r="AB900" s="18" t="n"/>
    </row>
    <row r="901">
      <c r="A901" s="9" t="n">
        <v>801726</v>
      </c>
      <c r="B901" s="9" t="inlineStr">
        <is>
          <t>Santiago Gomez</t>
        </is>
      </c>
      <c r="C901" s="9" t="inlineStr">
        <is>
          <t>NYY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3">
        <f>SUMPRODUCT(M901:X901,$M$2:$X$2)*$K901*$L901</f>
        <v/>
      </c>
      <c r="Z901" s="14">
        <f>SUM(M901:X901)</f>
        <v/>
      </c>
      <c r="AA901" s="14">
        <f>IFERROR(IF(UPPER($E901)="L",SUMPRODUCT(M901:X901,$M$3:$X$3,$M$2:$X$2),SUMPRODUCT(M901:X901,$M$4:$X$4,$M$2:$X$2))/(Y901/($K901*$L901)),"")</f>
        <v/>
      </c>
      <c r="AB901" s="18" t="n"/>
    </row>
    <row r="902">
      <c r="A902" s="9" t="n">
        <v>701980</v>
      </c>
      <c r="B902" s="9" t="inlineStr">
        <is>
          <t>Nestor Rios</t>
        </is>
      </c>
      <c r="C902" s="9" t="inlineStr">
        <is>
          <t>MIA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3">
        <f>SUMPRODUCT(M902:X902,$M$2:$X$2)*$K902*$L902</f>
        <v/>
      </c>
      <c r="Z902" s="14">
        <f>SUM(M902:X902)</f>
        <v/>
      </c>
      <c r="AA902" s="14">
        <f>IFERROR(IF(UPPER($E902)="L",SUMPRODUCT(M902:X902,$M$3:$X$3,$M$2:$X$2),SUMPRODUCT(M902:X902,$M$4:$X$4,$M$2:$X$2))/(Y902/($K902*$L902)),"")</f>
        <v/>
      </c>
      <c r="AB902" s="18" t="n"/>
    </row>
    <row r="903">
      <c r="A903" s="9" t="n">
        <v>808170</v>
      </c>
      <c r="B903" s="9" t="inlineStr">
        <is>
          <t>Carter Dierdorf</t>
        </is>
      </c>
      <c r="C903" s="9" t="inlineStr">
        <is>
          <t>NYM</t>
        </is>
      </c>
      <c r="D903" s="9" t="n">
        <v>25</v>
      </c>
      <c r="E903" s="16" t="inlineStr">
        <is>
          <t>L</t>
        </is>
      </c>
      <c r="F903" s="16" t="n"/>
      <c r="G903" s="9" t="n">
        <v>3.487179487179488</v>
      </c>
      <c r="H903" s="9" t="n">
        <v>3.487179487179488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3">
        <f>SUMPRODUCT(M903:X903,$M$2:$X$2)*$K903*$L903</f>
        <v/>
      </c>
      <c r="Z903" s="14">
        <f>SUM(M903:X903)</f>
        <v/>
      </c>
      <c r="AA903" s="14">
        <f>IFERROR(IF(UPPER($E903)="L",SUMPRODUCT(M903:X903,$M$3:$X$3,$M$2:$X$2),SUMPRODUCT(M903:X903,$M$4:$X$4,$M$2:$X$2))/(Y903/($K903*$L903)),"")</f>
        <v/>
      </c>
      <c r="AB903" s="18" t="n"/>
    </row>
    <row r="904">
      <c r="A904" s="9" t="n">
        <v>656180</v>
      </c>
      <c r="B904" s="9" t="inlineStr">
        <is>
          <t>Riley Adams</t>
        </is>
      </c>
      <c r="C904" s="9" t="inlineStr">
        <is>
          <t>WSH</t>
        </is>
      </c>
      <c r="D904" s="9" t="n">
        <v>31</v>
      </c>
      <c r="E904" s="16" t="inlineStr">
        <is>
          <t>R</t>
        </is>
      </c>
      <c r="F904" s="16" t="n"/>
      <c r="G904" s="9" t="n">
        <v>286</v>
      </c>
      <c r="H904" s="9" t="n">
        <v>729</v>
      </c>
      <c r="I904" s="9" t="inlineStr">
        <is>
          <t>Utility OF / 4th OF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3">
        <f>SUMPRODUCT(M904:X904,$M$2:$X$2)*$K904*$L904</f>
        <v/>
      </c>
      <c r="Z904" s="14">
        <f>SUM(M904:X904)</f>
        <v/>
      </c>
      <c r="AA904" s="14">
        <f>IFERROR(IF(UPPER($E904)="L",SUMPRODUCT(M904:X904,$M$3:$X$3,$M$2:$X$2),SUMPRODUCT(M904:X904,$M$4:$X$4,$M$2:$X$2))/(Y904/($K904*$L904)),"")</f>
        <v/>
      </c>
      <c r="AB904" s="18" t="n"/>
    </row>
    <row r="905">
      <c r="A905" s="9" t="n">
        <v>808094</v>
      </c>
      <c r="B905" s="9" t="inlineStr">
        <is>
          <t>Jhorvic Abreus</t>
        </is>
      </c>
      <c r="C905" s="9" t="inlineStr">
        <is>
          <t>CLE</t>
        </is>
      </c>
      <c r="D905" s="9" t="n">
        <v>25</v>
      </c>
      <c r="E905" s="16" t="inlineStr">
        <is>
          <t>S</t>
        </is>
      </c>
      <c r="F905" s="16" t="n"/>
      <c r="G905" s="9" t="n">
        <v>3.58974358974359</v>
      </c>
      <c r="H905" s="9" t="n">
        <v>3.58974358974359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3">
        <f>SUMPRODUCT(M905:X905,$M$2:$X$2)*$K905*$L905</f>
        <v/>
      </c>
      <c r="Z905" s="14">
        <f>SUM(M905:X905)</f>
        <v/>
      </c>
      <c r="AA905" s="14">
        <f>IFERROR(IF(UPPER($E905)="L",SUMPRODUCT(M905:X905,$M$3:$X$3,$M$2:$X$2),SUMPRODUCT(M905:X905,$M$4:$X$4,$M$2:$X$2))/(Y905/($K905*$L905)),"")</f>
        <v/>
      </c>
      <c r="AB905" s="18" t="n"/>
    </row>
    <row r="906">
      <c r="A906" s="9" t="n">
        <v>814261</v>
      </c>
      <c r="B906" s="9" t="inlineStr">
        <is>
          <t>Carlos Caro</t>
        </is>
      </c>
      <c r="C906" s="9" t="inlineStr">
        <is>
          <t>PIT</t>
        </is>
      </c>
      <c r="D906" s="9" t="n">
        <v>25</v>
      </c>
      <c r="E906" s="16" t="inlineStr">
        <is>
          <t>R</t>
        </is>
      </c>
      <c r="F906" s="16" t="n"/>
      <c r="G906" s="9" t="n">
        <v>3.58974358974359</v>
      </c>
      <c r="H906" s="9" t="n">
        <v>3.58974358974359</v>
      </c>
      <c r="I906" s="9" t="inlineStr">
        <is>
          <t>Depth (no MLB PA)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  <c r="V906" s="17" t="n"/>
      <c r="W906" s="17" t="n"/>
      <c r="X906" s="17" t="n"/>
      <c r="Y906" s="13">
        <f>SUMPRODUCT(M906:X906,$M$2:$X$2)*$K906*$L906</f>
        <v/>
      </c>
      <c r="Z906" s="14">
        <f>SUM(M906:X906)</f>
        <v/>
      </c>
      <c r="AA906" s="14">
        <f>IFERROR(IF(UPPER($E906)="L",SUMPRODUCT(M906:X906,$M$3:$X$3,$M$2:$X$2),SUMPRODUCT(M906:X906,$M$4:$X$4,$M$2:$X$2))/(Y906/($K906*$L906)),"")</f>
        <v/>
      </c>
      <c r="AB906" s="18" t="n"/>
    </row>
    <row r="907">
      <c r="A907" s="9" t="n">
        <v>656577</v>
      </c>
      <c r="B907" s="9" t="inlineStr">
        <is>
          <t>Alex Jackson</t>
        </is>
      </c>
      <c r="C907" s="9" t="inlineStr">
        <is>
          <t>MIN</t>
        </is>
      </c>
      <c r="D907" s="9" t="n">
        <v>31</v>
      </c>
      <c r="E907" s="16" t="inlineStr">
        <is>
          <t>R</t>
        </is>
      </c>
      <c r="F907" s="16" t="n"/>
      <c r="G907" s="9" t="n">
        <v>73</v>
      </c>
      <c r="H907" s="9" t="n">
        <v>340</v>
      </c>
      <c r="I907" s="9" t="inlineStr">
        <is>
          <t>Bench Bat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3">
        <f>SUMPRODUCT(M907:X907,$M$2:$X$2)*$K907*$L907</f>
        <v/>
      </c>
      <c r="Z907" s="14">
        <f>SUM(M907:X907)</f>
        <v/>
      </c>
      <c r="AA907" s="14">
        <f>IFERROR(IF(UPPER($E907)="L",SUMPRODUCT(M907:X907,$M$3:$X$3,$M$2:$X$2),SUMPRODUCT(M907:X907,$M$4:$X$4,$M$2:$X$2))/(Y907/($K907*$L907)),"")</f>
        <v/>
      </c>
      <c r="AB907" s="18" t="n"/>
    </row>
    <row r="908">
      <c r="A908" s="9" t="n">
        <v>689108</v>
      </c>
      <c r="B908" s="9" t="inlineStr">
        <is>
          <t>Tommy Takayoshi</t>
        </is>
      </c>
      <c r="C908" s="9" t="inlineStr">
        <is>
          <t>OAK</t>
        </is>
      </c>
      <c r="D908" s="9" t="n">
        <v>25</v>
      </c>
      <c r="E908" s="16" t="inlineStr">
        <is>
          <t>S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3">
        <f>SUMPRODUCT(M908:X908,$M$2:$X$2)*$K908*$L908</f>
        <v/>
      </c>
      <c r="Z908" s="14">
        <f>SUM(M908:X908)</f>
        <v/>
      </c>
      <c r="AA908" s="14">
        <f>IFERROR(IF(UPPER($E908)="L",SUMPRODUCT(M908:X908,$M$3:$X$3,$M$2:$X$2),SUMPRODUCT(M908:X908,$M$4:$X$4,$M$2:$X$2))/(Y908/($K908*$L908)),"")</f>
        <v/>
      </c>
      <c r="AB908" s="18" t="n"/>
    </row>
    <row r="909">
      <c r="A909" s="9" t="n">
        <v>835269</v>
      </c>
      <c r="B909" s="9" t="inlineStr">
        <is>
          <t>Judah Morris</t>
        </is>
      </c>
      <c r="C909" s="9" t="inlineStr">
        <is>
          <t>OAK</t>
        </is>
      </c>
      <c r="D909" s="9" t="n">
        <v>25</v>
      </c>
      <c r="E909" s="16" t="inlineStr">
        <is>
          <t>R</t>
        </is>
      </c>
      <c r="F909" s="16" t="n"/>
      <c r="G909" s="9" t="n">
        <v>3.692307692307692</v>
      </c>
      <c r="H909" s="9" t="n">
        <v>3.692307692307692</v>
      </c>
      <c r="I909" s="9" t="inlineStr">
        <is>
          <t>Depth (no MLB PA)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  <c r="V909" s="17" t="n"/>
      <c r="W909" s="17" t="n"/>
      <c r="X909" s="17" t="n"/>
      <c r="Y909" s="13">
        <f>SUMPRODUCT(M909:X909,$M$2:$X$2)*$K909*$L909</f>
        <v/>
      </c>
      <c r="Z909" s="14">
        <f>SUM(M909:X909)</f>
        <v/>
      </c>
      <c r="AA909" s="14">
        <f>IFERROR(IF(UPPER($E909)="L",SUMPRODUCT(M909:X909,$M$3:$X$3,$M$2:$X$2),SUMPRODUCT(M909:X909,$M$4:$X$4,$M$2:$X$2))/(Y909/($K909*$L909)),"")</f>
        <v/>
      </c>
      <c r="AB909" s="18" t="n"/>
    </row>
    <row r="910">
      <c r="A910" s="9" t="n">
        <v>804826</v>
      </c>
      <c r="B910" s="9" t="inlineStr">
        <is>
          <t>Jake Ogden</t>
        </is>
      </c>
      <c r="C910" s="9" t="inlineStr">
        <is>
          <t>NYM</t>
        </is>
      </c>
      <c r="D910" s="9" t="n">
        <v>25</v>
      </c>
      <c r="E910" s="16" t="inlineStr">
        <is>
          <t>R</t>
        </is>
      </c>
      <c r="F910" s="16" t="n"/>
      <c r="G910" s="9" t="n">
        <v>5.907692307692308</v>
      </c>
      <c r="H910" s="9" t="n">
        <v>5.907692307692308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3">
        <f>SUMPRODUCT(M910:X910,$M$2:$X$2)*$K910*$L910</f>
        <v/>
      </c>
      <c r="Z910" s="14">
        <f>SUM(M910:X910)</f>
        <v/>
      </c>
      <c r="AA910" s="14">
        <f>IFERROR(IF(UPPER($E910)="L",SUMPRODUCT(M910:X910,$M$3:$X$3,$M$2:$X$2),SUMPRODUCT(M910:X910,$M$4:$X$4,$M$2:$X$2))/(Y910/($K910*$L910)),"")</f>
        <v/>
      </c>
      <c r="AB910" s="18" t="n"/>
    </row>
    <row r="911">
      <c r="A911" s="9" t="n">
        <v>816339</v>
      </c>
      <c r="B911" s="9" t="inlineStr">
        <is>
          <t>Bohan Adderley</t>
        </is>
      </c>
      <c r="C911" s="9" t="inlineStr">
        <is>
          <t>NYM</t>
        </is>
      </c>
      <c r="D911" s="9" t="n">
        <v>25</v>
      </c>
      <c r="E911" s="16" t="inlineStr">
        <is>
          <t>R</t>
        </is>
      </c>
      <c r="F911" s="16" t="n"/>
      <c r="G911" s="9" t="n">
        <v>6.030769230769231</v>
      </c>
      <c r="H911" s="9" t="n">
        <v>6.030769230769231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3">
        <f>SUMPRODUCT(M911:X911,$M$2:$X$2)*$K911*$L911</f>
        <v/>
      </c>
      <c r="Z911" s="14">
        <f>SUM(M911:X911)</f>
        <v/>
      </c>
      <c r="AA911" s="14">
        <f>IFERROR(IF(UPPER($E911)="L",SUMPRODUCT(M911:X911,$M$3:$X$3,$M$2:$X$2),SUMPRODUCT(M911:X911,$M$4:$X$4,$M$2:$X$2))/(Y911/($K911*$L911)),"")</f>
        <v/>
      </c>
      <c r="AB911" s="18" t="n"/>
    </row>
    <row r="912">
      <c r="A912" s="9" t="n">
        <v>693243</v>
      </c>
      <c r="B912" s="9" t="inlineStr">
        <is>
          <t>Garrett Pennington</t>
        </is>
      </c>
      <c r="C912" s="9" t="inlineStr">
        <is>
          <t>DET</t>
        </is>
      </c>
      <c r="D912" s="9" t="n">
        <v>25</v>
      </c>
      <c r="E912" s="16" t="inlineStr">
        <is>
          <t>R</t>
        </is>
      </c>
      <c r="F912" s="16" t="n"/>
      <c r="G912" s="9" t="n">
        <v>37.33333333333334</v>
      </c>
      <c r="H912" s="9" t="n">
        <v>37.33333333333334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3">
        <f>SUMPRODUCT(M912:X912,$M$2:$X$2)*$K912*$L912</f>
        <v/>
      </c>
      <c r="Z912" s="14">
        <f>SUM(M912:X912)</f>
        <v/>
      </c>
      <c r="AA912" s="14">
        <f>IFERROR(IF(UPPER($E912)="L",SUMPRODUCT(M912:X912,$M$3:$X$3,$M$2:$X$2),SUMPRODUCT(M912:X912,$M$4:$X$4,$M$2:$X$2))/(Y912/($K912*$L912)),"")</f>
        <v/>
      </c>
      <c r="AB912" s="18" t="n"/>
    </row>
    <row r="913">
      <c r="A913" s="9" t="n">
        <v>696273</v>
      </c>
      <c r="B913" s="9" t="inlineStr">
        <is>
          <t>Lorenzo Carrier</t>
        </is>
      </c>
      <c r="C913" s="9" t="inlineStr">
        <is>
          <t>COL</t>
        </is>
      </c>
      <c r="D913" s="9" t="n">
        <v>25</v>
      </c>
      <c r="E913" s="16" t="inlineStr">
        <is>
          <t>R</t>
        </is>
      </c>
      <c r="F913" s="16" t="n"/>
      <c r="G913" s="9" t="n">
        <v>3.897435897435898</v>
      </c>
      <c r="H913" s="9" t="n">
        <v>3.897435897435898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3">
        <f>SUMPRODUCT(M913:X913,$M$2:$X$2)*$K913*$L913</f>
        <v/>
      </c>
      <c r="Z913" s="14">
        <f>SUM(M913:X913)</f>
        <v/>
      </c>
      <c r="AA913" s="14">
        <f>IFERROR(IF(UPPER($E913)="L",SUMPRODUCT(M913:X913,$M$3:$X$3,$M$2:$X$2),SUMPRODUCT(M913:X913,$M$4:$X$4,$M$2:$X$2))/(Y913/($K913*$L913)),"")</f>
        <v/>
      </c>
      <c r="AB913" s="18" t="n"/>
    </row>
    <row r="914">
      <c r="A914" s="9" t="n">
        <v>821296</v>
      </c>
      <c r="B914" s="9" t="inlineStr">
        <is>
          <t>Connor McGinnis</t>
        </is>
      </c>
      <c r="C914" s="9" t="inlineStr">
        <is>
          <t>NYY</t>
        </is>
      </c>
      <c r="D914" s="9" t="n">
        <v>25</v>
      </c>
      <c r="E914" s="16" t="inlineStr">
        <is>
          <t>L</t>
        </is>
      </c>
      <c r="F914" s="16" t="n"/>
      <c r="G914" s="9" t="n">
        <v>3.948717948717949</v>
      </c>
      <c r="H914" s="9" t="n">
        <v>3.948717948717949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3">
        <f>SUMPRODUCT(M914:X914,$M$2:$X$2)*$K914*$L914</f>
        <v/>
      </c>
      <c r="Z914" s="14">
        <f>SUM(M914:X914)</f>
        <v/>
      </c>
      <c r="AA914" s="14">
        <f>IFERROR(IF(UPPER($E914)="L",SUMPRODUCT(M914:X914,$M$3:$X$3,$M$2:$X$2),SUMPRODUCT(M914:X914,$M$4:$X$4,$M$2:$X$2))/(Y914/($K914*$L914)),"")</f>
        <v/>
      </c>
      <c r="AB914" s="18" t="n"/>
    </row>
    <row r="915">
      <c r="A915" s="9" t="n">
        <v>800209</v>
      </c>
      <c r="B915" s="9" t="inlineStr">
        <is>
          <t>Estuar Suero</t>
        </is>
      </c>
      <c r="C915" s="9" t="inlineStr">
        <is>
          <t>PIT</t>
        </is>
      </c>
      <c r="D915" s="9" t="n">
        <v>25</v>
      </c>
      <c r="E915" s="16" t="inlineStr">
        <is>
          <t>S</t>
        </is>
      </c>
      <c r="F915" s="16" t="n"/>
      <c r="G915" s="9" t="n">
        <v>6.030769230769231</v>
      </c>
      <c r="H915" s="9" t="n">
        <v>6.030769230769231</v>
      </c>
      <c r="I915" s="9" t="inlineStr">
        <is>
          <t>Depth (no MLB PA)</t>
        </is>
      </c>
      <c r="J915" s="16" t="inlineStr">
        <is>
          <t>Opening Day</t>
        </is>
      </c>
      <c r="K915" s="11">
        <f>IFERROR(INDEX(Roles!$B$17:$B$20,MATCH(J915,Roles!$A$17:$A$20,0)),1)</f>
        <v/>
      </c>
      <c r="L915" s="17" t="n">
        <v>1</v>
      </c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/>
      <c r="Y915" s="13">
        <f>SUMPRODUCT(M915:X915,$M$2:$X$2)*$K915*$L915</f>
        <v/>
      </c>
      <c r="Z915" s="14">
        <f>SUM(M915:X915)</f>
        <v/>
      </c>
      <c r="AA915" s="14">
        <f>IFERROR(IF(UPPER($E915)="L",SUMPRODUCT(M915:X915,$M$3:$X$3,$M$2:$X$2),SUMPRODUCT(M915:X915,$M$4:$X$4,$M$2:$X$2))/(Y915/($K915*$L915)),"")</f>
        <v/>
      </c>
      <c r="AB915" s="18" t="n"/>
    </row>
    <row r="916">
      <c r="A916" s="9" t="n">
        <v>621493</v>
      </c>
      <c r="B916" s="9" t="inlineStr">
        <is>
          <t>Taylor Ward</t>
        </is>
      </c>
      <c r="C916" s="9" t="inlineStr">
        <is>
          <t>SEA</t>
        </is>
      </c>
      <c r="D916" s="9" t="n">
        <v>33</v>
      </c>
      <c r="E916" s="16" t="inlineStr">
        <is>
          <t>R</t>
        </is>
      </c>
      <c r="F916" s="16" t="n"/>
      <c r="G916" s="9" t="n">
        <v>607</v>
      </c>
      <c r="H916" s="9" t="n">
        <v>2906</v>
      </c>
      <c r="I916" s="9" t="inlineStr">
        <is>
          <t>Full Time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3">
        <f>SUMPRODUCT(M916:X916,$M$2:$X$2)*$K916*$L916</f>
        <v/>
      </c>
      <c r="Z916" s="14">
        <f>SUM(M916:X916)</f>
        <v/>
      </c>
      <c r="AA916" s="14">
        <f>IFERROR(IF(UPPER($E916)="L",SUMPRODUCT(M916:X916,$M$3:$X$3,$M$2:$X$2),SUMPRODUCT(M916:X916,$M$4:$X$4,$M$2:$X$2))/(Y916/($K916*$L916)),"")</f>
        <v/>
      </c>
      <c r="AB916" s="18" t="n"/>
    </row>
    <row r="917">
      <c r="A917" s="9" t="n">
        <v>702662</v>
      </c>
      <c r="B917" s="9" t="inlineStr">
        <is>
          <t>Dylan Dreiling</t>
        </is>
      </c>
      <c r="C917" s="9" t="inlineStr">
        <is>
          <t>TEX</t>
        </is>
      </c>
      <c r="D917" s="9" t="n">
        <v>25</v>
      </c>
      <c r="E917" s="16" t="inlineStr">
        <is>
          <t>L</t>
        </is>
      </c>
      <c r="F917" s="16" t="n"/>
      <c r="G917" s="9" t="n">
        <v>190.6153846153846</v>
      </c>
      <c r="H917" s="9" t="n">
        <v>190.6153846153846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3">
        <f>SUMPRODUCT(M917:X917,$M$2:$X$2)*$K917*$L917</f>
        <v/>
      </c>
      <c r="Z917" s="14">
        <f>SUM(M917:X917)</f>
        <v/>
      </c>
      <c r="AA917" s="14">
        <f>IFERROR(IF(UPPER($E917)="L",SUMPRODUCT(M917:X917,$M$3:$X$3,$M$2:$X$2),SUMPRODUCT(M917:X917,$M$4:$X$4,$M$2:$X$2))/(Y917/($K917*$L917)),"")</f>
        <v/>
      </c>
      <c r="AB917" s="18" t="n"/>
    </row>
    <row r="918">
      <c r="A918" s="9" t="n">
        <v>805795</v>
      </c>
      <c r="B918" s="9" t="inlineStr">
        <is>
          <t>Aidan Miller</t>
        </is>
      </c>
      <c r="C918" s="9" t="inlineStr">
        <is>
          <t>PHI</t>
        </is>
      </c>
      <c r="D918" s="9" t="n">
        <v>25</v>
      </c>
      <c r="E918" s="16" t="inlineStr">
        <is>
          <t>R</t>
        </is>
      </c>
      <c r="F918" s="16" t="n"/>
      <c r="G918" s="9" t="n">
        <v>3.948717948717949</v>
      </c>
      <c r="H918" s="9" t="n">
        <v>3.948717948717949</v>
      </c>
      <c r="I918" s="9" t="inlineStr">
        <is>
          <t>Depth (no MLB PA)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3">
        <f>SUMPRODUCT(M918:X918,$M$2:$X$2)*$K918*$L918</f>
        <v/>
      </c>
      <c r="Z918" s="14">
        <f>SUM(M918:X918)</f>
        <v/>
      </c>
      <c r="AA918" s="14">
        <f>IFERROR(IF(UPPER($E918)="L",SUMPRODUCT(M918:X918,$M$3:$X$3,$M$2:$X$2),SUMPRODUCT(M918:X918,$M$4:$X$4,$M$2:$X$2))/(Y918/($K918*$L918)),"")</f>
        <v/>
      </c>
      <c r="AB918" s="18" t="n"/>
    </row>
    <row r="919">
      <c r="A919" s="9" t="n">
        <v>806980</v>
      </c>
      <c r="B919" s="9" t="inlineStr">
        <is>
          <t>Angel Cepeda</t>
        </is>
      </c>
      <c r="C919" s="9" t="inlineStr">
        <is>
          <t>CHC</t>
        </is>
      </c>
      <c r="D919" s="9" t="n">
        <v>25</v>
      </c>
      <c r="E919" s="16" t="inlineStr">
        <is>
          <t>R</t>
        </is>
      </c>
      <c r="F919" s="16" t="n"/>
      <c r="G919" s="9" t="n">
        <v>3.948717948717949</v>
      </c>
      <c r="H919" s="9" t="n">
        <v>3.948717948717949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3">
        <f>SUMPRODUCT(M919:X919,$M$2:$X$2)*$K919*$L919</f>
        <v/>
      </c>
      <c r="Z919" s="14">
        <f>SUM(M919:X919)</f>
        <v/>
      </c>
      <c r="AA919" s="14">
        <f>IFERROR(IF(UPPER($E919)="L",SUMPRODUCT(M919:X919,$M$3:$X$3,$M$2:$X$2),SUMPRODUCT(M919:X919,$M$4:$X$4,$M$2:$X$2))/(Y919/($K919*$L919)),"")</f>
        <v/>
      </c>
      <c r="AB919" s="18" t="n"/>
    </row>
    <row r="920">
      <c r="A920" s="9" t="n">
        <v>815268</v>
      </c>
      <c r="B920" s="9" t="inlineStr">
        <is>
          <t>Patrick Lee</t>
        </is>
      </c>
      <c r="C920" s="9" t="inlineStr">
        <is>
          <t>DET</t>
        </is>
      </c>
      <c r="D920" s="9" t="n">
        <v>25</v>
      </c>
      <c r="E920" s="16" t="inlineStr">
        <is>
          <t>R</t>
        </is>
      </c>
      <c r="F920" s="16" t="n"/>
      <c r="G920" s="9" t="n">
        <v>53.12820512820512</v>
      </c>
      <c r="H920" s="9" t="n">
        <v>53.12820512820512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3">
        <f>SUMPRODUCT(M920:X920,$M$2:$X$2)*$K920*$L920</f>
        <v/>
      </c>
      <c r="Z920" s="14">
        <f>SUM(M920:X920)</f>
        <v/>
      </c>
      <c r="AA920" s="14">
        <f>IFERROR(IF(UPPER($E920)="L",SUMPRODUCT(M920:X920,$M$3:$X$3,$M$2:$X$2),SUMPRODUCT(M920:X920,$M$4:$X$4,$M$2:$X$2))/(Y920/($K920*$L920)),"")</f>
        <v/>
      </c>
      <c r="AB920" s="18" t="n"/>
    </row>
    <row r="921">
      <c r="A921" s="9" t="n">
        <v>800741</v>
      </c>
      <c r="B921" s="9" t="inlineStr">
        <is>
          <t>Logan Maxwell</t>
        </is>
      </c>
      <c r="C921" s="9" t="inlineStr">
        <is>
          <t>NYY</t>
        </is>
      </c>
      <c r="D921" s="9" t="n">
        <v>25</v>
      </c>
      <c r="E921" s="16" t="inlineStr">
        <is>
          <t>L</t>
        </is>
      </c>
      <c r="F921" s="16" t="n"/>
      <c r="G921" s="9" t="n">
        <v>14.64615384615385</v>
      </c>
      <c r="H921" s="9" t="n">
        <v>14.64615384615385</v>
      </c>
      <c r="I921" s="9" t="inlineStr">
        <is>
          <t>Depth (no MLB PA)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3">
        <f>SUMPRODUCT(M921:X921,$M$2:$X$2)*$K921*$L921</f>
        <v/>
      </c>
      <c r="Z921" s="14">
        <f>SUM(M921:X921)</f>
        <v/>
      </c>
      <c r="AA921" s="14">
        <f>IFERROR(IF(UPPER($E921)="L",SUMPRODUCT(M921:X921,$M$3:$X$3,$M$2:$X$2),SUMPRODUCT(M921:X921,$M$4:$X$4,$M$2:$X$2))/(Y921/($K921*$L921)),"")</f>
        <v/>
      </c>
      <c r="AB921" s="18" t="n"/>
    </row>
    <row r="922">
      <c r="A922" s="9" t="n">
        <v>543939</v>
      </c>
      <c r="B922" s="9" t="inlineStr">
        <is>
          <t>Kolten Wong</t>
        </is>
      </c>
      <c r="C922" s="9" t="inlineStr">
        <is>
          <t>LAD</t>
        </is>
      </c>
      <c r="D922" s="9" t="n">
        <v>36</v>
      </c>
      <c r="E922" s="16" t="inlineStr">
        <is>
          <t>L</t>
        </is>
      </c>
      <c r="F922" s="16" t="n"/>
      <c r="G922" s="9" t="n">
        <v>250</v>
      </c>
      <c r="H922" s="9" t="n">
        <v>747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3">
        <f>SUMPRODUCT(M922:X922,$M$2:$X$2)*$K922*$L922</f>
        <v/>
      </c>
      <c r="Z922" s="14">
        <f>SUM(M922:X922)</f>
        <v/>
      </c>
      <c r="AA922" s="14">
        <f>IFERROR(IF(UPPER($E922)="L",SUMPRODUCT(M922:X922,$M$3:$X$3,$M$2:$X$2),SUMPRODUCT(M922:X922,$M$4:$X$4,$M$2:$X$2))/(Y922/($K922*$L922)),"")</f>
        <v/>
      </c>
      <c r="AB922" s="18" t="n"/>
    </row>
    <row r="923">
      <c r="A923" s="9" t="n">
        <v>821199</v>
      </c>
      <c r="B923" s="9" t="inlineStr">
        <is>
          <t>Moises Polanco</t>
        </is>
      </c>
      <c r="C923" s="9" t="inlineStr">
        <is>
          <t>MIL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3">
        <f>SUMPRODUCT(M923:X923,$M$2:$X$2)*$K923*$L923</f>
        <v/>
      </c>
      <c r="Z923" s="14">
        <f>SUM(M923:X923)</f>
        <v/>
      </c>
      <c r="AA923" s="14">
        <f>IFERROR(IF(UPPER($E923)="L",SUMPRODUCT(M923:X923,$M$3:$X$3,$M$2:$X$2),SUMPRODUCT(M923:X923,$M$4:$X$4,$M$2:$X$2))/(Y923/($K923*$L923)),"")</f>
        <v/>
      </c>
      <c r="AB923" s="18" t="n"/>
    </row>
    <row r="924">
      <c r="A924" s="9" t="n">
        <v>821101</v>
      </c>
      <c r="B924" s="9" t="inlineStr">
        <is>
          <t>Ezequiel Pena</t>
        </is>
      </c>
      <c r="C924" s="9" t="inlineStr">
        <is>
          <t>CHC</t>
        </is>
      </c>
      <c r="D924" s="9" t="n">
        <v>25</v>
      </c>
      <c r="E924" s="16" t="inlineStr">
        <is>
          <t>L</t>
        </is>
      </c>
      <c r="F924" s="16" t="n"/>
      <c r="G924" s="9" t="n">
        <v>3.938461538461538</v>
      </c>
      <c r="H924" s="9" t="n">
        <v>3.938461538461538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3">
        <f>SUMPRODUCT(M924:X924,$M$2:$X$2)*$K924*$L924</f>
        <v/>
      </c>
      <c r="Z924" s="14">
        <f>SUM(M924:X924)</f>
        <v/>
      </c>
      <c r="AA924" s="14">
        <f>IFERROR(IF(UPPER($E924)="L",SUMPRODUCT(M924:X924,$M$3:$X$3,$M$2:$X$2),SUMPRODUCT(M924:X924,$M$4:$X$4,$M$2:$X$2))/(Y924/($K924*$L924)),"")</f>
        <v/>
      </c>
      <c r="AB924" s="18" t="n"/>
    </row>
    <row r="925">
      <c r="A925" s="9" t="n">
        <v>808553</v>
      </c>
      <c r="B925" s="9" t="inlineStr">
        <is>
          <t>John Estevez</t>
        </is>
      </c>
      <c r="C925" s="9" t="inlineStr">
        <is>
          <t>ATL</t>
        </is>
      </c>
      <c r="D925" s="9" t="n">
        <v>25</v>
      </c>
      <c r="E925" s="16" t="inlineStr">
        <is>
          <t>L</t>
        </is>
      </c>
      <c r="F925" s="16" t="n"/>
      <c r="G925" s="9" t="n">
        <v>3.897435897435898</v>
      </c>
      <c r="H925" s="9" t="n">
        <v>3.897435897435898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3">
        <f>SUMPRODUCT(M925:X925,$M$2:$X$2)*$K925*$L925</f>
        <v/>
      </c>
      <c r="Z925" s="14">
        <f>SUM(M925:X925)</f>
        <v/>
      </c>
      <c r="AA925" s="14">
        <f>IFERROR(IF(UPPER($E925)="L",SUMPRODUCT(M925:X925,$M$3:$X$3,$M$2:$X$2),SUMPRODUCT(M925:X925,$M$4:$X$4,$M$2:$X$2))/(Y925/($K925*$L925)),"")</f>
        <v/>
      </c>
      <c r="AB925" s="18" t="n"/>
    </row>
    <row r="926">
      <c r="A926" s="9" t="n">
        <v>808326</v>
      </c>
      <c r="B926" s="9" t="inlineStr">
        <is>
          <t>Pablo Guerrero</t>
        </is>
      </c>
      <c r="C926" s="9" t="inlineStr">
        <is>
          <t>TEX</t>
        </is>
      </c>
      <c r="D926" s="9" t="n">
        <v>25</v>
      </c>
      <c r="E926" s="16" t="inlineStr">
        <is>
          <t>R</t>
        </is>
      </c>
      <c r="F926" s="16" t="n"/>
      <c r="G926" s="9" t="n">
        <v>18.83076923076923</v>
      </c>
      <c r="H926" s="9" t="n">
        <v>18.83076923076923</v>
      </c>
      <c r="I926" s="9" t="inlineStr">
        <is>
          <t>Depth (no MLB PA)</t>
        </is>
      </c>
      <c r="J926" s="16" t="inlineStr">
        <is>
          <t>Opening Day</t>
        </is>
      </c>
      <c r="K926" s="11">
        <f>IFERROR(INDEX(Roles!$B$17:$B$20,MATCH(J926,Roles!$A$17:$A$20,0)),1)</f>
        <v/>
      </c>
      <c r="L926" s="17" t="n">
        <v>1</v>
      </c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3">
        <f>SUMPRODUCT(M926:X926,$M$2:$X$2)*$K926*$L926</f>
        <v/>
      </c>
      <c r="Z926" s="14">
        <f>SUM(M926:X926)</f>
        <v/>
      </c>
      <c r="AA926" s="14">
        <f>IFERROR(IF(UPPER($E926)="L",SUMPRODUCT(M926:X926,$M$3:$X$3,$M$2:$X$2),SUMPRODUCT(M926:X926,$M$4:$X$4,$M$2:$X$2))/(Y926/($K926*$L926)),"")</f>
        <v/>
      </c>
      <c r="AB926" s="18" t="n"/>
    </row>
    <row r="927">
      <c r="A927" s="9" t="n">
        <v>671272</v>
      </c>
      <c r="B927" s="9" t="inlineStr">
        <is>
          <t>David García</t>
        </is>
      </c>
      <c r="C927" s="9" t="inlineStr">
        <is>
          <t>MIL</t>
        </is>
      </c>
      <c r="D927" s="9" t="n">
        <v>25</v>
      </c>
      <c r="E927" s="16" t="inlineStr">
        <is>
          <t>S</t>
        </is>
      </c>
      <c r="F927" s="16" t="n"/>
      <c r="G927" s="9" t="n">
        <v>20.82051282051282</v>
      </c>
      <c r="H927" s="9" t="n">
        <v>20.82051282051282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3">
        <f>SUMPRODUCT(M927:X927,$M$2:$X$2)*$K927*$L927</f>
        <v/>
      </c>
      <c r="Z927" s="14">
        <f>SUM(M927:X927)</f>
        <v/>
      </c>
      <c r="AA927" s="14">
        <f>IFERROR(IF(UPPER($E927)="L",SUMPRODUCT(M927:X927,$M$3:$X$3,$M$2:$X$2),SUMPRODUCT(M927:X927,$M$4:$X$4,$M$2:$X$2))/(Y927/($K927*$L927)),"")</f>
        <v/>
      </c>
      <c r="AB927" s="18" t="n"/>
    </row>
    <row r="928">
      <c r="A928" s="9" t="n">
        <v>691793</v>
      </c>
      <c r="B928" s="9" t="inlineStr">
        <is>
          <t>Charlie Saum</t>
        </is>
      </c>
      <c r="C928" s="9" t="inlineStr">
        <is>
          <t>TOR</t>
        </is>
      </c>
      <c r="D928" s="9" t="n">
        <v>25</v>
      </c>
      <c r="E928" s="16" t="inlineStr">
        <is>
          <t>R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3">
        <f>SUMPRODUCT(M928:X928,$M$2:$X$2)*$K928*$L928</f>
        <v/>
      </c>
      <c r="Z928" s="14">
        <f>SUM(M928:X928)</f>
        <v/>
      </c>
      <c r="AA928" s="14">
        <f>IFERROR(IF(UPPER($E928)="L",SUMPRODUCT(M928:X928,$M$3:$X$3,$M$2:$X$2),SUMPRODUCT(M928:X928,$M$4:$X$4,$M$2:$X$2))/(Y928/($K928*$L928)),"")</f>
        <v/>
      </c>
      <c r="AB928" s="18" t="n"/>
    </row>
    <row r="929">
      <c r="A929" s="9" t="n">
        <v>457705</v>
      </c>
      <c r="B929" s="9" t="inlineStr">
        <is>
          <t>Andrew McCutchen</t>
        </is>
      </c>
      <c r="C929" s="9" t="inlineStr">
        <is>
          <t>TEX</t>
        </is>
      </c>
      <c r="D929" s="9" t="n">
        <v>40</v>
      </c>
      <c r="E929" s="16" t="inlineStr">
        <is>
          <t>R</t>
        </is>
      </c>
      <c r="F929" s="16" t="n"/>
      <c r="G929" s="9" t="n">
        <v>83</v>
      </c>
      <c r="H929" s="9" t="n">
        <v>2202</v>
      </c>
      <c r="I929" s="9" t="inlineStr">
        <is>
          <t>Full Time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3">
        <f>SUMPRODUCT(M929:X929,$M$2:$X$2)*$K929*$L929</f>
        <v/>
      </c>
      <c r="Z929" s="14">
        <f>SUM(M929:X929)</f>
        <v/>
      </c>
      <c r="AA929" s="14">
        <f>IFERROR(IF(UPPER($E929)="L",SUMPRODUCT(M929:X929,$M$3:$X$3,$M$2:$X$2),SUMPRODUCT(M929:X929,$M$4:$X$4,$M$2:$X$2))/(Y929/($K929*$L929)),"")</f>
        <v/>
      </c>
      <c r="AB929" s="18" t="n"/>
    </row>
    <row r="930">
      <c r="A930" s="9" t="n">
        <v>807649</v>
      </c>
      <c r="B930" s="9" t="inlineStr">
        <is>
          <t>Yeycol Soriano</t>
        </is>
      </c>
      <c r="C930" s="9" t="inlineStr">
        <is>
          <t>CIN</t>
        </is>
      </c>
      <c r="D930" s="9" t="n">
        <v>25</v>
      </c>
      <c r="E930" s="16" t="inlineStr">
        <is>
          <t>L</t>
        </is>
      </c>
      <c r="F930" s="16" t="n"/>
      <c r="G930" s="9" t="n">
        <v>3.938461538461538</v>
      </c>
      <c r="H930" s="9" t="n">
        <v>3.938461538461538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3">
        <f>SUMPRODUCT(M930:X930,$M$2:$X$2)*$K930*$L930</f>
        <v/>
      </c>
      <c r="Z930" s="14">
        <f>SUM(M930:X930)</f>
        <v/>
      </c>
      <c r="AA930" s="14">
        <f>IFERROR(IF(UPPER($E930)="L",SUMPRODUCT(M930:X930,$M$3:$X$3,$M$2:$X$2),SUMPRODUCT(M930:X930,$M$4:$X$4,$M$2:$X$2))/(Y930/($K930*$L930)),"")</f>
        <v/>
      </c>
      <c r="AB930" s="18" t="n"/>
    </row>
    <row r="931">
      <c r="A931" s="9" t="n">
        <v>702276</v>
      </c>
      <c r="B931" s="9" t="inlineStr">
        <is>
          <t>Carsten Sabathia III</t>
        </is>
      </c>
      <c r="C931" s="9" t="inlineStr">
        <is>
          <t>MIL</t>
        </is>
      </c>
      <c r="D931" s="9" t="n">
        <v>25</v>
      </c>
      <c r="E931" s="16" t="inlineStr">
        <is>
          <t>R</t>
        </is>
      </c>
      <c r="F931" s="16" t="n"/>
      <c r="G931" s="9" t="n">
        <v>10.33846153846154</v>
      </c>
      <c r="H931" s="9" t="n">
        <v>10.33846153846154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3">
        <f>SUMPRODUCT(M931:X931,$M$2:$X$2)*$K931*$L931</f>
        <v/>
      </c>
      <c r="Z931" s="14">
        <f>SUM(M931:X931)</f>
        <v/>
      </c>
      <c r="AA931" s="14">
        <f>IFERROR(IF(UPPER($E931)="L",SUMPRODUCT(M931:X931,$M$3:$X$3,$M$2:$X$2),SUMPRODUCT(M931:X931,$M$4:$X$4,$M$2:$X$2))/(Y931/($K931*$L931)),"")</f>
        <v/>
      </c>
      <c r="AB931" s="18" t="n"/>
    </row>
    <row r="932">
      <c r="A932" s="9" t="n">
        <v>808220</v>
      </c>
      <c r="B932" s="9" t="inlineStr">
        <is>
          <t>Raimundo De Los Santos</t>
        </is>
      </c>
      <c r="C932" s="9" t="inlineStr">
        <is>
          <t>TOR</t>
        </is>
      </c>
      <c r="D932" s="9" t="n">
        <v>25</v>
      </c>
      <c r="E932" s="16" t="inlineStr">
        <is>
          <t>S</t>
        </is>
      </c>
      <c r="F932" s="16" t="n"/>
      <c r="G932" s="9" t="n">
        <v>3.948717948717949</v>
      </c>
      <c r="H932" s="9" t="n">
        <v>3.948717948717949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3">
        <f>SUMPRODUCT(M932:X932,$M$2:$X$2)*$K932*$L932</f>
        <v/>
      </c>
      <c r="Z932" s="14">
        <f>SUM(M932:X932)</f>
        <v/>
      </c>
      <c r="AA932" s="14">
        <f>IFERROR(IF(UPPER($E932)="L",SUMPRODUCT(M932:X932,$M$3:$X$3,$M$2:$X$2),SUMPRODUCT(M932:X932,$M$4:$X$4,$M$2:$X$2))/(Y932/($K932*$L932)),"")</f>
        <v/>
      </c>
      <c r="AB932" s="18" t="n"/>
    </row>
    <row r="933">
      <c r="A933" s="9" t="n">
        <v>695023</v>
      </c>
      <c r="B933" s="9" t="inlineStr">
        <is>
          <t>Eddie Park</t>
        </is>
      </c>
      <c r="C933" s="9" t="inlineStr">
        <is>
          <t>CWS</t>
        </is>
      </c>
      <c r="D933" s="9" t="n">
        <v>25</v>
      </c>
      <c r="E933" s="16" t="inlineStr">
        <is>
          <t>L</t>
        </is>
      </c>
      <c r="F933" s="16" t="n"/>
      <c r="G933" s="9" t="n">
        <v>3.948717948717949</v>
      </c>
      <c r="H933" s="9" t="n">
        <v>3.948717948717949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3">
        <f>SUMPRODUCT(M933:X933,$M$2:$X$2)*$K933*$L933</f>
        <v/>
      </c>
      <c r="Z933" s="14">
        <f>SUM(M933:X933)</f>
        <v/>
      </c>
      <c r="AA933" s="14">
        <f>IFERROR(IF(UPPER($E933)="L",SUMPRODUCT(M933:X933,$M$3:$X$3,$M$2:$X$2),SUMPRODUCT(M933:X933,$M$4:$X$4,$M$2:$X$2))/(Y933/($K933*$L933)),"")</f>
        <v/>
      </c>
      <c r="AB933" s="18" t="n"/>
    </row>
    <row r="934">
      <c r="A934" s="9" t="n">
        <v>815928</v>
      </c>
      <c r="B934" s="9" t="inlineStr">
        <is>
          <t>Edward Lantigua</t>
        </is>
      </c>
      <c r="C934" s="9" t="inlineStr">
        <is>
          <t>NYM</t>
        </is>
      </c>
      <c r="D934" s="9" t="n">
        <v>25</v>
      </c>
      <c r="E934" s="16" t="inlineStr">
        <is>
          <t>R</t>
        </is>
      </c>
      <c r="F934" s="16" t="n"/>
      <c r="G934" s="9" t="n">
        <v>3.938461538461538</v>
      </c>
      <c r="H934" s="9" t="n">
        <v>3.938461538461538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3">
        <f>SUMPRODUCT(M934:X934,$M$2:$X$2)*$K934*$L934</f>
        <v/>
      </c>
      <c r="Z934" s="14">
        <f>SUM(M934:X934)</f>
        <v/>
      </c>
      <c r="AA934" s="14">
        <f>IFERROR(IF(UPPER($E934)="L",SUMPRODUCT(M934:X934,$M$3:$X$3,$M$2:$X$2),SUMPRODUCT(M934:X934,$M$4:$X$4,$M$2:$X$2))/(Y934/($K934*$L934)),"")</f>
        <v/>
      </c>
      <c r="AB934" s="18" t="n"/>
    </row>
    <row r="935">
      <c r="A935" s="9" t="n">
        <v>800313</v>
      </c>
      <c r="B935" s="9" t="inlineStr">
        <is>
          <t>Alejandro Rios</t>
        </is>
      </c>
      <c r="C935" s="9" t="inlineStr">
        <is>
          <t>ARI</t>
        </is>
      </c>
      <c r="D935" s="9" t="n">
        <v>25</v>
      </c>
      <c r="E935" s="16" t="inlineStr">
        <is>
          <t>R</t>
        </is>
      </c>
      <c r="F935" s="16" t="n"/>
      <c r="G935" s="9" t="n">
        <v>3.938461538461538</v>
      </c>
      <c r="H935" s="9" t="n">
        <v>3.938461538461538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3">
        <f>SUMPRODUCT(M935:X935,$M$2:$X$2)*$K935*$L935</f>
        <v/>
      </c>
      <c r="Z935" s="14">
        <f>SUM(M935:X935)</f>
        <v/>
      </c>
      <c r="AA935" s="14">
        <f>IFERROR(IF(UPPER($E935)="L",SUMPRODUCT(M935:X935,$M$3:$X$3,$M$2:$X$2),SUMPRODUCT(M935:X935,$M$4:$X$4,$M$2:$X$2))/(Y935/($K935*$L935)),"")</f>
        <v/>
      </c>
      <c r="AB935" s="18" t="n"/>
    </row>
    <row r="936">
      <c r="A936" s="9" t="n">
        <v>687625</v>
      </c>
      <c r="B936" s="9" t="inlineStr">
        <is>
          <t>Kai Murphy</t>
        </is>
      </c>
      <c r="C936" s="9" t="inlineStr">
        <is>
          <t>SD</t>
        </is>
      </c>
      <c r="D936" s="9" t="n">
        <v>25</v>
      </c>
      <c r="E936" s="16" t="inlineStr">
        <is>
          <t>L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3">
        <f>SUMPRODUCT(M936:X936,$M$2:$X$2)*$K936*$L936</f>
        <v/>
      </c>
      <c r="Z936" s="14">
        <f>SUM(M936:X936)</f>
        <v/>
      </c>
      <c r="AA936" s="14">
        <f>IFERROR(IF(UPPER($E936)="L",SUMPRODUCT(M936:X936,$M$3:$X$3,$M$2:$X$2),SUMPRODUCT(M936:X936,$M$4:$X$4,$M$2:$X$2))/(Y936/($K936*$L936)),"")</f>
        <v/>
      </c>
      <c r="AB936" s="18" t="n"/>
    </row>
    <row r="937">
      <c r="A937" s="9" t="n">
        <v>701616</v>
      </c>
      <c r="B937" s="9" t="inlineStr">
        <is>
          <t>Caleb Lomavita</t>
        </is>
      </c>
      <c r="C937" s="9" t="inlineStr">
        <is>
          <t>WSH</t>
        </is>
      </c>
      <c r="D937" s="9" t="n">
        <v>25</v>
      </c>
      <c r="E937" s="16" t="inlineStr">
        <is>
          <t>R</t>
        </is>
      </c>
      <c r="F937" s="16" t="n"/>
      <c r="G937" s="9" t="n">
        <v>122.4102564102564</v>
      </c>
      <c r="H937" s="9" t="n">
        <v>122.4102564102564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3">
        <f>SUMPRODUCT(M937:X937,$M$2:$X$2)*$K937*$L937</f>
        <v/>
      </c>
      <c r="Z937" s="14">
        <f>SUM(M937:X937)</f>
        <v/>
      </c>
      <c r="AA937" s="14">
        <f>IFERROR(IF(UPPER($E937)="L",SUMPRODUCT(M937:X937,$M$3:$X$3,$M$2:$X$2),SUMPRODUCT(M937:X937,$M$4:$X$4,$M$2:$X$2))/(Y937/($K937*$L937)),"")</f>
        <v/>
      </c>
      <c r="AB937" s="18" t="n"/>
    </row>
    <row r="938">
      <c r="A938" s="9" t="n">
        <v>805951</v>
      </c>
      <c r="B938" s="9" t="inlineStr">
        <is>
          <t>Boston Baro</t>
        </is>
      </c>
      <c r="C938" s="9" t="inlineStr">
        <is>
          <t>NYM</t>
        </is>
      </c>
      <c r="D938" s="9" t="n">
        <v>25</v>
      </c>
      <c r="E938" s="16" t="inlineStr">
        <is>
          <t>L</t>
        </is>
      </c>
      <c r="F938" s="16" t="n"/>
      <c r="G938" s="9" t="n">
        <v>4.061538461538461</v>
      </c>
      <c r="H938" s="9" t="n">
        <v>4.061538461538461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3">
        <f>SUMPRODUCT(M938:X938,$M$2:$X$2)*$K938*$L938</f>
        <v/>
      </c>
      <c r="Z938" s="14">
        <f>SUM(M938:X938)</f>
        <v/>
      </c>
      <c r="AA938" s="14">
        <f>IFERROR(IF(UPPER($E938)="L",SUMPRODUCT(M938:X938,$M$3:$X$3,$M$2:$X$2),SUMPRODUCT(M938:X938,$M$4:$X$4,$M$2:$X$2))/(Y938/($K938*$L938)),"")</f>
        <v/>
      </c>
      <c r="AB938" s="18" t="n"/>
    </row>
    <row r="939">
      <c r="A939" s="9" t="n">
        <v>808232</v>
      </c>
      <c r="B939" s="9" t="inlineStr">
        <is>
          <t>Alirio Ferrebus</t>
        </is>
      </c>
      <c r="C939" s="9" t="inlineStr">
        <is>
          <t>PHI</t>
        </is>
      </c>
      <c r="D939" s="9" t="n">
        <v>25</v>
      </c>
      <c r="E939" s="16" t="inlineStr">
        <is>
          <t>R</t>
        </is>
      </c>
      <c r="F939" s="16" t="n"/>
      <c r="G939" s="9" t="n">
        <v>4.102564102564103</v>
      </c>
      <c r="H939" s="9" t="n">
        <v>4.102564102564103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3">
        <f>SUMPRODUCT(M939:X939,$M$2:$X$2)*$K939*$L939</f>
        <v/>
      </c>
      <c r="Z939" s="14">
        <f>SUM(M939:X939)</f>
        <v/>
      </c>
      <c r="AA939" s="14">
        <f>IFERROR(IF(UPPER($E939)="L",SUMPRODUCT(M939:X939,$M$3:$X$3,$M$2:$X$2),SUMPRODUCT(M939:X939,$M$4:$X$4,$M$2:$X$2))/(Y939/($K939*$L939)),"")</f>
        <v/>
      </c>
      <c r="AB939" s="18" t="n"/>
    </row>
    <row r="940">
      <c r="A940" s="9" t="n">
        <v>701837</v>
      </c>
      <c r="B940" s="9" t="inlineStr">
        <is>
          <t>Kavares Tears</t>
        </is>
      </c>
      <c r="C940" s="9" t="inlineStr">
        <is>
          <t>SD</t>
        </is>
      </c>
      <c r="D940" s="9" t="n">
        <v>25</v>
      </c>
      <c r="E940" s="16" t="inlineStr">
        <is>
          <t>L</t>
        </is>
      </c>
      <c r="F940" s="16" t="n"/>
      <c r="G940" s="9" t="n">
        <v>56.41025641025641</v>
      </c>
      <c r="H940" s="9" t="n">
        <v>56.41025641025641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3">
        <f>SUMPRODUCT(M940:X940,$M$2:$X$2)*$K940*$L940</f>
        <v/>
      </c>
      <c r="Z940" s="14">
        <f>SUM(M940:X940)</f>
        <v/>
      </c>
      <c r="AA940" s="14">
        <f>IFERROR(IF(UPPER($E940)="L",SUMPRODUCT(M940:X940,$M$3:$X$3,$M$2:$X$2),SUMPRODUCT(M940:X940,$M$4:$X$4,$M$2:$X$2))/(Y940/($K940*$L940)),"")</f>
        <v/>
      </c>
      <c r="AB940" s="18" t="n"/>
    </row>
    <row r="941">
      <c r="A941" s="9" t="n">
        <v>682177</v>
      </c>
      <c r="B941" s="9" t="inlineStr">
        <is>
          <t>Daniel Schneemann</t>
        </is>
      </c>
      <c r="C941" s="9" t="inlineStr">
        <is>
          <t>CLE</t>
        </is>
      </c>
      <c r="D941" s="9" t="n">
        <v>30</v>
      </c>
      <c r="E941" s="16" t="inlineStr">
        <is>
          <t>L</t>
        </is>
      </c>
      <c r="F941" s="16" t="n"/>
      <c r="G941" s="9" t="n">
        <v>286</v>
      </c>
      <c r="H941" s="9" t="n">
        <v>929</v>
      </c>
      <c r="I941" s="9" t="inlineStr">
        <is>
          <t>Full Time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3">
        <f>SUMPRODUCT(M941:X941,$M$2:$X$2)*$K941*$L941</f>
        <v/>
      </c>
      <c r="Z941" s="14">
        <f>SUM(M941:X941)</f>
        <v/>
      </c>
      <c r="AA941" s="14">
        <f>IFERROR(IF(UPPER($E941)="L",SUMPRODUCT(M941:X941,$M$3:$X$3,$M$2:$X$2),SUMPRODUCT(M941:X941,$M$4:$X$4,$M$2:$X$2))/(Y941/($K941*$L941)),"")</f>
        <v/>
      </c>
      <c r="AB941" s="18" t="n"/>
    </row>
    <row r="942">
      <c r="A942" s="9" t="n">
        <v>829040</v>
      </c>
      <c r="B942" s="9" t="inlineStr">
        <is>
          <t>Juan Cabada</t>
        </is>
      </c>
      <c r="C942" s="9" t="inlineStr">
        <is>
          <t>CHC</t>
        </is>
      </c>
      <c r="D942" s="9" t="n">
        <v>25</v>
      </c>
      <c r="E942" s="16" t="inlineStr">
        <is>
          <t>L</t>
        </is>
      </c>
      <c r="F942" s="16" t="n"/>
      <c r="G942" s="9" t="n">
        <v>8.36923076923077</v>
      </c>
      <c r="H942" s="9" t="n">
        <v>8.36923076923077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3">
        <f>SUMPRODUCT(M942:X942,$M$2:$X$2)*$K942*$L942</f>
        <v/>
      </c>
      <c r="Z942" s="14">
        <f>SUM(M942:X942)</f>
        <v/>
      </c>
      <c r="AA942" s="14">
        <f>IFERROR(IF(UPPER($E942)="L",SUMPRODUCT(M942:X942,$M$3:$X$3,$M$2:$X$2),SUMPRODUCT(M942:X942,$M$4:$X$4,$M$2:$X$2))/(Y942/($K942*$L942)),"")</f>
        <v/>
      </c>
      <c r="AB942" s="18" t="n"/>
    </row>
    <row r="943">
      <c r="A943" s="9" t="n">
        <v>840390</v>
      </c>
      <c r="B943" s="9" t="inlineStr">
        <is>
          <t>Paul Schoenfeld</t>
        </is>
      </c>
      <c r="C943" s="9" t="inlineStr">
        <is>
          <t>ARI</t>
        </is>
      </c>
      <c r="D943" s="9" t="n">
        <v>25</v>
      </c>
      <c r="E943" s="16" t="inlineStr">
        <is>
          <t>L</t>
        </is>
      </c>
      <c r="F943" s="16" t="n"/>
      <c r="G943" s="9" t="n">
        <v>8.492307692307692</v>
      </c>
      <c r="H943" s="9" t="n">
        <v>8.492307692307692</v>
      </c>
      <c r="I943" s="9" t="inlineStr">
        <is>
          <t>Depth (no MLB PA)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  <c r="V943" s="17" t="n"/>
      <c r="W943" s="17" t="n"/>
      <c r="X943" s="17" t="n"/>
      <c r="Y943" s="13">
        <f>SUMPRODUCT(M943:X943,$M$2:$X$2)*$K943*$L943</f>
        <v/>
      </c>
      <c r="Z943" s="14">
        <f>SUM(M943:X943)</f>
        <v/>
      </c>
      <c r="AA943" s="14">
        <f>IFERROR(IF(UPPER($E943)="L",SUMPRODUCT(M943:X943,$M$3:$X$3,$M$2:$X$2),SUMPRODUCT(M943:X943,$M$4:$X$4,$M$2:$X$2))/(Y943/($K943*$L943)),"")</f>
        <v/>
      </c>
      <c r="AB943" s="18" t="n"/>
    </row>
    <row r="944">
      <c r="A944" s="9" t="n">
        <v>701373</v>
      </c>
      <c r="B944" s="9" t="inlineStr">
        <is>
          <t>Isaiah Barkett</t>
        </is>
      </c>
      <c r="C944" s="9" t="inlineStr">
        <is>
          <t>SF</t>
        </is>
      </c>
      <c r="D944" s="9" t="n">
        <v>25</v>
      </c>
      <c r="E944" s="16" t="inlineStr">
        <is>
          <t>R</t>
        </is>
      </c>
      <c r="F944" s="16" t="n"/>
      <c r="G944" s="9" t="n">
        <v>8.410256410256411</v>
      </c>
      <c r="H944" s="9" t="n">
        <v>8.410256410256411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3">
        <f>SUMPRODUCT(M944:X944,$M$2:$X$2)*$K944*$L944</f>
        <v/>
      </c>
      <c r="Z944" s="14">
        <f>SUM(M944:X944)</f>
        <v/>
      </c>
      <c r="AA944" s="14">
        <f>IFERROR(IF(UPPER($E944)="L",SUMPRODUCT(M944:X944,$M$3:$X$3,$M$2:$X$2),SUMPRODUCT(M944:X944,$M$4:$X$4,$M$2:$X$2))/(Y944/($K944*$L944)),"")</f>
        <v/>
      </c>
      <c r="AB944" s="18" t="n"/>
    </row>
    <row r="945">
      <c r="A945" s="9" t="n">
        <v>800191</v>
      </c>
      <c r="B945" s="9" t="inlineStr">
        <is>
          <t>Eliezer Rivero</t>
        </is>
      </c>
      <c r="C945" s="9" t="inlineStr">
        <is>
          <t>LAA</t>
        </is>
      </c>
      <c r="D945" s="9" t="n">
        <v>25</v>
      </c>
      <c r="E945" s="16" t="inlineStr">
        <is>
          <t>R</t>
        </is>
      </c>
      <c r="F945" s="16" t="n"/>
      <c r="G945" s="9" t="n">
        <v>4.184615384615385</v>
      </c>
      <c r="H945" s="9" t="n">
        <v>4.184615384615385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3">
        <f>SUMPRODUCT(M945:X945,$M$2:$X$2)*$K945*$L945</f>
        <v/>
      </c>
      <c r="Z945" s="14">
        <f>SUM(M945:X945)</f>
        <v/>
      </c>
      <c r="AA945" s="14">
        <f>IFERROR(IF(UPPER($E945)="L",SUMPRODUCT(M945:X945,$M$3:$X$3,$M$2:$X$2),SUMPRODUCT(M945:X945,$M$4:$X$4,$M$2:$X$2))/(Y945/($K945*$L945)),"")</f>
        <v/>
      </c>
      <c r="AB945" s="18" t="n"/>
    </row>
    <row r="946">
      <c r="A946" s="9" t="n">
        <v>814188</v>
      </c>
      <c r="B946" s="9" t="inlineStr">
        <is>
          <t>Jayson Bass</t>
        </is>
      </c>
      <c r="C946" s="9" t="inlineStr">
        <is>
          <t>MIN</t>
        </is>
      </c>
      <c r="D946" s="9" t="n">
        <v>25</v>
      </c>
      <c r="E946" s="16" t="inlineStr">
        <is>
          <t>S</t>
        </is>
      </c>
      <c r="F946" s="16" t="n"/>
      <c r="G946" s="9" t="n">
        <v>16.41025641025641</v>
      </c>
      <c r="H946" s="9" t="n">
        <v>16.41025641025641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3">
        <f>SUMPRODUCT(M946:X946,$M$2:$X$2)*$K946*$L946</f>
        <v/>
      </c>
      <c r="Z946" s="14">
        <f>SUM(M946:X946)</f>
        <v/>
      </c>
      <c r="AA946" s="14">
        <f>IFERROR(IF(UPPER($E946)="L",SUMPRODUCT(M946:X946,$M$3:$X$3,$M$2:$X$2),SUMPRODUCT(M946:X946,$M$4:$X$4,$M$2:$X$2))/(Y946/($K946*$L946)),"")</f>
        <v/>
      </c>
      <c r="AB946" s="18" t="n"/>
    </row>
    <row r="947">
      <c r="A947" s="9" t="n">
        <v>821696</v>
      </c>
      <c r="B947" s="9" t="inlineStr">
        <is>
          <t>Kendrick Herrera</t>
        </is>
      </c>
      <c r="C947" s="9" t="inlineStr">
        <is>
          <t>PIT</t>
        </is>
      </c>
      <c r="D947" s="9" t="n">
        <v>25</v>
      </c>
      <c r="E947" s="16" t="inlineStr">
        <is>
          <t>R</t>
        </is>
      </c>
      <c r="F947" s="16" t="n"/>
      <c r="G947" s="9" t="n">
        <v>4.184615384615385</v>
      </c>
      <c r="H947" s="9" t="n">
        <v>4.184615384615385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3">
        <f>SUMPRODUCT(M947:X947,$M$2:$X$2)*$K947*$L947</f>
        <v/>
      </c>
      <c r="Z947" s="14">
        <f>SUM(M947:X947)</f>
        <v/>
      </c>
      <c r="AA947" s="14">
        <f>IFERROR(IF(UPPER($E947)="L",SUMPRODUCT(M947:X947,$M$3:$X$3,$M$2:$X$2),SUMPRODUCT(M947:X947,$M$4:$X$4,$M$2:$X$2))/(Y947/($K947*$L947)),"")</f>
        <v/>
      </c>
      <c r="AB947" s="18" t="n"/>
    </row>
    <row r="948">
      <c r="A948" s="9" t="n">
        <v>692368</v>
      </c>
      <c r="B948" s="9" t="inlineStr">
        <is>
          <t>Adrián Sugastey</t>
        </is>
      </c>
      <c r="C948" s="9" t="inlineStr">
        <is>
          <t>SF</t>
        </is>
      </c>
      <c r="D948" s="9" t="n">
        <v>25</v>
      </c>
      <c r="E948" s="16" t="inlineStr">
        <is>
          <t>R</t>
        </is>
      </c>
      <c r="F948" s="16" t="n"/>
      <c r="G948" s="9" t="n">
        <v>51.33333333333334</v>
      </c>
      <c r="H948" s="9" t="n">
        <v>51.33333333333334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3">
        <f>SUMPRODUCT(M948:X948,$M$2:$X$2)*$K948*$L948</f>
        <v/>
      </c>
      <c r="Z948" s="14">
        <f>SUM(M948:X948)</f>
        <v/>
      </c>
      <c r="AA948" s="14">
        <f>IFERROR(IF(UPPER($E948)="L",SUMPRODUCT(M948:X948,$M$3:$X$3,$M$2:$X$2),SUMPRODUCT(M948:X948,$M$4:$X$4,$M$2:$X$2))/(Y948/($K948*$L948)),"")</f>
        <v/>
      </c>
      <c r="AB948" s="18" t="n"/>
    </row>
    <row r="949">
      <c r="A949" s="9" t="n">
        <v>811602</v>
      </c>
      <c r="B949" s="9" t="inlineStr">
        <is>
          <t>Yimy Tovar</t>
        </is>
      </c>
      <c r="C949" s="9" t="inlineStr">
        <is>
          <t>SD</t>
        </is>
      </c>
      <c r="D949" s="9" t="n">
        <v>25</v>
      </c>
      <c r="E949" s="16" t="inlineStr">
        <is>
          <t>R</t>
        </is>
      </c>
      <c r="F949" s="16" t="n"/>
      <c r="G949" s="9" t="n">
        <v>8.410256410256411</v>
      </c>
      <c r="H949" s="9" t="n">
        <v>8.410256410256411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3">
        <f>SUMPRODUCT(M949:X949,$M$2:$X$2)*$K949*$L949</f>
        <v/>
      </c>
      <c r="Z949" s="14">
        <f>SUM(M949:X949)</f>
        <v/>
      </c>
      <c r="AA949" s="14">
        <f>IFERROR(IF(UPPER($E949)="L",SUMPRODUCT(M949:X949,$M$3:$X$3,$M$2:$X$2),SUMPRODUCT(M949:X949,$M$4:$X$4,$M$2:$X$2))/(Y949/($K949*$L949)),"")</f>
        <v/>
      </c>
      <c r="AB949" s="18" t="n"/>
    </row>
    <row r="950">
      <c r="A950" s="9" t="n">
        <v>802500</v>
      </c>
      <c r="B950" s="9" t="inlineStr">
        <is>
          <t>Deiten Lachance</t>
        </is>
      </c>
      <c r="C950" s="9" t="inlineStr">
        <is>
          <t>CLE</t>
        </is>
      </c>
      <c r="D950" s="9" t="n">
        <v>25</v>
      </c>
      <c r="E950" s="16" t="inlineStr">
        <is>
          <t>R</t>
        </is>
      </c>
      <c r="F950" s="16" t="n"/>
      <c r="G950" s="9" t="n">
        <v>8.615384615384615</v>
      </c>
      <c r="H950" s="9" t="n">
        <v>8.615384615384615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3">
        <f>SUMPRODUCT(M950:X950,$M$2:$X$2)*$K950*$L950</f>
        <v/>
      </c>
      <c r="Z950" s="14">
        <f>SUM(M950:X950)</f>
        <v/>
      </c>
      <c r="AA950" s="14">
        <f>IFERROR(IF(UPPER($E950)="L",SUMPRODUCT(M950:X950,$M$3:$X$3,$M$2:$X$2),SUMPRODUCT(M950:X950,$M$4:$X$4,$M$2:$X$2))/(Y950/($K950*$L950)),"")</f>
        <v/>
      </c>
      <c r="AB950" s="18" t="n"/>
    </row>
    <row r="951">
      <c r="A951" s="9" t="n">
        <v>827290</v>
      </c>
      <c r="B951" s="9" t="inlineStr">
        <is>
          <t>Paul Gutierrez-Contreras II</t>
        </is>
      </c>
      <c r="C951" s="9" t="inlineStr">
        <is>
          <t>NYY</t>
        </is>
      </c>
      <c r="D951" s="9" t="n">
        <v>25</v>
      </c>
      <c r="E951" s="16" t="inlineStr">
        <is>
          <t>R</t>
        </is>
      </c>
      <c r="F951" s="16" t="n"/>
      <c r="G951" s="9" t="n">
        <v>8.615384615384615</v>
      </c>
      <c r="H951" s="9" t="n">
        <v>8.615384615384615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3">
        <f>SUMPRODUCT(M951:X951,$M$2:$X$2)*$K951*$L951</f>
        <v/>
      </c>
      <c r="Z951" s="14">
        <f>SUM(M951:X951)</f>
        <v/>
      </c>
      <c r="AA951" s="14">
        <f>IFERROR(IF(UPPER($E951)="L",SUMPRODUCT(M951:X951,$M$3:$X$3,$M$2:$X$2),SUMPRODUCT(M951:X951,$M$4:$X$4,$M$2:$X$2))/(Y951/($K951*$L951)),"")</f>
        <v/>
      </c>
      <c r="AB951" s="18" t="n"/>
    </row>
    <row r="952">
      <c r="A952" s="9" t="n">
        <v>694184</v>
      </c>
      <c r="B952" s="9" t="inlineStr">
        <is>
          <t>Cristian Santana</t>
        </is>
      </c>
      <c r="C952" s="9" t="inlineStr">
        <is>
          <t>DET</t>
        </is>
      </c>
      <c r="D952" s="9" t="n">
        <v>25</v>
      </c>
      <c r="E952" s="16" t="inlineStr">
        <is>
          <t>R</t>
        </is>
      </c>
      <c r="F952" s="16" t="n"/>
      <c r="G952" s="9" t="n">
        <v>69.12820512820512</v>
      </c>
      <c r="H952" s="9" t="n">
        <v>69.12820512820512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3">
        <f>SUMPRODUCT(M952:X952,$M$2:$X$2)*$K952*$L952</f>
        <v/>
      </c>
      <c r="Z952" s="14">
        <f>SUM(M952:X952)</f>
        <v/>
      </c>
      <c r="AA952" s="14">
        <f>IFERROR(IF(UPPER($E952)="L",SUMPRODUCT(M952:X952,$M$3:$X$3,$M$2:$X$2),SUMPRODUCT(M952:X952,$M$4:$X$4,$M$2:$X$2))/(Y952/($K952*$L952)),"")</f>
        <v/>
      </c>
      <c r="AB952" s="18" t="n"/>
    </row>
    <row r="953">
      <c r="A953" s="9" t="n">
        <v>823779</v>
      </c>
      <c r="B953" s="9" t="inlineStr">
        <is>
          <t>Ryan Sprock</t>
        </is>
      </c>
      <c r="C953" s="9" t="inlineStr">
        <is>
          <t>TOR</t>
        </is>
      </c>
      <c r="D953" s="9" t="n">
        <v>25</v>
      </c>
      <c r="E953" s="16" t="inlineStr">
        <is>
          <t>R</t>
        </is>
      </c>
      <c r="F953" s="16" t="n"/>
      <c r="G953" s="9" t="n">
        <v>29.12820512820513</v>
      </c>
      <c r="H953" s="9" t="n">
        <v>29.12820512820513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3">
        <f>SUMPRODUCT(M953:X953,$M$2:$X$2)*$K953*$L953</f>
        <v/>
      </c>
      <c r="Z953" s="14">
        <f>SUM(M953:X953)</f>
        <v/>
      </c>
      <c r="AA953" s="14">
        <f>IFERROR(IF(UPPER($E953)="L",SUMPRODUCT(M953:X953,$M$3:$X$3,$M$2:$X$2),SUMPRODUCT(M953:X953,$M$4:$X$4,$M$2:$X$2))/(Y953/($K953*$L953)),"")</f>
        <v/>
      </c>
      <c r="AB953" s="18" t="n"/>
    </row>
    <row r="954">
      <c r="A954" s="9" t="n">
        <v>803124</v>
      </c>
      <c r="B954" s="9" t="inlineStr">
        <is>
          <t>Tristan Bissetta</t>
        </is>
      </c>
      <c r="C954" s="9" t="inlineStr">
        <is>
          <t>STL</t>
        </is>
      </c>
      <c r="D954" s="9" t="n">
        <v>25</v>
      </c>
      <c r="E954" s="16" t="inlineStr">
        <is>
          <t>L</t>
        </is>
      </c>
      <c r="F954" s="16" t="n"/>
      <c r="G954" s="9" t="n">
        <v>16.41025641025641</v>
      </c>
      <c r="H954" s="9" t="n">
        <v>16.41025641025641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3">
        <f>SUMPRODUCT(M954:X954,$M$2:$X$2)*$K954*$L954</f>
        <v/>
      </c>
      <c r="Z954" s="14">
        <f>SUM(M954:X954)</f>
        <v/>
      </c>
      <c r="AA954" s="14">
        <f>IFERROR(IF(UPPER($E954)="L",SUMPRODUCT(M954:X954,$M$3:$X$3,$M$2:$X$2),SUMPRODUCT(M954:X954,$M$4:$X$4,$M$2:$X$2))/(Y954/($K954*$L954)),"")</f>
        <v/>
      </c>
      <c r="AB954" s="18" t="n"/>
    </row>
    <row r="955">
      <c r="A955" s="9" t="n">
        <v>695477</v>
      </c>
      <c r="B955" s="9" t="inlineStr">
        <is>
          <t>Slate Alford</t>
        </is>
      </c>
      <c r="C955" s="9" t="inlineStr">
        <is>
          <t>LAA</t>
        </is>
      </c>
      <c r="D955" s="9" t="n">
        <v>25</v>
      </c>
      <c r="E955" s="16" t="inlineStr">
        <is>
          <t>R</t>
        </is>
      </c>
      <c r="F955" s="16" t="n"/>
      <c r="G955" s="9" t="n">
        <v>8.410256410256411</v>
      </c>
      <c r="H955" s="9" t="n">
        <v>8.410256410256411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3">
        <f>SUMPRODUCT(M955:X955,$M$2:$X$2)*$K955*$L955</f>
        <v/>
      </c>
      <c r="Z955" s="14">
        <f>SUM(M955:X955)</f>
        <v/>
      </c>
      <c r="AA955" s="14">
        <f>IFERROR(IF(UPPER($E955)="L",SUMPRODUCT(M955:X955,$M$3:$X$3,$M$2:$X$2),SUMPRODUCT(M955:X955,$M$4:$X$4,$M$2:$X$2))/(Y955/($K955*$L955)),"")</f>
        <v/>
      </c>
      <c r="AB955" s="18" t="n"/>
    </row>
    <row r="956">
      <c r="A956" s="9" t="n">
        <v>800299</v>
      </c>
      <c r="B956" s="9" t="inlineStr">
        <is>
          <t>Diomedes Hernandez</t>
        </is>
      </c>
      <c r="C956" s="9" t="inlineStr">
        <is>
          <t>NYY</t>
        </is>
      </c>
      <c r="D956" s="9" t="n">
        <v>25</v>
      </c>
      <c r="E956" s="16" t="inlineStr">
        <is>
          <t>R</t>
        </is>
      </c>
      <c r="F956" s="16" t="n"/>
      <c r="G956" s="9" t="n">
        <v>4.307692307692308</v>
      </c>
      <c r="H956" s="9" t="n">
        <v>4.307692307692308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3">
        <f>SUMPRODUCT(M956:X956,$M$2:$X$2)*$K956*$L956</f>
        <v/>
      </c>
      <c r="Z956" s="14">
        <f>SUM(M956:X956)</f>
        <v/>
      </c>
      <c r="AA956" s="14">
        <f>IFERROR(IF(UPPER($E956)="L",SUMPRODUCT(M956:X956,$M$3:$X$3,$M$2:$X$2),SUMPRODUCT(M956:X956,$M$4:$X$4,$M$2:$X$2))/(Y956/($K956*$L956)),"")</f>
        <v/>
      </c>
      <c r="AB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25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Opening Day</t>
        </is>
      </c>
      <c r="K957" s="11">
        <f>IFERROR(INDEX(Roles!$B$17:$B$20,MATCH(J957,Roles!$A$17:$A$20,0)),1)</f>
        <v/>
      </c>
      <c r="L957" s="17" t="n">
        <v>1</v>
      </c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3">
        <f>SUMPRODUCT(M957:X957,$M$2:$X$2)*$K957*$L957</f>
        <v/>
      </c>
      <c r="Z957" s="14">
        <f>SUM(M957:X957)</f>
        <v/>
      </c>
      <c r="AA957" s="14">
        <f>IFERROR(IF(UPPER($E957)="L",SUMPRODUCT(M957:X957,$M$3:$X$3,$M$2:$X$2),SUMPRODUCT(M957:X957,$M$4:$X$4,$M$2:$X$2))/(Y957/($K957*$L957)),"")</f>
        <v/>
      </c>
      <c r="AB957" s="18" t="n"/>
    </row>
    <row r="958">
      <c r="A958" s="9" t="n">
        <v>828318</v>
      </c>
      <c r="B958" s="9" t="inlineStr">
        <is>
          <t>Jaiden Lo Re</t>
        </is>
      </c>
      <c r="C958" s="9" t="inlineStr">
        <is>
          <t>BAL</t>
        </is>
      </c>
      <c r="D958" s="9" t="n">
        <v>25</v>
      </c>
      <c r="E958" s="16" t="inlineStr">
        <is>
          <t>R</t>
        </is>
      </c>
      <c r="F958" s="16" t="n"/>
      <c r="G958" s="9" t="n">
        <v>8.615384615384617</v>
      </c>
      <c r="H958" s="9" t="n">
        <v>8.615384615384617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3">
        <f>SUMPRODUCT(M958:X958,$M$2:$X$2)*$K958*$L958</f>
        <v/>
      </c>
      <c r="Z958" s="14">
        <f>SUM(M958:X958)</f>
        <v/>
      </c>
      <c r="AA958" s="14">
        <f>IFERROR(IF(UPPER($E958)="L",SUMPRODUCT(M958:X958,$M$3:$X$3,$M$2:$X$2),SUMPRODUCT(M958:X958,$M$4:$X$4,$M$2:$X$2))/(Y958/($K958*$L958)),"")</f>
        <v/>
      </c>
      <c r="AB958" s="18" t="n"/>
    </row>
    <row r="959">
      <c r="A959" s="9" t="n">
        <v>836153</v>
      </c>
      <c r="B959" s="9" t="inlineStr">
        <is>
          <t>Alex Ungar</t>
        </is>
      </c>
      <c r="C959" s="9" t="inlineStr">
        <is>
          <t>CWS</t>
        </is>
      </c>
      <c r="D959" s="9" t="n">
        <v>25</v>
      </c>
      <c r="E959" s="16" t="inlineStr">
        <is>
          <t>R</t>
        </is>
      </c>
      <c r="F959" s="16" t="n"/>
      <c r="G959" s="9" t="n">
        <v>32.82051282051282</v>
      </c>
      <c r="H959" s="9" t="n">
        <v>32.82051282051282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3">
        <f>SUMPRODUCT(M959:X959,$M$2:$X$2)*$K959*$L959</f>
        <v/>
      </c>
      <c r="Z959" s="14">
        <f>SUM(M959:X959)</f>
        <v/>
      </c>
      <c r="AA959" s="14">
        <f>IFERROR(IF(UPPER($E959)="L",SUMPRODUCT(M959:X959,$M$3:$X$3,$M$2:$X$2),SUMPRODUCT(M959:X959,$M$4:$X$4,$M$2:$X$2))/(Y959/($K959*$L959)),"")</f>
        <v/>
      </c>
      <c r="AB959" s="18" t="n"/>
    </row>
    <row r="960">
      <c r="A960" s="9" t="n">
        <v>695601</v>
      </c>
      <c r="B960" s="9" t="inlineStr">
        <is>
          <t>Chris Katz</t>
        </is>
      </c>
      <c r="C960" s="9" t="inlineStr">
        <is>
          <t>ARI</t>
        </is>
      </c>
      <c r="D960" s="9" t="n">
        <v>25</v>
      </c>
      <c r="E960" s="16" t="inlineStr">
        <is>
          <t>R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3">
        <f>SUMPRODUCT(M960:X960,$M$2:$X$2)*$K960*$L960</f>
        <v/>
      </c>
      <c r="Z960" s="14">
        <f>SUM(M960:X960)</f>
        <v/>
      </c>
      <c r="AA960" s="14">
        <f>IFERROR(IF(UPPER($E960)="L",SUMPRODUCT(M960:X960,$M$3:$X$3,$M$2:$X$2),SUMPRODUCT(M960:X960,$M$4:$X$4,$M$2:$X$2))/(Y960/($K960*$L960)),"")</f>
        <v/>
      </c>
      <c r="AB960" s="18" t="n"/>
    </row>
    <row r="961">
      <c r="A961" s="9" t="n">
        <v>806174</v>
      </c>
      <c r="B961" s="9" t="inlineStr">
        <is>
          <t>Cameron Nelson</t>
        </is>
      </c>
      <c r="C961" s="9" t="inlineStr">
        <is>
          <t>COL</t>
        </is>
      </c>
      <c r="D961" s="9" t="n">
        <v>25</v>
      </c>
      <c r="E961" s="16" t="inlineStr">
        <is>
          <t>L</t>
        </is>
      </c>
      <c r="F961" s="16" t="n"/>
      <c r="G961" s="9" t="n">
        <v>8.615384615384617</v>
      </c>
      <c r="H961" s="9" t="n">
        <v>8.615384615384617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3">
        <f>SUMPRODUCT(M961:X961,$M$2:$X$2)*$K961*$L961</f>
        <v/>
      </c>
      <c r="Z961" s="14">
        <f>SUM(M961:X961)</f>
        <v/>
      </c>
      <c r="AA961" s="14">
        <f>IFERROR(IF(UPPER($E961)="L",SUMPRODUCT(M961:X961,$M$3:$X$3,$M$2:$X$2),SUMPRODUCT(M961:X961,$M$4:$X$4,$M$2:$X$2))/(Y961/($K961*$L961)),"")</f>
        <v/>
      </c>
      <c r="AB961" s="18" t="n"/>
    </row>
    <row r="962">
      <c r="A962" s="9" t="n">
        <v>703569</v>
      </c>
      <c r="B962" s="9" t="inlineStr">
        <is>
          <t>Brandon Crabtree</t>
        </is>
      </c>
      <c r="C962" s="9" t="inlineStr">
        <is>
          <t>TEX</t>
        </is>
      </c>
      <c r="D962" s="9" t="n">
        <v>25</v>
      </c>
      <c r="E962" s="16" t="inlineStr">
        <is>
          <t>L</t>
        </is>
      </c>
      <c r="F962" s="16" t="n"/>
      <c r="G962" s="9" t="n">
        <v>4.512820512820514</v>
      </c>
      <c r="H962" s="9" t="n">
        <v>4.512820512820514</v>
      </c>
      <c r="I962" s="9" t="inlineStr">
        <is>
          <t>Depth (no MLB PA)</t>
        </is>
      </c>
      <c r="J962" s="16" t="inlineStr">
        <is>
          <t>Opening Day</t>
        </is>
      </c>
      <c r="K962" s="11">
        <f>IFERROR(INDEX(Roles!$B$17:$B$20,MATCH(J962,Roles!$A$17:$A$20,0)),1)</f>
        <v/>
      </c>
      <c r="L962" s="17" t="n">
        <v>1</v>
      </c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3">
        <f>SUMPRODUCT(M962:X962,$M$2:$X$2)*$K962*$L962</f>
        <v/>
      </c>
      <c r="Z962" s="14">
        <f>SUM(M962:X962)</f>
        <v/>
      </c>
      <c r="AA962" s="14">
        <f>IFERROR(IF(UPPER($E962)="L",SUMPRODUCT(M962:X962,$M$3:$X$3,$M$2:$X$2),SUMPRODUCT(M962:X962,$M$4:$X$4,$M$2:$X$2))/(Y962/($K962*$L962)),"")</f>
        <v/>
      </c>
      <c r="AB962" s="18" t="n"/>
    </row>
    <row r="963">
      <c r="A963" s="9" t="n">
        <v>827624</v>
      </c>
      <c r="B963" s="9" t="inlineStr">
        <is>
          <t>Michael Hallquist</t>
        </is>
      </c>
      <c r="C963" s="9" t="inlineStr">
        <is>
          <t>CHC</t>
        </is>
      </c>
      <c r="D963" s="9" t="n">
        <v>25</v>
      </c>
      <c r="E963" s="16" t="inlineStr">
        <is>
          <t>R</t>
        </is>
      </c>
      <c r="F963" s="16" t="n"/>
      <c r="G963" s="9" t="n">
        <v>28.71794871794872</v>
      </c>
      <c r="H963" s="9" t="n">
        <v>28.71794871794872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3">
        <f>SUMPRODUCT(M963:X963,$M$2:$X$2)*$K963*$L963</f>
        <v/>
      </c>
      <c r="Z963" s="14">
        <f>SUM(M963:X963)</f>
        <v/>
      </c>
      <c r="AA963" s="14">
        <f>IFERROR(IF(UPPER($E963)="L",SUMPRODUCT(M963:X963,$M$3:$X$3,$M$2:$X$2),SUMPRODUCT(M963:X963,$M$4:$X$4,$M$2:$X$2))/(Y963/($K963*$L963)),"")</f>
        <v/>
      </c>
      <c r="AB963" s="18" t="n"/>
    </row>
    <row r="964">
      <c r="A964" s="9" t="n">
        <v>809057</v>
      </c>
      <c r="B964" s="9" t="inlineStr">
        <is>
          <t>Jack Toomey</t>
        </is>
      </c>
      <c r="C964" s="9" t="inlineStr">
        <is>
          <t>NYM</t>
        </is>
      </c>
      <c r="D964" s="9" t="n">
        <v>25</v>
      </c>
      <c r="E964" s="16" t="inlineStr">
        <is>
          <t>R</t>
        </is>
      </c>
      <c r="F964" s="16" t="n"/>
      <c r="G964" s="9" t="n">
        <v>6.523076923076923</v>
      </c>
      <c r="H964" s="9" t="n">
        <v>6.523076923076923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3">
        <f>SUMPRODUCT(M964:X964,$M$2:$X$2)*$K964*$L964</f>
        <v/>
      </c>
      <c r="Z964" s="14">
        <f>SUM(M964:X964)</f>
        <v/>
      </c>
      <c r="AA964" s="14">
        <f>IFERROR(IF(UPPER($E964)="L",SUMPRODUCT(M964:X964,$M$3:$X$3,$M$2:$X$2),SUMPRODUCT(M964:X964,$M$4:$X$4,$M$2:$X$2))/(Y964/($K964*$L964)),"")</f>
        <v/>
      </c>
      <c r="AB964" s="18" t="n"/>
    </row>
    <row r="965">
      <c r="A965" s="9" t="n">
        <v>823173</v>
      </c>
      <c r="B965" s="9" t="inlineStr">
        <is>
          <t>James Taussig</t>
        </is>
      </c>
      <c r="C965" s="9" t="inlineStr">
        <is>
          <t>CWS</t>
        </is>
      </c>
      <c r="D965" s="9" t="n">
        <v>25</v>
      </c>
      <c r="E965" s="16" t="inlineStr">
        <is>
          <t>L</t>
        </is>
      </c>
      <c r="F965" s="16" t="n"/>
      <c r="G965" s="9" t="n">
        <v>21.17948717948718</v>
      </c>
      <c r="H965" s="9" t="n">
        <v>21.17948717948718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3">
        <f>SUMPRODUCT(M965:X965,$M$2:$X$2)*$K965*$L965</f>
        <v/>
      </c>
      <c r="Z965" s="14">
        <f>SUM(M965:X965)</f>
        <v/>
      </c>
      <c r="AA965" s="14">
        <f>IFERROR(IF(UPPER($E965)="L",SUMPRODUCT(M965:X965,$M$3:$X$3,$M$2:$X$2),SUMPRODUCT(M965:X965,$M$4:$X$4,$M$2:$X$2))/(Y965/($K965*$L965)),"")</f>
        <v/>
      </c>
      <c r="AB965" s="18" t="n"/>
    </row>
    <row r="966">
      <c r="A966" s="9" t="n">
        <v>823455</v>
      </c>
      <c r="B966" s="9" t="inlineStr">
        <is>
          <t>Petey Soto Jr.</t>
        </is>
      </c>
      <c r="C966" s="9" t="inlineStr">
        <is>
          <t>HOU</t>
        </is>
      </c>
      <c r="D966" s="9" t="n">
        <v>25</v>
      </c>
      <c r="E966" s="16" t="inlineStr">
        <is>
          <t>R</t>
        </is>
      </c>
      <c r="F966" s="16" t="n"/>
      <c r="G966" s="9" t="n">
        <v>4.430769230769231</v>
      </c>
      <c r="H966" s="9" t="n">
        <v>4.430769230769231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3">
        <f>SUMPRODUCT(M966:X966,$M$2:$X$2)*$K966*$L966</f>
        <v/>
      </c>
      <c r="Z966" s="14">
        <f>SUM(M966:X966)</f>
        <v/>
      </c>
      <c r="AA966" s="14">
        <f>IFERROR(IF(UPPER($E966)="L",SUMPRODUCT(M966:X966,$M$3:$X$3,$M$2:$X$2),SUMPRODUCT(M966:X966,$M$4:$X$4,$M$2:$X$2))/(Y966/($K966*$L966)),"")</f>
        <v/>
      </c>
      <c r="AB966" s="18" t="n"/>
    </row>
    <row r="967">
      <c r="A967" s="9" t="n">
        <v>828620</v>
      </c>
      <c r="B967" s="9" t="inlineStr">
        <is>
          <t>Parker Coddou</t>
        </is>
      </c>
      <c r="C967" s="9" t="inlineStr">
        <is>
          <t>COL</t>
        </is>
      </c>
      <c r="D967" s="9" t="n">
        <v>25</v>
      </c>
      <c r="E967" s="16" t="inlineStr">
        <is>
          <t>L</t>
        </is>
      </c>
      <c r="F967" s="16" t="n"/>
      <c r="G967" s="9" t="n">
        <v>4.512820512820514</v>
      </c>
      <c r="H967" s="9" t="n">
        <v>4.512820512820514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3">
        <f>SUMPRODUCT(M967:X967,$M$2:$X$2)*$K967*$L967</f>
        <v/>
      </c>
      <c r="Z967" s="14">
        <f>SUM(M967:X967)</f>
        <v/>
      </c>
      <c r="AA967" s="14">
        <f>IFERROR(IF(UPPER($E967)="L",SUMPRODUCT(M967:X967,$M$3:$X$3,$M$2:$X$2),SUMPRODUCT(M967:X967,$M$4:$X$4,$M$2:$X$2))/(Y967/($K967*$L967)),"")</f>
        <v/>
      </c>
      <c r="AB967" s="18" t="n"/>
    </row>
    <row r="968">
      <c r="A968" s="9" t="n">
        <v>806223</v>
      </c>
      <c r="B968" s="9" t="inlineStr">
        <is>
          <t>Aidan Smith</t>
        </is>
      </c>
      <c r="C968" s="9" t="inlineStr">
        <is>
          <t>NYM</t>
        </is>
      </c>
      <c r="D968" s="9" t="n">
        <v>25</v>
      </c>
      <c r="E968" s="16" t="inlineStr">
        <is>
          <t>R</t>
        </is>
      </c>
      <c r="F968" s="16" t="n"/>
      <c r="G968" s="9" t="n">
        <v>65.23076923076924</v>
      </c>
      <c r="H968" s="9" t="n">
        <v>65.23076923076924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3">
        <f>SUMPRODUCT(M968:X968,$M$2:$X$2)*$K968*$L968</f>
        <v/>
      </c>
      <c r="Z968" s="14">
        <f>SUM(M968:X968)</f>
        <v/>
      </c>
      <c r="AA968" s="14">
        <f>IFERROR(IF(UPPER($E968)="L",SUMPRODUCT(M968:X968,$M$3:$X$3,$M$2:$X$2),SUMPRODUCT(M968:X968,$M$4:$X$4,$M$2:$X$2))/(Y968/($K968*$L968)),"")</f>
        <v/>
      </c>
      <c r="AB968" s="18" t="n"/>
    </row>
    <row r="969">
      <c r="A969" s="9" t="n">
        <v>664057</v>
      </c>
      <c r="B969" s="9" t="inlineStr">
        <is>
          <t>Andrew Stevenson</t>
        </is>
      </c>
      <c r="C969" s="9" t="inlineStr">
        <is>
          <t>MIN</t>
        </is>
      </c>
      <c r="D969" s="9" t="n">
        <v>33</v>
      </c>
      <c r="E969" s="16" t="inlineStr">
        <is>
          <t>L</t>
        </is>
      </c>
      <c r="F969" s="16" t="n"/>
      <c r="G969" s="9" t="n">
        <v>40</v>
      </c>
      <c r="H969" s="9" t="n">
        <v>40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3">
        <f>SUMPRODUCT(M969:X969,$M$2:$X$2)*$K969*$L969</f>
        <v/>
      </c>
      <c r="Z969" s="14">
        <f>SUM(M969:X969)</f>
        <v/>
      </c>
      <c r="AA969" s="14">
        <f>IFERROR(IF(UPPER($E969)="L",SUMPRODUCT(M969:X969,$M$3:$X$3,$M$2:$X$2),SUMPRODUCT(M969:X969,$M$4:$X$4,$M$2:$X$2))/(Y969/($K969*$L969)),"")</f>
        <v/>
      </c>
      <c r="AB969" s="18" t="n"/>
    </row>
    <row r="970">
      <c r="A970" s="9" t="n">
        <v>702555</v>
      </c>
      <c r="B970" s="9" t="inlineStr">
        <is>
          <t>Cannon Peebles</t>
        </is>
      </c>
      <c r="C970" s="9" t="inlineStr">
        <is>
          <t>CLE</t>
        </is>
      </c>
      <c r="D970" s="9" t="n">
        <v>25</v>
      </c>
      <c r="E970" s="16" t="inlineStr">
        <is>
          <t>S</t>
        </is>
      </c>
      <c r="F970" s="16" t="n"/>
      <c r="G970" s="9" t="n">
        <v>20.71794871794872</v>
      </c>
      <c r="H970" s="9" t="n">
        <v>20.71794871794872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3">
        <f>SUMPRODUCT(M970:X970,$M$2:$X$2)*$K970*$L970</f>
        <v/>
      </c>
      <c r="Z970" s="14">
        <f>SUM(M970:X970)</f>
        <v/>
      </c>
      <c r="AA970" s="14">
        <f>IFERROR(IF(UPPER($E970)="L",SUMPRODUCT(M970:X970,$M$3:$X$3,$M$2:$X$2),SUMPRODUCT(M970:X970,$M$4:$X$4,$M$2:$X$2))/(Y970/($K970*$L970)),"")</f>
        <v/>
      </c>
      <c r="AB970" s="18" t="n"/>
    </row>
    <row r="971">
      <c r="A971" s="9" t="n">
        <v>808396</v>
      </c>
      <c r="B971" s="9" t="inlineStr">
        <is>
          <t>Jhocsuanth Vargas</t>
        </is>
      </c>
      <c r="C971" s="9" t="inlineStr">
        <is>
          <t>TEX</t>
        </is>
      </c>
      <c r="D971" s="9" t="n">
        <v>25</v>
      </c>
      <c r="E971" s="16" t="inlineStr">
        <is>
          <t>R</t>
        </is>
      </c>
      <c r="F971" s="16" t="n"/>
      <c r="G971" s="9" t="n">
        <v>4.553846153846154</v>
      </c>
      <c r="H971" s="9" t="n">
        <v>4.553846153846154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3">
        <f>SUMPRODUCT(M971:X971,$M$2:$X$2)*$K971*$L971</f>
        <v/>
      </c>
      <c r="Z971" s="14">
        <f>SUM(M971:X971)</f>
        <v/>
      </c>
      <c r="AA971" s="14">
        <f>IFERROR(IF(UPPER($E971)="L",SUMPRODUCT(M971:X971,$M$3:$X$3,$M$2:$X$2),SUMPRODUCT(M971:X971,$M$4:$X$4,$M$2:$X$2))/(Y971/($K971*$L971)),"")</f>
        <v/>
      </c>
      <c r="AB971" s="18" t="n"/>
    </row>
    <row r="972">
      <c r="A972" s="9" t="n">
        <v>813922</v>
      </c>
      <c r="B972" s="9" t="inlineStr">
        <is>
          <t>Jack Lines</t>
        </is>
      </c>
      <c r="C972" s="9" t="inlineStr">
        <is>
          <t>TB</t>
        </is>
      </c>
      <c r="D972" s="9" t="n">
        <v>25</v>
      </c>
      <c r="E972" s="16" t="inlineStr">
        <is>
          <t>L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3">
        <f>SUMPRODUCT(M972:X972,$M$2:$X$2)*$K972*$L972</f>
        <v/>
      </c>
      <c r="Z972" s="14">
        <f>SUM(M972:X972)</f>
        <v/>
      </c>
      <c r="AA972" s="14">
        <f>IFERROR(IF(UPPER($E972)="L",SUMPRODUCT(M972:X972,$M$3:$X$3,$M$2:$X$2),SUMPRODUCT(M972:X972,$M$4:$X$4,$M$2:$X$2))/(Y972/($K972*$L972)),"")</f>
        <v/>
      </c>
      <c r="AB972" s="18" t="n"/>
    </row>
    <row r="973">
      <c r="A973" s="9" t="n">
        <v>822406</v>
      </c>
      <c r="B973" s="9" t="inlineStr">
        <is>
          <t>Dylan Carey</t>
        </is>
      </c>
      <c r="C973" s="9" t="inlineStr">
        <is>
          <t>NYM</t>
        </is>
      </c>
      <c r="D973" s="9" t="n">
        <v>25</v>
      </c>
      <c r="E973" s="16" t="inlineStr">
        <is>
          <t>R</t>
        </is>
      </c>
      <c r="F973" s="16" t="n"/>
      <c r="G973" s="9" t="n">
        <v>8.861538461538462</v>
      </c>
      <c r="H973" s="9" t="n">
        <v>8.861538461538462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3">
        <f>SUMPRODUCT(M973:X973,$M$2:$X$2)*$K973*$L973</f>
        <v/>
      </c>
      <c r="Z973" s="14">
        <f>SUM(M973:X973)</f>
        <v/>
      </c>
      <c r="AA973" s="14">
        <f>IFERROR(IF(UPPER($E973)="L",SUMPRODUCT(M973:X973,$M$3:$X$3,$M$2:$X$2),SUMPRODUCT(M973:X973,$M$4:$X$4,$M$2:$X$2))/(Y973/($K973*$L973)),"")</f>
        <v/>
      </c>
      <c r="AB973" s="18" t="n"/>
    </row>
    <row r="974">
      <c r="A974" s="9" t="n">
        <v>701594</v>
      </c>
      <c r="B974" s="9" t="inlineStr">
        <is>
          <t>Chris Brito</t>
        </is>
      </c>
      <c r="C974" s="9" t="inlineStr">
        <is>
          <t>KC</t>
        </is>
      </c>
      <c r="D974" s="9" t="n">
        <v>25</v>
      </c>
      <c r="E974" s="16" t="inlineStr">
        <is>
          <t>R</t>
        </is>
      </c>
      <c r="F974" s="16" t="n"/>
      <c r="G974" s="9" t="n">
        <v>20.92307692307692</v>
      </c>
      <c r="H974" s="9" t="n">
        <v>20.92307692307692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3">
        <f>SUMPRODUCT(M974:X974,$M$2:$X$2)*$K974*$L974</f>
        <v/>
      </c>
      <c r="Z974" s="14">
        <f>SUM(M974:X974)</f>
        <v/>
      </c>
      <c r="AA974" s="14">
        <f>IFERROR(IF(UPPER($E974)="L",SUMPRODUCT(M974:X974,$M$3:$X$3,$M$2:$X$2),SUMPRODUCT(M974:X974,$M$4:$X$4,$M$2:$X$2))/(Y974/($K974*$L974)),"")</f>
        <v/>
      </c>
      <c r="AB974" s="18" t="n"/>
    </row>
    <row r="975">
      <c r="A975" s="9" t="n">
        <v>821299</v>
      </c>
      <c r="B975" s="9" t="inlineStr">
        <is>
          <t>Caden Ferraro</t>
        </is>
      </c>
      <c r="C975" s="9" t="inlineStr">
        <is>
          <t>STL</t>
        </is>
      </c>
      <c r="D975" s="9" t="n">
        <v>25</v>
      </c>
      <c r="E975" s="16" t="inlineStr">
        <is>
          <t>L</t>
        </is>
      </c>
      <c r="F975" s="16" t="n"/>
      <c r="G975" s="9" t="n">
        <v>17.02564102564103</v>
      </c>
      <c r="H975" s="9" t="n">
        <v>17.02564102564103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3">
        <f>SUMPRODUCT(M975:X975,$M$2:$X$2)*$K975*$L975</f>
        <v/>
      </c>
      <c r="Z975" s="14">
        <f>SUM(M975:X975)</f>
        <v/>
      </c>
      <c r="AA975" s="14">
        <f>IFERROR(IF(UPPER($E975)="L",SUMPRODUCT(M975:X975,$M$3:$X$3,$M$2:$X$2),SUMPRODUCT(M975:X975,$M$4:$X$4,$M$2:$X$2))/(Y975/($K975*$L975)),"")</f>
        <v/>
      </c>
      <c r="AB975" s="18" t="n"/>
    </row>
    <row r="976">
      <c r="A976" s="9" t="n">
        <v>820991</v>
      </c>
      <c r="B976" s="9" t="inlineStr">
        <is>
          <t>Christofer Reyes</t>
        </is>
      </c>
      <c r="C976" s="9" t="inlineStr">
        <is>
          <t>NYY</t>
        </is>
      </c>
      <c r="D976" s="9" t="n">
        <v>25</v>
      </c>
      <c r="E976" s="16" t="inlineStr">
        <is>
          <t>R</t>
        </is>
      </c>
      <c r="F976" s="16" t="n"/>
      <c r="G976" s="9" t="n">
        <v>4.553846153846154</v>
      </c>
      <c r="H976" s="9" t="n">
        <v>4.553846153846154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3">
        <f>SUMPRODUCT(M976:X976,$M$2:$X$2)*$K976*$L976</f>
        <v/>
      </c>
      <c r="Z976" s="14">
        <f>SUM(M976:X976)</f>
        <v/>
      </c>
      <c r="AA976" s="14">
        <f>IFERROR(IF(UPPER($E976)="L",SUMPRODUCT(M976:X976,$M$3:$X$3,$M$2:$X$2),SUMPRODUCT(M976:X976,$M$4:$X$4,$M$2:$X$2))/(Y976/($K976*$L976)),"")</f>
        <v/>
      </c>
      <c r="AB976" s="18" t="n"/>
    </row>
    <row r="977">
      <c r="A977" s="9" t="n">
        <v>800604</v>
      </c>
      <c r="B977" s="9" t="inlineStr">
        <is>
          <t>Roch Cholowsky</t>
        </is>
      </c>
      <c r="C977" s="9" t="inlineStr">
        <is>
          <t>CWS</t>
        </is>
      </c>
      <c r="D977" s="9" t="n">
        <v>25</v>
      </c>
      <c r="E977" s="16" t="inlineStr">
        <is>
          <t>R</t>
        </is>
      </c>
      <c r="F977" s="16" t="n"/>
      <c r="G977" s="9" t="n">
        <v>8.820512820512821</v>
      </c>
      <c r="H977" s="9" t="n">
        <v>8.820512820512821</v>
      </c>
      <c r="I977" s="9" t="inlineStr">
        <is>
          <t>Depth (no MLB PA)</t>
        </is>
      </c>
      <c r="J977" s="16" t="inlineStr">
        <is>
          <t>Opening Day</t>
        </is>
      </c>
      <c r="K977" s="11">
        <f>IFERROR(INDEX(Roles!$B$17:$B$20,MATCH(J977,Roles!$A$17:$A$20,0)),1)</f>
        <v/>
      </c>
      <c r="L977" s="17" t="n">
        <v>1</v>
      </c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3">
        <f>SUMPRODUCT(M977:X977,$M$2:$X$2)*$K977*$L977</f>
        <v/>
      </c>
      <c r="Z977" s="14">
        <f>SUM(M977:X977)</f>
        <v/>
      </c>
      <c r="AA977" s="14">
        <f>IFERROR(IF(UPPER($E977)="L",SUMPRODUCT(M977:X977,$M$3:$X$3,$M$2:$X$2),SUMPRODUCT(M977:X977,$M$4:$X$4,$M$2:$X$2))/(Y977/($K977*$L977)),"")</f>
        <v/>
      </c>
      <c r="AB977" s="18" t="n"/>
    </row>
    <row r="978">
      <c r="A978" s="9" t="n">
        <v>812818</v>
      </c>
      <c r="B978" s="9" t="inlineStr">
        <is>
          <t>Sherman Johnson</t>
        </is>
      </c>
      <c r="C978" s="9" t="inlineStr">
        <is>
          <t>CIN</t>
        </is>
      </c>
      <c r="D978" s="9" t="n">
        <v>25</v>
      </c>
      <c r="E978" s="16" t="inlineStr">
        <is>
          <t>R</t>
        </is>
      </c>
      <c r="F978" s="16" t="n"/>
      <c r="G978" s="9" t="n">
        <v>6.892307692307693</v>
      </c>
      <c r="H978" s="9" t="n">
        <v>6.892307692307693</v>
      </c>
      <c r="I978" s="9" t="inlineStr">
        <is>
          <t>Depth (no MLB PA)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/>
      <c r="X978" s="17" t="n"/>
      <c r="Y978" s="13">
        <f>SUMPRODUCT(M978:X978,$M$2:$X$2)*$K978*$L978</f>
        <v/>
      </c>
      <c r="Z978" s="14">
        <f>SUM(M978:X978)</f>
        <v/>
      </c>
      <c r="AA978" s="14">
        <f>IFERROR(IF(UPPER($E978)="L",SUMPRODUCT(M978:X978,$M$3:$X$3,$M$2:$X$2),SUMPRODUCT(M978:X978,$M$4:$X$4,$M$2:$X$2))/(Y978/($K978*$L978)),"")</f>
        <v/>
      </c>
      <c r="AB978" s="18" t="n"/>
    </row>
    <row r="979">
      <c r="A979" s="9" t="n">
        <v>670097</v>
      </c>
      <c r="B979" s="9" t="inlineStr">
        <is>
          <t>Zack Short</t>
        </is>
      </c>
      <c r="C979" s="9" t="inlineStr">
        <is>
          <t>NYM</t>
        </is>
      </c>
      <c r="D979" s="9" t="n">
        <v>32</v>
      </c>
      <c r="E979" s="16" t="inlineStr">
        <is>
          <t>R</t>
        </is>
      </c>
      <c r="F979" s="16" t="n"/>
      <c r="G979" s="9" t="n">
        <v>62</v>
      </c>
      <c r="H979" s="9" t="n">
        <v>472</v>
      </c>
      <c r="I979" s="9" t="inlineStr">
        <is>
          <t>Bench Bat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3">
        <f>SUMPRODUCT(M979:X979,$M$2:$X$2)*$K979*$L979</f>
        <v/>
      </c>
      <c r="Z979" s="14">
        <f>SUM(M979:X979)</f>
        <v/>
      </c>
      <c r="AA979" s="14">
        <f>IFERROR(IF(UPPER($E979)="L",SUMPRODUCT(M979:X979,$M$3:$X$3,$M$2:$X$2),SUMPRODUCT(M979:X979,$M$4:$X$4,$M$2:$X$2))/(Y979/($K979*$L979)),"")</f>
        <v/>
      </c>
      <c r="AB979" s="18" t="n"/>
    </row>
    <row r="980">
      <c r="A980" s="9" t="n">
        <v>835215</v>
      </c>
      <c r="B980" s="9" t="inlineStr">
        <is>
          <t>Robbie Lavey</t>
        </is>
      </c>
      <c r="C980" s="9" t="inlineStr">
        <is>
          <t>SD</t>
        </is>
      </c>
      <c r="D980" s="9" t="n">
        <v>25</v>
      </c>
      <c r="E980" s="16" t="inlineStr">
        <is>
          <t>L</t>
        </is>
      </c>
      <c r="F980" s="16" t="n"/>
      <c r="G980" s="9" t="n">
        <v>12.92307692307692</v>
      </c>
      <c r="H980" s="9" t="n">
        <v>12.92307692307692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3">
        <f>SUMPRODUCT(M980:X980,$M$2:$X$2)*$K980*$L980</f>
        <v/>
      </c>
      <c r="Z980" s="14">
        <f>SUM(M980:X980)</f>
        <v/>
      </c>
      <c r="AA980" s="14">
        <f>IFERROR(IF(UPPER($E980)="L",SUMPRODUCT(M980:X980,$M$3:$X$3,$M$2:$X$2),SUMPRODUCT(M980:X980,$M$4:$X$4,$M$2:$X$2))/(Y980/($K980*$L980)),"")</f>
        <v/>
      </c>
      <c r="AB980" s="18" t="n"/>
    </row>
    <row r="981">
      <c r="A981" s="9" t="n">
        <v>703196</v>
      </c>
      <c r="B981" s="9" t="inlineStr">
        <is>
          <t>Victor Izturis</t>
        </is>
      </c>
      <c r="C981" s="9" t="inlineStr">
        <is>
          <t>CLE</t>
        </is>
      </c>
      <c r="D981" s="9" t="n">
        <v>25</v>
      </c>
      <c r="E981" s="16" t="inlineStr">
        <is>
          <t>L</t>
        </is>
      </c>
      <c r="F981" s="16" t="n"/>
      <c r="G981" s="9" t="n">
        <v>4.717948717948718</v>
      </c>
      <c r="H981" s="9" t="n">
        <v>4.717948717948718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3">
        <f>SUMPRODUCT(M981:X981,$M$2:$X$2)*$K981*$L981</f>
        <v/>
      </c>
      <c r="Z981" s="14">
        <f>SUM(M981:X981)</f>
        <v/>
      </c>
      <c r="AA981" s="14">
        <f>IFERROR(IF(UPPER($E981)="L",SUMPRODUCT(M981:X981,$M$3:$X$3,$M$2:$X$2),SUMPRODUCT(M981:X981,$M$4:$X$4,$M$2:$X$2))/(Y981/($K981*$L981)),"")</f>
        <v/>
      </c>
      <c r="AB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3">
        <f>SUMPRODUCT(M982:X982,$M$2:$X$2)*$K982*$L982</f>
        <v/>
      </c>
      <c r="Z982" s="14">
        <f>SUM(M982:X982)</f>
        <v/>
      </c>
      <c r="AA982" s="14">
        <f>IFERROR(IF(UPPER($E982)="L",SUMPRODUCT(M982:X982,$M$3:$X$3,$M$2:$X$2),SUMPRODUCT(M982:X982,$M$4:$X$4,$M$2:$X$2))/(Y982/($K982*$L982)),"")</f>
        <v/>
      </c>
      <c r="AB982" s="18" t="n"/>
    </row>
    <row r="983">
      <c r="A983" s="9" t="n">
        <v>803475</v>
      </c>
      <c r="B983" s="9" t="inlineStr">
        <is>
          <t>Colby Jones</t>
        </is>
      </c>
      <c r="C983" s="9" t="inlineStr">
        <is>
          <t>ATL</t>
        </is>
      </c>
      <c r="D983" s="9" t="n">
        <v>25</v>
      </c>
      <c r="E983" s="16" t="inlineStr">
        <is>
          <t>R</t>
        </is>
      </c>
      <c r="F983" s="16" t="n"/>
      <c r="G983" s="9" t="n">
        <v>4.666666666666667</v>
      </c>
      <c r="H983" s="9" t="n">
        <v>4.666666666666667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3">
        <f>SUMPRODUCT(M983:X983,$M$2:$X$2)*$K983*$L983</f>
        <v/>
      </c>
      <c r="Z983" s="14">
        <f>SUM(M983:X983)</f>
        <v/>
      </c>
      <c r="AA983" s="14">
        <f>IFERROR(IF(UPPER($E983)="L",SUMPRODUCT(M983:X983,$M$3:$X$3,$M$2:$X$2),SUMPRODUCT(M983:X983,$M$4:$X$4,$M$2:$X$2))/(Y983/($K983*$L983)),"")</f>
        <v/>
      </c>
      <c r="AB983" s="18" t="n"/>
    </row>
    <row r="984">
      <c r="A984" s="9" t="n">
        <v>844295</v>
      </c>
      <c r="B984" s="9" t="inlineStr">
        <is>
          <t>Jack Hopko</t>
        </is>
      </c>
      <c r="C984" s="9" t="inlineStr">
        <is>
          <t>PHI</t>
        </is>
      </c>
      <c r="D984" s="9" t="n">
        <v>25</v>
      </c>
      <c r="E984" s="16" t="inlineStr">
        <is>
          <t>L</t>
        </is>
      </c>
      <c r="F984" s="16" t="n"/>
      <c r="G984" s="9" t="n">
        <v>9.107692307692307</v>
      </c>
      <c r="H984" s="9" t="n">
        <v>9.107692307692307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3">
        <f>SUMPRODUCT(M984:X984,$M$2:$X$2)*$K984*$L984</f>
        <v/>
      </c>
      <c r="Z984" s="14">
        <f>SUM(M984:X984)</f>
        <v/>
      </c>
      <c r="AA984" s="14">
        <f>IFERROR(IF(UPPER($E984)="L",SUMPRODUCT(M984:X984,$M$3:$X$3,$M$2:$X$2),SUMPRODUCT(M984:X984,$M$4:$X$4,$M$2:$X$2))/(Y984/($K984*$L984)),"")</f>
        <v/>
      </c>
      <c r="AB984" s="18" t="n"/>
    </row>
    <row r="985">
      <c r="A985" s="9" t="n">
        <v>800503</v>
      </c>
      <c r="B985" s="9" t="inlineStr">
        <is>
          <t>Enderson Delgado</t>
        </is>
      </c>
      <c r="C985" s="9" t="inlineStr">
        <is>
          <t>DET</t>
        </is>
      </c>
      <c r="D985" s="9" t="n">
        <v>25</v>
      </c>
      <c r="E985" s="16" t="inlineStr">
        <is>
          <t>S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3">
        <f>SUMPRODUCT(M985:X985,$M$2:$X$2)*$K985*$L985</f>
        <v/>
      </c>
      <c r="Z985" s="14">
        <f>SUM(M985:X985)</f>
        <v/>
      </c>
      <c r="AA985" s="14">
        <f>IFERROR(IF(UPPER($E985)="L",SUMPRODUCT(M985:X985,$M$3:$X$3,$M$2:$X$2),SUMPRODUCT(M985:X985,$M$4:$X$4,$M$2:$X$2))/(Y985/($K985*$L985)),"")</f>
        <v/>
      </c>
      <c r="AB985" s="18" t="n"/>
    </row>
    <row r="986">
      <c r="A986" s="9" t="n">
        <v>678218</v>
      </c>
      <c r="B986" s="9" t="inlineStr">
        <is>
          <t>Brandon Valenzuela</t>
        </is>
      </c>
      <c r="C986" s="9" t="inlineStr">
        <is>
          <t>TOR</t>
        </is>
      </c>
      <c r="D986" s="9" t="n">
        <v>26</v>
      </c>
      <c r="E986" s="16" t="inlineStr">
        <is>
          <t>S</t>
        </is>
      </c>
      <c r="F986" s="16" t="n"/>
      <c r="G986" s="9" t="n">
        <v>271</v>
      </c>
      <c r="H986" s="9" t="n">
        <v>271</v>
      </c>
      <c r="I986" s="9" t="inlineStr">
        <is>
          <t>Utility OF / 4th OF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3">
        <f>SUMPRODUCT(M986:X986,$M$2:$X$2)*$K986*$L986</f>
        <v/>
      </c>
      <c r="Z986" s="14">
        <f>SUM(M986:X986)</f>
        <v/>
      </c>
      <c r="AA986" s="14">
        <f>IFERROR(IF(UPPER($E986)="L",SUMPRODUCT(M986:X986,$M$3:$X$3,$M$2:$X$2),SUMPRODUCT(M986:X986,$M$4:$X$4,$M$2:$X$2))/(Y986/($K986*$L986)),"")</f>
        <v/>
      </c>
      <c r="AB986" s="18" t="n"/>
    </row>
    <row r="987">
      <c r="A987" s="9" t="n">
        <v>815890</v>
      </c>
      <c r="B987" s="9" t="inlineStr">
        <is>
          <t>Fernando Cruz</t>
        </is>
      </c>
      <c r="C987" s="9" t="inlineStr">
        <is>
          <t>CHC</t>
        </is>
      </c>
      <c r="D987" s="9" t="n">
        <v>25</v>
      </c>
      <c r="E987" s="16" t="inlineStr">
        <is>
          <t>R</t>
        </is>
      </c>
      <c r="F987" s="16" t="n"/>
      <c r="G987" s="9" t="n">
        <v>6.892307692307693</v>
      </c>
      <c r="H987" s="9" t="n">
        <v>6.892307692307693</v>
      </c>
      <c r="I987" s="9" t="inlineStr">
        <is>
          <t>Depth (no MLB PA)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  <c r="V987" s="17" t="n"/>
      <c r="W987" s="17" t="n"/>
      <c r="X987" s="17" t="n"/>
      <c r="Y987" s="13">
        <f>SUMPRODUCT(M987:X987,$M$2:$X$2)*$K987*$L987</f>
        <v/>
      </c>
      <c r="Z987" s="14">
        <f>SUM(M987:X987)</f>
        <v/>
      </c>
      <c r="AA987" s="14">
        <f>IFERROR(IF(UPPER($E987)="L",SUMPRODUCT(M987:X987,$M$3:$X$3,$M$2:$X$2),SUMPRODUCT(M987:X987,$M$4:$X$4,$M$2:$X$2))/(Y987/($K987*$L987)),"")</f>
        <v/>
      </c>
      <c r="AB987" s="18" t="n"/>
    </row>
    <row r="988">
      <c r="A988" s="9" t="n">
        <v>801039</v>
      </c>
      <c r="B988" s="9" t="inlineStr">
        <is>
          <t>John Garcia</t>
        </is>
      </c>
      <c r="C988" s="9" t="inlineStr">
        <is>
          <t>HOU</t>
        </is>
      </c>
      <c r="D988" s="9" t="n">
        <v>25</v>
      </c>
      <c r="E988" s="16" t="inlineStr">
        <is>
          <t>R</t>
        </is>
      </c>
      <c r="F988" s="16" t="n"/>
      <c r="G988" s="9" t="n">
        <v>21.53846153846154</v>
      </c>
      <c r="H988" s="9" t="n">
        <v>21.53846153846154</v>
      </c>
      <c r="I988" s="9" t="inlineStr">
        <is>
          <t>Depth (no MLB PA)</t>
        </is>
      </c>
      <c r="J988" s="16" t="inlineStr">
        <is>
          <t>Opening Day</t>
        </is>
      </c>
      <c r="K988" s="11">
        <f>IFERROR(INDEX(Roles!$B$17:$B$20,MATCH(J988,Roles!$A$17:$A$20,0)),1)</f>
        <v/>
      </c>
      <c r="L988" s="17" t="n">
        <v>1</v>
      </c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3">
        <f>SUMPRODUCT(M988:X988,$M$2:$X$2)*$K988*$L988</f>
        <v/>
      </c>
      <c r="Z988" s="14">
        <f>SUM(M988:X988)</f>
        <v/>
      </c>
      <c r="AA988" s="14">
        <f>IFERROR(IF(UPPER($E988)="L",SUMPRODUCT(M988:X988,$M$3:$X$3,$M$2:$X$2),SUMPRODUCT(M988:X988,$M$4:$X$4,$M$2:$X$2))/(Y988/($K988*$L988)),"")</f>
        <v/>
      </c>
      <c r="AB988" s="18" t="n"/>
    </row>
    <row r="989">
      <c r="A989" s="9" t="n">
        <v>821150</v>
      </c>
      <c r="B989" s="9" t="inlineStr">
        <is>
          <t>Enddy Azocar</t>
        </is>
      </c>
      <c r="C989" s="9" t="inlineStr">
        <is>
          <t>BAL</t>
        </is>
      </c>
      <c r="D989" s="9" t="n">
        <v>25</v>
      </c>
      <c r="E989" s="16" t="inlineStr">
        <is>
          <t>R</t>
        </is>
      </c>
      <c r="F989" s="16" t="n"/>
      <c r="G989" s="9" t="n">
        <v>67.28205128205128</v>
      </c>
      <c r="H989" s="9" t="n">
        <v>67.28205128205128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3">
        <f>SUMPRODUCT(M989:X989,$M$2:$X$2)*$K989*$L989</f>
        <v/>
      </c>
      <c r="Z989" s="14">
        <f>SUM(M989:X989)</f>
        <v/>
      </c>
      <c r="AA989" s="14">
        <f>IFERROR(IF(UPPER($E989)="L",SUMPRODUCT(M989:X989,$M$3:$X$3,$M$2:$X$2),SUMPRODUCT(M989:X989,$M$4:$X$4,$M$2:$X$2))/(Y989/($K989*$L989)),"")</f>
        <v/>
      </c>
      <c r="AB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3">
        <f>SUMPRODUCT(M990:X990,$M$2:$X$2)*$K990*$L990</f>
        <v/>
      </c>
      <c r="Z990" s="14">
        <f>SUM(M990:X990)</f>
        <v/>
      </c>
      <c r="AA990" s="14">
        <f>IFERROR(IF(UPPER($E990)="L",SUMPRODUCT(M990:X990,$M$3:$X$3,$M$2:$X$2),SUMPRODUCT(M990:X990,$M$4:$X$4,$M$2:$X$2))/(Y990/($K990*$L990)),"")</f>
        <v/>
      </c>
      <c r="AB990" s="18" t="n"/>
    </row>
    <row r="991">
      <c r="A991" s="9" t="n">
        <v>806014</v>
      </c>
      <c r="B991" s="9" t="inlineStr">
        <is>
          <t>Keduar Trujillo</t>
        </is>
      </c>
      <c r="C991" s="9" t="inlineStr">
        <is>
          <t>HOU</t>
        </is>
      </c>
      <c r="D991" s="9" t="n">
        <v>25</v>
      </c>
      <c r="E991" s="16" t="inlineStr">
        <is>
          <t>R</t>
        </is>
      </c>
      <c r="F991" s="16" t="n"/>
      <c r="G991" s="9" t="n">
        <v>9.025641025641027</v>
      </c>
      <c r="H991" s="9" t="n">
        <v>9.025641025641027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3">
        <f>SUMPRODUCT(M991:X991,$M$2:$X$2)*$K991*$L991</f>
        <v/>
      </c>
      <c r="Z991" s="14">
        <f>SUM(M991:X991)</f>
        <v/>
      </c>
      <c r="AA991" s="14">
        <f>IFERROR(IF(UPPER($E991)="L",SUMPRODUCT(M991:X991,$M$3:$X$3,$M$2:$X$2),SUMPRODUCT(M991:X991,$M$4:$X$4,$M$2:$X$2))/(Y991/($K991*$L991)),"")</f>
        <v/>
      </c>
      <c r="AB991" s="18" t="n"/>
    </row>
    <row r="992">
      <c r="A992" s="9" t="n">
        <v>808665</v>
      </c>
      <c r="B992" s="9" t="inlineStr">
        <is>
          <t>Angel Acosta</t>
        </is>
      </c>
      <c r="C992" s="9" t="inlineStr">
        <is>
          <t>KC</t>
        </is>
      </c>
      <c r="D992" s="9" t="n">
        <v>25</v>
      </c>
      <c r="E992" s="16" t="inlineStr">
        <is>
          <t>L</t>
        </is>
      </c>
      <c r="F992" s="16" t="n"/>
      <c r="G992" s="9" t="n">
        <v>22.25641025641025</v>
      </c>
      <c r="H992" s="9" t="n">
        <v>22.25641025641025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3">
        <f>SUMPRODUCT(M992:X992,$M$2:$X$2)*$K992*$L992</f>
        <v/>
      </c>
      <c r="Z992" s="14">
        <f>SUM(M992:X992)</f>
        <v/>
      </c>
      <c r="AA992" s="14">
        <f>IFERROR(IF(UPPER($E992)="L",SUMPRODUCT(M992:X992,$M$3:$X$3,$M$2:$X$2),SUMPRODUCT(M992:X992,$M$4:$X$4,$M$2:$X$2))/(Y992/($K992*$L992)),"")</f>
        <v/>
      </c>
      <c r="AB992" s="18" t="n"/>
    </row>
    <row r="993">
      <c r="A993" s="9" t="n">
        <v>808684</v>
      </c>
      <c r="B993" s="9" t="inlineStr">
        <is>
          <t>Javier Mogollon</t>
        </is>
      </c>
      <c r="C993" s="9" t="inlineStr">
        <is>
          <t>CWS</t>
        </is>
      </c>
      <c r="D993" s="9" t="n">
        <v>25</v>
      </c>
      <c r="E993" s="16" t="inlineStr">
        <is>
          <t>R</t>
        </is>
      </c>
      <c r="F993" s="16" t="n"/>
      <c r="G993" s="9" t="n">
        <v>33.43589743589744</v>
      </c>
      <c r="H993" s="9" t="n">
        <v>33.43589743589744</v>
      </c>
      <c r="I993" s="9" t="inlineStr">
        <is>
          <t>Depth (no MLB PA)</t>
        </is>
      </c>
      <c r="J993" s="16" t="inlineStr">
        <is>
          <t>Opening Day</t>
        </is>
      </c>
      <c r="K993" s="11">
        <f>IFERROR(INDEX(Roles!$B$17:$B$20,MATCH(J993,Roles!$A$17:$A$20,0)),1)</f>
        <v/>
      </c>
      <c r="L993" s="17" t="n">
        <v>1</v>
      </c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/>
      <c r="Y993" s="13">
        <f>SUMPRODUCT(M993:X993,$M$2:$X$2)*$K993*$L993</f>
        <v/>
      </c>
      <c r="Z993" s="14">
        <f>SUM(M993:X993)</f>
        <v/>
      </c>
      <c r="AA993" s="14">
        <f>IFERROR(IF(UPPER($E993)="L",SUMPRODUCT(M993:X993,$M$3:$X$3,$M$2:$X$2),SUMPRODUCT(M993:X993,$M$4:$X$4,$M$2:$X$2))/(Y993/($K993*$L993)),"")</f>
        <v/>
      </c>
      <c r="AB993" s="18" t="n"/>
    </row>
    <row r="994">
      <c r="A994" s="9" t="n">
        <v>828140</v>
      </c>
      <c r="B994" s="9" t="inlineStr">
        <is>
          <t>Aidan West</t>
        </is>
      </c>
      <c r="C994" s="9" t="inlineStr">
        <is>
          <t>LAD</t>
        </is>
      </c>
      <c r="D994" s="9" t="n">
        <v>25</v>
      </c>
      <c r="E994" s="16" t="inlineStr">
        <is>
          <t>L</t>
        </is>
      </c>
      <c r="F994" s="16" t="n"/>
      <c r="G994" s="9" t="n">
        <v>7.138461538461539</v>
      </c>
      <c r="H994" s="9" t="n">
        <v>7.138461538461539</v>
      </c>
      <c r="I994" s="9" t="inlineStr">
        <is>
          <t>Depth (no MLB PA)</t>
        </is>
      </c>
      <c r="J994" s="16" t="inlineStr">
        <is>
          <t>Opening Day</t>
        </is>
      </c>
      <c r="K994" s="11">
        <f>IFERROR(INDEX(Roles!$B$17:$B$20,MATCH(J994,Roles!$A$17:$A$20,0)),1)</f>
        <v/>
      </c>
      <c r="L994" s="17" t="n">
        <v>1</v>
      </c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3">
        <f>SUMPRODUCT(M994:X994,$M$2:$X$2)*$K994*$L994</f>
        <v/>
      </c>
      <c r="Z994" s="14">
        <f>SUM(M994:X994)</f>
        <v/>
      </c>
      <c r="AA994" s="14">
        <f>IFERROR(IF(UPPER($E994)="L",SUMPRODUCT(M994:X994,$M$3:$X$3,$M$2:$X$2),SUMPRODUCT(M994:X994,$M$4:$X$4,$M$2:$X$2))/(Y994/($K994*$L994)),"")</f>
        <v/>
      </c>
      <c r="AB994" s="18" t="n"/>
    </row>
    <row r="995">
      <c r="A995" s="9" t="n">
        <v>681323</v>
      </c>
      <c r="B995" s="9" t="inlineStr">
        <is>
          <t>Alex Binelas</t>
        </is>
      </c>
      <c r="C995" s="9" t="inlineStr">
        <is>
          <t>PHI</t>
        </is>
      </c>
      <c r="D995" s="9" t="n">
        <v>25</v>
      </c>
      <c r="E995" s="16" t="inlineStr">
        <is>
          <t>L</t>
        </is>
      </c>
      <c r="F995" s="16" t="n"/>
      <c r="G995" s="9" t="n">
        <v>5.076923076923078</v>
      </c>
      <c r="H995" s="9" t="n">
        <v>5.076923076923078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3">
        <f>SUMPRODUCT(M995:X995,$M$2:$X$2)*$K995*$L995</f>
        <v/>
      </c>
      <c r="Z995" s="14">
        <f>SUM(M995:X995)</f>
        <v/>
      </c>
      <c r="AA995" s="14">
        <f>IFERROR(IF(UPPER($E995)="L",SUMPRODUCT(M995:X995,$M$3:$X$3,$M$2:$X$2),SUMPRODUCT(M995:X995,$M$4:$X$4,$M$2:$X$2))/(Y995/($K995*$L995)),"")</f>
        <v/>
      </c>
      <c r="AB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3">
        <f>SUMPRODUCT(M996:X996,$M$2:$X$2)*$K996*$L996</f>
        <v/>
      </c>
      <c r="Z996" s="14">
        <f>SUM(M996:X996)</f>
        <v/>
      </c>
      <c r="AA996" s="14">
        <f>IFERROR(IF(UPPER($E996)="L",SUMPRODUCT(M996:X996,$M$3:$X$3,$M$2:$X$2),SUMPRODUCT(M996:X996,$M$4:$X$4,$M$2:$X$2))/(Y996/($K996*$L996)),"")</f>
        <v/>
      </c>
      <c r="AB996" s="18" t="n"/>
    </row>
    <row r="997">
      <c r="A997" s="9" t="n">
        <v>821931</v>
      </c>
      <c r="B997" s="9" t="inlineStr">
        <is>
          <t>Trey Ebel</t>
        </is>
      </c>
      <c r="C997" s="9" t="inlineStr">
        <is>
          <t>MIL</t>
        </is>
      </c>
      <c r="D997" s="9" t="n">
        <v>25</v>
      </c>
      <c r="E997" s="16" t="inlineStr">
        <is>
          <t>R</t>
        </is>
      </c>
      <c r="F997" s="16" t="n"/>
      <c r="G997" s="9" t="n">
        <v>7.138461538461539</v>
      </c>
      <c r="H997" s="9" t="n">
        <v>7.138461538461539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3">
        <f>SUMPRODUCT(M997:X997,$M$2:$X$2)*$K997*$L997</f>
        <v/>
      </c>
      <c r="Z997" s="14">
        <f>SUM(M997:X997)</f>
        <v/>
      </c>
      <c r="AA997" s="14">
        <f>IFERROR(IF(UPPER($E997)="L",SUMPRODUCT(M997:X997,$M$3:$X$3,$M$2:$X$2),SUMPRODUCT(M997:X997,$M$4:$X$4,$M$2:$X$2))/(Y997/($K997*$L997)),"")</f>
        <v/>
      </c>
      <c r="AB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3">
        <f>SUMPRODUCT(M998:X998,$M$2:$X$2)*$K998*$L998</f>
        <v/>
      </c>
      <c r="Z998" s="14">
        <f>SUM(M998:X998)</f>
        <v/>
      </c>
      <c r="AA998" s="14">
        <f>IFERROR(IF(UPPER($E998)="L",SUMPRODUCT(M998:X998,$M$3:$X$3,$M$2:$X$2),SUMPRODUCT(M998:X998,$M$4:$X$4,$M$2:$X$2))/(Y998/($K998*$L998)),"")</f>
        <v/>
      </c>
      <c r="AB998" s="18" t="n"/>
    </row>
    <row r="999">
      <c r="A999" s="9" t="n">
        <v>805953</v>
      </c>
      <c r="B999" s="9" t="inlineStr">
        <is>
          <t>Anthony Huezo</t>
        </is>
      </c>
      <c r="C999" s="9" t="inlineStr">
        <is>
          <t>HOU</t>
        </is>
      </c>
      <c r="D999" s="9" t="n">
        <v>25</v>
      </c>
      <c r="E999" s="16" t="inlineStr">
        <is>
          <t>L</t>
        </is>
      </c>
      <c r="F999" s="16" t="n"/>
      <c r="G999" s="9" t="n">
        <v>5.025641025641026</v>
      </c>
      <c r="H999" s="9" t="n">
        <v>5.025641025641026</v>
      </c>
      <c r="I999" s="9" t="inlineStr">
        <is>
          <t>Depth (no MLB PA)</t>
        </is>
      </c>
      <c r="J999" s="16" t="inlineStr">
        <is>
          <t>Opening Day</t>
        </is>
      </c>
      <c r="K999" s="11">
        <f>IFERROR(INDEX(Roles!$B$17:$B$20,MATCH(J999,Roles!$A$17:$A$20,0)),1)</f>
        <v/>
      </c>
      <c r="L999" s="17" t="n">
        <v>1</v>
      </c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3">
        <f>SUMPRODUCT(M999:X999,$M$2:$X$2)*$K999*$L999</f>
        <v/>
      </c>
      <c r="Z999" s="14">
        <f>SUM(M999:X999)</f>
        <v/>
      </c>
      <c r="AA999" s="14">
        <f>IFERROR(IF(UPPER($E999)="L",SUMPRODUCT(M999:X999,$M$3:$X$3,$M$2:$X$2),SUMPRODUCT(M999:X999,$M$4:$X$4,$M$2:$X$2))/(Y999/($K999*$L999)),"")</f>
        <v/>
      </c>
      <c r="AB999" s="18" t="n"/>
    </row>
    <row r="1000">
      <c r="A1000" s="9" t="n">
        <v>814505</v>
      </c>
      <c r="B1000" s="9" t="inlineStr">
        <is>
          <t>Ace Reese</t>
        </is>
      </c>
      <c r="C1000" s="9" t="inlineStr">
        <is>
          <t>SEA</t>
        </is>
      </c>
      <c r="D1000" s="9" t="n">
        <v>25</v>
      </c>
      <c r="E1000" s="16" t="inlineStr">
        <is>
          <t>L</t>
        </is>
      </c>
      <c r="F1000" s="16" t="n"/>
      <c r="G1000" s="9" t="n">
        <v>11.56923076923077</v>
      </c>
      <c r="H1000" s="9" t="n">
        <v>11.56923076923077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3">
        <f>SUMPRODUCT(M1000:X1000,$M$2:$X$2)*$K1000*$L1000</f>
        <v/>
      </c>
      <c r="Z1000" s="14">
        <f>SUM(M1000:X1000)</f>
        <v/>
      </c>
      <c r="AA1000" s="14">
        <f>IFERROR(IF(UPPER($E1000)="L",SUMPRODUCT(M1000:X1000,$M$3:$X$3,$M$2:$X$2),SUMPRODUCT(M1000:X1000,$M$4:$X$4,$M$2:$X$2))/(Y1000/($K1000*$L1000)),"")</f>
        <v/>
      </c>
      <c r="AB1000" s="18" t="n"/>
    </row>
    <row r="1001">
      <c r="A1001" s="9" t="n">
        <v>823185</v>
      </c>
      <c r="B1001" s="9" t="inlineStr">
        <is>
          <t>Zane Zielinski</t>
        </is>
      </c>
      <c r="C1001" s="9" t="inlineStr">
        <is>
          <t>SF</t>
        </is>
      </c>
      <c r="D1001" s="9" t="n">
        <v>25</v>
      </c>
      <c r="E1001" s="16" t="inlineStr">
        <is>
          <t>R</t>
        </is>
      </c>
      <c r="F1001" s="16" t="n"/>
      <c r="G1001" s="9" t="n">
        <v>5.076923076923078</v>
      </c>
      <c r="H1001" s="9" t="n">
        <v>5.076923076923078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3">
        <f>SUMPRODUCT(M1001:X1001,$M$2:$X$2)*$K1001*$L1001</f>
        <v/>
      </c>
      <c r="Z1001" s="14">
        <f>SUM(M1001:X1001)</f>
        <v/>
      </c>
      <c r="AA1001" s="14">
        <f>IFERROR(IF(UPPER($E1001)="L",SUMPRODUCT(M1001:X1001,$M$3:$X$3,$M$2:$X$2),SUMPRODUCT(M1001:X1001,$M$4:$X$4,$M$2:$X$2))/(Y1001/($K1001*$L1001)),"")</f>
        <v/>
      </c>
      <c r="AB1001" s="18" t="n"/>
    </row>
    <row r="1002">
      <c r="A1002" s="9" t="n">
        <v>815824</v>
      </c>
      <c r="B1002" s="9" t="inlineStr">
        <is>
          <t>Josiah Hartshorn</t>
        </is>
      </c>
      <c r="C1002" s="9" t="inlineStr">
        <is>
          <t>CHC</t>
        </is>
      </c>
      <c r="D1002" s="9" t="n">
        <v>25</v>
      </c>
      <c r="E1002" s="16" t="inlineStr">
        <is>
          <t>S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7" t="n"/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3">
        <f>SUMPRODUCT(M1002:X1002,$M$2:$X$2)*$K1002*$L1002</f>
        <v/>
      </c>
      <c r="Z1002" s="14">
        <f>SUM(M1002:X1002)</f>
        <v/>
      </c>
      <c r="AA1002" s="14">
        <f>IFERROR(IF(UPPER($E1002)="L",SUMPRODUCT(M1002:X1002,$M$3:$X$3,$M$2:$X$2),SUMPRODUCT(M1002:X1002,$M$4:$X$4,$M$2:$X$2))/(Y1002/($K1002*$L1002)),"")</f>
        <v/>
      </c>
      <c r="AB1002" s="18" t="n"/>
    </row>
    <row r="1003">
      <c r="A1003" s="9" t="n">
        <v>682692</v>
      </c>
      <c r="B1003" s="9" t="inlineStr">
        <is>
          <t>Miguel Palma</t>
        </is>
      </c>
      <c r="C1003" s="9" t="inlineStr">
        <is>
          <t>NYY</t>
        </is>
      </c>
      <c r="D1003" s="9" t="n">
        <v>25</v>
      </c>
      <c r="E1003" s="16" t="inlineStr">
        <is>
          <t>R</t>
        </is>
      </c>
      <c r="F1003" s="16" t="n"/>
      <c r="G1003" s="9" t="n">
        <v>5.076923076923078</v>
      </c>
      <c r="H1003" s="9" t="n">
        <v>5.076923076923078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7" t="n"/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3">
        <f>SUMPRODUCT(M1003:X1003,$M$2:$X$2)*$K1003*$L1003</f>
        <v/>
      </c>
      <c r="Z1003" s="14">
        <f>SUM(M1003:X1003)</f>
        <v/>
      </c>
      <c r="AA1003" s="14">
        <f>IFERROR(IF(UPPER($E1003)="L",SUMPRODUCT(M1003:X1003,$M$3:$X$3,$M$2:$X$2),SUMPRODUCT(M1003:X1003,$M$4:$X$4,$M$2:$X$2))/(Y1003/($K1003*$L1003)),"")</f>
        <v/>
      </c>
      <c r="AB1003" s="18" t="n"/>
    </row>
    <row r="1004">
      <c r="A1004" s="9" t="n">
        <v>802098</v>
      </c>
      <c r="B1004" s="9" t="inlineStr">
        <is>
          <t>Leandro Alsinois</t>
        </is>
      </c>
      <c r="C1004" s="9" t="inlineStr">
        <is>
          <t>CWS</t>
        </is>
      </c>
      <c r="D1004" s="9" t="n">
        <v>25</v>
      </c>
      <c r="E1004" s="16" t="inlineStr">
        <is>
          <t>R</t>
        </is>
      </c>
      <c r="F1004" s="16" t="n"/>
      <c r="G1004" s="9" t="n">
        <v>5.046153846153846</v>
      </c>
      <c r="H1004" s="9" t="n">
        <v>5.046153846153846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7" t="n"/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3">
        <f>SUMPRODUCT(M1004:X1004,$M$2:$X$2)*$K1004*$L1004</f>
        <v/>
      </c>
      <c r="Z1004" s="14">
        <f>SUM(M1004:X1004)</f>
        <v/>
      </c>
      <c r="AA1004" s="14">
        <f>IFERROR(IF(UPPER($E1004)="L",SUMPRODUCT(M1004:X1004,$M$3:$X$3,$M$2:$X$2),SUMPRODUCT(M1004:X1004,$M$4:$X$4,$M$2:$X$2))/(Y1004/($K1004*$L1004)),"")</f>
        <v/>
      </c>
      <c r="AB1004" s="18" t="n"/>
    </row>
    <row r="1005">
      <c r="A1005" s="9" t="n">
        <v>811278</v>
      </c>
      <c r="B1005" s="9" t="inlineStr">
        <is>
          <t>Connor Rasmussen</t>
        </is>
      </c>
      <c r="C1005" s="9" t="inlineStr">
        <is>
          <t>KC</t>
        </is>
      </c>
      <c r="D1005" s="9" t="n">
        <v>25</v>
      </c>
      <c r="E1005" s="16" t="inlineStr">
        <is>
          <t>L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Opening Day</t>
        </is>
      </c>
      <c r="K1005" s="11">
        <f>IFERROR(INDEX(Roles!$B$17:$B$20,MATCH(J1005,Roles!$A$17:$A$20,0)),1)</f>
        <v/>
      </c>
      <c r="L1005" s="17" t="n">
        <v>1</v>
      </c>
      <c r="M1005" s="17" t="n"/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3">
        <f>SUMPRODUCT(M1005:X1005,$M$2:$X$2)*$K1005*$L1005</f>
        <v/>
      </c>
      <c r="Z1005" s="14">
        <f>SUM(M1005:X1005)</f>
        <v/>
      </c>
      <c r="AA1005" s="14">
        <f>IFERROR(IF(UPPER($E1005)="L",SUMPRODUCT(M1005:X1005,$M$3:$X$3,$M$2:$X$2),SUMPRODUCT(M1005:X1005,$M$4:$X$4,$M$2:$X$2))/(Y1005/($K1005*$L1005)),"")</f>
        <v/>
      </c>
      <c r="AB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7" t="n"/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3">
        <f>SUMPRODUCT(M1006:X1006,$M$2:$X$2)*$K1006*$L1006</f>
        <v/>
      </c>
      <c r="Z1006" s="14">
        <f>SUM(M1006:X1006)</f>
        <v/>
      </c>
      <c r="AA1006" s="14">
        <f>IFERROR(IF(UPPER($E1006)="L",SUMPRODUCT(M1006:X1006,$M$3:$X$3,$M$2:$X$2),SUMPRODUCT(M1006:X1006,$M$4:$X$4,$M$2:$X$2))/(Y1006/($K1006*$L1006)),"")</f>
        <v/>
      </c>
      <c r="AB1006" s="18" t="n"/>
    </row>
    <row r="1007">
      <c r="A1007" s="9" t="n">
        <v>836055</v>
      </c>
      <c r="B1007" s="9" t="inlineStr">
        <is>
          <t>Zach Daudet</t>
        </is>
      </c>
      <c r="C1007" s="9" t="inlineStr">
        <is>
          <t>HOU</t>
        </is>
      </c>
      <c r="D1007" s="9" t="n">
        <v>25</v>
      </c>
      <c r="E1007" s="16" t="inlineStr">
        <is>
          <t>R</t>
        </is>
      </c>
      <c r="F1007" s="16" t="n"/>
      <c r="G1007" s="9" t="n">
        <v>5.025641025641026</v>
      </c>
      <c r="H1007" s="9" t="n">
        <v>5.025641025641026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7" t="n"/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3">
        <f>SUMPRODUCT(M1007:X1007,$M$2:$X$2)*$K1007*$L1007</f>
        <v/>
      </c>
      <c r="Z1007" s="14">
        <f>SUM(M1007:X1007)</f>
        <v/>
      </c>
      <c r="AA1007" s="14">
        <f>IFERROR(IF(UPPER($E1007)="L",SUMPRODUCT(M1007:X1007,$M$3:$X$3,$M$2:$X$2),SUMPRODUCT(M1007:X1007,$M$4:$X$4,$M$2:$X$2))/(Y1007/($K1007*$L1007)),"")</f>
        <v/>
      </c>
      <c r="AB1007" s="18" t="n"/>
    </row>
    <row r="1008">
      <c r="A1008" s="9" t="n">
        <v>803679</v>
      </c>
      <c r="B1008" s="9" t="inlineStr">
        <is>
          <t>Sammy Hernandez</t>
        </is>
      </c>
      <c r="C1008" s="9" t="inlineStr">
        <is>
          <t>STL</t>
        </is>
      </c>
      <c r="D1008" s="9" t="n">
        <v>25</v>
      </c>
      <c r="E1008" s="16" t="inlineStr">
        <is>
          <t>R</t>
        </is>
      </c>
      <c r="F1008" s="16" t="n"/>
      <c r="G1008" s="9" t="n">
        <v>50.66666666666667</v>
      </c>
      <c r="H1008" s="9" t="n">
        <v>50.66666666666667</v>
      </c>
      <c r="I1008" s="9" t="inlineStr">
        <is>
          <t>Depth (no MLB PA)</t>
        </is>
      </c>
      <c r="J1008" s="16" t="inlineStr">
        <is>
          <t>Opening Day</t>
        </is>
      </c>
      <c r="K1008" s="11">
        <f>IFERROR(INDEX(Roles!$B$17:$B$20,MATCH(J1008,Roles!$A$17:$A$20,0)),1)</f>
        <v/>
      </c>
      <c r="L1008" s="17" t="n">
        <v>1</v>
      </c>
      <c r="M1008" s="17" t="n"/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/>
      <c r="Y1008" s="13">
        <f>SUMPRODUCT(M1008:X1008,$M$2:$X$2)*$K1008*$L1008</f>
        <v/>
      </c>
      <c r="Z1008" s="14">
        <f>SUM(M1008:X1008)</f>
        <v/>
      </c>
      <c r="AA1008" s="14">
        <f>IFERROR(IF(UPPER($E1008)="L",SUMPRODUCT(M1008:X1008,$M$3:$X$3,$M$2:$X$2),SUMPRODUCT(M1008:X1008,$M$4:$X$4,$M$2:$X$2))/(Y1008/($K1008*$L1008)),"")</f>
        <v/>
      </c>
      <c r="AB1008" s="18" t="n"/>
    </row>
    <row r="1009">
      <c r="A1009" s="9" t="n">
        <v>682657</v>
      </c>
      <c r="B1009" s="9" t="inlineStr">
        <is>
          <t>Angel Martínez</t>
        </is>
      </c>
      <c r="C1009" s="9" t="inlineStr">
        <is>
          <t>CLE</t>
        </is>
      </c>
      <c r="D1009" s="9" t="n">
        <v>25</v>
      </c>
      <c r="E1009" s="16" t="inlineStr">
        <is>
          <t>S</t>
        </is>
      </c>
      <c r="F1009" s="16" t="n"/>
      <c r="G1009" s="9" t="n">
        <v>416</v>
      </c>
      <c r="H1009" s="9" t="n">
        <v>1069</v>
      </c>
      <c r="I1009" s="9" t="inlineStr">
        <is>
          <t>Full Time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7" t="n"/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3">
        <f>SUMPRODUCT(M1009:X1009,$M$2:$X$2)*$K1009*$L1009</f>
        <v/>
      </c>
      <c r="Z1009" s="14">
        <f>SUM(M1009:X1009)</f>
        <v/>
      </c>
      <c r="AA1009" s="14">
        <f>IFERROR(IF(UPPER($E1009)="L",SUMPRODUCT(M1009:X1009,$M$3:$X$3,$M$2:$X$2),SUMPRODUCT(M1009:X1009,$M$4:$X$4,$M$2:$X$2))/(Y1009/($K1009*$L1009)),"")</f>
        <v/>
      </c>
      <c r="AB1009" s="18" t="n"/>
    </row>
    <row r="1010">
      <c r="A1010" s="9" t="n">
        <v>835678</v>
      </c>
      <c r="B1010" s="9" t="inlineStr">
        <is>
          <t>Martin Shelar</t>
        </is>
      </c>
      <c r="C1010" s="9" t="inlineStr">
        <is>
          <t>BOS</t>
        </is>
      </c>
      <c r="D1010" s="9" t="n">
        <v>25</v>
      </c>
      <c r="E1010" s="16" t="inlineStr">
        <is>
          <t>R</t>
        </is>
      </c>
      <c r="F1010" s="16" t="n"/>
      <c r="G1010" s="9" t="n">
        <v>7.261538461538461</v>
      </c>
      <c r="H1010" s="9" t="n">
        <v>7.261538461538461</v>
      </c>
      <c r="I1010" s="9" t="inlineStr">
        <is>
          <t>Depth (no MLB PA)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7" t="n"/>
      <c r="N1010" s="17" t="n"/>
      <c r="O1010" s="17" t="n"/>
      <c r="P1010" s="17" t="n"/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3">
        <f>SUMPRODUCT(M1010:X1010,$M$2:$X$2)*$K1010*$L1010</f>
        <v/>
      </c>
      <c r="Z1010" s="14">
        <f>SUM(M1010:X1010)</f>
        <v/>
      </c>
      <c r="AA1010" s="14">
        <f>IFERROR(IF(UPPER($E1010)="L",SUMPRODUCT(M1010:X1010,$M$3:$X$3,$M$2:$X$2),SUMPRODUCT(M1010:X1010,$M$4:$X$4,$M$2:$X$2))/(Y1010/($K1010*$L1010)),"")</f>
        <v/>
      </c>
      <c r="AB1010" s="18" t="n"/>
    </row>
    <row r="1011">
      <c r="A1011" s="9" t="n">
        <v>806964</v>
      </c>
      <c r="B1011" s="9" t="inlineStr">
        <is>
          <t>Sebastian Walcott</t>
        </is>
      </c>
      <c r="C1011" s="9" t="inlineStr">
        <is>
          <t>TEX</t>
        </is>
      </c>
      <c r="D1011" s="9" t="n">
        <v>25</v>
      </c>
      <c r="E1011" s="16" t="inlineStr">
        <is>
          <t>R</t>
        </is>
      </c>
      <c r="F1011" s="16" t="n"/>
      <c r="G1011" s="9" t="n">
        <v>5.076923076923078</v>
      </c>
      <c r="H1011" s="9" t="n">
        <v>5.076923076923078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7" t="n"/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3">
        <f>SUMPRODUCT(M1011:X1011,$M$2:$X$2)*$K1011*$L1011</f>
        <v/>
      </c>
      <c r="Z1011" s="14">
        <f>SUM(M1011:X1011)</f>
        <v/>
      </c>
      <c r="AA1011" s="14">
        <f>IFERROR(IF(UPPER($E1011)="L",SUMPRODUCT(M1011:X1011,$M$3:$X$3,$M$2:$X$2),SUMPRODUCT(M1011:X1011,$M$4:$X$4,$M$2:$X$2))/(Y1011/($K1011*$L1011)),"")</f>
        <v/>
      </c>
      <c r="AB1011" s="18" t="n"/>
    </row>
    <row r="1012">
      <c r="A1012" s="9" t="n">
        <v>688457</v>
      </c>
      <c r="B1012" s="9" t="inlineStr">
        <is>
          <t>Gavin Cross</t>
        </is>
      </c>
      <c r="C1012" s="9" t="inlineStr">
        <is>
          <t>KC</t>
        </is>
      </c>
      <c r="D1012" s="9" t="n">
        <v>25</v>
      </c>
      <c r="E1012" s="16" t="inlineStr">
        <is>
          <t>L</t>
        </is>
      </c>
      <c r="F1012" s="16" t="n"/>
      <c r="G1012" s="9" t="n">
        <v>262.3076923076923</v>
      </c>
      <c r="H1012" s="9" t="n">
        <v>262.3076923076923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7" t="n"/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3">
        <f>SUMPRODUCT(M1012:X1012,$M$2:$X$2)*$K1012*$L1012</f>
        <v/>
      </c>
      <c r="Z1012" s="14">
        <f>SUM(M1012:X1012)</f>
        <v/>
      </c>
      <c r="AA1012" s="14">
        <f>IFERROR(IF(UPPER($E1012)="L",SUMPRODUCT(M1012:X1012,$M$3:$X$3,$M$2:$X$2),SUMPRODUCT(M1012:X1012,$M$4:$X$4,$M$2:$X$2))/(Y1012/($K1012*$L1012)),"")</f>
        <v/>
      </c>
      <c r="AB1012" s="18" t="n"/>
    </row>
    <row r="1013">
      <c r="A1013" s="9" t="n">
        <v>543482</v>
      </c>
      <c r="B1013" s="9" t="inlineStr">
        <is>
          <t>Drew Maggi</t>
        </is>
      </c>
      <c r="C1013" s="9" t="inlineStr">
        <is>
          <t>PIT</t>
        </is>
      </c>
      <c r="D1013" s="9" t="n">
        <v>38</v>
      </c>
      <c r="E1013" s="16" t="inlineStr">
        <is>
          <t>R</t>
        </is>
      </c>
      <c r="F1013" s="16" t="n"/>
      <c r="G1013" s="9" t="n">
        <v>6</v>
      </c>
      <c r="H1013" s="9" t="n">
        <v>6</v>
      </c>
      <c r="I1013" s="9" t="inlineStr">
        <is>
          <t>Depth (no MLB PA)</t>
        </is>
      </c>
      <c r="J1013" s="16" t="inlineStr">
        <is>
          <t>Opening Day</t>
        </is>
      </c>
      <c r="K1013" s="11">
        <f>IFERROR(INDEX(Roles!$B$17:$B$20,MATCH(J1013,Roles!$A$17:$A$20,0)),1)</f>
        <v/>
      </c>
      <c r="L1013" s="17" t="n">
        <v>1</v>
      </c>
      <c r="M1013" s="17" t="n"/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3">
        <f>SUMPRODUCT(M1013:X1013,$M$2:$X$2)*$K1013*$L1013</f>
        <v/>
      </c>
      <c r="Z1013" s="14">
        <f>SUM(M1013:X1013)</f>
        <v/>
      </c>
      <c r="AA1013" s="14">
        <f>IFERROR(IF(UPPER($E1013)="L",SUMPRODUCT(M1013:X1013,$M$3:$X$3,$M$2:$X$2),SUMPRODUCT(M1013:X1013,$M$4:$X$4,$M$2:$X$2))/(Y1013/($K1013*$L1013)),"")</f>
        <v/>
      </c>
      <c r="AB1013" s="18" t="n"/>
    </row>
    <row r="1014">
      <c r="A1014" s="9" t="n">
        <v>832219</v>
      </c>
      <c r="B1014" s="9" t="inlineStr">
        <is>
          <t>Brady Ballinger</t>
        </is>
      </c>
      <c r="C1014" s="9" t="inlineStr">
        <is>
          <t>DET</t>
        </is>
      </c>
      <c r="D1014" s="9" t="n">
        <v>25</v>
      </c>
      <c r="E1014" s="16" t="inlineStr">
        <is>
          <t>L</t>
        </is>
      </c>
      <c r="F1014" s="16" t="n"/>
      <c r="G1014" s="9" t="n">
        <v>5.16923076923077</v>
      </c>
      <c r="H1014" s="9" t="n">
        <v>5.16923076923077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7" t="n"/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3">
        <f>SUMPRODUCT(M1014:X1014,$M$2:$X$2)*$K1014*$L1014</f>
        <v/>
      </c>
      <c r="Z1014" s="14">
        <f>SUM(M1014:X1014)</f>
        <v/>
      </c>
      <c r="AA1014" s="14">
        <f>IFERROR(IF(UPPER($E1014)="L",SUMPRODUCT(M1014:X1014,$M$3:$X$3,$M$2:$X$2),SUMPRODUCT(M1014:X1014,$M$4:$X$4,$M$2:$X$2))/(Y1014/($K1014*$L1014)),"")</f>
        <v/>
      </c>
      <c r="AB1014" s="18" t="n"/>
    </row>
    <row r="1015">
      <c r="A1015" s="9" t="n">
        <v>840927</v>
      </c>
      <c r="B1015" s="9" t="inlineStr">
        <is>
          <t>Erick Dessens</t>
        </is>
      </c>
      <c r="C1015" s="9" t="inlineStr">
        <is>
          <t>CLE</t>
        </is>
      </c>
      <c r="D1015" s="9" t="n">
        <v>25</v>
      </c>
      <c r="E1015" s="16" t="inlineStr">
        <is>
          <t>L</t>
        </is>
      </c>
      <c r="F1015" s="16" t="n"/>
      <c r="G1015" s="9" t="n">
        <v>7.261538461538461</v>
      </c>
      <c r="H1015" s="9" t="n">
        <v>7.261538461538461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7" t="n"/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3">
        <f>SUMPRODUCT(M1015:X1015,$M$2:$X$2)*$K1015*$L1015</f>
        <v/>
      </c>
      <c r="Z1015" s="14">
        <f>SUM(M1015:X1015)</f>
        <v/>
      </c>
      <c r="AA1015" s="14">
        <f>IFERROR(IF(UPPER($E1015)="L",SUMPRODUCT(M1015:X1015,$M$3:$X$3,$M$2:$X$2),SUMPRODUCT(M1015:X1015,$M$4:$X$4,$M$2:$X$2))/(Y1015/($K1015*$L1015)),"")</f>
        <v/>
      </c>
      <c r="AB1015" s="18" t="n"/>
    </row>
    <row r="1016">
      <c r="A1016" s="9" t="n">
        <v>804603</v>
      </c>
      <c r="B1016" s="9" t="inlineStr">
        <is>
          <t>Duncan Pastore</t>
        </is>
      </c>
      <c r="C1016" s="9" t="inlineStr">
        <is>
          <t>NYY</t>
        </is>
      </c>
      <c r="D1016" s="9" t="n">
        <v>25</v>
      </c>
      <c r="E1016" s="16" t="inlineStr">
        <is>
          <t>R</t>
        </is>
      </c>
      <c r="F1016" s="16" t="n"/>
      <c r="G1016" s="9" t="n">
        <v>5.076923076923078</v>
      </c>
      <c r="H1016" s="9" t="n">
        <v>5.076923076923078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7" t="n"/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3">
        <f>SUMPRODUCT(M1016:X1016,$M$2:$X$2)*$K1016*$L1016</f>
        <v/>
      </c>
      <c r="Z1016" s="14">
        <f>SUM(M1016:X1016)</f>
        <v/>
      </c>
      <c r="AA1016" s="14">
        <f>IFERROR(IF(UPPER($E1016)="L",SUMPRODUCT(M1016:X1016,$M$3:$X$3,$M$2:$X$2),SUMPRODUCT(M1016:X1016,$M$4:$X$4,$M$2:$X$2))/(Y1016/($K1016*$L1016)),"")</f>
        <v/>
      </c>
      <c r="AB1016" s="18" t="n"/>
    </row>
    <row r="1017">
      <c r="A1017" s="9" t="n">
        <v>621532</v>
      </c>
      <c r="B1017" s="9" t="inlineStr">
        <is>
          <t>Anthony Bemboom</t>
        </is>
      </c>
      <c r="C1017" s="9" t="inlineStr">
        <is>
          <t>BAL</t>
        </is>
      </c>
      <c r="D1017" s="9" t="n">
        <v>37</v>
      </c>
      <c r="E1017" s="16" t="inlineStr">
        <is>
          <t>L</t>
        </is>
      </c>
      <c r="F1017" s="16" t="n"/>
      <c r="G1017" s="9" t="n">
        <v>13</v>
      </c>
      <c r="H1017" s="9" t="n">
        <v>72</v>
      </c>
      <c r="I1017" s="9" t="inlineStr">
        <is>
          <t>Depth (no MLB PA)</t>
        </is>
      </c>
      <c r="J1017" s="16" t="inlineStr">
        <is>
          <t>Opening Day</t>
        </is>
      </c>
      <c r="K1017" s="11">
        <f>IFERROR(INDEX(Roles!$B$17:$B$20,MATCH(J1017,Roles!$A$17:$A$20,0)),1)</f>
        <v/>
      </c>
      <c r="L1017" s="17" t="n">
        <v>1</v>
      </c>
      <c r="M1017" s="17" t="n"/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/>
      <c r="Y1017" s="13">
        <f>SUMPRODUCT(M1017:X1017,$M$2:$X$2)*$K1017*$L1017</f>
        <v/>
      </c>
      <c r="Z1017" s="14">
        <f>SUM(M1017:X1017)</f>
        <v/>
      </c>
      <c r="AA1017" s="14">
        <f>IFERROR(IF(UPPER($E1017)="L",SUMPRODUCT(M1017:X1017,$M$3:$X$3,$M$2:$X$2),SUMPRODUCT(M1017:X1017,$M$4:$X$4,$M$2:$X$2))/(Y1017/($K1017*$L1017)),"")</f>
        <v/>
      </c>
      <c r="AB1017" s="18" t="n"/>
    </row>
    <row r="1018">
      <c r="A1018" s="9" t="n">
        <v>701527</v>
      </c>
      <c r="B1018" s="9" t="inlineStr">
        <is>
          <t>Mike Sirota</t>
        </is>
      </c>
      <c r="C1018" s="9" t="inlineStr">
        <is>
          <t>LAD</t>
        </is>
      </c>
      <c r="D1018" s="9" t="n">
        <v>25</v>
      </c>
      <c r="E1018" s="16" t="inlineStr">
        <is>
          <t>R</t>
        </is>
      </c>
      <c r="F1018" s="16" t="n"/>
      <c r="G1018" s="9" t="n">
        <v>5.076923076923078</v>
      </c>
      <c r="H1018" s="9" t="n">
        <v>5.076923076923078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7" t="n"/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3">
        <f>SUMPRODUCT(M1018:X1018,$M$2:$X$2)*$K1018*$L1018</f>
        <v/>
      </c>
      <c r="Z1018" s="14">
        <f>SUM(M1018:X1018)</f>
        <v/>
      </c>
      <c r="AA1018" s="14">
        <f>IFERROR(IF(UPPER($E1018)="L",SUMPRODUCT(M1018:X1018,$M$3:$X$3,$M$2:$X$2),SUMPRODUCT(M1018:X1018,$M$4:$X$4,$M$2:$X$2))/(Y1018/($K1018*$L1018)),"")</f>
        <v/>
      </c>
      <c r="AB1018" s="18" t="n"/>
    </row>
    <row r="1019">
      <c r="A1019" s="9" t="n">
        <v>694661</v>
      </c>
      <c r="B1019" s="9" t="inlineStr">
        <is>
          <t>Riley Tirotta</t>
        </is>
      </c>
      <c r="C1019" s="9" t="inlineStr">
        <is>
          <t>TOR</t>
        </is>
      </c>
      <c r="D1019" s="9" t="n">
        <v>25</v>
      </c>
      <c r="E1019" s="16" t="inlineStr">
        <is>
          <t>R</t>
        </is>
      </c>
      <c r="F1019" s="16" t="n"/>
      <c r="G1019" s="9" t="n">
        <v>110</v>
      </c>
      <c r="H1019" s="9" t="n">
        <v>110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7" t="n"/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3">
        <f>SUMPRODUCT(M1019:X1019,$M$2:$X$2)*$K1019*$L1019</f>
        <v/>
      </c>
      <c r="Z1019" s="14">
        <f>SUM(M1019:X1019)</f>
        <v/>
      </c>
      <c r="AA1019" s="14">
        <f>IFERROR(IF(UPPER($E1019)="L",SUMPRODUCT(M1019:X1019,$M$3:$X$3,$M$2:$X$2),SUMPRODUCT(M1019:X1019,$M$4:$X$4,$M$2:$X$2))/(Y1019/($K1019*$L1019)),"")</f>
        <v/>
      </c>
      <c r="AB1019" s="18" t="n"/>
    </row>
    <row r="1020">
      <c r="A1020" s="9" t="n">
        <v>666164</v>
      </c>
      <c r="B1020" s="9" t="inlineStr">
        <is>
          <t>Blake Rutherford</t>
        </is>
      </c>
      <c r="C1020" s="9" t="inlineStr">
        <is>
          <t>WSH</t>
        </is>
      </c>
      <c r="D1020" s="9" t="n">
        <v>30</v>
      </c>
      <c r="E1020" s="16" t="inlineStr">
        <is>
          <t>L</t>
        </is>
      </c>
      <c r="F1020" s="16" t="n"/>
      <c r="G1020" s="9" t="n">
        <v>36</v>
      </c>
      <c r="H1020" s="9" t="n">
        <v>36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7" t="n"/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3">
        <f>SUMPRODUCT(M1020:X1020,$M$2:$X$2)*$K1020*$L1020</f>
        <v/>
      </c>
      <c r="Z1020" s="14">
        <f>SUM(M1020:X1020)</f>
        <v/>
      </c>
      <c r="AA1020" s="14">
        <f>IFERROR(IF(UPPER($E1020)="L",SUMPRODUCT(M1020:X1020,$M$3:$X$3,$M$2:$X$2),SUMPRODUCT(M1020:X1020,$M$4:$X$4,$M$2:$X$2))/(Y1020/($K1020*$L1020)),"")</f>
        <v/>
      </c>
      <c r="AB1020" s="18" t="n"/>
    </row>
    <row r="1021">
      <c r="A1021" s="9" t="n">
        <v>542583</v>
      </c>
      <c r="B1021" s="9" t="inlineStr">
        <is>
          <t>Jesús Aguilar</t>
        </is>
      </c>
      <c r="C1021" s="9" t="inlineStr">
        <is>
          <t>OAK</t>
        </is>
      </c>
      <c r="D1021" s="9" t="n">
        <v>37</v>
      </c>
      <c r="E1021" s="16" t="inlineStr">
        <is>
          <t>R</t>
        </is>
      </c>
      <c r="F1021" s="16" t="n"/>
      <c r="G1021" s="9" t="n">
        <v>115</v>
      </c>
      <c r="H1021" s="9" t="n">
        <v>622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7" t="n"/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3">
        <f>SUMPRODUCT(M1021:X1021,$M$2:$X$2)*$K1021*$L1021</f>
        <v/>
      </c>
      <c r="Z1021" s="14">
        <f>SUM(M1021:X1021)</f>
        <v/>
      </c>
      <c r="AA1021" s="14">
        <f>IFERROR(IF(UPPER($E1021)="L",SUMPRODUCT(M1021:X1021,$M$3:$X$3,$M$2:$X$2),SUMPRODUCT(M1021:X1021,$M$4:$X$4,$M$2:$X$2))/(Y1021/($K1021*$L1021)),"")</f>
        <v/>
      </c>
      <c r="AB1021" s="18" t="n"/>
    </row>
    <row r="1022">
      <c r="A1022" s="9" t="n">
        <v>804944</v>
      </c>
      <c r="B1022" s="9" t="inlineStr">
        <is>
          <t>Jackson Lovich</t>
        </is>
      </c>
      <c r="C1022" s="9" t="inlineStr">
        <is>
          <t>NYY</t>
        </is>
      </c>
      <c r="D1022" s="9" t="n">
        <v>25</v>
      </c>
      <c r="E1022" s="16" t="inlineStr">
        <is>
          <t>R</t>
        </is>
      </c>
      <c r="F1022" s="16" t="n"/>
      <c r="G1022" s="9" t="n">
        <v>29.74358974358975</v>
      </c>
      <c r="H1022" s="9" t="n">
        <v>29.74358974358975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7" t="n"/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3">
        <f>SUMPRODUCT(M1022:X1022,$M$2:$X$2)*$K1022*$L1022</f>
        <v/>
      </c>
      <c r="Z1022" s="14">
        <f>SUM(M1022:X1022)</f>
        <v/>
      </c>
      <c r="AA1022" s="14">
        <f>IFERROR(IF(UPPER($E1022)="L",SUMPRODUCT(M1022:X1022,$M$3:$X$3,$M$2:$X$2),SUMPRODUCT(M1022:X1022,$M$4:$X$4,$M$2:$X$2))/(Y1022/($K1022*$L1022)),"")</f>
        <v/>
      </c>
      <c r="AB1022" s="18" t="n"/>
    </row>
    <row r="1023">
      <c r="A1023" s="9" t="n">
        <v>814269</v>
      </c>
      <c r="B1023" s="9" t="inlineStr">
        <is>
          <t>Kevin Verde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39.12820512820512</v>
      </c>
      <c r="H1023" s="9" t="n">
        <v>39.12820512820512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7" t="n"/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3">
        <f>SUMPRODUCT(M1023:X1023,$M$2:$X$2)*$K1023*$L1023</f>
        <v/>
      </c>
      <c r="Z1023" s="14">
        <f>SUM(M1023:X1023)</f>
        <v/>
      </c>
      <c r="AA1023" s="14">
        <f>IFERROR(IF(UPPER($E1023)="L",SUMPRODUCT(M1023:X1023,$M$3:$X$3,$M$2:$X$2),SUMPRODUCT(M1023:X1023,$M$4:$X$4,$M$2:$X$2))/(Y1023/($K1023*$L1023)),"")</f>
        <v/>
      </c>
      <c r="AB1023" s="18" t="n"/>
    </row>
    <row r="1024">
      <c r="A1024" s="9" t="n">
        <v>828783</v>
      </c>
      <c r="B1024" s="9" t="inlineStr">
        <is>
          <t>Luis Leon</t>
        </is>
      </c>
      <c r="C1024" s="9" t="inlineStr">
        <is>
          <t>MIA</t>
        </is>
      </c>
      <c r="D1024" s="9" t="n">
        <v>25</v>
      </c>
      <c r="E1024" s="16" t="inlineStr">
        <is>
          <t>R</t>
        </is>
      </c>
      <c r="F1024" s="16" t="n"/>
      <c r="G1024" s="9" t="n">
        <v>7.384615384615384</v>
      </c>
      <c r="H1024" s="9" t="n">
        <v>7.384615384615384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7" t="n"/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3">
        <f>SUMPRODUCT(M1024:X1024,$M$2:$X$2)*$K1024*$L1024</f>
        <v/>
      </c>
      <c r="Z1024" s="14">
        <f>SUM(M1024:X1024)</f>
        <v/>
      </c>
      <c r="AA1024" s="14">
        <f>IFERROR(IF(UPPER($E1024)="L",SUMPRODUCT(M1024:X1024,$M$3:$X$3,$M$2:$X$2),SUMPRODUCT(M1024:X1024,$M$4:$X$4,$M$2:$X$2))/(Y1024/($K1024*$L1024)),"")</f>
        <v/>
      </c>
      <c r="AB1024" s="18" t="n"/>
    </row>
    <row r="1025">
      <c r="A1025" s="9" t="n">
        <v>809338</v>
      </c>
      <c r="B1025" s="9" t="inlineStr">
        <is>
          <t>Trevor Austin</t>
        </is>
      </c>
      <c r="C1025" s="9" t="inlineStr">
        <is>
          <t>HOU</t>
        </is>
      </c>
      <c r="D1025" s="9" t="n">
        <v>25</v>
      </c>
      <c r="E1025" s="16" t="inlineStr">
        <is>
          <t>R</t>
        </is>
      </c>
      <c r="F1025" s="16" t="n"/>
      <c r="G1025" s="9" t="n">
        <v>20.30769230769231</v>
      </c>
      <c r="H1025" s="9" t="n">
        <v>20.30769230769231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7" t="n"/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3">
        <f>SUMPRODUCT(M1025:X1025,$M$2:$X$2)*$K1025*$L1025</f>
        <v/>
      </c>
      <c r="Z1025" s="14">
        <f>SUM(M1025:X1025)</f>
        <v/>
      </c>
      <c r="AA1025" s="14">
        <f>IFERROR(IF(UPPER($E1025)="L",SUMPRODUCT(M1025:X1025,$M$3:$X$3,$M$2:$X$2),SUMPRODUCT(M1025:X1025,$M$4:$X$4,$M$2:$X$2))/(Y1025/($K1025*$L1025)),"")</f>
        <v/>
      </c>
      <c r="AB1025" s="18" t="n"/>
    </row>
    <row r="1026">
      <c r="A1026" s="9" t="n">
        <v>821171</v>
      </c>
      <c r="B1026" s="9" t="inlineStr">
        <is>
          <t>Dauri Fernández</t>
        </is>
      </c>
      <c r="C1026" s="9" t="inlineStr">
        <is>
          <t>CLE</t>
        </is>
      </c>
      <c r="D1026" s="9" t="n">
        <v>25</v>
      </c>
      <c r="E1026" s="16" t="inlineStr">
        <is>
          <t>S</t>
        </is>
      </c>
      <c r="F1026" s="16" t="n"/>
      <c r="G1026" s="9" t="n">
        <v>13.74358974358974</v>
      </c>
      <c r="H1026" s="9" t="n">
        <v>13.74358974358974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7" t="n"/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/>
      <c r="Y1026" s="13">
        <f>SUMPRODUCT(M1026:X1026,$M$2:$X$2)*$K1026*$L1026</f>
        <v/>
      </c>
      <c r="Z1026" s="14">
        <f>SUM(M1026:X1026)</f>
        <v/>
      </c>
      <c r="AA1026" s="14">
        <f>IFERROR(IF(UPPER($E1026)="L",SUMPRODUCT(M1026:X1026,$M$3:$X$3,$M$2:$X$2),SUMPRODUCT(M1026:X1026,$M$4:$X$4,$M$2:$X$2))/(Y1026/($K1026*$L1026)),"")</f>
        <v/>
      </c>
      <c r="AB1026" s="18" t="n"/>
    </row>
    <row r="1027">
      <c r="A1027" s="9" t="n">
        <v>808116</v>
      </c>
      <c r="B1027" s="9" t="inlineStr">
        <is>
          <t>Pedro Dalmagro</t>
        </is>
      </c>
      <c r="C1027" s="9" t="inlineStr">
        <is>
          <t>CLE</t>
        </is>
      </c>
      <c r="D1027" s="9" t="n">
        <v>25</v>
      </c>
      <c r="E1027" s="16" t="inlineStr">
        <is>
          <t>L</t>
        </is>
      </c>
      <c r="F1027" s="16" t="n"/>
      <c r="G1027" s="9" t="n">
        <v>9.6</v>
      </c>
      <c r="H1027" s="9" t="n">
        <v>9.6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7" t="n"/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/>
      <c r="Y1027" s="13">
        <f>SUMPRODUCT(M1027:X1027,$M$2:$X$2)*$K1027*$L1027</f>
        <v/>
      </c>
      <c r="Z1027" s="14">
        <f>SUM(M1027:X1027)</f>
        <v/>
      </c>
      <c r="AA1027" s="14">
        <f>IFERROR(IF(UPPER($E1027)="L",SUMPRODUCT(M1027:X1027,$M$3:$X$3,$M$2:$X$2),SUMPRODUCT(M1027:X1027,$M$4:$X$4,$M$2:$X$2))/(Y1027/($K1027*$L1027)),"")</f>
        <v/>
      </c>
      <c r="AB1027" s="18" t="n"/>
    </row>
    <row r="1028">
      <c r="A1028" s="9" t="n">
        <v>815220</v>
      </c>
      <c r="B1028" s="9" t="inlineStr">
        <is>
          <t>Aldo Gaxiola</t>
        </is>
      </c>
      <c r="C1028" s="9" t="inlineStr">
        <is>
          <t>TOR</t>
        </is>
      </c>
      <c r="D1028" s="9" t="n">
        <v>25</v>
      </c>
      <c r="E1028" s="16" t="inlineStr">
        <is>
          <t>R</t>
        </is>
      </c>
      <c r="F1028" s="16" t="n"/>
      <c r="G1028" s="9" t="n">
        <v>43.81538461538462</v>
      </c>
      <c r="H1028" s="9" t="n">
        <v>43.81538461538462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7" t="n"/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/>
      <c r="Y1028" s="13">
        <f>SUMPRODUCT(M1028:X1028,$M$2:$X$2)*$K1028*$L1028</f>
        <v/>
      </c>
      <c r="Z1028" s="14">
        <f>SUM(M1028:X1028)</f>
        <v/>
      </c>
      <c r="AA1028" s="14">
        <f>IFERROR(IF(UPPER($E1028)="L",SUMPRODUCT(M1028:X1028,$M$3:$X$3,$M$2:$X$2),SUMPRODUCT(M1028:X1028,$M$4:$X$4,$M$2:$X$2))/(Y1028/($K1028*$L1028)),"")</f>
        <v/>
      </c>
      <c r="AB1028" s="18" t="n"/>
    </row>
    <row r="1029">
      <c r="A1029" s="9" t="n">
        <v>806992</v>
      </c>
      <c r="B1029" s="9" t="inlineStr">
        <is>
          <t>Enrique Jimenez</t>
        </is>
      </c>
      <c r="C1029" s="9" t="inlineStr">
        <is>
          <t>MIN</t>
        </is>
      </c>
      <c r="D1029" s="9" t="n">
        <v>25</v>
      </c>
      <c r="E1029" s="16" t="inlineStr">
        <is>
          <t>S</t>
        </is>
      </c>
      <c r="F1029" s="16" t="n"/>
      <c r="G1029" s="9" t="n">
        <v>21.74358974358974</v>
      </c>
      <c r="H1029" s="9" t="n">
        <v>21.74358974358974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7" t="n"/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/>
      <c r="Y1029" s="13">
        <f>SUMPRODUCT(M1029:X1029,$M$2:$X$2)*$K1029*$L1029</f>
        <v/>
      </c>
      <c r="Z1029" s="14">
        <f>SUM(M1029:X1029)</f>
        <v/>
      </c>
      <c r="AA1029" s="14">
        <f>IFERROR(IF(UPPER($E1029)="L",SUMPRODUCT(M1029:X1029,$M$3:$X$3,$M$2:$X$2),SUMPRODUCT(M1029:X1029,$M$4:$X$4,$M$2:$X$2))/(Y1029/($K1029*$L1029)),"")</f>
        <v/>
      </c>
      <c r="AB1029" s="18" t="n"/>
    </row>
    <row r="1030">
      <c r="A1030" s="9" t="n">
        <v>806197</v>
      </c>
      <c r="B1030" s="9" t="inlineStr">
        <is>
          <t>Hideki Prather</t>
        </is>
      </c>
      <c r="C1030" s="9" t="inlineStr">
        <is>
          <t>MIN</t>
        </is>
      </c>
      <c r="D1030" s="9" t="n">
        <v>25</v>
      </c>
      <c r="E1030" s="16" t="inlineStr">
        <is>
          <t>R</t>
        </is>
      </c>
      <c r="F1030" s="16" t="n"/>
      <c r="G1030" s="9" t="n">
        <v>5.415384615384616</v>
      </c>
      <c r="H1030" s="9" t="n">
        <v>5.415384615384616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7" t="n"/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/>
      <c r="Y1030" s="13">
        <f>SUMPRODUCT(M1030:X1030,$M$2:$X$2)*$K1030*$L1030</f>
        <v/>
      </c>
      <c r="Z1030" s="14">
        <f>SUM(M1030:X1030)</f>
        <v/>
      </c>
      <c r="AA1030" s="14">
        <f>IFERROR(IF(UPPER($E1030)="L",SUMPRODUCT(M1030:X1030,$M$3:$X$3,$M$2:$X$2),SUMPRODUCT(M1030:X1030,$M$4:$X$4,$M$2:$X$2))/(Y1030/($K1030*$L1030)),"")</f>
        <v/>
      </c>
      <c r="AB1030" s="18" t="n"/>
    </row>
    <row r="1031">
      <c r="A1031" s="9" t="n">
        <v>829748</v>
      </c>
      <c r="B1031" s="9" t="inlineStr">
        <is>
          <t>Hyun Seung Lee</t>
        </is>
      </c>
      <c r="C1031" s="9" t="inlineStr">
        <is>
          <t>PIT</t>
        </is>
      </c>
      <c r="D1031" s="9" t="n">
        <v>25</v>
      </c>
      <c r="E1031" s="16" t="inlineStr">
        <is>
          <t>L</t>
        </is>
      </c>
      <c r="F1031" s="16" t="n"/>
      <c r="G1031" s="9" t="n">
        <v>7.384615384615384</v>
      </c>
      <c r="H1031" s="9" t="n">
        <v>7.384615384615384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7" t="n"/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/>
      <c r="Y1031" s="13">
        <f>SUMPRODUCT(M1031:X1031,$M$2:$X$2)*$K1031*$L1031</f>
        <v/>
      </c>
      <c r="Z1031" s="14">
        <f>SUM(M1031:X1031)</f>
        <v/>
      </c>
      <c r="AA1031" s="14">
        <f>IFERROR(IF(UPPER($E1031)="L",SUMPRODUCT(M1031:X1031,$M$3:$X$3,$M$2:$X$2),SUMPRODUCT(M1031:X1031,$M$4:$X$4,$M$2:$X$2))/(Y1031/($K1031*$L1031)),"")</f>
        <v/>
      </c>
      <c r="AB1031" s="18" t="n"/>
    </row>
    <row r="1032">
      <c r="A1032" s="9" t="n">
        <v>842167</v>
      </c>
      <c r="B1032" s="9" t="inlineStr">
        <is>
          <t>Carlos Sanchez</t>
        </is>
      </c>
      <c r="C1032" s="9" t="inlineStr">
        <is>
          <t>BAL</t>
        </is>
      </c>
      <c r="D1032" s="9" t="n">
        <v>25</v>
      </c>
      <c r="E1032" s="16" t="inlineStr">
        <is>
          <t>R</t>
        </is>
      </c>
      <c r="F1032" s="16" t="n"/>
      <c r="G1032" s="9" t="n">
        <v>5.415384615384616</v>
      </c>
      <c r="H1032" s="9" t="n">
        <v>5.415384615384616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7" t="n"/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/>
      <c r="Y1032" s="13">
        <f>SUMPRODUCT(M1032:X1032,$M$2:$X$2)*$K1032*$L1032</f>
        <v/>
      </c>
      <c r="Z1032" s="14">
        <f>SUM(M1032:X1032)</f>
        <v/>
      </c>
      <c r="AA1032" s="14">
        <f>IFERROR(IF(UPPER($E1032)="L",SUMPRODUCT(M1032:X1032,$M$3:$X$3,$M$2:$X$2),SUMPRODUCT(M1032:X1032,$M$4:$X$4,$M$2:$X$2))/(Y1032/($K1032*$L1032)),"")</f>
        <v/>
      </c>
      <c r="AB1032" s="18" t="n"/>
    </row>
    <row r="1033">
      <c r="A1033" s="9" t="n">
        <v>800256</v>
      </c>
      <c r="B1033" s="9" t="inlineStr">
        <is>
          <t>Natanael Yuten</t>
        </is>
      </c>
      <c r="C1033" s="9" t="inlineStr">
        <is>
          <t>BOS</t>
        </is>
      </c>
      <c r="D1033" s="9" t="n">
        <v>25</v>
      </c>
      <c r="E1033" s="16" t="inlineStr">
        <is>
          <t>L</t>
        </is>
      </c>
      <c r="F1033" s="16" t="n"/>
      <c r="G1033" s="9" t="n">
        <v>21.74358974358974</v>
      </c>
      <c r="H1033" s="9" t="n">
        <v>21.74358974358974</v>
      </c>
      <c r="I1033" s="9" t="inlineStr">
        <is>
          <t>Depth (no MLB PA)</t>
        </is>
      </c>
      <c r="J1033" s="16" t="inlineStr">
        <is>
          <t>Opening Day</t>
        </is>
      </c>
      <c r="K1033" s="11">
        <f>IFERROR(INDEX(Roles!$B$17:$B$20,MATCH(J1033,Roles!$A$17:$A$20,0)),1)</f>
        <v/>
      </c>
      <c r="L1033" s="17" t="n">
        <v>1</v>
      </c>
      <c r="M1033" s="17" t="n"/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/>
      <c r="Y1033" s="13">
        <f>SUMPRODUCT(M1033:X1033,$M$2:$X$2)*$K1033*$L1033</f>
        <v/>
      </c>
      <c r="Z1033" s="14">
        <f>SUM(M1033:X1033)</f>
        <v/>
      </c>
      <c r="AA1033" s="14">
        <f>IFERROR(IF(UPPER($E1033)="L",SUMPRODUCT(M1033:X1033,$M$3:$X$3,$M$2:$X$2),SUMPRODUCT(M1033:X1033,$M$4:$X$4,$M$2:$X$2))/(Y1033/($K1033*$L1033)),"")</f>
        <v/>
      </c>
      <c r="AB1033" s="18" t="n"/>
    </row>
    <row r="1034">
      <c r="A1034" s="9" t="n">
        <v>702631</v>
      </c>
      <c r="B1034" s="9" t="inlineStr">
        <is>
          <t>Adonys Guzman</t>
        </is>
      </c>
      <c r="C1034" s="9" t="inlineStr">
        <is>
          <t>BOS</t>
        </is>
      </c>
      <c r="D1034" s="9" t="n">
        <v>25</v>
      </c>
      <c r="E1034" s="16" t="inlineStr">
        <is>
          <t>R</t>
        </is>
      </c>
      <c r="F1034" s="16" t="n"/>
      <c r="G1034" s="9" t="n">
        <v>17.84615384615385</v>
      </c>
      <c r="H1034" s="9" t="n">
        <v>17.84615384615385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7" t="n"/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/>
      <c r="Y1034" s="13">
        <f>SUMPRODUCT(M1034:X1034,$M$2:$X$2)*$K1034*$L1034</f>
        <v/>
      </c>
      <c r="Z1034" s="14">
        <f>SUM(M1034:X1034)</f>
        <v/>
      </c>
      <c r="AA1034" s="14">
        <f>IFERROR(IF(UPPER($E1034)="L",SUMPRODUCT(M1034:X1034,$M$3:$X$3,$M$2:$X$2),SUMPRODUCT(M1034:X1034,$M$4:$X$4,$M$2:$X$2))/(Y1034/($K1034*$L1034)),"")</f>
        <v/>
      </c>
      <c r="AB1034" s="18" t="n"/>
    </row>
    <row r="1035">
      <c r="A1035" s="9" t="n">
        <v>805225</v>
      </c>
      <c r="B1035" s="9" t="inlineStr">
        <is>
          <t>Nu'u Contrades</t>
        </is>
      </c>
      <c r="C1035" s="9" t="inlineStr">
        <is>
          <t>SD</t>
        </is>
      </c>
      <c r="D1035" s="9" t="n">
        <v>25</v>
      </c>
      <c r="E1035" s="16" t="inlineStr">
        <is>
          <t>R</t>
        </is>
      </c>
      <c r="F1035" s="16" t="n"/>
      <c r="G1035" s="9" t="n">
        <v>11.93846153846154</v>
      </c>
      <c r="H1035" s="9" t="n">
        <v>11.93846153846154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7" t="n"/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/>
      <c r="Y1035" s="13">
        <f>SUMPRODUCT(M1035:X1035,$M$2:$X$2)*$K1035*$L1035</f>
        <v/>
      </c>
      <c r="Z1035" s="14">
        <f>SUM(M1035:X1035)</f>
        <v/>
      </c>
      <c r="AA1035" s="14">
        <f>IFERROR(IF(UPPER($E1035)="L",SUMPRODUCT(M1035:X1035,$M$3:$X$3,$M$2:$X$2),SUMPRODUCT(M1035:X1035,$M$4:$X$4,$M$2:$X$2))/(Y1035/($K1035*$L1035)),"")</f>
        <v/>
      </c>
      <c r="AB1035" s="18" t="n"/>
    </row>
    <row r="1036">
      <c r="A1036" s="9" t="n">
        <v>808281</v>
      </c>
      <c r="B1036" s="9" t="inlineStr">
        <is>
          <t>Braylin Morel</t>
        </is>
      </c>
      <c r="C1036" s="9" t="inlineStr">
        <is>
          <t>TEX</t>
        </is>
      </c>
      <c r="D1036" s="9" t="n">
        <v>25</v>
      </c>
      <c r="E1036" s="16" t="inlineStr">
        <is>
          <t>R</t>
        </is>
      </c>
      <c r="F1036" s="16" t="n"/>
      <c r="G1036" s="9" t="n">
        <v>9.723076923076922</v>
      </c>
      <c r="H1036" s="9" t="n">
        <v>9.723076923076922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7" t="n"/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/>
      <c r="Y1036" s="13">
        <f>SUMPRODUCT(M1036:X1036,$M$2:$X$2)*$K1036*$L1036</f>
        <v/>
      </c>
      <c r="Z1036" s="14">
        <f>SUM(M1036:X1036)</f>
        <v/>
      </c>
      <c r="AA1036" s="14">
        <f>IFERROR(IF(UPPER($E1036)="L",SUMPRODUCT(M1036:X1036,$M$3:$X$3,$M$2:$X$2),SUMPRODUCT(M1036:X1036,$M$4:$X$4,$M$2:$X$2))/(Y1036/($K1036*$L1036)),"")</f>
        <v/>
      </c>
      <c r="AB1036" s="18" t="n"/>
    </row>
    <row r="1037">
      <c r="A1037" s="9" t="n">
        <v>807645</v>
      </c>
      <c r="B1037" s="9" t="inlineStr">
        <is>
          <t>Adolfo Sanchez</t>
        </is>
      </c>
      <c r="C1037" s="9" t="inlineStr">
        <is>
          <t>CIN</t>
        </is>
      </c>
      <c r="D1037" s="9" t="n">
        <v>25</v>
      </c>
      <c r="E1037" s="16" t="inlineStr">
        <is>
          <t>L</t>
        </is>
      </c>
      <c r="F1037" s="16" t="n"/>
      <c r="G1037" s="9" t="n">
        <v>13.90769230769231</v>
      </c>
      <c r="H1037" s="9" t="n">
        <v>13.90769230769231</v>
      </c>
      <c r="I1037" s="9" t="inlineStr">
        <is>
          <t>Depth (no MLB PA)</t>
        </is>
      </c>
      <c r="J1037" s="16" t="inlineStr">
        <is>
          <t>Opening Day</t>
        </is>
      </c>
      <c r="K1037" s="11">
        <f>IFERROR(INDEX(Roles!$B$17:$B$20,MATCH(J1037,Roles!$A$17:$A$20,0)),1)</f>
        <v/>
      </c>
      <c r="L1037" s="17" t="n">
        <v>1</v>
      </c>
      <c r="M1037" s="17" t="n"/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/>
      <c r="Y1037" s="13">
        <f>SUMPRODUCT(M1037:X1037,$M$2:$X$2)*$K1037*$L1037</f>
        <v/>
      </c>
      <c r="Z1037" s="14">
        <f>SUM(M1037:X1037)</f>
        <v/>
      </c>
      <c r="AA1037" s="14">
        <f>IFERROR(IF(UPPER($E1037)="L",SUMPRODUCT(M1037:X1037,$M$3:$X$3,$M$2:$X$2),SUMPRODUCT(M1037:X1037,$M$4:$X$4,$M$2:$X$2))/(Y1037/($K1037*$L1037)),"")</f>
        <v/>
      </c>
      <c r="AB1037" s="18" t="n"/>
    </row>
    <row r="1038">
      <c r="A1038" s="9" t="n">
        <v>806470</v>
      </c>
      <c r="B1038" s="9" t="inlineStr">
        <is>
          <t>Caden Bogenpohl</t>
        </is>
      </c>
      <c r="C1038" s="9" t="inlineStr">
        <is>
          <t>PHI</t>
        </is>
      </c>
      <c r="D1038" s="9" t="n">
        <v>25</v>
      </c>
      <c r="E1038" s="16" t="inlineStr">
        <is>
          <t>L</t>
        </is>
      </c>
      <c r="F1038" s="16" t="n"/>
      <c r="G1038" s="9" t="n">
        <v>9.723076923076922</v>
      </c>
      <c r="H1038" s="9" t="n">
        <v>9.723076923076922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7" t="n"/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/>
      <c r="Y1038" s="13">
        <f>SUMPRODUCT(M1038:X1038,$M$2:$X$2)*$K1038*$L1038</f>
        <v/>
      </c>
      <c r="Z1038" s="14">
        <f>SUM(M1038:X1038)</f>
        <v/>
      </c>
      <c r="AA1038" s="14">
        <f>IFERROR(IF(UPPER($E1038)="L",SUMPRODUCT(M1038:X1038,$M$3:$X$3,$M$2:$X$2),SUMPRODUCT(M1038:X1038,$M$4:$X$4,$M$2:$X$2))/(Y1038/($K1038*$L1038)),"")</f>
        <v/>
      </c>
      <c r="AB1038" s="18" t="n"/>
    </row>
    <row r="1039">
      <c r="A1039" s="9" t="n">
        <v>815927</v>
      </c>
      <c r="B1039" s="9" t="inlineStr">
        <is>
          <t>Jose Ramos</t>
        </is>
      </c>
      <c r="C1039" s="9" t="inlineStr">
        <is>
          <t>OAK</t>
        </is>
      </c>
      <c r="D1039" s="9" t="n">
        <v>25</v>
      </c>
      <c r="E1039" s="16" t="inlineStr">
        <is>
          <t>S</t>
        </is>
      </c>
      <c r="F1039" s="16" t="n"/>
      <c r="G1039" s="9" t="n">
        <v>5.415384615384616</v>
      </c>
      <c r="H1039" s="9" t="n">
        <v>5.415384615384616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7" t="n"/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/>
      <c r="Y1039" s="13">
        <f>SUMPRODUCT(M1039:X1039,$M$2:$X$2)*$K1039*$L1039</f>
        <v/>
      </c>
      <c r="Z1039" s="14">
        <f>SUM(M1039:X1039)</f>
        <v/>
      </c>
      <c r="AA1039" s="14">
        <f>IFERROR(IF(UPPER($E1039)="L",SUMPRODUCT(M1039:X1039,$M$3:$X$3,$M$2:$X$2),SUMPRODUCT(M1039:X1039,$M$4:$X$4,$M$2:$X$2))/(Y1039/($K1039*$L1039)),"")</f>
        <v/>
      </c>
      <c r="AB1039" s="18" t="n"/>
    </row>
    <row r="1040">
      <c r="A1040" s="9" t="n">
        <v>828903</v>
      </c>
      <c r="B1040" s="9" t="inlineStr">
        <is>
          <t>Tyson Moran</t>
        </is>
      </c>
      <c r="C1040" s="9" t="inlineStr">
        <is>
          <t>KC</t>
        </is>
      </c>
      <c r="D1040" s="9" t="n">
        <v>25</v>
      </c>
      <c r="E1040" s="16" t="inlineStr">
        <is>
          <t>L</t>
        </is>
      </c>
      <c r="F1040" s="16" t="n"/>
      <c r="G1040" s="9" t="n">
        <v>7.753846153846153</v>
      </c>
      <c r="H1040" s="9" t="n">
        <v>7.753846153846153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7" t="n"/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/>
      <c r="Y1040" s="13">
        <f>SUMPRODUCT(M1040:X1040,$M$2:$X$2)*$K1040*$L1040</f>
        <v/>
      </c>
      <c r="Z1040" s="14">
        <f>SUM(M1040:X1040)</f>
        <v/>
      </c>
      <c r="AA1040" s="14">
        <f>IFERROR(IF(UPPER($E1040)="L",SUMPRODUCT(M1040:X1040,$M$3:$X$3,$M$2:$X$2),SUMPRODUCT(M1040:X1040,$M$4:$X$4,$M$2:$X$2))/(Y1040/($K1040*$L1040)),"")</f>
        <v/>
      </c>
      <c r="AB1040" s="18" t="n"/>
    </row>
    <row r="1041">
      <c r="A1041" s="9" t="n">
        <v>813842</v>
      </c>
      <c r="B1041" s="9" t="inlineStr">
        <is>
          <t>Chase Call</t>
        </is>
      </c>
      <c r="C1041" s="9" t="inlineStr">
        <is>
          <t>HOU</t>
        </is>
      </c>
      <c r="D1041" s="9" t="n">
        <v>25</v>
      </c>
      <c r="E1041" s="16" t="inlineStr">
        <is>
          <t>R</t>
        </is>
      </c>
      <c r="F1041" s="16" t="n"/>
      <c r="G1041" s="9" t="n">
        <v>54.56410256410257</v>
      </c>
      <c r="H1041" s="9" t="n">
        <v>54.56410256410257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7" t="n"/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/>
      <c r="Y1041" s="13">
        <f>SUMPRODUCT(M1041:X1041,$M$2:$X$2)*$K1041*$L1041</f>
        <v/>
      </c>
      <c r="Z1041" s="14">
        <f>SUM(M1041:X1041)</f>
        <v/>
      </c>
      <c r="AA1041" s="14">
        <f>IFERROR(IF(UPPER($E1041)="L",SUMPRODUCT(M1041:X1041,$M$3:$X$3,$M$2:$X$2),SUMPRODUCT(M1041:X1041,$M$4:$X$4,$M$2:$X$2))/(Y1041/($K1041*$L1041)),"")</f>
        <v/>
      </c>
      <c r="AB1041" s="18" t="n"/>
    </row>
    <row r="1042">
      <c r="A1042" s="9" t="n">
        <v>800208</v>
      </c>
      <c r="B1042" s="9" t="inlineStr">
        <is>
          <t>Axiel Plaz</t>
        </is>
      </c>
      <c r="C1042" s="9" t="inlineStr">
        <is>
          <t>PIT</t>
        </is>
      </c>
      <c r="D1042" s="9" t="n">
        <v>25</v>
      </c>
      <c r="E1042" s="16" t="inlineStr">
        <is>
          <t>R</t>
        </is>
      </c>
      <c r="F1042" s="16" t="n"/>
      <c r="G1042" s="9" t="n">
        <v>81.23076923076924</v>
      </c>
      <c r="H1042" s="9" t="n">
        <v>81.23076923076924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7" t="n"/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/>
      <c r="Y1042" s="13">
        <f>SUMPRODUCT(M1042:X1042,$M$2:$X$2)*$K1042*$L1042</f>
        <v/>
      </c>
      <c r="Z1042" s="14">
        <f>SUM(M1042:X1042)</f>
        <v/>
      </c>
      <c r="AA1042" s="14">
        <f>IFERROR(IF(UPPER($E1042)="L",SUMPRODUCT(M1042:X1042,$M$3:$X$3,$M$2:$X$2),SUMPRODUCT(M1042:X1042,$M$4:$X$4,$M$2:$X$2))/(Y1042/($K1042*$L1042)),"")</f>
        <v/>
      </c>
      <c r="AB1042" s="18" t="n"/>
    </row>
    <row r="1043">
      <c r="A1043" s="9" t="n">
        <v>814097</v>
      </c>
      <c r="B1043" s="9" t="inlineStr">
        <is>
          <t>Ben Cleary</t>
        </is>
      </c>
      <c r="C1043" s="9" t="inlineStr">
        <is>
          <t>CLE</t>
        </is>
      </c>
      <c r="D1043" s="9" t="n">
        <v>25</v>
      </c>
      <c r="E1043" s="16" t="inlineStr">
        <is>
          <t>R</t>
        </is>
      </c>
      <c r="F1043" s="16" t="n"/>
      <c r="G1043" s="9" t="n">
        <v>5.538461538461538</v>
      </c>
      <c r="H1043" s="9" t="n">
        <v>5.538461538461538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7" t="n"/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/>
      <c r="Y1043" s="13">
        <f>SUMPRODUCT(M1043:X1043,$M$2:$X$2)*$K1043*$L1043</f>
        <v/>
      </c>
      <c r="Z1043" s="14">
        <f>SUM(M1043:X1043)</f>
        <v/>
      </c>
      <c r="AA1043" s="14">
        <f>IFERROR(IF(UPPER($E1043)="L",SUMPRODUCT(M1043:X1043,$M$3:$X$3,$M$2:$X$2),SUMPRODUCT(M1043:X1043,$M$4:$X$4,$M$2:$X$2))/(Y1043/($K1043*$L1043)),"")</f>
        <v/>
      </c>
      <c r="AB1043" s="18" t="n"/>
    </row>
    <row r="1044">
      <c r="A1044" s="9" t="n">
        <v>801290</v>
      </c>
      <c r="B1044" s="9" t="inlineStr">
        <is>
          <t>Max Viera</t>
        </is>
      </c>
      <c r="C1044" s="9" t="inlineStr">
        <is>
          <t>TOR</t>
        </is>
      </c>
      <c r="D1044" s="9" t="n">
        <v>25</v>
      </c>
      <c r="E1044" s="16" t="inlineStr">
        <is>
          <t>R</t>
        </is>
      </c>
      <c r="F1044" s="16" t="n"/>
      <c r="G1044" s="9" t="n">
        <v>13.74358974358974</v>
      </c>
      <c r="H1044" s="9" t="n">
        <v>13.74358974358974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7" t="n"/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/>
      <c r="Y1044" s="13">
        <f>SUMPRODUCT(M1044:X1044,$M$2:$X$2)*$K1044*$L1044</f>
        <v/>
      </c>
      <c r="Z1044" s="14">
        <f>SUM(M1044:X1044)</f>
        <v/>
      </c>
      <c r="AA1044" s="14">
        <f>IFERROR(IF(UPPER($E1044)="L",SUMPRODUCT(M1044:X1044,$M$3:$X$3,$M$2:$X$2),SUMPRODUCT(M1044:X1044,$M$4:$X$4,$M$2:$X$2))/(Y1044/($K1044*$L1044)),"")</f>
        <v/>
      </c>
      <c r="AB1044" s="18" t="n"/>
    </row>
    <row r="1045">
      <c r="A1045" s="9" t="n">
        <v>702582</v>
      </c>
      <c r="B1045" s="9" t="inlineStr">
        <is>
          <t>Dallas Macias</t>
        </is>
      </c>
      <c r="C1045" s="9" t="inlineStr">
        <is>
          <t>ATL</t>
        </is>
      </c>
      <c r="D1045" s="9" t="n">
        <v>25</v>
      </c>
      <c r="E1045" s="16" t="inlineStr">
        <is>
          <t>S</t>
        </is>
      </c>
      <c r="F1045" s="16" t="n"/>
      <c r="G1045" s="9" t="n">
        <v>22.56410256410257</v>
      </c>
      <c r="H1045" s="9" t="n">
        <v>22.56410256410257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7" t="n"/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/>
      <c r="Y1045" s="13">
        <f>SUMPRODUCT(M1045:X1045,$M$2:$X$2)*$K1045*$L1045</f>
        <v/>
      </c>
      <c r="Z1045" s="14">
        <f>SUM(M1045:X1045)</f>
        <v/>
      </c>
      <c r="AA1045" s="14">
        <f>IFERROR(IF(UPPER($E1045)="L",SUMPRODUCT(M1045:X1045,$M$3:$X$3,$M$2:$X$2),SUMPRODUCT(M1045:X1045,$M$4:$X$4,$M$2:$X$2))/(Y1045/($K1045*$L1045)),"")</f>
        <v/>
      </c>
      <c r="AB1045" s="18" t="n"/>
    </row>
    <row r="1046">
      <c r="A1046" s="9" t="n">
        <v>656514</v>
      </c>
      <c r="B1046" s="9" t="inlineStr">
        <is>
          <t>Adam Haseley</t>
        </is>
      </c>
      <c r="C1046" s="9" t="inlineStr">
        <is>
          <t>CWS</t>
        </is>
      </c>
      <c r="D1046" s="9" t="n">
        <v>31</v>
      </c>
      <c r="E1046" s="16" t="inlineStr">
        <is>
          <t>L</t>
        </is>
      </c>
      <c r="F1046" s="16" t="n"/>
      <c r="G1046" s="9" t="n">
        <v>39</v>
      </c>
      <c r="H1046" s="9" t="n">
        <v>64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7" t="n"/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/>
      <c r="Y1046" s="13">
        <f>SUMPRODUCT(M1046:X1046,$M$2:$X$2)*$K1046*$L1046</f>
        <v/>
      </c>
      <c r="Z1046" s="14">
        <f>SUM(M1046:X1046)</f>
        <v/>
      </c>
      <c r="AA1046" s="14">
        <f>IFERROR(IF(UPPER($E1046)="L",SUMPRODUCT(M1046:X1046,$M$3:$X$3,$M$2:$X$2),SUMPRODUCT(M1046:X1046,$M$4:$X$4,$M$2:$X$2))/(Y1046/($K1046*$L1046)),"")</f>
        <v/>
      </c>
      <c r="AB1046" s="18" t="n"/>
    </row>
    <row r="1047">
      <c r="A1047" s="9" t="n">
        <v>835716</v>
      </c>
      <c r="B1047" s="9" t="inlineStr">
        <is>
          <t>Jack Barker</t>
        </is>
      </c>
      <c r="C1047" s="9" t="inlineStr">
        <is>
          <t>PHI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5.538461538461538</v>
      </c>
      <c r="H1047" s="9" t="n">
        <v>5.538461538461538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7" t="n"/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/>
      <c r="Y1047" s="13">
        <f>SUMPRODUCT(M1047:X1047,$M$2:$X$2)*$K1047*$L1047</f>
        <v/>
      </c>
      <c r="Z1047" s="14">
        <f>SUM(M1047:X1047)</f>
        <v/>
      </c>
      <c r="AA1047" s="14">
        <f>IFERROR(IF(UPPER($E1047)="L",SUMPRODUCT(M1047:X1047,$M$3:$X$3,$M$2:$X$2),SUMPRODUCT(M1047:X1047,$M$4:$X$4,$M$2:$X$2))/(Y1047/($K1047*$L1047)),"")</f>
        <v/>
      </c>
      <c r="AB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7" t="n"/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/>
      <c r="Y1048" s="13">
        <f>SUMPRODUCT(M1048:X1048,$M$2:$X$2)*$K1048*$L1048</f>
        <v/>
      </c>
      <c r="Z1048" s="14">
        <f>SUM(M1048:X1048)</f>
        <v/>
      </c>
      <c r="AA1048" s="14">
        <f>IFERROR(IF(UPPER($E1048)="L",SUMPRODUCT(M1048:X1048,$M$3:$X$3,$M$2:$X$2),SUMPRODUCT(M1048:X1048,$M$4:$X$4,$M$2:$X$2))/(Y1048/($K1048*$L1048)),"")</f>
        <v/>
      </c>
      <c r="AB1048" s="18" t="n"/>
    </row>
    <row r="1049">
      <c r="A1049" s="9" t="n">
        <v>832104</v>
      </c>
      <c r="B1049" s="9" t="inlineStr">
        <is>
          <t>Kooper Schulte</t>
        </is>
      </c>
      <c r="C1049" s="9" t="inlineStr">
        <is>
          <t>NYM</t>
        </is>
      </c>
      <c r="D1049" s="9" t="n">
        <v>25</v>
      </c>
      <c r="E1049" s="16" t="inlineStr">
        <is>
          <t>R</t>
        </is>
      </c>
      <c r="F1049" s="16" t="n"/>
      <c r="G1049" s="9" t="n">
        <v>5.538461538461538</v>
      </c>
      <c r="H1049" s="9" t="n">
        <v>5.538461538461538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7" t="n"/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/>
      <c r="Y1049" s="13">
        <f>SUMPRODUCT(M1049:X1049,$M$2:$X$2)*$K1049*$L1049</f>
        <v/>
      </c>
      <c r="Z1049" s="14">
        <f>SUM(M1049:X1049)</f>
        <v/>
      </c>
      <c r="AA1049" s="14">
        <f>IFERROR(IF(UPPER($E1049)="L",SUMPRODUCT(M1049:X1049,$M$3:$X$3,$M$2:$X$2),SUMPRODUCT(M1049:X1049,$M$4:$X$4,$M$2:$X$2))/(Y1049/($K1049*$L1049)),"")</f>
        <v/>
      </c>
      <c r="AB1049" s="18" t="n"/>
    </row>
    <row r="1050">
      <c r="A1050" s="9" t="n">
        <v>807740</v>
      </c>
      <c r="B1050" s="9" t="inlineStr">
        <is>
          <t>Luke Shliger</t>
        </is>
      </c>
      <c r="C1050" s="9" t="inlineStr">
        <is>
          <t>DET</t>
        </is>
      </c>
      <c r="D1050" s="9" t="n">
        <v>25</v>
      </c>
      <c r="E1050" s="16" t="inlineStr">
        <is>
          <t>L</t>
        </is>
      </c>
      <c r="F1050" s="16" t="n"/>
      <c r="G1050" s="9" t="n">
        <v>5.641025641025642</v>
      </c>
      <c r="H1050" s="9" t="n">
        <v>5.641025641025642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7" t="n"/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/>
      <c r="Y1050" s="13">
        <f>SUMPRODUCT(M1050:X1050,$M$2:$X$2)*$K1050*$L1050</f>
        <v/>
      </c>
      <c r="Z1050" s="14">
        <f>SUM(M1050:X1050)</f>
        <v/>
      </c>
      <c r="AA1050" s="14">
        <f>IFERROR(IF(UPPER($E1050)="L",SUMPRODUCT(M1050:X1050,$M$3:$X$3,$M$2:$X$2),SUMPRODUCT(M1050:X1050,$M$4:$X$4,$M$2:$X$2))/(Y1050/($K1050*$L1050)),"")</f>
        <v/>
      </c>
      <c r="AB1050" s="18" t="n"/>
    </row>
    <row r="1051">
      <c r="A1051" s="9" t="n">
        <v>694294</v>
      </c>
      <c r="B1051" s="9" t="inlineStr">
        <is>
          <t>Colton Vincent</t>
        </is>
      </c>
      <c r="C1051" s="9" t="inlineStr">
        <is>
          <t>SD</t>
        </is>
      </c>
      <c r="D1051" s="9" t="n">
        <v>25</v>
      </c>
      <c r="E1051" s="16" t="inlineStr">
        <is>
          <t>R</t>
        </is>
      </c>
      <c r="F1051" s="16" t="n"/>
      <c r="G1051" s="9" t="n">
        <v>5.641025641025642</v>
      </c>
      <c r="H1051" s="9" t="n">
        <v>5.641025641025642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7" t="n"/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/>
      <c r="Y1051" s="13">
        <f>SUMPRODUCT(M1051:X1051,$M$2:$X$2)*$K1051*$L1051</f>
        <v/>
      </c>
      <c r="Z1051" s="14">
        <f>SUM(M1051:X1051)</f>
        <v/>
      </c>
      <c r="AA1051" s="14">
        <f>IFERROR(IF(UPPER($E1051)="L",SUMPRODUCT(M1051:X1051,$M$3:$X$3,$M$2:$X$2),SUMPRODUCT(M1051:X1051,$M$4:$X$4,$M$2:$X$2))/(Y1051/($K1051*$L1051)),"")</f>
        <v/>
      </c>
      <c r="AB1051" s="18" t="n"/>
    </row>
    <row r="1052">
      <c r="A1052" s="9" t="n">
        <v>835938</v>
      </c>
      <c r="B1052" s="9" t="inlineStr">
        <is>
          <t>Hayden Friese</t>
        </is>
      </c>
      <c r="C1052" s="9" t="inlineStr">
        <is>
          <t>ATL</t>
        </is>
      </c>
      <c r="D1052" s="9" t="n">
        <v>25</v>
      </c>
      <c r="E1052" s="16" t="inlineStr">
        <is>
          <t>L</t>
        </is>
      </c>
      <c r="F1052" s="16" t="n"/>
      <c r="G1052" s="9" t="n">
        <v>5.538461538461539</v>
      </c>
      <c r="H1052" s="9" t="n">
        <v>5.538461538461539</v>
      </c>
      <c r="I1052" s="9" t="inlineStr">
        <is>
          <t>Depth (no MLB PA)</t>
        </is>
      </c>
      <c r="J1052" s="16" t="inlineStr">
        <is>
          <t>Opening Day</t>
        </is>
      </c>
      <c r="K1052" s="11">
        <f>IFERROR(INDEX(Roles!$B$17:$B$20,MATCH(J1052,Roles!$A$17:$A$20,0)),1)</f>
        <v/>
      </c>
      <c r="L1052" s="17" t="n">
        <v>1</v>
      </c>
      <c r="M1052" s="17" t="n"/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/>
      <c r="Y1052" s="13">
        <f>SUMPRODUCT(M1052:X1052,$M$2:$X$2)*$K1052*$L1052</f>
        <v/>
      </c>
      <c r="Z1052" s="14">
        <f>SUM(M1052:X1052)</f>
        <v/>
      </c>
      <c r="AA1052" s="14">
        <f>IFERROR(IF(UPPER($E1052)="L",SUMPRODUCT(M1052:X1052,$M$3:$X$3,$M$2:$X$2),SUMPRODUCT(M1052:X1052,$M$4:$X$4,$M$2:$X$2))/(Y1052/($K1052*$L1052)),"")</f>
        <v/>
      </c>
      <c r="AB1052" s="18" t="n"/>
    </row>
    <row r="1053">
      <c r="A1053" s="9" t="n">
        <v>801130</v>
      </c>
      <c r="B1053" s="9" t="inlineStr">
        <is>
          <t>Alex Birge</t>
        </is>
      </c>
      <c r="C1053" s="9" t="inlineStr">
        <is>
          <t>STL</t>
        </is>
      </c>
      <c r="D1053" s="9" t="n">
        <v>25</v>
      </c>
      <c r="E1053" s="16" t="inlineStr">
        <is>
          <t>L</t>
        </is>
      </c>
      <c r="F1053" s="16" t="n"/>
      <c r="G1053" s="9" t="n">
        <v>5.538461538461539</v>
      </c>
      <c r="H1053" s="9" t="n">
        <v>5.538461538461539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7" t="n"/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/>
      <c r="Y1053" s="13">
        <f>SUMPRODUCT(M1053:X1053,$M$2:$X$2)*$K1053*$L1053</f>
        <v/>
      </c>
      <c r="Z1053" s="14">
        <f>SUM(M1053:X1053)</f>
        <v/>
      </c>
      <c r="AA1053" s="14">
        <f>IFERROR(IF(UPPER($E1053)="L",SUMPRODUCT(M1053:X1053,$M$3:$X$3,$M$2:$X$2),SUMPRODUCT(M1053:X1053,$M$4:$X$4,$M$2:$X$2))/(Y1053/($K1053*$L1053)),"")</f>
        <v/>
      </c>
      <c r="AB1053" s="18" t="n"/>
    </row>
    <row r="1054">
      <c r="A1054" s="9" t="n">
        <v>830984</v>
      </c>
      <c r="B1054" s="9" t="inlineStr">
        <is>
          <t>Brennan Hudson</t>
        </is>
      </c>
      <c r="C1054" s="9" t="inlineStr">
        <is>
          <t>CHC</t>
        </is>
      </c>
      <c r="D1054" s="9" t="n">
        <v>25</v>
      </c>
      <c r="E1054" s="16" t="inlineStr">
        <is>
          <t>L</t>
        </is>
      </c>
      <c r="F1054" s="16" t="n"/>
      <c r="G1054" s="9" t="n">
        <v>13.74358974358974</v>
      </c>
      <c r="H1054" s="9" t="n">
        <v>13.74358974358974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7" t="n"/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/>
      <c r="Y1054" s="13">
        <f>SUMPRODUCT(M1054:X1054,$M$2:$X$2)*$K1054*$L1054</f>
        <v/>
      </c>
      <c r="Z1054" s="14">
        <f>SUM(M1054:X1054)</f>
        <v/>
      </c>
      <c r="AA1054" s="14">
        <f>IFERROR(IF(UPPER($E1054)="L",SUMPRODUCT(M1054:X1054,$M$3:$X$3,$M$2:$X$2),SUMPRODUCT(M1054:X1054,$M$4:$X$4,$M$2:$X$2))/(Y1054/($K1054*$L1054)),"")</f>
        <v/>
      </c>
      <c r="AB1054" s="18" t="n"/>
    </row>
    <row r="1055">
      <c r="A1055" s="9" t="n">
        <v>687248</v>
      </c>
      <c r="B1055" s="9" t="inlineStr">
        <is>
          <t>Keshawn Ogans</t>
        </is>
      </c>
      <c r="C1055" s="9" t="inlineStr">
        <is>
          <t>ATL</t>
        </is>
      </c>
      <c r="D1055" s="9" t="n">
        <v>25</v>
      </c>
      <c r="E1055" s="16" t="inlineStr">
        <is>
          <t>R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7" t="n"/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/>
      <c r="Y1055" s="13">
        <f>SUMPRODUCT(M1055:X1055,$M$2:$X$2)*$K1055*$L1055</f>
        <v/>
      </c>
      <c r="Z1055" s="14">
        <f>SUM(M1055:X1055)</f>
        <v/>
      </c>
      <c r="AA1055" s="14">
        <f>IFERROR(IF(UPPER($E1055)="L",SUMPRODUCT(M1055:X1055,$M$3:$X$3,$M$2:$X$2),SUMPRODUCT(M1055:X1055,$M$4:$X$4,$M$2:$X$2))/(Y1055/($K1055*$L1055)),"")</f>
        <v/>
      </c>
      <c r="AB1055" s="18" t="n"/>
    </row>
    <row r="1056">
      <c r="A1056" s="9" t="n">
        <v>678099</v>
      </c>
      <c r="B1056" s="9" t="inlineStr">
        <is>
          <t>Gavin Logan</t>
        </is>
      </c>
      <c r="C1056" s="9" t="inlineStr">
        <is>
          <t>ARI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7" t="n"/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/>
      <c r="Y1056" s="13">
        <f>SUMPRODUCT(M1056:X1056,$M$2:$X$2)*$K1056*$L1056</f>
        <v/>
      </c>
      <c r="Z1056" s="14">
        <f>SUM(M1056:X1056)</f>
        <v/>
      </c>
      <c r="AA1056" s="14">
        <f>IFERROR(IF(UPPER($E1056)="L",SUMPRODUCT(M1056:X1056,$M$3:$X$3,$M$2:$X$2),SUMPRODUCT(M1056:X1056,$M$4:$X$4,$M$2:$X$2))/(Y1056/($K1056*$L1056)),"")</f>
        <v/>
      </c>
      <c r="AB1056" s="18" t="n"/>
    </row>
    <row r="1057">
      <c r="A1057" s="9" t="n">
        <v>680713</v>
      </c>
      <c r="B1057" s="9" t="inlineStr">
        <is>
          <t>P.J. Hilson</t>
        </is>
      </c>
      <c r="C1057" s="9" t="inlineStr">
        <is>
          <t>PIT</t>
        </is>
      </c>
      <c r="D1057" s="9" t="n">
        <v>25</v>
      </c>
      <c r="E1057" s="16" t="inlineStr">
        <is>
          <t>R</t>
        </is>
      </c>
      <c r="F1057" s="16" t="n"/>
      <c r="G1057" s="9" t="n">
        <v>20.87179487179487</v>
      </c>
      <c r="H1057" s="9" t="n">
        <v>20.87179487179487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7" t="n"/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/>
      <c r="Y1057" s="13">
        <f>SUMPRODUCT(M1057:X1057,$M$2:$X$2)*$K1057*$L1057</f>
        <v/>
      </c>
      <c r="Z1057" s="14">
        <f>SUM(M1057:X1057)</f>
        <v/>
      </c>
      <c r="AA1057" s="14">
        <f>IFERROR(IF(UPPER($E1057)="L",SUMPRODUCT(M1057:X1057,$M$3:$X$3,$M$2:$X$2),SUMPRODUCT(M1057:X1057,$M$4:$X$4,$M$2:$X$2))/(Y1057/($K1057*$L1057)),"")</f>
        <v/>
      </c>
      <c r="AB1057" s="18" t="n"/>
    </row>
    <row r="1058">
      <c r="A1058" s="9" t="n">
        <v>824558</v>
      </c>
      <c r="B1058" s="9" t="inlineStr">
        <is>
          <t>Alex Conover</t>
        </is>
      </c>
      <c r="C1058" s="9" t="inlineStr">
        <is>
          <t>SD</t>
        </is>
      </c>
      <c r="D1058" s="9" t="n">
        <v>25</v>
      </c>
      <c r="E1058" s="16" t="inlineStr">
        <is>
          <t>L</t>
        </is>
      </c>
      <c r="F1058" s="16" t="n"/>
      <c r="G1058" s="9" t="n">
        <v>10.09230769230769</v>
      </c>
      <c r="H1058" s="9" t="n">
        <v>10.09230769230769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7" t="n"/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/>
      <c r="Y1058" s="13">
        <f>SUMPRODUCT(M1058:X1058,$M$2:$X$2)*$K1058*$L1058</f>
        <v/>
      </c>
      <c r="Z1058" s="14">
        <f>SUM(M1058:X1058)</f>
        <v/>
      </c>
      <c r="AA1058" s="14">
        <f>IFERROR(IF(UPPER($E1058)="L",SUMPRODUCT(M1058:X1058,$M$3:$X$3,$M$2:$X$2),SUMPRODUCT(M1058:X1058,$M$4:$X$4,$M$2:$X$2))/(Y1058/($K1058*$L1058)),"")</f>
        <v/>
      </c>
      <c r="AB1058" s="18" t="n"/>
    </row>
    <row r="1059">
      <c r="A1059" s="9" t="n">
        <v>805744</v>
      </c>
      <c r="B1059" s="9" t="inlineStr">
        <is>
          <t>Athanael Duarte</t>
        </is>
      </c>
      <c r="C1059" s="9" t="inlineStr">
        <is>
          <t>LAA</t>
        </is>
      </c>
      <c r="D1059" s="9" t="n">
        <v>25</v>
      </c>
      <c r="E1059" s="16" t="inlineStr">
        <is>
          <t>R</t>
        </is>
      </c>
      <c r="F1059" s="16" t="n"/>
      <c r="G1059" s="9" t="n">
        <v>7.753846153846153</v>
      </c>
      <c r="H1059" s="9" t="n">
        <v>7.753846153846153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7" t="n"/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/>
      <c r="Y1059" s="13">
        <f>SUMPRODUCT(M1059:X1059,$M$2:$X$2)*$K1059*$L1059</f>
        <v/>
      </c>
      <c r="Z1059" s="14">
        <f>SUM(M1059:X1059)</f>
        <v/>
      </c>
      <c r="AA1059" s="14">
        <f>IFERROR(IF(UPPER($E1059)="L",SUMPRODUCT(M1059:X1059,$M$3:$X$3,$M$2:$X$2),SUMPRODUCT(M1059:X1059,$M$4:$X$4,$M$2:$X$2))/(Y1059/($K1059*$L1059)),"")</f>
        <v/>
      </c>
      <c r="AB1059" s="18" t="n"/>
    </row>
    <row r="1060">
      <c r="A1060" s="9" t="n">
        <v>702895</v>
      </c>
      <c r="B1060" s="9" t="inlineStr">
        <is>
          <t>Geuri Lubo</t>
        </is>
      </c>
      <c r="C1060" s="9" t="inlineStr">
        <is>
          <t>CHC</t>
        </is>
      </c>
      <c r="D1060" s="9" t="n">
        <v>25</v>
      </c>
      <c r="E1060" s="16" t="inlineStr">
        <is>
          <t>R</t>
        </is>
      </c>
      <c r="F1060" s="16" t="n"/>
      <c r="G1060" s="9" t="n">
        <v>13.74358974358974</v>
      </c>
      <c r="H1060" s="9" t="n">
        <v>13.74358974358974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7" t="n"/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/>
      <c r="Y1060" s="13">
        <f>SUMPRODUCT(M1060:X1060,$M$2:$X$2)*$K1060*$L1060</f>
        <v/>
      </c>
      <c r="Z1060" s="14">
        <f>SUM(M1060:X1060)</f>
        <v/>
      </c>
      <c r="AA1060" s="14">
        <f>IFERROR(IF(UPPER($E1060)="L",SUMPRODUCT(M1060:X1060,$M$3:$X$3,$M$2:$X$2),SUMPRODUCT(M1060:X1060,$M$4:$X$4,$M$2:$X$2))/(Y1060/($K1060*$L1060)),"")</f>
        <v/>
      </c>
      <c r="AB1060" s="18" t="n"/>
    </row>
    <row r="1061">
      <c r="A1061" s="9" t="n">
        <v>806680</v>
      </c>
      <c r="B1061" s="9" t="inlineStr">
        <is>
          <t>Chris Hacopian</t>
        </is>
      </c>
      <c r="C1061" s="9" t="inlineStr">
        <is>
          <t>WSH</t>
        </is>
      </c>
      <c r="D1061" s="9" t="n">
        <v>25</v>
      </c>
      <c r="E1061" s="16" t="inlineStr">
        <is>
          <t>R</t>
        </is>
      </c>
      <c r="F1061" s="16" t="n"/>
      <c r="G1061" s="9" t="n">
        <v>9.846153846153848</v>
      </c>
      <c r="H1061" s="9" t="n">
        <v>9.846153846153848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7" t="n"/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/>
      <c r="Y1061" s="13">
        <f>SUMPRODUCT(M1061:X1061,$M$2:$X$2)*$K1061*$L1061</f>
        <v/>
      </c>
      <c r="Z1061" s="14">
        <f>SUM(M1061:X1061)</f>
        <v/>
      </c>
      <c r="AA1061" s="14">
        <f>IFERROR(IF(UPPER($E1061)="L",SUMPRODUCT(M1061:X1061,$M$3:$X$3,$M$2:$X$2),SUMPRODUCT(M1061:X1061,$M$4:$X$4,$M$2:$X$2))/(Y1061/($K1061*$L1061)),"")</f>
        <v/>
      </c>
      <c r="AB1061" s="18" t="n"/>
    </row>
    <row r="1062">
      <c r="A1062" s="9" t="n">
        <v>700668</v>
      </c>
      <c r="B1062" s="9" t="inlineStr">
        <is>
          <t>Cam Hassert</t>
        </is>
      </c>
      <c r="C1062" s="9" t="inlineStr">
        <is>
          <t>COL</t>
        </is>
      </c>
      <c r="D1062" s="9" t="n">
        <v>25</v>
      </c>
      <c r="E1062" s="16" t="inlineStr">
        <is>
          <t>L</t>
        </is>
      </c>
      <c r="F1062" s="16" t="n"/>
      <c r="G1062" s="9" t="n">
        <v>7.753846153846153</v>
      </c>
      <c r="H1062" s="9" t="n">
        <v>7.753846153846153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7" t="n"/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/>
      <c r="Y1062" s="13">
        <f>SUMPRODUCT(M1062:X1062,$M$2:$X$2)*$K1062*$L1062</f>
        <v/>
      </c>
      <c r="Z1062" s="14">
        <f>SUM(M1062:X1062)</f>
        <v/>
      </c>
      <c r="AA1062" s="14">
        <f>IFERROR(IF(UPPER($E1062)="L",SUMPRODUCT(M1062:X1062,$M$3:$X$3,$M$2:$X$2),SUMPRODUCT(M1062:X1062,$M$4:$X$4,$M$2:$X$2))/(Y1062/($K1062*$L1062)),"")</f>
        <v/>
      </c>
      <c r="AB1062" s="18" t="n"/>
    </row>
    <row r="1063">
      <c r="A1063" s="9" t="n">
        <v>668663</v>
      </c>
      <c r="B1063" s="9" t="inlineStr">
        <is>
          <t>Tres Barrera</t>
        </is>
      </c>
      <c r="C1063" s="9" t="inlineStr">
        <is>
          <t>WSH</t>
        </is>
      </c>
      <c r="D1063" s="9" t="n">
        <v>32</v>
      </c>
      <c r="E1063" s="16" t="inlineStr">
        <is>
          <t>R</t>
        </is>
      </c>
      <c r="F1063" s="16" t="n"/>
      <c r="G1063" s="9" t="n">
        <v>2</v>
      </c>
      <c r="H1063" s="9" t="n">
        <v>55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7" t="n"/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/>
      <c r="Y1063" s="13">
        <f>SUMPRODUCT(M1063:X1063,$M$2:$X$2)*$K1063*$L1063</f>
        <v/>
      </c>
      <c r="Z1063" s="14">
        <f>SUM(M1063:X1063)</f>
        <v/>
      </c>
      <c r="AA1063" s="14">
        <f>IFERROR(IF(UPPER($E1063)="L",SUMPRODUCT(M1063:X1063,$M$3:$X$3,$M$2:$X$2),SUMPRODUCT(M1063:X1063,$M$4:$X$4,$M$2:$X$2))/(Y1063/($K1063*$L1063)),"")</f>
        <v/>
      </c>
      <c r="AB1063" s="18" t="n"/>
    </row>
    <row r="1064">
      <c r="A1064" s="9" t="n">
        <v>691021</v>
      </c>
      <c r="B1064" s="9" t="inlineStr">
        <is>
          <t>A.J. Vukovich</t>
        </is>
      </c>
      <c r="C1064" s="9" t="inlineStr">
        <is>
          <t>ARI</t>
        </is>
      </c>
      <c r="D1064" s="9" t="n">
        <v>25</v>
      </c>
      <c r="E1064" s="16" t="inlineStr">
        <is>
          <t>R</t>
        </is>
      </c>
      <c r="F1064" s="16" t="n"/>
      <c r="G1064" s="9" t="n">
        <v>143.2820512820513</v>
      </c>
      <c r="H1064" s="9" t="n">
        <v>143.2820512820513</v>
      </c>
      <c r="I1064" s="9" t="inlineStr">
        <is>
          <t>Depth (no MLB PA)</t>
        </is>
      </c>
      <c r="J1064" s="16" t="inlineStr">
        <is>
          <t>Opening Day</t>
        </is>
      </c>
      <c r="K1064" s="11">
        <f>IFERROR(INDEX(Roles!$B$17:$B$20,MATCH(J1064,Roles!$A$17:$A$20,0)),1)</f>
        <v/>
      </c>
      <c r="L1064" s="17" t="n">
        <v>1</v>
      </c>
      <c r="M1064" s="17" t="n"/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/>
      <c r="Y1064" s="13">
        <f>SUMPRODUCT(M1064:X1064,$M$2:$X$2)*$K1064*$L1064</f>
        <v/>
      </c>
      <c r="Z1064" s="14">
        <f>SUM(M1064:X1064)</f>
        <v/>
      </c>
      <c r="AA1064" s="14">
        <f>IFERROR(IF(UPPER($E1064)="L",SUMPRODUCT(M1064:X1064,$M$3:$X$3,$M$2:$X$2),SUMPRODUCT(M1064:X1064,$M$4:$X$4,$M$2:$X$2))/(Y1064/($K1064*$L1064)),"")</f>
        <v/>
      </c>
      <c r="AB1064" s="18" t="n"/>
    </row>
    <row r="1065">
      <c r="A1065" s="9" t="n">
        <v>825479</v>
      </c>
      <c r="B1065" s="9" t="inlineStr">
        <is>
          <t>Luis De Leon</t>
        </is>
      </c>
      <c r="C1065" s="9" t="inlineStr">
        <is>
          <t>HOU</t>
        </is>
      </c>
      <c r="D1065" s="9" t="n">
        <v>25</v>
      </c>
      <c r="E1065" s="16" t="inlineStr">
        <is>
          <t>R</t>
        </is>
      </c>
      <c r="F1065" s="16" t="n"/>
      <c r="G1065" s="9" t="n">
        <v>5.784615384615384</v>
      </c>
      <c r="H1065" s="9" t="n">
        <v>5.784615384615384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7" t="n"/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/>
      <c r="Y1065" s="13">
        <f>SUMPRODUCT(M1065:X1065,$M$2:$X$2)*$K1065*$L1065</f>
        <v/>
      </c>
      <c r="Z1065" s="14">
        <f>SUM(M1065:X1065)</f>
        <v/>
      </c>
      <c r="AA1065" s="14">
        <f>IFERROR(IF(UPPER($E1065)="L",SUMPRODUCT(M1065:X1065,$M$3:$X$3,$M$2:$X$2),SUMPRODUCT(M1065:X1065,$M$4:$X$4,$M$2:$X$2))/(Y1065/($K1065*$L1065)),"")</f>
        <v/>
      </c>
      <c r="AB1065" s="18" t="n"/>
    </row>
    <row r="1066">
      <c r="A1066" s="9" t="n">
        <v>805365</v>
      </c>
      <c r="B1066" s="9" t="inlineStr">
        <is>
          <t>Isaiah Jackson</t>
        </is>
      </c>
      <c r="C1066" s="9" t="inlineStr">
        <is>
          <t>BOS</t>
        </is>
      </c>
      <c r="D1066" s="9" t="n">
        <v>25</v>
      </c>
      <c r="E1066" s="16" t="inlineStr">
        <is>
          <t>L</t>
        </is>
      </c>
      <c r="F1066" s="16" t="n"/>
      <c r="G1066" s="9" t="n">
        <v>5.743589743589744</v>
      </c>
      <c r="H1066" s="9" t="n">
        <v>5.743589743589744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7" t="n"/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/>
      <c r="Y1066" s="13">
        <f>SUMPRODUCT(M1066:X1066,$M$2:$X$2)*$K1066*$L1066</f>
        <v/>
      </c>
      <c r="Z1066" s="14">
        <f>SUM(M1066:X1066)</f>
        <v/>
      </c>
      <c r="AA1066" s="14">
        <f>IFERROR(IF(UPPER($E1066)="L",SUMPRODUCT(M1066:X1066,$M$3:$X$3,$M$2:$X$2),SUMPRODUCT(M1066:X1066,$M$4:$X$4,$M$2:$X$2))/(Y1066/($K1066*$L1066)),"")</f>
        <v/>
      </c>
      <c r="AB1066" s="18" t="n"/>
    </row>
    <row r="1067">
      <c r="A1067" s="9" t="n">
        <v>691621</v>
      </c>
      <c r="B1067" s="9" t="inlineStr">
        <is>
          <t>Jheremy Vargas</t>
        </is>
      </c>
      <c r="C1067" s="9" t="inlineStr">
        <is>
          <t>MIL</t>
        </is>
      </c>
      <c r="D1067" s="9" t="n">
        <v>25</v>
      </c>
      <c r="E1067" s="16" t="inlineStr">
        <is>
          <t>R</t>
        </is>
      </c>
      <c r="F1067" s="16" t="n"/>
      <c r="G1067" s="9" t="n">
        <v>5.641025641025642</v>
      </c>
      <c r="H1067" s="9" t="n">
        <v>5.641025641025642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7" t="n"/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/>
      <c r="Y1067" s="13">
        <f>SUMPRODUCT(M1067:X1067,$M$2:$X$2)*$K1067*$L1067</f>
        <v/>
      </c>
      <c r="Z1067" s="14">
        <f>SUM(M1067:X1067)</f>
        <v/>
      </c>
      <c r="AA1067" s="14">
        <f>IFERROR(IF(UPPER($E1067)="L",SUMPRODUCT(M1067:X1067,$M$3:$X$3,$M$2:$X$2),SUMPRODUCT(M1067:X1067,$M$4:$X$4,$M$2:$X$2))/(Y1067/($K1067*$L1067)),"")</f>
        <v/>
      </c>
      <c r="AB1067" s="18" t="n"/>
    </row>
    <row r="1068">
      <c r="A1068" s="9" t="n">
        <v>806027</v>
      </c>
      <c r="B1068" s="9" t="inlineStr">
        <is>
          <t>Eric Becker</t>
        </is>
      </c>
      <c r="C1068" s="9" t="inlineStr">
        <is>
          <t>CIN</t>
        </is>
      </c>
      <c r="D1068" s="9" t="n">
        <v>25</v>
      </c>
      <c r="E1068" s="16" t="inlineStr">
        <is>
          <t>L</t>
        </is>
      </c>
      <c r="F1068" s="16" t="n"/>
      <c r="G1068" s="9" t="n">
        <v>18.25641025641026</v>
      </c>
      <c r="H1068" s="9" t="n">
        <v>18.25641025641026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7" t="n"/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/>
      <c r="Y1068" s="13">
        <f>SUMPRODUCT(M1068:X1068,$M$2:$X$2)*$K1068*$L1068</f>
        <v/>
      </c>
      <c r="Z1068" s="14">
        <f>SUM(M1068:X1068)</f>
        <v/>
      </c>
      <c r="AA1068" s="14">
        <f>IFERROR(IF(UPPER($E1068)="L",SUMPRODUCT(M1068:X1068,$M$3:$X$3,$M$2:$X$2),SUMPRODUCT(M1068:X1068,$M$4:$X$4,$M$2:$X$2))/(Y1068/($K1068*$L1068)),"")</f>
        <v/>
      </c>
      <c r="AB1068" s="18" t="n"/>
    </row>
    <row r="1069">
      <c r="A1069" s="9" t="n">
        <v>687260</v>
      </c>
      <c r="B1069" s="9" t="inlineStr">
        <is>
          <t>Brian Kalmer</t>
        </is>
      </c>
      <c r="C1069" s="9" t="inlineStr">
        <is>
          <t>CHC</t>
        </is>
      </c>
      <c r="D1069" s="9" t="n">
        <v>25</v>
      </c>
      <c r="E1069" s="16" t="inlineStr">
        <is>
          <t>R</t>
        </is>
      </c>
      <c r="F1069" s="16" t="n"/>
      <c r="G1069" s="9" t="n">
        <v>5.743589743589745</v>
      </c>
      <c r="H1069" s="9" t="n">
        <v>5.743589743589745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7" t="n"/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/>
      <c r="Y1069" s="13">
        <f>SUMPRODUCT(M1069:X1069,$M$2:$X$2)*$K1069*$L1069</f>
        <v/>
      </c>
      <c r="Z1069" s="14">
        <f>SUM(M1069:X1069)</f>
        <v/>
      </c>
      <c r="AA1069" s="14">
        <f>IFERROR(IF(UPPER($E1069)="L",SUMPRODUCT(M1069:X1069,$M$3:$X$3,$M$2:$X$2),SUMPRODUCT(M1069:X1069,$M$4:$X$4,$M$2:$X$2))/(Y1069/($K1069*$L1069)),"")</f>
        <v/>
      </c>
      <c r="AB1069" s="18" t="n"/>
    </row>
    <row r="1070">
      <c r="A1070" s="9" t="n">
        <v>801427</v>
      </c>
      <c r="B1070" s="9" t="inlineStr">
        <is>
          <t>Alex Fernandes</t>
        </is>
      </c>
      <c r="C1070" s="9" t="inlineStr">
        <is>
          <t>OAK</t>
        </is>
      </c>
      <c r="D1070" s="9" t="n">
        <v>25</v>
      </c>
      <c r="E1070" s="16" t="inlineStr">
        <is>
          <t>L</t>
        </is>
      </c>
      <c r="F1070" s="16" t="n"/>
      <c r="G1070" s="9" t="n">
        <v>5.948717948717949</v>
      </c>
      <c r="H1070" s="9" t="n">
        <v>5.948717948717949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7" t="n"/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/>
      <c r="Y1070" s="13">
        <f>SUMPRODUCT(M1070:X1070,$M$2:$X$2)*$K1070*$L1070</f>
        <v/>
      </c>
      <c r="Z1070" s="14">
        <f>SUM(M1070:X1070)</f>
        <v/>
      </c>
      <c r="AA1070" s="14">
        <f>IFERROR(IF(UPPER($E1070)="L",SUMPRODUCT(M1070:X1070,$M$3:$X$3,$M$2:$X$2),SUMPRODUCT(M1070:X1070,$M$4:$X$4,$M$2:$X$2))/(Y1070/($K1070*$L1070)),"")</f>
        <v/>
      </c>
      <c r="AB1070" s="18" t="n"/>
    </row>
    <row r="1071">
      <c r="A1071" s="9" t="n">
        <v>500871</v>
      </c>
      <c r="B1071" s="9" t="inlineStr">
        <is>
          <t>Eduardo Escobar</t>
        </is>
      </c>
      <c r="C1071" s="9" t="inlineStr">
        <is>
          <t>LAA</t>
        </is>
      </c>
      <c r="D1071" s="9" t="n">
        <v>38</v>
      </c>
      <c r="E1071" s="16" t="inlineStr">
        <is>
          <t>S</t>
        </is>
      </c>
      <c r="F1071" s="16" t="n"/>
      <c r="G1071" s="9" t="n">
        <v>309</v>
      </c>
      <c r="H1071" s="9" t="n">
        <v>851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7" t="n"/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/>
      <c r="Y1071" s="13">
        <f>SUMPRODUCT(M1071:X1071,$M$2:$X$2)*$K1071*$L1071</f>
        <v/>
      </c>
      <c r="Z1071" s="14">
        <f>SUM(M1071:X1071)</f>
        <v/>
      </c>
      <c r="AA1071" s="14">
        <f>IFERROR(IF(UPPER($E1071)="L",SUMPRODUCT(M1071:X1071,$M$3:$X$3,$M$2:$X$2),SUMPRODUCT(M1071:X1071,$M$4:$X$4,$M$2:$X$2))/(Y1071/($K1071*$L1071)),"")</f>
        <v/>
      </c>
      <c r="AB1071" s="18" t="n"/>
    </row>
    <row r="1072">
      <c r="A1072" s="9" t="n">
        <v>804569</v>
      </c>
      <c r="B1072" s="9" t="inlineStr">
        <is>
          <t>Tre Phelps</t>
        </is>
      </c>
      <c r="C1072" s="9" t="inlineStr">
        <is>
          <t>PIT</t>
        </is>
      </c>
      <c r="D1072" s="9" t="n">
        <v>25</v>
      </c>
      <c r="E1072" s="16" t="inlineStr">
        <is>
          <t>R</t>
        </is>
      </c>
      <c r="F1072" s="16" t="n"/>
      <c r="G1072" s="9" t="n">
        <v>8</v>
      </c>
      <c r="H1072" s="9" t="n">
        <v>8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7" t="n"/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/>
      <c r="Y1072" s="13">
        <f>SUMPRODUCT(M1072:X1072,$M$2:$X$2)*$K1072*$L1072</f>
        <v/>
      </c>
      <c r="Z1072" s="14">
        <f>SUM(M1072:X1072)</f>
        <v/>
      </c>
      <c r="AA1072" s="14">
        <f>IFERROR(IF(UPPER($E1072)="L",SUMPRODUCT(M1072:X1072,$M$3:$X$3,$M$2:$X$2),SUMPRODUCT(M1072:X1072,$M$4:$X$4,$M$2:$X$2))/(Y1072/($K1072*$L1072)),"")</f>
        <v/>
      </c>
      <c r="AB1072" s="18" t="n"/>
    </row>
    <row r="1073">
      <c r="A1073" s="9" t="n">
        <v>821770</v>
      </c>
      <c r="B1073" s="9" t="inlineStr">
        <is>
          <t>Andres Torres</t>
        </is>
      </c>
      <c r="C1073" s="9" t="inlineStr">
        <is>
          <t>TB</t>
        </is>
      </c>
      <c r="D1073" s="9" t="n">
        <v>25</v>
      </c>
      <c r="E1073" s="16" t="inlineStr">
        <is>
          <t>L</t>
        </is>
      </c>
      <c r="F1073" s="16" t="n"/>
      <c r="G1073" s="9" t="n">
        <v>5.784615384615384</v>
      </c>
      <c r="H1073" s="9" t="n">
        <v>5.784615384615384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7" t="n"/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/>
      <c r="Y1073" s="13">
        <f>SUMPRODUCT(M1073:X1073,$M$2:$X$2)*$K1073*$L1073</f>
        <v/>
      </c>
      <c r="Z1073" s="14">
        <f>SUM(M1073:X1073)</f>
        <v/>
      </c>
      <c r="AA1073" s="14">
        <f>IFERROR(IF(UPPER($E1073)="L",SUMPRODUCT(M1073:X1073,$M$3:$X$3,$M$2:$X$2),SUMPRODUCT(M1073:X1073,$M$4:$X$4,$M$2:$X$2))/(Y1073/($K1073*$L1073)),"")</f>
        <v/>
      </c>
      <c r="AB1073" s="18" t="n"/>
    </row>
    <row r="1074">
      <c r="A1074" s="9" t="n">
        <v>814499</v>
      </c>
      <c r="B1074" s="9" t="inlineStr">
        <is>
          <t>Brady Cerkownyk</t>
        </is>
      </c>
      <c r="C1074" s="9" t="inlineStr">
        <is>
          <t>WSH</t>
        </is>
      </c>
      <c r="D1074" s="9" t="n">
        <v>25</v>
      </c>
      <c r="E1074" s="16" t="inlineStr">
        <is>
          <t>R</t>
        </is>
      </c>
      <c r="F1074" s="16" t="n"/>
      <c r="G1074" s="9" t="n">
        <v>5.743589743589745</v>
      </c>
      <c r="H1074" s="9" t="n">
        <v>5.743589743589745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7" t="n"/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/>
      <c r="Y1074" s="13">
        <f>SUMPRODUCT(M1074:X1074,$M$2:$X$2)*$K1074*$L1074</f>
        <v/>
      </c>
      <c r="Z1074" s="14">
        <f>SUM(M1074:X1074)</f>
        <v/>
      </c>
      <c r="AA1074" s="14">
        <f>IFERROR(IF(UPPER($E1074)="L",SUMPRODUCT(M1074:X1074,$M$3:$X$3,$M$2:$X$2),SUMPRODUCT(M1074:X1074,$M$4:$X$4,$M$2:$X$2))/(Y1074/($K1074*$L1074)),"")</f>
        <v/>
      </c>
      <c r="AB1074" s="18" t="n"/>
    </row>
    <row r="1075">
      <c r="A1075" s="9" t="n">
        <v>821763</v>
      </c>
      <c r="B1075" s="9" t="inlineStr">
        <is>
          <t>Hector Campusano</t>
        </is>
      </c>
      <c r="C1075" s="9" t="inlineStr">
        <is>
          <t>BAL</t>
        </is>
      </c>
      <c r="D1075" s="9" t="n">
        <v>25</v>
      </c>
      <c r="E1075" s="16" t="inlineStr">
        <is>
          <t>S</t>
        </is>
      </c>
      <c r="F1075" s="16" t="n"/>
      <c r="G1075" s="9" t="n">
        <v>5.907692307692308</v>
      </c>
      <c r="H1075" s="9" t="n">
        <v>5.907692307692308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7" t="n"/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/>
      <c r="Y1075" s="13">
        <f>SUMPRODUCT(M1075:X1075,$M$2:$X$2)*$K1075*$L1075</f>
        <v/>
      </c>
      <c r="Z1075" s="14">
        <f>SUM(M1075:X1075)</f>
        <v/>
      </c>
      <c r="AA1075" s="14">
        <f>IFERROR(IF(UPPER($E1075)="L",SUMPRODUCT(M1075:X1075,$M$3:$X$3,$M$2:$X$2),SUMPRODUCT(M1075:X1075,$M$4:$X$4,$M$2:$X$2))/(Y1075/($K1075*$L1075)),"")</f>
        <v/>
      </c>
      <c r="AB1075" s="18" t="n"/>
    </row>
    <row r="1076">
      <c r="A1076" s="9" t="n">
        <v>665846</v>
      </c>
      <c r="B1076" s="9" t="inlineStr">
        <is>
          <t>Jesús Bastidas</t>
        </is>
      </c>
      <c r="C1076" s="9" t="inlineStr">
        <is>
          <t>MIA</t>
        </is>
      </c>
      <c r="D1076" s="9" t="n">
        <v>25</v>
      </c>
      <c r="E1076" s="16" t="inlineStr">
        <is>
          <t>R</t>
        </is>
      </c>
      <c r="F1076" s="16" t="n"/>
      <c r="G1076" s="9" t="n">
        <v>82.35897435897436</v>
      </c>
      <c r="H1076" s="9" t="n">
        <v>82.35897435897436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7" t="n"/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/>
      <c r="Y1076" s="13">
        <f>SUMPRODUCT(M1076:X1076,$M$2:$X$2)*$K1076*$L1076</f>
        <v/>
      </c>
      <c r="Z1076" s="14">
        <f>SUM(M1076:X1076)</f>
        <v/>
      </c>
      <c r="AA1076" s="14">
        <f>IFERROR(IF(UPPER($E1076)="L",SUMPRODUCT(M1076:X1076,$M$3:$X$3,$M$2:$X$2),SUMPRODUCT(M1076:X1076,$M$4:$X$4,$M$2:$X$2))/(Y1076/($K1076*$L1076)),"")</f>
        <v/>
      </c>
      <c r="AB1076" s="18" t="n"/>
    </row>
    <row r="1077">
      <c r="A1077" s="9" t="n">
        <v>800548</v>
      </c>
      <c r="B1077" s="9" t="inlineStr">
        <is>
          <t>Josi Novas</t>
        </is>
      </c>
      <c r="C1077" s="9" t="inlineStr">
        <is>
          <t>KC</t>
        </is>
      </c>
      <c r="D1077" s="9" t="n">
        <v>25</v>
      </c>
      <c r="E1077" s="16" t="inlineStr">
        <is>
          <t>R</t>
        </is>
      </c>
      <c r="F1077" s="16" t="n"/>
      <c r="G1077" s="9" t="n">
        <v>8</v>
      </c>
      <c r="H1077" s="9" t="n">
        <v>8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7" t="n"/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/>
      <c r="Y1077" s="13">
        <f>SUMPRODUCT(M1077:X1077,$M$2:$X$2)*$K1077*$L1077</f>
        <v/>
      </c>
      <c r="Z1077" s="14">
        <f>SUM(M1077:X1077)</f>
        <v/>
      </c>
      <c r="AA1077" s="14">
        <f>IFERROR(IF(UPPER($E1077)="L",SUMPRODUCT(M1077:X1077,$M$3:$X$3,$M$2:$X$2),SUMPRODUCT(M1077:X1077,$M$4:$X$4,$M$2:$X$2))/(Y1077/($K1077*$L1077)),"")</f>
        <v/>
      </c>
      <c r="AB1077" s="18" t="n"/>
    </row>
    <row r="1078">
      <c r="A1078" s="9" t="n">
        <v>804503</v>
      </c>
      <c r="B1078" s="9" t="inlineStr">
        <is>
          <t>Bradley Frye</t>
        </is>
      </c>
      <c r="C1078" s="9" t="inlineStr">
        <is>
          <t>SD</t>
        </is>
      </c>
      <c r="D1078" s="9" t="n">
        <v>25</v>
      </c>
      <c r="E1078" s="16" t="inlineStr">
        <is>
          <t>R</t>
        </is>
      </c>
      <c r="F1078" s="16" t="n"/>
      <c r="G1078" s="9" t="n">
        <v>14.15384615384616</v>
      </c>
      <c r="H1078" s="9" t="n">
        <v>14.15384615384616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7" t="n"/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/>
      <c r="Y1078" s="13">
        <f>SUMPRODUCT(M1078:X1078,$M$2:$X$2)*$K1078*$L1078</f>
        <v/>
      </c>
      <c r="Z1078" s="14">
        <f>SUM(M1078:X1078)</f>
        <v/>
      </c>
      <c r="AA1078" s="14">
        <f>IFERROR(IF(UPPER($E1078)="L",SUMPRODUCT(M1078:X1078,$M$3:$X$3,$M$2:$X$2),SUMPRODUCT(M1078:X1078,$M$4:$X$4,$M$2:$X$2))/(Y1078/($K1078*$L1078)),"")</f>
        <v/>
      </c>
      <c r="AB1078" s="18" t="n"/>
    </row>
    <row r="1079">
      <c r="A1079" s="9" t="n">
        <v>813930</v>
      </c>
      <c r="B1079" s="9" t="inlineStr">
        <is>
          <t>Ivan Luciano</t>
        </is>
      </c>
      <c r="C1079" s="9" t="inlineStr">
        <is>
          <t>ARI</t>
        </is>
      </c>
      <c r="D1079" s="9" t="n">
        <v>25</v>
      </c>
      <c r="E1079" s="16" t="inlineStr">
        <is>
          <t>L</t>
        </is>
      </c>
      <c r="F1079" s="16" t="n"/>
      <c r="G1079" s="9" t="n">
        <v>10.05128205128205</v>
      </c>
      <c r="H1079" s="9" t="n">
        <v>10.05128205128205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7" t="n"/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/>
      <c r="Y1079" s="13">
        <f>SUMPRODUCT(M1079:X1079,$M$2:$X$2)*$K1079*$L1079</f>
        <v/>
      </c>
      <c r="Z1079" s="14">
        <f>SUM(M1079:X1079)</f>
        <v/>
      </c>
      <c r="AA1079" s="14">
        <f>IFERROR(IF(UPPER($E1079)="L",SUMPRODUCT(M1079:X1079,$M$3:$X$3,$M$2:$X$2),SUMPRODUCT(M1079:X1079,$M$4:$X$4,$M$2:$X$2))/(Y1079/($K1079*$L1079)),"")</f>
        <v/>
      </c>
      <c r="AB1079" s="18" t="n"/>
    </row>
    <row r="1080">
      <c r="A1080" s="9" t="n">
        <v>806264</v>
      </c>
      <c r="B1080" s="9" t="inlineStr">
        <is>
          <t>Macon Winslow</t>
        </is>
      </c>
      <c r="C1080" s="9" t="inlineStr">
        <is>
          <t>PHI</t>
        </is>
      </c>
      <c r="D1080" s="9" t="n">
        <v>25</v>
      </c>
      <c r="E1080" s="16" t="inlineStr">
        <is>
          <t>R</t>
        </is>
      </c>
      <c r="F1080" s="16" t="n"/>
      <c r="G1080" s="9" t="n">
        <v>10.21538461538462</v>
      </c>
      <c r="H1080" s="9" t="n">
        <v>10.21538461538462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7" t="n"/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/>
      <c r="Y1080" s="13">
        <f>SUMPRODUCT(M1080:X1080,$M$2:$X$2)*$K1080*$L1080</f>
        <v/>
      </c>
      <c r="Z1080" s="14">
        <f>SUM(M1080:X1080)</f>
        <v/>
      </c>
      <c r="AA1080" s="14">
        <f>IFERROR(IF(UPPER($E1080)="L",SUMPRODUCT(M1080:X1080,$M$3:$X$3,$M$2:$X$2),SUMPRODUCT(M1080:X1080,$M$4:$X$4,$M$2:$X$2))/(Y1080/($K1080*$L1080)),"")</f>
        <v/>
      </c>
      <c r="AB1080" s="18" t="n"/>
    </row>
    <row r="1081">
      <c r="A1081" s="9" t="n">
        <v>827522</v>
      </c>
      <c r="B1081" s="9" t="inlineStr">
        <is>
          <t>Colby Turner</t>
        </is>
      </c>
      <c r="C1081" s="9" t="inlineStr">
        <is>
          <t>MIN</t>
        </is>
      </c>
      <c r="D1081" s="9" t="n">
        <v>25</v>
      </c>
      <c r="E1081" s="16" t="inlineStr">
        <is>
          <t>R</t>
        </is>
      </c>
      <c r="F1081" s="16" t="n"/>
      <c r="G1081" s="9" t="n">
        <v>12.55384615384615</v>
      </c>
      <c r="H1081" s="9" t="n">
        <v>12.55384615384615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7" t="n"/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/>
      <c r="Y1081" s="13">
        <f>SUMPRODUCT(M1081:X1081,$M$2:$X$2)*$K1081*$L1081</f>
        <v/>
      </c>
      <c r="Z1081" s="14">
        <f>SUM(M1081:X1081)</f>
        <v/>
      </c>
      <c r="AA1081" s="14">
        <f>IFERROR(IF(UPPER($E1081)="L",SUMPRODUCT(M1081:X1081,$M$3:$X$3,$M$2:$X$2),SUMPRODUCT(M1081:X1081,$M$4:$X$4,$M$2:$X$2))/(Y1081/($K1081*$L1081)),"")</f>
        <v/>
      </c>
      <c r="AB1081" s="18" t="n"/>
    </row>
    <row r="1082">
      <c r="A1082" s="9" t="n">
        <v>702504</v>
      </c>
      <c r="B1082" s="9" t="inlineStr">
        <is>
          <t>Gavin Turley</t>
        </is>
      </c>
      <c r="C1082" s="9" t="inlineStr">
        <is>
          <t>OAK</t>
        </is>
      </c>
      <c r="D1082" s="9" t="n">
        <v>25</v>
      </c>
      <c r="E1082" s="16" t="inlineStr">
        <is>
          <t>R</t>
        </is>
      </c>
      <c r="F1082" s="16" t="n"/>
      <c r="G1082" s="9" t="n">
        <v>5.948717948717949</v>
      </c>
      <c r="H1082" s="9" t="n">
        <v>5.948717948717949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7" t="n"/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/>
      <c r="Y1082" s="13">
        <f>SUMPRODUCT(M1082:X1082,$M$2:$X$2)*$K1082*$L1082</f>
        <v/>
      </c>
      <c r="Z1082" s="14">
        <f>SUM(M1082:X1082)</f>
        <v/>
      </c>
      <c r="AA1082" s="14">
        <f>IFERROR(IF(UPPER($E1082)="L",SUMPRODUCT(M1082:X1082,$M$3:$X$3,$M$2:$X$2),SUMPRODUCT(M1082:X1082,$M$4:$X$4,$M$2:$X$2))/(Y1082/($K1082*$L1082)),"")</f>
        <v/>
      </c>
      <c r="AB1082" s="18" t="n"/>
    </row>
    <row r="1083">
      <c r="A1083" s="9" t="n">
        <v>805102</v>
      </c>
      <c r="B1083" s="9" t="inlineStr">
        <is>
          <t>Byron Chourio</t>
        </is>
      </c>
      <c r="C1083" s="9" t="inlineStr">
        <is>
          <t>MIN</t>
        </is>
      </c>
      <c r="D1083" s="9" t="n">
        <v>25</v>
      </c>
      <c r="E1083" s="16" t="inlineStr">
        <is>
          <t>S</t>
        </is>
      </c>
      <c r="F1083" s="16" t="n"/>
      <c r="G1083" s="9" t="n">
        <v>18.46153846153846</v>
      </c>
      <c r="H1083" s="9" t="n">
        <v>18.46153846153846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7" t="n"/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/>
      <c r="Y1083" s="13">
        <f>SUMPRODUCT(M1083:X1083,$M$2:$X$2)*$K1083*$L1083</f>
        <v/>
      </c>
      <c r="Z1083" s="14">
        <f>SUM(M1083:X1083)</f>
        <v/>
      </c>
      <c r="AA1083" s="14">
        <f>IFERROR(IF(UPPER($E1083)="L",SUMPRODUCT(M1083:X1083,$M$3:$X$3,$M$2:$X$2),SUMPRODUCT(M1083:X1083,$M$4:$X$4,$M$2:$X$2))/(Y1083/($K1083*$L1083)),"")</f>
        <v/>
      </c>
      <c r="AB1083" s="18" t="n"/>
    </row>
    <row r="1084">
      <c r="A1084" s="9" t="n">
        <v>812469</v>
      </c>
      <c r="B1084" s="9" t="inlineStr">
        <is>
          <t>Ryan Franden</t>
        </is>
      </c>
      <c r="C1084" s="9" t="inlineStr">
        <is>
          <t>TOR</t>
        </is>
      </c>
      <c r="D1084" s="9" t="n">
        <v>25</v>
      </c>
      <c r="E1084" s="16" t="inlineStr">
        <is>
          <t>L</t>
        </is>
      </c>
      <c r="F1084" s="16" t="n"/>
      <c r="G1084" s="9" t="n">
        <v>8.246153846153845</v>
      </c>
      <c r="H1084" s="9" t="n">
        <v>8.246153846153845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7" t="n"/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/>
      <c r="Y1084" s="13">
        <f>SUMPRODUCT(M1084:X1084,$M$2:$X$2)*$K1084*$L1084</f>
        <v/>
      </c>
      <c r="Z1084" s="14">
        <f>SUM(M1084:X1084)</f>
        <v/>
      </c>
      <c r="AA1084" s="14">
        <f>IFERROR(IF(UPPER($E1084)="L",SUMPRODUCT(M1084:X1084,$M$3:$X$3,$M$2:$X$2),SUMPRODUCT(M1084:X1084,$M$4:$X$4,$M$2:$X$2))/(Y1084/($K1084*$L1084)),"")</f>
        <v/>
      </c>
      <c r="AB1084" s="18" t="n"/>
    </row>
    <row r="1085">
      <c r="A1085" s="9" t="n">
        <v>820847</v>
      </c>
      <c r="B1085" s="9" t="inlineStr">
        <is>
          <t>Jordan Sanchez</t>
        </is>
      </c>
      <c r="C1085" s="9" t="inlineStr">
        <is>
          <t>BAL</t>
        </is>
      </c>
      <c r="D1085" s="9" t="n">
        <v>25</v>
      </c>
      <c r="E1085" s="16" t="inlineStr">
        <is>
          <t>L</t>
        </is>
      </c>
      <c r="F1085" s="16" t="n"/>
      <c r="G1085" s="9" t="n">
        <v>14.35897435897436</v>
      </c>
      <c r="H1085" s="9" t="n">
        <v>14.35897435897436</v>
      </c>
      <c r="I1085" s="9" t="inlineStr">
        <is>
          <t>Depth (no MLB PA)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7" t="n"/>
      <c r="N1085" s="17" t="n"/>
      <c r="O1085" s="17" t="n"/>
      <c r="P1085" s="17" t="n"/>
      <c r="Q1085" s="17" t="n"/>
      <c r="R1085" s="17" t="n"/>
      <c r="S1085" s="17" t="n"/>
      <c r="T1085" s="17" t="n"/>
      <c r="U1085" s="17" t="n"/>
      <c r="V1085" s="17" t="n"/>
      <c r="W1085" s="17" t="n"/>
      <c r="X1085" s="17" t="n"/>
      <c r="Y1085" s="13">
        <f>SUMPRODUCT(M1085:X1085,$M$2:$X$2)*$K1085*$L1085</f>
        <v/>
      </c>
      <c r="Z1085" s="14">
        <f>SUM(M1085:X1085)</f>
        <v/>
      </c>
      <c r="AA1085" s="14">
        <f>IFERROR(IF(UPPER($E1085)="L",SUMPRODUCT(M1085:X1085,$M$3:$X$3,$M$2:$X$2),SUMPRODUCT(M1085:X1085,$M$4:$X$4,$M$2:$X$2))/(Y1085/($K1085*$L1085)),"")</f>
        <v/>
      </c>
      <c r="AB1085" s="18" t="n"/>
    </row>
    <row r="1086">
      <c r="A1086" s="9" t="n">
        <v>801881</v>
      </c>
      <c r="B1086" s="9" t="inlineStr">
        <is>
          <t>Jacob Jenkins-Cowart</t>
        </is>
      </c>
      <c r="C1086" s="9" t="inlineStr">
        <is>
          <t>MIA</t>
        </is>
      </c>
      <c r="D1086" s="9" t="n">
        <v>25</v>
      </c>
      <c r="E1086" s="16" t="inlineStr">
        <is>
          <t>L</t>
        </is>
      </c>
      <c r="F1086" s="16" t="n"/>
      <c r="G1086" s="9" t="n">
        <v>42.87179487179488</v>
      </c>
      <c r="H1086" s="9" t="n">
        <v>42.87179487179488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7" t="n"/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/>
      <c r="Y1086" s="13">
        <f>SUMPRODUCT(M1086:X1086,$M$2:$X$2)*$K1086*$L1086</f>
        <v/>
      </c>
      <c r="Z1086" s="14">
        <f>SUM(M1086:X1086)</f>
        <v/>
      </c>
      <c r="AA1086" s="14">
        <f>IFERROR(IF(UPPER($E1086)="L",SUMPRODUCT(M1086:X1086,$M$3:$X$3,$M$2:$X$2),SUMPRODUCT(M1086:X1086,$M$4:$X$4,$M$2:$X$2))/(Y1086/($K1086*$L1086)),"")</f>
        <v/>
      </c>
      <c r="AB1086" s="18" t="n"/>
    </row>
    <row r="1087">
      <c r="A1087" s="9" t="n">
        <v>661388</v>
      </c>
      <c r="B1087" s="9" t="inlineStr">
        <is>
          <t>William Contreras</t>
        </is>
      </c>
      <c r="C1087" s="9" t="inlineStr">
        <is>
          <t>MIL</t>
        </is>
      </c>
      <c r="D1087" s="9" t="n">
        <v>29</v>
      </c>
      <c r="E1087" s="16" t="inlineStr">
        <is>
          <t>R</t>
        </is>
      </c>
      <c r="F1087" s="16" t="n"/>
      <c r="G1087" s="9" t="n">
        <v>640</v>
      </c>
      <c r="H1087" s="9" t="n">
        <v>2965</v>
      </c>
      <c r="I1087" s="9" t="inlineStr">
        <is>
          <t>Full Time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7" t="n"/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/>
      <c r="Y1087" s="13">
        <f>SUMPRODUCT(M1087:X1087,$M$2:$X$2)*$K1087*$L1087</f>
        <v/>
      </c>
      <c r="Z1087" s="14">
        <f>SUM(M1087:X1087)</f>
        <v/>
      </c>
      <c r="AA1087" s="14">
        <f>IFERROR(IF(UPPER($E1087)="L",SUMPRODUCT(M1087:X1087,$M$3:$X$3,$M$2:$X$2),SUMPRODUCT(M1087:X1087,$M$4:$X$4,$M$2:$X$2))/(Y1087/($K1087*$L1087)),"")</f>
        <v/>
      </c>
      <c r="AB1087" s="18" t="n"/>
    </row>
    <row r="1088">
      <c r="A1088" s="9" t="n">
        <v>699127</v>
      </c>
      <c r="B1088" s="9" t="inlineStr">
        <is>
          <t>Luis Castillo</t>
        </is>
      </c>
      <c r="C1088" s="9" t="inlineStr">
        <is>
          <t>MIL</t>
        </is>
      </c>
      <c r="D1088" s="9" t="n">
        <v>25</v>
      </c>
      <c r="E1088" s="16" t="inlineStr">
        <is>
          <t>L</t>
        </is>
      </c>
      <c r="F1088" s="16" t="n"/>
      <c r="G1088" s="9" t="n">
        <v>88.41025641025641</v>
      </c>
      <c r="H1088" s="9" t="n">
        <v>88.41025641025641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7" t="n"/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/>
      <c r="Y1088" s="13">
        <f>SUMPRODUCT(M1088:X1088,$M$2:$X$2)*$K1088*$L1088</f>
        <v/>
      </c>
      <c r="Z1088" s="14">
        <f>SUM(M1088:X1088)</f>
        <v/>
      </c>
      <c r="AA1088" s="14">
        <f>IFERROR(IF(UPPER($E1088)="L",SUMPRODUCT(M1088:X1088,$M$3:$X$3,$M$2:$X$2),SUMPRODUCT(M1088:X1088,$M$4:$X$4,$M$2:$X$2))/(Y1088/($K1088*$L1088)),"")</f>
        <v/>
      </c>
      <c r="AB1088" s="18" t="n"/>
    </row>
    <row r="1089">
      <c r="A1089" s="9" t="n">
        <v>801957</v>
      </c>
      <c r="B1089" s="9" t="inlineStr">
        <is>
          <t>Dub Gleed</t>
        </is>
      </c>
      <c r="C1089" s="9" t="inlineStr">
        <is>
          <t>TOR</t>
        </is>
      </c>
      <c r="D1089" s="9" t="n">
        <v>25</v>
      </c>
      <c r="E1089" s="16" t="inlineStr">
        <is>
          <t>R</t>
        </is>
      </c>
      <c r="F1089" s="16" t="n"/>
      <c r="G1089" s="9" t="n">
        <v>101.2307692307692</v>
      </c>
      <c r="H1089" s="9" t="n">
        <v>101.2307692307692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7" t="n"/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/>
      <c r="Y1089" s="13">
        <f>SUMPRODUCT(M1089:X1089,$M$2:$X$2)*$K1089*$L1089</f>
        <v/>
      </c>
      <c r="Z1089" s="14">
        <f>SUM(M1089:X1089)</f>
        <v/>
      </c>
      <c r="AA1089" s="14">
        <f>IFERROR(IF(UPPER($E1089)="L",SUMPRODUCT(M1089:X1089,$M$3:$X$3,$M$2:$X$2),SUMPRODUCT(M1089:X1089,$M$4:$X$4,$M$2:$X$2))/(Y1089/($K1089*$L1089)),"")</f>
        <v/>
      </c>
      <c r="AB1089" s="18" t="n"/>
    </row>
    <row r="1090">
      <c r="A1090" s="9" t="n">
        <v>693073</v>
      </c>
      <c r="B1090" s="9" t="inlineStr">
        <is>
          <t>Clayton Campbell</t>
        </is>
      </c>
      <c r="C1090" s="9" t="inlineStr">
        <is>
          <t>DET</t>
        </is>
      </c>
      <c r="D1090" s="9" t="n">
        <v>25</v>
      </c>
      <c r="E1090" s="16" t="inlineStr">
        <is>
          <t>R</t>
        </is>
      </c>
      <c r="F1090" s="16" t="n"/>
      <c r="G1090" s="9" t="n">
        <v>14.71794871794872</v>
      </c>
      <c r="H1090" s="9" t="n">
        <v>14.71794871794872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7" t="n"/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/>
      <c r="Y1090" s="13">
        <f>SUMPRODUCT(M1090:X1090,$M$2:$X$2)*$K1090*$L1090</f>
        <v/>
      </c>
      <c r="Z1090" s="14">
        <f>SUM(M1090:X1090)</f>
        <v/>
      </c>
      <c r="AA1090" s="14">
        <f>IFERROR(IF(UPPER($E1090)="L",SUMPRODUCT(M1090:X1090,$M$3:$X$3,$M$2:$X$2),SUMPRODUCT(M1090:X1090,$M$4:$X$4,$M$2:$X$2))/(Y1090/($K1090*$L1090)),"")</f>
        <v/>
      </c>
      <c r="AB1090" s="18" t="n"/>
    </row>
    <row r="1091">
      <c r="A1091" s="9" t="n">
        <v>815584</v>
      </c>
      <c r="B1091" s="9" t="inlineStr">
        <is>
          <t>Alcides Hernandez</t>
        </is>
      </c>
      <c r="C1091" s="9" t="inlineStr">
        <is>
          <t>SD</t>
        </is>
      </c>
      <c r="D1091" s="9" t="n">
        <v>25</v>
      </c>
      <c r="E1091" s="16" t="inlineStr">
        <is>
          <t>L</t>
        </is>
      </c>
      <c r="F1091" s="16" t="n"/>
      <c r="G1091" s="9" t="n">
        <v>6.030769230769231</v>
      </c>
      <c r="H1091" s="9" t="n">
        <v>6.030769230769231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7" t="n"/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/>
      <c r="Y1091" s="13">
        <f>SUMPRODUCT(M1091:X1091,$M$2:$X$2)*$K1091*$L1091</f>
        <v/>
      </c>
      <c r="Z1091" s="14">
        <f>SUM(M1091:X1091)</f>
        <v/>
      </c>
      <c r="AA1091" s="14">
        <f>IFERROR(IF(UPPER($E1091)="L",SUMPRODUCT(M1091:X1091,$M$3:$X$3,$M$2:$X$2),SUMPRODUCT(M1091:X1091,$M$4:$X$4,$M$2:$X$2))/(Y1091/($K1091*$L1091)),"")</f>
        <v/>
      </c>
      <c r="AB1091" s="18" t="n"/>
    </row>
    <row r="1092">
      <c r="A1092" s="9" t="n">
        <v>444489</v>
      </c>
      <c r="B1092" s="9" t="inlineStr">
        <is>
          <t>Manny Piña</t>
        </is>
      </c>
      <c r="C1092" s="9" t="inlineStr">
        <is>
          <t>OAK</t>
        </is>
      </c>
      <c r="D1092" s="9" t="n">
        <v>40</v>
      </c>
      <c r="E1092" s="16" t="inlineStr">
        <is>
          <t>R</t>
        </is>
      </c>
      <c r="F1092" s="16" t="n"/>
      <c r="G1092" s="9" t="n">
        <v>12</v>
      </c>
      <c r="H1092" s="9" t="n">
        <v>29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7" t="n"/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/>
      <c r="Y1092" s="13">
        <f>SUMPRODUCT(M1092:X1092,$M$2:$X$2)*$K1092*$L1092</f>
        <v/>
      </c>
      <c r="Z1092" s="14">
        <f>SUM(M1092:X1092)</f>
        <v/>
      </c>
      <c r="AA1092" s="14">
        <f>IFERROR(IF(UPPER($E1092)="L",SUMPRODUCT(M1092:X1092,$M$3:$X$3,$M$2:$X$2),SUMPRODUCT(M1092:X1092,$M$4:$X$4,$M$2:$X$2))/(Y1092/($K1092*$L1092)),"")</f>
        <v/>
      </c>
      <c r="AB1092" s="18" t="n"/>
    </row>
    <row r="1093">
      <c r="A1093" s="9" t="n">
        <v>824569</v>
      </c>
      <c r="B1093" s="9" t="inlineStr">
        <is>
          <t>Chris McHugh</t>
        </is>
      </c>
      <c r="C1093" s="9" t="inlineStr">
        <is>
          <t>SD</t>
        </is>
      </c>
      <c r="D1093" s="9" t="n">
        <v>25</v>
      </c>
      <c r="E1093" s="16" t="inlineStr">
        <is>
          <t>R</t>
        </is>
      </c>
      <c r="F1093" s="16" t="n"/>
      <c r="G1093" s="9" t="n">
        <v>8.246153846153845</v>
      </c>
      <c r="H1093" s="9" t="n">
        <v>8.246153846153845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7" t="n"/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/>
      <c r="Y1093" s="13">
        <f>SUMPRODUCT(M1093:X1093,$M$2:$X$2)*$K1093*$L1093</f>
        <v/>
      </c>
      <c r="Z1093" s="14">
        <f>SUM(M1093:X1093)</f>
        <v/>
      </c>
      <c r="AA1093" s="14">
        <f>IFERROR(IF(UPPER($E1093)="L",SUMPRODUCT(M1093:X1093,$M$3:$X$3,$M$2:$X$2),SUMPRODUCT(M1093:X1093,$M$4:$X$4,$M$2:$X$2))/(Y1093/($K1093*$L1093)),"")</f>
        <v/>
      </c>
      <c r="AB1093" s="18" t="n"/>
    </row>
    <row r="1094">
      <c r="A1094" s="9" t="n">
        <v>811312</v>
      </c>
      <c r="B1094" s="9" t="inlineStr">
        <is>
          <t>Justin Riemer</t>
        </is>
      </c>
      <c r="C1094" s="9" t="inlineStr">
        <is>
          <t>OAK</t>
        </is>
      </c>
      <c r="D1094" s="9" t="n">
        <v>25</v>
      </c>
      <c r="E1094" s="16" t="inlineStr">
        <is>
          <t>R</t>
        </is>
      </c>
      <c r="F1094" s="16" t="n"/>
      <c r="G1094" s="9" t="n">
        <v>6.205128205128206</v>
      </c>
      <c r="H1094" s="9" t="n">
        <v>6.205128205128206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7" t="n"/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/>
      <c r="Y1094" s="13">
        <f>SUMPRODUCT(M1094:X1094,$M$2:$X$2)*$K1094*$L1094</f>
        <v/>
      </c>
      <c r="Z1094" s="14">
        <f>SUM(M1094:X1094)</f>
        <v/>
      </c>
      <c r="AA1094" s="14">
        <f>IFERROR(IF(UPPER($E1094)="L",SUMPRODUCT(M1094:X1094,$M$3:$X$3,$M$2:$X$2),SUMPRODUCT(M1094:X1094,$M$4:$X$4,$M$2:$X$2))/(Y1094/($K1094*$L1094)),"")</f>
        <v/>
      </c>
      <c r="AB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n"/>
      <c r="G1095" s="9" t="n">
        <v>95</v>
      </c>
      <c r="H1095" s="9" t="n">
        <v>259</v>
      </c>
      <c r="I1095" s="9" t="inlineStr">
        <is>
          <t>Bench Bat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7" t="n"/>
      <c r="N1095" s="17" t="n"/>
      <c r="O1095" s="17" t="n"/>
      <c r="P1095" s="17" t="n"/>
      <c r="Q1095" s="17" t="n"/>
      <c r="R1095" s="17" t="n"/>
      <c r="S1095" s="17" t="n"/>
      <c r="T1095" s="17" t="n"/>
      <c r="U1095" s="17" t="n"/>
      <c r="V1095" s="17" t="n"/>
      <c r="W1095" s="17" t="n"/>
      <c r="X1095" s="17" t="n"/>
      <c r="Y1095" s="13">
        <f>SUMPRODUCT(M1095:X1095,$M$2:$X$2)*$K1095*$L1095</f>
        <v/>
      </c>
      <c r="Z1095" s="14">
        <f>SUM(M1095:X1095)</f>
        <v/>
      </c>
      <c r="AA1095" s="14">
        <f>IFERROR(IF(UPPER($E1095)="L",SUMPRODUCT(M1095:X1095,$M$3:$X$3,$M$2:$X$2),SUMPRODUCT(M1095:X1095,$M$4:$X$4,$M$2:$X$2))/(Y1095/($K1095*$L1095)),"")</f>
        <v/>
      </c>
      <c r="AB1095" s="18" t="n"/>
    </row>
    <row r="1096">
      <c r="A1096" s="9" t="n">
        <v>816406</v>
      </c>
      <c r="B1096" s="9" t="inlineStr">
        <is>
          <t>Ivan Cespedes</t>
        </is>
      </c>
      <c r="C1096" s="9" t="inlineStr">
        <is>
          <t>CHC</t>
        </is>
      </c>
      <c r="D1096" s="9" t="n">
        <v>25</v>
      </c>
      <c r="E1096" s="16" t="inlineStr">
        <is>
          <t>R</t>
        </is>
      </c>
      <c r="F1096" s="16" t="n"/>
      <c r="G1096" s="9" t="n">
        <v>12.55384615384615</v>
      </c>
      <c r="H1096" s="9" t="n">
        <v>12.55384615384615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7" t="n"/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/>
      <c r="Y1096" s="13">
        <f>SUMPRODUCT(M1096:X1096,$M$2:$X$2)*$K1096*$L1096</f>
        <v/>
      </c>
      <c r="Z1096" s="14">
        <f>SUM(M1096:X1096)</f>
        <v/>
      </c>
      <c r="AA1096" s="14">
        <f>IFERROR(IF(UPPER($E1096)="L",SUMPRODUCT(M1096:X1096,$M$3:$X$3,$M$2:$X$2),SUMPRODUCT(M1096:X1096,$M$4:$X$4,$M$2:$X$2))/(Y1096/($K1096*$L1096)),"")</f>
        <v/>
      </c>
      <c r="AB1096" s="18" t="n"/>
    </row>
    <row r="1097">
      <c r="A1097" s="9" t="n">
        <v>669087</v>
      </c>
      <c r="B1097" s="9" t="inlineStr">
        <is>
          <t>Sam Huff</t>
        </is>
      </c>
      <c r="C1097" s="9" t="inlineStr">
        <is>
          <t>BAL</t>
        </is>
      </c>
      <c r="D1097" s="9" t="n">
        <v>29</v>
      </c>
      <c r="E1097" s="16" t="inlineStr">
        <is>
          <t>R</t>
        </is>
      </c>
      <c r="F1097" s="16" t="n"/>
      <c r="G1097" s="9" t="n">
        <v>34</v>
      </c>
      <c r="H1097" s="9" t="n">
        <v>273</v>
      </c>
      <c r="I1097" s="9" t="inlineStr">
        <is>
          <t>Bench Bat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7" t="n"/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/>
      <c r="Y1097" s="13">
        <f>SUMPRODUCT(M1097:X1097,$M$2:$X$2)*$K1097*$L1097</f>
        <v/>
      </c>
      <c r="Z1097" s="14">
        <f>SUM(M1097:X1097)</f>
        <v/>
      </c>
      <c r="AA1097" s="14">
        <f>IFERROR(IF(UPPER($E1097)="L",SUMPRODUCT(M1097:X1097,$M$3:$X$3,$M$2:$X$2),SUMPRODUCT(M1097:X1097,$M$4:$X$4,$M$2:$X$2))/(Y1097/($K1097*$L1097)),"")</f>
        <v/>
      </c>
      <c r="AB1097" s="18" t="n"/>
    </row>
    <row r="1098">
      <c r="A1098" s="9" t="n">
        <v>681114</v>
      </c>
      <c r="B1098" s="9" t="inlineStr">
        <is>
          <t>Michael Trautwein</t>
        </is>
      </c>
      <c r="C1098" s="9" t="inlineStr">
        <is>
          <t>CIN</t>
        </is>
      </c>
      <c r="D1098" s="9" t="n">
        <v>25</v>
      </c>
      <c r="E1098" s="16" t="inlineStr">
        <is>
          <t>L</t>
        </is>
      </c>
      <c r="F1098" s="16" t="n"/>
      <c r="G1098" s="9" t="n">
        <v>6.205128205128206</v>
      </c>
      <c r="H1098" s="9" t="n">
        <v>6.205128205128206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7" t="n"/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/>
      <c r="Y1098" s="13">
        <f>SUMPRODUCT(M1098:X1098,$M$2:$X$2)*$K1098*$L1098</f>
        <v/>
      </c>
      <c r="Z1098" s="14">
        <f>SUM(M1098:X1098)</f>
        <v/>
      </c>
      <c r="AA1098" s="14">
        <f>IFERROR(IF(UPPER($E1098)="L",SUMPRODUCT(M1098:X1098,$M$3:$X$3,$M$2:$X$2),SUMPRODUCT(M1098:X1098,$M$4:$X$4,$M$2:$X$2))/(Y1098/($K1098*$L1098)),"")</f>
        <v/>
      </c>
      <c r="AB1098" s="18" t="n"/>
    </row>
    <row r="1099">
      <c r="A1099" s="9" t="n">
        <v>680574</v>
      </c>
      <c r="B1099" s="9" t="inlineStr">
        <is>
          <t>Matt McLain</t>
        </is>
      </c>
      <c r="C1099" s="9" t="inlineStr">
        <is>
          <t>CIN</t>
        </is>
      </c>
      <c r="D1099" s="9" t="n">
        <v>27</v>
      </c>
      <c r="E1099" s="16" t="inlineStr">
        <is>
          <t>R</t>
        </is>
      </c>
      <c r="F1099" s="16" t="n"/>
      <c r="G1099" s="9" t="n">
        <v>496</v>
      </c>
      <c r="H1099" s="9" t="n">
        <v>1476</v>
      </c>
      <c r="I1099" s="9" t="inlineStr">
        <is>
          <t>Full Time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7" t="n"/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/>
      <c r="Y1099" s="13">
        <f>SUMPRODUCT(M1099:X1099,$M$2:$X$2)*$K1099*$L1099</f>
        <v/>
      </c>
      <c r="Z1099" s="14">
        <f>SUM(M1099:X1099)</f>
        <v/>
      </c>
      <c r="AA1099" s="14">
        <f>IFERROR(IF(UPPER($E1099)="L",SUMPRODUCT(M1099:X1099,$M$3:$X$3,$M$2:$X$2),SUMPRODUCT(M1099:X1099,$M$4:$X$4,$M$2:$X$2))/(Y1099/($K1099*$L1099)),"")</f>
        <v/>
      </c>
      <c r="AB1099" s="18" t="n"/>
    </row>
    <row r="1100">
      <c r="A1100" s="9" t="n">
        <v>676882</v>
      </c>
      <c r="B1100" s="9" t="inlineStr">
        <is>
          <t>Chandler Seagle</t>
        </is>
      </c>
      <c r="C1100" s="9" t="inlineStr">
        <is>
          <t>SD</t>
        </is>
      </c>
      <c r="D1100" s="9" t="n">
        <v>31</v>
      </c>
      <c r="E1100" s="16" t="inlineStr">
        <is>
          <t>R</t>
        </is>
      </c>
      <c r="F1100" s="16" t="n"/>
      <c r="G1100" s="9" t="n">
        <v>1</v>
      </c>
      <c r="H1100" s="9" t="n">
        <v>1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7" t="n"/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/>
      <c r="Y1100" s="13">
        <f>SUMPRODUCT(M1100:X1100,$M$2:$X$2)*$K1100*$L1100</f>
        <v/>
      </c>
      <c r="Z1100" s="14">
        <f>SUM(M1100:X1100)</f>
        <v/>
      </c>
      <c r="AA1100" s="14">
        <f>IFERROR(IF(UPPER($E1100)="L",SUMPRODUCT(M1100:X1100,$M$3:$X$3,$M$2:$X$2),SUMPRODUCT(M1100:X1100,$M$4:$X$4,$M$2:$X$2))/(Y1100/($K1100*$L1100)),"")</f>
        <v/>
      </c>
      <c r="AB1100" s="18" t="n"/>
    </row>
    <row r="1101">
      <c r="A1101" s="9" t="n">
        <v>806968</v>
      </c>
      <c r="B1101" s="9" t="inlineStr">
        <is>
          <t>Ludwing Espinoza</t>
        </is>
      </c>
      <c r="C1101" s="9" t="inlineStr">
        <is>
          <t>CHC</t>
        </is>
      </c>
      <c r="D1101" s="9" t="n">
        <v>25</v>
      </c>
      <c r="E1101" s="16" t="inlineStr">
        <is>
          <t>R</t>
        </is>
      </c>
      <c r="F1101" s="16" t="n"/>
      <c r="G1101" s="9" t="n">
        <v>8.36923076923077</v>
      </c>
      <c r="H1101" s="9" t="n">
        <v>8.36923076923077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7" t="n"/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/>
      <c r="Y1101" s="13">
        <f>SUMPRODUCT(M1101:X1101,$M$2:$X$2)*$K1101*$L1101</f>
        <v/>
      </c>
      <c r="Z1101" s="14">
        <f>SUM(M1101:X1101)</f>
        <v/>
      </c>
      <c r="AA1101" s="14">
        <f>IFERROR(IF(UPPER($E1101)="L",SUMPRODUCT(M1101:X1101,$M$3:$X$3,$M$2:$X$2),SUMPRODUCT(M1101:X1101,$M$4:$X$4,$M$2:$X$2))/(Y1101/($K1101*$L1101)),"")</f>
        <v/>
      </c>
      <c r="AB1101" s="18" t="n"/>
    </row>
    <row r="1102">
      <c r="A1102" s="9" t="n">
        <v>680672</v>
      </c>
      <c r="B1102" s="9" t="inlineStr">
        <is>
          <t>Luke Waddell</t>
        </is>
      </c>
      <c r="C1102" s="9" t="inlineStr">
        <is>
          <t>ATL</t>
        </is>
      </c>
      <c r="D1102" s="9" t="n">
        <v>25</v>
      </c>
      <c r="E1102" s="16" t="inlineStr">
        <is>
          <t>L</t>
        </is>
      </c>
      <c r="F1102" s="16" t="n"/>
      <c r="G1102" s="9" t="n">
        <v>6.205128205128206</v>
      </c>
      <c r="H1102" s="9" t="n">
        <v>6.205128205128206</v>
      </c>
      <c r="I1102" s="9" t="inlineStr">
        <is>
          <t>Depth (no MLB PA)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7" t="n"/>
      <c r="N1102" s="17" t="n"/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3">
        <f>SUMPRODUCT(M1102:X1102,$M$2:$X$2)*$K1102*$L1102</f>
        <v/>
      </c>
      <c r="Z1102" s="14">
        <f>SUM(M1102:X1102)</f>
        <v/>
      </c>
      <c r="AA1102" s="14">
        <f>IFERROR(IF(UPPER($E1102)="L",SUMPRODUCT(M1102:X1102,$M$3:$X$3,$M$2:$X$2),SUMPRODUCT(M1102:X1102,$M$4:$X$4,$M$2:$X$2))/(Y1102/($K1102*$L1102)),"")</f>
        <v/>
      </c>
      <c r="AB1102" s="18" t="n"/>
    </row>
    <row r="1103">
      <c r="A1103" s="9" t="n">
        <v>695570</v>
      </c>
      <c r="B1103" s="9" t="inlineStr">
        <is>
          <t>Jonathan Vastine</t>
        </is>
      </c>
      <c r="C1103" s="9" t="inlineStr">
        <is>
          <t>SD</t>
        </is>
      </c>
      <c r="D1103" s="9" t="n">
        <v>25</v>
      </c>
      <c r="E1103" s="16" t="inlineStr">
        <is>
          <t>L</t>
        </is>
      </c>
      <c r="F1103" s="16" t="n"/>
      <c r="G1103" s="9" t="n">
        <v>22.35897435897436</v>
      </c>
      <c r="H1103" s="9" t="n">
        <v>22.35897435897436</v>
      </c>
      <c r="I1103" s="9" t="inlineStr">
        <is>
          <t>Depth (no MLB PA)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7" t="n"/>
      <c r="N1103" s="17" t="n"/>
      <c r="O1103" s="17" t="n"/>
      <c r="P1103" s="17" t="n"/>
      <c r="Q1103" s="17" t="n"/>
      <c r="R1103" s="17" t="n"/>
      <c r="S1103" s="17" t="n"/>
      <c r="T1103" s="17" t="n"/>
      <c r="U1103" s="17" t="n"/>
      <c r="V1103" s="17" t="n"/>
      <c r="W1103" s="17" t="n"/>
      <c r="X1103" s="17" t="n"/>
      <c r="Y1103" s="13">
        <f>SUMPRODUCT(M1103:X1103,$M$2:$X$2)*$K1103*$L1103</f>
        <v/>
      </c>
      <c r="Z1103" s="14">
        <f>SUM(M1103:X1103)</f>
        <v/>
      </c>
      <c r="AA1103" s="14">
        <f>IFERROR(IF(UPPER($E1103)="L",SUMPRODUCT(M1103:X1103,$M$3:$X$3,$M$2:$X$2),SUMPRODUCT(M1103:X1103,$M$4:$X$4,$M$2:$X$2))/(Y1103/($K1103*$L1103)),"")</f>
        <v/>
      </c>
      <c r="AB1103" s="18" t="n"/>
    </row>
    <row r="1104">
      <c r="A1104" s="9" t="n">
        <v>696510</v>
      </c>
      <c r="B1104" s="9" t="inlineStr">
        <is>
          <t>Peyton Stovall</t>
        </is>
      </c>
      <c r="C1104" s="9" t="inlineStr">
        <is>
          <t>CIN</t>
        </is>
      </c>
      <c r="D1104" s="9" t="n">
        <v>25</v>
      </c>
      <c r="E1104" s="16" t="inlineStr">
        <is>
          <t>L</t>
        </is>
      </c>
      <c r="F1104" s="16" t="n"/>
      <c r="G1104" s="9" t="n">
        <v>40.20512820512821</v>
      </c>
      <c r="H1104" s="9" t="n">
        <v>40.20512820512821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7" t="n"/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/>
      <c r="Y1104" s="13">
        <f>SUMPRODUCT(M1104:X1104,$M$2:$X$2)*$K1104*$L1104</f>
        <v/>
      </c>
      <c r="Z1104" s="14">
        <f>SUM(M1104:X1104)</f>
        <v/>
      </c>
      <c r="AA1104" s="14">
        <f>IFERROR(IF(UPPER($E1104)="L",SUMPRODUCT(M1104:X1104,$M$3:$X$3,$M$2:$X$2),SUMPRODUCT(M1104:X1104,$M$4:$X$4,$M$2:$X$2))/(Y1104/($K1104*$L1104)),"")</f>
        <v/>
      </c>
      <c r="AB1104" s="18" t="n"/>
    </row>
    <row r="1105">
      <c r="A1105" s="9" t="n">
        <v>811765</v>
      </c>
      <c r="B1105" s="9" t="inlineStr">
        <is>
          <t>Deniel Ortiz</t>
        </is>
      </c>
      <c r="C1105" s="9" t="inlineStr">
        <is>
          <t>STL</t>
        </is>
      </c>
      <c r="D1105" s="9" t="n">
        <v>25</v>
      </c>
      <c r="E1105" s="16" t="inlineStr">
        <is>
          <t>R</t>
        </is>
      </c>
      <c r="F1105" s="16" t="n"/>
      <c r="G1105" s="9" t="n">
        <v>91.53846153846152</v>
      </c>
      <c r="H1105" s="9" t="n">
        <v>91.53846153846152</v>
      </c>
      <c r="I1105" s="9" t="inlineStr">
        <is>
          <t>Depth (no MLB PA)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7" t="n"/>
      <c r="N1105" s="17" t="n"/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3">
        <f>SUMPRODUCT(M1105:X1105,$M$2:$X$2)*$K1105*$L1105</f>
        <v/>
      </c>
      <c r="Z1105" s="14">
        <f>SUM(M1105:X1105)</f>
        <v/>
      </c>
      <c r="AA1105" s="14">
        <f>IFERROR(IF(UPPER($E1105)="L",SUMPRODUCT(M1105:X1105,$M$3:$X$3,$M$2:$X$2),SUMPRODUCT(M1105:X1105,$M$4:$X$4,$M$2:$X$2))/(Y1105/($K1105*$L1105)),"")</f>
        <v/>
      </c>
      <c r="AB1105" s="18" t="n"/>
    </row>
    <row r="1106">
      <c r="A1106" s="9" t="n">
        <v>514888</v>
      </c>
      <c r="B1106" s="9" t="inlineStr">
        <is>
          <t>Jose Altuve</t>
        </is>
      </c>
      <c r="C1106" s="9" t="inlineStr">
        <is>
          <t>HOU</t>
        </is>
      </c>
      <c r="D1106" s="9" t="n">
        <v>37</v>
      </c>
      <c r="E1106" s="16" t="inlineStr">
        <is>
          <t>R</t>
        </is>
      </c>
      <c r="F1106" s="16" t="n"/>
      <c r="G1106" s="9" t="n">
        <v>573</v>
      </c>
      <c r="H1106" s="9" t="n">
        <v>2923</v>
      </c>
      <c r="I1106" s="9" t="inlineStr">
        <is>
          <t>Full Time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7" t="n"/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/>
      <c r="Y1106" s="13">
        <f>SUMPRODUCT(M1106:X1106,$M$2:$X$2)*$K1106*$L1106</f>
        <v/>
      </c>
      <c r="Z1106" s="14">
        <f>SUM(M1106:X1106)</f>
        <v/>
      </c>
      <c r="AA1106" s="14">
        <f>IFERROR(IF(UPPER($E1106)="L",SUMPRODUCT(M1106:X1106,$M$3:$X$3,$M$2:$X$2),SUMPRODUCT(M1106:X1106,$M$4:$X$4,$M$2:$X$2))/(Y1106/($K1106*$L1106)),"")</f>
        <v/>
      </c>
      <c r="AB1106" s="18" t="n"/>
    </row>
    <row r="1107">
      <c r="A1107" s="9" t="n">
        <v>684976</v>
      </c>
      <c r="B1107" s="9" t="inlineStr">
        <is>
          <t>Johnathon Thomas</t>
        </is>
      </c>
      <c r="C1107" s="9" t="inlineStr">
        <is>
          <t>WSH</t>
        </is>
      </c>
      <c r="D1107" s="9" t="n">
        <v>25</v>
      </c>
      <c r="E1107" s="16" t="inlineStr">
        <is>
          <t>R</t>
        </is>
      </c>
      <c r="F1107" s="16" t="n"/>
      <c r="G1107" s="9" t="n">
        <v>21.43589743589744</v>
      </c>
      <c r="H1107" s="9" t="n">
        <v>21.43589743589744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7" t="n"/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/>
      <c r="Y1107" s="13">
        <f>SUMPRODUCT(M1107:X1107,$M$2:$X$2)*$K1107*$L1107</f>
        <v/>
      </c>
      <c r="Z1107" s="14">
        <f>SUM(M1107:X1107)</f>
        <v/>
      </c>
      <c r="AA1107" s="14">
        <f>IFERROR(IF(UPPER($E1107)="L",SUMPRODUCT(M1107:X1107,$M$3:$X$3,$M$2:$X$2),SUMPRODUCT(M1107:X1107,$M$4:$X$4,$M$2:$X$2))/(Y1107/($K1107*$L1107)),"")</f>
        <v/>
      </c>
      <c r="AB1107" s="18" t="n"/>
    </row>
    <row r="1108">
      <c r="A1108" s="9" t="n">
        <v>683569</v>
      </c>
      <c r="B1108" s="9" t="inlineStr">
        <is>
          <t>Jose Colmenares</t>
        </is>
      </c>
      <c r="C1108" s="9" t="inlineStr">
        <is>
          <t>CWS</t>
        </is>
      </c>
      <c r="D1108" s="9" t="n">
        <v>25</v>
      </c>
      <c r="E1108" s="16" t="inlineStr">
        <is>
          <t>R</t>
        </is>
      </c>
      <c r="F1108" s="16" t="n"/>
      <c r="G1108" s="9" t="n">
        <v>31.58974358974359</v>
      </c>
      <c r="H1108" s="9" t="n">
        <v>31.58974358974359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7" t="n"/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/>
      <c r="Y1108" s="13">
        <f>SUMPRODUCT(M1108:X1108,$M$2:$X$2)*$K1108*$L1108</f>
        <v/>
      </c>
      <c r="Z1108" s="14">
        <f>SUM(M1108:X1108)</f>
        <v/>
      </c>
      <c r="AA1108" s="14">
        <f>IFERROR(IF(UPPER($E1108)="L",SUMPRODUCT(M1108:X1108,$M$3:$X$3,$M$2:$X$2),SUMPRODUCT(M1108:X1108,$M$4:$X$4,$M$2:$X$2))/(Y1108/($K1108*$L1108)),"")</f>
        <v/>
      </c>
      <c r="AB1108" s="18" t="n"/>
    </row>
    <row r="1109">
      <c r="A1109" s="9" t="n">
        <v>807721</v>
      </c>
      <c r="B1109" s="9" t="inlineStr">
        <is>
          <t>Ryan Cooney</t>
        </is>
      </c>
      <c r="C1109" s="9" t="inlineStr">
        <is>
          <t>TOR</t>
        </is>
      </c>
      <c r="D1109" s="9" t="n">
        <v>25</v>
      </c>
      <c r="E1109" s="16" t="inlineStr">
        <is>
          <t>R</t>
        </is>
      </c>
      <c r="F1109" s="16" t="n"/>
      <c r="G1109" s="9" t="n">
        <v>10.58461538461538</v>
      </c>
      <c r="H1109" s="9" t="n">
        <v>10.58461538461538</v>
      </c>
      <c r="I1109" s="9" t="inlineStr">
        <is>
          <t>Depth (no MLB PA)</t>
        </is>
      </c>
      <c r="J1109" s="16" t="inlineStr">
        <is>
          <t>Opening Day</t>
        </is>
      </c>
      <c r="K1109" s="11">
        <f>IFERROR(INDEX(Roles!$B$17:$B$20,MATCH(J1109,Roles!$A$17:$A$20,0)),1)</f>
        <v/>
      </c>
      <c r="L1109" s="17" t="n">
        <v>1</v>
      </c>
      <c r="M1109" s="17" t="n"/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3">
        <f>SUMPRODUCT(M1109:X1109,$M$2:$X$2)*$K1109*$L1109</f>
        <v/>
      </c>
      <c r="Z1109" s="14">
        <f>SUM(M1109:X1109)</f>
        <v/>
      </c>
      <c r="AA1109" s="14">
        <f>IFERROR(IF(UPPER($E1109)="L",SUMPRODUCT(M1109:X1109,$M$3:$X$3,$M$2:$X$2),SUMPRODUCT(M1109:X1109,$M$4:$X$4,$M$2:$X$2))/(Y1109/($K1109*$L1109)),"")</f>
        <v/>
      </c>
      <c r="AB1109" s="18" t="n"/>
    </row>
    <row r="1110">
      <c r="A1110" s="9" t="n">
        <v>808123</v>
      </c>
      <c r="B1110" s="9" t="inlineStr">
        <is>
          <t>Victor Rodriguez</t>
        </is>
      </c>
      <c r="C1110" s="9" t="inlineStr">
        <is>
          <t>LAA</t>
        </is>
      </c>
      <c r="D1110" s="9" t="n">
        <v>25</v>
      </c>
      <c r="E1110" s="16" t="inlineStr">
        <is>
          <t>R</t>
        </is>
      </c>
      <c r="F1110" s="16" t="n"/>
      <c r="G1110" s="9" t="n">
        <v>10.46153846153846</v>
      </c>
      <c r="H1110" s="9" t="n">
        <v>10.46153846153846</v>
      </c>
      <c r="I1110" s="9" t="inlineStr">
        <is>
          <t>Depth (no MLB PA)</t>
        </is>
      </c>
      <c r="J1110" s="16" t="inlineStr">
        <is>
          <t>Opening Day</t>
        </is>
      </c>
      <c r="K1110" s="11">
        <f>IFERROR(INDEX(Roles!$B$17:$B$20,MATCH(J1110,Roles!$A$17:$A$20,0)),1)</f>
        <v/>
      </c>
      <c r="L1110" s="17" t="n">
        <v>1</v>
      </c>
      <c r="M1110" s="17" t="n"/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/>
      <c r="Y1110" s="13">
        <f>SUMPRODUCT(M1110:X1110,$M$2:$X$2)*$K1110*$L1110</f>
        <v/>
      </c>
      <c r="Z1110" s="14">
        <f>SUM(M1110:X1110)</f>
        <v/>
      </c>
      <c r="AA1110" s="14">
        <f>IFERROR(IF(UPPER($E1110)="L",SUMPRODUCT(M1110:X1110,$M$3:$X$3,$M$2:$X$2),SUMPRODUCT(M1110:X1110,$M$4:$X$4,$M$2:$X$2))/(Y1110/($K1110*$L1110)),"")</f>
        <v/>
      </c>
      <c r="AB1110" s="18" t="n"/>
    </row>
    <row r="1111">
      <c r="A1111" s="9" t="n">
        <v>806233</v>
      </c>
      <c r="B1111" s="9" t="inlineStr">
        <is>
          <t>Luke Stevenson</t>
        </is>
      </c>
      <c r="C1111" s="9" t="inlineStr">
        <is>
          <t>SEA</t>
        </is>
      </c>
      <c r="D1111" s="9" t="n">
        <v>25</v>
      </c>
      <c r="E1111" s="16" t="inlineStr">
        <is>
          <t>L</t>
        </is>
      </c>
      <c r="F1111" s="16" t="n"/>
      <c r="G1111" s="9" t="n">
        <v>95.3846153846154</v>
      </c>
      <c r="H1111" s="9" t="n">
        <v>95.3846153846154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7" t="n"/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/>
      <c r="Y1111" s="13">
        <f>SUMPRODUCT(M1111:X1111,$M$2:$X$2)*$K1111*$L1111</f>
        <v/>
      </c>
      <c r="Z1111" s="14">
        <f>SUM(M1111:X1111)</f>
        <v/>
      </c>
      <c r="AA1111" s="14">
        <f>IFERROR(IF(UPPER($E1111)="L",SUMPRODUCT(M1111:X1111,$M$3:$X$3,$M$2:$X$2),SUMPRODUCT(M1111:X1111,$M$4:$X$4,$M$2:$X$2))/(Y1111/($K1111*$L1111)),"")</f>
        <v/>
      </c>
      <c r="AB1111" s="18" t="n"/>
    </row>
    <row r="1112">
      <c r="A1112" s="9" t="n">
        <v>811551</v>
      </c>
      <c r="B1112" s="9" t="inlineStr">
        <is>
          <t>Isael Arias</t>
        </is>
      </c>
      <c r="C1112" s="9" t="inlineStr">
        <is>
          <t>NYY</t>
        </is>
      </c>
      <c r="D1112" s="9" t="n">
        <v>25</v>
      </c>
      <c r="E1112" s="16" t="inlineStr">
        <is>
          <t>R</t>
        </is>
      </c>
      <c r="F1112" s="16" t="n"/>
      <c r="G1112" s="9" t="n">
        <v>6.276923076923077</v>
      </c>
      <c r="H1112" s="9" t="n">
        <v>6.276923076923077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7" t="n"/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/>
      <c r="Y1112" s="13">
        <f>SUMPRODUCT(M1112:X1112,$M$2:$X$2)*$K1112*$L1112</f>
        <v/>
      </c>
      <c r="Z1112" s="14">
        <f>SUM(M1112:X1112)</f>
        <v/>
      </c>
      <c r="AA1112" s="14">
        <f>IFERROR(IF(UPPER($E1112)="L",SUMPRODUCT(M1112:X1112,$M$3:$X$3,$M$2:$X$2),SUMPRODUCT(M1112:X1112,$M$4:$X$4,$M$2:$X$2))/(Y1112/($K1112*$L1112)),"")</f>
        <v/>
      </c>
      <c r="AB1112" s="18" t="n"/>
    </row>
    <row r="1113">
      <c r="A1113" s="9" t="n">
        <v>808298</v>
      </c>
      <c r="B1113" s="9" t="inlineStr">
        <is>
          <t>Heriberto Rincon</t>
        </is>
      </c>
      <c r="C1113" s="9" t="inlineStr">
        <is>
          <t>NYM</t>
        </is>
      </c>
      <c r="D1113" s="9" t="n">
        <v>25</v>
      </c>
      <c r="E1113" s="16" t="inlineStr">
        <is>
          <t>R</t>
        </is>
      </c>
      <c r="F1113" s="16" t="n"/>
      <c r="G1113" s="9" t="n">
        <v>6.35897435897436</v>
      </c>
      <c r="H1113" s="9" t="n">
        <v>6.35897435897436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7" t="n"/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/>
      <c r="Y1113" s="13">
        <f>SUMPRODUCT(M1113:X1113,$M$2:$X$2)*$K1113*$L1113</f>
        <v/>
      </c>
      <c r="Z1113" s="14">
        <f>SUM(M1113:X1113)</f>
        <v/>
      </c>
      <c r="AA1113" s="14">
        <f>IFERROR(IF(UPPER($E1113)="L",SUMPRODUCT(M1113:X1113,$M$3:$X$3,$M$2:$X$2),SUMPRODUCT(M1113:X1113,$M$4:$X$4,$M$2:$X$2))/(Y1113/($K1113*$L1113)),"")</f>
        <v/>
      </c>
      <c r="AB1113" s="18" t="n"/>
    </row>
    <row r="1114">
      <c r="A1114" s="9" t="n">
        <v>823658</v>
      </c>
      <c r="B1114" s="9" t="inlineStr">
        <is>
          <t>Daniel Dickinson</t>
        </is>
      </c>
      <c r="C1114" s="9" t="inlineStr">
        <is>
          <t>MIL</t>
        </is>
      </c>
      <c r="D1114" s="9" t="n">
        <v>25</v>
      </c>
      <c r="E1114" s="16" t="inlineStr">
        <is>
          <t>R</t>
        </is>
      </c>
      <c r="F1114" s="16" t="n"/>
      <c r="G1114" s="9" t="n">
        <v>6.461538461538462</v>
      </c>
      <c r="H1114" s="9" t="n">
        <v>6.461538461538462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7" t="n"/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/>
      <c r="Y1114" s="13">
        <f>SUMPRODUCT(M1114:X1114,$M$2:$X$2)*$K1114*$L1114</f>
        <v/>
      </c>
      <c r="Z1114" s="14">
        <f>SUM(M1114:X1114)</f>
        <v/>
      </c>
      <c r="AA1114" s="14">
        <f>IFERROR(IF(UPPER($E1114)="L",SUMPRODUCT(M1114:X1114,$M$3:$X$3,$M$2:$X$2),SUMPRODUCT(M1114:X1114,$M$4:$X$4,$M$2:$X$2))/(Y1114/($K1114*$L1114)),"")</f>
        <v/>
      </c>
      <c r="AB1114" s="18" t="n"/>
    </row>
    <row r="1115">
      <c r="A1115" s="9" t="n">
        <v>694318</v>
      </c>
      <c r="B1115" s="9" t="inlineStr">
        <is>
          <t>Austin St. Laurent</t>
        </is>
      </c>
      <c r="C1115" s="9" t="inlineStr">
        <is>
          <t>SEA</t>
        </is>
      </c>
      <c r="D1115" s="9" t="n">
        <v>25</v>
      </c>
      <c r="E1115" s="16" t="inlineStr">
        <is>
          <t>R</t>
        </is>
      </c>
      <c r="F1115" s="16" t="n"/>
      <c r="G1115" s="9" t="n">
        <v>6.461538461538462</v>
      </c>
      <c r="H1115" s="9" t="n">
        <v>6.461538461538462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7" t="n"/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/>
      <c r="Y1115" s="13">
        <f>SUMPRODUCT(M1115:X1115,$M$2:$X$2)*$K1115*$L1115</f>
        <v/>
      </c>
      <c r="Z1115" s="14">
        <f>SUM(M1115:X1115)</f>
        <v/>
      </c>
      <c r="AA1115" s="14">
        <f>IFERROR(IF(UPPER($E1115)="L",SUMPRODUCT(M1115:X1115,$M$3:$X$3,$M$2:$X$2),SUMPRODUCT(M1115:X1115,$M$4:$X$4,$M$2:$X$2))/(Y1115/($K1115*$L1115)),"")</f>
        <v/>
      </c>
      <c r="AB1115" s="18" t="n"/>
    </row>
    <row r="1116">
      <c r="A1116" s="9" t="n">
        <v>821262</v>
      </c>
      <c r="B1116" s="9" t="inlineStr">
        <is>
          <t>José Anderson</t>
        </is>
      </c>
      <c r="C1116" s="9" t="inlineStr">
        <is>
          <t>MIL</t>
        </is>
      </c>
      <c r="D1116" s="9" t="n">
        <v>25</v>
      </c>
      <c r="E1116" s="16" t="inlineStr">
        <is>
          <t>R</t>
        </is>
      </c>
      <c r="F1116" s="16" t="n"/>
      <c r="G1116" s="9" t="n">
        <v>54.27692307692308</v>
      </c>
      <c r="H1116" s="9" t="n">
        <v>54.27692307692308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7" t="n"/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/>
      <c r="Y1116" s="13">
        <f>SUMPRODUCT(M1116:X1116,$M$2:$X$2)*$K1116*$L1116</f>
        <v/>
      </c>
      <c r="Z1116" s="14">
        <f>SUM(M1116:X1116)</f>
        <v/>
      </c>
      <c r="AA1116" s="14">
        <f>IFERROR(IF(UPPER($E1116)="L",SUMPRODUCT(M1116:X1116,$M$3:$X$3,$M$2:$X$2),SUMPRODUCT(M1116:X1116,$M$4:$X$4,$M$2:$X$2))/(Y1116/($K1116*$L1116)),"")</f>
        <v/>
      </c>
      <c r="AB1116" s="18" t="n"/>
    </row>
    <row r="1117">
      <c r="A1117" s="9" t="n">
        <v>691191</v>
      </c>
      <c r="B1117" s="9" t="inlineStr">
        <is>
          <t>Jose Salas</t>
        </is>
      </c>
      <c r="C1117" s="9" t="inlineStr">
        <is>
          <t>MIN</t>
        </is>
      </c>
      <c r="D1117" s="9" t="n">
        <v>25</v>
      </c>
      <c r="E1117" s="16" t="inlineStr">
        <is>
          <t>L</t>
        </is>
      </c>
      <c r="F1117" s="16" t="n"/>
      <c r="G1117" s="9" t="n">
        <v>64.61538461538461</v>
      </c>
      <c r="H1117" s="9" t="n">
        <v>64.61538461538461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7" t="n"/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/>
      <c r="Y1117" s="13">
        <f>SUMPRODUCT(M1117:X1117,$M$2:$X$2)*$K1117*$L1117</f>
        <v/>
      </c>
      <c r="Z1117" s="14">
        <f>SUM(M1117:X1117)</f>
        <v/>
      </c>
      <c r="AA1117" s="14">
        <f>IFERROR(IF(UPPER($E1117)="L",SUMPRODUCT(M1117:X1117,$M$3:$X$3,$M$2:$X$2),SUMPRODUCT(M1117:X1117,$M$4:$X$4,$M$2:$X$2))/(Y1117/($K1117*$L1117)),"")</f>
        <v/>
      </c>
      <c r="AB1117" s="18" t="n"/>
    </row>
    <row r="1118">
      <c r="A1118" s="9" t="n">
        <v>694227</v>
      </c>
      <c r="B1118" s="9" t="inlineStr">
        <is>
          <t>Danyer Cueva</t>
        </is>
      </c>
      <c r="C1118" s="9" t="inlineStr">
        <is>
          <t>TEX</t>
        </is>
      </c>
      <c r="D1118" s="9" t="n">
        <v>25</v>
      </c>
      <c r="E1118" s="16" t="inlineStr">
        <is>
          <t>L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7" t="n"/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/>
      <c r="Y1118" s="13">
        <f>SUMPRODUCT(M1118:X1118,$M$2:$X$2)*$K1118*$L1118</f>
        <v/>
      </c>
      <c r="Z1118" s="14">
        <f>SUM(M1118:X1118)</f>
        <v/>
      </c>
      <c r="AA1118" s="14">
        <f>IFERROR(IF(UPPER($E1118)="L",SUMPRODUCT(M1118:X1118,$M$3:$X$3,$M$2:$X$2),SUMPRODUCT(M1118:X1118,$M$4:$X$4,$M$2:$X$2))/(Y1118/($K1118*$L1118)),"")</f>
        <v/>
      </c>
      <c r="AB1118" s="18" t="n"/>
    </row>
    <row r="1119">
      <c r="A1119" s="9" t="n">
        <v>806494</v>
      </c>
      <c r="B1119" s="9" t="inlineStr">
        <is>
          <t>Kam Durnin</t>
        </is>
      </c>
      <c r="C1119" s="9" t="inlineStr">
        <is>
          <t>HOU</t>
        </is>
      </c>
      <c r="D1119" s="9" t="n">
        <v>25</v>
      </c>
      <c r="E1119" s="16" t="inlineStr">
        <is>
          <t>R</t>
        </is>
      </c>
      <c r="F1119" s="16" t="n"/>
      <c r="G1119" s="9" t="n">
        <v>10.70769230769231</v>
      </c>
      <c r="H1119" s="9" t="n">
        <v>10.70769230769231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7" t="n"/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/>
      <c r="Y1119" s="13">
        <f>SUMPRODUCT(M1119:X1119,$M$2:$X$2)*$K1119*$L1119</f>
        <v/>
      </c>
      <c r="Z1119" s="14">
        <f>SUM(M1119:X1119)</f>
        <v/>
      </c>
      <c r="AA1119" s="14">
        <f>IFERROR(IF(UPPER($E1119)="L",SUMPRODUCT(M1119:X1119,$M$3:$X$3,$M$2:$X$2),SUMPRODUCT(M1119:X1119,$M$4:$X$4,$M$2:$X$2))/(Y1119/($K1119*$L1119)),"")</f>
        <v/>
      </c>
      <c r="AB1119" s="18" t="n"/>
    </row>
    <row r="1120">
      <c r="A1120" s="9" t="n">
        <v>681581</v>
      </c>
      <c r="B1120" s="9" t="inlineStr">
        <is>
          <t>Andy Weber</t>
        </is>
      </c>
      <c r="C1120" s="9" t="inlineStr">
        <is>
          <t>CWS</t>
        </is>
      </c>
      <c r="D1120" s="9" t="n">
        <v>25</v>
      </c>
      <c r="E1120" s="16" t="inlineStr">
        <is>
          <t>L</t>
        </is>
      </c>
      <c r="F1120" s="16" t="n"/>
      <c r="G1120" s="9" t="n">
        <v>192.3589743589744</v>
      </c>
      <c r="H1120" s="9" t="n">
        <v>192.3589743589744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7" t="n"/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/>
      <c r="Y1120" s="13">
        <f>SUMPRODUCT(M1120:X1120,$M$2:$X$2)*$K1120*$L1120</f>
        <v/>
      </c>
      <c r="Z1120" s="14">
        <f>SUM(M1120:X1120)</f>
        <v/>
      </c>
      <c r="AA1120" s="14">
        <f>IFERROR(IF(UPPER($E1120)="L",SUMPRODUCT(M1120:X1120,$M$3:$X$3,$M$2:$X$2),SUMPRODUCT(M1120:X1120,$M$4:$X$4,$M$2:$X$2))/(Y1120/($K1120*$L1120)),"")</f>
        <v/>
      </c>
      <c r="AB1120" s="18" t="n"/>
    </row>
    <row r="1121">
      <c r="A1121" s="9" t="n">
        <v>829751</v>
      </c>
      <c r="B1121" s="9" t="inlineStr">
        <is>
          <t>Angel De Los Santos</t>
        </is>
      </c>
      <c r="C1121" s="9" t="inlineStr">
        <is>
          <t>DET</t>
        </is>
      </c>
      <c r="D1121" s="9" t="n">
        <v>25</v>
      </c>
      <c r="E1121" s="16" t="inlineStr">
        <is>
          <t>R</t>
        </is>
      </c>
      <c r="F1121" s="16" t="n"/>
      <c r="G1121" s="9" t="n">
        <v>12.92307692307692</v>
      </c>
      <c r="H1121" s="9" t="n">
        <v>12.92307692307692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7" t="n"/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/>
      <c r="Y1121" s="13">
        <f>SUMPRODUCT(M1121:X1121,$M$2:$X$2)*$K1121*$L1121</f>
        <v/>
      </c>
      <c r="Z1121" s="14">
        <f>SUM(M1121:X1121)</f>
        <v/>
      </c>
      <c r="AA1121" s="14">
        <f>IFERROR(IF(UPPER($E1121)="L",SUMPRODUCT(M1121:X1121,$M$3:$X$3,$M$2:$X$2),SUMPRODUCT(M1121:X1121,$M$4:$X$4,$M$2:$X$2))/(Y1121/($K1121*$L1121)),"")</f>
        <v/>
      </c>
      <c r="AB1121" s="18" t="n"/>
    </row>
    <row r="1122">
      <c r="A1122" s="9" t="n">
        <v>825578</v>
      </c>
      <c r="B1122" s="9" t="inlineStr">
        <is>
          <t>Matt Quintanar</t>
        </is>
      </c>
      <c r="C1122" s="9" t="inlineStr">
        <is>
          <t>PHI</t>
        </is>
      </c>
      <c r="D1122" s="9" t="n">
        <v>25</v>
      </c>
      <c r="E1122" s="16" t="inlineStr">
        <is>
          <t>R</t>
        </is>
      </c>
      <c r="F1122" s="16" t="n"/>
      <c r="G1122" s="9" t="n">
        <v>6.523076923076923</v>
      </c>
      <c r="H1122" s="9" t="n">
        <v>6.523076923076923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7" t="n"/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/>
      <c r="Y1122" s="13">
        <f>SUMPRODUCT(M1122:X1122,$M$2:$X$2)*$K1122*$L1122</f>
        <v/>
      </c>
      <c r="Z1122" s="14">
        <f>SUM(M1122:X1122)</f>
        <v/>
      </c>
      <c r="AA1122" s="14">
        <f>IFERROR(IF(UPPER($E1122)="L",SUMPRODUCT(M1122:X1122,$M$3:$X$3,$M$2:$X$2),SUMPRODUCT(M1122:X1122,$M$4:$X$4,$M$2:$X$2))/(Y1122/($K1122*$L1122)),"")</f>
        <v/>
      </c>
      <c r="AB1122" s="18" t="n"/>
    </row>
    <row r="1123">
      <c r="A1123" s="9" t="n">
        <v>823050</v>
      </c>
      <c r="B1123" s="9" t="inlineStr">
        <is>
          <t>Mulivai Levu</t>
        </is>
      </c>
      <c r="C1123" s="9" t="inlineStr">
        <is>
          <t>CIN</t>
        </is>
      </c>
      <c r="D1123" s="9" t="n">
        <v>25</v>
      </c>
      <c r="E1123" s="16" t="inlineStr">
        <is>
          <t>L</t>
        </is>
      </c>
      <c r="F1123" s="16" t="n"/>
      <c r="G1123" s="9" t="n">
        <v>10.83076923076923</v>
      </c>
      <c r="H1123" s="9" t="n">
        <v>10.83076923076923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7" t="n"/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/>
      <c r="Y1123" s="13">
        <f>SUMPRODUCT(M1123:X1123,$M$2:$X$2)*$K1123*$L1123</f>
        <v/>
      </c>
      <c r="Z1123" s="14">
        <f>SUM(M1123:X1123)</f>
        <v/>
      </c>
      <c r="AA1123" s="14">
        <f>IFERROR(IF(UPPER($E1123)="L",SUMPRODUCT(M1123:X1123,$M$3:$X$3,$M$2:$X$2),SUMPRODUCT(M1123:X1123,$M$4:$X$4,$M$2:$X$2))/(Y1123/($K1123*$L1123)),"")</f>
        <v/>
      </c>
      <c r="AB1123" s="18" t="n"/>
    </row>
    <row r="1124">
      <c r="A1124" s="9" t="n">
        <v>676566</v>
      </c>
      <c r="B1124" s="9" t="inlineStr">
        <is>
          <t>Shawn Ross</t>
        </is>
      </c>
      <c r="C1124" s="9" t="inlineStr">
        <is>
          <t>PIT</t>
        </is>
      </c>
      <c r="D1124" s="9" t="n">
        <v>27</v>
      </c>
      <c r="E1124" s="16" t="inlineStr">
        <is>
          <t>R</t>
        </is>
      </c>
      <c r="F1124" s="16" t="n"/>
      <c r="G1124" s="9" t="n">
        <v>5</v>
      </c>
      <c r="H1124" s="9" t="n">
        <v>5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7" t="n"/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/>
      <c r="Y1124" s="13">
        <f>SUMPRODUCT(M1124:X1124,$M$2:$X$2)*$K1124*$L1124</f>
        <v/>
      </c>
      <c r="Z1124" s="14">
        <f>SUM(M1124:X1124)</f>
        <v/>
      </c>
      <c r="AA1124" s="14">
        <f>IFERROR(IF(UPPER($E1124)="L",SUMPRODUCT(M1124:X1124,$M$3:$X$3,$M$2:$X$2),SUMPRODUCT(M1124:X1124,$M$4:$X$4,$M$2:$X$2))/(Y1124/($K1124*$L1124)),"")</f>
        <v/>
      </c>
      <c r="AB1124" s="18" t="n"/>
    </row>
    <row r="1125">
      <c r="A1125" s="9" t="n">
        <v>694943</v>
      </c>
      <c r="B1125" s="9" t="inlineStr">
        <is>
          <t>Juan Gonzalez</t>
        </is>
      </c>
      <c r="C1125" s="9" t="inlineStr">
        <is>
          <t>CWS</t>
        </is>
      </c>
      <c r="D1125" s="9" t="n">
        <v>25</v>
      </c>
      <c r="E1125" s="16" t="inlineStr">
        <is>
          <t>R</t>
        </is>
      </c>
      <c r="F1125" s="16" t="n"/>
      <c r="G1125" s="9" t="n">
        <v>6.461538461538462</v>
      </c>
      <c r="H1125" s="9" t="n">
        <v>6.461538461538462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7" t="n"/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/>
      <c r="Y1125" s="13">
        <f>SUMPRODUCT(M1125:X1125,$M$2:$X$2)*$K1125*$L1125</f>
        <v/>
      </c>
      <c r="Z1125" s="14">
        <f>SUM(M1125:X1125)</f>
        <v/>
      </c>
      <c r="AA1125" s="14">
        <f>IFERROR(IF(UPPER($E1125)="L",SUMPRODUCT(M1125:X1125,$M$3:$X$3,$M$2:$X$2),SUMPRODUCT(M1125:X1125,$M$4:$X$4,$M$2:$X$2))/(Y1125/($K1125*$L1125)),"")</f>
        <v/>
      </c>
      <c r="AB1125" s="18" t="n"/>
    </row>
    <row r="1126">
      <c r="A1126" s="9" t="n">
        <v>578570</v>
      </c>
      <c r="B1126" s="9" t="inlineStr">
        <is>
          <t>Juniel Querecuto</t>
        </is>
      </c>
      <c r="C1126" s="9" t="inlineStr">
        <is>
          <t>STL</t>
        </is>
      </c>
      <c r="D1126" s="9" t="n">
        <v>34</v>
      </c>
      <c r="E1126" s="16" t="inlineStr">
        <is>
          <t>S</t>
        </is>
      </c>
      <c r="F1126" s="16" t="n"/>
      <c r="G1126" s="9" t="n">
        <v>21</v>
      </c>
      <c r="H1126" s="9" t="n">
        <v>21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7" t="n"/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/>
      <c r="Y1126" s="13">
        <f>SUMPRODUCT(M1126:X1126,$M$2:$X$2)*$K1126*$L1126</f>
        <v/>
      </c>
      <c r="Z1126" s="14">
        <f>SUM(M1126:X1126)</f>
        <v/>
      </c>
      <c r="AA1126" s="14">
        <f>IFERROR(IF(UPPER($E1126)="L",SUMPRODUCT(M1126:X1126,$M$3:$X$3,$M$2:$X$2),SUMPRODUCT(M1126:X1126,$M$4:$X$4,$M$2:$X$2))/(Y1126/($K1126*$L1126)),"")</f>
        <v/>
      </c>
      <c r="AB1126" s="18" t="n"/>
    </row>
    <row r="1127">
      <c r="A1127" s="9" t="n">
        <v>692169</v>
      </c>
      <c r="B1127" s="9" t="inlineStr">
        <is>
          <t>Jonny McGill</t>
        </is>
      </c>
      <c r="C1127" s="9" t="inlineStr">
        <is>
          <t>LAA</t>
        </is>
      </c>
      <c r="D1127" s="9" t="n">
        <v>25</v>
      </c>
      <c r="E1127" s="16" t="inlineStr">
        <is>
          <t>L</t>
        </is>
      </c>
      <c r="F1127" s="16" t="n"/>
      <c r="G1127" s="9" t="n">
        <v>10.66666666666667</v>
      </c>
      <c r="H1127" s="9" t="n">
        <v>10.66666666666667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7" t="n"/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/>
      <c r="Y1127" s="13">
        <f>SUMPRODUCT(M1127:X1127,$M$2:$X$2)*$K1127*$L1127</f>
        <v/>
      </c>
      <c r="Z1127" s="14">
        <f>SUM(M1127:X1127)</f>
        <v/>
      </c>
      <c r="AA1127" s="14">
        <f>IFERROR(IF(UPPER($E1127)="L",SUMPRODUCT(M1127:X1127,$M$3:$X$3,$M$2:$X$2),SUMPRODUCT(M1127:X1127,$M$4:$X$4,$M$2:$X$2))/(Y1127/($K1127*$L1127)),"")</f>
        <v/>
      </c>
      <c r="AB1127" s="18" t="n"/>
    </row>
    <row r="1128">
      <c r="A1128" s="9" t="n">
        <v>702701</v>
      </c>
      <c r="B1128" s="9" t="inlineStr">
        <is>
          <t>Parker Brosius</t>
        </is>
      </c>
      <c r="C1128" s="9" t="inlineStr">
        <is>
          <t>ATL</t>
        </is>
      </c>
      <c r="D1128" s="9" t="n">
        <v>25</v>
      </c>
      <c r="E1128" s="16" t="inlineStr">
        <is>
          <t>R</t>
        </is>
      </c>
      <c r="F1128" s="16" t="n"/>
      <c r="G1128" s="9" t="n">
        <v>12.92307692307692</v>
      </c>
      <c r="H1128" s="9" t="n">
        <v>12.92307692307692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7" t="n"/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/>
      <c r="Y1128" s="13">
        <f>SUMPRODUCT(M1128:X1128,$M$2:$X$2)*$K1128*$L1128</f>
        <v/>
      </c>
      <c r="Z1128" s="14">
        <f>SUM(M1128:X1128)</f>
        <v/>
      </c>
      <c r="AA1128" s="14">
        <f>IFERROR(IF(UPPER($E1128)="L",SUMPRODUCT(M1128:X1128,$M$3:$X$3,$M$2:$X$2),SUMPRODUCT(M1128:X1128,$M$4:$X$4,$M$2:$X$2))/(Y1128/($K1128*$L1128)),"")</f>
        <v/>
      </c>
      <c r="AB1128" s="18" t="n"/>
    </row>
    <row r="1129">
      <c r="A1129" s="9" t="n">
        <v>686681</v>
      </c>
      <c r="B1129" s="9" t="inlineStr">
        <is>
          <t>Michael Massey</t>
        </is>
      </c>
      <c r="C1129" s="9" t="inlineStr">
        <is>
          <t>KC</t>
        </is>
      </c>
      <c r="D1129" s="9" t="n">
        <v>29</v>
      </c>
      <c r="E1129" s="16" t="inlineStr">
        <is>
          <t>L</t>
        </is>
      </c>
      <c r="F1129" s="16" t="n"/>
      <c r="G1129" s="9" t="n">
        <v>452</v>
      </c>
      <c r="H1129" s="9" t="n">
        <v>1740</v>
      </c>
      <c r="I1129" s="9" t="inlineStr">
        <is>
          <t>Full Time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7" t="n"/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/>
      <c r="Y1129" s="13">
        <f>SUMPRODUCT(M1129:X1129,$M$2:$X$2)*$K1129*$L1129</f>
        <v/>
      </c>
      <c r="Z1129" s="14">
        <f>SUM(M1129:X1129)</f>
        <v/>
      </c>
      <c r="AA1129" s="14">
        <f>IFERROR(IF(UPPER($E1129)="L",SUMPRODUCT(M1129:X1129,$M$3:$X$3,$M$2:$X$2),SUMPRODUCT(M1129:X1129,$M$4:$X$4,$M$2:$X$2))/(Y1129/($K1129*$L1129)),"")</f>
        <v/>
      </c>
      <c r="AB1129" s="18" t="n"/>
    </row>
    <row r="1130">
      <c r="A1130" s="9" t="n">
        <v>682947</v>
      </c>
      <c r="B1130" s="9" t="inlineStr">
        <is>
          <t>Jose Ramos</t>
        </is>
      </c>
      <c r="C1130" s="9" t="inlineStr">
        <is>
          <t>NYM</t>
        </is>
      </c>
      <c r="D1130" s="9" t="n">
        <v>25</v>
      </c>
      <c r="E1130" s="16" t="inlineStr">
        <is>
          <t>R</t>
        </is>
      </c>
      <c r="F1130" s="16" t="n"/>
      <c r="G1130" s="9" t="n">
        <v>68.25641025641026</v>
      </c>
      <c r="H1130" s="9" t="n">
        <v>68.25641025641026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7" t="n"/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/>
      <c r="Y1130" s="13">
        <f>SUMPRODUCT(M1130:X1130,$M$2:$X$2)*$K1130*$L1130</f>
        <v/>
      </c>
      <c r="Z1130" s="14">
        <f>SUM(M1130:X1130)</f>
        <v/>
      </c>
      <c r="AA1130" s="14">
        <f>IFERROR(IF(UPPER($E1130)="L",SUMPRODUCT(M1130:X1130,$M$3:$X$3,$M$2:$X$2),SUMPRODUCT(M1130:X1130,$M$4:$X$4,$M$2:$X$2))/(Y1130/($K1130*$L1130)),"")</f>
        <v/>
      </c>
      <c r="AB1130" s="18" t="n"/>
    </row>
    <row r="1131">
      <c r="A1131" s="9" t="n">
        <v>801932</v>
      </c>
      <c r="B1131" s="9" t="inlineStr">
        <is>
          <t>Alex McCoy</t>
        </is>
      </c>
      <c r="C1131" s="9" t="inlineStr">
        <is>
          <t>SD</t>
        </is>
      </c>
      <c r="D1131" s="9" t="n">
        <v>25</v>
      </c>
      <c r="E1131" s="16" t="inlineStr">
        <is>
          <t>R</t>
        </is>
      </c>
      <c r="F1131" s="16" t="n"/>
      <c r="G1131" s="9" t="n">
        <v>40.56410256410256</v>
      </c>
      <c r="H1131" s="9" t="n">
        <v>40.56410256410256</v>
      </c>
      <c r="I1131" s="9" t="inlineStr">
        <is>
          <t>Depth (no MLB PA)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7" t="n"/>
      <c r="N1131" s="17" t="n"/>
      <c r="O1131" s="17" t="n"/>
      <c r="P1131" s="17" t="n"/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3">
        <f>SUMPRODUCT(M1131:X1131,$M$2:$X$2)*$K1131*$L1131</f>
        <v/>
      </c>
      <c r="Z1131" s="14">
        <f>SUM(M1131:X1131)</f>
        <v/>
      </c>
      <c r="AA1131" s="14">
        <f>IFERROR(IF(UPPER($E1131)="L",SUMPRODUCT(M1131:X1131,$M$3:$X$3,$M$2:$X$2),SUMPRODUCT(M1131:X1131,$M$4:$X$4,$M$2:$X$2))/(Y1131/($K1131*$L1131)),"")</f>
        <v/>
      </c>
      <c r="AB1131" s="18" t="n"/>
    </row>
    <row r="1132">
      <c r="A1132" s="9" t="n">
        <v>808786</v>
      </c>
      <c r="B1132" s="9" t="inlineStr">
        <is>
          <t>Jake Duer</t>
        </is>
      </c>
      <c r="C1132" s="9" t="inlineStr">
        <is>
          <t>ARI</t>
        </is>
      </c>
      <c r="D1132" s="9" t="n">
        <v>25</v>
      </c>
      <c r="E1132" s="16" t="inlineStr">
        <is>
          <t>L</t>
        </is>
      </c>
      <c r="F1132" s="16" t="n"/>
      <c r="G1132" s="9" t="n">
        <v>6.646153846153847</v>
      </c>
      <c r="H1132" s="9" t="n">
        <v>6.646153846153847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7" t="n"/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/>
      <c r="Y1132" s="13">
        <f>SUMPRODUCT(M1132:X1132,$M$2:$X$2)*$K1132*$L1132</f>
        <v/>
      </c>
      <c r="Z1132" s="14">
        <f>SUM(M1132:X1132)</f>
        <v/>
      </c>
      <c r="AA1132" s="14">
        <f>IFERROR(IF(UPPER($E1132)="L",SUMPRODUCT(M1132:X1132,$M$3:$X$3,$M$2:$X$2),SUMPRODUCT(M1132:X1132,$M$4:$X$4,$M$2:$X$2))/(Y1132/($K1132*$L1132)),"")</f>
        <v/>
      </c>
      <c r="AB1132" s="18" t="n"/>
    </row>
    <row r="1133">
      <c r="A1133" s="9" t="n">
        <v>670712</v>
      </c>
      <c r="B1133" s="9" t="inlineStr">
        <is>
          <t>Mike Brosseau</t>
        </is>
      </c>
      <c r="C1133" s="9" t="inlineStr">
        <is>
          <t>MIL</t>
        </is>
      </c>
      <c r="D1133" s="9" t="n">
        <v>33</v>
      </c>
      <c r="E1133" s="16" t="inlineStr">
        <is>
          <t>R</t>
        </is>
      </c>
      <c r="F1133" s="16" t="n"/>
      <c r="G1133" s="9" t="n">
        <v>78</v>
      </c>
      <c r="H1133" s="9" t="n">
        <v>238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7" t="n"/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/>
      <c r="Y1133" s="13">
        <f>SUMPRODUCT(M1133:X1133,$M$2:$X$2)*$K1133*$L1133</f>
        <v/>
      </c>
      <c r="Z1133" s="14">
        <f>SUM(M1133:X1133)</f>
        <v/>
      </c>
      <c r="AA1133" s="14">
        <f>IFERROR(IF(UPPER($E1133)="L",SUMPRODUCT(M1133:X1133,$M$3:$X$3,$M$2:$X$2),SUMPRODUCT(M1133:X1133,$M$4:$X$4,$M$2:$X$2))/(Y1133/($K1133*$L1133)),"")</f>
        <v/>
      </c>
      <c r="AB1133" s="18" t="n"/>
    </row>
    <row r="1134">
      <c r="A1134" s="9" t="n">
        <v>826932</v>
      </c>
      <c r="B1134" s="9" t="inlineStr">
        <is>
          <t>Cobb Hightower</t>
        </is>
      </c>
      <c r="C1134" s="9" t="inlineStr">
        <is>
          <t>BAL</t>
        </is>
      </c>
      <c r="D1134" s="9" t="n">
        <v>25</v>
      </c>
      <c r="E1134" s="16" t="inlineStr">
        <is>
          <t>R</t>
        </is>
      </c>
      <c r="F1134" s="16" t="n"/>
      <c r="G1134" s="9" t="n">
        <v>6.769230769230769</v>
      </c>
      <c r="H1134" s="9" t="n">
        <v>6.769230769230769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7" t="n"/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/>
      <c r="Y1134" s="13">
        <f>SUMPRODUCT(M1134:X1134,$M$2:$X$2)*$K1134*$L1134</f>
        <v/>
      </c>
      <c r="Z1134" s="14">
        <f>SUM(M1134:X1134)</f>
        <v/>
      </c>
      <c r="AA1134" s="14">
        <f>IFERROR(IF(UPPER($E1134)="L",SUMPRODUCT(M1134:X1134,$M$3:$X$3,$M$2:$X$2),SUMPRODUCT(M1134:X1134,$M$4:$X$4,$M$2:$X$2))/(Y1134/($K1134*$L1134)),"")</f>
        <v/>
      </c>
      <c r="AB1134" s="18" t="n"/>
    </row>
    <row r="1135">
      <c r="A1135" s="9" t="n">
        <v>808120</v>
      </c>
      <c r="B1135" s="9" t="inlineStr">
        <is>
          <t>Samil Dishmey</t>
        </is>
      </c>
      <c r="C1135" s="9" t="inlineStr">
        <is>
          <t>LAA</t>
        </is>
      </c>
      <c r="D1135" s="9" t="n">
        <v>25</v>
      </c>
      <c r="E1135" s="16" t="inlineStr">
        <is>
          <t>L</t>
        </is>
      </c>
      <c r="F1135" s="16" t="n"/>
      <c r="G1135" s="9" t="n">
        <v>10.83076923076923</v>
      </c>
      <c r="H1135" s="9" t="n">
        <v>10.83076923076923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7" t="n"/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/>
      <c r="Y1135" s="13">
        <f>SUMPRODUCT(M1135:X1135,$M$2:$X$2)*$K1135*$L1135</f>
        <v/>
      </c>
      <c r="Z1135" s="14">
        <f>SUM(M1135:X1135)</f>
        <v/>
      </c>
      <c r="AA1135" s="14">
        <f>IFERROR(IF(UPPER($E1135)="L",SUMPRODUCT(M1135:X1135,$M$3:$X$3,$M$2:$X$2),SUMPRODUCT(M1135:X1135,$M$4:$X$4,$M$2:$X$2))/(Y1135/($K1135*$L1135)),"")</f>
        <v/>
      </c>
      <c r="AB1135" s="18" t="n"/>
    </row>
    <row r="1136">
      <c r="A1136" s="9" t="n">
        <v>842049</v>
      </c>
      <c r="B1136" s="9" t="inlineStr">
        <is>
          <t>Grayson Fitzwater</t>
        </is>
      </c>
      <c r="C1136" s="9" t="inlineStr">
        <is>
          <t>CWS</t>
        </is>
      </c>
      <c r="D1136" s="9" t="n">
        <v>25</v>
      </c>
      <c r="E1136" s="16" t="inlineStr">
        <is>
          <t>L</t>
        </is>
      </c>
      <c r="F1136" s="16" t="n"/>
      <c r="G1136" s="9" t="n">
        <v>15.13846153846154</v>
      </c>
      <c r="H1136" s="9" t="n">
        <v>15.13846153846154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7" t="n"/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/>
      <c r="Y1136" s="13">
        <f>SUMPRODUCT(M1136:X1136,$M$2:$X$2)*$K1136*$L1136</f>
        <v/>
      </c>
      <c r="Z1136" s="14">
        <f>SUM(M1136:X1136)</f>
        <v/>
      </c>
      <c r="AA1136" s="14">
        <f>IFERROR(IF(UPPER($E1136)="L",SUMPRODUCT(M1136:X1136,$M$3:$X$3,$M$2:$X$2),SUMPRODUCT(M1136:X1136,$M$4:$X$4,$M$2:$X$2))/(Y1136/($K1136*$L1136)),"")</f>
        <v/>
      </c>
      <c r="AB1136" s="18" t="n"/>
    </row>
    <row r="1137">
      <c r="A1137" s="9" t="n">
        <v>686490</v>
      </c>
      <c r="B1137" s="9" t="inlineStr">
        <is>
          <t>Cam Eden</t>
        </is>
      </c>
      <c r="C1137" s="9" t="inlineStr">
        <is>
          <t>TOR</t>
        </is>
      </c>
      <c r="D1137" s="9" t="n">
        <v>29</v>
      </c>
      <c r="E1137" s="16" t="inlineStr">
        <is>
          <t>R</t>
        </is>
      </c>
      <c r="F1137" s="16" t="n"/>
      <c r="G1137" s="9" t="n">
        <v>6</v>
      </c>
      <c r="H1137" s="9" t="n">
        <v>6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7" t="n"/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/>
      <c r="Y1137" s="13">
        <f>SUMPRODUCT(M1137:X1137,$M$2:$X$2)*$K1137*$L1137</f>
        <v/>
      </c>
      <c r="Z1137" s="14">
        <f>SUM(M1137:X1137)</f>
        <v/>
      </c>
      <c r="AA1137" s="14">
        <f>IFERROR(IF(UPPER($E1137)="L",SUMPRODUCT(M1137:X1137,$M$3:$X$3,$M$2:$X$2),SUMPRODUCT(M1137:X1137,$M$4:$X$4,$M$2:$X$2))/(Y1137/($K1137*$L1137)),"")</f>
        <v/>
      </c>
      <c r="AB1137" s="18" t="n"/>
    </row>
    <row r="1138">
      <c r="A1138" s="9" t="n">
        <v>800605</v>
      </c>
      <c r="B1138" s="9" t="inlineStr">
        <is>
          <t>Will Gasparino</t>
        </is>
      </c>
      <c r="C1138" s="9" t="inlineStr">
        <is>
          <t>PHI</t>
        </is>
      </c>
      <c r="D1138" s="9" t="n">
        <v>25</v>
      </c>
      <c r="E1138" s="16" t="inlineStr">
        <is>
          <t>R</t>
        </is>
      </c>
      <c r="F1138" s="16" t="n"/>
      <c r="G1138" s="9" t="n">
        <v>10.95384615384615</v>
      </c>
      <c r="H1138" s="9" t="n">
        <v>10.95384615384615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7" t="n"/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/>
      <c r="Y1138" s="13">
        <f>SUMPRODUCT(M1138:X1138,$M$2:$X$2)*$K1138*$L1138</f>
        <v/>
      </c>
      <c r="Z1138" s="14">
        <f>SUM(M1138:X1138)</f>
        <v/>
      </c>
      <c r="AA1138" s="14">
        <f>IFERROR(IF(UPPER($E1138)="L",SUMPRODUCT(M1138:X1138,$M$3:$X$3,$M$2:$X$2),SUMPRODUCT(M1138:X1138,$M$4:$X$4,$M$2:$X$2))/(Y1138/($K1138*$L1138)),"")</f>
        <v/>
      </c>
      <c r="AB1138" s="18" t="n"/>
    </row>
    <row r="1139">
      <c r="A1139" s="9" t="n">
        <v>800185</v>
      </c>
      <c r="B1139" s="9" t="inlineStr">
        <is>
          <t>Ruben Santana</t>
        </is>
      </c>
      <c r="C1139" s="9" t="inlineStr">
        <is>
          <t>ARI</t>
        </is>
      </c>
      <c r="D1139" s="9" t="n">
        <v>25</v>
      </c>
      <c r="E1139" s="16" t="inlineStr">
        <is>
          <t>R</t>
        </is>
      </c>
      <c r="F1139" s="16" t="n"/>
      <c r="G1139" s="9" t="n">
        <v>6.564102564102566</v>
      </c>
      <c r="H1139" s="9" t="n">
        <v>6.564102564102566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7" t="n"/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/>
      <c r="Y1139" s="13">
        <f>SUMPRODUCT(M1139:X1139,$M$2:$X$2)*$K1139*$L1139</f>
        <v/>
      </c>
      <c r="Z1139" s="14">
        <f>SUM(M1139:X1139)</f>
        <v/>
      </c>
      <c r="AA1139" s="14">
        <f>IFERROR(IF(UPPER($E1139)="L",SUMPRODUCT(M1139:X1139,$M$3:$X$3,$M$2:$X$2),SUMPRODUCT(M1139:X1139,$M$4:$X$4,$M$2:$X$2))/(Y1139/($K1139*$L1139)),"")</f>
        <v/>
      </c>
      <c r="AB1139" s="18" t="n"/>
    </row>
    <row r="1140">
      <c r="A1140" s="9" t="n">
        <v>823352</v>
      </c>
      <c r="B1140" s="9" t="inlineStr">
        <is>
          <t>Luke Nixon</t>
        </is>
      </c>
      <c r="C1140" s="9" t="inlineStr">
        <is>
          <t>SF</t>
        </is>
      </c>
      <c r="D1140" s="9" t="n">
        <v>25</v>
      </c>
      <c r="E1140" s="16" t="inlineStr">
        <is>
          <t>L</t>
        </is>
      </c>
      <c r="F1140" s="16" t="n"/>
      <c r="G1140" s="9" t="n">
        <v>6.646153846153847</v>
      </c>
      <c r="H1140" s="9" t="n">
        <v>6.646153846153847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7" t="n"/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/>
      <c r="Y1140" s="13">
        <f>SUMPRODUCT(M1140:X1140,$M$2:$X$2)*$K1140*$L1140</f>
        <v/>
      </c>
      <c r="Z1140" s="14">
        <f>SUM(M1140:X1140)</f>
        <v/>
      </c>
      <c r="AA1140" s="14">
        <f>IFERROR(IF(UPPER($E1140)="L",SUMPRODUCT(M1140:X1140,$M$3:$X$3,$M$2:$X$2),SUMPRODUCT(M1140:X1140,$M$4:$X$4,$M$2:$X$2))/(Y1140/($K1140*$L1140)),"")</f>
        <v/>
      </c>
      <c r="AB1140" s="18" t="n"/>
    </row>
    <row r="1141">
      <c r="A1141" s="9" t="n">
        <v>692598</v>
      </c>
      <c r="B1141" s="9" t="inlineStr">
        <is>
          <t>Newremberg Rondon</t>
        </is>
      </c>
      <c r="C1141" s="9" t="inlineStr">
        <is>
          <t>DET</t>
        </is>
      </c>
      <c r="D1141" s="9" t="n">
        <v>25</v>
      </c>
      <c r="E1141" s="16" t="inlineStr">
        <is>
          <t>R</t>
        </is>
      </c>
      <c r="F1141" s="16" t="n"/>
      <c r="G1141" s="9" t="n">
        <v>8.738461538461538</v>
      </c>
      <c r="H1141" s="9" t="n">
        <v>8.738461538461538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7" t="n"/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/>
      <c r="Y1141" s="13">
        <f>SUMPRODUCT(M1141:X1141,$M$2:$X$2)*$K1141*$L1141</f>
        <v/>
      </c>
      <c r="Z1141" s="14">
        <f>SUM(M1141:X1141)</f>
        <v/>
      </c>
      <c r="AA1141" s="14">
        <f>IFERROR(IF(UPPER($E1141)="L",SUMPRODUCT(M1141:X1141,$M$3:$X$3,$M$2:$X$2),SUMPRODUCT(M1141:X1141,$M$4:$X$4,$M$2:$X$2))/(Y1141/($K1141*$L1141)),"")</f>
        <v/>
      </c>
      <c r="AB1141" s="18" t="n"/>
    </row>
    <row r="1142">
      <c r="A1142" s="9" t="n">
        <v>699712</v>
      </c>
      <c r="B1142" s="9" t="inlineStr">
        <is>
          <t>Raylin Heredia</t>
        </is>
      </c>
      <c r="C1142" s="9" t="inlineStr">
        <is>
          <t>PHI</t>
        </is>
      </c>
      <c r="D1142" s="9" t="n">
        <v>25</v>
      </c>
      <c r="E1142" s="16" t="inlineStr">
        <is>
          <t>R</t>
        </is>
      </c>
      <c r="F1142" s="16" t="n"/>
      <c r="G1142" s="9" t="n">
        <v>203.8974358974359</v>
      </c>
      <c r="H1142" s="9" t="n">
        <v>203.8974358974359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7" t="n"/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/>
      <c r="Y1142" s="13">
        <f>SUMPRODUCT(M1142:X1142,$M$2:$X$2)*$K1142*$L1142</f>
        <v/>
      </c>
      <c r="Z1142" s="14">
        <f>SUM(M1142:X1142)</f>
        <v/>
      </c>
      <c r="AA1142" s="14">
        <f>IFERROR(IF(UPPER($E1142)="L",SUMPRODUCT(M1142:X1142,$M$3:$X$3,$M$2:$X$2),SUMPRODUCT(M1142:X1142,$M$4:$X$4,$M$2:$X$2))/(Y1142/($K1142*$L1142)),"")</f>
        <v/>
      </c>
      <c r="AB1142" s="18" t="n"/>
    </row>
    <row r="1143">
      <c r="A1143" s="9" t="n">
        <v>832226</v>
      </c>
      <c r="B1143" s="9" t="inlineStr">
        <is>
          <t>Jackson Hauge</t>
        </is>
      </c>
      <c r="C1143" s="9" t="inlineStr">
        <is>
          <t>NYM</t>
        </is>
      </c>
      <c r="D1143" s="9" t="n">
        <v>25</v>
      </c>
      <c r="E1143" s="16" t="inlineStr">
        <is>
          <t>R</t>
        </is>
      </c>
      <c r="F1143" s="16" t="n"/>
      <c r="G1143" s="9" t="n">
        <v>10.95384615384615</v>
      </c>
      <c r="H1143" s="9" t="n">
        <v>10.95384615384615</v>
      </c>
      <c r="I1143" s="9" t="inlineStr">
        <is>
          <t>Depth (no MLB PA)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7" t="n"/>
      <c r="N1143" s="17" t="n"/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3">
        <f>SUMPRODUCT(M1143:X1143,$M$2:$X$2)*$K1143*$L1143</f>
        <v/>
      </c>
      <c r="Z1143" s="14">
        <f>SUM(M1143:X1143)</f>
        <v/>
      </c>
      <c r="AA1143" s="14">
        <f>IFERROR(IF(UPPER($E1143)="L",SUMPRODUCT(M1143:X1143,$M$3:$X$3,$M$2:$X$2),SUMPRODUCT(M1143:X1143,$M$4:$X$4,$M$2:$X$2))/(Y1143/($K1143*$L1143)),"")</f>
        <v/>
      </c>
      <c r="AB1143" s="18" t="n"/>
    </row>
    <row r="1144">
      <c r="A1144" s="9" t="n">
        <v>691398</v>
      </c>
      <c r="B1144" s="9" t="inlineStr">
        <is>
          <t>Yerlin Confidan</t>
        </is>
      </c>
      <c r="C1144" s="9" t="inlineStr">
        <is>
          <t>CIN</t>
        </is>
      </c>
      <c r="D1144" s="9" t="n">
        <v>25</v>
      </c>
      <c r="E1144" s="16" t="inlineStr">
        <is>
          <t>L</t>
        </is>
      </c>
      <c r="F1144" s="16" t="n"/>
      <c r="G1144" s="9" t="n">
        <v>75.02564102564102</v>
      </c>
      <c r="H1144" s="9" t="n">
        <v>75.02564102564102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7" t="n"/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/>
      <c r="Y1144" s="13">
        <f>SUMPRODUCT(M1144:X1144,$M$2:$X$2)*$K1144*$L1144</f>
        <v/>
      </c>
      <c r="Z1144" s="14">
        <f>SUM(M1144:X1144)</f>
        <v/>
      </c>
      <c r="AA1144" s="14">
        <f>IFERROR(IF(UPPER($E1144)="L",SUMPRODUCT(M1144:X1144,$M$3:$X$3,$M$2:$X$2),SUMPRODUCT(M1144:X1144,$M$4:$X$4,$M$2:$X$2))/(Y1144/($K1144*$L1144)),"")</f>
        <v/>
      </c>
      <c r="AB1144" s="18" t="n"/>
    </row>
    <row r="1145">
      <c r="A1145" s="9" t="n">
        <v>702265</v>
      </c>
      <c r="B1145" s="9" t="inlineStr">
        <is>
          <t>Paxton Kling</t>
        </is>
      </c>
      <c r="C1145" s="9" t="inlineStr">
        <is>
          <t>TEX</t>
        </is>
      </c>
      <c r="D1145" s="9" t="n">
        <v>25</v>
      </c>
      <c r="E1145" s="16" t="inlineStr">
        <is>
          <t>R</t>
        </is>
      </c>
      <c r="F1145" s="16" t="n"/>
      <c r="G1145" s="9" t="n">
        <v>6.820512820512821</v>
      </c>
      <c r="H1145" s="9" t="n">
        <v>6.820512820512821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7" t="n"/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/>
      <c r="Y1145" s="13">
        <f>SUMPRODUCT(M1145:X1145,$M$2:$X$2)*$K1145*$L1145</f>
        <v/>
      </c>
      <c r="Z1145" s="14">
        <f>SUM(M1145:X1145)</f>
        <v/>
      </c>
      <c r="AA1145" s="14">
        <f>IFERROR(IF(UPPER($E1145)="L",SUMPRODUCT(M1145:X1145,$M$3:$X$3,$M$2:$X$2),SUMPRODUCT(M1145:X1145,$M$4:$X$4,$M$2:$X$2))/(Y1145/($K1145*$L1145)),"")</f>
        <v/>
      </c>
      <c r="AB1145" s="18" t="n"/>
    </row>
    <row r="1146">
      <c r="A1146" s="9" t="n">
        <v>695607</v>
      </c>
      <c r="B1146" s="9" t="inlineStr">
        <is>
          <t>Nick McLain</t>
        </is>
      </c>
      <c r="C1146" s="9" t="inlineStr">
        <is>
          <t>CWS</t>
        </is>
      </c>
      <c r="D1146" s="9" t="n">
        <v>25</v>
      </c>
      <c r="E1146" s="16" t="inlineStr">
        <is>
          <t>S</t>
        </is>
      </c>
      <c r="F1146" s="16" t="n"/>
      <c r="G1146" s="9" t="n">
        <v>23.38461538461539</v>
      </c>
      <c r="H1146" s="9" t="n">
        <v>23.38461538461539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7" t="n"/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/>
      <c r="Y1146" s="13">
        <f>SUMPRODUCT(M1146:X1146,$M$2:$X$2)*$K1146*$L1146</f>
        <v/>
      </c>
      <c r="Z1146" s="14">
        <f>SUM(M1146:X1146)</f>
        <v/>
      </c>
      <c r="AA1146" s="14">
        <f>IFERROR(IF(UPPER($E1146)="L",SUMPRODUCT(M1146:X1146,$M$3:$X$3,$M$2:$X$2),SUMPRODUCT(M1146:X1146,$M$4:$X$4,$M$2:$X$2))/(Y1146/($K1146*$L1146)),"")</f>
        <v/>
      </c>
      <c r="AB1146" s="18" t="n"/>
    </row>
    <row r="1147">
      <c r="A1147" s="9" t="n">
        <v>527038</v>
      </c>
      <c r="B1147" s="9" t="inlineStr">
        <is>
          <t>Wilmer Flores</t>
        </is>
      </c>
      <c r="C1147" s="9" t="inlineStr">
        <is>
          <t>SF</t>
        </is>
      </c>
      <c r="D1147" s="9" t="n">
        <v>35</v>
      </c>
      <c r="E1147" s="16" t="inlineStr">
        <is>
          <t>R</t>
        </is>
      </c>
      <c r="F1147" s="16" t="n"/>
      <c r="G1147" s="9" t="n">
        <v>463</v>
      </c>
      <c r="H1147" s="9" t="n">
        <v>1761</v>
      </c>
      <c r="I1147" s="9" t="inlineStr">
        <is>
          <t>Full Time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7" t="n"/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/>
      <c r="Y1147" s="13">
        <f>SUMPRODUCT(M1147:X1147,$M$2:$X$2)*$K1147*$L1147</f>
        <v/>
      </c>
      <c r="Z1147" s="14">
        <f>SUM(M1147:X1147)</f>
        <v/>
      </c>
      <c r="AA1147" s="14">
        <f>IFERROR(IF(UPPER($E1147)="L",SUMPRODUCT(M1147:X1147,$M$3:$X$3,$M$2:$X$2),SUMPRODUCT(M1147:X1147,$M$4:$X$4,$M$2:$X$2))/(Y1147/($K1147*$L1147)),"")</f>
        <v/>
      </c>
      <c r="AB1147" s="18" t="n"/>
    </row>
    <row r="1148">
      <c r="A1148" s="9" t="n">
        <v>815491</v>
      </c>
      <c r="B1148" s="9" t="inlineStr">
        <is>
          <t>Wills Maginnis</t>
        </is>
      </c>
      <c r="C1148" s="9" t="inlineStr">
        <is>
          <t>BOS</t>
        </is>
      </c>
      <c r="D1148" s="9" t="n">
        <v>25</v>
      </c>
      <c r="E1148" s="16" t="inlineStr">
        <is>
          <t>R</t>
        </is>
      </c>
      <c r="F1148" s="16" t="n"/>
      <c r="G1148" s="9" t="n">
        <v>9.107692307692307</v>
      </c>
      <c r="H1148" s="9" t="n">
        <v>9.107692307692307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7" t="n"/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/>
      <c r="Y1148" s="13">
        <f>SUMPRODUCT(M1148:X1148,$M$2:$X$2)*$K1148*$L1148</f>
        <v/>
      </c>
      <c r="Z1148" s="14">
        <f>SUM(M1148:X1148)</f>
        <v/>
      </c>
      <c r="AA1148" s="14">
        <f>IFERROR(IF(UPPER($E1148)="L",SUMPRODUCT(M1148:X1148,$M$3:$X$3,$M$2:$X$2),SUMPRODUCT(M1148:X1148,$M$4:$X$4,$M$2:$X$2))/(Y1148/($K1148*$L1148)),"")</f>
        <v/>
      </c>
      <c r="AB1148" s="18" t="n"/>
    </row>
    <row r="1149">
      <c r="A1149" s="9" t="n">
        <v>800171</v>
      </c>
      <c r="B1149" s="9" t="inlineStr">
        <is>
          <t>Angel Mata</t>
        </is>
      </c>
      <c r="C1149" s="9" t="inlineStr">
        <is>
          <t>PHI</t>
        </is>
      </c>
      <c r="D1149" s="9" t="n">
        <v>25</v>
      </c>
      <c r="E1149" s="16" t="inlineStr">
        <is>
          <t>R</t>
        </is>
      </c>
      <c r="F1149" s="16" t="n"/>
      <c r="G1149" s="9" t="n">
        <v>6.76923076923077</v>
      </c>
      <c r="H1149" s="9" t="n">
        <v>6.76923076923077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7" t="n"/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/>
      <c r="Y1149" s="13">
        <f>SUMPRODUCT(M1149:X1149,$M$2:$X$2)*$K1149*$L1149</f>
        <v/>
      </c>
      <c r="Z1149" s="14">
        <f>SUM(M1149:X1149)</f>
        <v/>
      </c>
      <c r="AA1149" s="14">
        <f>IFERROR(IF(UPPER($E1149)="L",SUMPRODUCT(M1149:X1149,$M$3:$X$3,$M$2:$X$2),SUMPRODUCT(M1149:X1149,$M$4:$X$4,$M$2:$X$2))/(Y1149/($K1149*$L1149)),"")</f>
        <v/>
      </c>
      <c r="AB1149" s="18" t="n"/>
    </row>
    <row r="1150">
      <c r="A1150" s="9" t="n">
        <v>692044</v>
      </c>
      <c r="B1150" s="9" t="inlineStr">
        <is>
          <t>Luis Suisbel</t>
        </is>
      </c>
      <c r="C1150" s="9" t="inlineStr">
        <is>
          <t>SEA</t>
        </is>
      </c>
      <c r="D1150" s="9" t="n">
        <v>25</v>
      </c>
      <c r="E1150" s="16" t="inlineStr">
        <is>
          <t>S</t>
        </is>
      </c>
      <c r="F1150" s="16" t="n"/>
      <c r="G1150" s="9" t="n">
        <v>85.74358974358975</v>
      </c>
      <c r="H1150" s="9" t="n">
        <v>85.74358974358975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7" t="n"/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/>
      <c r="Y1150" s="13">
        <f>SUMPRODUCT(M1150:X1150,$M$2:$X$2)*$K1150*$L1150</f>
        <v/>
      </c>
      <c r="Z1150" s="14">
        <f>SUM(M1150:X1150)</f>
        <v/>
      </c>
      <c r="AA1150" s="14">
        <f>IFERROR(IF(UPPER($E1150)="L",SUMPRODUCT(M1150:X1150,$M$3:$X$3,$M$2:$X$2),SUMPRODUCT(M1150:X1150,$M$4:$X$4,$M$2:$X$2))/(Y1150/($K1150*$L1150)),"")</f>
        <v/>
      </c>
      <c r="AB1150" s="18" t="n"/>
    </row>
    <row r="1151">
      <c r="A1151" s="9" t="n">
        <v>821762</v>
      </c>
      <c r="B1151" s="9" t="inlineStr">
        <is>
          <t>Oliver Tejada</t>
        </is>
      </c>
      <c r="C1151" s="9" t="inlineStr">
        <is>
          <t>SF</t>
        </is>
      </c>
      <c r="D1151" s="9" t="n">
        <v>25</v>
      </c>
      <c r="E1151" s="16" t="inlineStr">
        <is>
          <t>R</t>
        </is>
      </c>
      <c r="F1151" s="16" t="n"/>
      <c r="G1151" s="9" t="n">
        <v>21.78461538461539</v>
      </c>
      <c r="H1151" s="9" t="n">
        <v>21.78461538461539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7" t="n"/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/>
      <c r="Y1151" s="13">
        <f>SUMPRODUCT(M1151:X1151,$M$2:$X$2)*$K1151*$L1151</f>
        <v/>
      </c>
      <c r="Z1151" s="14">
        <f>SUM(M1151:X1151)</f>
        <v/>
      </c>
      <c r="AA1151" s="14">
        <f>IFERROR(IF(UPPER($E1151)="L",SUMPRODUCT(M1151:X1151,$M$3:$X$3,$M$2:$X$2),SUMPRODUCT(M1151:X1151,$M$4:$X$4,$M$2:$X$2))/(Y1151/($K1151*$L1151)),"")</f>
        <v/>
      </c>
      <c r="AB1151" s="18" t="n"/>
    </row>
    <row r="1152">
      <c r="A1152" s="9" t="n">
        <v>822153</v>
      </c>
      <c r="B1152" s="9" t="inlineStr">
        <is>
          <t>Jeffery Heard</t>
        </is>
      </c>
      <c r="C1152" s="9" t="inlineStr">
        <is>
          <t>LAA</t>
        </is>
      </c>
      <c r="D1152" s="9" t="n">
        <v>25</v>
      </c>
      <c r="E1152" s="16" t="inlineStr">
        <is>
          <t>L</t>
        </is>
      </c>
      <c r="F1152" s="16" t="n"/>
      <c r="G1152" s="9" t="n">
        <v>13.29230769230769</v>
      </c>
      <c r="H1152" s="9" t="n">
        <v>13.29230769230769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7" t="n"/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/>
      <c r="Y1152" s="13">
        <f>SUMPRODUCT(M1152:X1152,$M$2:$X$2)*$K1152*$L1152</f>
        <v/>
      </c>
      <c r="Z1152" s="14">
        <f>SUM(M1152:X1152)</f>
        <v/>
      </c>
      <c r="AA1152" s="14">
        <f>IFERROR(IF(UPPER($E1152)="L",SUMPRODUCT(M1152:X1152,$M$3:$X$3,$M$2:$X$2),SUMPRODUCT(M1152:X1152,$M$4:$X$4,$M$2:$X$2))/(Y1152/($K1152*$L1152)),"")</f>
        <v/>
      </c>
      <c r="AB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7" t="n"/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/>
      <c r="Y1153" s="13">
        <f>SUMPRODUCT(M1153:X1153,$M$2:$X$2)*$K1153*$L1153</f>
        <v/>
      </c>
      <c r="Z1153" s="14">
        <f>SUM(M1153:X1153)</f>
        <v/>
      </c>
      <c r="AA1153" s="14">
        <f>IFERROR(IF(UPPER($E1153)="L",SUMPRODUCT(M1153:X1153,$M$3:$X$3,$M$2:$X$2),SUMPRODUCT(M1153:X1153,$M$4:$X$4,$M$2:$X$2))/(Y1153/($K1153*$L1153)),"")</f>
        <v/>
      </c>
      <c r="AB1153" s="18" t="n"/>
    </row>
    <row r="1154">
      <c r="A1154" s="9" t="n">
        <v>827326</v>
      </c>
      <c r="B1154" s="9" t="inlineStr">
        <is>
          <t>Yorman Licourt</t>
        </is>
      </c>
      <c r="C1154" s="9" t="inlineStr">
        <is>
          <t>TOR</t>
        </is>
      </c>
      <c r="D1154" s="9" t="n">
        <v>25</v>
      </c>
      <c r="E1154" s="16" t="inlineStr">
        <is>
          <t>L</t>
        </is>
      </c>
      <c r="F1154" s="16" t="n"/>
      <c r="G1154" s="9" t="n">
        <v>23.50769230769231</v>
      </c>
      <c r="H1154" s="9" t="n">
        <v>23.50769230769231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7" t="n"/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/>
      <c r="Y1154" s="13">
        <f>SUMPRODUCT(M1154:X1154,$M$2:$X$2)*$K1154*$L1154</f>
        <v/>
      </c>
      <c r="Z1154" s="14">
        <f>SUM(M1154:X1154)</f>
        <v/>
      </c>
      <c r="AA1154" s="14">
        <f>IFERROR(IF(UPPER($E1154)="L",SUMPRODUCT(M1154:X1154,$M$3:$X$3,$M$2:$X$2),SUMPRODUCT(M1154:X1154,$M$4:$X$4,$M$2:$X$2))/(Y1154/($K1154*$L1154)),"")</f>
        <v/>
      </c>
      <c r="AB1154" s="18" t="n"/>
    </row>
    <row r="1155">
      <c r="A1155" s="9" t="n">
        <v>834710</v>
      </c>
      <c r="B1155" s="9" t="inlineStr">
        <is>
          <t>Ryan Niedzwiedz</t>
        </is>
      </c>
      <c r="C1155" s="9" t="inlineStr">
        <is>
          <t>COL</t>
        </is>
      </c>
      <c r="D1155" s="9" t="n">
        <v>25</v>
      </c>
      <c r="E1155" s="16" t="inlineStr">
        <is>
          <t>L</t>
        </is>
      </c>
      <c r="F1155" s="16" t="n"/>
      <c r="G1155" s="9" t="n">
        <v>6.892307692307693</v>
      </c>
      <c r="H1155" s="9" t="n">
        <v>6.892307692307693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7" t="n"/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/>
      <c r="Y1155" s="13">
        <f>SUMPRODUCT(M1155:X1155,$M$2:$X$2)*$K1155*$L1155</f>
        <v/>
      </c>
      <c r="Z1155" s="14">
        <f>SUM(M1155:X1155)</f>
        <v/>
      </c>
      <c r="AA1155" s="14">
        <f>IFERROR(IF(UPPER($E1155)="L",SUMPRODUCT(M1155:X1155,$M$3:$X$3,$M$2:$X$2),SUMPRODUCT(M1155:X1155,$M$4:$X$4,$M$2:$X$2))/(Y1155/($K1155*$L1155)),"")</f>
        <v/>
      </c>
      <c r="AB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7" t="n"/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/>
      <c r="Y1156" s="13">
        <f>SUMPRODUCT(M1156:X1156,$M$2:$X$2)*$K1156*$L1156</f>
        <v/>
      </c>
      <c r="Z1156" s="14">
        <f>SUM(M1156:X1156)</f>
        <v/>
      </c>
      <c r="AA1156" s="14">
        <f>IFERROR(IF(UPPER($E1156)="L",SUMPRODUCT(M1156:X1156,$M$3:$X$3,$M$2:$X$2),SUMPRODUCT(M1156:X1156,$M$4:$X$4,$M$2:$X$2))/(Y1156/($K1156*$L1156)),"")</f>
        <v/>
      </c>
      <c r="AB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7" t="n"/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/>
      <c r="Y1157" s="13">
        <f>SUMPRODUCT(M1157:X1157,$M$2:$X$2)*$K1157*$L1157</f>
        <v/>
      </c>
      <c r="Z1157" s="14">
        <f>SUM(M1157:X1157)</f>
        <v/>
      </c>
      <c r="AA1157" s="14">
        <f>IFERROR(IF(UPPER($E1157)="L",SUMPRODUCT(M1157:X1157,$M$3:$X$3,$M$2:$X$2),SUMPRODUCT(M1157:X1157,$M$4:$X$4,$M$2:$X$2))/(Y1157/($K1157*$L1157)),"")</f>
        <v/>
      </c>
      <c r="AB1157" s="18" t="n"/>
    </row>
    <row r="1158">
      <c r="A1158" s="9" t="n">
        <v>829251</v>
      </c>
      <c r="B1158" s="9" t="inlineStr">
        <is>
          <t>Arturo Flores</t>
        </is>
      </c>
      <c r="C1158" s="9" t="inlineStr">
        <is>
          <t>HOU</t>
        </is>
      </c>
      <c r="D1158" s="9" t="n">
        <v>25</v>
      </c>
      <c r="E1158" s="16" t="inlineStr">
        <is>
          <t>R</t>
        </is>
      </c>
      <c r="F1158" s="16" t="n"/>
      <c r="G1158" s="9" t="n">
        <v>42.46153846153846</v>
      </c>
      <c r="H1158" s="9" t="n">
        <v>42.46153846153846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7" t="n"/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/>
      <c r="Y1158" s="13">
        <f>SUMPRODUCT(M1158:X1158,$M$2:$X$2)*$K1158*$L1158</f>
        <v/>
      </c>
      <c r="Z1158" s="14">
        <f>SUM(M1158:X1158)</f>
        <v/>
      </c>
      <c r="AA1158" s="14">
        <f>IFERROR(IF(UPPER($E1158)="L",SUMPRODUCT(M1158:X1158,$M$3:$X$3,$M$2:$X$2),SUMPRODUCT(M1158:X1158,$M$4:$X$4,$M$2:$X$2))/(Y1158/($K1158*$L1158)),"")</f>
        <v/>
      </c>
      <c r="AB1158" s="18" t="n"/>
    </row>
    <row r="1159">
      <c r="A1159" s="9" t="n">
        <v>800632</v>
      </c>
      <c r="B1159" s="9" t="inlineStr">
        <is>
          <t>Dean West</t>
        </is>
      </c>
      <c r="C1159" s="9" t="inlineStr">
        <is>
          <t>TOR</t>
        </is>
      </c>
      <c r="D1159" s="9" t="n">
        <v>25</v>
      </c>
      <c r="E1159" s="16" t="inlineStr">
        <is>
          <t>L</t>
        </is>
      </c>
      <c r="F1159" s="16" t="n"/>
      <c r="G1159" s="9" t="n">
        <v>7.138461538461539</v>
      </c>
      <c r="H1159" s="9" t="n">
        <v>7.138461538461539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7" t="n"/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/>
      <c r="Y1159" s="13">
        <f>SUMPRODUCT(M1159:X1159,$M$2:$X$2)*$K1159*$L1159</f>
        <v/>
      </c>
      <c r="Z1159" s="14">
        <f>SUM(M1159:X1159)</f>
        <v/>
      </c>
      <c r="AA1159" s="14">
        <f>IFERROR(IF(UPPER($E1159)="L",SUMPRODUCT(M1159:X1159,$M$3:$X$3,$M$2:$X$2),SUMPRODUCT(M1159:X1159,$M$4:$X$4,$M$2:$X$2))/(Y1159/($K1159*$L1159)),"")</f>
        <v/>
      </c>
      <c r="AB1159" s="18" t="n"/>
    </row>
    <row r="1160">
      <c r="A1160" s="9" t="n">
        <v>676203</v>
      </c>
      <c r="B1160" s="9" t="inlineStr">
        <is>
          <t>Marcos Castañon</t>
        </is>
      </c>
      <c r="C1160" s="9" t="inlineStr">
        <is>
          <t>SD</t>
        </is>
      </c>
      <c r="D1160" s="9" t="n">
        <v>25</v>
      </c>
      <c r="E1160" s="16" t="inlineStr">
        <is>
          <t>R</t>
        </is>
      </c>
      <c r="F1160" s="16" t="n"/>
      <c r="G1160" s="9" t="n">
        <v>274.7179487179488</v>
      </c>
      <c r="H1160" s="9" t="n">
        <v>274.7179487179488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7" t="n"/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/>
      <c r="Y1160" s="13">
        <f>SUMPRODUCT(M1160:X1160,$M$2:$X$2)*$K1160*$L1160</f>
        <v/>
      </c>
      <c r="Z1160" s="14">
        <f>SUM(M1160:X1160)</f>
        <v/>
      </c>
      <c r="AA1160" s="14">
        <f>IFERROR(IF(UPPER($E1160)="L",SUMPRODUCT(M1160:X1160,$M$3:$X$3,$M$2:$X$2),SUMPRODUCT(M1160:X1160,$M$4:$X$4,$M$2:$X$2))/(Y1160/($K1160*$L1160)),"")</f>
        <v/>
      </c>
      <c r="AB1160" s="18" t="n"/>
    </row>
    <row r="1161">
      <c r="A1161" s="9" t="n">
        <v>810891</v>
      </c>
      <c r="B1161" s="9" t="inlineStr">
        <is>
          <t>Jay Beshears</t>
        </is>
      </c>
      <c r="C1161" s="9" t="inlineStr">
        <is>
          <t>MIA</t>
        </is>
      </c>
      <c r="D1161" s="9" t="n">
        <v>25</v>
      </c>
      <c r="E1161" s="16" t="inlineStr">
        <is>
          <t>R</t>
        </is>
      </c>
      <c r="F1161" s="16" t="n"/>
      <c r="G1161" s="9" t="n">
        <v>100.5128205128205</v>
      </c>
      <c r="H1161" s="9" t="n">
        <v>100.5128205128205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7" t="n"/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/>
      <c r="Y1161" s="13">
        <f>SUMPRODUCT(M1161:X1161,$M$2:$X$2)*$K1161*$L1161</f>
        <v/>
      </c>
      <c r="Z1161" s="14">
        <f>SUM(M1161:X1161)</f>
        <v/>
      </c>
      <c r="AA1161" s="14">
        <f>IFERROR(IF(UPPER($E1161)="L",SUMPRODUCT(M1161:X1161,$M$3:$X$3,$M$2:$X$2),SUMPRODUCT(M1161:X1161,$M$4:$X$4,$M$2:$X$2))/(Y1161/($K1161*$L1161)),"")</f>
        <v/>
      </c>
      <c r="AB1161" s="18" t="n"/>
    </row>
    <row r="1162">
      <c r="A1162" s="9" t="n">
        <v>821036</v>
      </c>
      <c r="B1162" s="9" t="inlineStr">
        <is>
          <t>Cristofer Lebrón</t>
        </is>
      </c>
      <c r="C1162" s="9" t="inlineStr">
        <is>
          <t>STL</t>
        </is>
      </c>
      <c r="D1162" s="9" t="n">
        <v>25</v>
      </c>
      <c r="E1162" s="16" t="inlineStr">
        <is>
          <t>R</t>
        </is>
      </c>
      <c r="F1162" s="16" t="n"/>
      <c r="G1162" s="9" t="n">
        <v>7.015384615384615</v>
      </c>
      <c r="H1162" s="9" t="n">
        <v>7.015384615384615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7" t="n"/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/>
      <c r="Y1162" s="13">
        <f>SUMPRODUCT(M1162:X1162,$M$2:$X$2)*$K1162*$L1162</f>
        <v/>
      </c>
      <c r="Z1162" s="14">
        <f>SUM(M1162:X1162)</f>
        <v/>
      </c>
      <c r="AA1162" s="14">
        <f>IFERROR(IF(UPPER($E1162)="L",SUMPRODUCT(M1162:X1162,$M$3:$X$3,$M$2:$X$2),SUMPRODUCT(M1162:X1162,$M$4:$X$4,$M$2:$X$2))/(Y1162/($K1162*$L1162)),"")</f>
        <v/>
      </c>
      <c r="AB1162" s="18" t="n"/>
    </row>
    <row r="1163">
      <c r="A1163" s="9" t="n">
        <v>815915</v>
      </c>
      <c r="B1163" s="9" t="inlineStr">
        <is>
          <t>Joswa Lugo</t>
        </is>
      </c>
      <c r="C1163" s="9" t="inlineStr">
        <is>
          <t>LAA</t>
        </is>
      </c>
      <c r="D1163" s="9" t="n">
        <v>25</v>
      </c>
      <c r="E1163" s="16" t="inlineStr">
        <is>
          <t>R</t>
        </is>
      </c>
      <c r="F1163" s="16" t="n"/>
      <c r="G1163" s="9" t="n">
        <v>13.66153846153846</v>
      </c>
      <c r="H1163" s="9" t="n">
        <v>13.66153846153846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7" t="n"/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/>
      <c r="Y1163" s="13">
        <f>SUMPRODUCT(M1163:X1163,$M$2:$X$2)*$K1163*$L1163</f>
        <v/>
      </c>
      <c r="Z1163" s="14">
        <f>SUM(M1163:X1163)</f>
        <v/>
      </c>
      <c r="AA1163" s="14">
        <f>IFERROR(IF(UPPER($E1163)="L",SUMPRODUCT(M1163:X1163,$M$3:$X$3,$M$2:$X$2),SUMPRODUCT(M1163:X1163,$M$4:$X$4,$M$2:$X$2))/(Y1163/($K1163*$L1163)),"")</f>
        <v/>
      </c>
      <c r="AB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7" t="n"/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/>
      <c r="Y1164" s="13">
        <f>SUMPRODUCT(M1164:X1164,$M$2:$X$2)*$K1164*$L1164</f>
        <v/>
      </c>
      <c r="Z1164" s="14">
        <f>SUM(M1164:X1164)</f>
        <v/>
      </c>
      <c r="AA1164" s="14">
        <f>IFERROR(IF(UPPER($E1164)="L",SUMPRODUCT(M1164:X1164,$M$3:$X$3,$M$2:$X$2),SUMPRODUCT(M1164:X1164,$M$4:$X$4,$M$2:$X$2))/(Y1164/($K1164*$L1164)),"")</f>
        <v/>
      </c>
      <c r="AB1164" s="18" t="n"/>
    </row>
    <row r="1165">
      <c r="A1165" s="9" t="n">
        <v>807231</v>
      </c>
      <c r="B1165" s="9" t="inlineStr">
        <is>
          <t>Ryan Wynn</t>
        </is>
      </c>
      <c r="C1165" s="9" t="inlineStr">
        <is>
          <t>SEA</t>
        </is>
      </c>
      <c r="D1165" s="9" t="n">
        <v>25</v>
      </c>
      <c r="E1165" s="16" t="inlineStr">
        <is>
          <t>R</t>
        </is>
      </c>
      <c r="F1165" s="16" t="n"/>
      <c r="G1165" s="9" t="n">
        <v>11.44615384615385</v>
      </c>
      <c r="H1165" s="9" t="n">
        <v>11.44615384615385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7" t="n"/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/>
      <c r="Y1165" s="13">
        <f>SUMPRODUCT(M1165:X1165,$M$2:$X$2)*$K1165*$L1165</f>
        <v/>
      </c>
      <c r="Z1165" s="14">
        <f>SUM(M1165:X1165)</f>
        <v/>
      </c>
      <c r="AA1165" s="14">
        <f>IFERROR(IF(UPPER($E1165)="L",SUMPRODUCT(M1165:X1165,$M$3:$X$3,$M$2:$X$2),SUMPRODUCT(M1165:X1165,$M$4:$X$4,$M$2:$X$2))/(Y1165/($K1165*$L1165)),"")</f>
        <v/>
      </c>
      <c r="AB1165" s="18" t="n"/>
    </row>
    <row r="1166">
      <c r="A1166" s="9" t="n">
        <v>815690</v>
      </c>
      <c r="B1166" s="9" t="inlineStr">
        <is>
          <t>Grady Emerson</t>
        </is>
      </c>
      <c r="C1166" s="9" t="inlineStr">
        <is>
          <t>TB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7" t="n"/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/>
      <c r="Y1166" s="13">
        <f>SUMPRODUCT(M1166:X1166,$M$2:$X$2)*$K1166*$L1166</f>
        <v/>
      </c>
      <c r="Z1166" s="14">
        <f>SUM(M1166:X1166)</f>
        <v/>
      </c>
      <c r="AA1166" s="14">
        <f>IFERROR(IF(UPPER($E1166)="L",SUMPRODUCT(M1166:X1166,$M$3:$X$3,$M$2:$X$2),SUMPRODUCT(M1166:X1166,$M$4:$X$4,$M$2:$X$2))/(Y1166/($K1166*$L1166)),"")</f>
        <v/>
      </c>
      <c r="AB1166" s="18" t="n"/>
    </row>
    <row r="1167">
      <c r="A1167" s="9" t="n">
        <v>807647</v>
      </c>
      <c r="B1167" s="9" t="inlineStr">
        <is>
          <t>Pablo Nunez</t>
        </is>
      </c>
      <c r="C1167" s="9" t="inlineStr">
        <is>
          <t>CIN</t>
        </is>
      </c>
      <c r="D1167" s="9" t="n">
        <v>25</v>
      </c>
      <c r="E1167" s="16" t="inlineStr">
        <is>
          <t>L</t>
        </is>
      </c>
      <c r="F1167" s="16" t="n"/>
      <c r="G1167" s="9" t="n">
        <v>7.261538461538461</v>
      </c>
      <c r="H1167" s="9" t="n">
        <v>7.261538461538461</v>
      </c>
      <c r="I1167" s="9" t="inlineStr">
        <is>
          <t>Depth (no MLB PA)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7" t="n"/>
      <c r="N1167" s="17" t="n"/>
      <c r="O1167" s="17" t="n"/>
      <c r="P1167" s="17" t="n"/>
      <c r="Q1167" s="17" t="n"/>
      <c r="R1167" s="17" t="n"/>
      <c r="S1167" s="17" t="n"/>
      <c r="T1167" s="17" t="n"/>
      <c r="U1167" s="17" t="n"/>
      <c r="V1167" s="17" t="n"/>
      <c r="W1167" s="17" t="n"/>
      <c r="X1167" s="17" t="n"/>
      <c r="Y1167" s="13">
        <f>SUMPRODUCT(M1167:X1167,$M$2:$X$2)*$K1167*$L1167</f>
        <v/>
      </c>
      <c r="Z1167" s="14">
        <f>SUM(M1167:X1167)</f>
        <v/>
      </c>
      <c r="AA1167" s="14">
        <f>IFERROR(IF(UPPER($E1167)="L",SUMPRODUCT(M1167:X1167,$M$3:$X$3,$M$2:$X$2),SUMPRODUCT(M1167:X1167,$M$4:$X$4,$M$2:$X$2))/(Y1167/($K1167*$L1167)),"")</f>
        <v/>
      </c>
      <c r="AB1167" s="18" t="n"/>
    </row>
    <row r="1168">
      <c r="A1168" s="9" t="n">
        <v>702691</v>
      </c>
      <c r="B1168" s="9" t="inlineStr">
        <is>
          <t>Cade Climie</t>
        </is>
      </c>
      <c r="C1168" s="9" t="inlineStr">
        <is>
          <t>PHI</t>
        </is>
      </c>
      <c r="D1168" s="9" t="n">
        <v>25</v>
      </c>
      <c r="E1168" s="16" t="inlineStr">
        <is>
          <t>R</t>
        </is>
      </c>
      <c r="F1168" s="16" t="n"/>
      <c r="G1168" s="9" t="n">
        <v>9.476923076923075</v>
      </c>
      <c r="H1168" s="9" t="n">
        <v>9.476923076923075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7" t="n"/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/>
      <c r="Y1168" s="13">
        <f>SUMPRODUCT(M1168:X1168,$M$2:$X$2)*$K1168*$L1168</f>
        <v/>
      </c>
      <c r="Z1168" s="14">
        <f>SUM(M1168:X1168)</f>
        <v/>
      </c>
      <c r="AA1168" s="14">
        <f>IFERROR(IF(UPPER($E1168)="L",SUMPRODUCT(M1168:X1168,$M$3:$X$3,$M$2:$X$2),SUMPRODUCT(M1168:X1168,$M$4:$X$4,$M$2:$X$2))/(Y1168/($K1168*$L1168)),"")</f>
        <v/>
      </c>
      <c r="AB1168" s="18" t="n"/>
    </row>
    <row r="1169">
      <c r="A1169" s="9" t="n">
        <v>669384</v>
      </c>
      <c r="B1169" s="9" t="inlineStr">
        <is>
          <t>Raynel Delgado</t>
        </is>
      </c>
      <c r="C1169" s="9" t="inlineStr">
        <is>
          <t>HOU</t>
        </is>
      </c>
      <c r="D1169" s="9" t="n">
        <v>27</v>
      </c>
      <c r="E1169" s="16" t="inlineStr">
        <is>
          <t>L</t>
        </is>
      </c>
      <c r="F1169" s="16" t="n"/>
      <c r="G1169" s="9" t="n">
        <v>41</v>
      </c>
      <c r="H1169" s="9" t="n">
        <v>41</v>
      </c>
      <c r="I1169" s="9" t="inlineStr">
        <is>
          <t>Bench Bat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7" t="n"/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/>
      <c r="Y1169" s="13">
        <f>SUMPRODUCT(M1169:X1169,$M$2:$X$2)*$K1169*$L1169</f>
        <v/>
      </c>
      <c r="Z1169" s="14">
        <f>SUM(M1169:X1169)</f>
        <v/>
      </c>
      <c r="AA1169" s="14">
        <f>IFERROR(IF(UPPER($E1169)="L",SUMPRODUCT(M1169:X1169,$M$3:$X$3,$M$2:$X$2),SUMPRODUCT(M1169:X1169,$M$4:$X$4,$M$2:$X$2))/(Y1169/($K1169*$L1169)),"")</f>
        <v/>
      </c>
      <c r="AB1169" s="18" t="n"/>
    </row>
    <row r="1170">
      <c r="A1170" s="9" t="n">
        <v>821716</v>
      </c>
      <c r="B1170" s="9" t="inlineStr">
        <is>
          <t>Jhonayker Ugarte</t>
        </is>
      </c>
      <c r="C1170" s="9" t="inlineStr">
        <is>
          <t>KC</t>
        </is>
      </c>
      <c r="D1170" s="9" t="n">
        <v>25</v>
      </c>
      <c r="E1170" s="16" t="inlineStr">
        <is>
          <t>R</t>
        </is>
      </c>
      <c r="F1170" s="16" t="n"/>
      <c r="G1170" s="9" t="n">
        <v>7.261538461538461</v>
      </c>
      <c r="H1170" s="9" t="n">
        <v>7.261538461538461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7" t="n"/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/>
      <c r="Y1170" s="13">
        <f>SUMPRODUCT(M1170:X1170,$M$2:$X$2)*$K1170*$L1170</f>
        <v/>
      </c>
      <c r="Z1170" s="14">
        <f>SUM(M1170:X1170)</f>
        <v/>
      </c>
      <c r="AA1170" s="14">
        <f>IFERROR(IF(UPPER($E1170)="L",SUMPRODUCT(M1170:X1170,$M$3:$X$3,$M$2:$X$2),SUMPRODUCT(M1170:X1170,$M$4:$X$4,$M$2:$X$2))/(Y1170/($K1170*$L1170)),"")</f>
        <v/>
      </c>
      <c r="AB1170" s="18" t="n"/>
    </row>
    <row r="1171">
      <c r="A1171" s="9" t="n">
        <v>801522</v>
      </c>
      <c r="B1171" s="9" t="inlineStr">
        <is>
          <t>Carlos Sanchez</t>
        </is>
      </c>
      <c r="C1171" s="9" t="inlineStr">
        <is>
          <t>MIA</t>
        </is>
      </c>
      <c r="D1171" s="9" t="n">
        <v>25</v>
      </c>
      <c r="E1171" s="16" t="inlineStr">
        <is>
          <t>S</t>
        </is>
      </c>
      <c r="F1171" s="16" t="n"/>
      <c r="G1171" s="9" t="n">
        <v>27.69230769230769</v>
      </c>
      <c r="H1171" s="9" t="n">
        <v>27.69230769230769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7" t="n"/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/>
      <c r="Y1171" s="13">
        <f>SUMPRODUCT(M1171:X1171,$M$2:$X$2)*$K1171*$L1171</f>
        <v/>
      </c>
      <c r="Z1171" s="14">
        <f>SUM(M1171:X1171)</f>
        <v/>
      </c>
      <c r="AA1171" s="14">
        <f>IFERROR(IF(UPPER($E1171)="L",SUMPRODUCT(M1171:X1171,$M$3:$X$3,$M$2:$X$2),SUMPRODUCT(M1171:X1171,$M$4:$X$4,$M$2:$X$2))/(Y1171/($K1171*$L1171)),"")</f>
        <v/>
      </c>
      <c r="AB1171" s="18" t="n"/>
    </row>
    <row r="1172">
      <c r="A1172" s="9" t="n">
        <v>821073</v>
      </c>
      <c r="B1172" s="9" t="inlineStr">
        <is>
          <t>Jirvin Morillo</t>
        </is>
      </c>
      <c r="C1172" s="9" t="inlineStr">
        <is>
          <t>CIN</t>
        </is>
      </c>
      <c r="D1172" s="9" t="n">
        <v>25</v>
      </c>
      <c r="E1172" s="16" t="inlineStr">
        <is>
          <t>S</t>
        </is>
      </c>
      <c r="F1172" s="16" t="n"/>
      <c r="G1172" s="9" t="n">
        <v>11.56923076923077</v>
      </c>
      <c r="H1172" s="9" t="n">
        <v>11.56923076923077</v>
      </c>
      <c r="I1172" s="9" t="inlineStr">
        <is>
          <t>Depth (no MLB PA)</t>
        </is>
      </c>
      <c r="J1172" s="16" t="inlineStr">
        <is>
          <t>Opening Day</t>
        </is>
      </c>
      <c r="K1172" s="11">
        <f>IFERROR(INDEX(Roles!$B$17:$B$20,MATCH(J1172,Roles!$A$17:$A$20,0)),1)</f>
        <v/>
      </c>
      <c r="L1172" s="17" t="n">
        <v>1</v>
      </c>
      <c r="M1172" s="17" t="n"/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/>
      <c r="Y1172" s="13">
        <f>SUMPRODUCT(M1172:X1172,$M$2:$X$2)*$K1172*$L1172</f>
        <v/>
      </c>
      <c r="Z1172" s="14">
        <f>SUM(M1172:X1172)</f>
        <v/>
      </c>
      <c r="AA1172" s="14">
        <f>IFERROR(IF(UPPER($E1172)="L",SUMPRODUCT(M1172:X1172,$M$3:$X$3,$M$2:$X$2),SUMPRODUCT(M1172:X1172,$M$4:$X$4,$M$2:$X$2))/(Y1172/($K1172*$L1172)),"")</f>
        <v/>
      </c>
      <c r="AB1172" s="18" t="n"/>
    </row>
    <row r="1173">
      <c r="A1173" s="9" t="n">
        <v>702656</v>
      </c>
      <c r="B1173" s="9" t="inlineStr">
        <is>
          <t>Drew Faurot</t>
        </is>
      </c>
      <c r="C1173" s="9" t="inlineStr">
        <is>
          <t>MIA</t>
        </is>
      </c>
      <c r="D1173" s="9" t="n">
        <v>25</v>
      </c>
      <c r="E1173" s="16" t="inlineStr">
        <is>
          <t>S</t>
        </is>
      </c>
      <c r="F1173" s="16" t="n"/>
      <c r="G1173" s="9" t="n">
        <v>7.17948717948718</v>
      </c>
      <c r="H1173" s="9" t="n">
        <v>7.17948717948718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7" t="n"/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/>
      <c r="Y1173" s="13">
        <f>SUMPRODUCT(M1173:X1173,$M$2:$X$2)*$K1173*$L1173</f>
        <v/>
      </c>
      <c r="Z1173" s="14">
        <f>SUM(M1173:X1173)</f>
        <v/>
      </c>
      <c r="AA1173" s="14">
        <f>IFERROR(IF(UPPER($E1173)="L",SUMPRODUCT(M1173:X1173,$M$3:$X$3,$M$2:$X$2),SUMPRODUCT(M1173:X1173,$M$4:$X$4,$M$2:$X$2))/(Y1173/($K1173*$L1173)),"")</f>
        <v/>
      </c>
      <c r="AB1173" s="18" t="n"/>
    </row>
    <row r="1174">
      <c r="A1174" s="9" t="n">
        <v>425794</v>
      </c>
      <c r="B1174" s="9" t="inlineStr">
        <is>
          <t>Adam Wainwright</t>
        </is>
      </c>
      <c r="C1174" s="9" t="inlineStr">
        <is>
          <t>STL</t>
        </is>
      </c>
      <c r="D1174" s="9" t="n">
        <v>45</v>
      </c>
      <c r="E1174" s="16" t="inlineStr">
        <is>
          <t>R</t>
        </is>
      </c>
      <c r="F1174" s="16" t="n"/>
      <c r="G1174" s="9" t="n">
        <v>2</v>
      </c>
      <c r="H1174" s="9" t="n">
        <v>2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7" t="n"/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/>
      <c r="Y1174" s="13">
        <f>SUMPRODUCT(M1174:X1174,$M$2:$X$2)*$K1174*$L1174</f>
        <v/>
      </c>
      <c r="Z1174" s="14">
        <f>SUM(M1174:X1174)</f>
        <v/>
      </c>
      <c r="AA1174" s="14">
        <f>IFERROR(IF(UPPER($E1174)="L",SUMPRODUCT(M1174:X1174,$M$3:$X$3,$M$2:$X$2),SUMPRODUCT(M1174:X1174,$M$4:$X$4,$M$2:$X$2))/(Y1174/($K1174*$L1174)),"")</f>
        <v/>
      </c>
      <c r="AB1174" s="18" t="n"/>
    </row>
    <row r="1175">
      <c r="A1175" s="9" t="n">
        <v>701831</v>
      </c>
      <c r="B1175" s="9" t="inlineStr">
        <is>
          <t>Carson DeMartini</t>
        </is>
      </c>
      <c r="C1175" s="9" t="inlineStr">
        <is>
          <t>PHI</t>
        </is>
      </c>
      <c r="D1175" s="9" t="n">
        <v>25</v>
      </c>
      <c r="E1175" s="16" t="inlineStr">
        <is>
          <t>L</t>
        </is>
      </c>
      <c r="F1175" s="16" t="n"/>
      <c r="G1175" s="9" t="n">
        <v>83.28205128205128</v>
      </c>
      <c r="H1175" s="9" t="n">
        <v>83.28205128205128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7" t="n"/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/>
      <c r="Y1175" s="13">
        <f>SUMPRODUCT(M1175:X1175,$M$2:$X$2)*$K1175*$L1175</f>
        <v/>
      </c>
      <c r="Z1175" s="14">
        <f>SUM(M1175:X1175)</f>
        <v/>
      </c>
      <c r="AA1175" s="14">
        <f>IFERROR(IF(UPPER($E1175)="L",SUMPRODUCT(M1175:X1175,$M$3:$X$3,$M$2:$X$2),SUMPRODUCT(M1175:X1175,$M$4:$X$4,$M$2:$X$2))/(Y1175/($K1175*$L1175)),"")</f>
        <v/>
      </c>
      <c r="AB1175" s="18" t="n"/>
    </row>
    <row r="1176">
      <c r="A1176" s="9" t="n">
        <v>691588</v>
      </c>
      <c r="B1176" s="9" t="inlineStr">
        <is>
          <t>Ian Lewis Jr.</t>
        </is>
      </c>
      <c r="C1176" s="9" t="inlineStr">
        <is>
          <t>MIA</t>
        </is>
      </c>
      <c r="D1176" s="9" t="n">
        <v>25</v>
      </c>
      <c r="E1176" s="16" t="inlineStr">
        <is>
          <t>S</t>
        </is>
      </c>
      <c r="F1176" s="16" t="n"/>
      <c r="G1176" s="9" t="n">
        <v>94.76923076923076</v>
      </c>
      <c r="H1176" s="9" t="n">
        <v>94.76923076923076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7" t="n"/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/>
      <c r="Y1176" s="13">
        <f>SUMPRODUCT(M1176:X1176,$M$2:$X$2)*$K1176*$L1176</f>
        <v/>
      </c>
      <c r="Z1176" s="14">
        <f>SUM(M1176:X1176)</f>
        <v/>
      </c>
      <c r="AA1176" s="14">
        <f>IFERROR(IF(UPPER($E1176)="L",SUMPRODUCT(M1176:X1176,$M$3:$X$3,$M$2:$X$2),SUMPRODUCT(M1176:X1176,$M$4:$X$4,$M$2:$X$2))/(Y1176/($K1176*$L1176)),"")</f>
        <v/>
      </c>
      <c r="AB1176" s="18" t="n"/>
    </row>
    <row r="1177">
      <c r="A1177" s="9" t="n">
        <v>680753</v>
      </c>
      <c r="B1177" s="9" t="inlineStr">
        <is>
          <t>Adam Hackenberg</t>
        </is>
      </c>
      <c r="C1177" s="9" t="inlineStr">
        <is>
          <t>TOR</t>
        </is>
      </c>
      <c r="D1177" s="9" t="n">
        <v>25</v>
      </c>
      <c r="E1177" s="16" t="inlineStr">
        <is>
          <t>R</t>
        </is>
      </c>
      <c r="F1177" s="16" t="n"/>
      <c r="G1177" s="9" t="n">
        <v>7.333333333333334</v>
      </c>
      <c r="H1177" s="9" t="n">
        <v>7.333333333333334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7" t="n"/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/>
      <c r="Y1177" s="13">
        <f>SUMPRODUCT(M1177:X1177,$M$2:$X$2)*$K1177*$L1177</f>
        <v/>
      </c>
      <c r="Z1177" s="14">
        <f>SUM(M1177:X1177)</f>
        <v/>
      </c>
      <c r="AA1177" s="14">
        <f>IFERROR(IF(UPPER($E1177)="L",SUMPRODUCT(M1177:X1177,$M$3:$X$3,$M$2:$X$2),SUMPRODUCT(M1177:X1177,$M$4:$X$4,$M$2:$X$2))/(Y1177/($K1177*$L1177)),"")</f>
        <v/>
      </c>
      <c r="AB1177" s="18" t="n"/>
    </row>
    <row r="1178">
      <c r="A1178" s="9" t="n">
        <v>815415</v>
      </c>
      <c r="B1178" s="9" t="inlineStr">
        <is>
          <t>Alex Hernandez</t>
        </is>
      </c>
      <c r="C1178" s="9" t="inlineStr">
        <is>
          <t>OAK</t>
        </is>
      </c>
      <c r="D1178" s="9" t="n">
        <v>25</v>
      </c>
      <c r="E1178" s="16" t="inlineStr">
        <is>
          <t>R</t>
        </is>
      </c>
      <c r="F1178" s="16" t="n"/>
      <c r="G1178" s="9" t="n">
        <v>9.476923076923075</v>
      </c>
      <c r="H1178" s="9" t="n">
        <v>9.476923076923075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7" t="n"/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/>
      <c r="Y1178" s="13">
        <f>SUMPRODUCT(M1178:X1178,$M$2:$X$2)*$K1178*$L1178</f>
        <v/>
      </c>
      <c r="Z1178" s="14">
        <f>SUM(M1178:X1178)</f>
        <v/>
      </c>
      <c r="AA1178" s="14">
        <f>IFERROR(IF(UPPER($E1178)="L",SUMPRODUCT(M1178:X1178,$M$3:$X$3,$M$2:$X$2),SUMPRODUCT(M1178:X1178,$M$4:$X$4,$M$2:$X$2))/(Y1178/($K1178*$L1178)),"")</f>
        <v/>
      </c>
      <c r="AB1178" s="18" t="n"/>
    </row>
    <row r="1179">
      <c r="A1179" s="9" t="n">
        <v>687526</v>
      </c>
      <c r="B1179" s="9" t="inlineStr">
        <is>
          <t>Marcus Smith</t>
        </is>
      </c>
      <c r="C1179" s="9" t="inlineStr">
        <is>
          <t>CIN</t>
        </is>
      </c>
      <c r="D1179" s="9" t="n">
        <v>25</v>
      </c>
      <c r="E1179" s="16" t="inlineStr">
        <is>
          <t>L</t>
        </is>
      </c>
      <c r="F1179" s="16" t="n"/>
      <c r="G1179" s="9" t="n">
        <v>7.17948717948718</v>
      </c>
      <c r="H1179" s="9" t="n">
        <v>7.17948717948718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7" t="n"/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/>
      <c r="Y1179" s="13">
        <f>SUMPRODUCT(M1179:X1179,$M$2:$X$2)*$K1179*$L1179</f>
        <v/>
      </c>
      <c r="Z1179" s="14">
        <f>SUM(M1179:X1179)</f>
        <v/>
      </c>
      <c r="AA1179" s="14">
        <f>IFERROR(IF(UPPER($E1179)="L",SUMPRODUCT(M1179:X1179,$M$3:$X$3,$M$2:$X$2),SUMPRODUCT(M1179:X1179,$M$4:$X$4,$M$2:$X$2))/(Y1179/($K1179*$L1179)),"")</f>
        <v/>
      </c>
      <c r="AB1179" s="18" t="n"/>
    </row>
    <row r="1180">
      <c r="A1180" s="9" t="n">
        <v>800506</v>
      </c>
      <c r="B1180" s="9" t="inlineStr">
        <is>
          <t>Luis Sanchez</t>
        </is>
      </c>
      <c r="C1180" s="9" t="inlineStr">
        <is>
          <t>ATL</t>
        </is>
      </c>
      <c r="D1180" s="9" t="n">
        <v>25</v>
      </c>
      <c r="E1180" s="16" t="inlineStr">
        <is>
          <t>R</t>
        </is>
      </c>
      <c r="F1180" s="16" t="n"/>
      <c r="G1180" s="9" t="n">
        <v>7.384615384615386</v>
      </c>
      <c r="H1180" s="9" t="n">
        <v>7.384615384615386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7" t="n"/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/>
      <c r="Y1180" s="13">
        <f>SUMPRODUCT(M1180:X1180,$M$2:$X$2)*$K1180*$L1180</f>
        <v/>
      </c>
      <c r="Z1180" s="14">
        <f>SUM(M1180:X1180)</f>
        <v/>
      </c>
      <c r="AA1180" s="14">
        <f>IFERROR(IF(UPPER($E1180)="L",SUMPRODUCT(M1180:X1180,$M$3:$X$3,$M$2:$X$2),SUMPRODUCT(M1180:X1180,$M$4:$X$4,$M$2:$X$2))/(Y1180/($K1180*$L1180)),"")</f>
        <v/>
      </c>
      <c r="AB1180" s="18" t="n"/>
    </row>
    <row r="1181">
      <c r="A1181" s="9" t="n">
        <v>814158</v>
      </c>
      <c r="B1181" s="9" t="inlineStr">
        <is>
          <t>Cashel Dugger</t>
        </is>
      </c>
      <c r="C1181" s="9" t="inlineStr">
        <is>
          <t>WSH</t>
        </is>
      </c>
      <c r="D1181" s="9" t="n">
        <v>25</v>
      </c>
      <c r="E1181" s="16" t="inlineStr">
        <is>
          <t>L</t>
        </is>
      </c>
      <c r="F1181" s="16" t="n"/>
      <c r="G1181" s="9" t="n">
        <v>7.384615384615384</v>
      </c>
      <c r="H1181" s="9" t="n">
        <v>7.384615384615384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7" t="n"/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/>
      <c r="Y1181" s="13">
        <f>SUMPRODUCT(M1181:X1181,$M$2:$X$2)*$K1181*$L1181</f>
        <v/>
      </c>
      <c r="Z1181" s="14">
        <f>SUM(M1181:X1181)</f>
        <v/>
      </c>
      <c r="AA1181" s="14">
        <f>IFERROR(IF(UPPER($E1181)="L",SUMPRODUCT(M1181:X1181,$M$3:$X$3,$M$2:$X$2),SUMPRODUCT(M1181:X1181,$M$4:$X$4,$M$2:$X$2))/(Y1181/($K1181*$L1181)),"")</f>
        <v/>
      </c>
      <c r="AB1181" s="18" t="n"/>
    </row>
    <row r="1182">
      <c r="A1182" s="9" t="n">
        <v>820989</v>
      </c>
      <c r="B1182" s="9" t="inlineStr">
        <is>
          <t>Kyle Sinzza</t>
        </is>
      </c>
      <c r="C1182" s="9" t="inlineStr">
        <is>
          <t>ARI</t>
        </is>
      </c>
      <c r="D1182" s="9" t="n">
        <v>25</v>
      </c>
      <c r="E1182" s="16" t="inlineStr">
        <is>
          <t>R</t>
        </is>
      </c>
      <c r="F1182" s="16" t="n"/>
      <c r="G1182" s="9" t="n">
        <v>7.384615384615384</v>
      </c>
      <c r="H1182" s="9" t="n">
        <v>7.384615384615384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7" t="n"/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/>
      <c r="Y1182" s="13">
        <f>SUMPRODUCT(M1182:X1182,$M$2:$X$2)*$K1182*$L1182</f>
        <v/>
      </c>
      <c r="Z1182" s="14">
        <f>SUM(M1182:X1182)</f>
        <v/>
      </c>
      <c r="AA1182" s="14">
        <f>IFERROR(IF(UPPER($E1182)="L",SUMPRODUCT(M1182:X1182,$M$3:$X$3,$M$2:$X$2),SUMPRODUCT(M1182:X1182,$M$4:$X$4,$M$2:$X$2))/(Y1182/($K1182*$L1182)),"")</f>
        <v/>
      </c>
      <c r="AB1182" s="18" t="n"/>
    </row>
    <row r="1183">
      <c r="A1183" s="9" t="n">
        <v>700178</v>
      </c>
      <c r="B1183" s="9" t="inlineStr">
        <is>
          <t>Ryan McCoy</t>
        </is>
      </c>
      <c r="C1183" s="9" t="inlineStr">
        <is>
          <t>TB</t>
        </is>
      </c>
      <c r="D1183" s="9" t="n">
        <v>25</v>
      </c>
      <c r="E1183" s="16" t="inlineStr">
        <is>
          <t>L</t>
        </is>
      </c>
      <c r="F1183" s="16" t="n"/>
      <c r="G1183" s="9" t="n">
        <v>80.61538461538463</v>
      </c>
      <c r="H1183" s="9" t="n">
        <v>80.61538461538463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7" t="n"/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/>
      <c r="Y1183" s="13">
        <f>SUMPRODUCT(M1183:X1183,$M$2:$X$2)*$K1183*$L1183</f>
        <v/>
      </c>
      <c r="Z1183" s="14">
        <f>SUM(M1183:X1183)</f>
        <v/>
      </c>
      <c r="AA1183" s="14">
        <f>IFERROR(IF(UPPER($E1183)="L",SUMPRODUCT(M1183:X1183,$M$3:$X$3,$M$2:$X$2),SUMPRODUCT(M1183:X1183,$M$4:$X$4,$M$2:$X$2))/(Y1183/($K1183*$L1183)),"")</f>
        <v/>
      </c>
      <c r="AB1183" s="18" t="n"/>
    </row>
    <row r="1184">
      <c r="A1184" s="9" t="n">
        <v>805704</v>
      </c>
      <c r="B1184" s="9" t="inlineStr">
        <is>
          <t>Keaton Anthony</t>
        </is>
      </c>
      <c r="C1184" s="9" t="inlineStr">
        <is>
          <t>PHI</t>
        </is>
      </c>
      <c r="D1184" s="9" t="n">
        <v>25</v>
      </c>
      <c r="E1184" s="16" t="inlineStr">
        <is>
          <t>R</t>
        </is>
      </c>
      <c r="F1184" s="16" t="n"/>
      <c r="G1184" s="9" t="n">
        <v>180.5128205128205</v>
      </c>
      <c r="H1184" s="9" t="n">
        <v>180.5128205128205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7" t="n"/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/>
      <c r="Y1184" s="13">
        <f>SUMPRODUCT(M1184:X1184,$M$2:$X$2)*$K1184*$L1184</f>
        <v/>
      </c>
      <c r="Z1184" s="14">
        <f>SUM(M1184:X1184)</f>
        <v/>
      </c>
      <c r="AA1184" s="14">
        <f>IFERROR(IF(UPPER($E1184)="L",SUMPRODUCT(M1184:X1184,$M$3:$X$3,$M$2:$X$2),SUMPRODUCT(M1184:X1184,$M$4:$X$4,$M$2:$X$2))/(Y1184/($K1184*$L1184)),"")</f>
        <v/>
      </c>
      <c r="AB1184" s="18" t="n"/>
    </row>
    <row r="1185">
      <c r="A1185" s="9" t="n">
        <v>800432</v>
      </c>
      <c r="B1185" s="9" t="inlineStr">
        <is>
          <t>Felix Cotes</t>
        </is>
      </c>
      <c r="C1185" s="9" t="inlineStr">
        <is>
          <t>TB</t>
        </is>
      </c>
      <c r="D1185" s="9" t="n">
        <v>25</v>
      </c>
      <c r="E1185" s="16" t="inlineStr">
        <is>
          <t>S</t>
        </is>
      </c>
      <c r="F1185" s="16" t="n"/>
      <c r="G1185" s="9" t="n">
        <v>7.384615384615386</v>
      </c>
      <c r="H1185" s="9" t="n">
        <v>7.384615384615386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7" t="n"/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/>
      <c r="Y1185" s="13">
        <f>SUMPRODUCT(M1185:X1185,$M$2:$X$2)*$K1185*$L1185</f>
        <v/>
      </c>
      <c r="Z1185" s="14">
        <f>SUM(M1185:X1185)</f>
        <v/>
      </c>
      <c r="AA1185" s="14">
        <f>IFERROR(IF(UPPER($E1185)="L",SUMPRODUCT(M1185:X1185,$M$3:$X$3,$M$2:$X$2),SUMPRODUCT(M1185:X1185,$M$4:$X$4,$M$2:$X$2))/(Y1185/($K1185*$L1185)),"")</f>
        <v/>
      </c>
      <c r="AB1185" s="18" t="n"/>
    </row>
    <row r="1186">
      <c r="A1186" s="9" t="n">
        <v>808060</v>
      </c>
      <c r="B1186" s="9" t="inlineStr">
        <is>
          <t>Yoiber Ocopio</t>
        </is>
      </c>
      <c r="C1186" s="9" t="inlineStr">
        <is>
          <t>SD</t>
        </is>
      </c>
      <c r="D1186" s="9" t="n">
        <v>25</v>
      </c>
      <c r="E1186" s="16" t="inlineStr">
        <is>
          <t>R</t>
        </is>
      </c>
      <c r="F1186" s="16" t="n"/>
      <c r="G1186" s="9" t="n">
        <v>11.69230769230769</v>
      </c>
      <c r="H1186" s="9" t="n">
        <v>11.69230769230769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7" t="n"/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/>
      <c r="Y1186" s="13">
        <f>SUMPRODUCT(M1186:X1186,$M$2:$X$2)*$K1186*$L1186</f>
        <v/>
      </c>
      <c r="Z1186" s="14">
        <f>SUM(M1186:X1186)</f>
        <v/>
      </c>
      <c r="AA1186" s="14">
        <f>IFERROR(IF(UPPER($E1186)="L",SUMPRODUCT(M1186:X1186,$M$3:$X$3,$M$2:$X$2),SUMPRODUCT(M1186:X1186,$M$4:$X$4,$M$2:$X$2))/(Y1186/($K1186*$L1186)),"")</f>
        <v/>
      </c>
      <c r="AB1186" s="18" t="n"/>
    </row>
    <row r="1187">
      <c r="A1187" s="9" t="n">
        <v>702025</v>
      </c>
      <c r="B1187" s="9" t="inlineStr">
        <is>
          <t>Harry Genth</t>
        </is>
      </c>
      <c r="C1187" s="9" t="inlineStr">
        <is>
          <t>MIN</t>
        </is>
      </c>
      <c r="D1187" s="9" t="n">
        <v>25</v>
      </c>
      <c r="E1187" s="16" t="inlineStr">
        <is>
          <t>R</t>
        </is>
      </c>
      <c r="F1187" s="16" t="n"/>
      <c r="G1187" s="9" t="n">
        <v>7.333333333333334</v>
      </c>
      <c r="H1187" s="9" t="n">
        <v>7.333333333333334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7" t="n"/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/>
      <c r="Y1187" s="13">
        <f>SUMPRODUCT(M1187:X1187,$M$2:$X$2)*$K1187*$L1187</f>
        <v/>
      </c>
      <c r="Z1187" s="14">
        <f>SUM(M1187:X1187)</f>
        <v/>
      </c>
      <c r="AA1187" s="14">
        <f>IFERROR(IF(UPPER($E1187)="L",SUMPRODUCT(M1187:X1187,$M$3:$X$3,$M$2:$X$2),SUMPRODUCT(M1187:X1187,$M$4:$X$4,$M$2:$X$2))/(Y1187/($K1187*$L1187)),"")</f>
        <v/>
      </c>
      <c r="AB1187" s="18" t="n"/>
    </row>
    <row r="1188">
      <c r="A1188" s="9" t="n">
        <v>666906</v>
      </c>
      <c r="B1188" s="9" t="inlineStr">
        <is>
          <t>Jake Alu</t>
        </is>
      </c>
      <c r="C1188" s="9" t="inlineStr">
        <is>
          <t>WSH</t>
        </is>
      </c>
      <c r="D1188" s="9" t="n">
        <v>30</v>
      </c>
      <c r="E1188" s="16" t="inlineStr">
        <is>
          <t>L</t>
        </is>
      </c>
      <c r="F1188" s="16" t="n"/>
      <c r="G1188" s="9" t="n">
        <v>175</v>
      </c>
      <c r="H1188" s="9" t="n">
        <v>175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7" t="n"/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/>
      <c r="Y1188" s="13">
        <f>SUMPRODUCT(M1188:X1188,$M$2:$X$2)*$K1188*$L1188</f>
        <v/>
      </c>
      <c r="Z1188" s="14">
        <f>SUM(M1188:X1188)</f>
        <v/>
      </c>
      <c r="AA1188" s="14">
        <f>IFERROR(IF(UPPER($E1188)="L",SUMPRODUCT(M1188:X1188,$M$3:$X$3,$M$2:$X$2),SUMPRODUCT(M1188:X1188,$M$4:$X$4,$M$2:$X$2))/(Y1188/($K1188*$L1188)),"")</f>
        <v/>
      </c>
      <c r="AB1188" s="18" t="n"/>
    </row>
    <row r="1189">
      <c r="A1189" s="9" t="n">
        <v>701778</v>
      </c>
      <c r="B1189" s="9" t="inlineStr">
        <is>
          <t>Jace Avina</t>
        </is>
      </c>
      <c r="C1189" s="9" t="inlineStr">
        <is>
          <t>NYY</t>
        </is>
      </c>
      <c r="D1189" s="9" t="n">
        <v>25</v>
      </c>
      <c r="E1189" s="16" t="inlineStr">
        <is>
          <t>R</t>
        </is>
      </c>
      <c r="F1189" s="16" t="n"/>
      <c r="G1189" s="9" t="n">
        <v>187.0256410256411</v>
      </c>
      <c r="H1189" s="9" t="n">
        <v>187.0256410256411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7" t="n"/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/>
      <c r="Y1189" s="13">
        <f>SUMPRODUCT(M1189:X1189,$M$2:$X$2)*$K1189*$L1189</f>
        <v/>
      </c>
      <c r="Z1189" s="14">
        <f>SUM(M1189:X1189)</f>
        <v/>
      </c>
      <c r="AA1189" s="14">
        <f>IFERROR(IF(UPPER($E1189)="L",SUMPRODUCT(M1189:X1189,$M$3:$X$3,$M$2:$X$2),SUMPRODUCT(M1189:X1189,$M$4:$X$4,$M$2:$X$2))/(Y1189/($K1189*$L1189)),"")</f>
        <v/>
      </c>
      <c r="AB1189" s="18" t="n"/>
    </row>
    <row r="1190">
      <c r="A1190" s="9" t="n">
        <v>828074</v>
      </c>
      <c r="B1190" s="9" t="inlineStr">
        <is>
          <t>TJ Ford</t>
        </is>
      </c>
      <c r="C1190" s="9" t="inlineStr">
        <is>
          <t>LAA</t>
        </is>
      </c>
      <c r="D1190" s="9" t="n">
        <v>25</v>
      </c>
      <c r="E1190" s="16" t="inlineStr">
        <is>
          <t>S</t>
        </is>
      </c>
      <c r="F1190" s="16" t="n"/>
      <c r="G1190" s="9" t="n">
        <v>7.384615384615384</v>
      </c>
      <c r="H1190" s="9" t="n">
        <v>7.384615384615384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7" t="n"/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/>
      <c r="Y1190" s="13">
        <f>SUMPRODUCT(M1190:X1190,$M$2:$X$2)*$K1190*$L1190</f>
        <v/>
      </c>
      <c r="Z1190" s="14">
        <f>SUM(M1190:X1190)</f>
        <v/>
      </c>
      <c r="AA1190" s="14">
        <f>IFERROR(IF(UPPER($E1190)="L",SUMPRODUCT(M1190:X1190,$M$3:$X$3,$M$2:$X$2),SUMPRODUCT(M1190:X1190,$M$4:$X$4,$M$2:$X$2))/(Y1190/($K1190*$L1190)),"")</f>
        <v/>
      </c>
      <c r="AB1190" s="18" t="n"/>
    </row>
    <row r="1191">
      <c r="A1191" s="9" t="n">
        <v>827264</v>
      </c>
      <c r="B1191" s="9" t="inlineStr">
        <is>
          <t>Ryan Picollo</t>
        </is>
      </c>
      <c r="C1191" s="9" t="inlineStr">
        <is>
          <t>SEA</t>
        </is>
      </c>
      <c r="D1191" s="9" t="n">
        <v>25</v>
      </c>
      <c r="E1191" s="16" t="inlineStr">
        <is>
          <t>R</t>
        </is>
      </c>
      <c r="F1191" s="16" t="n"/>
      <c r="G1191" s="9" t="n">
        <v>28.43076923076924</v>
      </c>
      <c r="H1191" s="9" t="n">
        <v>28.43076923076924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7" t="n"/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/>
      <c r="Y1191" s="13">
        <f>SUMPRODUCT(M1191:X1191,$M$2:$X$2)*$K1191*$L1191</f>
        <v/>
      </c>
      <c r="Z1191" s="14">
        <f>SUM(M1191:X1191)</f>
        <v/>
      </c>
      <c r="AA1191" s="14">
        <f>IFERROR(IF(UPPER($E1191)="L",SUMPRODUCT(M1191:X1191,$M$3:$X$3,$M$2:$X$2),SUMPRODUCT(M1191:X1191,$M$4:$X$4,$M$2:$X$2))/(Y1191/($K1191*$L1191)),"")</f>
        <v/>
      </c>
      <c r="AB1191" s="18" t="n"/>
    </row>
    <row r="1192">
      <c r="A1192" s="9" t="n">
        <v>800051</v>
      </c>
      <c r="B1192" s="9" t="inlineStr">
        <is>
          <t>Austin Charles</t>
        </is>
      </c>
      <c r="C1192" s="9" t="inlineStr">
        <is>
          <t>KC</t>
        </is>
      </c>
      <c r="D1192" s="9" t="n">
        <v>25</v>
      </c>
      <c r="E1192" s="16" t="inlineStr">
        <is>
          <t>R</t>
        </is>
      </c>
      <c r="F1192" s="16" t="n"/>
      <c r="G1192" s="9" t="n">
        <v>37.12820512820513</v>
      </c>
      <c r="H1192" s="9" t="n">
        <v>37.12820512820513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7" t="n"/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/>
      <c r="Y1192" s="13">
        <f>SUMPRODUCT(M1192:X1192,$M$2:$X$2)*$K1192*$L1192</f>
        <v/>
      </c>
      <c r="Z1192" s="14">
        <f>SUM(M1192:X1192)</f>
        <v/>
      </c>
      <c r="AA1192" s="14">
        <f>IFERROR(IF(UPPER($E1192)="L",SUMPRODUCT(M1192:X1192,$M$3:$X$3,$M$2:$X$2),SUMPRODUCT(M1192:X1192,$M$4:$X$4,$M$2:$X$2))/(Y1192/($K1192*$L1192)),"")</f>
        <v/>
      </c>
      <c r="AB1192" s="18" t="n"/>
    </row>
    <row r="1193">
      <c r="A1193" s="9" t="n">
        <v>687144</v>
      </c>
      <c r="B1193" s="9" t="inlineStr">
        <is>
          <t>Corey Joyce</t>
        </is>
      </c>
      <c r="C1193" s="9" t="inlineStr">
        <is>
          <t>TEX</t>
        </is>
      </c>
      <c r="D1193" s="9" t="n">
        <v>25</v>
      </c>
      <c r="E1193" s="16" t="inlineStr">
        <is>
          <t>R</t>
        </is>
      </c>
      <c r="F1193" s="16" t="n"/>
      <c r="G1193" s="9" t="n">
        <v>118.8205128205128</v>
      </c>
      <c r="H1193" s="9" t="n">
        <v>118.8205128205128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7" t="n"/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/>
      <c r="Y1193" s="13">
        <f>SUMPRODUCT(M1193:X1193,$M$2:$X$2)*$K1193*$L1193</f>
        <v/>
      </c>
      <c r="Z1193" s="14">
        <f>SUM(M1193:X1193)</f>
        <v/>
      </c>
      <c r="AA1193" s="14">
        <f>IFERROR(IF(UPPER($E1193)="L",SUMPRODUCT(M1193:X1193,$M$3:$X$3,$M$2:$X$2),SUMPRODUCT(M1193:X1193,$M$4:$X$4,$M$2:$X$2))/(Y1193/($K1193*$L1193)),"")</f>
        <v/>
      </c>
      <c r="AB1193" s="18" t="n"/>
    </row>
    <row r="1194">
      <c r="A1194" s="9" t="n">
        <v>701342</v>
      </c>
      <c r="B1194" s="9" t="inlineStr">
        <is>
          <t>Kendrey Maduro</t>
        </is>
      </c>
      <c r="C1194" s="9" t="inlineStr">
        <is>
          <t>LAA</t>
        </is>
      </c>
      <c r="D1194" s="9" t="n">
        <v>25</v>
      </c>
      <c r="E1194" s="16" t="inlineStr">
        <is>
          <t>R</t>
        </is>
      </c>
      <c r="F1194" s="16" t="n"/>
      <c r="G1194" s="9" t="n">
        <v>24.41025641025641</v>
      </c>
      <c r="H1194" s="9" t="n">
        <v>24.41025641025641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7" t="n"/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/>
      <c r="Y1194" s="13">
        <f>SUMPRODUCT(M1194:X1194,$M$2:$X$2)*$K1194*$L1194</f>
        <v/>
      </c>
      <c r="Z1194" s="14">
        <f>SUM(M1194:X1194)</f>
        <v/>
      </c>
      <c r="AA1194" s="14">
        <f>IFERROR(IF(UPPER($E1194)="L",SUMPRODUCT(M1194:X1194,$M$3:$X$3,$M$2:$X$2),SUMPRODUCT(M1194:X1194,$M$4:$X$4,$M$2:$X$2))/(Y1194/($K1194*$L1194)),"")</f>
        <v/>
      </c>
      <c r="AB1194" s="18" t="n"/>
    </row>
    <row r="1195">
      <c r="A1195" s="9" t="n">
        <v>814451</v>
      </c>
      <c r="B1195" s="9" t="inlineStr">
        <is>
          <t>Jakob Christian</t>
        </is>
      </c>
      <c r="C1195" s="9" t="inlineStr">
        <is>
          <t>SF</t>
        </is>
      </c>
      <c r="D1195" s="9" t="n">
        <v>25</v>
      </c>
      <c r="E1195" s="16" t="inlineStr">
        <is>
          <t>R</t>
        </is>
      </c>
      <c r="F1195" s="16" t="n"/>
      <c r="G1195" s="9" t="n">
        <v>44.10256410256411</v>
      </c>
      <c r="H1195" s="9" t="n">
        <v>44.10256410256411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7" t="n"/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/>
      <c r="Y1195" s="13">
        <f>SUMPRODUCT(M1195:X1195,$M$2:$X$2)*$K1195*$L1195</f>
        <v/>
      </c>
      <c r="Z1195" s="14">
        <f>SUM(M1195:X1195)</f>
        <v/>
      </c>
      <c r="AA1195" s="14">
        <f>IFERROR(IF(UPPER($E1195)="L",SUMPRODUCT(M1195:X1195,$M$3:$X$3,$M$2:$X$2),SUMPRODUCT(M1195:X1195,$M$4:$X$4,$M$2:$X$2))/(Y1195/($K1195*$L1195)),"")</f>
        <v/>
      </c>
      <c r="AB1195" s="18" t="n"/>
    </row>
    <row r="1196">
      <c r="A1196" s="9" t="n">
        <v>808265</v>
      </c>
      <c r="B1196" s="9" t="inlineStr">
        <is>
          <t>Franklin Arias</t>
        </is>
      </c>
      <c r="C1196" s="9" t="inlineStr">
        <is>
          <t>BOS</t>
        </is>
      </c>
      <c r="D1196" s="9" t="n">
        <v>25</v>
      </c>
      <c r="E1196" s="16" t="inlineStr">
        <is>
          <t>R</t>
        </is>
      </c>
      <c r="F1196" s="16" t="n"/>
      <c r="G1196" s="9" t="n">
        <v>102.6666666666667</v>
      </c>
      <c r="H1196" s="9" t="n">
        <v>102.6666666666667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7" t="n"/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/>
      <c r="Y1196" s="13">
        <f>SUMPRODUCT(M1196:X1196,$M$2:$X$2)*$K1196*$L1196</f>
        <v/>
      </c>
      <c r="Z1196" s="14">
        <f>SUM(M1196:X1196)</f>
        <v/>
      </c>
      <c r="AA1196" s="14">
        <f>IFERROR(IF(UPPER($E1196)="L",SUMPRODUCT(M1196:X1196,$M$3:$X$3,$M$2:$X$2),SUMPRODUCT(M1196:X1196,$M$4:$X$4,$M$2:$X$2))/(Y1196/($K1196*$L1196)),"")</f>
        <v/>
      </c>
      <c r="AB1196" s="18" t="n"/>
    </row>
    <row r="1197">
      <c r="A1197" s="9" t="n">
        <v>825128</v>
      </c>
      <c r="B1197" s="9" t="inlineStr">
        <is>
          <t>Camden Johnson</t>
        </is>
      </c>
      <c r="C1197" s="9" t="inlineStr">
        <is>
          <t>KC</t>
        </is>
      </c>
      <c r="D1197" s="9" t="n">
        <v>25</v>
      </c>
      <c r="E1197" s="16" t="inlineStr">
        <is>
          <t>L</t>
        </is>
      </c>
      <c r="F1197" s="16" t="n"/>
      <c r="G1197" s="9" t="n">
        <v>9.6</v>
      </c>
      <c r="H1197" s="9" t="n">
        <v>9.6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7" t="n"/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/>
      <c r="Y1197" s="13">
        <f>SUMPRODUCT(M1197:X1197,$M$2:$X$2)*$K1197*$L1197</f>
        <v/>
      </c>
      <c r="Z1197" s="14">
        <f>SUM(M1197:X1197)</f>
        <v/>
      </c>
      <c r="AA1197" s="14">
        <f>IFERROR(IF(UPPER($E1197)="L",SUMPRODUCT(M1197:X1197,$M$3:$X$3,$M$2:$X$2),SUMPRODUCT(M1197:X1197,$M$4:$X$4,$M$2:$X$2))/(Y1197/($K1197*$L1197)),"")</f>
        <v/>
      </c>
      <c r="AB1197" s="18" t="n"/>
    </row>
    <row r="1198">
      <c r="A1198" s="9" t="n">
        <v>800840</v>
      </c>
      <c r="B1198" s="9" t="inlineStr">
        <is>
          <t>Chase Heath</t>
        </is>
      </c>
      <c r="C1198" s="9" t="inlineStr">
        <is>
          <t>STL</t>
        </is>
      </c>
      <c r="D1198" s="9" t="n">
        <v>25</v>
      </c>
      <c r="E1198" s="16" t="inlineStr">
        <is>
          <t>R</t>
        </is>
      </c>
      <c r="F1198" s="16" t="n"/>
      <c r="G1198" s="9" t="n">
        <v>7.538461538461538</v>
      </c>
      <c r="H1198" s="9" t="n">
        <v>7.538461538461538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7" t="n"/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/>
      <c r="Y1198" s="13">
        <f>SUMPRODUCT(M1198:X1198,$M$2:$X$2)*$K1198*$L1198</f>
        <v/>
      </c>
      <c r="Z1198" s="14">
        <f>SUM(M1198:X1198)</f>
        <v/>
      </c>
      <c r="AA1198" s="14">
        <f>IFERROR(IF(UPPER($E1198)="L",SUMPRODUCT(M1198:X1198,$M$3:$X$3,$M$2:$X$2),SUMPRODUCT(M1198:X1198,$M$4:$X$4,$M$2:$X$2))/(Y1198/($K1198*$L1198)),"")</f>
        <v/>
      </c>
      <c r="AB1198" s="18" t="n"/>
    </row>
    <row r="1199">
      <c r="A1199" s="9" t="n">
        <v>822679</v>
      </c>
      <c r="B1199" s="9" t="inlineStr">
        <is>
          <t>Cort MacDonald</t>
        </is>
      </c>
      <c r="C1199" s="9" t="inlineStr">
        <is>
          <t>COL</t>
        </is>
      </c>
      <c r="D1199" s="9" t="n">
        <v>25</v>
      </c>
      <c r="E1199" s="16" t="inlineStr">
        <is>
          <t>L</t>
        </is>
      </c>
      <c r="F1199" s="16" t="n"/>
      <c r="G1199" s="9" t="n">
        <v>9.969230769230769</v>
      </c>
      <c r="H1199" s="9" t="n">
        <v>9.969230769230769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7" t="n"/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/>
      <c r="Y1199" s="13">
        <f>SUMPRODUCT(M1199:X1199,$M$2:$X$2)*$K1199*$L1199</f>
        <v/>
      </c>
      <c r="Z1199" s="14">
        <f>SUM(M1199:X1199)</f>
        <v/>
      </c>
      <c r="AA1199" s="14">
        <f>IFERROR(IF(UPPER($E1199)="L",SUMPRODUCT(M1199:X1199,$M$3:$X$3,$M$2:$X$2),SUMPRODUCT(M1199:X1199,$M$4:$X$4,$M$2:$X$2))/(Y1199/($K1199*$L1199)),"")</f>
        <v/>
      </c>
      <c r="AB1199" s="18" t="n"/>
    </row>
    <row r="1200">
      <c r="A1200" s="9" t="n">
        <v>670128</v>
      </c>
      <c r="B1200" s="9" t="inlineStr">
        <is>
          <t>Taylor Kohlwey</t>
        </is>
      </c>
      <c r="C1200" s="9" t="inlineStr">
        <is>
          <t>SD</t>
        </is>
      </c>
      <c r="D1200" s="9" t="n">
        <v>32</v>
      </c>
      <c r="E1200" s="16" t="inlineStr">
        <is>
          <t>L</t>
        </is>
      </c>
      <c r="F1200" s="16" t="n"/>
      <c r="G1200" s="9" t="n">
        <v>13</v>
      </c>
      <c r="H1200" s="9" t="n">
        <v>13</v>
      </c>
      <c r="I1200" s="9" t="inlineStr">
        <is>
          <t>Depth (no MLB PA)</t>
        </is>
      </c>
      <c r="J1200" s="16" t="inlineStr">
        <is>
          <t>Opening Day</t>
        </is>
      </c>
      <c r="K1200" s="11">
        <f>IFERROR(INDEX(Roles!$B$17:$B$20,MATCH(J1200,Roles!$A$17:$A$20,0)),1)</f>
        <v/>
      </c>
      <c r="L1200" s="17" t="n">
        <v>1</v>
      </c>
      <c r="M1200" s="17" t="n"/>
      <c r="N1200" s="17" t="n"/>
      <c r="O1200" s="17" t="n"/>
      <c r="P1200" s="17" t="n"/>
      <c r="Q1200" s="17" t="n"/>
      <c r="R1200" s="17" t="n"/>
      <c r="S1200" s="17" t="n"/>
      <c r="T1200" s="17" t="n"/>
      <c r="U1200" s="17" t="n"/>
      <c r="V1200" s="17" t="n"/>
      <c r="W1200" s="17" t="n"/>
      <c r="X1200" s="17" t="n"/>
      <c r="Y1200" s="13">
        <f>SUMPRODUCT(M1200:X1200,$M$2:$X$2)*$K1200*$L1200</f>
        <v/>
      </c>
      <c r="Z1200" s="14">
        <f>SUM(M1200:X1200)</f>
        <v/>
      </c>
      <c r="AA1200" s="14">
        <f>IFERROR(IF(UPPER($E1200)="L",SUMPRODUCT(M1200:X1200,$M$3:$X$3,$M$2:$X$2),SUMPRODUCT(M1200:X1200,$M$4:$X$4,$M$2:$X$2))/(Y1200/($K1200*$L1200)),"")</f>
        <v/>
      </c>
      <c r="AB1200" s="18" t="n"/>
    </row>
    <row r="1201">
      <c r="A1201" s="9" t="n">
        <v>701807</v>
      </c>
      <c r="B1201" s="9" t="inlineStr">
        <is>
          <t>Carson Benge</t>
        </is>
      </c>
      <c r="C1201" s="9" t="inlineStr">
        <is>
          <t>NYM</t>
        </is>
      </c>
      <c r="D1201" s="9" t="n">
        <v>24</v>
      </c>
      <c r="E1201" s="16" t="inlineStr">
        <is>
          <t>L</t>
        </is>
      </c>
      <c r="F1201" s="16" t="n"/>
      <c r="G1201" s="9" t="n">
        <v>654</v>
      </c>
      <c r="H1201" s="9" t="n">
        <v>654</v>
      </c>
      <c r="I1201" s="9" t="inlineStr">
        <is>
          <t>Full Time</t>
        </is>
      </c>
      <c r="J1201" s="16" t="inlineStr">
        <is>
          <t>Opening Day</t>
        </is>
      </c>
      <c r="K1201" s="11">
        <f>IFERROR(INDEX(Roles!$B$17:$B$20,MATCH(J1201,Roles!$A$17:$A$20,0)),1)</f>
        <v/>
      </c>
      <c r="L1201" s="17" t="n">
        <v>1</v>
      </c>
      <c r="M1201" s="17" t="n"/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/>
      <c r="Y1201" s="13">
        <f>SUMPRODUCT(M1201:X1201,$M$2:$X$2)*$K1201*$L1201</f>
        <v/>
      </c>
      <c r="Z1201" s="14">
        <f>SUM(M1201:X1201)</f>
        <v/>
      </c>
      <c r="AA1201" s="14">
        <f>IFERROR(IF(UPPER($E1201)="L",SUMPRODUCT(M1201:X1201,$M$3:$X$3,$M$2:$X$2),SUMPRODUCT(M1201:X1201,$M$4:$X$4,$M$2:$X$2))/(Y1201/($K1201*$L1201)),"")</f>
        <v/>
      </c>
      <c r="AB1201" s="18" t="n"/>
    </row>
    <row r="1202">
      <c r="A1202" s="9" t="n">
        <v>828202</v>
      </c>
      <c r="B1202" s="9" t="inlineStr">
        <is>
          <t>Bruin Agbayani</t>
        </is>
      </c>
      <c r="C1202" s="9" t="inlineStr">
        <is>
          <t>NYM</t>
        </is>
      </c>
      <c r="D1202" s="9" t="n">
        <v>25</v>
      </c>
      <c r="E1202" s="16" t="inlineStr">
        <is>
          <t>L</t>
        </is>
      </c>
      <c r="F1202" s="16" t="n"/>
      <c r="G1202" s="9" t="n">
        <v>7.753846153846153</v>
      </c>
      <c r="H1202" s="9" t="n">
        <v>7.753846153846153</v>
      </c>
      <c r="I1202" s="9" t="inlineStr">
        <is>
          <t>Depth (no MLB PA)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7" t="n"/>
      <c r="N1202" s="17" t="n"/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3">
        <f>SUMPRODUCT(M1202:X1202,$M$2:$X$2)*$K1202*$L1202</f>
        <v/>
      </c>
      <c r="Z1202" s="14">
        <f>SUM(M1202:X1202)</f>
        <v/>
      </c>
      <c r="AA1202" s="14">
        <f>IFERROR(IF(UPPER($E1202)="L",SUMPRODUCT(M1202:X1202,$M$3:$X$3,$M$2:$X$2),SUMPRODUCT(M1202:X1202,$M$4:$X$4,$M$2:$X$2))/(Y1202/($K1202*$L1202)),"")</f>
        <v/>
      </c>
      <c r="AB1202" s="18" t="n"/>
    </row>
    <row r="1203">
      <c r="A1203" s="9" t="n">
        <v>828900</v>
      </c>
      <c r="B1203" s="9" t="inlineStr">
        <is>
          <t>Elliot Lascelles</t>
        </is>
      </c>
      <c r="C1203" s="9" t="inlineStr">
        <is>
          <t>SD</t>
        </is>
      </c>
      <c r="D1203" s="9" t="n">
        <v>25</v>
      </c>
      <c r="E1203" s="16" t="inlineStr">
        <is>
          <t>L</t>
        </is>
      </c>
      <c r="F1203" s="16" t="n"/>
      <c r="G1203" s="9" t="n">
        <v>7.753846153846153</v>
      </c>
      <c r="H1203" s="9" t="n">
        <v>7.753846153846153</v>
      </c>
      <c r="I1203" s="9" t="inlineStr">
        <is>
          <t>Depth (no MLB PA)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7" t="n"/>
      <c r="N1203" s="17" t="n"/>
      <c r="O1203" s="17" t="n"/>
      <c r="P1203" s="17" t="n"/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3">
        <f>SUMPRODUCT(M1203:X1203,$M$2:$X$2)*$K1203*$L1203</f>
        <v/>
      </c>
      <c r="Z1203" s="14">
        <f>SUM(M1203:X1203)</f>
        <v/>
      </c>
      <c r="AA1203" s="14">
        <f>IFERROR(IF(UPPER($E1203)="L",SUMPRODUCT(M1203:X1203,$M$3:$X$3,$M$2:$X$2),SUMPRODUCT(M1203:X1203,$M$4:$X$4,$M$2:$X$2))/(Y1203/($K1203*$L1203)),"")</f>
        <v/>
      </c>
      <c r="AB1203" s="18" t="n"/>
    </row>
    <row r="1204">
      <c r="A1204" s="9" t="n">
        <v>807275</v>
      </c>
      <c r="B1204" s="9" t="inlineStr">
        <is>
          <t>Dalton Wentz</t>
        </is>
      </c>
      <c r="C1204" s="9" t="inlineStr">
        <is>
          <t>SF</t>
        </is>
      </c>
      <c r="D1204" s="9" t="n">
        <v>25</v>
      </c>
      <c r="E1204" s="16" t="inlineStr">
        <is>
          <t>S</t>
        </is>
      </c>
      <c r="F1204" s="16" t="n"/>
      <c r="G1204" s="9" t="n">
        <v>11.69230769230769</v>
      </c>
      <c r="H1204" s="9" t="n">
        <v>11.69230769230769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7" t="n"/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/>
      <c r="Y1204" s="13">
        <f>SUMPRODUCT(M1204:X1204,$M$2:$X$2)*$K1204*$L1204</f>
        <v/>
      </c>
      <c r="Z1204" s="14">
        <f>SUM(M1204:X1204)</f>
        <v/>
      </c>
      <c r="AA1204" s="14">
        <f>IFERROR(IF(UPPER($E1204)="L",SUMPRODUCT(M1204:X1204,$M$3:$X$3,$M$2:$X$2),SUMPRODUCT(M1204:X1204,$M$4:$X$4,$M$2:$X$2))/(Y1204/($K1204*$L1204)),"")</f>
        <v/>
      </c>
      <c r="AB1204" s="18" t="n"/>
    </row>
    <row r="1205">
      <c r="A1205" s="9" t="n">
        <v>836582</v>
      </c>
      <c r="B1205" s="9" t="inlineStr">
        <is>
          <t>Luis Hernández</t>
        </is>
      </c>
      <c r="C1205" s="9" t="inlineStr">
        <is>
          <t>SF</t>
        </is>
      </c>
      <c r="D1205" s="9" t="n">
        <v>25</v>
      </c>
      <c r="E1205" s="16" t="inlineStr">
        <is>
          <t>R</t>
        </is>
      </c>
      <c r="F1205" s="16" t="n"/>
      <c r="G1205" s="9" t="n">
        <v>11.93846153846154</v>
      </c>
      <c r="H1205" s="9" t="n">
        <v>11.93846153846154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7" t="n"/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/>
      <c r="Y1205" s="13">
        <f>SUMPRODUCT(M1205:X1205,$M$2:$X$2)*$K1205*$L1205</f>
        <v/>
      </c>
      <c r="Z1205" s="14">
        <f>SUM(M1205:X1205)</f>
        <v/>
      </c>
      <c r="AA1205" s="14">
        <f>IFERROR(IF(UPPER($E1205)="L",SUMPRODUCT(M1205:X1205,$M$3:$X$3,$M$2:$X$2),SUMPRODUCT(M1205:X1205,$M$4:$X$4,$M$2:$X$2))/(Y1205/($K1205*$L1205)),"")</f>
        <v/>
      </c>
      <c r="AB1205" s="18" t="n"/>
    </row>
    <row r="1206">
      <c r="A1206" s="9" t="n">
        <v>694376</v>
      </c>
      <c r="B1206" s="9" t="inlineStr">
        <is>
          <t>Shay Whitcomb</t>
        </is>
      </c>
      <c r="C1206" s="9" t="inlineStr">
        <is>
          <t>SF</t>
        </is>
      </c>
      <c r="D1206" s="9" t="n">
        <v>28</v>
      </c>
      <c r="E1206" s="16" t="inlineStr">
        <is>
          <t>R</t>
        </is>
      </c>
      <c r="F1206" s="16" t="n"/>
      <c r="G1206" s="9" t="n">
        <v>122</v>
      </c>
      <c r="H1206" s="9" t="n">
        <v>200</v>
      </c>
      <c r="I1206" s="9" t="inlineStr">
        <is>
          <t>Bench Bat</t>
        </is>
      </c>
      <c r="J1206" s="16" t="inlineStr">
        <is>
          <t>Opening Day</t>
        </is>
      </c>
      <c r="K1206" s="11">
        <f>IFERROR(INDEX(Roles!$B$17:$B$20,MATCH(J1206,Roles!$A$17:$A$20,0)),1)</f>
        <v/>
      </c>
      <c r="L1206" s="17" t="n">
        <v>1</v>
      </c>
      <c r="M1206" s="17" t="n"/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/>
      <c r="Y1206" s="13">
        <f>SUMPRODUCT(M1206:X1206,$M$2:$X$2)*$K1206*$L1206</f>
        <v/>
      </c>
      <c r="Z1206" s="14">
        <f>SUM(M1206:X1206)</f>
        <v/>
      </c>
      <c r="AA1206" s="14">
        <f>IFERROR(IF(UPPER($E1206)="L",SUMPRODUCT(M1206:X1206,$M$3:$X$3,$M$2:$X$2),SUMPRODUCT(M1206:X1206,$M$4:$X$4,$M$2:$X$2))/(Y1206/($K1206*$L1206)),"")</f>
        <v/>
      </c>
      <c r="AB1206" s="18" t="n"/>
    </row>
    <row r="1207">
      <c r="A1207" s="9" t="n">
        <v>815204</v>
      </c>
      <c r="B1207" s="9" t="inlineStr">
        <is>
          <t>Justin Barry</t>
        </is>
      </c>
      <c r="C1207" s="9" t="inlineStr">
        <is>
          <t>BOS</t>
        </is>
      </c>
      <c r="D1207" s="9" t="n">
        <v>25</v>
      </c>
      <c r="E1207" s="16" t="inlineStr">
        <is>
          <t>R</t>
        </is>
      </c>
      <c r="F1207" s="16" t="n"/>
      <c r="G1207" s="9" t="n">
        <v>9.723076923076922</v>
      </c>
      <c r="H1207" s="9" t="n">
        <v>9.723076923076922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7" t="n"/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/>
      <c r="Y1207" s="13">
        <f>SUMPRODUCT(M1207:X1207,$M$2:$X$2)*$K1207*$L1207</f>
        <v/>
      </c>
      <c r="Z1207" s="14">
        <f>SUM(M1207:X1207)</f>
        <v/>
      </c>
      <c r="AA1207" s="14">
        <f>IFERROR(IF(UPPER($E1207)="L",SUMPRODUCT(M1207:X1207,$M$3:$X$3,$M$2:$X$2),SUMPRODUCT(M1207:X1207,$M$4:$X$4,$M$2:$X$2))/(Y1207/($K1207*$L1207)),"")</f>
        <v/>
      </c>
      <c r="AB1207" s="18" t="n"/>
    </row>
    <row r="1208">
      <c r="A1208" s="9" t="n">
        <v>814761</v>
      </c>
      <c r="B1208" s="9" t="inlineStr">
        <is>
          <t>Gabe Camacho</t>
        </is>
      </c>
      <c r="C1208" s="9" t="inlineStr">
        <is>
          <t>STL</t>
        </is>
      </c>
      <c r="D1208" s="9" t="n">
        <v>25</v>
      </c>
      <c r="E1208" s="16" t="inlineStr">
        <is>
          <t>L</t>
        </is>
      </c>
      <c r="F1208" s="16" t="n"/>
      <c r="G1208" s="9" t="n">
        <v>9.969230769230769</v>
      </c>
      <c r="H1208" s="9" t="n">
        <v>9.969230769230769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7" t="n"/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/>
      <c r="Y1208" s="13">
        <f>SUMPRODUCT(M1208:X1208,$M$2:$X$2)*$K1208*$L1208</f>
        <v/>
      </c>
      <c r="Z1208" s="14">
        <f>SUM(M1208:X1208)</f>
        <v/>
      </c>
      <c r="AA1208" s="14">
        <f>IFERROR(IF(UPPER($E1208)="L",SUMPRODUCT(M1208:X1208,$M$3:$X$3,$M$2:$X$2),SUMPRODUCT(M1208:X1208,$M$4:$X$4,$M$2:$X$2))/(Y1208/($K1208*$L1208)),"")</f>
        <v/>
      </c>
      <c r="AB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7" t="n"/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/>
      <c r="Y1209" s="13">
        <f>SUMPRODUCT(M1209:X1209,$M$2:$X$2)*$K1209*$L1209</f>
        <v/>
      </c>
      <c r="Z1209" s="14">
        <f>SUM(M1209:X1209)</f>
        <v/>
      </c>
      <c r="AA1209" s="14">
        <f>IFERROR(IF(UPPER($E1209)="L",SUMPRODUCT(M1209:X1209,$M$3:$X$3,$M$2:$X$2),SUMPRODUCT(M1209:X1209,$M$4:$X$4,$M$2:$X$2))/(Y1209/($K1209*$L1209)),"")</f>
        <v/>
      </c>
      <c r="AB1209" s="18" t="n"/>
    </row>
    <row r="1210">
      <c r="A1210" s="9" t="n">
        <v>621438</v>
      </c>
      <c r="B1210" s="9" t="inlineStr">
        <is>
          <t>Tyrone Taylor</t>
        </is>
      </c>
      <c r="C1210" s="9" t="inlineStr">
        <is>
          <t>CHC</t>
        </is>
      </c>
      <c r="D1210" s="9" t="n">
        <v>33</v>
      </c>
      <c r="E1210" s="16" t="inlineStr">
        <is>
          <t>R</t>
        </is>
      </c>
      <c r="F1210" s="16" t="n"/>
      <c r="G1210" s="9" t="n">
        <v>241</v>
      </c>
      <c r="H1210" s="9" t="n">
        <v>1575</v>
      </c>
      <c r="I1210" s="9" t="inlineStr">
        <is>
          <t>Utility OF / 4th OF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7" t="n"/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/>
      <c r="Y1210" s="13">
        <f>SUMPRODUCT(M1210:X1210,$M$2:$X$2)*$K1210*$L1210</f>
        <v/>
      </c>
      <c r="Z1210" s="14">
        <f>SUM(M1210:X1210)</f>
        <v/>
      </c>
      <c r="AA1210" s="14">
        <f>IFERROR(IF(UPPER($E1210)="L",SUMPRODUCT(M1210:X1210,$M$3:$X$3,$M$2:$X$2),SUMPRODUCT(M1210:X1210,$M$4:$X$4,$M$2:$X$2))/(Y1210/($K1210*$L1210)),"")</f>
        <v/>
      </c>
      <c r="AB1210" s="18" t="n"/>
    </row>
    <row r="1211">
      <c r="A1211" s="9" t="n">
        <v>622250</v>
      </c>
      <c r="B1211" s="9" t="inlineStr">
        <is>
          <t>Josh Sborz</t>
        </is>
      </c>
      <c r="C1211" s="9" t="inlineStr">
        <is>
          <t>TEX</t>
        </is>
      </c>
      <c r="D1211" s="9" t="n">
        <v>33</v>
      </c>
      <c r="E1211" s="16" t="inlineStr">
        <is>
          <t>R</t>
        </is>
      </c>
      <c r="F1211" s="16" t="n"/>
      <c r="G1211" s="9" t="n">
        <v>1</v>
      </c>
      <c r="H1211" s="9" t="n">
        <v>1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7" t="n"/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/>
      <c r="Y1211" s="13">
        <f>SUMPRODUCT(M1211:X1211,$M$2:$X$2)*$K1211*$L1211</f>
        <v/>
      </c>
      <c r="Z1211" s="14">
        <f>SUM(M1211:X1211)</f>
        <v/>
      </c>
      <c r="AA1211" s="14">
        <f>IFERROR(IF(UPPER($E1211)="L",SUMPRODUCT(M1211:X1211,$M$3:$X$3,$M$2:$X$2),SUMPRODUCT(M1211:X1211,$M$4:$X$4,$M$2:$X$2))/(Y1211/($K1211*$L1211)),"")</f>
        <v/>
      </c>
      <c r="AB1211" s="18" t="n"/>
    </row>
    <row r="1212">
      <c r="A1212" s="9" t="n">
        <v>827671</v>
      </c>
      <c r="B1212" s="9" t="inlineStr">
        <is>
          <t>Reed Stallman</t>
        </is>
      </c>
      <c r="C1212" s="9" t="inlineStr">
        <is>
          <t>NYM</t>
        </is>
      </c>
      <c r="D1212" s="9" t="n">
        <v>25</v>
      </c>
      <c r="E1212" s="16" t="inlineStr">
        <is>
          <t>L</t>
        </is>
      </c>
      <c r="F1212" s="16" t="n"/>
      <c r="G1212" s="9" t="n">
        <v>7.753846153846153</v>
      </c>
      <c r="H1212" s="9" t="n">
        <v>7.753846153846153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7" t="n"/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/>
      <c r="Y1212" s="13">
        <f>SUMPRODUCT(M1212:X1212,$M$2:$X$2)*$K1212*$L1212</f>
        <v/>
      </c>
      <c r="Z1212" s="14">
        <f>SUM(M1212:X1212)</f>
        <v/>
      </c>
      <c r="AA1212" s="14">
        <f>IFERROR(IF(UPPER($E1212)="L",SUMPRODUCT(M1212:X1212,$M$3:$X$3,$M$2:$X$2),SUMPRODUCT(M1212:X1212,$M$4:$X$4,$M$2:$X$2))/(Y1212/($K1212*$L1212)),"")</f>
        <v/>
      </c>
      <c r="AB1212" s="18" t="n"/>
    </row>
    <row r="1213">
      <c r="A1213" s="9" t="n">
        <v>605242</v>
      </c>
      <c r="B1213" s="9" t="inlineStr">
        <is>
          <t>Michael Fulmer</t>
        </is>
      </c>
      <c r="C1213" s="9" t="inlineStr">
        <is>
          <t>CHC</t>
        </is>
      </c>
      <c r="D1213" s="9" t="n">
        <v>34</v>
      </c>
      <c r="E1213" s="16" t="inlineStr">
        <is>
          <t>R</t>
        </is>
      </c>
      <c r="F1213" s="16" t="n"/>
      <c r="G1213" s="9" t="n">
        <v>1</v>
      </c>
      <c r="H1213" s="9" t="n">
        <v>1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7" t="n"/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/>
      <c r="Y1213" s="13">
        <f>SUMPRODUCT(M1213:X1213,$M$2:$X$2)*$K1213*$L1213</f>
        <v/>
      </c>
      <c r="Z1213" s="14">
        <f>SUM(M1213:X1213)</f>
        <v/>
      </c>
      <c r="AA1213" s="14">
        <f>IFERROR(IF(UPPER($E1213)="L",SUMPRODUCT(M1213:X1213,$M$3:$X$3,$M$2:$X$2),SUMPRODUCT(M1213:X1213,$M$4:$X$4,$M$2:$X$2))/(Y1213/($K1213*$L1213)),"")</f>
        <v/>
      </c>
      <c r="AB1213" s="18" t="n"/>
    </row>
    <row r="1214">
      <c r="A1214" s="9" t="n">
        <v>811633</v>
      </c>
      <c r="B1214" s="9" t="inlineStr">
        <is>
          <t>Yosweld Vasquez</t>
        </is>
      </c>
      <c r="C1214" s="9" t="inlineStr">
        <is>
          <t>HOU</t>
        </is>
      </c>
      <c r="D1214" s="9" t="n">
        <v>25</v>
      </c>
      <c r="E1214" s="16" t="inlineStr">
        <is>
          <t>R</t>
        </is>
      </c>
      <c r="F1214" s="16" t="n"/>
      <c r="G1214" s="9" t="n">
        <v>7.794871794871796</v>
      </c>
      <c r="H1214" s="9" t="n">
        <v>7.794871794871796</v>
      </c>
      <c r="I1214" s="9" t="inlineStr">
        <is>
          <t>Depth (no MLB PA)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7" t="n"/>
      <c r="N1214" s="17" t="n"/>
      <c r="O1214" s="17" t="n"/>
      <c r="P1214" s="17" t="n"/>
      <c r="Q1214" s="17" t="n"/>
      <c r="R1214" s="17" t="n"/>
      <c r="S1214" s="17" t="n"/>
      <c r="T1214" s="17" t="n"/>
      <c r="U1214" s="17" t="n"/>
      <c r="V1214" s="17" t="n"/>
      <c r="W1214" s="17" t="n"/>
      <c r="X1214" s="17" t="n"/>
      <c r="Y1214" s="13">
        <f>SUMPRODUCT(M1214:X1214,$M$2:$X$2)*$K1214*$L1214</f>
        <v/>
      </c>
      <c r="Z1214" s="14">
        <f>SUM(M1214:X1214)</f>
        <v/>
      </c>
      <c r="AA1214" s="14">
        <f>IFERROR(IF(UPPER($E1214)="L",SUMPRODUCT(M1214:X1214,$M$3:$X$3,$M$2:$X$2),SUMPRODUCT(M1214:X1214,$M$4:$X$4,$M$2:$X$2))/(Y1214/($K1214*$L1214)),"")</f>
        <v/>
      </c>
      <c r="AB1214" s="18" t="n"/>
    </row>
    <row r="1215">
      <c r="A1215" s="9" t="n">
        <v>831004</v>
      </c>
      <c r="B1215" s="9" t="inlineStr">
        <is>
          <t>AJ Soldra</t>
        </is>
      </c>
      <c r="C1215" s="9" t="inlineStr">
        <is>
          <t>LAD</t>
        </is>
      </c>
      <c r="D1215" s="9" t="n">
        <v>25</v>
      </c>
      <c r="E1215" s="16" t="inlineStr">
        <is>
          <t>L</t>
        </is>
      </c>
      <c r="F1215" s="16" t="n"/>
      <c r="G1215" s="9" t="n">
        <v>22.64615384615385</v>
      </c>
      <c r="H1215" s="9" t="n">
        <v>22.64615384615385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7" t="n"/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/>
      <c r="Y1215" s="13">
        <f>SUMPRODUCT(M1215:X1215,$M$2:$X$2)*$K1215*$L1215</f>
        <v/>
      </c>
      <c r="Z1215" s="14">
        <f>SUM(M1215:X1215)</f>
        <v/>
      </c>
      <c r="AA1215" s="14">
        <f>IFERROR(IF(UPPER($E1215)="L",SUMPRODUCT(M1215:X1215,$M$3:$X$3,$M$2:$X$2),SUMPRODUCT(M1215:X1215,$M$4:$X$4,$M$2:$X$2))/(Y1215/($K1215*$L1215)),"")</f>
        <v/>
      </c>
      <c r="AB1215" s="18" t="n"/>
    </row>
    <row r="1216">
      <c r="A1216" s="9" t="n">
        <v>693809</v>
      </c>
      <c r="B1216" s="9" t="inlineStr">
        <is>
          <t>Dilan Granadillo</t>
        </is>
      </c>
      <c r="C1216" s="9" t="inlineStr">
        <is>
          <t>CHC</t>
        </is>
      </c>
      <c r="D1216" s="9" t="n">
        <v>25</v>
      </c>
      <c r="E1216" s="16" t="inlineStr">
        <is>
          <t>L</t>
        </is>
      </c>
      <c r="F1216" s="16" t="n"/>
      <c r="G1216" s="9" t="n">
        <v>7.58974358974359</v>
      </c>
      <c r="H1216" s="9" t="n">
        <v>7.58974358974359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7" t="n"/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/>
      <c r="Y1216" s="13">
        <f>SUMPRODUCT(M1216:X1216,$M$2:$X$2)*$K1216*$L1216</f>
        <v/>
      </c>
      <c r="Z1216" s="14">
        <f>SUM(M1216:X1216)</f>
        <v/>
      </c>
      <c r="AA1216" s="14">
        <f>IFERROR(IF(UPPER($E1216)="L",SUMPRODUCT(M1216:X1216,$M$3:$X$3,$M$2:$X$2),SUMPRODUCT(M1216:X1216,$M$4:$X$4,$M$2:$X$2))/(Y1216/($K1216*$L1216)),"")</f>
        <v/>
      </c>
      <c r="AB1216" s="18" t="n"/>
    </row>
    <row r="1217">
      <c r="A1217" s="9" t="n">
        <v>831488</v>
      </c>
      <c r="B1217" s="9" t="inlineStr">
        <is>
          <t>Wyatt Vincent</t>
        </is>
      </c>
      <c r="C1217" s="9" t="inlineStr">
        <is>
          <t>NYM</t>
        </is>
      </c>
      <c r="D1217" s="9" t="n">
        <v>25</v>
      </c>
      <c r="E1217" s="16" t="inlineStr">
        <is>
          <t>R</t>
        </is>
      </c>
      <c r="F1217" s="16" t="n"/>
      <c r="G1217" s="9" t="n">
        <v>7.753846153846153</v>
      </c>
      <c r="H1217" s="9" t="n">
        <v>7.753846153846153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7" t="n"/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/>
      <c r="Y1217" s="13">
        <f>SUMPRODUCT(M1217:X1217,$M$2:$X$2)*$K1217*$L1217</f>
        <v/>
      </c>
      <c r="Z1217" s="14">
        <f>SUM(M1217:X1217)</f>
        <v/>
      </c>
      <c r="AA1217" s="14">
        <f>IFERROR(IF(UPPER($E1217)="L",SUMPRODUCT(M1217:X1217,$M$3:$X$3,$M$2:$X$2),SUMPRODUCT(M1217:X1217,$M$4:$X$4,$M$2:$X$2))/(Y1217/($K1217*$L1217)),"")</f>
        <v/>
      </c>
      <c r="AB1217" s="18" t="n"/>
    </row>
    <row r="1218">
      <c r="A1218" s="9" t="n">
        <v>842047</v>
      </c>
      <c r="B1218" s="9" t="inlineStr">
        <is>
          <t>Brayden Martin</t>
        </is>
      </c>
      <c r="C1218" s="9" t="inlineStr">
        <is>
          <t>TOR</t>
        </is>
      </c>
      <c r="D1218" s="9" t="n">
        <v>25</v>
      </c>
      <c r="E1218" s="16" t="inlineStr">
        <is>
          <t>L</t>
        </is>
      </c>
      <c r="F1218" s="16" t="n"/>
      <c r="G1218" s="9" t="n">
        <v>7.753846153846153</v>
      </c>
      <c r="H1218" s="9" t="n">
        <v>7.753846153846153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7" t="n"/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/>
      <c r="Y1218" s="13">
        <f>SUMPRODUCT(M1218:X1218,$M$2:$X$2)*$K1218*$L1218</f>
        <v/>
      </c>
      <c r="Z1218" s="14">
        <f>SUM(M1218:X1218)</f>
        <v/>
      </c>
      <c r="AA1218" s="14">
        <f>IFERROR(IF(UPPER($E1218)="L",SUMPRODUCT(M1218:X1218,$M$3:$X$3,$M$2:$X$2),SUMPRODUCT(M1218:X1218,$M$4:$X$4,$M$2:$X$2))/(Y1218/($K1218*$L1218)),"")</f>
        <v/>
      </c>
      <c r="AB1218" s="18" t="n"/>
    </row>
    <row r="1219">
      <c r="A1219" s="9" t="n">
        <v>687208</v>
      </c>
      <c r="B1219" s="9" t="inlineStr">
        <is>
          <t>Nathan Hickey</t>
        </is>
      </c>
      <c r="C1219" s="9" t="inlineStr">
        <is>
          <t>BOS</t>
        </is>
      </c>
      <c r="D1219" s="9" t="n">
        <v>25</v>
      </c>
      <c r="E1219" s="16" t="inlineStr">
        <is>
          <t>L</t>
        </is>
      </c>
      <c r="F1219" s="16" t="n"/>
      <c r="G1219" s="9" t="n">
        <v>129.7435897435898</v>
      </c>
      <c r="H1219" s="9" t="n">
        <v>129.7435897435898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7" t="n"/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/>
      <c r="Y1219" s="13">
        <f>SUMPRODUCT(M1219:X1219,$M$2:$X$2)*$K1219*$L1219</f>
        <v/>
      </c>
      <c r="Z1219" s="14">
        <f>SUM(M1219:X1219)</f>
        <v/>
      </c>
      <c r="AA1219" s="14">
        <f>IFERROR(IF(UPPER($E1219)="L",SUMPRODUCT(M1219:X1219,$M$3:$X$3,$M$2:$X$2),SUMPRODUCT(M1219:X1219,$M$4:$X$4,$M$2:$X$2))/(Y1219/($K1219*$L1219)),"")</f>
        <v/>
      </c>
      <c r="AB1219" s="18" t="n"/>
    </row>
    <row r="1220">
      <c r="A1220" s="9" t="n">
        <v>806120</v>
      </c>
      <c r="B1220" s="9" t="inlineStr">
        <is>
          <t>Kyle Henley</t>
        </is>
      </c>
      <c r="C1220" s="9" t="inlineStr">
        <is>
          <t>CIN</t>
        </is>
      </c>
      <c r="D1220" s="9" t="n">
        <v>25</v>
      </c>
      <c r="E1220" s="16" t="inlineStr">
        <is>
          <t>R</t>
        </is>
      </c>
      <c r="F1220" s="16" t="n"/>
      <c r="G1220" s="9" t="n">
        <v>11.8974358974359</v>
      </c>
      <c r="H1220" s="9" t="n">
        <v>11.8974358974359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7" t="n"/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/>
      <c r="Y1220" s="13">
        <f>SUMPRODUCT(M1220:X1220,$M$2:$X$2)*$K1220*$L1220</f>
        <v/>
      </c>
      <c r="Z1220" s="14">
        <f>SUM(M1220:X1220)</f>
        <v/>
      </c>
      <c r="AA1220" s="14">
        <f>IFERROR(IF(UPPER($E1220)="L",SUMPRODUCT(M1220:X1220,$M$3:$X$3,$M$2:$X$2),SUMPRODUCT(M1220:X1220,$M$4:$X$4,$M$2:$X$2))/(Y1220/($K1220*$L1220)),"")</f>
        <v/>
      </c>
      <c r="AB1220" s="18" t="n"/>
    </row>
    <row r="1221">
      <c r="A1221" s="9" t="n">
        <v>806261</v>
      </c>
      <c r="B1221" s="9" t="inlineStr">
        <is>
          <t>Jaxon Willits</t>
        </is>
      </c>
      <c r="C1221" s="9" t="inlineStr">
        <is>
          <t>LAA</t>
        </is>
      </c>
      <c r="D1221" s="9" t="n">
        <v>25</v>
      </c>
      <c r="E1221" s="16" t="inlineStr">
        <is>
          <t>S</t>
        </is>
      </c>
      <c r="F1221" s="16" t="n"/>
      <c r="G1221" s="9" t="n">
        <v>14.4</v>
      </c>
      <c r="H1221" s="9" t="n">
        <v>14.4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7" t="n"/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/>
      <c r="Y1221" s="13">
        <f>SUMPRODUCT(M1221:X1221,$M$2:$X$2)*$K1221*$L1221</f>
        <v/>
      </c>
      <c r="Z1221" s="14">
        <f>SUM(M1221:X1221)</f>
        <v/>
      </c>
      <c r="AA1221" s="14">
        <f>IFERROR(IF(UPPER($E1221)="L",SUMPRODUCT(M1221:X1221,$M$3:$X$3,$M$2:$X$2),SUMPRODUCT(M1221:X1221,$M$4:$X$4,$M$2:$X$2))/(Y1221/($K1221*$L1221)),"")</f>
        <v/>
      </c>
      <c r="AB1221" s="18" t="n"/>
    </row>
    <row r="1222">
      <c r="A1222" s="9" t="n">
        <v>815121</v>
      </c>
      <c r="B1222" s="9" t="inlineStr">
        <is>
          <t>Alexey Lumpuy</t>
        </is>
      </c>
      <c r="C1222" s="9" t="inlineStr">
        <is>
          <t>CHC</t>
        </is>
      </c>
      <c r="D1222" s="9" t="n">
        <v>25</v>
      </c>
      <c r="E1222" s="16" t="inlineStr">
        <is>
          <t>L</t>
        </is>
      </c>
      <c r="F1222" s="16" t="n"/>
      <c r="G1222" s="9" t="n">
        <v>20.30769230769231</v>
      </c>
      <c r="H1222" s="9" t="n">
        <v>20.30769230769231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7" t="n"/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/>
      <c r="Y1222" s="13">
        <f>SUMPRODUCT(M1222:X1222,$M$2:$X$2)*$K1222*$L1222</f>
        <v/>
      </c>
      <c r="Z1222" s="14">
        <f>SUM(M1222:X1222)</f>
        <v/>
      </c>
      <c r="AA1222" s="14">
        <f>IFERROR(IF(UPPER($E1222)="L",SUMPRODUCT(M1222:X1222,$M$3:$X$3,$M$2:$X$2),SUMPRODUCT(M1222:X1222,$M$4:$X$4,$M$2:$X$2))/(Y1222/($K1222*$L1222)),"")</f>
        <v/>
      </c>
      <c r="AB1222" s="18" t="n"/>
    </row>
    <row r="1223">
      <c r="A1223" s="9" t="n">
        <v>814469</v>
      </c>
      <c r="B1223" s="9" t="inlineStr">
        <is>
          <t>Crew McChesney</t>
        </is>
      </c>
      <c r="C1223" s="9" t="inlineStr">
        <is>
          <t>CWS</t>
        </is>
      </c>
      <c r="D1223" s="9" t="n">
        <v>25</v>
      </c>
      <c r="E1223" s="16" t="inlineStr">
        <is>
          <t>L</t>
        </is>
      </c>
      <c r="F1223" s="16" t="n"/>
      <c r="G1223" s="9" t="n">
        <v>7.876923076923077</v>
      </c>
      <c r="H1223" s="9" t="n">
        <v>7.876923076923077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7" t="n"/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/>
      <c r="Y1223" s="13">
        <f>SUMPRODUCT(M1223:X1223,$M$2:$X$2)*$K1223*$L1223</f>
        <v/>
      </c>
      <c r="Z1223" s="14">
        <f>SUM(M1223:X1223)</f>
        <v/>
      </c>
      <c r="AA1223" s="14">
        <f>IFERROR(IF(UPPER($E1223)="L",SUMPRODUCT(M1223:X1223,$M$3:$X$3,$M$2:$X$2),SUMPRODUCT(M1223:X1223,$M$4:$X$4,$M$2:$X$2))/(Y1223/($K1223*$L1223)),"")</f>
        <v/>
      </c>
      <c r="AB1223" s="18" t="n"/>
    </row>
    <row r="1224">
      <c r="A1224" s="9" t="n">
        <v>828084</v>
      </c>
      <c r="B1224" s="9" t="inlineStr">
        <is>
          <t>Daniel Pierce</t>
        </is>
      </c>
      <c r="C1224" s="9" t="inlineStr">
        <is>
          <t>TB</t>
        </is>
      </c>
      <c r="D1224" s="9" t="n">
        <v>25</v>
      </c>
      <c r="E1224" s="16" t="inlineStr">
        <is>
          <t>R</t>
        </is>
      </c>
      <c r="F1224" s="16" t="n"/>
      <c r="G1224" s="9" t="n">
        <v>16.49230769230769</v>
      </c>
      <c r="H1224" s="9" t="n">
        <v>16.49230769230769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7" t="n"/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/>
      <c r="Y1224" s="13">
        <f>SUMPRODUCT(M1224:X1224,$M$2:$X$2)*$K1224*$L1224</f>
        <v/>
      </c>
      <c r="Z1224" s="14">
        <f>SUM(M1224:X1224)</f>
        <v/>
      </c>
      <c r="AA1224" s="14">
        <f>IFERROR(IF(UPPER($E1224)="L",SUMPRODUCT(M1224:X1224,$M$3:$X$3,$M$2:$X$2),SUMPRODUCT(M1224:X1224,$M$4:$X$4,$M$2:$X$2))/(Y1224/($K1224*$L1224)),"")</f>
        <v/>
      </c>
      <c r="AB1224" s="18" t="n"/>
    </row>
    <row r="1225">
      <c r="A1225" s="9" t="n">
        <v>800106</v>
      </c>
      <c r="B1225" s="9" t="inlineStr">
        <is>
          <t>Marcos Torres</t>
        </is>
      </c>
      <c r="C1225" s="9" t="inlineStr">
        <is>
          <t>TEX</t>
        </is>
      </c>
      <c r="D1225" s="9" t="n">
        <v>25</v>
      </c>
      <c r="E1225" s="16" t="inlineStr">
        <is>
          <t>L</t>
        </is>
      </c>
      <c r="F1225" s="16" t="n"/>
      <c r="G1225" s="9" t="n">
        <v>16.41025641025641</v>
      </c>
      <c r="H1225" s="9" t="n">
        <v>16.41025641025641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7" t="n"/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/>
      <c r="Y1225" s="13">
        <f>SUMPRODUCT(M1225:X1225,$M$2:$X$2)*$K1225*$L1225</f>
        <v/>
      </c>
      <c r="Z1225" s="14">
        <f>SUM(M1225:X1225)</f>
        <v/>
      </c>
      <c r="AA1225" s="14">
        <f>IFERROR(IF(UPPER($E1225)="L",SUMPRODUCT(M1225:X1225,$M$3:$X$3,$M$2:$X$2),SUMPRODUCT(M1225:X1225,$M$4:$X$4,$M$2:$X$2))/(Y1225/($K1225*$L1225)),"")</f>
        <v/>
      </c>
      <c r="AB1225" s="18" t="n"/>
    </row>
    <row r="1226">
      <c r="A1226" s="9" t="n">
        <v>822384</v>
      </c>
      <c r="B1226" s="9" t="inlineStr">
        <is>
          <t>Jack Spanier</t>
        </is>
      </c>
      <c r="C1226" s="9" t="inlineStr">
        <is>
          <t>ARI</t>
        </is>
      </c>
      <c r="D1226" s="9" t="n">
        <v>25</v>
      </c>
      <c r="E1226" s="16" t="inlineStr">
        <is>
          <t>R</t>
        </is>
      </c>
      <c r="F1226" s="16" t="n"/>
      <c r="G1226" s="9" t="n">
        <v>8</v>
      </c>
      <c r="H1226" s="9" t="n">
        <v>8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7" t="n"/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/>
      <c r="Y1226" s="13">
        <f>SUMPRODUCT(M1226:X1226,$M$2:$X$2)*$K1226*$L1226</f>
        <v/>
      </c>
      <c r="Z1226" s="14">
        <f>SUM(M1226:X1226)</f>
        <v/>
      </c>
      <c r="AA1226" s="14">
        <f>IFERROR(IF(UPPER($E1226)="L",SUMPRODUCT(M1226:X1226,$M$3:$X$3,$M$2:$X$2),SUMPRODUCT(M1226:X1226,$M$4:$X$4,$M$2:$X$2))/(Y1226/($K1226*$L1226)),"")</f>
        <v/>
      </c>
      <c r="AB1226" s="18" t="n"/>
    </row>
    <row r="1227">
      <c r="A1227" s="9" t="n">
        <v>671155</v>
      </c>
      <c r="B1227" s="9" t="inlineStr">
        <is>
          <t>Ivan Johnson</t>
        </is>
      </c>
      <c r="C1227" s="9" t="inlineStr">
        <is>
          <t>CIN</t>
        </is>
      </c>
      <c r="D1227" s="9" t="n">
        <v>28</v>
      </c>
      <c r="E1227" s="16" t="inlineStr">
        <is>
          <t>S</t>
        </is>
      </c>
      <c r="F1227" s="16" t="n"/>
      <c r="G1227" s="9" t="n">
        <v>19</v>
      </c>
      <c r="H1227" s="9" t="n">
        <v>19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7" t="n"/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/>
      <c r="Y1227" s="13">
        <f>SUMPRODUCT(M1227:X1227,$M$2:$X$2)*$K1227*$L1227</f>
        <v/>
      </c>
      <c r="Z1227" s="14">
        <f>SUM(M1227:X1227)</f>
        <v/>
      </c>
      <c r="AA1227" s="14">
        <f>IFERROR(IF(UPPER($E1227)="L",SUMPRODUCT(M1227:X1227,$M$3:$X$3,$M$2:$X$2),SUMPRODUCT(M1227:X1227,$M$4:$X$4,$M$2:$X$2))/(Y1227/($K1227*$L1227)),"")</f>
        <v/>
      </c>
      <c r="AB1227" s="18" t="n"/>
    </row>
    <row r="1228">
      <c r="A1228" s="9" t="n">
        <v>694420</v>
      </c>
      <c r="B1228" s="9" t="inlineStr">
        <is>
          <t>Tatem Levins</t>
        </is>
      </c>
      <c r="C1228" s="9" t="inlineStr">
        <is>
          <t>TB</t>
        </is>
      </c>
      <c r="D1228" s="9" t="n">
        <v>25</v>
      </c>
      <c r="E1228" s="16" t="inlineStr">
        <is>
          <t>L</t>
        </is>
      </c>
      <c r="F1228" s="16" t="n"/>
      <c r="G1228" s="9" t="n">
        <v>208.1538461538462</v>
      </c>
      <c r="H1228" s="9" t="n">
        <v>208.1538461538462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7" t="n"/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/>
      <c r="Y1228" s="13">
        <f>SUMPRODUCT(M1228:X1228,$M$2:$X$2)*$K1228*$L1228</f>
        <v/>
      </c>
      <c r="Z1228" s="14">
        <f>SUM(M1228:X1228)</f>
        <v/>
      </c>
      <c r="AA1228" s="14">
        <f>IFERROR(IF(UPPER($E1228)="L",SUMPRODUCT(M1228:X1228,$M$3:$X$3,$M$2:$X$2),SUMPRODUCT(M1228:X1228,$M$4:$X$4,$M$2:$X$2))/(Y1228/($K1228*$L1228)),"")</f>
        <v/>
      </c>
      <c r="AB1228" s="18" t="n"/>
    </row>
    <row r="1229">
      <c r="A1229" s="9" t="n">
        <v>676896</v>
      </c>
      <c r="B1229" s="9" t="inlineStr">
        <is>
          <t>Chris Roller</t>
        </is>
      </c>
      <c r="C1229" s="9" t="inlineStr">
        <is>
          <t>MIL</t>
        </is>
      </c>
      <c r="D1229" s="9" t="n">
        <v>30</v>
      </c>
      <c r="E1229" s="16" t="inlineStr">
        <is>
          <t>R</t>
        </is>
      </c>
      <c r="F1229" s="16" t="n"/>
      <c r="G1229" s="9" t="n">
        <v>1</v>
      </c>
      <c r="H1229" s="9" t="n">
        <v>1</v>
      </c>
      <c r="I1229" s="9" t="inlineStr">
        <is>
          <t>Depth (no MLB PA)</t>
        </is>
      </c>
      <c r="J1229" s="16" t="inlineStr">
        <is>
          <t>Opening Day</t>
        </is>
      </c>
      <c r="K1229" s="11">
        <f>IFERROR(INDEX(Roles!$B$17:$B$20,MATCH(J1229,Roles!$A$17:$A$20,0)),1)</f>
        <v/>
      </c>
      <c r="L1229" s="17" t="n">
        <v>1</v>
      </c>
      <c r="M1229" s="17" t="n"/>
      <c r="N1229" s="17" t="n"/>
      <c r="O1229" s="17" t="n"/>
      <c r="P1229" s="17" t="n"/>
      <c r="Q1229" s="17" t="n"/>
      <c r="R1229" s="17" t="n"/>
      <c r="S1229" s="17" t="n"/>
      <c r="T1229" s="17" t="n"/>
      <c r="U1229" s="17" t="n"/>
      <c r="V1229" s="17" t="n"/>
      <c r="W1229" s="17" t="n"/>
      <c r="X1229" s="17" t="n"/>
      <c r="Y1229" s="13">
        <f>SUMPRODUCT(M1229:X1229,$M$2:$X$2)*$K1229*$L1229</f>
        <v/>
      </c>
      <c r="Z1229" s="14">
        <f>SUM(M1229:X1229)</f>
        <v/>
      </c>
      <c r="AA1229" s="14">
        <f>IFERROR(IF(UPPER($E1229)="L",SUMPRODUCT(M1229:X1229,$M$3:$X$3,$M$2:$X$2),SUMPRODUCT(M1229:X1229,$M$4:$X$4,$M$2:$X$2))/(Y1229/($K1229*$L1229)),"")</f>
        <v/>
      </c>
      <c r="AB1229" s="18" t="n"/>
    </row>
    <row r="1230">
      <c r="A1230" s="9" t="n">
        <v>543518</v>
      </c>
      <c r="B1230" s="9" t="inlineStr">
        <is>
          <t>Scott McGough</t>
        </is>
      </c>
      <c r="C1230" s="9" t="inlineStr">
        <is>
          <t>ARI</t>
        </is>
      </c>
      <c r="D1230" s="9" t="n">
        <v>37</v>
      </c>
      <c r="E1230" s="16" t="inlineStr">
        <is>
          <t>R</t>
        </is>
      </c>
      <c r="F1230" s="16" t="n"/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7" t="n"/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/>
      <c r="Y1230" s="13">
        <f>SUMPRODUCT(M1230:X1230,$M$2:$X$2)*$K1230*$L1230</f>
        <v/>
      </c>
      <c r="Z1230" s="14">
        <f>SUM(M1230:X1230)</f>
        <v/>
      </c>
      <c r="AA1230" s="14">
        <f>IFERROR(IF(UPPER($E1230)="L",SUMPRODUCT(M1230:X1230,$M$3:$X$3,$M$2:$X$2),SUMPRODUCT(M1230:X1230,$M$4:$X$4,$M$2:$X$2))/(Y1230/($K1230*$L1230)),"")</f>
        <v/>
      </c>
      <c r="AB1230" s="18" t="n"/>
    </row>
    <row r="1231">
      <c r="A1231" s="9" t="n">
        <v>815394</v>
      </c>
      <c r="B1231" s="9" t="inlineStr">
        <is>
          <t>Theo Gillen</t>
        </is>
      </c>
      <c r="C1231" s="9" t="inlineStr">
        <is>
          <t>TB</t>
        </is>
      </c>
      <c r="D1231" s="9" t="n">
        <v>25</v>
      </c>
      <c r="E1231" s="16" t="inlineStr">
        <is>
          <t>L</t>
        </is>
      </c>
      <c r="F1231" s="16" t="n"/>
      <c r="G1231" s="9" t="n">
        <v>94.05128205128204</v>
      </c>
      <c r="H1231" s="9" t="n">
        <v>94.05128205128204</v>
      </c>
      <c r="I1231" s="9" t="inlineStr">
        <is>
          <t>Depth (no MLB PA)</t>
        </is>
      </c>
      <c r="J1231" s="16" t="inlineStr">
        <is>
          <t>Opening Day</t>
        </is>
      </c>
      <c r="K1231" s="11">
        <f>IFERROR(INDEX(Roles!$B$17:$B$20,MATCH(J1231,Roles!$A$17:$A$20,0)),1)</f>
        <v/>
      </c>
      <c r="L1231" s="17" t="n">
        <v>1</v>
      </c>
      <c r="M1231" s="17" t="n"/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/>
      <c r="Y1231" s="13">
        <f>SUMPRODUCT(M1231:X1231,$M$2:$X$2)*$K1231*$L1231</f>
        <v/>
      </c>
      <c r="Z1231" s="14">
        <f>SUM(M1231:X1231)</f>
        <v/>
      </c>
      <c r="AA1231" s="14">
        <f>IFERROR(IF(UPPER($E1231)="L",SUMPRODUCT(M1231:X1231,$M$3:$X$3,$M$2:$X$2),SUMPRODUCT(M1231:X1231,$M$4:$X$4,$M$2:$X$2))/(Y1231/($K1231*$L1231)),"")</f>
        <v/>
      </c>
      <c r="AB1231" s="18" t="n"/>
    </row>
    <row r="1232">
      <c r="A1232" s="9" t="n">
        <v>821139</v>
      </c>
      <c r="B1232" s="9" t="inlineStr">
        <is>
          <t>Luis De La Cruz</t>
        </is>
      </c>
      <c r="C1232" s="9" t="inlineStr">
        <is>
          <t>CLE</t>
        </is>
      </c>
      <c r="D1232" s="9" t="n">
        <v>25</v>
      </c>
      <c r="E1232" s="16" t="inlineStr">
        <is>
          <t>S</t>
        </is>
      </c>
      <c r="F1232" s="16" t="n"/>
      <c r="G1232" s="9" t="n">
        <v>12.30769230769231</v>
      </c>
      <c r="H1232" s="9" t="n">
        <v>12.30769230769231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7" t="n"/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/>
      <c r="Y1232" s="13">
        <f>SUMPRODUCT(M1232:X1232,$M$2:$X$2)*$K1232*$L1232</f>
        <v/>
      </c>
      <c r="Z1232" s="14">
        <f>SUM(M1232:X1232)</f>
        <v/>
      </c>
      <c r="AA1232" s="14">
        <f>IFERROR(IF(UPPER($E1232)="L",SUMPRODUCT(M1232:X1232,$M$3:$X$3,$M$2:$X$2),SUMPRODUCT(M1232:X1232,$M$4:$X$4,$M$2:$X$2))/(Y1232/($K1232*$L1232)),"")</f>
        <v/>
      </c>
      <c r="AB1232" s="18" t="n"/>
    </row>
    <row r="1233">
      <c r="A1233" s="9" t="n">
        <v>687066</v>
      </c>
      <c r="B1233" s="9" t="inlineStr">
        <is>
          <t>Eric Yang</t>
        </is>
      </c>
      <c r="C1233" s="9" t="inlineStr">
        <is>
          <t>CIN</t>
        </is>
      </c>
      <c r="D1233" s="9" t="n">
        <v>29</v>
      </c>
      <c r="E1233" s="16" t="inlineStr">
        <is>
          <t>R</t>
        </is>
      </c>
      <c r="F1233" s="16" t="n"/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7" t="n"/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/>
      <c r="Y1233" s="13">
        <f>SUMPRODUCT(M1233:X1233,$M$2:$X$2)*$K1233*$L1233</f>
        <v/>
      </c>
      <c r="Z1233" s="14">
        <f>SUM(M1233:X1233)</f>
        <v/>
      </c>
      <c r="AA1233" s="14">
        <f>IFERROR(IF(UPPER($E1233)="L",SUMPRODUCT(M1233:X1233,$M$3:$X$3,$M$2:$X$2),SUMPRODUCT(M1233:X1233,$M$4:$X$4,$M$2:$X$2))/(Y1233/($K1233*$L1233)),"")</f>
        <v/>
      </c>
      <c r="AB1233" s="18" t="n"/>
    </row>
    <row r="1234">
      <c r="A1234" s="9" t="n">
        <v>829791</v>
      </c>
      <c r="B1234" s="9" t="inlineStr">
        <is>
          <t>Miguel Hernández</t>
        </is>
      </c>
      <c r="C1234" s="9" t="inlineStr">
        <is>
          <t>STL</t>
        </is>
      </c>
      <c r="D1234" s="9" t="n">
        <v>25</v>
      </c>
      <c r="E1234" s="16" t="inlineStr">
        <is>
          <t>R</t>
        </is>
      </c>
      <c r="F1234" s="16" t="n"/>
      <c r="G1234" s="9" t="n">
        <v>12.18461538461539</v>
      </c>
      <c r="H1234" s="9" t="n">
        <v>12.18461538461539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7" t="n"/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/>
      <c r="Y1234" s="13">
        <f>SUMPRODUCT(M1234:X1234,$M$2:$X$2)*$K1234*$L1234</f>
        <v/>
      </c>
      <c r="Z1234" s="14">
        <f>SUM(M1234:X1234)</f>
        <v/>
      </c>
      <c r="AA1234" s="14">
        <f>IFERROR(IF(UPPER($E1234)="L",SUMPRODUCT(M1234:X1234,$M$3:$X$3,$M$2:$X$2),SUMPRODUCT(M1234:X1234,$M$4:$X$4,$M$2:$X$2))/(Y1234/($K1234*$L1234)),"")</f>
        <v/>
      </c>
      <c r="AB1234" s="18" t="n"/>
    </row>
    <row r="1235">
      <c r="A1235" s="9" t="n">
        <v>622491</v>
      </c>
      <c r="B1235" s="9" t="inlineStr">
        <is>
          <t>Luis Castillo</t>
        </is>
      </c>
      <c r="C1235" s="9" t="inlineStr">
        <is>
          <t>SEA</t>
        </is>
      </c>
      <c r="D1235" s="9" t="n">
        <v>34</v>
      </c>
      <c r="E1235" s="16" t="inlineStr">
        <is>
          <t>R</t>
        </is>
      </c>
      <c r="F1235" s="16" t="n"/>
      <c r="G1235" s="9" t="n">
        <v>1</v>
      </c>
      <c r="H1235" s="9" t="n">
        <v>1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7" t="n"/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/>
      <c r="Y1235" s="13">
        <f>SUMPRODUCT(M1235:X1235,$M$2:$X$2)*$K1235*$L1235</f>
        <v/>
      </c>
      <c r="Z1235" s="14">
        <f>SUM(M1235:X1235)</f>
        <v/>
      </c>
      <c r="AA1235" s="14">
        <f>IFERROR(IF(UPPER($E1235)="L",SUMPRODUCT(M1235:X1235,$M$3:$X$3,$M$2:$X$2),SUMPRODUCT(M1235:X1235,$M$4:$X$4,$M$2:$X$2))/(Y1235/($K1235*$L1235)),"")</f>
        <v/>
      </c>
      <c r="AB1235" s="18" t="n"/>
    </row>
    <row r="1236">
      <c r="A1236" s="9" t="n">
        <v>829166</v>
      </c>
      <c r="B1236" s="9" t="inlineStr">
        <is>
          <t>Yamvier Carrero</t>
        </is>
      </c>
      <c r="C1236" s="9" t="inlineStr">
        <is>
          <t>ATL</t>
        </is>
      </c>
      <c r="D1236" s="9" t="n">
        <v>25</v>
      </c>
      <c r="E1236" s="16" t="inlineStr">
        <is>
          <t>R</t>
        </is>
      </c>
      <c r="F1236" s="16" t="n"/>
      <c r="G1236" s="9" t="n">
        <v>14.52307692307692</v>
      </c>
      <c r="H1236" s="9" t="n">
        <v>14.52307692307692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7" t="n"/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/>
      <c r="Y1236" s="13">
        <f>SUMPRODUCT(M1236:X1236,$M$2:$X$2)*$K1236*$L1236</f>
        <v/>
      </c>
      <c r="Z1236" s="14">
        <f>SUM(M1236:X1236)</f>
        <v/>
      </c>
      <c r="AA1236" s="14">
        <f>IFERROR(IF(UPPER($E1236)="L",SUMPRODUCT(M1236:X1236,$M$3:$X$3,$M$2:$X$2),SUMPRODUCT(M1236:X1236,$M$4:$X$4,$M$2:$X$2))/(Y1236/($K1236*$L1236)),"")</f>
        <v/>
      </c>
      <c r="AB1236" s="18" t="n"/>
    </row>
    <row r="1237">
      <c r="A1237" s="9" t="n">
        <v>800621</v>
      </c>
      <c r="B1237" s="9" t="inlineStr">
        <is>
          <t>Logun Clark</t>
        </is>
      </c>
      <c r="C1237" s="9" t="inlineStr">
        <is>
          <t>CLE</t>
        </is>
      </c>
      <c r="D1237" s="9" t="n">
        <v>25</v>
      </c>
      <c r="E1237" s="16" t="inlineStr">
        <is>
          <t>R</t>
        </is>
      </c>
      <c r="F1237" s="16" t="n"/>
      <c r="G1237" s="9" t="n">
        <v>7.897435897435898</v>
      </c>
      <c r="H1237" s="9" t="n">
        <v>7.897435897435898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7" t="n"/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/>
      <c r="Y1237" s="13">
        <f>SUMPRODUCT(M1237:X1237,$M$2:$X$2)*$K1237*$L1237</f>
        <v/>
      </c>
      <c r="Z1237" s="14">
        <f>SUM(M1237:X1237)</f>
        <v/>
      </c>
      <c r="AA1237" s="14">
        <f>IFERROR(IF(UPPER($E1237)="L",SUMPRODUCT(M1237:X1237,$M$3:$X$3,$M$2:$X$2),SUMPRODUCT(M1237:X1237,$M$4:$X$4,$M$2:$X$2))/(Y1237/($K1237*$L1237)),"")</f>
        <v/>
      </c>
      <c r="AB1237" s="18" t="n"/>
    </row>
    <row r="1238">
      <c r="A1238" s="9" t="n">
        <v>829773</v>
      </c>
      <c r="B1238" s="9" t="inlineStr">
        <is>
          <t>Yovanny Duran</t>
        </is>
      </c>
      <c r="C1238" s="9" t="inlineStr">
        <is>
          <t>MIN</t>
        </is>
      </c>
      <c r="D1238" s="9" t="n">
        <v>25</v>
      </c>
      <c r="E1238" s="16" t="inlineStr">
        <is>
          <t>S</t>
        </is>
      </c>
      <c r="F1238" s="16" t="n"/>
      <c r="G1238" s="9" t="n">
        <v>10.09230769230769</v>
      </c>
      <c r="H1238" s="9" t="n">
        <v>10.09230769230769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7" t="n"/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/>
      <c r="Y1238" s="13">
        <f>SUMPRODUCT(M1238:X1238,$M$2:$X$2)*$K1238*$L1238</f>
        <v/>
      </c>
      <c r="Z1238" s="14">
        <f>SUM(M1238:X1238)</f>
        <v/>
      </c>
      <c r="AA1238" s="14">
        <f>IFERROR(IF(UPPER($E1238)="L",SUMPRODUCT(M1238:X1238,$M$3:$X$3,$M$2:$X$2),SUMPRODUCT(M1238:X1238,$M$4:$X$4,$M$2:$X$2))/(Y1238/($K1238*$L1238)),"")</f>
        <v/>
      </c>
      <c r="AB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n"/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7" t="n"/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/>
      <c r="Y1239" s="13">
        <f>SUMPRODUCT(M1239:X1239,$M$2:$X$2)*$K1239*$L1239</f>
        <v/>
      </c>
      <c r="Z1239" s="14">
        <f>SUM(M1239:X1239)</f>
        <v/>
      </c>
      <c r="AA1239" s="14">
        <f>IFERROR(IF(UPPER($E1239)="L",SUMPRODUCT(M1239:X1239,$M$3:$X$3,$M$2:$X$2),SUMPRODUCT(M1239:X1239,$M$4:$X$4,$M$2:$X$2))/(Y1239/($K1239*$L1239)),"")</f>
        <v/>
      </c>
      <c r="AB1239" s="18" t="n"/>
    </row>
    <row r="1240">
      <c r="A1240" s="9" t="n">
        <v>809772</v>
      </c>
      <c r="B1240" s="9" t="inlineStr">
        <is>
          <t>Luis Puello</t>
        </is>
      </c>
      <c r="C1240" s="9" t="inlineStr">
        <is>
          <t>NYY</t>
        </is>
      </c>
      <c r="D1240" s="9" t="n">
        <v>25</v>
      </c>
      <c r="E1240" s="16" t="inlineStr">
        <is>
          <t>R</t>
        </is>
      </c>
      <c r="F1240" s="16" t="n"/>
      <c r="G1240" s="9" t="n">
        <v>38.15384615384615</v>
      </c>
      <c r="H1240" s="9" t="n">
        <v>38.15384615384615</v>
      </c>
      <c r="I1240" s="9" t="inlineStr">
        <is>
          <t>Depth (no MLB PA)</t>
        </is>
      </c>
      <c r="J1240" s="16" t="inlineStr">
        <is>
          <t>Opening Day</t>
        </is>
      </c>
      <c r="K1240" s="11">
        <f>IFERROR(INDEX(Roles!$B$17:$B$20,MATCH(J1240,Roles!$A$17:$A$20,0)),1)</f>
        <v/>
      </c>
      <c r="L1240" s="17" t="n">
        <v>1</v>
      </c>
      <c r="M1240" s="17" t="n"/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/>
      <c r="Y1240" s="13">
        <f>SUMPRODUCT(M1240:X1240,$M$2:$X$2)*$K1240*$L1240</f>
        <v/>
      </c>
      <c r="Z1240" s="14">
        <f>SUM(M1240:X1240)</f>
        <v/>
      </c>
      <c r="AA1240" s="14">
        <f>IFERROR(IF(UPPER($E1240)="L",SUMPRODUCT(M1240:X1240,$M$3:$X$3,$M$2:$X$2),SUMPRODUCT(M1240:X1240,$M$4:$X$4,$M$2:$X$2))/(Y1240/($K1240*$L1240)),"")</f>
        <v/>
      </c>
      <c r="AB1240" s="18" t="n"/>
    </row>
    <row r="1241">
      <c r="A1241" s="9" t="n">
        <v>691558</v>
      </c>
      <c r="B1241" s="9" t="inlineStr">
        <is>
          <t>Yeiner Fernandez</t>
        </is>
      </c>
      <c r="C1241" s="9" t="inlineStr">
        <is>
          <t>LAD</t>
        </is>
      </c>
      <c r="D1241" s="9" t="n">
        <v>25</v>
      </c>
      <c r="E1241" s="16" t="inlineStr">
        <is>
          <t>R</t>
        </is>
      </c>
      <c r="F1241" s="16" t="n"/>
      <c r="G1241" s="9" t="n">
        <v>8.256410256410257</v>
      </c>
      <c r="H1241" s="9" t="n">
        <v>8.256410256410257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7" t="n"/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/>
      <c r="Y1241" s="13">
        <f>SUMPRODUCT(M1241:X1241,$M$2:$X$2)*$K1241*$L1241</f>
        <v/>
      </c>
      <c r="Z1241" s="14">
        <f>SUM(M1241:X1241)</f>
        <v/>
      </c>
      <c r="AA1241" s="14">
        <f>IFERROR(IF(UPPER($E1241)="L",SUMPRODUCT(M1241:X1241,$M$3:$X$3,$M$2:$X$2),SUMPRODUCT(M1241:X1241,$M$4:$X$4,$M$2:$X$2))/(Y1241/($K1241*$L1241)),"")</f>
        <v/>
      </c>
      <c r="AB1241" s="18" t="n"/>
    </row>
    <row r="1242">
      <c r="A1242" s="9" t="n">
        <v>814964</v>
      </c>
      <c r="B1242" s="9" t="inlineStr">
        <is>
          <t>Reece Moroney</t>
        </is>
      </c>
      <c r="C1242" s="9" t="inlineStr">
        <is>
          <t>PHI</t>
        </is>
      </c>
      <c r="D1242" s="9" t="n">
        <v>25</v>
      </c>
      <c r="E1242" s="16" t="inlineStr">
        <is>
          <t>R</t>
        </is>
      </c>
      <c r="F1242" s="16" t="n"/>
      <c r="G1242" s="9" t="n">
        <v>8.123076923076923</v>
      </c>
      <c r="H1242" s="9" t="n">
        <v>8.123076923076923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7" t="n"/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/>
      <c r="Y1242" s="13">
        <f>SUMPRODUCT(M1242:X1242,$M$2:$X$2)*$K1242*$L1242</f>
        <v/>
      </c>
      <c r="Z1242" s="14">
        <f>SUM(M1242:X1242)</f>
        <v/>
      </c>
      <c r="AA1242" s="14">
        <f>IFERROR(IF(UPPER($E1242)="L",SUMPRODUCT(M1242:X1242,$M$3:$X$3,$M$2:$X$2),SUMPRODUCT(M1242:X1242,$M$4:$X$4,$M$2:$X$2))/(Y1242/($K1242*$L1242)),"")</f>
        <v/>
      </c>
      <c r="AB1242" s="18" t="n"/>
    </row>
    <row r="1243">
      <c r="A1243" s="9" t="n">
        <v>807277</v>
      </c>
      <c r="B1243" s="9" t="inlineStr">
        <is>
          <t>Nick Montgomery</t>
        </is>
      </c>
      <c r="C1243" s="9" t="inlineStr">
        <is>
          <t>ATL</t>
        </is>
      </c>
      <c r="D1243" s="9" t="n">
        <v>25</v>
      </c>
      <c r="E1243" s="16" t="inlineStr">
        <is>
          <t>R</t>
        </is>
      </c>
      <c r="F1243" s="16" t="n"/>
      <c r="G1243" s="9" t="n">
        <v>24.86153846153847</v>
      </c>
      <c r="H1243" s="9" t="n">
        <v>24.86153846153847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7" t="n"/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/>
      <c r="Y1243" s="13">
        <f>SUMPRODUCT(M1243:X1243,$M$2:$X$2)*$K1243*$L1243</f>
        <v/>
      </c>
      <c r="Z1243" s="14">
        <f>SUM(M1243:X1243)</f>
        <v/>
      </c>
      <c r="AA1243" s="14">
        <f>IFERROR(IF(UPPER($E1243)="L",SUMPRODUCT(M1243:X1243,$M$3:$X$3,$M$2:$X$2),SUMPRODUCT(M1243:X1243,$M$4:$X$4,$M$2:$X$2))/(Y1243/($K1243*$L1243)),"")</f>
        <v/>
      </c>
      <c r="AB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7" t="n"/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/>
      <c r="Y1244" s="13">
        <f>SUMPRODUCT(M1244:X1244,$M$2:$X$2)*$K1244*$L1244</f>
        <v/>
      </c>
      <c r="Z1244" s="14">
        <f>SUM(M1244:X1244)</f>
        <v/>
      </c>
      <c r="AA1244" s="14">
        <f>IFERROR(IF(UPPER($E1244)="L",SUMPRODUCT(M1244:X1244,$M$3:$X$3,$M$2:$X$2),SUMPRODUCT(M1244:X1244,$M$4:$X$4,$M$2:$X$2))/(Y1244/($K1244*$L1244)),"")</f>
        <v/>
      </c>
      <c r="AB1244" s="18" t="n"/>
    </row>
    <row r="1245">
      <c r="A1245" s="9" t="n">
        <v>681355</v>
      </c>
      <c r="B1245" s="9" t="inlineStr">
        <is>
          <t>Andrew Cossetti</t>
        </is>
      </c>
      <c r="C1245" s="9" t="inlineStr">
        <is>
          <t>MIN</t>
        </is>
      </c>
      <c r="D1245" s="9" t="n">
        <v>25</v>
      </c>
      <c r="E1245" s="16" t="inlineStr">
        <is>
          <t>R</t>
        </is>
      </c>
      <c r="F1245" s="16" t="n"/>
      <c r="G1245" s="9" t="n">
        <v>159.7435897435897</v>
      </c>
      <c r="H1245" s="9" t="n">
        <v>159.7435897435897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7" t="n"/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/>
      <c r="Y1245" s="13">
        <f>SUMPRODUCT(M1245:X1245,$M$2:$X$2)*$K1245*$L1245</f>
        <v/>
      </c>
      <c r="Z1245" s="14">
        <f>SUM(M1245:X1245)</f>
        <v/>
      </c>
      <c r="AA1245" s="14">
        <f>IFERROR(IF(UPPER($E1245)="L",SUMPRODUCT(M1245:X1245,$M$3:$X$3,$M$2:$X$2),SUMPRODUCT(M1245:X1245,$M$4:$X$4,$M$2:$X$2))/(Y1245/($K1245*$L1245)),"")</f>
        <v/>
      </c>
      <c r="AB1245" s="18" t="n"/>
    </row>
    <row r="1246">
      <c r="A1246" s="9" t="n">
        <v>829272</v>
      </c>
      <c r="B1246" s="9" t="inlineStr">
        <is>
          <t>Shinnosuke Ogasawara</t>
        </is>
      </c>
      <c r="C1246" s="9" t="inlineStr">
        <is>
          <t>WSH</t>
        </is>
      </c>
      <c r="D1246" s="9" t="n">
        <v>29</v>
      </c>
      <c r="E1246" s="16" t="inlineStr">
        <is>
          <t>L</t>
        </is>
      </c>
      <c r="F1246" s="16" t="n"/>
      <c r="G1246" s="9" t="n">
        <v>1</v>
      </c>
      <c r="H1246" s="9" t="n">
        <v>1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7" t="n"/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/>
      <c r="Y1246" s="13">
        <f>SUMPRODUCT(M1246:X1246,$M$2:$X$2)*$K1246*$L1246</f>
        <v/>
      </c>
      <c r="Z1246" s="14">
        <f>SUM(M1246:X1246)</f>
        <v/>
      </c>
      <c r="AA1246" s="14">
        <f>IFERROR(IF(UPPER($E1246)="L",SUMPRODUCT(M1246:X1246,$M$3:$X$3,$M$2:$X$2),SUMPRODUCT(M1246:X1246,$M$4:$X$4,$M$2:$X$2))/(Y1246/($K1246*$L1246)),"")</f>
        <v/>
      </c>
      <c r="AB1246" s="18" t="n"/>
    </row>
    <row r="1247">
      <c r="A1247" s="9" t="n">
        <v>683427</v>
      </c>
      <c r="B1247" s="9" t="inlineStr">
        <is>
          <t>Omar Hernandez</t>
        </is>
      </c>
      <c r="C1247" s="9" t="inlineStr">
        <is>
          <t>KC</t>
        </is>
      </c>
      <c r="D1247" s="9" t="n">
        <v>25</v>
      </c>
      <c r="E1247" s="16" t="inlineStr">
        <is>
          <t>R</t>
        </is>
      </c>
      <c r="F1247" s="16" t="n"/>
      <c r="G1247" s="9" t="n">
        <v>24.25641025641026</v>
      </c>
      <c r="H1247" s="9" t="n">
        <v>24.25641025641026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7" t="n"/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/>
      <c r="Y1247" s="13">
        <f>SUMPRODUCT(M1247:X1247,$M$2:$X$2)*$K1247*$L1247</f>
        <v/>
      </c>
      <c r="Z1247" s="14">
        <f>SUM(M1247:X1247)</f>
        <v/>
      </c>
      <c r="AA1247" s="14">
        <f>IFERROR(IF(UPPER($E1247)="L",SUMPRODUCT(M1247:X1247,$M$3:$X$3,$M$2:$X$2),SUMPRODUCT(M1247:X1247,$M$4:$X$4,$M$2:$X$2))/(Y1247/($K1247*$L1247)),"")</f>
        <v/>
      </c>
      <c r="AB1247" s="18" t="n"/>
    </row>
    <row r="1248">
      <c r="A1248" s="9" t="n">
        <v>836533</v>
      </c>
      <c r="B1248" s="9" t="inlineStr">
        <is>
          <t>Nick Monile</t>
        </is>
      </c>
      <c r="C1248" s="9" t="inlineStr">
        <is>
          <t>MIL</t>
        </is>
      </c>
      <c r="D1248" s="9" t="n">
        <v>25</v>
      </c>
      <c r="E1248" s="16" t="inlineStr">
        <is>
          <t>L</t>
        </is>
      </c>
      <c r="F1248" s="16" t="n"/>
      <c r="G1248" s="9" t="n">
        <v>10.09230769230769</v>
      </c>
      <c r="H1248" s="9" t="n">
        <v>10.09230769230769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7" t="n"/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/>
      <c r="Y1248" s="13">
        <f>SUMPRODUCT(M1248:X1248,$M$2:$X$2)*$K1248*$L1248</f>
        <v/>
      </c>
      <c r="Z1248" s="14">
        <f>SUM(M1248:X1248)</f>
        <v/>
      </c>
      <c r="AA1248" s="14">
        <f>IFERROR(IF(UPPER($E1248)="L",SUMPRODUCT(M1248:X1248,$M$3:$X$3,$M$2:$X$2),SUMPRODUCT(M1248:X1248,$M$4:$X$4,$M$2:$X$2))/(Y1248/($K1248*$L1248)),"")</f>
        <v/>
      </c>
      <c r="AB1248" s="18" t="n"/>
    </row>
    <row r="1249">
      <c r="A1249" s="9" t="n">
        <v>694732</v>
      </c>
      <c r="B1249" s="9" t="inlineStr">
        <is>
          <t>Clayton Gray</t>
        </is>
      </c>
      <c r="C1249" s="9" t="inlineStr">
        <is>
          <t>COL</t>
        </is>
      </c>
      <c r="D1249" s="9" t="n">
        <v>25</v>
      </c>
      <c r="E1249" s="16" t="inlineStr">
        <is>
          <t>L</t>
        </is>
      </c>
      <c r="F1249" s="16" t="n"/>
      <c r="G1249" s="9" t="n">
        <v>16.61538461538462</v>
      </c>
      <c r="H1249" s="9" t="n">
        <v>16.61538461538462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7" t="n"/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/>
      <c r="Y1249" s="13">
        <f>SUMPRODUCT(M1249:X1249,$M$2:$X$2)*$K1249*$L1249</f>
        <v/>
      </c>
      <c r="Z1249" s="14">
        <f>SUM(M1249:X1249)</f>
        <v/>
      </c>
      <c r="AA1249" s="14">
        <f>IFERROR(IF(UPPER($E1249)="L",SUMPRODUCT(M1249:X1249,$M$3:$X$3,$M$2:$X$2),SUMPRODUCT(M1249:X1249,$M$4:$X$4,$M$2:$X$2))/(Y1249/($K1249*$L1249)),"")</f>
        <v/>
      </c>
      <c r="AB1249" s="18" t="n"/>
    </row>
    <row r="1250">
      <c r="A1250" s="9" t="n">
        <v>683004</v>
      </c>
      <c r="B1250" s="9" t="inlineStr">
        <is>
          <t>Jack Leiter</t>
        </is>
      </c>
      <c r="C1250" s="9" t="inlineStr">
        <is>
          <t>TEX</t>
        </is>
      </c>
      <c r="D1250" s="9" t="n">
        <v>27</v>
      </c>
      <c r="E1250" s="16" t="inlineStr">
        <is>
          <t>R</t>
        </is>
      </c>
      <c r="F1250" s="16" t="n"/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7" t="n"/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/>
      <c r="Y1250" s="13">
        <f>SUMPRODUCT(M1250:X1250,$M$2:$X$2)*$K1250*$L1250</f>
        <v/>
      </c>
      <c r="Z1250" s="14">
        <f>SUM(M1250:X1250)</f>
        <v/>
      </c>
      <c r="AA1250" s="14">
        <f>IFERROR(IF(UPPER($E1250)="L",SUMPRODUCT(M1250:X1250,$M$3:$X$3,$M$2:$X$2),SUMPRODUCT(M1250:X1250,$M$4:$X$4,$M$2:$X$2))/(Y1250/($K1250*$L1250)),"")</f>
        <v/>
      </c>
      <c r="AB1250" s="18" t="n"/>
    </row>
    <row r="1251">
      <c r="A1251" s="9" t="n">
        <v>692039</v>
      </c>
      <c r="B1251" s="9" t="inlineStr">
        <is>
          <t>Carlos Jimenez</t>
        </is>
      </c>
      <c r="C1251" s="9" t="inlineStr">
        <is>
          <t>SEA</t>
        </is>
      </c>
      <c r="D1251" s="9" t="n">
        <v>25</v>
      </c>
      <c r="E1251" s="16" t="inlineStr">
        <is>
          <t>L</t>
        </is>
      </c>
      <c r="F1251" s="16" t="n"/>
      <c r="G1251" s="9" t="n">
        <v>92.1025641025641</v>
      </c>
      <c r="H1251" s="9" t="n">
        <v>92.1025641025641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7" t="n"/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/>
      <c r="Y1251" s="13">
        <f>SUMPRODUCT(M1251:X1251,$M$2:$X$2)*$K1251*$L1251</f>
        <v/>
      </c>
      <c r="Z1251" s="14">
        <f>SUM(M1251:X1251)</f>
        <v/>
      </c>
      <c r="AA1251" s="14">
        <f>IFERROR(IF(UPPER($E1251)="L",SUMPRODUCT(M1251:X1251,$M$3:$X$3,$M$2:$X$2),SUMPRODUCT(M1251:X1251,$M$4:$X$4,$M$2:$X$2))/(Y1251/($K1251*$L1251)),"")</f>
        <v/>
      </c>
      <c r="AB1251" s="18" t="n"/>
    </row>
    <row r="1252">
      <c r="A1252" s="9" t="n">
        <v>607067</v>
      </c>
      <c r="B1252" s="9" t="inlineStr">
        <is>
          <t>Colin Rea</t>
        </is>
      </c>
      <c r="C1252" s="9" t="inlineStr">
        <is>
          <t>CHC</t>
        </is>
      </c>
      <c r="D1252" s="9" t="n">
        <v>36</v>
      </c>
      <c r="E1252" s="16" t="inlineStr">
        <is>
          <t>R</t>
        </is>
      </c>
      <c r="F1252" s="16" t="n"/>
      <c r="G1252" s="9" t="n">
        <v>1</v>
      </c>
      <c r="H1252" s="9" t="n">
        <v>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7" t="n"/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/>
      <c r="Y1252" s="13">
        <f>SUMPRODUCT(M1252:X1252,$M$2:$X$2)*$K1252*$L1252</f>
        <v/>
      </c>
      <c r="Z1252" s="14">
        <f>SUM(M1252:X1252)</f>
        <v/>
      </c>
      <c r="AA1252" s="14">
        <f>IFERROR(IF(UPPER($E1252)="L",SUMPRODUCT(M1252:X1252,$M$3:$X$3,$M$2:$X$2),SUMPRODUCT(M1252:X1252,$M$4:$X$4,$M$2:$X$2))/(Y1252/($K1252*$L1252)),"")</f>
        <v/>
      </c>
      <c r="AB1252" s="18" t="n"/>
    </row>
    <row r="1253">
      <c r="A1253" s="9" t="n">
        <v>805810</v>
      </c>
      <c r="B1253" s="9" t="inlineStr">
        <is>
          <t>Blake Mitchell</t>
        </is>
      </c>
      <c r="C1253" s="9" t="inlineStr">
        <is>
          <t>KC</t>
        </is>
      </c>
      <c r="D1253" s="9" t="n">
        <v>25</v>
      </c>
      <c r="E1253" s="16" t="inlineStr">
        <is>
          <t>L</t>
        </is>
      </c>
      <c r="F1253" s="16" t="n"/>
      <c r="G1253" s="9" t="n">
        <v>101.3333333333333</v>
      </c>
      <c r="H1253" s="9" t="n">
        <v>101.3333333333333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7" t="n"/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/>
      <c r="Y1253" s="13">
        <f>SUMPRODUCT(M1253:X1253,$M$2:$X$2)*$K1253*$L1253</f>
        <v/>
      </c>
      <c r="Z1253" s="14">
        <f>SUM(M1253:X1253)</f>
        <v/>
      </c>
      <c r="AA1253" s="14">
        <f>IFERROR(IF(UPPER($E1253)="L",SUMPRODUCT(M1253:X1253,$M$3:$X$3,$M$2:$X$2),SUMPRODUCT(M1253:X1253,$M$4:$X$4,$M$2:$X$2))/(Y1253/($K1253*$L1253)),"")</f>
        <v/>
      </c>
      <c r="AB1253" s="18" t="n"/>
    </row>
    <row r="1254">
      <c r="A1254" s="9" t="n">
        <v>660634</v>
      </c>
      <c r="B1254" s="9" t="inlineStr">
        <is>
          <t>Yonny Hernández</t>
        </is>
      </c>
      <c r="C1254" s="9" t="inlineStr">
        <is>
          <t>LAD</t>
        </is>
      </c>
      <c r="D1254" s="9" t="n">
        <v>29</v>
      </c>
      <c r="E1254" s="16" t="inlineStr">
        <is>
          <t>S</t>
        </is>
      </c>
      <c r="F1254" s="16" t="n"/>
      <c r="G1254" s="9" t="n">
        <v>27</v>
      </c>
      <c r="H1254" s="9" t="n">
        <v>55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7" t="n"/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/>
      <c r="Y1254" s="13">
        <f>SUMPRODUCT(M1254:X1254,$M$2:$X$2)*$K1254*$L1254</f>
        <v/>
      </c>
      <c r="Z1254" s="14">
        <f>SUM(M1254:X1254)</f>
        <v/>
      </c>
      <c r="AA1254" s="14">
        <f>IFERROR(IF(UPPER($E1254)="L",SUMPRODUCT(M1254:X1254,$M$3:$X$3,$M$2:$X$2),SUMPRODUCT(M1254:X1254,$M$4:$X$4,$M$2:$X$2))/(Y1254/($K1254*$L1254)),"")</f>
        <v/>
      </c>
      <c r="AB1254" s="18" t="n"/>
    </row>
    <row r="1255">
      <c r="A1255" s="9" t="n">
        <v>821673</v>
      </c>
      <c r="B1255" s="9" t="inlineStr">
        <is>
          <t>Jurdrick Profar</t>
        </is>
      </c>
      <c r="C1255" s="9" t="inlineStr">
        <is>
          <t>CWS</t>
        </is>
      </c>
      <c r="D1255" s="9" t="n">
        <v>25</v>
      </c>
      <c r="E1255" s="16" t="inlineStr">
        <is>
          <t>R</t>
        </is>
      </c>
      <c r="F1255" s="16" t="n"/>
      <c r="G1255" s="9" t="n">
        <v>10.58461538461538</v>
      </c>
      <c r="H1255" s="9" t="n">
        <v>10.58461538461538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7" t="n"/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/>
      <c r="Y1255" s="13">
        <f>SUMPRODUCT(M1255:X1255,$M$2:$X$2)*$K1255*$L1255</f>
        <v/>
      </c>
      <c r="Z1255" s="14">
        <f>SUM(M1255:X1255)</f>
        <v/>
      </c>
      <c r="AA1255" s="14">
        <f>IFERROR(IF(UPPER($E1255)="L",SUMPRODUCT(M1255:X1255,$M$3:$X$3,$M$2:$X$2),SUMPRODUCT(M1255:X1255,$M$4:$X$4,$M$2:$X$2))/(Y1255/($K1255*$L1255)),"")</f>
        <v/>
      </c>
      <c r="AB1255" s="18" t="n"/>
    </row>
    <row r="1256">
      <c r="A1256" s="9" t="n">
        <v>800204</v>
      </c>
      <c r="B1256" s="9" t="inlineStr">
        <is>
          <t>Derek Bernard</t>
        </is>
      </c>
      <c r="C1256" s="9" t="inlineStr">
        <is>
          <t>COL</t>
        </is>
      </c>
      <c r="D1256" s="9" t="n">
        <v>25</v>
      </c>
      <c r="E1256" s="16" t="inlineStr">
        <is>
          <t>L</t>
        </is>
      </c>
      <c r="F1256" s="16" t="n"/>
      <c r="G1256" s="9" t="n">
        <v>12.51282051282051</v>
      </c>
      <c r="H1256" s="9" t="n">
        <v>12.51282051282051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7" t="n"/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/>
      <c r="Y1256" s="13">
        <f>SUMPRODUCT(M1256:X1256,$M$2:$X$2)*$K1256*$L1256</f>
        <v/>
      </c>
      <c r="Z1256" s="14">
        <f>SUM(M1256:X1256)</f>
        <v/>
      </c>
      <c r="AA1256" s="14">
        <f>IFERROR(IF(UPPER($E1256)="L",SUMPRODUCT(M1256:X1256,$M$3:$X$3,$M$2:$X$2),SUMPRODUCT(M1256:X1256,$M$4:$X$4,$M$2:$X$2))/(Y1256/($K1256*$L1256)),"")</f>
        <v/>
      </c>
      <c r="AB1256" s="18" t="n"/>
    </row>
    <row r="1257">
      <c r="A1257" s="9" t="n">
        <v>829741</v>
      </c>
      <c r="B1257" s="9" t="inlineStr">
        <is>
          <t>Sebastian Dos Santos</t>
        </is>
      </c>
      <c r="C1257" s="9" t="inlineStr">
        <is>
          <t>STL</t>
        </is>
      </c>
      <c r="D1257" s="9" t="n">
        <v>25</v>
      </c>
      <c r="E1257" s="16" t="inlineStr">
        <is>
          <t>S</t>
        </is>
      </c>
      <c r="F1257" s="16" t="n"/>
      <c r="G1257" s="9" t="n">
        <v>29.9076923076923</v>
      </c>
      <c r="H1257" s="9" t="n">
        <v>29.9076923076923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7" t="n"/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/>
      <c r="Y1257" s="13">
        <f>SUMPRODUCT(M1257:X1257,$M$2:$X$2)*$K1257*$L1257</f>
        <v/>
      </c>
      <c r="Z1257" s="14">
        <f>SUM(M1257:X1257)</f>
        <v/>
      </c>
      <c r="AA1257" s="14">
        <f>IFERROR(IF(UPPER($E1257)="L",SUMPRODUCT(M1257:X1257,$M$3:$X$3,$M$2:$X$2),SUMPRODUCT(M1257:X1257,$M$4:$X$4,$M$2:$X$2))/(Y1257/($K1257*$L1257)),"")</f>
        <v/>
      </c>
      <c r="AB1257" s="18" t="n"/>
    </row>
    <row r="1258">
      <c r="A1258" s="9" t="n">
        <v>800953</v>
      </c>
      <c r="B1258" s="9" t="inlineStr">
        <is>
          <t>Brady Day</t>
        </is>
      </c>
      <c r="C1258" s="9" t="inlineStr">
        <is>
          <t>PHI</t>
        </is>
      </c>
      <c r="D1258" s="9" t="n">
        <v>25</v>
      </c>
      <c r="E1258" s="16" t="inlineStr">
        <is>
          <t>L</t>
        </is>
      </c>
      <c r="F1258" s="16" t="n"/>
      <c r="G1258" s="9" t="n">
        <v>29.94871794871795</v>
      </c>
      <c r="H1258" s="9" t="n">
        <v>29.94871794871795</v>
      </c>
      <c r="I1258" s="9" t="inlineStr">
        <is>
          <t>Depth (no MLB PA)</t>
        </is>
      </c>
      <c r="J1258" s="16" t="inlineStr">
        <is>
          <t>Opening Day</t>
        </is>
      </c>
      <c r="K1258" s="11">
        <f>IFERROR(INDEX(Roles!$B$17:$B$20,MATCH(J1258,Roles!$A$17:$A$20,0)),1)</f>
        <v/>
      </c>
      <c r="L1258" s="17" t="n">
        <v>1</v>
      </c>
      <c r="M1258" s="17" t="n"/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/>
      <c r="Y1258" s="13">
        <f>SUMPRODUCT(M1258:X1258,$M$2:$X$2)*$K1258*$L1258</f>
        <v/>
      </c>
      <c r="Z1258" s="14">
        <f>SUM(M1258:X1258)</f>
        <v/>
      </c>
      <c r="AA1258" s="14">
        <f>IFERROR(IF(UPPER($E1258)="L",SUMPRODUCT(M1258:X1258,$M$3:$X$3,$M$2:$X$2),SUMPRODUCT(M1258:X1258,$M$4:$X$4,$M$2:$X$2))/(Y1258/($K1258*$L1258)),"")</f>
        <v/>
      </c>
      <c r="AB1258" s="18" t="n"/>
    </row>
    <row r="1259">
      <c r="A1259" s="9" t="n">
        <v>821782</v>
      </c>
      <c r="B1259" s="9" t="inlineStr">
        <is>
          <t>Andreimi Antunez</t>
        </is>
      </c>
      <c r="C1259" s="9" t="inlineStr">
        <is>
          <t>TB</t>
        </is>
      </c>
      <c r="D1259" s="9" t="n">
        <v>25</v>
      </c>
      <c r="E1259" s="16" t="inlineStr">
        <is>
          <t>R</t>
        </is>
      </c>
      <c r="F1259" s="16" t="n"/>
      <c r="G1259" s="9" t="n">
        <v>15.13846153846154</v>
      </c>
      <c r="H1259" s="9" t="n">
        <v>15.13846153846154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7" t="n"/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/>
      <c r="Y1259" s="13">
        <f>SUMPRODUCT(M1259:X1259,$M$2:$X$2)*$K1259*$L1259</f>
        <v/>
      </c>
      <c r="Z1259" s="14">
        <f>SUM(M1259:X1259)</f>
        <v/>
      </c>
      <c r="AA1259" s="14">
        <f>IFERROR(IF(UPPER($E1259)="L",SUMPRODUCT(M1259:X1259,$M$3:$X$3,$M$2:$X$2),SUMPRODUCT(M1259:X1259,$M$4:$X$4,$M$2:$X$2))/(Y1259/($K1259*$L1259)),"")</f>
        <v/>
      </c>
      <c r="AB1259" s="18" t="n"/>
    </row>
    <row r="1260">
      <c r="A1260" s="9" t="n">
        <v>834672</v>
      </c>
      <c r="B1260" s="9" t="inlineStr">
        <is>
          <t>Michael Oliveto</t>
        </is>
      </c>
      <c r="C1260" s="9" t="inlineStr">
        <is>
          <t>DET</t>
        </is>
      </c>
      <c r="D1260" s="9" t="n">
        <v>25</v>
      </c>
      <c r="E1260" s="16" t="inlineStr">
        <is>
          <t>L</t>
        </is>
      </c>
      <c r="F1260" s="16" t="n"/>
      <c r="G1260" s="9" t="n">
        <v>10.70769230769231</v>
      </c>
      <c r="H1260" s="9" t="n">
        <v>10.70769230769231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7" t="n"/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/>
      <c r="Y1260" s="13">
        <f>SUMPRODUCT(M1260:X1260,$M$2:$X$2)*$K1260*$L1260</f>
        <v/>
      </c>
      <c r="Z1260" s="14">
        <f>SUM(M1260:X1260)</f>
        <v/>
      </c>
      <c r="AA1260" s="14">
        <f>IFERROR(IF(UPPER($E1260)="L",SUMPRODUCT(M1260:X1260,$M$3:$X$3,$M$2:$X$2),SUMPRODUCT(M1260:X1260,$M$4:$X$4,$M$2:$X$2))/(Y1260/($K1260*$L1260)),"")</f>
        <v/>
      </c>
      <c r="AB1260" s="18" t="n"/>
    </row>
    <row r="1261">
      <c r="A1261" s="9" t="n">
        <v>809719</v>
      </c>
      <c r="B1261" s="9" t="inlineStr">
        <is>
          <t>Austin Green</t>
        </is>
      </c>
      <c r="C1261" s="9" t="inlineStr">
        <is>
          <t>NYY</t>
        </is>
      </c>
      <c r="D1261" s="9" t="n">
        <v>25</v>
      </c>
      <c r="E1261" s="16" t="inlineStr">
        <is>
          <t>S</t>
        </is>
      </c>
      <c r="F1261" s="16" t="n"/>
      <c r="G1261" s="9" t="n">
        <v>10.70769230769231</v>
      </c>
      <c r="H1261" s="9" t="n">
        <v>10.70769230769231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7" t="n"/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/>
      <c r="Y1261" s="13">
        <f>SUMPRODUCT(M1261:X1261,$M$2:$X$2)*$K1261*$L1261</f>
        <v/>
      </c>
      <c r="Z1261" s="14">
        <f>SUM(M1261:X1261)</f>
        <v/>
      </c>
      <c r="AA1261" s="14">
        <f>IFERROR(IF(UPPER($E1261)="L",SUMPRODUCT(M1261:X1261,$M$3:$X$3,$M$2:$X$2),SUMPRODUCT(M1261:X1261,$M$4:$X$4,$M$2:$X$2))/(Y1261/($K1261*$L1261)),"")</f>
        <v/>
      </c>
      <c r="AB1261" s="18" t="n"/>
    </row>
    <row r="1262">
      <c r="A1262" s="9" t="n">
        <v>623507</v>
      </c>
      <c r="B1262" s="9" t="inlineStr">
        <is>
          <t>Josh Lester</t>
        </is>
      </c>
      <c r="C1262" s="9" t="inlineStr">
        <is>
          <t>BAL</t>
        </is>
      </c>
      <c r="D1262" s="9" t="n">
        <v>32</v>
      </c>
      <c r="E1262" s="16" t="inlineStr">
        <is>
          <t>L</t>
        </is>
      </c>
      <c r="F1262" s="16" t="n"/>
      <c r="G1262" s="9" t="n">
        <v>23</v>
      </c>
      <c r="H1262" s="9" t="n">
        <v>28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7" t="n"/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/>
      <c r="Y1262" s="13">
        <f>SUMPRODUCT(M1262:X1262,$M$2:$X$2)*$K1262*$L1262</f>
        <v/>
      </c>
      <c r="Z1262" s="14">
        <f>SUM(M1262:X1262)</f>
        <v/>
      </c>
      <c r="AA1262" s="14">
        <f>IFERROR(IF(UPPER($E1262)="L",SUMPRODUCT(M1262:X1262,$M$3:$X$3,$M$2:$X$2),SUMPRODUCT(M1262:X1262,$M$4:$X$4,$M$2:$X$2))/(Y1262/($K1262*$L1262)),"")</f>
        <v/>
      </c>
      <c r="AB1262" s="18" t="n"/>
    </row>
    <row r="1263">
      <c r="A1263" s="9" t="n">
        <v>703611</v>
      </c>
      <c r="B1263" s="9" t="inlineStr">
        <is>
          <t>Maximus Martin</t>
        </is>
      </c>
      <c r="C1263" s="9" t="inlineStr">
        <is>
          <t>BOS</t>
        </is>
      </c>
      <c r="D1263" s="9" t="n">
        <v>25</v>
      </c>
      <c r="E1263" s="16" t="inlineStr">
        <is>
          <t>R</t>
        </is>
      </c>
      <c r="F1263" s="16" t="n"/>
      <c r="G1263" s="9" t="n">
        <v>24.61538461538462</v>
      </c>
      <c r="H1263" s="9" t="n">
        <v>24.61538461538462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7" t="n"/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/>
      <c r="Y1263" s="13">
        <f>SUMPRODUCT(M1263:X1263,$M$2:$X$2)*$K1263*$L1263</f>
        <v/>
      </c>
      <c r="Z1263" s="14">
        <f>SUM(M1263:X1263)</f>
        <v/>
      </c>
      <c r="AA1263" s="14">
        <f>IFERROR(IF(UPPER($E1263)="L",SUMPRODUCT(M1263:X1263,$M$3:$X$3,$M$2:$X$2),SUMPRODUCT(M1263:X1263,$M$4:$X$4,$M$2:$X$2))/(Y1263/($K1263*$L1263)),"")</f>
        <v/>
      </c>
      <c r="AB1263" s="18" t="n"/>
    </row>
    <row r="1264">
      <c r="A1264" s="9" t="n">
        <v>678232</v>
      </c>
      <c r="B1264" s="9" t="inlineStr">
        <is>
          <t>Jesus Valdez</t>
        </is>
      </c>
      <c r="C1264" s="9" t="inlineStr">
        <is>
          <t>ARI</t>
        </is>
      </c>
      <c r="D1264" s="9" t="n">
        <v>25</v>
      </c>
      <c r="E1264" s="16" t="inlineStr">
        <is>
          <t>R</t>
        </is>
      </c>
      <c r="F1264" s="16" t="n"/>
      <c r="G1264" s="9" t="n">
        <v>8.461538461538462</v>
      </c>
      <c r="H1264" s="9" t="n">
        <v>8.461538461538462</v>
      </c>
      <c r="I1264" s="9" t="inlineStr">
        <is>
          <t>Depth (no MLB PA)</t>
        </is>
      </c>
      <c r="J1264" s="16" t="inlineStr">
        <is>
          <t>Opening Day</t>
        </is>
      </c>
      <c r="K1264" s="11">
        <f>IFERROR(INDEX(Roles!$B$17:$B$20,MATCH(J1264,Roles!$A$17:$A$20,0)),1)</f>
        <v/>
      </c>
      <c r="L1264" s="17" t="n">
        <v>1</v>
      </c>
      <c r="M1264" s="17" t="n"/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/>
      <c r="Y1264" s="13">
        <f>SUMPRODUCT(M1264:X1264,$M$2:$X$2)*$K1264*$L1264</f>
        <v/>
      </c>
      <c r="Z1264" s="14">
        <f>SUM(M1264:X1264)</f>
        <v/>
      </c>
      <c r="AA1264" s="14">
        <f>IFERROR(IF(UPPER($E1264)="L",SUMPRODUCT(M1264:X1264,$M$3:$X$3,$M$2:$X$2),SUMPRODUCT(M1264:X1264,$M$4:$X$4,$M$2:$X$2))/(Y1264/($K1264*$L1264)),"")</f>
        <v/>
      </c>
      <c r="AB1264" s="18" t="n"/>
    </row>
    <row r="1265">
      <c r="A1265" s="9" t="n">
        <v>806986</v>
      </c>
      <c r="B1265" s="9" t="inlineStr">
        <is>
          <t>Raymond Mola</t>
        </is>
      </c>
      <c r="C1265" s="9" t="inlineStr">
        <is>
          <t>PIT</t>
        </is>
      </c>
      <c r="D1265" s="9" t="n">
        <v>25</v>
      </c>
      <c r="E1265" s="16" t="inlineStr">
        <is>
          <t>R</t>
        </is>
      </c>
      <c r="F1265" s="16" t="n"/>
      <c r="G1265" s="9" t="n">
        <v>8.246153846153845</v>
      </c>
      <c r="H1265" s="9" t="n">
        <v>8.246153846153845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7" t="n"/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/>
      <c r="Y1265" s="13">
        <f>SUMPRODUCT(M1265:X1265,$M$2:$X$2)*$K1265*$L1265</f>
        <v/>
      </c>
      <c r="Z1265" s="14">
        <f>SUM(M1265:X1265)</f>
        <v/>
      </c>
      <c r="AA1265" s="14">
        <f>IFERROR(IF(UPPER($E1265)="L",SUMPRODUCT(M1265:X1265,$M$3:$X$3,$M$2:$X$2),SUMPRODUCT(M1265:X1265,$M$4:$X$4,$M$2:$X$2))/(Y1265/($K1265*$L1265)),"")</f>
        <v/>
      </c>
      <c r="AB1265" s="18" t="n"/>
    </row>
    <row r="1266">
      <c r="A1266" s="9" t="n">
        <v>695484</v>
      </c>
      <c r="B1266" s="9" t="inlineStr">
        <is>
          <t>Anson Aroz</t>
        </is>
      </c>
      <c r="C1266" s="9" t="inlineStr">
        <is>
          <t>LAD</t>
        </is>
      </c>
      <c r="D1266" s="9" t="n">
        <v>25</v>
      </c>
      <c r="E1266" s="16" t="inlineStr">
        <is>
          <t>S</t>
        </is>
      </c>
      <c r="F1266" s="16" t="n"/>
      <c r="G1266" s="9" t="n">
        <v>12.51282051282051</v>
      </c>
      <c r="H1266" s="9" t="n">
        <v>12.51282051282051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7" t="n"/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/>
      <c r="Y1266" s="13">
        <f>SUMPRODUCT(M1266:X1266,$M$2:$X$2)*$K1266*$L1266</f>
        <v/>
      </c>
      <c r="Z1266" s="14">
        <f>SUM(M1266:X1266)</f>
        <v/>
      </c>
      <c r="AA1266" s="14">
        <f>IFERROR(IF(UPPER($E1266)="L",SUMPRODUCT(M1266:X1266,$M$3:$X$3,$M$2:$X$2),SUMPRODUCT(M1266:X1266,$M$4:$X$4,$M$2:$X$2))/(Y1266/($K1266*$L1266)),"")</f>
        <v/>
      </c>
      <c r="AB1266" s="18" t="n"/>
    </row>
    <row r="1267">
      <c r="A1267" s="9" t="n">
        <v>693822</v>
      </c>
      <c r="B1267" s="9" t="inlineStr">
        <is>
          <t>Murphy Stehly</t>
        </is>
      </c>
      <c r="C1267" s="9" t="inlineStr">
        <is>
          <t>MIN</t>
        </is>
      </c>
      <c r="D1267" s="9" t="n">
        <v>25</v>
      </c>
      <c r="E1267" s="16" t="inlineStr">
        <is>
          <t>R</t>
        </is>
      </c>
      <c r="F1267" s="16" t="n"/>
      <c r="G1267" s="9" t="n">
        <v>16.87179487179487</v>
      </c>
      <c r="H1267" s="9" t="n">
        <v>16.87179487179487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7" t="n"/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/>
      <c r="Y1267" s="13">
        <f>SUMPRODUCT(M1267:X1267,$M$2:$X$2)*$K1267*$L1267</f>
        <v/>
      </c>
      <c r="Z1267" s="14">
        <f>SUM(M1267:X1267)</f>
        <v/>
      </c>
      <c r="AA1267" s="14">
        <f>IFERROR(IF(UPPER($E1267)="L",SUMPRODUCT(M1267:X1267,$M$3:$X$3,$M$2:$X$2),SUMPRODUCT(M1267:X1267,$M$4:$X$4,$M$2:$X$2))/(Y1267/($K1267*$L1267)),"")</f>
        <v/>
      </c>
      <c r="AB1267" s="18" t="n"/>
    </row>
    <row r="1268">
      <c r="A1268" s="9" t="n">
        <v>660620</v>
      </c>
      <c r="B1268" s="9" t="inlineStr">
        <is>
          <t>Jonathan Araúz</t>
        </is>
      </c>
      <c r="C1268" s="9" t="inlineStr">
        <is>
          <t>NYM</t>
        </is>
      </c>
      <c r="D1268" s="9" t="n">
        <v>28</v>
      </c>
      <c r="E1268" s="16" t="inlineStr">
        <is>
          <t>S</t>
        </is>
      </c>
      <c r="F1268" s="16" t="n"/>
      <c r="G1268" s="9" t="n">
        <v>66</v>
      </c>
      <c r="H1268" s="9" t="n">
        <v>107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7" t="n"/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/>
      <c r="Y1268" s="13">
        <f>SUMPRODUCT(M1268:X1268,$M$2:$X$2)*$K1268*$L1268</f>
        <v/>
      </c>
      <c r="Z1268" s="14">
        <f>SUM(M1268:X1268)</f>
        <v/>
      </c>
      <c r="AA1268" s="14">
        <f>IFERROR(IF(UPPER($E1268)="L",SUMPRODUCT(M1268:X1268,$M$3:$X$3,$M$2:$X$2),SUMPRODUCT(M1268:X1268,$M$4:$X$4,$M$2:$X$2))/(Y1268/($K1268*$L1268)),"")</f>
        <v/>
      </c>
      <c r="AB1268" s="18" t="n"/>
    </row>
    <row r="1269">
      <c r="A1269" s="9" t="n">
        <v>800200</v>
      </c>
      <c r="B1269" s="9" t="inlineStr">
        <is>
          <t>Jonathan Linares</t>
        </is>
      </c>
      <c r="C1269" s="9" t="inlineStr">
        <is>
          <t>LAA</t>
        </is>
      </c>
      <c r="D1269" s="9" t="n">
        <v>25</v>
      </c>
      <c r="E1269" s="16" t="inlineStr">
        <is>
          <t>S</t>
        </is>
      </c>
      <c r="F1269" s="16" t="n"/>
      <c r="G1269" s="9" t="n">
        <v>19.32307692307692</v>
      </c>
      <c r="H1269" s="9" t="n">
        <v>19.32307692307692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7" t="n"/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/>
      <c r="Y1269" s="13">
        <f>SUMPRODUCT(M1269:X1269,$M$2:$X$2)*$K1269*$L1269</f>
        <v/>
      </c>
      <c r="Z1269" s="14">
        <f>SUM(M1269:X1269)</f>
        <v/>
      </c>
      <c r="AA1269" s="14">
        <f>IFERROR(IF(UPPER($E1269)="L",SUMPRODUCT(M1269:X1269,$M$3:$X$3,$M$2:$X$2),SUMPRODUCT(M1269:X1269,$M$4:$X$4,$M$2:$X$2))/(Y1269/($K1269*$L1269)),"")</f>
        <v/>
      </c>
      <c r="AB1269" s="18" t="n"/>
    </row>
    <row r="1270">
      <c r="A1270" s="9" t="n">
        <v>839366</v>
      </c>
      <c r="B1270" s="9" t="inlineStr">
        <is>
          <t>Charlie Scholvin</t>
        </is>
      </c>
      <c r="C1270" s="9" t="inlineStr">
        <is>
          <t>MIN</t>
        </is>
      </c>
      <c r="D1270" s="9" t="n">
        <v>25</v>
      </c>
      <c r="E1270" s="16" t="inlineStr">
        <is>
          <t>R</t>
        </is>
      </c>
      <c r="F1270" s="16" t="n"/>
      <c r="G1270" s="9" t="n">
        <v>8.615384615384615</v>
      </c>
      <c r="H1270" s="9" t="n">
        <v>8.615384615384615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7" t="n"/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/>
      <c r="Y1270" s="13">
        <f>SUMPRODUCT(M1270:X1270,$M$2:$X$2)*$K1270*$L1270</f>
        <v/>
      </c>
      <c r="Z1270" s="14">
        <f>SUM(M1270:X1270)</f>
        <v/>
      </c>
      <c r="AA1270" s="14">
        <f>IFERROR(IF(UPPER($E1270)="L",SUMPRODUCT(M1270:X1270,$M$3:$X$3,$M$2:$X$2),SUMPRODUCT(M1270:X1270,$M$4:$X$4,$M$2:$X$2))/(Y1270/($K1270*$L1270)),"")</f>
        <v/>
      </c>
      <c r="AB1270" s="18" t="n"/>
    </row>
    <row r="1271">
      <c r="A1271" s="9" t="n">
        <v>806701</v>
      </c>
      <c r="B1271" s="9" t="inlineStr">
        <is>
          <t>Jake Brown</t>
        </is>
      </c>
      <c r="C1271" s="9" t="inlineStr">
        <is>
          <t>SEA</t>
        </is>
      </c>
      <c r="D1271" s="9" t="n">
        <v>25</v>
      </c>
      <c r="E1271" s="16" t="inlineStr">
        <is>
          <t>L</t>
        </is>
      </c>
      <c r="F1271" s="16" t="n"/>
      <c r="G1271" s="9" t="n">
        <v>13.16923076923077</v>
      </c>
      <c r="H1271" s="9" t="n">
        <v>13.16923076923077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7" t="n"/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/>
      <c r="Y1271" s="13">
        <f>SUMPRODUCT(M1271:X1271,$M$2:$X$2)*$K1271*$L1271</f>
        <v/>
      </c>
      <c r="Z1271" s="14">
        <f>SUM(M1271:X1271)</f>
        <v/>
      </c>
      <c r="AA1271" s="14">
        <f>IFERROR(IF(UPPER($E1271)="L",SUMPRODUCT(M1271:X1271,$M$3:$X$3,$M$2:$X$2),SUMPRODUCT(M1271:X1271,$M$4:$X$4,$M$2:$X$2))/(Y1271/($K1271*$L1271)),"")</f>
        <v/>
      </c>
      <c r="AB1271" s="18" t="n"/>
    </row>
    <row r="1272">
      <c r="A1272" s="9" t="n">
        <v>815563</v>
      </c>
      <c r="B1272" s="9" t="inlineStr">
        <is>
          <t>Bo Walker</t>
        </is>
      </c>
      <c r="C1272" s="9" t="inlineStr">
        <is>
          <t>ARI</t>
        </is>
      </c>
      <c r="D1272" s="9" t="n">
        <v>25</v>
      </c>
      <c r="E1272" s="16" t="inlineStr">
        <is>
          <t>R</t>
        </is>
      </c>
      <c r="F1272" s="16" t="n"/>
      <c r="G1272" s="9" t="n">
        <v>12.8</v>
      </c>
      <c r="H1272" s="9" t="n">
        <v>12.8</v>
      </c>
      <c r="I1272" s="9" t="inlineStr">
        <is>
          <t>Depth (no MLB PA)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7" t="n"/>
      <c r="N1272" s="17" t="n"/>
      <c r="O1272" s="17" t="n"/>
      <c r="P1272" s="17" t="n"/>
      <c r="Q1272" s="17" t="n"/>
      <c r="R1272" s="17" t="n"/>
      <c r="S1272" s="17" t="n"/>
      <c r="T1272" s="17" t="n"/>
      <c r="U1272" s="17" t="n"/>
      <c r="V1272" s="17" t="n"/>
      <c r="W1272" s="17" t="n"/>
      <c r="X1272" s="17" t="n"/>
      <c r="Y1272" s="13">
        <f>SUMPRODUCT(M1272:X1272,$M$2:$X$2)*$K1272*$L1272</f>
        <v/>
      </c>
      <c r="Z1272" s="14">
        <f>SUM(M1272:X1272)</f>
        <v/>
      </c>
      <c r="AA1272" s="14">
        <f>IFERROR(IF(UPPER($E1272)="L",SUMPRODUCT(M1272:X1272,$M$3:$X$3,$M$2:$X$2),SUMPRODUCT(M1272:X1272,$M$4:$X$4,$M$2:$X$2))/(Y1272/($K1272*$L1272)),"")</f>
        <v/>
      </c>
      <c r="AB1272" s="18" t="n"/>
    </row>
    <row r="1273">
      <c r="A1273" s="9" t="n">
        <v>642215</v>
      </c>
      <c r="B1273" s="9" t="inlineStr">
        <is>
          <t>Weston Wilson</t>
        </is>
      </c>
      <c r="C1273" s="9" t="inlineStr">
        <is>
          <t>SEA</t>
        </is>
      </c>
      <c r="D1273" s="9" t="n">
        <v>32</v>
      </c>
      <c r="E1273" s="16" t="inlineStr">
        <is>
          <t>R</t>
        </is>
      </c>
      <c r="F1273" s="16" t="n"/>
      <c r="G1273" s="9" t="n">
        <v>183</v>
      </c>
      <c r="H1273" s="9" t="n">
        <v>428</v>
      </c>
      <c r="I1273" s="9" t="inlineStr">
        <is>
          <t>Bench Bat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7" t="n"/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/>
      <c r="Y1273" s="13">
        <f>SUMPRODUCT(M1273:X1273,$M$2:$X$2)*$K1273*$L1273</f>
        <v/>
      </c>
      <c r="Z1273" s="14">
        <f>SUM(M1273:X1273)</f>
        <v/>
      </c>
      <c r="AA1273" s="14">
        <f>IFERROR(IF(UPPER($E1273)="L",SUMPRODUCT(M1273:X1273,$M$3:$X$3,$M$2:$X$2),SUMPRODUCT(M1273:X1273,$M$4:$X$4,$M$2:$X$2))/(Y1273/($K1273*$L1273)),"")</f>
        <v/>
      </c>
      <c r="AB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7" t="n"/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/>
      <c r="Y1274" s="13">
        <f>SUMPRODUCT(M1274:X1274,$M$2:$X$2)*$K1274*$L1274</f>
        <v/>
      </c>
      <c r="Z1274" s="14">
        <f>SUM(M1274:X1274)</f>
        <v/>
      </c>
      <c r="AA1274" s="14">
        <f>IFERROR(IF(UPPER($E1274)="L",SUMPRODUCT(M1274:X1274,$M$3:$X$3,$M$2:$X$2),SUMPRODUCT(M1274:X1274,$M$4:$X$4,$M$2:$X$2))/(Y1274/($K1274*$L1274)),"")</f>
        <v/>
      </c>
      <c r="AB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7" t="n"/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/>
      <c r="Y1275" s="13">
        <f>SUMPRODUCT(M1275:X1275,$M$2:$X$2)*$K1275*$L1275</f>
        <v/>
      </c>
      <c r="Z1275" s="14">
        <f>SUM(M1275:X1275)</f>
        <v/>
      </c>
      <c r="AA1275" s="14">
        <f>IFERROR(IF(UPPER($E1275)="L",SUMPRODUCT(M1275:X1275,$M$3:$X$3,$M$2:$X$2),SUMPRODUCT(M1275:X1275,$M$4:$X$4,$M$2:$X$2))/(Y1275/($K1275*$L1275)),"")</f>
        <v/>
      </c>
      <c r="AB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7" t="n"/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/>
      <c r="Y1276" s="13">
        <f>SUMPRODUCT(M1276:X1276,$M$2:$X$2)*$K1276*$L1276</f>
        <v/>
      </c>
      <c r="Z1276" s="14">
        <f>SUM(M1276:X1276)</f>
        <v/>
      </c>
      <c r="AA1276" s="14">
        <f>IFERROR(IF(UPPER($E1276)="L",SUMPRODUCT(M1276:X1276,$M$3:$X$3,$M$2:$X$2),SUMPRODUCT(M1276:X1276,$M$4:$X$4,$M$2:$X$2))/(Y1276/($K1276*$L1276)),"")</f>
        <v/>
      </c>
      <c r="AB1276" s="18" t="n"/>
    </row>
    <row r="1277">
      <c r="A1277" s="9" t="n">
        <v>666149</v>
      </c>
      <c r="B1277" s="9" t="inlineStr">
        <is>
          <t>Tyler Fitzgerald</t>
        </is>
      </c>
      <c r="C1277" s="9" t="inlineStr">
        <is>
          <t>SF</t>
        </is>
      </c>
      <c r="D1277" s="9" t="n">
        <v>29</v>
      </c>
      <c r="E1277" s="16" t="inlineStr">
        <is>
          <t>R</t>
        </is>
      </c>
      <c r="F1277" s="16" t="n"/>
      <c r="G1277" s="9" t="n">
        <v>243</v>
      </c>
      <c r="H1277" s="9" t="n">
        <v>618</v>
      </c>
      <c r="I1277" s="9" t="inlineStr">
        <is>
          <t>Utility OF / 4th OF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7" t="n"/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/>
      <c r="Y1277" s="13">
        <f>SUMPRODUCT(M1277:X1277,$M$2:$X$2)*$K1277*$L1277</f>
        <v/>
      </c>
      <c r="Z1277" s="14">
        <f>SUM(M1277:X1277)</f>
        <v/>
      </c>
      <c r="AA1277" s="14">
        <f>IFERROR(IF(UPPER($E1277)="L",SUMPRODUCT(M1277:X1277,$M$3:$X$3,$M$2:$X$2),SUMPRODUCT(M1277:X1277,$M$4:$X$4,$M$2:$X$2))/(Y1277/($K1277*$L1277)),"")</f>
        <v/>
      </c>
      <c r="AB1277" s="18" t="n"/>
    </row>
    <row r="1278">
      <c r="A1278" s="9" t="n">
        <v>690988</v>
      </c>
      <c r="B1278" s="9" t="inlineStr">
        <is>
          <t>Austin Hendrick</t>
        </is>
      </c>
      <c r="C1278" s="9" t="inlineStr">
        <is>
          <t>CIN</t>
        </is>
      </c>
      <c r="D1278" s="9" t="n">
        <v>25</v>
      </c>
      <c r="E1278" s="16" t="inlineStr">
        <is>
          <t>L</t>
        </is>
      </c>
      <c r="F1278" s="16" t="n"/>
      <c r="G1278" s="9" t="n">
        <v>116.2051282051282</v>
      </c>
      <c r="H1278" s="9" t="n">
        <v>116.2051282051282</v>
      </c>
      <c r="I1278" s="9" t="inlineStr">
        <is>
          <t>Depth (no MLB PA)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7" t="n"/>
      <c r="N1278" s="17" t="n"/>
      <c r="O1278" s="17" t="n"/>
      <c r="P1278" s="17" t="n"/>
      <c r="Q1278" s="17" t="n"/>
      <c r="R1278" s="17" t="n"/>
      <c r="S1278" s="17" t="n"/>
      <c r="T1278" s="17" t="n"/>
      <c r="U1278" s="17" t="n"/>
      <c r="V1278" s="17" t="n"/>
      <c r="W1278" s="17" t="n"/>
      <c r="X1278" s="17" t="n"/>
      <c r="Y1278" s="13">
        <f>SUMPRODUCT(M1278:X1278,$M$2:$X$2)*$K1278*$L1278</f>
        <v/>
      </c>
      <c r="Z1278" s="14">
        <f>SUM(M1278:X1278)</f>
        <v/>
      </c>
      <c r="AA1278" s="14">
        <f>IFERROR(IF(UPPER($E1278)="L",SUMPRODUCT(M1278:X1278,$M$3:$X$3,$M$2:$X$2),SUMPRODUCT(M1278:X1278,$M$4:$X$4,$M$2:$X$2))/(Y1278/($K1278*$L1278)),"")</f>
        <v/>
      </c>
      <c r="AB1278" s="18" t="n"/>
    </row>
    <row r="1279">
      <c r="A1279" s="9" t="n">
        <v>815816</v>
      </c>
      <c r="B1279" s="9" t="inlineStr">
        <is>
          <t>Brady Ebel</t>
        </is>
      </c>
      <c r="C1279" s="9" t="inlineStr">
        <is>
          <t>MIL</t>
        </is>
      </c>
      <c r="D1279" s="9" t="n">
        <v>25</v>
      </c>
      <c r="E1279" s="16" t="inlineStr">
        <is>
          <t>L</t>
        </is>
      </c>
      <c r="F1279" s="16" t="n"/>
      <c r="G1279" s="9" t="n">
        <v>8.615384615384617</v>
      </c>
      <c r="H1279" s="9" t="n">
        <v>8.615384615384617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7" t="n"/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/>
      <c r="Y1279" s="13">
        <f>SUMPRODUCT(M1279:X1279,$M$2:$X$2)*$K1279*$L1279</f>
        <v/>
      </c>
      <c r="Z1279" s="14">
        <f>SUM(M1279:X1279)</f>
        <v/>
      </c>
      <c r="AA1279" s="14">
        <f>IFERROR(IF(UPPER($E1279)="L",SUMPRODUCT(M1279:X1279,$M$3:$X$3,$M$2:$X$2),SUMPRODUCT(M1279:X1279,$M$4:$X$4,$M$2:$X$2))/(Y1279/($K1279*$L1279)),"")</f>
        <v/>
      </c>
      <c r="AB1279" s="18" t="n"/>
    </row>
    <row r="1280">
      <c r="A1280" s="9" t="n">
        <v>804911</v>
      </c>
      <c r="B1280" s="9" t="inlineStr">
        <is>
          <t>Brendan Summerhill</t>
        </is>
      </c>
      <c r="C1280" s="9" t="inlineStr">
        <is>
          <t>TB</t>
        </is>
      </c>
      <c r="D1280" s="9" t="n">
        <v>25</v>
      </c>
      <c r="E1280" s="16" t="inlineStr">
        <is>
          <t>L</t>
        </is>
      </c>
      <c r="F1280" s="16" t="n"/>
      <c r="G1280" s="9" t="n">
        <v>13.12820512820513</v>
      </c>
      <c r="H1280" s="9" t="n">
        <v>13.12820512820513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7" t="n"/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/>
      <c r="Y1280" s="13">
        <f>SUMPRODUCT(M1280:X1280,$M$2:$X$2)*$K1280*$L1280</f>
        <v/>
      </c>
      <c r="Z1280" s="14">
        <f>SUM(M1280:X1280)</f>
        <v/>
      </c>
      <c r="AA1280" s="14">
        <f>IFERROR(IF(UPPER($E1280)="L",SUMPRODUCT(M1280:X1280,$M$3:$X$3,$M$2:$X$2),SUMPRODUCT(M1280:X1280,$M$4:$X$4,$M$2:$X$2))/(Y1280/($K1280*$L1280)),"")</f>
        <v/>
      </c>
      <c r="AB1280" s="18" t="n"/>
    </row>
    <row r="1281">
      <c r="A1281" s="9" t="n">
        <v>821279</v>
      </c>
      <c r="B1281" s="9" t="inlineStr">
        <is>
          <t>Edgardo De Leon</t>
        </is>
      </c>
      <c r="C1281" s="9" t="inlineStr">
        <is>
          <t>MIA</t>
        </is>
      </c>
      <c r="D1281" s="9" t="n">
        <v>25</v>
      </c>
      <c r="E1281" s="16" t="inlineStr">
        <is>
          <t>R</t>
        </is>
      </c>
      <c r="F1281" s="16" t="n"/>
      <c r="G1281" s="9" t="n">
        <v>17.23076923076923</v>
      </c>
      <c r="H1281" s="9" t="n">
        <v>17.23076923076923</v>
      </c>
      <c r="I1281" s="9" t="inlineStr">
        <is>
          <t>Depth (no MLB PA)</t>
        </is>
      </c>
      <c r="J1281" s="16" t="inlineStr">
        <is>
          <t>Opening Day</t>
        </is>
      </c>
      <c r="K1281" s="11">
        <f>IFERROR(INDEX(Roles!$B$17:$B$20,MATCH(J1281,Roles!$A$17:$A$20,0)),1)</f>
        <v/>
      </c>
      <c r="L1281" s="17" t="n">
        <v>1</v>
      </c>
      <c r="M1281" s="17" t="n"/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/>
      <c r="Y1281" s="13">
        <f>SUMPRODUCT(M1281:X1281,$M$2:$X$2)*$K1281*$L1281</f>
        <v/>
      </c>
      <c r="Z1281" s="14">
        <f>SUM(M1281:X1281)</f>
        <v/>
      </c>
      <c r="AA1281" s="14">
        <f>IFERROR(IF(UPPER($E1281)="L",SUMPRODUCT(M1281:X1281,$M$3:$X$3,$M$2:$X$2),SUMPRODUCT(M1281:X1281,$M$4:$X$4,$M$2:$X$2))/(Y1281/($K1281*$L1281)),"")</f>
        <v/>
      </c>
      <c r="AB1281" s="18" t="n"/>
    </row>
    <row r="1282">
      <c r="A1282" s="9" t="n">
        <v>640458</v>
      </c>
      <c r="B1282" s="9" t="inlineStr">
        <is>
          <t>Óscar Mercado</t>
        </is>
      </c>
      <c r="C1282" s="9" t="inlineStr">
        <is>
          <t>STL</t>
        </is>
      </c>
      <c r="D1282" s="9" t="n">
        <v>32</v>
      </c>
      <c r="E1282" s="16" t="inlineStr">
        <is>
          <t>R</t>
        </is>
      </c>
      <c r="F1282" s="16" t="n"/>
      <c r="G1282" s="9" t="n">
        <v>32</v>
      </c>
      <c r="H1282" s="9" t="n">
        <v>160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7" t="n"/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/>
      <c r="Y1282" s="13">
        <f>SUMPRODUCT(M1282:X1282,$M$2:$X$2)*$K1282*$L1282</f>
        <v/>
      </c>
      <c r="Z1282" s="14">
        <f>SUM(M1282:X1282)</f>
        <v/>
      </c>
      <c r="AA1282" s="14">
        <f>IFERROR(IF(UPPER($E1282)="L",SUMPRODUCT(M1282:X1282,$M$3:$X$3,$M$2:$X$2),SUMPRODUCT(M1282:X1282,$M$4:$X$4,$M$2:$X$2))/(Y1282/($K1282*$L1282)),"")</f>
        <v/>
      </c>
      <c r="AB1282" s="18" t="n"/>
    </row>
    <row r="1283">
      <c r="A1283" s="9" t="n">
        <v>700358</v>
      </c>
      <c r="B1283" s="9" t="inlineStr">
        <is>
          <t>Narbe Cruz</t>
        </is>
      </c>
      <c r="C1283" s="9" t="inlineStr">
        <is>
          <t>HOU</t>
        </is>
      </c>
      <c r="D1283" s="9" t="n">
        <v>25</v>
      </c>
      <c r="E1283" s="16" t="inlineStr">
        <is>
          <t>R</t>
        </is>
      </c>
      <c r="F1283" s="16" t="n"/>
      <c r="G1283" s="9" t="n">
        <v>13.12820512820513</v>
      </c>
      <c r="H1283" s="9" t="n">
        <v>13.12820512820513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7" t="n"/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/>
      <c r="Y1283" s="13">
        <f>SUMPRODUCT(M1283:X1283,$M$2:$X$2)*$K1283*$L1283</f>
        <v/>
      </c>
      <c r="Z1283" s="14">
        <f>SUM(M1283:X1283)</f>
        <v/>
      </c>
      <c r="AA1283" s="14">
        <f>IFERROR(IF(UPPER($E1283)="L",SUMPRODUCT(M1283:X1283,$M$3:$X$3,$M$2:$X$2),SUMPRODUCT(M1283:X1283,$M$4:$X$4,$M$2:$X$2))/(Y1283/($K1283*$L1283)),"")</f>
        <v/>
      </c>
      <c r="AB1283" s="18" t="n"/>
    </row>
    <row r="1284">
      <c r="A1284" s="9" t="n">
        <v>813832</v>
      </c>
      <c r="B1284" s="9" t="inlineStr">
        <is>
          <t>Colton Coates</t>
        </is>
      </c>
      <c r="C1284" s="9" t="inlineStr">
        <is>
          <t>BOS</t>
        </is>
      </c>
      <c r="D1284" s="9" t="n">
        <v>25</v>
      </c>
      <c r="E1284" s="16" t="inlineStr">
        <is>
          <t>S</t>
        </is>
      </c>
      <c r="F1284" s="16" t="n"/>
      <c r="G1284" s="9" t="n">
        <v>8.984615384615385</v>
      </c>
      <c r="H1284" s="9" t="n">
        <v>8.984615384615385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7" t="n"/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/>
      <c r="Y1284" s="13">
        <f>SUMPRODUCT(M1284:X1284,$M$2:$X$2)*$K1284*$L1284</f>
        <v/>
      </c>
      <c r="Z1284" s="14">
        <f>SUM(M1284:X1284)</f>
        <v/>
      </c>
      <c r="AA1284" s="14">
        <f>IFERROR(IF(UPPER($E1284)="L",SUMPRODUCT(M1284:X1284,$M$3:$X$3,$M$2:$X$2),SUMPRODUCT(M1284:X1284,$M$4:$X$4,$M$2:$X$2))/(Y1284/($K1284*$L1284)),"")</f>
        <v/>
      </c>
      <c r="AB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7" t="n"/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/>
      <c r="Y1285" s="13">
        <f>SUMPRODUCT(M1285:X1285,$M$2:$X$2)*$K1285*$L1285</f>
        <v/>
      </c>
      <c r="Z1285" s="14">
        <f>SUM(M1285:X1285)</f>
        <v/>
      </c>
      <c r="AA1285" s="14">
        <f>IFERROR(IF(UPPER($E1285)="L",SUMPRODUCT(M1285:X1285,$M$3:$X$3,$M$2:$X$2),SUMPRODUCT(M1285:X1285,$M$4:$X$4,$M$2:$X$2))/(Y1285/($K1285*$L1285)),"")</f>
        <v/>
      </c>
      <c r="AB1285" s="18" t="n"/>
    </row>
    <row r="1286">
      <c r="A1286" s="9" t="n">
        <v>692564</v>
      </c>
      <c r="B1286" s="9" t="inlineStr">
        <is>
          <t>Johnfrank Salazar</t>
        </is>
      </c>
      <c r="C1286" s="9" t="inlineStr">
        <is>
          <t>STL</t>
        </is>
      </c>
      <c r="D1286" s="9" t="n">
        <v>25</v>
      </c>
      <c r="E1286" s="16" t="inlineStr">
        <is>
          <t>R</t>
        </is>
      </c>
      <c r="F1286" s="16" t="n"/>
      <c r="G1286" s="9" t="n">
        <v>11.07692307692308</v>
      </c>
      <c r="H1286" s="9" t="n">
        <v>11.07692307692308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7" t="n"/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/>
      <c r="Y1286" s="13">
        <f>SUMPRODUCT(M1286:X1286,$M$2:$X$2)*$K1286*$L1286</f>
        <v/>
      </c>
      <c r="Z1286" s="14">
        <f>SUM(M1286:X1286)</f>
        <v/>
      </c>
      <c r="AA1286" s="14">
        <f>IFERROR(IF(UPPER($E1286)="L",SUMPRODUCT(M1286:X1286,$M$3:$X$3,$M$2:$X$2),SUMPRODUCT(M1286:X1286,$M$4:$X$4,$M$2:$X$2))/(Y1286/($K1286*$L1286)),"")</f>
        <v/>
      </c>
      <c r="AB1286" s="18" t="n"/>
    </row>
    <row r="1287">
      <c r="A1287" s="9" t="n">
        <v>806131</v>
      </c>
      <c r="B1287" s="9" t="inlineStr">
        <is>
          <t>Dee Kennedy</t>
        </is>
      </c>
      <c r="C1287" s="9" t="inlineStr">
        <is>
          <t>STL</t>
        </is>
      </c>
      <c r="D1287" s="9" t="n">
        <v>25</v>
      </c>
      <c r="E1287" s="16" t="inlineStr">
        <is>
          <t>R</t>
        </is>
      </c>
      <c r="F1287" s="16" t="n"/>
      <c r="G1287" s="9" t="n">
        <v>11.07692307692308</v>
      </c>
      <c r="H1287" s="9" t="n">
        <v>11.07692307692308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7" t="n"/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/>
      <c r="Y1287" s="13">
        <f>SUMPRODUCT(M1287:X1287,$M$2:$X$2)*$K1287*$L1287</f>
        <v/>
      </c>
      <c r="Z1287" s="14">
        <f>SUM(M1287:X1287)</f>
        <v/>
      </c>
      <c r="AA1287" s="14">
        <f>IFERROR(IF(UPPER($E1287)="L",SUMPRODUCT(M1287:X1287,$M$3:$X$3,$M$2:$X$2),SUMPRODUCT(M1287:X1287,$M$4:$X$4,$M$2:$X$2))/(Y1287/($K1287*$L1287)),"")</f>
        <v/>
      </c>
      <c r="AB1287" s="18" t="n"/>
    </row>
    <row r="1288">
      <c r="A1288" s="9" t="n">
        <v>829059</v>
      </c>
      <c r="B1288" s="9" t="inlineStr">
        <is>
          <t>Johan De Los Santos</t>
        </is>
      </c>
      <c r="C1288" s="9" t="inlineStr">
        <is>
          <t>PIT</t>
        </is>
      </c>
      <c r="D1288" s="9" t="n">
        <v>25</v>
      </c>
      <c r="E1288" s="16" t="inlineStr">
        <is>
          <t>L</t>
        </is>
      </c>
      <c r="F1288" s="16" t="n"/>
      <c r="G1288" s="9" t="n">
        <v>11.32307692307692</v>
      </c>
      <c r="H1288" s="9" t="n">
        <v>11.32307692307692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7" t="n"/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/>
      <c r="Y1288" s="13">
        <f>SUMPRODUCT(M1288:X1288,$M$2:$X$2)*$K1288*$L1288</f>
        <v/>
      </c>
      <c r="Z1288" s="14">
        <f>SUM(M1288:X1288)</f>
        <v/>
      </c>
      <c r="AA1288" s="14">
        <f>IFERROR(IF(UPPER($E1288)="L",SUMPRODUCT(M1288:X1288,$M$3:$X$3,$M$2:$X$2),SUMPRODUCT(M1288:X1288,$M$4:$X$4,$M$2:$X$2))/(Y1288/($K1288*$L1288)),"")</f>
        <v/>
      </c>
      <c r="AB1288" s="18" t="n"/>
    </row>
    <row r="1289">
      <c r="A1289" s="9" t="n">
        <v>543068</v>
      </c>
      <c r="B1289" s="9" t="inlineStr">
        <is>
          <t>C.J. Cron</t>
        </is>
      </c>
      <c r="C1289" s="9" t="inlineStr">
        <is>
          <t>LAA</t>
        </is>
      </c>
      <c r="D1289" s="9" t="n">
        <v>37</v>
      </c>
      <c r="E1289" s="16" t="inlineStr">
        <is>
          <t>R</t>
        </is>
      </c>
      <c r="F1289" s="16" t="n"/>
      <c r="G1289" s="9" t="n">
        <v>278</v>
      </c>
      <c r="H1289" s="9" t="n">
        <v>910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7" t="n"/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/>
      <c r="Y1289" s="13">
        <f>SUMPRODUCT(M1289:X1289,$M$2:$X$2)*$K1289*$L1289</f>
        <v/>
      </c>
      <c r="Z1289" s="14">
        <f>SUM(M1289:X1289)</f>
        <v/>
      </c>
      <c r="AA1289" s="14">
        <f>IFERROR(IF(UPPER($E1289)="L",SUMPRODUCT(M1289:X1289,$M$3:$X$3,$M$2:$X$2),SUMPRODUCT(M1289:X1289,$M$4:$X$4,$M$2:$X$2))/(Y1289/($K1289*$L1289)),"")</f>
        <v/>
      </c>
      <c r="AB1289" s="18" t="n"/>
    </row>
    <row r="1290">
      <c r="A1290" s="9" t="n">
        <v>691422</v>
      </c>
      <c r="B1290" s="9" t="inlineStr">
        <is>
          <t>Kevin Rivas</t>
        </is>
      </c>
      <c r="C1290" s="9" t="inlineStr">
        <is>
          <t>CLE</t>
        </is>
      </c>
      <c r="D1290" s="9" t="n">
        <v>25</v>
      </c>
      <c r="E1290" s="16" t="inlineStr">
        <is>
          <t>S</t>
        </is>
      </c>
      <c r="F1290" s="16" t="n"/>
      <c r="G1290" s="9" t="n">
        <v>9.025641025641027</v>
      </c>
      <c r="H1290" s="9" t="n">
        <v>9.025641025641027</v>
      </c>
      <c r="I1290" s="9" t="inlineStr">
        <is>
          <t>Depth (no MLB PA)</t>
        </is>
      </c>
      <c r="J1290" s="16" t="inlineStr">
        <is>
          <t>Opening Day</t>
        </is>
      </c>
      <c r="K1290" s="11">
        <f>IFERROR(INDEX(Roles!$B$17:$B$20,MATCH(J1290,Roles!$A$17:$A$20,0)),1)</f>
        <v/>
      </c>
      <c r="L1290" s="17" t="n">
        <v>1</v>
      </c>
      <c r="M1290" s="17" t="n"/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/>
      <c r="Y1290" s="13">
        <f>SUMPRODUCT(M1290:X1290,$M$2:$X$2)*$K1290*$L1290</f>
        <v/>
      </c>
      <c r="Z1290" s="14">
        <f>SUM(M1290:X1290)</f>
        <v/>
      </c>
      <c r="AA1290" s="14">
        <f>IFERROR(IF(UPPER($E1290)="L",SUMPRODUCT(M1290:X1290,$M$3:$X$3,$M$2:$X$2),SUMPRODUCT(M1290:X1290,$M$4:$X$4,$M$2:$X$2))/(Y1290/($K1290*$L1290)),"")</f>
        <v/>
      </c>
      <c r="AB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25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Opening Day</t>
        </is>
      </c>
      <c r="K1291" s="11">
        <f>IFERROR(INDEX(Roles!$B$17:$B$20,MATCH(J1291,Roles!$A$17:$A$20,0)),1)</f>
        <v/>
      </c>
      <c r="L1291" s="17" t="n">
        <v>1</v>
      </c>
      <c r="M1291" s="17" t="n"/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/>
      <c r="Y1291" s="13">
        <f>SUMPRODUCT(M1291:X1291,$M$2:$X$2)*$K1291*$L1291</f>
        <v/>
      </c>
      <c r="Z1291" s="14">
        <f>SUM(M1291:X1291)</f>
        <v/>
      </c>
      <c r="AA1291" s="14">
        <f>IFERROR(IF(UPPER($E1291)="L",SUMPRODUCT(M1291:X1291,$M$3:$X$3,$M$2:$X$2),SUMPRODUCT(M1291:X1291,$M$4:$X$4,$M$2:$X$2))/(Y1291/($K1291*$L1291)),"")</f>
        <v/>
      </c>
      <c r="AB1291" s="18" t="n"/>
    </row>
    <row r="1292">
      <c r="A1292" s="9" t="n">
        <v>829670</v>
      </c>
      <c r="B1292" s="9" t="inlineStr">
        <is>
          <t>Brayden Smith</t>
        </is>
      </c>
      <c r="C1292" s="9" t="inlineStr">
        <is>
          <t>STL</t>
        </is>
      </c>
      <c r="D1292" s="9" t="n">
        <v>25</v>
      </c>
      <c r="E1292" s="16" t="inlineStr">
        <is>
          <t>L</t>
        </is>
      </c>
      <c r="F1292" s="16" t="n"/>
      <c r="G1292" s="9" t="n">
        <v>21.33333333333334</v>
      </c>
      <c r="H1292" s="9" t="n">
        <v>21.33333333333334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7" t="n"/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/>
      <c r="Y1292" s="13">
        <f>SUMPRODUCT(M1292:X1292,$M$2:$X$2)*$K1292*$L1292</f>
        <v/>
      </c>
      <c r="Z1292" s="14">
        <f>SUM(M1292:X1292)</f>
        <v/>
      </c>
      <c r="AA1292" s="14">
        <f>IFERROR(IF(UPPER($E1292)="L",SUMPRODUCT(M1292:X1292,$M$3:$X$3,$M$2:$X$2),SUMPRODUCT(M1292:X1292,$M$4:$X$4,$M$2:$X$2))/(Y1292/($K1292*$L1292)),"")</f>
        <v/>
      </c>
      <c r="AB1292" s="18" t="n"/>
    </row>
    <row r="1293">
      <c r="A1293" s="9" t="n">
        <v>811443</v>
      </c>
      <c r="B1293" s="9" t="inlineStr">
        <is>
          <t>Jake Berkland</t>
        </is>
      </c>
      <c r="C1293" s="9" t="inlineStr">
        <is>
          <t>CWS</t>
        </is>
      </c>
      <c r="D1293" s="9" t="n">
        <v>25</v>
      </c>
      <c r="E1293" s="16" t="inlineStr">
        <is>
          <t>R</t>
        </is>
      </c>
      <c r="F1293" s="16" t="n"/>
      <c r="G1293" s="9" t="n">
        <v>8.861538461538462</v>
      </c>
      <c r="H1293" s="9" t="n">
        <v>8.861538461538462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7" t="n"/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/>
      <c r="Y1293" s="13">
        <f>SUMPRODUCT(M1293:X1293,$M$2:$X$2)*$K1293*$L1293</f>
        <v/>
      </c>
      <c r="Z1293" s="14">
        <f>SUM(M1293:X1293)</f>
        <v/>
      </c>
      <c r="AA1293" s="14">
        <f>IFERROR(IF(UPPER($E1293)="L",SUMPRODUCT(M1293:X1293,$M$3:$X$3,$M$2:$X$2),SUMPRODUCT(M1293:X1293,$M$4:$X$4,$M$2:$X$2))/(Y1293/($K1293*$L1293)),"")</f>
        <v/>
      </c>
      <c r="AB1293" s="18" t="n"/>
    </row>
    <row r="1294">
      <c r="A1294" s="9" t="n">
        <v>694977</v>
      </c>
      <c r="B1294" s="9" t="inlineStr">
        <is>
          <t>Nate Nankil</t>
        </is>
      </c>
      <c r="C1294" s="9" t="inlineStr">
        <is>
          <t>OAK</t>
        </is>
      </c>
      <c r="D1294" s="9" t="n">
        <v>25</v>
      </c>
      <c r="E1294" s="16" t="inlineStr">
        <is>
          <t>R</t>
        </is>
      </c>
      <c r="F1294" s="16" t="n"/>
      <c r="G1294" s="9" t="n">
        <v>35.53846153846154</v>
      </c>
      <c r="H1294" s="9" t="n">
        <v>35.53846153846154</v>
      </c>
      <c r="I1294" s="9" t="inlineStr">
        <is>
          <t>Depth (no MLB PA)</t>
        </is>
      </c>
      <c r="J1294" s="16" t="inlineStr">
        <is>
          <t>Opening Day</t>
        </is>
      </c>
      <c r="K1294" s="11">
        <f>IFERROR(INDEX(Roles!$B$17:$B$20,MATCH(J1294,Roles!$A$17:$A$20,0)),1)</f>
        <v/>
      </c>
      <c r="L1294" s="17" t="n">
        <v>1</v>
      </c>
      <c r="M1294" s="17" t="n"/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/>
      <c r="Y1294" s="13">
        <f>SUMPRODUCT(M1294:X1294,$M$2:$X$2)*$K1294*$L1294</f>
        <v/>
      </c>
      <c r="Z1294" s="14">
        <f>SUM(M1294:X1294)</f>
        <v/>
      </c>
      <c r="AA1294" s="14">
        <f>IFERROR(IF(UPPER($E1294)="L",SUMPRODUCT(M1294:X1294,$M$3:$X$3,$M$2:$X$2),SUMPRODUCT(M1294:X1294,$M$4:$X$4,$M$2:$X$2))/(Y1294/($K1294*$L1294)),"")</f>
        <v/>
      </c>
      <c r="AB1294" s="18" t="n"/>
    </row>
    <row r="1295">
      <c r="A1295" s="9" t="n">
        <v>815792</v>
      </c>
      <c r="B1295" s="9" t="inlineStr">
        <is>
          <t>Chase Harlan</t>
        </is>
      </c>
      <c r="C1295" s="9" t="inlineStr">
        <is>
          <t>LAD</t>
        </is>
      </c>
      <c r="D1295" s="9" t="n">
        <v>25</v>
      </c>
      <c r="E1295" s="16" t="inlineStr">
        <is>
          <t>R</t>
        </is>
      </c>
      <c r="F1295" s="16" t="n"/>
      <c r="G1295" s="9" t="n">
        <v>25.84615384615385</v>
      </c>
      <c r="H1295" s="9" t="n">
        <v>25.84615384615385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7" t="n"/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/>
      <c r="Y1295" s="13">
        <f>SUMPRODUCT(M1295:X1295,$M$2:$X$2)*$K1295*$L1295</f>
        <v/>
      </c>
      <c r="Z1295" s="14">
        <f>SUM(M1295:X1295)</f>
        <v/>
      </c>
      <c r="AA1295" s="14">
        <f>IFERROR(IF(UPPER($E1295)="L",SUMPRODUCT(M1295:X1295,$M$3:$X$3,$M$2:$X$2),SUMPRODUCT(M1295:X1295,$M$4:$X$4,$M$2:$X$2))/(Y1295/($K1295*$L1295)),"")</f>
        <v/>
      </c>
      <c r="AB1295" s="18" t="n"/>
    </row>
    <row r="1296">
      <c r="A1296" s="9" t="n">
        <v>703194</v>
      </c>
      <c r="B1296" s="9" t="inlineStr">
        <is>
          <t>Randy De Jesus</t>
        </is>
      </c>
      <c r="C1296" s="9" t="inlineStr">
        <is>
          <t>LAA</t>
        </is>
      </c>
      <c r="D1296" s="9" t="n">
        <v>25</v>
      </c>
      <c r="E1296" s="16" t="inlineStr">
        <is>
          <t>R</t>
        </is>
      </c>
      <c r="F1296" s="16" t="n"/>
      <c r="G1296" s="9" t="n">
        <v>17.23076923076923</v>
      </c>
      <c r="H1296" s="9" t="n">
        <v>17.23076923076923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7" t="n"/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/>
      <c r="Y1296" s="13">
        <f>SUMPRODUCT(M1296:X1296,$M$2:$X$2)*$K1296*$L1296</f>
        <v/>
      </c>
      <c r="Z1296" s="14">
        <f>SUM(M1296:X1296)</f>
        <v/>
      </c>
      <c r="AA1296" s="14">
        <f>IFERROR(IF(UPPER($E1296)="L",SUMPRODUCT(M1296:X1296,$M$3:$X$3,$M$2:$X$2),SUMPRODUCT(M1296:X1296,$M$4:$X$4,$M$2:$X$2))/(Y1296/($K1296*$L1296)),"")</f>
        <v/>
      </c>
      <c r="AB1296" s="18" t="n"/>
    </row>
    <row r="1297">
      <c r="A1297" s="9" t="n">
        <v>691408</v>
      </c>
      <c r="B1297" s="9" t="inlineStr">
        <is>
          <t>Maick Collado</t>
        </is>
      </c>
      <c r="C1297" s="9" t="inlineStr">
        <is>
          <t>CLE</t>
        </is>
      </c>
      <c r="D1297" s="9" t="n">
        <v>25</v>
      </c>
      <c r="E1297" s="16" t="inlineStr">
        <is>
          <t>S</t>
        </is>
      </c>
      <c r="F1297" s="16" t="n"/>
      <c r="G1297" s="9" t="n">
        <v>25.38461538461539</v>
      </c>
      <c r="H1297" s="9" t="n">
        <v>25.38461538461539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7" t="n"/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/>
      <c r="Y1297" s="13">
        <f>SUMPRODUCT(M1297:X1297,$M$2:$X$2)*$K1297*$L1297</f>
        <v/>
      </c>
      <c r="Z1297" s="14">
        <f>SUM(M1297:X1297)</f>
        <v/>
      </c>
      <c r="AA1297" s="14">
        <f>IFERROR(IF(UPPER($E1297)="L",SUMPRODUCT(M1297:X1297,$M$3:$X$3,$M$2:$X$2),SUMPRODUCT(M1297:X1297,$M$4:$X$4,$M$2:$X$2))/(Y1297/($K1297*$L1297)),"")</f>
        <v/>
      </c>
      <c r="AB1297" s="18" t="n"/>
    </row>
    <row r="1298">
      <c r="A1298" s="9" t="n">
        <v>829949</v>
      </c>
      <c r="B1298" s="9" t="inlineStr">
        <is>
          <t>Sebastian Blanco</t>
        </is>
      </c>
      <c r="C1298" s="9" t="inlineStr">
        <is>
          <t>COL</t>
        </is>
      </c>
      <c r="D1298" s="9" t="n">
        <v>25</v>
      </c>
      <c r="E1298" s="16" t="inlineStr">
        <is>
          <t>R</t>
        </is>
      </c>
      <c r="F1298" s="16" t="n"/>
      <c r="G1298" s="9" t="n">
        <v>11.07692307692308</v>
      </c>
      <c r="H1298" s="9" t="n">
        <v>11.07692307692308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7" t="n"/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/>
      <c r="Y1298" s="13">
        <f>SUMPRODUCT(M1298:X1298,$M$2:$X$2)*$K1298*$L1298</f>
        <v/>
      </c>
      <c r="Z1298" s="14">
        <f>SUM(M1298:X1298)</f>
        <v/>
      </c>
      <c r="AA1298" s="14">
        <f>IFERROR(IF(UPPER($E1298)="L",SUMPRODUCT(M1298:X1298,$M$3:$X$3,$M$2:$X$2),SUMPRODUCT(M1298:X1298,$M$4:$X$4,$M$2:$X$2))/(Y1298/($K1298*$L1298)),"")</f>
        <v/>
      </c>
      <c r="AB1298" s="18" t="n"/>
    </row>
    <row r="1299">
      <c r="A1299" s="9" t="n">
        <v>806962</v>
      </c>
      <c r="B1299" s="9" t="inlineStr">
        <is>
          <t>Enmanuel Bonilla</t>
        </is>
      </c>
      <c r="C1299" s="9" t="inlineStr">
        <is>
          <t>TOR</t>
        </is>
      </c>
      <c r="D1299" s="9" t="n">
        <v>25</v>
      </c>
      <c r="E1299" s="16" t="inlineStr">
        <is>
          <t>R</t>
        </is>
      </c>
      <c r="F1299" s="16" t="n"/>
      <c r="G1299" s="9" t="n">
        <v>15.26153846153846</v>
      </c>
      <c r="H1299" s="9" t="n">
        <v>15.26153846153846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7" t="n"/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/>
      <c r="Y1299" s="13">
        <f>SUMPRODUCT(M1299:X1299,$M$2:$X$2)*$K1299*$L1299</f>
        <v/>
      </c>
      <c r="Z1299" s="14">
        <f>SUM(M1299:X1299)</f>
        <v/>
      </c>
      <c r="AA1299" s="14">
        <f>IFERROR(IF(UPPER($E1299)="L",SUMPRODUCT(M1299:X1299,$M$3:$X$3,$M$2:$X$2),SUMPRODUCT(M1299:X1299,$M$4:$X$4,$M$2:$X$2))/(Y1299/($K1299*$L1299)),"")</f>
        <v/>
      </c>
      <c r="AB1299" s="18" t="n"/>
    </row>
    <row r="1300">
      <c r="A1300" s="9" t="n">
        <v>702705</v>
      </c>
      <c r="B1300" s="9" t="inlineStr">
        <is>
          <t>Kolby Branch</t>
        </is>
      </c>
      <c r="C1300" s="9" t="inlineStr">
        <is>
          <t>TEX</t>
        </is>
      </c>
      <c r="D1300" s="9" t="n">
        <v>25</v>
      </c>
      <c r="E1300" s="16" t="inlineStr">
        <is>
          <t>R</t>
        </is>
      </c>
      <c r="F1300" s="16" t="n"/>
      <c r="G1300" s="9" t="n">
        <v>11.2</v>
      </c>
      <c r="H1300" s="9" t="n">
        <v>11.2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7" t="n"/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/>
      <c r="Y1300" s="13">
        <f>SUMPRODUCT(M1300:X1300,$M$2:$X$2)*$K1300*$L1300</f>
        <v/>
      </c>
      <c r="Z1300" s="14">
        <f>SUM(M1300:X1300)</f>
        <v/>
      </c>
      <c r="AA1300" s="14">
        <f>IFERROR(IF(UPPER($E1300)="L",SUMPRODUCT(M1300:X1300,$M$3:$X$3,$M$2:$X$2),SUMPRODUCT(M1300:X1300,$M$4:$X$4,$M$2:$X$2))/(Y1300/($K1300*$L1300)),"")</f>
        <v/>
      </c>
      <c r="AB1300" s="18" t="n"/>
    </row>
    <row r="1301">
      <c r="A1301" s="9" t="n">
        <v>800724</v>
      </c>
      <c r="B1301" s="9" t="inlineStr">
        <is>
          <t>Eric Bitonti</t>
        </is>
      </c>
      <c r="C1301" s="9" t="inlineStr">
        <is>
          <t>MIL</t>
        </is>
      </c>
      <c r="D1301" s="9" t="n">
        <v>25</v>
      </c>
      <c r="E1301" s="16" t="inlineStr">
        <is>
          <t>L</t>
        </is>
      </c>
      <c r="F1301" s="16" t="n"/>
      <c r="G1301" s="9" t="n">
        <v>8.974358974358974</v>
      </c>
      <c r="H1301" s="9" t="n">
        <v>8.974358974358974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7" t="n"/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/>
      <c r="Y1301" s="13">
        <f>SUMPRODUCT(M1301:X1301,$M$2:$X$2)*$K1301*$L1301</f>
        <v/>
      </c>
      <c r="Z1301" s="14">
        <f>SUM(M1301:X1301)</f>
        <v/>
      </c>
      <c r="AA1301" s="14">
        <f>IFERROR(IF(UPPER($E1301)="L",SUMPRODUCT(M1301:X1301,$M$3:$X$3,$M$2:$X$2),SUMPRODUCT(M1301:X1301,$M$4:$X$4,$M$2:$X$2))/(Y1301/($K1301*$L1301)),"")</f>
        <v/>
      </c>
      <c r="AB1301" s="18" t="n"/>
    </row>
    <row r="1302">
      <c r="A1302" s="9" t="n">
        <v>664238</v>
      </c>
      <c r="B1302" s="9" t="inlineStr">
        <is>
          <t>Dylan Moore</t>
        </is>
      </c>
      <c r="C1302" s="9" t="inlineStr">
        <is>
          <t>TEX</t>
        </is>
      </c>
      <c r="D1302" s="9" t="n">
        <v>34</v>
      </c>
      <c r="E1302" s="16" t="inlineStr">
        <is>
          <t>R</t>
        </is>
      </c>
      <c r="F1302" s="16" t="n"/>
      <c r="G1302" s="9" t="n">
        <v>15</v>
      </c>
      <c r="H1302" s="9" t="n">
        <v>1119</v>
      </c>
      <c r="I1302" s="9" t="inlineStr">
        <is>
          <t>Utility OF / 4th OF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7" t="n"/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/>
      <c r="Y1302" s="13">
        <f>SUMPRODUCT(M1302:X1302,$M$2:$X$2)*$K1302*$L1302</f>
        <v/>
      </c>
      <c r="Z1302" s="14">
        <f>SUM(M1302:X1302)</f>
        <v/>
      </c>
      <c r="AA1302" s="14">
        <f>IFERROR(IF(UPPER($E1302)="L",SUMPRODUCT(M1302:X1302,$M$3:$X$3,$M$2:$X$2),SUMPRODUCT(M1302:X1302,$M$4:$X$4,$M$2:$X$2))/(Y1302/($K1302*$L1302)),"")</f>
        <v/>
      </c>
      <c r="AB1302" s="18" t="n"/>
    </row>
    <row r="1303">
      <c r="A1303" s="9" t="n">
        <v>822162</v>
      </c>
      <c r="B1303" s="9" t="inlineStr">
        <is>
          <t>Brandon Forrester</t>
        </is>
      </c>
      <c r="C1303" s="9" t="inlineStr">
        <is>
          <t>HOU</t>
        </is>
      </c>
      <c r="D1303" s="9" t="n">
        <v>25</v>
      </c>
      <c r="E1303" s="16" t="inlineStr">
        <is>
          <t>S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Opening Day</t>
        </is>
      </c>
      <c r="K1303" s="11">
        <f>IFERROR(INDEX(Roles!$B$17:$B$20,MATCH(J1303,Roles!$A$17:$A$20,0)),1)</f>
        <v/>
      </c>
      <c r="L1303" s="17" t="n">
        <v>1</v>
      </c>
      <c r="M1303" s="17" t="n"/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/>
      <c r="Y1303" s="13">
        <f>SUMPRODUCT(M1303:X1303,$M$2:$X$2)*$K1303*$L1303</f>
        <v/>
      </c>
      <c r="Z1303" s="14">
        <f>SUM(M1303:X1303)</f>
        <v/>
      </c>
      <c r="AA1303" s="14">
        <f>IFERROR(IF(UPPER($E1303)="L",SUMPRODUCT(M1303:X1303,$M$3:$X$3,$M$2:$X$2),SUMPRODUCT(M1303:X1303,$M$4:$X$4,$M$2:$X$2))/(Y1303/($K1303*$L1303)),"")</f>
        <v/>
      </c>
      <c r="AB1303" s="18" t="n"/>
    </row>
    <row r="1304">
      <c r="A1304" s="9" t="n">
        <v>699293</v>
      </c>
      <c r="B1304" s="9" t="inlineStr">
        <is>
          <t>Yohairo Cuevas</t>
        </is>
      </c>
      <c r="C1304" s="9" t="inlineStr">
        <is>
          <t>NYM</t>
        </is>
      </c>
      <c r="D1304" s="9" t="n">
        <v>25</v>
      </c>
      <c r="E1304" s="16" t="inlineStr">
        <is>
          <t>L</t>
        </is>
      </c>
      <c r="F1304" s="16" t="n"/>
      <c r="G1304" s="9" t="n">
        <v>9.333333333333334</v>
      </c>
      <c r="H1304" s="9" t="n">
        <v>9.333333333333334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7" t="n"/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/>
      <c r="Y1304" s="13">
        <f>SUMPRODUCT(M1304:X1304,$M$2:$X$2)*$K1304*$L1304</f>
        <v/>
      </c>
      <c r="Z1304" s="14">
        <f>SUM(M1304:X1304)</f>
        <v/>
      </c>
      <c r="AA1304" s="14">
        <f>IFERROR(IF(UPPER($E1304)="L",SUMPRODUCT(M1304:X1304,$M$3:$X$3,$M$2:$X$2),SUMPRODUCT(M1304:X1304,$M$4:$X$4,$M$2:$X$2))/(Y1304/($K1304*$L1304)),"")</f>
        <v/>
      </c>
      <c r="AB1304" s="18" t="n"/>
    </row>
    <row r="1305">
      <c r="A1305" s="9" t="n">
        <v>688875</v>
      </c>
      <c r="B1305" s="9" t="inlineStr">
        <is>
          <t>Trace Willhoite</t>
        </is>
      </c>
      <c r="C1305" s="9" t="inlineStr">
        <is>
          <t>NYM</t>
        </is>
      </c>
      <c r="D1305" s="9" t="n">
        <v>25</v>
      </c>
      <c r="E1305" s="16" t="inlineStr">
        <is>
          <t>R</t>
        </is>
      </c>
      <c r="F1305" s="16" t="n"/>
      <c r="G1305" s="9" t="n">
        <v>9.025641025641027</v>
      </c>
      <c r="H1305" s="9" t="n">
        <v>9.025641025641027</v>
      </c>
      <c r="I1305" s="9" t="inlineStr">
        <is>
          <t>Depth (no MLB PA)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7" t="n"/>
      <c r="N1305" s="17" t="n"/>
      <c r="O1305" s="17" t="n"/>
      <c r="P1305" s="17" t="n"/>
      <c r="Q1305" s="17" t="n"/>
      <c r="R1305" s="17" t="n"/>
      <c r="S1305" s="17" t="n"/>
      <c r="T1305" s="17" t="n"/>
      <c r="U1305" s="17" t="n"/>
      <c r="V1305" s="17" t="n"/>
      <c r="W1305" s="17" t="n"/>
      <c r="X1305" s="17" t="n"/>
      <c r="Y1305" s="13">
        <f>SUMPRODUCT(M1305:X1305,$M$2:$X$2)*$K1305*$L1305</f>
        <v/>
      </c>
      <c r="Z1305" s="14">
        <f>SUM(M1305:X1305)</f>
        <v/>
      </c>
      <c r="AA1305" s="14">
        <f>IFERROR(IF(UPPER($E1305)="L",SUMPRODUCT(M1305:X1305,$M$3:$X$3,$M$2:$X$2),SUMPRODUCT(M1305:X1305,$M$4:$X$4,$M$2:$X$2))/(Y1305/($K1305*$L1305)),"")</f>
        <v/>
      </c>
      <c r="AB1305" s="18" t="n"/>
    </row>
    <row r="1306">
      <c r="A1306" s="9" t="n">
        <v>832212</v>
      </c>
      <c r="B1306" s="9" t="inlineStr">
        <is>
          <t>Ian Francis</t>
        </is>
      </c>
      <c r="C1306" s="9" t="inlineStr">
        <is>
          <t>CIN</t>
        </is>
      </c>
      <c r="D1306" s="9" t="n">
        <v>25</v>
      </c>
      <c r="E1306" s="16" t="inlineStr">
        <is>
          <t>R</t>
        </is>
      </c>
      <c r="F1306" s="16" t="n"/>
      <c r="G1306" s="9" t="n">
        <v>13.41538461538462</v>
      </c>
      <c r="H1306" s="9" t="n">
        <v>13.41538461538462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7" t="n"/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/>
      <c r="Y1306" s="13">
        <f>SUMPRODUCT(M1306:X1306,$M$2:$X$2)*$K1306*$L1306</f>
        <v/>
      </c>
      <c r="Z1306" s="14">
        <f>SUM(M1306:X1306)</f>
        <v/>
      </c>
      <c r="AA1306" s="14">
        <f>IFERROR(IF(UPPER($E1306)="L",SUMPRODUCT(M1306:X1306,$M$3:$X$3,$M$2:$X$2),SUMPRODUCT(M1306:X1306,$M$4:$X$4,$M$2:$X$2))/(Y1306/($K1306*$L1306)),"")</f>
        <v/>
      </c>
      <c r="AB1306" s="18" t="n"/>
    </row>
    <row r="1307">
      <c r="A1307" s="9" t="n">
        <v>835651</v>
      </c>
      <c r="B1307" s="9" t="inlineStr">
        <is>
          <t>Tanner Marsh</t>
        </is>
      </c>
      <c r="C1307" s="9" t="inlineStr">
        <is>
          <t>OAK</t>
        </is>
      </c>
      <c r="D1307" s="9" t="n">
        <v>25</v>
      </c>
      <c r="E1307" s="16" t="inlineStr">
        <is>
          <t>R</t>
        </is>
      </c>
      <c r="F1307" s="16" t="n"/>
      <c r="G1307" s="9" t="n">
        <v>9.025641025641027</v>
      </c>
      <c r="H1307" s="9" t="n">
        <v>9.025641025641027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7" t="n"/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/>
      <c r="Y1307" s="13">
        <f>SUMPRODUCT(M1307:X1307,$M$2:$X$2)*$K1307*$L1307</f>
        <v/>
      </c>
      <c r="Z1307" s="14">
        <f>SUM(M1307:X1307)</f>
        <v/>
      </c>
      <c r="AA1307" s="14">
        <f>IFERROR(IF(UPPER($E1307)="L",SUMPRODUCT(M1307:X1307,$M$3:$X$3,$M$2:$X$2),SUMPRODUCT(M1307:X1307,$M$4:$X$4,$M$2:$X$2))/(Y1307/($K1307*$L1307)),"")</f>
        <v/>
      </c>
      <c r="AB1307" s="18" t="n"/>
    </row>
    <row r="1308">
      <c r="A1308" s="9" t="n">
        <v>822676</v>
      </c>
      <c r="B1308" s="9" t="inlineStr">
        <is>
          <t>Alex Lodise</t>
        </is>
      </c>
      <c r="C1308" s="9" t="inlineStr">
        <is>
          <t>ATL</t>
        </is>
      </c>
      <c r="D1308" s="9" t="n">
        <v>25</v>
      </c>
      <c r="E1308" s="16" t="inlineStr">
        <is>
          <t>R</t>
        </is>
      </c>
      <c r="F1308" s="16" t="n"/>
      <c r="G1308" s="9" t="n">
        <v>35.53846153846154</v>
      </c>
      <c r="H1308" s="9" t="n">
        <v>35.53846153846154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7" t="n"/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/>
      <c r="Y1308" s="13">
        <f>SUMPRODUCT(M1308:X1308,$M$2:$X$2)*$K1308*$L1308</f>
        <v/>
      </c>
      <c r="Z1308" s="14">
        <f>SUM(M1308:X1308)</f>
        <v/>
      </c>
      <c r="AA1308" s="14">
        <f>IFERROR(IF(UPPER($E1308)="L",SUMPRODUCT(M1308:X1308,$M$3:$X$3,$M$2:$X$2),SUMPRODUCT(M1308:X1308,$M$4:$X$4,$M$2:$X$2))/(Y1308/($K1308*$L1308)),"")</f>
        <v/>
      </c>
      <c r="AB1308" s="18" t="n"/>
    </row>
    <row r="1309">
      <c r="A1309" s="9" t="n">
        <v>800203</v>
      </c>
      <c r="B1309" s="9" t="inlineStr">
        <is>
          <t>Kevyn Castillo</t>
        </is>
      </c>
      <c r="C1309" s="9" t="inlineStr">
        <is>
          <t>LAA</t>
        </is>
      </c>
      <c r="D1309" s="9" t="n">
        <v>25</v>
      </c>
      <c r="E1309" s="16" t="inlineStr">
        <is>
          <t>L</t>
        </is>
      </c>
      <c r="F1309" s="16" t="n"/>
      <c r="G1309" s="9" t="n">
        <v>21.94871794871795</v>
      </c>
      <c r="H1309" s="9" t="n">
        <v>21.94871794871795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7" t="n"/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/>
      <c r="Y1309" s="13">
        <f>SUMPRODUCT(M1309:X1309,$M$2:$X$2)*$K1309*$L1309</f>
        <v/>
      </c>
      <c r="Z1309" s="14">
        <f>SUM(M1309:X1309)</f>
        <v/>
      </c>
      <c r="AA1309" s="14">
        <f>IFERROR(IF(UPPER($E1309)="L",SUMPRODUCT(M1309:X1309,$M$3:$X$3,$M$2:$X$2),SUMPRODUCT(M1309:X1309,$M$4:$X$4,$M$2:$X$2))/(Y1309/($K1309*$L1309)),"")</f>
        <v/>
      </c>
      <c r="AB1309" s="18" t="n"/>
    </row>
    <row r="1310">
      <c r="A1310" s="9" t="n">
        <v>703455</v>
      </c>
      <c r="B1310" s="9" t="inlineStr">
        <is>
          <t>Skylar King</t>
        </is>
      </c>
      <c r="C1310" s="9" t="inlineStr">
        <is>
          <t>BOS</t>
        </is>
      </c>
      <c r="D1310" s="9" t="n">
        <v>25</v>
      </c>
      <c r="E1310" s="16" t="inlineStr">
        <is>
          <t>L</t>
        </is>
      </c>
      <c r="F1310" s="16" t="n"/>
      <c r="G1310" s="9" t="n">
        <v>9.230769230769232</v>
      </c>
      <c r="H1310" s="9" t="n">
        <v>9.230769230769232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7" t="n"/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/>
      <c r="Y1310" s="13">
        <f>SUMPRODUCT(M1310:X1310,$M$2:$X$2)*$K1310*$L1310</f>
        <v/>
      </c>
      <c r="Z1310" s="14">
        <f>SUM(M1310:X1310)</f>
        <v/>
      </c>
      <c r="AA1310" s="14">
        <f>IFERROR(IF(UPPER($E1310)="L",SUMPRODUCT(M1310:X1310,$M$3:$X$3,$M$2:$X$2),SUMPRODUCT(M1310:X1310,$M$4:$X$4,$M$2:$X$2))/(Y1310/($K1310*$L1310)),"")</f>
        <v/>
      </c>
      <c r="AB1310" s="18" t="n"/>
    </row>
    <row r="1311">
      <c r="A1311" s="9" t="n">
        <v>694380</v>
      </c>
      <c r="B1311" s="9" t="inlineStr">
        <is>
          <t>Jack Moss</t>
        </is>
      </c>
      <c r="C1311" s="9" t="inlineStr">
        <is>
          <t>HOU</t>
        </is>
      </c>
      <c r="D1311" s="9" t="n">
        <v>25</v>
      </c>
      <c r="E1311" s="16" t="inlineStr">
        <is>
          <t>L</t>
        </is>
      </c>
      <c r="F1311" s="16" t="n"/>
      <c r="G1311" s="9" t="n">
        <v>9.333333333333334</v>
      </c>
      <c r="H1311" s="9" t="n">
        <v>9.333333333333334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7" t="n"/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/>
      <c r="Y1311" s="13">
        <f>SUMPRODUCT(M1311:X1311,$M$2:$X$2)*$K1311*$L1311</f>
        <v/>
      </c>
      <c r="Z1311" s="14">
        <f>SUM(M1311:X1311)</f>
        <v/>
      </c>
      <c r="AA1311" s="14">
        <f>IFERROR(IF(UPPER($E1311)="L",SUMPRODUCT(M1311:X1311,$M$3:$X$3,$M$2:$X$2),SUMPRODUCT(M1311:X1311,$M$4:$X$4,$M$2:$X$2))/(Y1311/($K1311*$L1311)),"")</f>
        <v/>
      </c>
      <c r="AB1311" s="18" t="n"/>
    </row>
    <row r="1312">
      <c r="A1312" s="9" t="n">
        <v>694939</v>
      </c>
      <c r="B1312" s="9" t="inlineStr">
        <is>
          <t>Marcus Brown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9.589743589743591</v>
      </c>
      <c r="H1312" s="9" t="n">
        <v>9.589743589743591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7" t="n"/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/>
      <c r="Y1312" s="13">
        <f>SUMPRODUCT(M1312:X1312,$M$2:$X$2)*$K1312*$L1312</f>
        <v/>
      </c>
      <c r="Z1312" s="14">
        <f>SUM(M1312:X1312)</f>
        <v/>
      </c>
      <c r="AA1312" s="14">
        <f>IFERROR(IF(UPPER($E1312)="L",SUMPRODUCT(M1312:X1312,$M$3:$X$3,$M$2:$X$2),SUMPRODUCT(M1312:X1312,$M$4:$X$4,$M$2:$X$2))/(Y1312/($K1312*$L1312)),"")</f>
        <v/>
      </c>
      <c r="AB1312" s="18" t="n"/>
    </row>
    <row r="1313">
      <c r="A1313" s="9" t="n">
        <v>800272</v>
      </c>
      <c r="B1313" s="9" t="inlineStr">
        <is>
          <t>Manolfi Jimenez</t>
        </is>
      </c>
      <c r="C1313" s="9" t="inlineStr">
        <is>
          <t>PHI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9.230769230769232</v>
      </c>
      <c r="H1313" s="9" t="n">
        <v>9.230769230769232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7" t="n"/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/>
      <c r="Y1313" s="13">
        <f>SUMPRODUCT(M1313:X1313,$M$2:$X$2)*$K1313*$L1313</f>
        <v/>
      </c>
      <c r="Z1313" s="14">
        <f>SUM(M1313:X1313)</f>
        <v/>
      </c>
      <c r="AA1313" s="14">
        <f>IFERROR(IF(UPPER($E1313)="L",SUMPRODUCT(M1313:X1313,$M$3:$X$3,$M$2:$X$2),SUMPRODUCT(M1313:X1313,$M$4:$X$4,$M$2:$X$2))/(Y1313/($K1313*$L1313)),"")</f>
        <v/>
      </c>
      <c r="AB1313" s="18" t="n"/>
    </row>
    <row r="1314">
      <c r="A1314" s="9" t="n">
        <v>694215</v>
      </c>
      <c r="B1314" s="9" t="inlineStr">
        <is>
          <t>Hans Montero</t>
        </is>
      </c>
      <c r="C1314" s="9" t="inlineStr">
        <is>
          <t>NYY</t>
        </is>
      </c>
      <c r="D1314" s="9" t="n">
        <v>25</v>
      </c>
      <c r="E1314" s="16" t="inlineStr">
        <is>
          <t>R</t>
        </is>
      </c>
      <c r="F1314" s="16" t="n"/>
      <c r="G1314" s="9" t="n">
        <v>13.33333333333334</v>
      </c>
      <c r="H1314" s="9" t="n">
        <v>13.33333333333334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7" t="n"/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/>
      <c r="Y1314" s="13">
        <f>SUMPRODUCT(M1314:X1314,$M$2:$X$2)*$K1314*$L1314</f>
        <v/>
      </c>
      <c r="Z1314" s="14">
        <f>SUM(M1314:X1314)</f>
        <v/>
      </c>
      <c r="AA1314" s="14">
        <f>IFERROR(IF(UPPER($E1314)="L",SUMPRODUCT(M1314:X1314,$M$3:$X$3,$M$2:$X$2),SUMPRODUCT(M1314:X1314,$M$4:$X$4,$M$2:$X$2))/(Y1314/($K1314*$L1314)),"")</f>
        <v/>
      </c>
      <c r="AB1314" s="18" t="n"/>
    </row>
    <row r="1315">
      <c r="A1315" s="9" t="n">
        <v>703606</v>
      </c>
      <c r="B1315" s="9" t="inlineStr">
        <is>
          <t>Jared Thomas</t>
        </is>
      </c>
      <c r="C1315" s="9" t="inlineStr">
        <is>
          <t>COL</t>
        </is>
      </c>
      <c r="D1315" s="9" t="n">
        <v>25</v>
      </c>
      <c r="E1315" s="16" t="inlineStr">
        <is>
          <t>L</t>
        </is>
      </c>
      <c r="F1315" s="16" t="n"/>
      <c r="G1315" s="9" t="n">
        <v>42.71794871794872</v>
      </c>
      <c r="H1315" s="9" t="n">
        <v>42.71794871794872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7" t="n"/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/>
      <c r="Y1315" s="13">
        <f>SUMPRODUCT(M1315:X1315,$M$2:$X$2)*$K1315*$L1315</f>
        <v/>
      </c>
      <c r="Z1315" s="14">
        <f>SUM(M1315:X1315)</f>
        <v/>
      </c>
      <c r="AA1315" s="14">
        <f>IFERROR(IF(UPPER($E1315)="L",SUMPRODUCT(M1315:X1315,$M$3:$X$3,$M$2:$X$2),SUMPRODUCT(M1315:X1315,$M$4:$X$4,$M$2:$X$2))/(Y1315/($K1315*$L1315)),"")</f>
        <v/>
      </c>
      <c r="AB1315" s="18" t="n"/>
    </row>
    <row r="1316">
      <c r="A1316" s="9" t="n">
        <v>702309</v>
      </c>
      <c r="B1316" s="9" t="inlineStr">
        <is>
          <t>Hunter Hines</t>
        </is>
      </c>
      <c r="C1316" s="9" t="inlineStr">
        <is>
          <t>WSH</t>
        </is>
      </c>
      <c r="D1316" s="9" t="n">
        <v>25</v>
      </c>
      <c r="E1316" s="16" t="inlineStr">
        <is>
          <t>L</t>
        </is>
      </c>
      <c r="F1316" s="16" t="n"/>
      <c r="G1316" s="9" t="n">
        <v>25.84615384615385</v>
      </c>
      <c r="H1316" s="9" t="n">
        <v>25.84615384615385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7" t="n"/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/>
      <c r="Y1316" s="13">
        <f>SUMPRODUCT(M1316:X1316,$M$2:$X$2)*$K1316*$L1316</f>
        <v/>
      </c>
      <c r="Z1316" s="14">
        <f>SUM(M1316:X1316)</f>
        <v/>
      </c>
      <c r="AA1316" s="14">
        <f>IFERROR(IF(UPPER($E1316)="L",SUMPRODUCT(M1316:X1316,$M$3:$X$3,$M$2:$X$2),SUMPRODUCT(M1316:X1316,$M$4:$X$4,$M$2:$X$2))/(Y1316/($K1316*$L1316)),"")</f>
        <v/>
      </c>
      <c r="AB1316" s="18" t="n"/>
    </row>
    <row r="1317">
      <c r="A1317" s="9" t="n">
        <v>701296</v>
      </c>
      <c r="B1317" s="9" t="inlineStr">
        <is>
          <t>Carter Mathison</t>
        </is>
      </c>
      <c r="C1317" s="9" t="inlineStr">
        <is>
          <t>PHI</t>
        </is>
      </c>
      <c r="D1317" s="9" t="n">
        <v>25</v>
      </c>
      <c r="E1317" s="16" t="inlineStr">
        <is>
          <t>L</t>
        </is>
      </c>
      <c r="F1317" s="16" t="n"/>
      <c r="G1317" s="9" t="n">
        <v>57.84615384615385</v>
      </c>
      <c r="H1317" s="9" t="n">
        <v>57.84615384615385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7" t="n"/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/>
      <c r="Y1317" s="13">
        <f>SUMPRODUCT(M1317:X1317,$M$2:$X$2)*$K1317*$L1317</f>
        <v/>
      </c>
      <c r="Z1317" s="14">
        <f>SUM(M1317:X1317)</f>
        <v/>
      </c>
      <c r="AA1317" s="14">
        <f>IFERROR(IF(UPPER($E1317)="L",SUMPRODUCT(M1317:X1317,$M$3:$X$3,$M$2:$X$2),SUMPRODUCT(M1317:X1317,$M$4:$X$4,$M$2:$X$2))/(Y1317/($K1317*$L1317)),"")</f>
        <v/>
      </c>
      <c r="AB1317" s="18" t="n"/>
    </row>
    <row r="1318">
      <c r="A1318" s="9" t="n">
        <v>821671</v>
      </c>
      <c r="B1318" s="9" t="inlineStr">
        <is>
          <t>Ricardo Paez</t>
        </is>
      </c>
      <c r="C1318" s="9" t="inlineStr">
        <is>
          <t>MIN</t>
        </is>
      </c>
      <c r="D1318" s="9" t="n">
        <v>25</v>
      </c>
      <c r="E1318" s="16" t="inlineStr">
        <is>
          <t>L</t>
        </is>
      </c>
      <c r="F1318" s="16" t="n"/>
      <c r="G1318" s="9" t="n">
        <v>11.32307692307692</v>
      </c>
      <c r="H1318" s="9" t="n">
        <v>11.32307692307692</v>
      </c>
      <c r="I1318" s="9" t="inlineStr">
        <is>
          <t>Depth (no MLB PA)</t>
        </is>
      </c>
      <c r="J1318" s="16" t="inlineStr">
        <is>
          <t>Opening Day</t>
        </is>
      </c>
      <c r="K1318" s="11">
        <f>IFERROR(INDEX(Roles!$B$17:$B$20,MATCH(J1318,Roles!$A$17:$A$20,0)),1)</f>
        <v/>
      </c>
      <c r="L1318" s="17" t="n">
        <v>1</v>
      </c>
      <c r="M1318" s="17" t="n"/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/>
      <c r="Y1318" s="13">
        <f>SUMPRODUCT(M1318:X1318,$M$2:$X$2)*$K1318*$L1318</f>
        <v/>
      </c>
      <c r="Z1318" s="14">
        <f>SUM(M1318:X1318)</f>
        <v/>
      </c>
      <c r="AA1318" s="14">
        <f>IFERROR(IF(UPPER($E1318)="L",SUMPRODUCT(M1318:X1318,$M$3:$X$3,$M$2:$X$2),SUMPRODUCT(M1318:X1318,$M$4:$X$4,$M$2:$X$2))/(Y1318/($K1318*$L1318)),"")</f>
        <v/>
      </c>
      <c r="AB1318" s="18" t="n"/>
    </row>
    <row r="1319">
      <c r="A1319" s="9" t="n">
        <v>813359</v>
      </c>
      <c r="B1319" s="9" t="inlineStr">
        <is>
          <t>Aidan Teel</t>
        </is>
      </c>
      <c r="C1319" s="9" t="inlineStr">
        <is>
          <t>MIN</t>
        </is>
      </c>
      <c r="D1319" s="9" t="n">
        <v>25</v>
      </c>
      <c r="E1319" s="16" t="inlineStr">
        <is>
          <t>L</t>
        </is>
      </c>
      <c r="F1319" s="16" t="n"/>
      <c r="G1319" s="9" t="n">
        <v>9.23076923076923</v>
      </c>
      <c r="H1319" s="9" t="n">
        <v>9.23076923076923</v>
      </c>
      <c r="I1319" s="9" t="inlineStr">
        <is>
          <t>Depth (no MLB PA)</t>
        </is>
      </c>
      <c r="J1319" s="16" t="inlineStr">
        <is>
          <t>Opening Day</t>
        </is>
      </c>
      <c r="K1319" s="11">
        <f>IFERROR(INDEX(Roles!$B$17:$B$20,MATCH(J1319,Roles!$A$17:$A$20,0)),1)</f>
        <v/>
      </c>
      <c r="L1319" s="17" t="n">
        <v>1</v>
      </c>
      <c r="M1319" s="17" t="n"/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/>
      <c r="Y1319" s="13">
        <f>SUMPRODUCT(M1319:X1319,$M$2:$X$2)*$K1319*$L1319</f>
        <v/>
      </c>
      <c r="Z1319" s="14">
        <f>SUM(M1319:X1319)</f>
        <v/>
      </c>
      <c r="AA1319" s="14">
        <f>IFERROR(IF(UPPER($E1319)="L",SUMPRODUCT(M1319:X1319,$M$3:$X$3,$M$2:$X$2),SUMPRODUCT(M1319:X1319,$M$4:$X$4,$M$2:$X$2))/(Y1319/($K1319*$L1319)),"")</f>
        <v/>
      </c>
      <c r="AB1319" s="18" t="n"/>
    </row>
    <row r="1320">
      <c r="A1320" s="9" t="n">
        <v>812668</v>
      </c>
      <c r="B1320" s="9" t="inlineStr">
        <is>
          <t>Carson Kerce</t>
        </is>
      </c>
      <c r="C1320" s="9" t="inlineStr">
        <is>
          <t>ARI</t>
        </is>
      </c>
      <c r="D1320" s="9" t="n">
        <v>25</v>
      </c>
      <c r="E1320" s="16" t="inlineStr">
        <is>
          <t>R</t>
        </is>
      </c>
      <c r="F1320" s="16" t="n"/>
      <c r="G1320" s="9" t="n">
        <v>13.78461538461538</v>
      </c>
      <c r="H1320" s="9" t="n">
        <v>13.78461538461538</v>
      </c>
      <c r="I1320" s="9" t="inlineStr">
        <is>
          <t>Depth (no MLB PA)</t>
        </is>
      </c>
      <c r="J1320" s="16" t="inlineStr">
        <is>
          <t>Opening Day</t>
        </is>
      </c>
      <c r="K1320" s="11">
        <f>IFERROR(INDEX(Roles!$B$17:$B$20,MATCH(J1320,Roles!$A$17:$A$20,0)),1)</f>
        <v/>
      </c>
      <c r="L1320" s="17" t="n">
        <v>1</v>
      </c>
      <c r="M1320" s="17" t="n"/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/>
      <c r="Y1320" s="13">
        <f>SUMPRODUCT(M1320:X1320,$M$2:$X$2)*$K1320*$L1320</f>
        <v/>
      </c>
      <c r="Z1320" s="14">
        <f>SUM(M1320:X1320)</f>
        <v/>
      </c>
      <c r="AA1320" s="14">
        <f>IFERROR(IF(UPPER($E1320)="L",SUMPRODUCT(M1320:X1320,$M$3:$X$3,$M$2:$X$2),SUMPRODUCT(M1320:X1320,$M$4:$X$4,$M$2:$X$2))/(Y1320/($K1320*$L1320)),"")</f>
        <v/>
      </c>
      <c r="AB1320" s="18" t="n"/>
    </row>
    <row r="1321">
      <c r="A1321" s="9" t="n">
        <v>829976</v>
      </c>
      <c r="B1321" s="9" t="inlineStr">
        <is>
          <t>Manuel Campos</t>
        </is>
      </c>
      <c r="C1321" s="9" t="inlineStr">
        <is>
          <t>ATL</t>
        </is>
      </c>
      <c r="D1321" s="9" t="n">
        <v>25</v>
      </c>
      <c r="E1321" s="16" t="inlineStr">
        <is>
          <t>S</t>
        </is>
      </c>
      <c r="F1321" s="16" t="n"/>
      <c r="G1321" s="9" t="n">
        <v>13.78461538461538</v>
      </c>
      <c r="H1321" s="9" t="n">
        <v>13.78461538461538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7" t="n"/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/>
      <c r="Y1321" s="13">
        <f>SUMPRODUCT(M1321:X1321,$M$2:$X$2)*$K1321*$L1321</f>
        <v/>
      </c>
      <c r="Z1321" s="14">
        <f>SUM(M1321:X1321)</f>
        <v/>
      </c>
      <c r="AA1321" s="14">
        <f>IFERROR(IF(UPPER($E1321)="L",SUMPRODUCT(M1321:X1321,$M$3:$X$3,$M$2:$X$2),SUMPRODUCT(M1321:X1321,$M$4:$X$4,$M$2:$X$2))/(Y1321/($K1321*$L1321)),"")</f>
        <v/>
      </c>
      <c r="AB1321" s="18" t="n"/>
    </row>
    <row r="1322">
      <c r="A1322" s="9" t="n">
        <v>823114</v>
      </c>
      <c r="B1322" s="9" t="inlineStr">
        <is>
          <t>Nolan McCarthy</t>
        </is>
      </c>
      <c r="C1322" s="9" t="inlineStr">
        <is>
          <t>DET</t>
        </is>
      </c>
      <c r="D1322" s="9" t="n">
        <v>25</v>
      </c>
      <c r="E1322" s="16" t="inlineStr">
        <is>
          <t>R</t>
        </is>
      </c>
      <c r="F1322" s="16" t="n"/>
      <c r="G1322" s="9" t="n">
        <v>17.84615384615385</v>
      </c>
      <c r="H1322" s="9" t="n">
        <v>17.84615384615385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7" t="n"/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/>
      <c r="Y1322" s="13">
        <f>SUMPRODUCT(M1322:X1322,$M$2:$X$2)*$K1322*$L1322</f>
        <v/>
      </c>
      <c r="Z1322" s="14">
        <f>SUM(M1322:X1322)</f>
        <v/>
      </c>
      <c r="AA1322" s="14">
        <f>IFERROR(IF(UPPER($E1322)="L",SUMPRODUCT(M1322:X1322,$M$3:$X$3,$M$2:$X$2),SUMPRODUCT(M1322:X1322,$M$4:$X$4,$M$2:$X$2))/(Y1322/($K1322*$L1322)),"")</f>
        <v/>
      </c>
      <c r="AB1322" s="18" t="n"/>
    </row>
    <row r="1323">
      <c r="A1323" s="9" t="n">
        <v>830239</v>
      </c>
      <c r="B1323" s="9" t="inlineStr">
        <is>
          <t>Aaron Walton</t>
        </is>
      </c>
      <c r="C1323" s="9" t="inlineStr">
        <is>
          <t>CLE</t>
        </is>
      </c>
      <c r="D1323" s="9" t="n">
        <v>25</v>
      </c>
      <c r="E1323" s="16" t="inlineStr">
        <is>
          <t>R</t>
        </is>
      </c>
      <c r="F1323" s="16" t="n"/>
      <c r="G1323" s="9" t="n">
        <v>68.92307692307692</v>
      </c>
      <c r="H1323" s="9" t="n">
        <v>68.92307692307692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7" t="n"/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/>
      <c r="Y1323" s="13">
        <f>SUMPRODUCT(M1323:X1323,$M$2:$X$2)*$K1323*$L1323</f>
        <v/>
      </c>
      <c r="Z1323" s="14">
        <f>SUM(M1323:X1323)</f>
        <v/>
      </c>
      <c r="AA1323" s="14">
        <f>IFERROR(IF(UPPER($E1323)="L",SUMPRODUCT(M1323:X1323,$M$3:$X$3,$M$2:$X$2),SUMPRODUCT(M1323:X1323,$M$4:$X$4,$M$2:$X$2))/(Y1323/($K1323*$L1323)),"")</f>
        <v/>
      </c>
      <c r="AB1323" s="18" t="n"/>
    </row>
    <row r="1324">
      <c r="A1324" s="9" t="n">
        <v>622110</v>
      </c>
      <c r="B1324" s="9" t="inlineStr">
        <is>
          <t>Matt Duffy</t>
        </is>
      </c>
      <c r="C1324" s="9" t="inlineStr">
        <is>
          <t>KC</t>
        </is>
      </c>
      <c r="D1324" s="9" t="n">
        <v>36</v>
      </c>
      <c r="E1324" s="16" t="inlineStr">
        <is>
          <t>R</t>
        </is>
      </c>
      <c r="F1324" s="16" t="n"/>
      <c r="G1324" s="9" t="n">
        <v>10</v>
      </c>
      <c r="H1324" s="9" t="n">
        <v>466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7" t="n"/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/>
      <c r="Y1324" s="13">
        <f>SUMPRODUCT(M1324:X1324,$M$2:$X$2)*$K1324*$L1324</f>
        <v/>
      </c>
      <c r="Z1324" s="14">
        <f>SUM(M1324:X1324)</f>
        <v/>
      </c>
      <c r="AA1324" s="14">
        <f>IFERROR(IF(UPPER($E1324)="L",SUMPRODUCT(M1324:X1324,$M$3:$X$3,$M$2:$X$2),SUMPRODUCT(M1324:X1324,$M$4:$X$4,$M$2:$X$2))/(Y1324/($K1324*$L1324)),"")</f>
        <v/>
      </c>
      <c r="AB1324" s="18" t="n"/>
    </row>
    <row r="1325">
      <c r="A1325" s="9" t="n">
        <v>672356</v>
      </c>
      <c r="B1325" s="9" t="inlineStr">
        <is>
          <t>Gabriel Arias</t>
        </is>
      </c>
      <c r="C1325" s="9" t="inlineStr">
        <is>
          <t>CHC</t>
        </is>
      </c>
      <c r="D1325" s="9" t="n">
        <v>27</v>
      </c>
      <c r="E1325" s="16" t="inlineStr">
        <is>
          <t>R</t>
        </is>
      </c>
      <c r="F1325" s="16" t="n"/>
      <c r="G1325" s="9" t="n">
        <v>149</v>
      </c>
      <c r="H1325" s="9" t="n">
        <v>1183</v>
      </c>
      <c r="I1325" s="9" t="inlineStr">
        <is>
          <t>Full Time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7" t="n"/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/>
      <c r="Y1325" s="13">
        <f>SUMPRODUCT(M1325:X1325,$M$2:$X$2)*$K1325*$L1325</f>
        <v/>
      </c>
      <c r="Z1325" s="14">
        <f>SUM(M1325:X1325)</f>
        <v/>
      </c>
      <c r="AA1325" s="14">
        <f>IFERROR(IF(UPPER($E1325)="L",SUMPRODUCT(M1325:X1325,$M$3:$X$3,$M$2:$X$2),SUMPRODUCT(M1325:X1325,$M$4:$X$4,$M$2:$X$2))/(Y1325/($K1325*$L1325)),"")</f>
        <v/>
      </c>
      <c r="AB1325" s="18" t="n"/>
    </row>
    <row r="1326">
      <c r="A1326" s="9" t="n">
        <v>806550</v>
      </c>
      <c r="B1326" s="9" t="inlineStr">
        <is>
          <t>Sir Jamison Jones</t>
        </is>
      </c>
      <c r="C1326" s="9" t="inlineStr">
        <is>
          <t>WSH</t>
        </is>
      </c>
      <c r="D1326" s="9" t="n">
        <v>25</v>
      </c>
      <c r="E1326" s="16" t="inlineStr">
        <is>
          <t>R</t>
        </is>
      </c>
      <c r="F1326" s="16" t="n"/>
      <c r="G1326" s="9" t="n">
        <v>31.01538461538461</v>
      </c>
      <c r="H1326" s="9" t="n">
        <v>31.01538461538461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7" t="n"/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/>
      <c r="Y1326" s="13">
        <f>SUMPRODUCT(M1326:X1326,$M$2:$X$2)*$K1326*$L1326</f>
        <v/>
      </c>
      <c r="Z1326" s="14">
        <f>SUM(M1326:X1326)</f>
        <v/>
      </c>
      <c r="AA1326" s="14">
        <f>IFERROR(IF(UPPER($E1326)="L",SUMPRODUCT(M1326:X1326,$M$3:$X$3,$M$2:$X$2),SUMPRODUCT(M1326:X1326,$M$4:$X$4,$M$2:$X$2))/(Y1326/($K1326*$L1326)),"")</f>
        <v/>
      </c>
      <c r="AB1326" s="18" t="n"/>
    </row>
    <row r="1327">
      <c r="A1327" s="9" t="n">
        <v>808401</v>
      </c>
      <c r="B1327" s="9" t="inlineStr">
        <is>
          <t>Angel Guzman</t>
        </is>
      </c>
      <c r="C1327" s="9" t="inlineStr">
        <is>
          <t>SF</t>
        </is>
      </c>
      <c r="D1327" s="9" t="n">
        <v>25</v>
      </c>
      <c r="E1327" s="16" t="inlineStr">
        <is>
          <t>L</t>
        </is>
      </c>
      <c r="F1327" s="16" t="n"/>
      <c r="G1327" s="9" t="n">
        <v>18.09230769230769</v>
      </c>
      <c r="H1327" s="9" t="n">
        <v>18.09230769230769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7" t="n"/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/>
      <c r="Y1327" s="13">
        <f>SUMPRODUCT(M1327:X1327,$M$2:$X$2)*$K1327*$L1327</f>
        <v/>
      </c>
      <c r="Z1327" s="14">
        <f>SUM(M1327:X1327)</f>
        <v/>
      </c>
      <c r="AA1327" s="14">
        <f>IFERROR(IF(UPPER($E1327)="L",SUMPRODUCT(M1327:X1327,$M$3:$X$3,$M$2:$X$2),SUMPRODUCT(M1327:X1327,$M$4:$X$4,$M$2:$X$2))/(Y1327/($K1327*$L1327)),"")</f>
        <v/>
      </c>
      <c r="AB1327" s="18" t="n"/>
    </row>
    <row r="1328">
      <c r="A1328" s="9" t="n">
        <v>687930</v>
      </c>
      <c r="B1328" s="9" t="inlineStr">
        <is>
          <t>Tyresse Turner</t>
        </is>
      </c>
      <c r="C1328" s="9" t="inlineStr">
        <is>
          <t>CLE</t>
        </is>
      </c>
      <c r="D1328" s="9" t="n">
        <v>25</v>
      </c>
      <c r="E1328" s="16" t="inlineStr">
        <is>
          <t>S</t>
        </is>
      </c>
      <c r="F1328" s="16" t="n"/>
      <c r="G1328" s="9" t="n">
        <v>9.589743589743591</v>
      </c>
      <c r="H1328" s="9" t="n">
        <v>9.589743589743591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7" t="n"/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/>
      <c r="Y1328" s="13">
        <f>SUMPRODUCT(M1328:X1328,$M$2:$X$2)*$K1328*$L1328</f>
        <v/>
      </c>
      <c r="Z1328" s="14">
        <f>SUM(M1328:X1328)</f>
        <v/>
      </c>
      <c r="AA1328" s="14">
        <f>IFERROR(IF(UPPER($E1328)="L",SUMPRODUCT(M1328:X1328,$M$3:$X$3,$M$2:$X$2),SUMPRODUCT(M1328:X1328,$M$4:$X$4,$M$2:$X$2))/(Y1328/($K1328*$L1328)),"")</f>
        <v/>
      </c>
      <c r="AB1328" s="18" t="n"/>
    </row>
    <row r="1329">
      <c r="A1329" s="9" t="n">
        <v>823651</v>
      </c>
      <c r="B1329" s="9" t="inlineStr">
        <is>
          <t>J.P. Cabrera</t>
        </is>
      </c>
      <c r="C1329" s="9" t="inlineStr">
        <is>
          <t>STL</t>
        </is>
      </c>
      <c r="D1329" s="9" t="n">
        <v>25</v>
      </c>
      <c r="E1329" s="16" t="inlineStr">
        <is>
          <t>R</t>
        </is>
      </c>
      <c r="F1329" s="16" t="n"/>
      <c r="G1329" s="9" t="n">
        <v>11.81538461538462</v>
      </c>
      <c r="H1329" s="9" t="n">
        <v>11.81538461538462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7" t="n"/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/>
      <c r="Y1329" s="13">
        <f>SUMPRODUCT(M1329:X1329,$M$2:$X$2)*$K1329*$L1329</f>
        <v/>
      </c>
      <c r="Z1329" s="14">
        <f>SUM(M1329:X1329)</f>
        <v/>
      </c>
      <c r="AA1329" s="14">
        <f>IFERROR(IF(UPPER($E1329)="L",SUMPRODUCT(M1329:X1329,$M$3:$X$3,$M$2:$X$2),SUMPRODUCT(M1329:X1329,$M$4:$X$4,$M$2:$X$2))/(Y1329/($K1329*$L1329)),"")</f>
        <v/>
      </c>
      <c r="AB1329" s="18" t="n"/>
    </row>
    <row r="1330">
      <c r="A1330" s="9" t="n">
        <v>830736</v>
      </c>
      <c r="B1330" s="9" t="inlineStr">
        <is>
          <t>Bryce Fowler</t>
        </is>
      </c>
      <c r="C1330" s="9" t="inlineStr">
        <is>
          <t>MIN</t>
        </is>
      </c>
      <c r="D1330" s="9" t="n">
        <v>25</v>
      </c>
      <c r="E1330" s="16" t="inlineStr">
        <is>
          <t>L</t>
        </is>
      </c>
      <c r="F1330" s="16" t="n"/>
      <c r="G1330" s="9" t="n">
        <v>9.353846153846154</v>
      </c>
      <c r="H1330" s="9" t="n">
        <v>9.353846153846154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7" t="n"/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/>
      <c r="Y1330" s="13">
        <f>SUMPRODUCT(M1330:X1330,$M$2:$X$2)*$K1330*$L1330</f>
        <v/>
      </c>
      <c r="Z1330" s="14">
        <f>SUM(M1330:X1330)</f>
        <v/>
      </c>
      <c r="AA1330" s="14">
        <f>IFERROR(IF(UPPER($E1330)="L",SUMPRODUCT(M1330:X1330,$M$3:$X$3,$M$2:$X$2),SUMPRODUCT(M1330:X1330,$M$4:$X$4,$M$2:$X$2))/(Y1330/($K1330*$L1330)),"")</f>
        <v/>
      </c>
      <c r="AB1330" s="18" t="n"/>
    </row>
    <row r="1331">
      <c r="A1331" s="9" t="n">
        <v>690958</v>
      </c>
      <c r="B1331" s="9" t="inlineStr">
        <is>
          <t>Drew Bowser</t>
        </is>
      </c>
      <c r="C1331" s="9" t="inlineStr">
        <is>
          <t>CHC</t>
        </is>
      </c>
      <c r="D1331" s="9" t="n">
        <v>25</v>
      </c>
      <c r="E1331" s="16" t="inlineStr">
        <is>
          <t>R</t>
        </is>
      </c>
      <c r="F1331" s="16" t="n"/>
      <c r="G1331" s="9" t="n">
        <v>34.82051282051282</v>
      </c>
      <c r="H1331" s="9" t="n">
        <v>34.82051282051282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7" t="n"/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/>
      <c r="Y1331" s="13">
        <f>SUMPRODUCT(M1331:X1331,$M$2:$X$2)*$K1331*$L1331</f>
        <v/>
      </c>
      <c r="Z1331" s="14">
        <f>SUM(M1331:X1331)</f>
        <v/>
      </c>
      <c r="AA1331" s="14">
        <f>IFERROR(IF(UPPER($E1331)="L",SUMPRODUCT(M1331:X1331,$M$3:$X$3,$M$2:$X$2),SUMPRODUCT(M1331:X1331,$M$4:$X$4,$M$2:$X$2))/(Y1331/($K1331*$L1331)),"")</f>
        <v/>
      </c>
      <c r="AB1331" s="18" t="n"/>
    </row>
    <row r="1332">
      <c r="A1332" s="9" t="n">
        <v>680418</v>
      </c>
      <c r="B1332" s="9" t="inlineStr">
        <is>
          <t>Tyler Cropley</t>
        </is>
      </c>
      <c r="C1332" s="9" t="inlineStr">
        <is>
          <t>KC</t>
        </is>
      </c>
      <c r="D1332" s="9" t="n">
        <v>31</v>
      </c>
      <c r="E1332" s="16" t="inlineStr">
        <is>
          <t>R</t>
        </is>
      </c>
      <c r="F1332" s="16" t="n"/>
      <c r="G1332" s="9" t="n">
        <v>7</v>
      </c>
      <c r="H1332" s="9" t="n">
        <v>7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7" t="n"/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/>
      <c r="Y1332" s="13">
        <f>SUMPRODUCT(M1332:X1332,$M$2:$X$2)*$K1332*$L1332</f>
        <v/>
      </c>
      <c r="Z1332" s="14">
        <f>SUM(M1332:X1332)</f>
        <v/>
      </c>
      <c r="AA1332" s="14">
        <f>IFERROR(IF(UPPER($E1332)="L",SUMPRODUCT(M1332:X1332,$M$3:$X$3,$M$2:$X$2),SUMPRODUCT(M1332:X1332,$M$4:$X$4,$M$2:$X$2))/(Y1332/($K1332*$L1332)),"")</f>
        <v/>
      </c>
      <c r="AB1332" s="18" t="n"/>
    </row>
    <row r="1333">
      <c r="A1333" s="9" t="n">
        <v>703154</v>
      </c>
      <c r="B1333" s="9" t="inlineStr">
        <is>
          <t>Yordany De Los Santos</t>
        </is>
      </c>
      <c r="C1333" s="9" t="inlineStr">
        <is>
          <t>PIT</t>
        </is>
      </c>
      <c r="D1333" s="9" t="n">
        <v>25</v>
      </c>
      <c r="E1333" s="16" t="inlineStr">
        <is>
          <t>R</t>
        </is>
      </c>
      <c r="F1333" s="16" t="n"/>
      <c r="G1333" s="9" t="n">
        <v>80.20512820512822</v>
      </c>
      <c r="H1333" s="9" t="n">
        <v>80.20512820512822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7" t="n"/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/>
      <c r="Y1333" s="13">
        <f>SUMPRODUCT(M1333:X1333,$M$2:$X$2)*$K1333*$L1333</f>
        <v/>
      </c>
      <c r="Z1333" s="14">
        <f>SUM(M1333:X1333)</f>
        <v/>
      </c>
      <c r="AA1333" s="14">
        <f>IFERROR(IF(UPPER($E1333)="L",SUMPRODUCT(M1333:X1333,$M$3:$X$3,$M$2:$X$2),SUMPRODUCT(M1333:X1333,$M$4:$X$4,$M$2:$X$2))/(Y1333/($K1333*$L1333)),"")</f>
        <v/>
      </c>
      <c r="AB1333" s="18" t="n"/>
    </row>
    <row r="1334">
      <c r="A1334" s="9" t="n">
        <v>596059</v>
      </c>
      <c r="B1334" s="9" t="inlineStr">
        <is>
          <t>Rougned Odor</t>
        </is>
      </c>
      <c r="C1334" s="9" t="inlineStr">
        <is>
          <t>SD</t>
        </is>
      </c>
      <c r="D1334" s="9" t="n">
        <v>33</v>
      </c>
      <c r="E1334" s="16" t="inlineStr">
        <is>
          <t>L</t>
        </is>
      </c>
      <c r="F1334" s="16" t="n"/>
      <c r="G1334" s="9" t="n">
        <v>157</v>
      </c>
      <c r="H1334" s="9" t="n">
        <v>629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7" t="n"/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/>
      <c r="Y1334" s="13">
        <f>SUMPRODUCT(M1334:X1334,$M$2:$X$2)*$K1334*$L1334</f>
        <v/>
      </c>
      <c r="Z1334" s="14">
        <f>SUM(M1334:X1334)</f>
        <v/>
      </c>
      <c r="AA1334" s="14">
        <f>IFERROR(IF(UPPER($E1334)="L",SUMPRODUCT(M1334:X1334,$M$3:$X$3,$M$2:$X$2),SUMPRODUCT(M1334:X1334,$M$4:$X$4,$M$2:$X$2))/(Y1334/($K1334*$L1334)),"")</f>
        <v/>
      </c>
      <c r="AB1334" s="18" t="n"/>
    </row>
    <row r="1335">
      <c r="A1335" s="9" t="n">
        <v>702500</v>
      </c>
      <c r="B1335" s="9" t="inlineStr">
        <is>
          <t>Anthony Silva</t>
        </is>
      </c>
      <c r="C1335" s="9" t="inlineStr">
        <is>
          <t>CLE</t>
        </is>
      </c>
      <c r="D1335" s="9" t="n">
        <v>25</v>
      </c>
      <c r="E1335" s="16" t="inlineStr">
        <is>
          <t>R</t>
        </is>
      </c>
      <c r="F1335" s="16" t="n"/>
      <c r="G1335" s="9" t="n">
        <v>9.435897435897436</v>
      </c>
      <c r="H1335" s="9" t="n">
        <v>9.435897435897436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7" t="n"/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/>
      <c r="Y1335" s="13">
        <f>SUMPRODUCT(M1335:X1335,$M$2:$X$2)*$K1335*$L1335</f>
        <v/>
      </c>
      <c r="Z1335" s="14">
        <f>SUM(M1335:X1335)</f>
        <v/>
      </c>
      <c r="AA1335" s="14">
        <f>IFERROR(IF(UPPER($E1335)="L",SUMPRODUCT(M1335:X1335,$M$3:$X$3,$M$2:$X$2),SUMPRODUCT(M1335:X1335,$M$4:$X$4,$M$2:$X$2))/(Y1335/($K1335*$L1335)),"")</f>
        <v/>
      </c>
      <c r="AB1335" s="18" t="n"/>
    </row>
    <row r="1336">
      <c r="A1336" s="9" t="n">
        <v>805910</v>
      </c>
      <c r="B1336" s="9" t="inlineStr">
        <is>
          <t>Jhoander Irigoyen</t>
        </is>
      </c>
      <c r="C1336" s="9" t="inlineStr">
        <is>
          <t>CHC</t>
        </is>
      </c>
      <c r="D1336" s="9" t="n">
        <v>25</v>
      </c>
      <c r="E1336" s="16" t="inlineStr">
        <is>
          <t>R</t>
        </is>
      </c>
      <c r="F1336" s="16" t="n"/>
      <c r="G1336" s="9" t="n">
        <v>9.723076923076922</v>
      </c>
      <c r="H1336" s="9" t="n">
        <v>9.723076923076922</v>
      </c>
      <c r="I1336" s="9" t="inlineStr">
        <is>
          <t>Depth (no MLB PA)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7" t="n"/>
      <c r="N1336" s="17" t="n"/>
      <c r="O1336" s="17" t="n"/>
      <c r="P1336" s="17" t="n"/>
      <c r="Q1336" s="17" t="n"/>
      <c r="R1336" s="17" t="n"/>
      <c r="S1336" s="17" t="n"/>
      <c r="T1336" s="17" t="n"/>
      <c r="U1336" s="17" t="n"/>
      <c r="V1336" s="17" t="n"/>
      <c r="W1336" s="17" t="n"/>
      <c r="X1336" s="17" t="n"/>
      <c r="Y1336" s="13">
        <f>SUMPRODUCT(M1336:X1336,$M$2:$X$2)*$K1336*$L1336</f>
        <v/>
      </c>
      <c r="Z1336" s="14">
        <f>SUM(M1336:X1336)</f>
        <v/>
      </c>
      <c r="AA1336" s="14">
        <f>IFERROR(IF(UPPER($E1336)="L",SUMPRODUCT(M1336:X1336,$M$3:$X$3,$M$2:$X$2),SUMPRODUCT(M1336:X1336,$M$4:$X$4,$M$2:$X$2))/(Y1336/($K1336*$L1336)),"")</f>
        <v/>
      </c>
      <c r="AB1336" s="18" t="n"/>
    </row>
    <row r="1337">
      <c r="A1337" s="9" t="n">
        <v>656371</v>
      </c>
      <c r="B1337" s="9" t="inlineStr">
        <is>
          <t>Isan Díaz</t>
        </is>
      </c>
      <c r="C1337" s="9" t="inlineStr">
        <is>
          <t>DET</t>
        </is>
      </c>
      <c r="D1337" s="9" t="n">
        <v>31</v>
      </c>
      <c r="E1337" s="16" t="inlineStr">
        <is>
          <t>L</t>
        </is>
      </c>
      <c r="F1337" s="16" t="n"/>
      <c r="G1337" s="9" t="n">
        <v>26</v>
      </c>
      <c r="H1337" s="9" t="n">
        <v>26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7" t="n"/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/>
      <c r="Y1337" s="13">
        <f>SUMPRODUCT(M1337:X1337,$M$2:$X$2)*$K1337*$L1337</f>
        <v/>
      </c>
      <c r="Z1337" s="14">
        <f>SUM(M1337:X1337)</f>
        <v/>
      </c>
      <c r="AA1337" s="14">
        <f>IFERROR(IF(UPPER($E1337)="L",SUMPRODUCT(M1337:X1337,$M$3:$X$3,$M$2:$X$2),SUMPRODUCT(M1337:X1337,$M$4:$X$4,$M$2:$X$2))/(Y1337/($K1337*$L1337)),"")</f>
        <v/>
      </c>
      <c r="AB1337" s="18" t="n"/>
    </row>
    <row r="1338">
      <c r="A1338" s="9" t="n">
        <v>820942</v>
      </c>
      <c r="B1338" s="9" t="inlineStr">
        <is>
          <t>Jesmaylin Arias</t>
        </is>
      </c>
      <c r="C1338" s="9" t="inlineStr">
        <is>
          <t>SD</t>
        </is>
      </c>
      <c r="D1338" s="9" t="n">
        <v>25</v>
      </c>
      <c r="E1338" s="16" t="inlineStr">
        <is>
          <t>L</t>
        </is>
      </c>
      <c r="F1338" s="16" t="n"/>
      <c r="G1338" s="9" t="n">
        <v>9.723076923076922</v>
      </c>
      <c r="H1338" s="9" t="n">
        <v>9.723076923076922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7" t="n"/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/>
      <c r="Y1338" s="13">
        <f>SUMPRODUCT(M1338:X1338,$M$2:$X$2)*$K1338*$L1338</f>
        <v/>
      </c>
      <c r="Z1338" s="14">
        <f>SUM(M1338:X1338)</f>
        <v/>
      </c>
      <c r="AA1338" s="14">
        <f>IFERROR(IF(UPPER($E1338)="L",SUMPRODUCT(M1338:X1338,$M$3:$X$3,$M$2:$X$2),SUMPRODUCT(M1338:X1338,$M$4:$X$4,$M$2:$X$2))/(Y1338/($K1338*$L1338)),"")</f>
        <v/>
      </c>
      <c r="AB1338" s="18" t="n"/>
    </row>
    <row r="1339">
      <c r="A1339" s="9" t="n">
        <v>806191</v>
      </c>
      <c r="B1339" s="9" t="inlineStr">
        <is>
          <t>Tai Peete</t>
        </is>
      </c>
      <c r="C1339" s="9" t="inlineStr">
        <is>
          <t>STL</t>
        </is>
      </c>
      <c r="D1339" s="9" t="n">
        <v>25</v>
      </c>
      <c r="E1339" s="16" t="inlineStr">
        <is>
          <t>L</t>
        </is>
      </c>
      <c r="F1339" s="16" t="n"/>
      <c r="G1339" s="9" t="n">
        <v>35.8974358974359</v>
      </c>
      <c r="H1339" s="9" t="n">
        <v>35.8974358974359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7" t="n"/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/>
      <c r="Y1339" s="13">
        <f>SUMPRODUCT(M1339:X1339,$M$2:$X$2)*$K1339*$L1339</f>
        <v/>
      </c>
      <c r="Z1339" s="14">
        <f>SUM(M1339:X1339)</f>
        <v/>
      </c>
      <c r="AA1339" s="14">
        <f>IFERROR(IF(UPPER($E1339)="L",SUMPRODUCT(M1339:X1339,$M$3:$X$3,$M$2:$X$2),SUMPRODUCT(M1339:X1339,$M$4:$X$4,$M$2:$X$2))/(Y1339/($K1339*$L1339)),"")</f>
        <v/>
      </c>
      <c r="AB1339" s="18" t="n"/>
    </row>
    <row r="1340">
      <c r="A1340" s="9" t="n">
        <v>595956</v>
      </c>
      <c r="B1340" s="9" t="inlineStr">
        <is>
          <t>Cam Gallagher</t>
        </is>
      </c>
      <c r="C1340" s="9" t="inlineStr">
        <is>
          <t>CLE</t>
        </is>
      </c>
      <c r="D1340" s="9" t="n">
        <v>34</v>
      </c>
      <c r="E1340" s="16" t="inlineStr">
        <is>
          <t>R</t>
        </is>
      </c>
      <c r="F1340" s="16" t="n"/>
      <c r="G1340" s="9" t="n">
        <v>149</v>
      </c>
      <c r="H1340" s="9" t="n">
        <v>196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7" t="n"/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/>
      <c r="Y1340" s="13">
        <f>SUMPRODUCT(M1340:X1340,$M$2:$X$2)*$K1340*$L1340</f>
        <v/>
      </c>
      <c r="Z1340" s="14">
        <f>SUM(M1340:X1340)</f>
        <v/>
      </c>
      <c r="AA1340" s="14">
        <f>IFERROR(IF(UPPER($E1340)="L",SUMPRODUCT(M1340:X1340,$M$3:$X$3,$M$2:$X$2),SUMPRODUCT(M1340:X1340,$M$4:$X$4,$M$2:$X$2))/(Y1340/($K1340*$L1340)),"")</f>
        <v/>
      </c>
      <c r="AB1340" s="18" t="n"/>
    </row>
    <row r="1341">
      <c r="A1341" s="9" t="n">
        <v>669432</v>
      </c>
      <c r="B1341" s="9" t="inlineStr">
        <is>
          <t>Trevor Rogers</t>
        </is>
      </c>
      <c r="C1341" s="9" t="inlineStr">
        <is>
          <t>BAL</t>
        </is>
      </c>
      <c r="D1341" s="9" t="n">
        <v>29</v>
      </c>
      <c r="E1341" s="16" t="inlineStr">
        <is>
          <t>L</t>
        </is>
      </c>
      <c r="F1341" s="16" t="n"/>
      <c r="G1341" s="9" t="n">
        <v>2</v>
      </c>
      <c r="H1341" s="9" t="n">
        <v>2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7" t="n"/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/>
      <c r="Y1341" s="13">
        <f>SUMPRODUCT(M1341:X1341,$M$2:$X$2)*$K1341*$L1341</f>
        <v/>
      </c>
      <c r="Z1341" s="14">
        <f>SUM(M1341:X1341)</f>
        <v/>
      </c>
      <c r="AA1341" s="14">
        <f>IFERROR(IF(UPPER($E1341)="L",SUMPRODUCT(M1341:X1341,$M$3:$X$3,$M$2:$X$2),SUMPRODUCT(M1341:X1341,$M$4:$X$4,$M$2:$X$2))/(Y1341/($K1341*$L1341)),"")</f>
        <v/>
      </c>
      <c r="AB1341" s="18" t="n"/>
    </row>
    <row r="1342">
      <c r="A1342" s="9" t="n">
        <v>694185</v>
      </c>
      <c r="B1342" s="9" t="inlineStr">
        <is>
          <t>Danny De Andrade</t>
        </is>
      </c>
      <c r="C1342" s="9" t="inlineStr">
        <is>
          <t>MIN</t>
        </is>
      </c>
      <c r="D1342" s="9" t="n">
        <v>25</v>
      </c>
      <c r="E1342" s="16" t="inlineStr">
        <is>
          <t>R</t>
        </is>
      </c>
      <c r="F1342" s="16" t="n"/>
      <c r="G1342" s="9" t="n">
        <v>9.692307692307692</v>
      </c>
      <c r="H1342" s="9" t="n">
        <v>9.692307692307692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7" t="n"/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/>
      <c r="Y1342" s="13">
        <f>SUMPRODUCT(M1342:X1342,$M$2:$X$2)*$K1342*$L1342</f>
        <v/>
      </c>
      <c r="Z1342" s="14">
        <f>SUM(M1342:X1342)</f>
        <v/>
      </c>
      <c r="AA1342" s="14">
        <f>IFERROR(IF(UPPER($E1342)="L",SUMPRODUCT(M1342:X1342,$M$3:$X$3,$M$2:$X$2),SUMPRODUCT(M1342:X1342,$M$4:$X$4,$M$2:$X$2))/(Y1342/($K1342*$L1342)),"")</f>
        <v/>
      </c>
      <c r="AB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25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Opening Day</t>
        </is>
      </c>
      <c r="K1343" s="11">
        <f>IFERROR(INDEX(Roles!$B$17:$B$20,MATCH(J1343,Roles!$A$17:$A$20,0)),1)</f>
        <v/>
      </c>
      <c r="L1343" s="17" t="n">
        <v>1</v>
      </c>
      <c r="M1343" s="17" t="n"/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/>
      <c r="Y1343" s="13">
        <f>SUMPRODUCT(M1343:X1343,$M$2:$X$2)*$K1343*$L1343</f>
        <v/>
      </c>
      <c r="Z1343" s="14">
        <f>SUM(M1343:X1343)</f>
        <v/>
      </c>
      <c r="AA1343" s="14">
        <f>IFERROR(IF(UPPER($E1343)="L",SUMPRODUCT(M1343:X1343,$M$3:$X$3,$M$2:$X$2),SUMPRODUCT(M1343:X1343,$M$4:$X$4,$M$2:$X$2))/(Y1343/($K1343*$L1343)),"")</f>
        <v/>
      </c>
      <c r="AB1343" s="18" t="n"/>
    </row>
    <row r="1344">
      <c r="A1344" s="9" t="n">
        <v>829045</v>
      </c>
      <c r="B1344" s="9" t="inlineStr">
        <is>
          <t>Yorger Bautista</t>
        </is>
      </c>
      <c r="C1344" s="9" t="inlineStr">
        <is>
          <t>SEA</t>
        </is>
      </c>
      <c r="D1344" s="9" t="n">
        <v>25</v>
      </c>
      <c r="E1344" s="16" t="inlineStr">
        <is>
          <t>L</t>
        </is>
      </c>
      <c r="F1344" s="16" t="n"/>
      <c r="G1344" s="9" t="n">
        <v>11.81538461538462</v>
      </c>
      <c r="H1344" s="9" t="n">
        <v>11.81538461538462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7" t="n"/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/>
      <c r="Y1344" s="13">
        <f>SUMPRODUCT(M1344:X1344,$M$2:$X$2)*$K1344*$L1344</f>
        <v/>
      </c>
      <c r="Z1344" s="14">
        <f>SUM(M1344:X1344)</f>
        <v/>
      </c>
      <c r="AA1344" s="14">
        <f>IFERROR(IF(UPPER($E1344)="L",SUMPRODUCT(M1344:X1344,$M$3:$X$3,$M$2:$X$2),SUMPRODUCT(M1344:X1344,$M$4:$X$4,$M$2:$X$2))/(Y1344/($K1344*$L1344)),"")</f>
        <v/>
      </c>
      <c r="AB1344" s="18" t="n"/>
    </row>
    <row r="1345">
      <c r="A1345" s="9" t="n">
        <v>835211</v>
      </c>
      <c r="B1345" s="9" t="inlineStr">
        <is>
          <t>Alejandro Garza</t>
        </is>
      </c>
      <c r="C1345" s="9" t="inlineStr">
        <is>
          <t>CLE</t>
        </is>
      </c>
      <c r="D1345" s="9" t="n">
        <v>25</v>
      </c>
      <c r="E1345" s="16" t="inlineStr">
        <is>
          <t>R</t>
        </is>
      </c>
      <c r="F1345" s="16" t="n"/>
      <c r="G1345" s="9" t="n">
        <v>9.969230769230769</v>
      </c>
      <c r="H1345" s="9" t="n">
        <v>9.969230769230769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7" t="n"/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/>
      <c r="Y1345" s="13">
        <f>SUMPRODUCT(M1345:X1345,$M$2:$X$2)*$K1345*$L1345</f>
        <v/>
      </c>
      <c r="Z1345" s="14">
        <f>SUM(M1345:X1345)</f>
        <v/>
      </c>
      <c r="AA1345" s="14">
        <f>IFERROR(IF(UPPER($E1345)="L",SUMPRODUCT(M1345:X1345,$M$3:$X$3,$M$2:$X$2),SUMPRODUCT(M1345:X1345,$M$4:$X$4,$M$2:$X$2))/(Y1345/($K1345*$L1345)),"")</f>
        <v/>
      </c>
      <c r="AB1345" s="18" t="n"/>
    </row>
    <row r="1346">
      <c r="A1346" s="9" t="n">
        <v>814791</v>
      </c>
      <c r="B1346" s="9" t="inlineStr">
        <is>
          <t>Jared Sundstrom</t>
        </is>
      </c>
      <c r="C1346" s="9" t="inlineStr">
        <is>
          <t>SEA</t>
        </is>
      </c>
      <c r="D1346" s="9" t="n">
        <v>25</v>
      </c>
      <c r="E1346" s="16" t="inlineStr">
        <is>
          <t>R</t>
        </is>
      </c>
      <c r="F1346" s="16" t="n"/>
      <c r="G1346" s="9" t="n">
        <v>120.6153846153846</v>
      </c>
      <c r="H1346" s="9" t="n">
        <v>120.6153846153846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7" t="n"/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/>
      <c r="Y1346" s="13">
        <f>SUMPRODUCT(M1346:X1346,$M$2:$X$2)*$K1346*$L1346</f>
        <v/>
      </c>
      <c r="Z1346" s="14">
        <f>SUM(M1346:X1346)</f>
        <v/>
      </c>
      <c r="AA1346" s="14">
        <f>IFERROR(IF(UPPER($E1346)="L",SUMPRODUCT(M1346:X1346,$M$3:$X$3,$M$2:$X$2),SUMPRODUCT(M1346:X1346,$M$4:$X$4,$M$2:$X$2))/(Y1346/($K1346*$L1346)),"")</f>
        <v/>
      </c>
      <c r="AB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7" t="n"/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/>
      <c r="Y1347" s="13">
        <f>SUMPRODUCT(M1347:X1347,$M$2:$X$2)*$K1347*$L1347</f>
        <v/>
      </c>
      <c r="Z1347" s="14">
        <f>SUM(M1347:X1347)</f>
        <v/>
      </c>
      <c r="AA1347" s="14">
        <f>IFERROR(IF(UPPER($E1347)="L",SUMPRODUCT(M1347:X1347,$M$3:$X$3,$M$2:$X$2),SUMPRODUCT(M1347:X1347,$M$4:$X$4,$M$2:$X$2))/(Y1347/($K1347*$L1347)),"")</f>
        <v/>
      </c>
      <c r="AB1347" s="18" t="n"/>
    </row>
    <row r="1348">
      <c r="A1348" s="9" t="n">
        <v>804871</v>
      </c>
      <c r="B1348" s="9" t="inlineStr">
        <is>
          <t>Brooks Bryan</t>
        </is>
      </c>
      <c r="C1348" s="9" t="inlineStr">
        <is>
          <t>KC</t>
        </is>
      </c>
      <c r="D1348" s="9" t="n">
        <v>25</v>
      </c>
      <c r="E1348" s="16" t="inlineStr">
        <is>
          <t>L</t>
        </is>
      </c>
      <c r="F1348" s="16" t="n"/>
      <c r="G1348" s="9" t="n">
        <v>16.61538461538461</v>
      </c>
      <c r="H1348" s="9" t="n">
        <v>16.61538461538461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7" t="n"/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/>
      <c r="Y1348" s="13">
        <f>SUMPRODUCT(M1348:X1348,$M$2:$X$2)*$K1348*$L1348</f>
        <v/>
      </c>
      <c r="Z1348" s="14">
        <f>SUM(M1348:X1348)</f>
        <v/>
      </c>
      <c r="AA1348" s="14">
        <f>IFERROR(IF(UPPER($E1348)="L",SUMPRODUCT(M1348:X1348,$M$3:$X$3,$M$2:$X$2),SUMPRODUCT(M1348:X1348,$M$4:$X$4,$M$2:$X$2))/(Y1348/($K1348*$L1348)),"")</f>
        <v/>
      </c>
      <c r="AB1348" s="18" t="n"/>
    </row>
    <row r="1349">
      <c r="A1349" s="9" t="n">
        <v>814545</v>
      </c>
      <c r="B1349" s="9" t="inlineStr">
        <is>
          <t>Jose Perez</t>
        </is>
      </c>
      <c r="C1349" s="9" t="inlineStr">
        <is>
          <t>BAL</t>
        </is>
      </c>
      <c r="D1349" s="9" t="n">
        <v>25</v>
      </c>
      <c r="E1349" s="16" t="inlineStr">
        <is>
          <t>L</t>
        </is>
      </c>
      <c r="F1349" s="16" t="n"/>
      <c r="G1349" s="9" t="n">
        <v>24.61538461538462</v>
      </c>
      <c r="H1349" s="9" t="n">
        <v>24.61538461538462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7" t="n"/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/>
      <c r="Y1349" s="13">
        <f>SUMPRODUCT(M1349:X1349,$M$2:$X$2)*$K1349*$L1349</f>
        <v/>
      </c>
      <c r="Z1349" s="14">
        <f>SUM(M1349:X1349)</f>
        <v/>
      </c>
      <c r="AA1349" s="14">
        <f>IFERROR(IF(UPPER($E1349)="L",SUMPRODUCT(M1349:X1349,$M$3:$X$3,$M$2:$X$2),SUMPRODUCT(M1349:X1349,$M$4:$X$4,$M$2:$X$2))/(Y1349/($K1349*$L1349)),"")</f>
        <v/>
      </c>
      <c r="AB1349" s="18" t="n"/>
    </row>
    <row r="1350">
      <c r="A1350" s="9" t="n">
        <v>814435</v>
      </c>
      <c r="B1350" s="9" t="inlineStr">
        <is>
          <t>Jacob Sharp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10.05128205128205</v>
      </c>
      <c r="H1350" s="9" t="n">
        <v>10.05128205128205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7" t="n"/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/>
      <c r="Y1350" s="13">
        <f>SUMPRODUCT(M1350:X1350,$M$2:$X$2)*$K1350*$L1350</f>
        <v/>
      </c>
      <c r="Z1350" s="14">
        <f>SUM(M1350:X1350)</f>
        <v/>
      </c>
      <c r="AA1350" s="14">
        <f>IFERROR(IF(UPPER($E1350)="L",SUMPRODUCT(M1350:X1350,$M$3:$X$3,$M$2:$X$2),SUMPRODUCT(M1350:X1350,$M$4:$X$4,$M$2:$X$2))/(Y1350/($K1350*$L1350)),"")</f>
        <v/>
      </c>
      <c r="AB1350" s="18" t="n"/>
    </row>
    <row r="1351">
      <c r="A1351" s="9" t="n">
        <v>703924</v>
      </c>
      <c r="B1351" s="9" t="inlineStr">
        <is>
          <t>David Beckles</t>
        </is>
      </c>
      <c r="C1351" s="9" t="inlineStr">
        <is>
          <t>TOR</t>
        </is>
      </c>
      <c r="D1351" s="9" t="n">
        <v>25</v>
      </c>
      <c r="E1351" s="16" t="inlineStr">
        <is>
          <t>R</t>
        </is>
      </c>
      <c r="F1351" s="16" t="n"/>
      <c r="G1351" s="9" t="n">
        <v>11.93846153846154</v>
      </c>
      <c r="H1351" s="9" t="n">
        <v>11.93846153846154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7" t="n"/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/>
      <c r="Y1351" s="13">
        <f>SUMPRODUCT(M1351:X1351,$M$2:$X$2)*$K1351*$L1351</f>
        <v/>
      </c>
      <c r="Z1351" s="14">
        <f>SUM(M1351:X1351)</f>
        <v/>
      </c>
      <c r="AA1351" s="14">
        <f>IFERROR(IF(UPPER($E1351)="L",SUMPRODUCT(M1351:X1351,$M$3:$X$3,$M$2:$X$2),SUMPRODUCT(M1351:X1351,$M$4:$X$4,$M$2:$X$2))/(Y1351/($K1351*$L1351)),"")</f>
        <v/>
      </c>
      <c r="AB1351" s="18" t="n"/>
    </row>
    <row r="1352">
      <c r="A1352" s="9" t="n">
        <v>815535</v>
      </c>
      <c r="B1352" s="9" t="inlineStr">
        <is>
          <t>Eddie Rynders</t>
        </is>
      </c>
      <c r="C1352" s="9" t="inlineStr">
        <is>
          <t>PIT</t>
        </is>
      </c>
      <c r="D1352" s="9" t="n">
        <v>25</v>
      </c>
      <c r="E1352" s="16" t="inlineStr">
        <is>
          <t>L</t>
        </is>
      </c>
      <c r="F1352" s="16" t="n"/>
      <c r="G1352" s="9" t="n">
        <v>26.58461538461538</v>
      </c>
      <c r="H1352" s="9" t="n">
        <v>26.58461538461538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7" t="n"/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/>
      <c r="Y1352" s="13">
        <f>SUMPRODUCT(M1352:X1352,$M$2:$X$2)*$K1352*$L1352</f>
        <v/>
      </c>
      <c r="Z1352" s="14">
        <f>SUM(M1352:X1352)</f>
        <v/>
      </c>
      <c r="AA1352" s="14">
        <f>IFERROR(IF(UPPER($E1352)="L",SUMPRODUCT(M1352:X1352,$M$3:$X$3,$M$2:$X$2),SUMPRODUCT(M1352:X1352,$M$4:$X$4,$M$2:$X$2))/(Y1352/($K1352*$L1352)),"")</f>
        <v/>
      </c>
      <c r="AB1352" s="18" t="n"/>
    </row>
    <row r="1353">
      <c r="A1353" s="9" t="n">
        <v>808382</v>
      </c>
      <c r="B1353" s="9" t="inlineStr">
        <is>
          <t>D'Angelo Tejada</t>
        </is>
      </c>
      <c r="C1353" s="9" t="inlineStr">
        <is>
          <t>CWS</t>
        </is>
      </c>
      <c r="D1353" s="9" t="n">
        <v>25</v>
      </c>
      <c r="E1353" s="16" t="inlineStr">
        <is>
          <t>R</t>
        </is>
      </c>
      <c r="F1353" s="16" t="n"/>
      <c r="G1353" s="9" t="n">
        <v>11.93846153846154</v>
      </c>
      <c r="H1353" s="9" t="n">
        <v>11.93846153846154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7" t="n"/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/>
      <c r="Y1353" s="13">
        <f>SUMPRODUCT(M1353:X1353,$M$2:$X$2)*$K1353*$L1353</f>
        <v/>
      </c>
      <c r="Z1353" s="14">
        <f>SUM(M1353:X1353)</f>
        <v/>
      </c>
      <c r="AA1353" s="14">
        <f>IFERROR(IF(UPPER($E1353)="L",SUMPRODUCT(M1353:X1353,$M$3:$X$3,$M$2:$X$2),SUMPRODUCT(M1353:X1353,$M$4:$X$4,$M$2:$X$2))/(Y1353/($K1353*$L1353)),"")</f>
        <v/>
      </c>
      <c r="AB1353" s="18" t="n"/>
    </row>
    <row r="1354">
      <c r="A1354" s="9" t="n">
        <v>682641</v>
      </c>
      <c r="B1354" s="9" t="inlineStr">
        <is>
          <t>Luis Matos</t>
        </is>
      </c>
      <c r="C1354" s="9" t="inlineStr">
        <is>
          <t>SF</t>
        </is>
      </c>
      <c r="D1354" s="9" t="n">
        <v>25</v>
      </c>
      <c r="E1354" s="16" t="inlineStr">
        <is>
          <t>R</t>
        </is>
      </c>
      <c r="F1354" s="16" t="n"/>
      <c r="G1354" s="9" t="n">
        <v>21</v>
      </c>
      <c r="H1354" s="9" t="n">
        <v>614</v>
      </c>
      <c r="I1354" s="9" t="inlineStr">
        <is>
          <t>Bench Bat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7" t="n"/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/>
      <c r="Y1354" s="13">
        <f>SUMPRODUCT(M1354:X1354,$M$2:$X$2)*$K1354*$L1354</f>
        <v/>
      </c>
      <c r="Z1354" s="14">
        <f>SUM(M1354:X1354)</f>
        <v/>
      </c>
      <c r="AA1354" s="14">
        <f>IFERROR(IF(UPPER($E1354)="L",SUMPRODUCT(M1354:X1354,$M$3:$X$3,$M$2:$X$2),SUMPRODUCT(M1354:X1354,$M$4:$X$4,$M$2:$X$2))/(Y1354/($K1354*$L1354)),"")</f>
        <v/>
      </c>
      <c r="AB1354" s="18" t="n"/>
    </row>
    <row r="1355">
      <c r="A1355" s="9" t="n">
        <v>683149</v>
      </c>
      <c r="B1355" s="9" t="inlineStr">
        <is>
          <t>Julian Brock</t>
        </is>
      </c>
      <c r="C1355" s="9" t="inlineStr">
        <is>
          <t>TEX</t>
        </is>
      </c>
      <c r="D1355" s="9" t="n">
        <v>25</v>
      </c>
      <c r="E1355" s="16" t="inlineStr">
        <is>
          <t>R</t>
        </is>
      </c>
      <c r="F1355" s="16" t="n"/>
      <c r="G1355" s="9" t="n">
        <v>40.61538461538462</v>
      </c>
      <c r="H1355" s="9" t="n">
        <v>40.61538461538462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7" t="n"/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/>
      <c r="Y1355" s="13">
        <f>SUMPRODUCT(M1355:X1355,$M$2:$X$2)*$K1355*$L1355</f>
        <v/>
      </c>
      <c r="Z1355" s="14">
        <f>SUM(M1355:X1355)</f>
        <v/>
      </c>
      <c r="AA1355" s="14">
        <f>IFERROR(IF(UPPER($E1355)="L",SUMPRODUCT(M1355:X1355,$M$3:$X$3,$M$2:$X$2),SUMPRODUCT(M1355:X1355,$M$4:$X$4,$M$2:$X$2))/(Y1355/($K1355*$L1355)),"")</f>
        <v/>
      </c>
      <c r="AB1355" s="18" t="n"/>
    </row>
    <row r="1356">
      <c r="A1356" s="9" t="n">
        <v>815096</v>
      </c>
      <c r="B1356" s="9" t="inlineStr">
        <is>
          <t>Jackson Appel</t>
        </is>
      </c>
      <c r="C1356" s="9" t="inlineStr">
        <is>
          <t>CWS</t>
        </is>
      </c>
      <c r="D1356" s="9" t="n">
        <v>25</v>
      </c>
      <c r="E1356" s="16" t="inlineStr">
        <is>
          <t>S</t>
        </is>
      </c>
      <c r="F1356" s="16" t="n"/>
      <c r="G1356" s="9" t="n">
        <v>14.35897435897436</v>
      </c>
      <c r="H1356" s="9" t="n">
        <v>14.35897435897436</v>
      </c>
      <c r="I1356" s="9" t="inlineStr">
        <is>
          <t>Depth (no MLB PA)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7" t="n"/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/>
      <c r="W1356" s="17" t="n"/>
      <c r="X1356" s="17" t="n"/>
      <c r="Y1356" s="13">
        <f>SUMPRODUCT(M1356:X1356,$M$2:$X$2)*$K1356*$L1356</f>
        <v/>
      </c>
      <c r="Z1356" s="14">
        <f>SUM(M1356:X1356)</f>
        <v/>
      </c>
      <c r="AA1356" s="14">
        <f>IFERROR(IF(UPPER($E1356)="L",SUMPRODUCT(M1356:X1356,$M$3:$X$3,$M$2:$X$2),SUMPRODUCT(M1356:X1356,$M$4:$X$4,$M$2:$X$2))/(Y1356/($K1356*$L1356)),"")</f>
        <v/>
      </c>
      <c r="AB1356" s="18" t="n"/>
    </row>
    <row r="1357">
      <c r="A1357" s="9" t="n">
        <v>703861</v>
      </c>
      <c r="B1357" s="9" t="inlineStr">
        <is>
          <t>Victor Ortega</t>
        </is>
      </c>
      <c r="C1357" s="9" t="inlineStr">
        <is>
          <t>MIA</t>
        </is>
      </c>
      <c r="D1357" s="9" t="n">
        <v>25</v>
      </c>
      <c r="E1357" s="16" t="inlineStr">
        <is>
          <t>L</t>
        </is>
      </c>
      <c r="F1357" s="16" t="n"/>
      <c r="G1357" s="9" t="n">
        <v>9.846153846153848</v>
      </c>
      <c r="H1357" s="9" t="n">
        <v>9.846153846153848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7" t="n"/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/>
      <c r="Y1357" s="13">
        <f>SUMPRODUCT(M1357:X1357,$M$2:$X$2)*$K1357*$L1357</f>
        <v/>
      </c>
      <c r="Z1357" s="14">
        <f>SUM(M1357:X1357)</f>
        <v/>
      </c>
      <c r="AA1357" s="14">
        <f>IFERROR(IF(UPPER($E1357)="L",SUMPRODUCT(M1357:X1357,$M$3:$X$3,$M$2:$X$2),SUMPRODUCT(M1357:X1357,$M$4:$X$4,$M$2:$X$2))/(Y1357/($K1357*$L1357)),"")</f>
        <v/>
      </c>
      <c r="AB1357" s="18" t="n"/>
    </row>
    <row r="1358">
      <c r="A1358" s="9" t="n">
        <v>694191</v>
      </c>
      <c r="B1358" s="9" t="inlineStr">
        <is>
          <t>Pedro Pineda</t>
        </is>
      </c>
      <c r="C1358" s="9" t="inlineStr">
        <is>
          <t>OAK</t>
        </is>
      </c>
      <c r="D1358" s="9" t="n">
        <v>25</v>
      </c>
      <c r="E1358" s="16" t="inlineStr">
        <is>
          <t>R</t>
        </is>
      </c>
      <c r="F1358" s="16" t="n"/>
      <c r="G1358" s="9" t="n">
        <v>10.05128205128205</v>
      </c>
      <c r="H1358" s="9" t="n">
        <v>10.05128205128205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7" t="n"/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/>
      <c r="Y1358" s="13">
        <f>SUMPRODUCT(M1358:X1358,$M$2:$X$2)*$K1358*$L1358</f>
        <v/>
      </c>
      <c r="Z1358" s="14">
        <f>SUM(M1358:X1358)</f>
        <v/>
      </c>
      <c r="AA1358" s="14">
        <f>IFERROR(IF(UPPER($E1358)="L",SUMPRODUCT(M1358:X1358,$M$3:$X$3,$M$2:$X$2),SUMPRODUCT(M1358:X1358,$M$4:$X$4,$M$2:$X$2))/(Y1358/($K1358*$L1358)),"")</f>
        <v/>
      </c>
      <c r="AB1358" s="18" t="n"/>
    </row>
    <row r="1359">
      <c r="A1359" s="9" t="n">
        <v>691416</v>
      </c>
      <c r="B1359" s="9" t="inlineStr">
        <is>
          <t>Esteban González</t>
        </is>
      </c>
      <c r="C1359" s="9" t="inlineStr">
        <is>
          <t>CLE</t>
        </is>
      </c>
      <c r="D1359" s="9" t="n">
        <v>25</v>
      </c>
      <c r="E1359" s="16" t="inlineStr">
        <is>
          <t>L</t>
        </is>
      </c>
      <c r="F1359" s="16" t="n"/>
      <c r="G1359" s="9" t="n">
        <v>63.7948717948718</v>
      </c>
      <c r="H1359" s="9" t="n">
        <v>63.7948717948718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7" t="n"/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/>
      <c r="Y1359" s="13">
        <f>SUMPRODUCT(M1359:X1359,$M$2:$X$2)*$K1359*$L1359</f>
        <v/>
      </c>
      <c r="Z1359" s="14">
        <f>SUM(M1359:X1359)</f>
        <v/>
      </c>
      <c r="AA1359" s="14">
        <f>IFERROR(IF(UPPER($E1359)="L",SUMPRODUCT(M1359:X1359,$M$3:$X$3,$M$2:$X$2),SUMPRODUCT(M1359:X1359,$M$4:$X$4,$M$2:$X$2))/(Y1359/($K1359*$L1359)),"")</f>
        <v/>
      </c>
      <c r="AB1359" s="18" t="n"/>
    </row>
    <row r="1360">
      <c r="A1360" s="9" t="n">
        <v>807300</v>
      </c>
      <c r="B1360" s="9" t="inlineStr">
        <is>
          <t>Chris Rembert</t>
        </is>
      </c>
      <c r="C1360" s="9" t="inlineStr">
        <is>
          <t>PIT</t>
        </is>
      </c>
      <c r="D1360" s="9" t="n">
        <v>25</v>
      </c>
      <c r="E1360" s="16" t="inlineStr">
        <is>
          <t>R</t>
        </is>
      </c>
      <c r="F1360" s="16" t="n"/>
      <c r="G1360" s="9" t="n">
        <v>9.969230769230769</v>
      </c>
      <c r="H1360" s="9" t="n">
        <v>9.969230769230769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7" t="n"/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/>
      <c r="Y1360" s="13">
        <f>SUMPRODUCT(M1360:X1360,$M$2:$X$2)*$K1360*$L1360</f>
        <v/>
      </c>
      <c r="Z1360" s="14">
        <f>SUM(M1360:X1360)</f>
        <v/>
      </c>
      <c r="AA1360" s="14">
        <f>IFERROR(IF(UPPER($E1360)="L",SUMPRODUCT(M1360:X1360,$M$3:$X$3,$M$2:$X$2),SUMPRODUCT(M1360:X1360,$M$4:$X$4,$M$2:$X$2))/(Y1360/($K1360*$L1360)),"")</f>
        <v/>
      </c>
      <c r="AB1360" s="18" t="n"/>
    </row>
    <row r="1361">
      <c r="A1361" s="9" t="n">
        <v>807083</v>
      </c>
      <c r="B1361" s="9" t="inlineStr">
        <is>
          <t>Nathan Flewelling</t>
        </is>
      </c>
      <c r="C1361" s="9" t="inlineStr">
        <is>
          <t>TB</t>
        </is>
      </c>
      <c r="D1361" s="9" t="n">
        <v>25</v>
      </c>
      <c r="E1361" s="16" t="inlineStr">
        <is>
          <t>L</t>
        </is>
      </c>
      <c r="F1361" s="16" t="n"/>
      <c r="G1361" s="9" t="n">
        <v>97.23076923076924</v>
      </c>
      <c r="H1361" s="9" t="n">
        <v>97.23076923076924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7" t="n"/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/>
      <c r="Y1361" s="13">
        <f>SUMPRODUCT(M1361:X1361,$M$2:$X$2)*$K1361*$L1361</f>
        <v/>
      </c>
      <c r="Z1361" s="14">
        <f>SUM(M1361:X1361)</f>
        <v/>
      </c>
      <c r="AA1361" s="14">
        <f>IFERROR(IF(UPPER($E1361)="L",SUMPRODUCT(M1361:X1361,$M$3:$X$3,$M$2:$X$2),SUMPRODUCT(M1361:X1361,$M$4:$X$4,$M$2:$X$2))/(Y1361/($K1361*$L1361)),"")</f>
        <v/>
      </c>
      <c r="AB1361" s="18" t="n"/>
    </row>
    <row r="1362">
      <c r="A1362" s="9" t="n">
        <v>808027</v>
      </c>
      <c r="B1362" s="9" t="inlineStr">
        <is>
          <t>Juan Sierra</t>
        </is>
      </c>
      <c r="C1362" s="9" t="inlineStr">
        <is>
          <t>HOU</t>
        </is>
      </c>
      <c r="D1362" s="9" t="n">
        <v>25</v>
      </c>
      <c r="E1362" s="16" t="inlineStr">
        <is>
          <t>R</t>
        </is>
      </c>
      <c r="F1362" s="16" t="n"/>
      <c r="G1362" s="9" t="n">
        <v>31.87692307692308</v>
      </c>
      <c r="H1362" s="9" t="n">
        <v>31.87692307692308</v>
      </c>
      <c r="I1362" s="9" t="inlineStr">
        <is>
          <t>Depth (no MLB PA)</t>
        </is>
      </c>
      <c r="J1362" s="16" t="inlineStr">
        <is>
          <t>Opening Day</t>
        </is>
      </c>
      <c r="K1362" s="11">
        <f>IFERROR(INDEX(Roles!$B$17:$B$20,MATCH(J1362,Roles!$A$17:$A$20,0)),1)</f>
        <v/>
      </c>
      <c r="L1362" s="17" t="n">
        <v>1</v>
      </c>
      <c r="M1362" s="17" t="n"/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/>
      <c r="Y1362" s="13">
        <f>SUMPRODUCT(M1362:X1362,$M$2:$X$2)*$K1362*$L1362</f>
        <v/>
      </c>
      <c r="Z1362" s="14">
        <f>SUM(M1362:X1362)</f>
        <v/>
      </c>
      <c r="AA1362" s="14">
        <f>IFERROR(IF(UPPER($E1362)="L",SUMPRODUCT(M1362:X1362,$M$3:$X$3,$M$2:$X$2),SUMPRODUCT(M1362:X1362,$M$4:$X$4,$M$2:$X$2))/(Y1362/($K1362*$L1362)),"")</f>
        <v/>
      </c>
      <c r="AB1362" s="18" t="n"/>
    </row>
    <row r="1363">
      <c r="A1363" s="9" t="n">
        <v>641531</v>
      </c>
      <c r="B1363" s="9" t="inlineStr">
        <is>
          <t>Hunter Dozier</t>
        </is>
      </c>
      <c r="C1363" s="9" t="inlineStr">
        <is>
          <t>KC</t>
        </is>
      </c>
      <c r="D1363" s="9" t="n">
        <v>35</v>
      </c>
      <c r="E1363" s="16" t="inlineStr">
        <is>
          <t>R</t>
        </is>
      </c>
      <c r="F1363" s="16" t="n"/>
      <c r="G1363" s="9" t="n">
        <v>91</v>
      </c>
      <c r="H1363" s="9" t="n">
        <v>591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7" t="n"/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/>
      <c r="Y1363" s="13">
        <f>SUMPRODUCT(M1363:X1363,$M$2:$X$2)*$K1363*$L1363</f>
        <v/>
      </c>
      <c r="Z1363" s="14">
        <f>SUM(M1363:X1363)</f>
        <v/>
      </c>
      <c r="AA1363" s="14">
        <f>IFERROR(IF(UPPER($E1363)="L",SUMPRODUCT(M1363:X1363,$M$3:$X$3,$M$2:$X$2),SUMPRODUCT(M1363:X1363,$M$4:$X$4,$M$2:$X$2))/(Y1363/($K1363*$L1363)),"")</f>
        <v/>
      </c>
      <c r="AB1363" s="18" t="n"/>
    </row>
    <row r="1364">
      <c r="A1364" s="9" t="n">
        <v>702522</v>
      </c>
      <c r="B1364" s="9" t="inlineStr">
        <is>
          <t>Aiden Taurek</t>
        </is>
      </c>
      <c r="C1364" s="9" t="inlineStr">
        <is>
          <t>SEA</t>
        </is>
      </c>
      <c r="D1364" s="9" t="n">
        <v>25</v>
      </c>
      <c r="E1364" s="16" t="inlineStr">
        <is>
          <t>R</t>
        </is>
      </c>
      <c r="F1364" s="16" t="n"/>
      <c r="G1364" s="9" t="n">
        <v>26.87179487179488</v>
      </c>
      <c r="H1364" s="9" t="n">
        <v>26.87179487179488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7" t="n"/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/>
      <c r="Y1364" s="13">
        <f>SUMPRODUCT(M1364:X1364,$M$2:$X$2)*$K1364*$L1364</f>
        <v/>
      </c>
      <c r="Z1364" s="14">
        <f>SUM(M1364:X1364)</f>
        <v/>
      </c>
      <c r="AA1364" s="14">
        <f>IFERROR(IF(UPPER($E1364)="L",SUMPRODUCT(M1364:X1364,$M$3:$X$3,$M$2:$X$2),SUMPRODUCT(M1364:X1364,$M$4:$X$4,$M$2:$X$2))/(Y1364/($K1364*$L1364)),"")</f>
        <v/>
      </c>
      <c r="AB1364" s="18" t="n"/>
    </row>
    <row r="1365">
      <c r="A1365" s="9" t="n">
        <v>701330</v>
      </c>
      <c r="B1365" s="9" t="inlineStr">
        <is>
          <t>Brody Donay</t>
        </is>
      </c>
      <c r="C1365" s="9" t="inlineStr">
        <is>
          <t>TB</t>
        </is>
      </c>
      <c r="D1365" s="9" t="n">
        <v>25</v>
      </c>
      <c r="E1365" s="16" t="inlineStr">
        <is>
          <t>R</t>
        </is>
      </c>
      <c r="F1365" s="16" t="n"/>
      <c r="G1365" s="9" t="n">
        <v>18.33846153846154</v>
      </c>
      <c r="H1365" s="9" t="n">
        <v>18.33846153846154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7" t="n"/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/>
      <c r="Y1365" s="13">
        <f>SUMPRODUCT(M1365:X1365,$M$2:$X$2)*$K1365*$L1365</f>
        <v/>
      </c>
      <c r="Z1365" s="14">
        <f>SUM(M1365:X1365)</f>
        <v/>
      </c>
      <c r="AA1365" s="14">
        <f>IFERROR(IF(UPPER($E1365)="L",SUMPRODUCT(M1365:X1365,$M$3:$X$3,$M$2:$X$2),SUMPRODUCT(M1365:X1365,$M$4:$X$4,$M$2:$X$2))/(Y1365/($K1365*$L1365)),"")</f>
        <v/>
      </c>
      <c r="AB1365" s="18" t="n"/>
    </row>
    <row r="1366">
      <c r="A1366" s="9" t="n">
        <v>805491</v>
      </c>
      <c r="B1366" s="9" t="inlineStr">
        <is>
          <t>Aaron Piasecki</t>
        </is>
      </c>
      <c r="C1366" s="9" t="inlineStr">
        <is>
          <t>HOU</t>
        </is>
      </c>
      <c r="D1366" s="9" t="n">
        <v>25</v>
      </c>
      <c r="E1366" s="16" t="inlineStr">
        <is>
          <t>L</t>
        </is>
      </c>
      <c r="F1366" s="16" t="n"/>
      <c r="G1366" s="9" t="n">
        <v>10.33846153846154</v>
      </c>
      <c r="H1366" s="9" t="n">
        <v>10.33846153846154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7" t="n"/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/>
      <c r="Y1366" s="13">
        <f>SUMPRODUCT(M1366:X1366,$M$2:$X$2)*$K1366*$L1366</f>
        <v/>
      </c>
      <c r="Z1366" s="14">
        <f>SUM(M1366:X1366)</f>
        <v/>
      </c>
      <c r="AA1366" s="14">
        <f>IFERROR(IF(UPPER($E1366)="L",SUMPRODUCT(M1366:X1366,$M$3:$X$3,$M$2:$X$2),SUMPRODUCT(M1366:X1366,$M$4:$X$4,$M$2:$X$2))/(Y1366/($K1366*$L1366)),"")</f>
        <v/>
      </c>
      <c r="AB1366" s="18" t="n"/>
    </row>
    <row r="1367">
      <c r="A1367" s="9" t="n">
        <v>806953</v>
      </c>
      <c r="B1367" s="9" t="inlineStr">
        <is>
          <t>Eduardo Tait</t>
        </is>
      </c>
      <c r="C1367" s="9" t="inlineStr">
        <is>
          <t>MIN</t>
        </is>
      </c>
      <c r="D1367" s="9" t="n">
        <v>25</v>
      </c>
      <c r="E1367" s="16" t="inlineStr">
        <is>
          <t>L</t>
        </is>
      </c>
      <c r="F1367" s="16" t="n"/>
      <c r="G1367" s="9" t="n">
        <v>103.7948717948718</v>
      </c>
      <c r="H1367" s="9" t="n">
        <v>103.7948717948718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7" t="n"/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/>
      <c r="Y1367" s="13">
        <f>SUMPRODUCT(M1367:X1367,$M$2:$X$2)*$K1367*$L1367</f>
        <v/>
      </c>
      <c r="Z1367" s="14">
        <f>SUM(M1367:X1367)</f>
        <v/>
      </c>
      <c r="AA1367" s="14">
        <f>IFERROR(IF(UPPER($E1367)="L",SUMPRODUCT(M1367:X1367,$M$3:$X$3,$M$2:$X$2),SUMPRODUCT(M1367:X1367,$M$4:$X$4,$M$2:$X$2))/(Y1367/($K1367*$L1367)),"")</f>
        <v/>
      </c>
      <c r="AB1367" s="18" t="n"/>
    </row>
    <row r="1368">
      <c r="A1368" s="9" t="n">
        <v>694966</v>
      </c>
      <c r="B1368" s="9" t="inlineStr">
        <is>
          <t>Brayden Taylor</t>
        </is>
      </c>
      <c r="C1368" s="9" t="inlineStr">
        <is>
          <t>MIA</t>
        </is>
      </c>
      <c r="D1368" s="9" t="n">
        <v>25</v>
      </c>
      <c r="E1368" s="16" t="inlineStr">
        <is>
          <t>L</t>
        </is>
      </c>
      <c r="F1368" s="16" t="n"/>
      <c r="G1368" s="9" t="n">
        <v>71.07692307692308</v>
      </c>
      <c r="H1368" s="9" t="n">
        <v>71.07692307692308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7" t="n"/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/>
      <c r="Y1368" s="13">
        <f>SUMPRODUCT(M1368:X1368,$M$2:$X$2)*$K1368*$L1368</f>
        <v/>
      </c>
      <c r="Z1368" s="14">
        <f>SUM(M1368:X1368)</f>
        <v/>
      </c>
      <c r="AA1368" s="14">
        <f>IFERROR(IF(UPPER($E1368)="L",SUMPRODUCT(M1368:X1368,$M$3:$X$3,$M$2:$X$2),SUMPRODUCT(M1368:X1368,$M$4:$X$4,$M$2:$X$2))/(Y1368/($K1368*$L1368)),"")</f>
        <v/>
      </c>
      <c r="AB1368" s="18" t="n"/>
    </row>
    <row r="1369">
      <c r="A1369" s="9" t="n">
        <v>695606</v>
      </c>
      <c r="B1369" s="9" t="inlineStr">
        <is>
          <t>Ty Hodge</t>
        </is>
      </c>
      <c r="C1369" s="9" t="inlineStr">
        <is>
          <t>BOS</t>
        </is>
      </c>
      <c r="D1369" s="9" t="n">
        <v>25</v>
      </c>
      <c r="E1369" s="16" t="inlineStr">
        <is>
          <t>R</t>
        </is>
      </c>
      <c r="F1369" s="16" t="n"/>
      <c r="G1369" s="9" t="n">
        <v>14.52307692307692</v>
      </c>
      <c r="H1369" s="9" t="n">
        <v>14.52307692307692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7" t="n"/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/>
      <c r="Y1369" s="13">
        <f>SUMPRODUCT(M1369:X1369,$M$2:$X$2)*$K1369*$L1369</f>
        <v/>
      </c>
      <c r="Z1369" s="14">
        <f>SUM(M1369:X1369)</f>
        <v/>
      </c>
      <c r="AA1369" s="14">
        <f>IFERROR(IF(UPPER($E1369)="L",SUMPRODUCT(M1369:X1369,$M$3:$X$3,$M$2:$X$2),SUMPRODUCT(M1369:X1369,$M$4:$X$4,$M$2:$X$2))/(Y1369/($K1369*$L1369)),"")</f>
        <v/>
      </c>
      <c r="AB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n"/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7" t="n"/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/>
      <c r="Y1370" s="13">
        <f>SUMPRODUCT(M1370:X1370,$M$2:$X$2)*$K1370*$L1370</f>
        <v/>
      </c>
      <c r="Z1370" s="14">
        <f>SUM(M1370:X1370)</f>
        <v/>
      </c>
      <c r="AA1370" s="14">
        <f>IFERROR(IF(UPPER($E1370)="L",SUMPRODUCT(M1370:X1370,$M$3:$X$3,$M$2:$X$2),SUMPRODUCT(M1370:X1370,$M$4:$X$4,$M$2:$X$2))/(Y1370/($K1370*$L1370)),"")</f>
        <v/>
      </c>
      <c r="AB1370" s="18" t="n"/>
    </row>
    <row r="1371">
      <c r="A1371" s="9" t="n">
        <v>800164</v>
      </c>
      <c r="B1371" s="9" t="inlineStr">
        <is>
          <t>Ronny Ugarte</t>
        </is>
      </c>
      <c r="C1371" s="9" t="inlineStr">
        <is>
          <t>COL</t>
        </is>
      </c>
      <c r="D1371" s="9" t="n">
        <v>25</v>
      </c>
      <c r="E1371" s="16" t="inlineStr">
        <is>
          <t>L</t>
        </is>
      </c>
      <c r="F1371" s="16" t="n"/>
      <c r="G1371" s="9" t="n">
        <v>14.64615384615385</v>
      </c>
      <c r="H1371" s="9" t="n">
        <v>14.64615384615385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7" t="n"/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/>
      <c r="Y1371" s="13">
        <f>SUMPRODUCT(M1371:X1371,$M$2:$X$2)*$K1371*$L1371</f>
        <v/>
      </c>
      <c r="Z1371" s="14">
        <f>SUM(M1371:X1371)</f>
        <v/>
      </c>
      <c r="AA1371" s="14">
        <f>IFERROR(IF(UPPER($E1371)="L",SUMPRODUCT(M1371:X1371,$M$3:$X$3,$M$2:$X$2),SUMPRODUCT(M1371:X1371,$M$4:$X$4,$M$2:$X$2))/(Y1371/($K1371*$L1371)),"")</f>
        <v/>
      </c>
      <c r="AB1371" s="18" t="n"/>
    </row>
    <row r="1372">
      <c r="A1372" s="9" t="n">
        <v>695524</v>
      </c>
      <c r="B1372" s="9" t="inlineStr">
        <is>
          <t>Jacob Cozart</t>
        </is>
      </c>
      <c r="C1372" s="9" t="inlineStr">
        <is>
          <t>LAA</t>
        </is>
      </c>
      <c r="D1372" s="9" t="n">
        <v>25</v>
      </c>
      <c r="E1372" s="16" t="inlineStr">
        <is>
          <t>L</t>
        </is>
      </c>
      <c r="F1372" s="16" t="n"/>
      <c r="G1372" s="9" t="n">
        <v>156.5128205128205</v>
      </c>
      <c r="H1372" s="9" t="n">
        <v>156.5128205128205</v>
      </c>
      <c r="I1372" s="9" t="inlineStr">
        <is>
          <t>Depth (no MLB PA)</t>
        </is>
      </c>
      <c r="J1372" s="16" t="inlineStr">
        <is>
          <t>Opening Day</t>
        </is>
      </c>
      <c r="K1372" s="11">
        <f>IFERROR(INDEX(Roles!$B$17:$B$20,MATCH(J1372,Roles!$A$17:$A$20,0)),1)</f>
        <v/>
      </c>
      <c r="L1372" s="17" t="n">
        <v>1</v>
      </c>
      <c r="M1372" s="17" t="n"/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/>
      <c r="Y1372" s="13">
        <f>SUMPRODUCT(M1372:X1372,$M$2:$X$2)*$K1372*$L1372</f>
        <v/>
      </c>
      <c r="Z1372" s="14">
        <f>SUM(M1372:X1372)</f>
        <v/>
      </c>
      <c r="AA1372" s="14">
        <f>IFERROR(IF(UPPER($E1372)="L",SUMPRODUCT(M1372:X1372,$M$3:$X$3,$M$2:$X$2),SUMPRODUCT(M1372:X1372,$M$4:$X$4,$M$2:$X$2))/(Y1372/($K1372*$L1372)),"")</f>
        <v/>
      </c>
      <c r="AB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7" t="n"/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/>
      <c r="Y1373" s="13">
        <f>SUMPRODUCT(M1373:X1373,$M$2:$X$2)*$K1373*$L1373</f>
        <v/>
      </c>
      <c r="Z1373" s="14">
        <f>SUM(M1373:X1373)</f>
        <v/>
      </c>
      <c r="AA1373" s="14">
        <f>IFERROR(IF(UPPER($E1373)="L",SUMPRODUCT(M1373:X1373,$M$3:$X$3,$M$2:$X$2),SUMPRODUCT(M1373:X1373,$M$4:$X$4,$M$2:$X$2))/(Y1373/($K1373*$L1373)),"")</f>
        <v/>
      </c>
      <c r="AB1373" s="18" t="n"/>
    </row>
    <row r="1374">
      <c r="A1374" s="9" t="n">
        <v>803290</v>
      </c>
      <c r="B1374" s="9" t="inlineStr">
        <is>
          <t>Estevan Moreno</t>
        </is>
      </c>
      <c r="C1374" s="9" t="inlineStr">
        <is>
          <t>SEA</t>
        </is>
      </c>
      <c r="D1374" s="9" t="n">
        <v>25</v>
      </c>
      <c r="E1374" s="16" t="inlineStr">
        <is>
          <t>R</t>
        </is>
      </c>
      <c r="F1374" s="16" t="n"/>
      <c r="G1374" s="9" t="n">
        <v>48.61538461538461</v>
      </c>
      <c r="H1374" s="9" t="n">
        <v>48.61538461538461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7" t="n"/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/>
      <c r="Y1374" s="13">
        <f>SUMPRODUCT(M1374:X1374,$M$2:$X$2)*$K1374*$L1374</f>
        <v/>
      </c>
      <c r="Z1374" s="14">
        <f>SUM(M1374:X1374)</f>
        <v/>
      </c>
      <c r="AA1374" s="14">
        <f>IFERROR(IF(UPPER($E1374)="L",SUMPRODUCT(M1374:X1374,$M$3:$X$3,$M$2:$X$2),SUMPRODUCT(M1374:X1374,$M$4:$X$4,$M$2:$X$2))/(Y1374/($K1374*$L1374)),"")</f>
        <v/>
      </c>
      <c r="AB1374" s="18" t="n"/>
    </row>
    <row r="1375">
      <c r="A1375" s="9" t="n">
        <v>694371</v>
      </c>
      <c r="B1375" s="9" t="inlineStr">
        <is>
          <t>Tommy Troy</t>
        </is>
      </c>
      <c r="C1375" s="9" t="inlineStr">
        <is>
          <t>ARI</t>
        </is>
      </c>
      <c r="D1375" s="9" t="n">
        <v>25</v>
      </c>
      <c r="E1375" s="16" t="inlineStr">
        <is>
          <t>R</t>
        </is>
      </c>
      <c r="F1375" s="16" t="n"/>
      <c r="G1375" s="9" t="n">
        <v>143</v>
      </c>
      <c r="H1375" s="9" t="n">
        <v>143</v>
      </c>
      <c r="I1375" s="9" t="inlineStr">
        <is>
          <t>Bench Bat</t>
        </is>
      </c>
      <c r="J1375" s="16" t="inlineStr">
        <is>
          <t>Opening Day</t>
        </is>
      </c>
      <c r="K1375" s="11">
        <f>IFERROR(INDEX(Roles!$B$17:$B$20,MATCH(J1375,Roles!$A$17:$A$20,0)),1)</f>
        <v/>
      </c>
      <c r="L1375" s="17" t="n">
        <v>1</v>
      </c>
      <c r="M1375" s="17" t="n"/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/>
      <c r="Y1375" s="13">
        <f>SUMPRODUCT(M1375:X1375,$M$2:$X$2)*$K1375*$L1375</f>
        <v/>
      </c>
      <c r="Z1375" s="14">
        <f>SUM(M1375:X1375)</f>
        <v/>
      </c>
      <c r="AA1375" s="14">
        <f>IFERROR(IF(UPPER($E1375)="L",SUMPRODUCT(M1375:X1375,$M$3:$X$3,$M$2:$X$2),SUMPRODUCT(M1375:X1375,$M$4:$X$4,$M$2:$X$2))/(Y1375/($K1375*$L1375)),"")</f>
        <v/>
      </c>
      <c r="AB1375" s="18" t="n"/>
    </row>
    <row r="1376">
      <c r="A1376" s="9" t="n">
        <v>694834</v>
      </c>
      <c r="B1376" s="9" t="inlineStr">
        <is>
          <t>Tyler Wilson</t>
        </is>
      </c>
      <c r="C1376" s="9" t="inlineStr">
        <is>
          <t>NYY</t>
        </is>
      </c>
      <c r="D1376" s="9" t="n">
        <v>25</v>
      </c>
      <c r="E1376" s="16" t="inlineStr">
        <is>
          <t>S</t>
        </is>
      </c>
      <c r="F1376" s="16" t="n"/>
      <c r="G1376" s="9" t="n">
        <v>10.46153846153846</v>
      </c>
      <c r="H1376" s="9" t="n">
        <v>10.46153846153846</v>
      </c>
      <c r="I1376" s="9" t="inlineStr">
        <is>
          <t>Depth (no MLB PA)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7" t="n"/>
      <c r="N1376" s="17" t="n"/>
      <c r="O1376" s="17" t="n"/>
      <c r="P1376" s="17" t="n"/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3">
        <f>SUMPRODUCT(M1376:X1376,$M$2:$X$2)*$K1376*$L1376</f>
        <v/>
      </c>
      <c r="Z1376" s="14">
        <f>SUM(M1376:X1376)</f>
        <v/>
      </c>
      <c r="AA1376" s="14">
        <f>IFERROR(IF(UPPER($E1376)="L",SUMPRODUCT(M1376:X1376,$M$3:$X$3,$M$2:$X$2),SUMPRODUCT(M1376:X1376,$M$4:$X$4,$M$2:$X$2))/(Y1376/($K1376*$L1376)),"")</f>
        <v/>
      </c>
      <c r="AB1376" s="18" t="n"/>
    </row>
    <row r="1377">
      <c r="A1377" s="9" t="n">
        <v>669742</v>
      </c>
      <c r="B1377" s="9" t="inlineStr">
        <is>
          <t>Darick Hall</t>
        </is>
      </c>
      <c r="C1377" s="9" t="inlineStr">
        <is>
          <t>PHI</t>
        </is>
      </c>
      <c r="D1377" s="9" t="n">
        <v>31</v>
      </c>
      <c r="E1377" s="16" t="inlineStr">
        <is>
          <t>L</t>
        </is>
      </c>
      <c r="F1377" s="16" t="n"/>
      <c r="G1377" s="9" t="n">
        <v>56</v>
      </c>
      <c r="H1377" s="9" t="n">
        <v>198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7" t="n"/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/>
      <c r="Y1377" s="13">
        <f>SUMPRODUCT(M1377:X1377,$M$2:$X$2)*$K1377*$L1377</f>
        <v/>
      </c>
      <c r="Z1377" s="14">
        <f>SUM(M1377:X1377)</f>
        <v/>
      </c>
      <c r="AA1377" s="14">
        <f>IFERROR(IF(UPPER($E1377)="L",SUMPRODUCT(M1377:X1377,$M$3:$X$3,$M$2:$X$2),SUMPRODUCT(M1377:X1377,$M$4:$X$4,$M$2:$X$2))/(Y1377/($K1377*$L1377)),"")</f>
        <v/>
      </c>
      <c r="AB1377" s="18" t="n"/>
    </row>
    <row r="1378">
      <c r="A1378" s="9" t="n">
        <v>828076</v>
      </c>
      <c r="B1378" s="9" t="inlineStr">
        <is>
          <t>Dax Kilby</t>
        </is>
      </c>
      <c r="C1378" s="9" t="inlineStr">
        <is>
          <t>NYY</t>
        </is>
      </c>
      <c r="D1378" s="9" t="n">
        <v>25</v>
      </c>
      <c r="E1378" s="16" t="inlineStr">
        <is>
          <t>L</t>
        </is>
      </c>
      <c r="F1378" s="16" t="n"/>
      <c r="G1378" s="9" t="n">
        <v>18.95384615384616</v>
      </c>
      <c r="H1378" s="9" t="n">
        <v>18.95384615384616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7" t="n"/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/>
      <c r="Y1378" s="13">
        <f>SUMPRODUCT(M1378:X1378,$M$2:$X$2)*$K1378*$L1378</f>
        <v/>
      </c>
      <c r="Z1378" s="14">
        <f>SUM(M1378:X1378)</f>
        <v/>
      </c>
      <c r="AA1378" s="14">
        <f>IFERROR(IF(UPPER($E1378)="L",SUMPRODUCT(M1378:X1378,$M$3:$X$3,$M$2:$X$2),SUMPRODUCT(M1378:X1378,$M$4:$X$4,$M$2:$X$2))/(Y1378/($K1378*$L1378)),"")</f>
        <v/>
      </c>
      <c r="AB1378" s="18" t="n"/>
    </row>
    <row r="1379">
      <c r="A1379" s="9" t="n">
        <v>821246</v>
      </c>
      <c r="B1379" s="9" t="inlineStr">
        <is>
          <t>Alejandro Blasco</t>
        </is>
      </c>
      <c r="C1379" s="9" t="inlineStr">
        <is>
          <t>CLE</t>
        </is>
      </c>
      <c r="D1379" s="9" t="n">
        <v>25</v>
      </c>
      <c r="E1379" s="16" t="inlineStr">
        <is>
          <t>S</t>
        </is>
      </c>
      <c r="F1379" s="16" t="n"/>
      <c r="G1379" s="9" t="n">
        <v>12.55384615384615</v>
      </c>
      <c r="H1379" s="9" t="n">
        <v>12.55384615384615</v>
      </c>
      <c r="I1379" s="9" t="inlineStr">
        <is>
          <t>Depth (no MLB PA)</t>
        </is>
      </c>
      <c r="J1379" s="16" t="inlineStr">
        <is>
          <t>Opening Day</t>
        </is>
      </c>
      <c r="K1379" s="11">
        <f>IFERROR(INDEX(Roles!$B$17:$B$20,MATCH(J1379,Roles!$A$17:$A$20,0)),1)</f>
        <v/>
      </c>
      <c r="L1379" s="17" t="n">
        <v>1</v>
      </c>
      <c r="M1379" s="17" t="n"/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/>
      <c r="Y1379" s="13">
        <f>SUMPRODUCT(M1379:X1379,$M$2:$X$2)*$K1379*$L1379</f>
        <v/>
      </c>
      <c r="Z1379" s="14">
        <f>SUM(M1379:X1379)</f>
        <v/>
      </c>
      <c r="AA1379" s="14">
        <f>IFERROR(IF(UPPER($E1379)="L",SUMPRODUCT(M1379:X1379,$M$3:$X$3,$M$2:$X$2),SUMPRODUCT(M1379:X1379,$M$4:$X$4,$M$2:$X$2))/(Y1379/($K1379*$L1379)),"")</f>
        <v/>
      </c>
      <c r="AB1379" s="18" t="n"/>
    </row>
    <row r="1380">
      <c r="A1380" s="9" t="n">
        <v>680776</v>
      </c>
      <c r="B1380" s="9" t="inlineStr">
        <is>
          <t>Jarren Duran</t>
        </is>
      </c>
      <c r="C1380" s="9" t="inlineStr">
        <is>
          <t>BOS</t>
        </is>
      </c>
      <c r="D1380" s="9" t="n">
        <v>30</v>
      </c>
      <c r="E1380" s="16" t="inlineStr">
        <is>
          <t>L</t>
        </is>
      </c>
      <c r="F1380" s="16" t="n"/>
      <c r="G1380" s="9" t="n">
        <v>608</v>
      </c>
      <c r="H1380" s="9" t="n">
        <v>2624</v>
      </c>
      <c r="I1380" s="9" t="inlineStr">
        <is>
          <t>Full Time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7" t="n"/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/>
      <c r="Y1380" s="13">
        <f>SUMPRODUCT(M1380:X1380,$M$2:$X$2)*$K1380*$L1380</f>
        <v/>
      </c>
      <c r="Z1380" s="14">
        <f>SUM(M1380:X1380)</f>
        <v/>
      </c>
      <c r="AA1380" s="14">
        <f>IFERROR(IF(UPPER($E1380)="L",SUMPRODUCT(M1380:X1380,$M$3:$X$3,$M$2:$X$2),SUMPRODUCT(M1380:X1380,$M$4:$X$4,$M$2:$X$2))/(Y1380/($K1380*$L1380)),"")</f>
        <v/>
      </c>
      <c r="AB1380" s="18" t="n"/>
    </row>
    <row r="1381">
      <c r="A1381" s="9" t="n">
        <v>809091</v>
      </c>
      <c r="B1381" s="9" t="inlineStr">
        <is>
          <t>Ben Newton</t>
        </is>
      </c>
      <c r="C1381" s="9" t="inlineStr">
        <is>
          <t>OAK</t>
        </is>
      </c>
      <c r="D1381" s="9" t="n">
        <v>25</v>
      </c>
      <c r="E1381" s="16" t="inlineStr">
        <is>
          <t>S</t>
        </is>
      </c>
      <c r="F1381" s="16" t="n"/>
      <c r="G1381" s="9" t="n">
        <v>10.05128205128205</v>
      </c>
      <c r="H1381" s="9" t="n">
        <v>10.05128205128205</v>
      </c>
      <c r="I1381" s="9" t="inlineStr">
        <is>
          <t>Depth (no MLB PA)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7" t="n"/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/>
      <c r="W1381" s="17" t="n"/>
      <c r="X1381" s="17" t="n"/>
      <c r="Y1381" s="13">
        <f>SUMPRODUCT(M1381:X1381,$M$2:$X$2)*$K1381*$L1381</f>
        <v/>
      </c>
      <c r="Z1381" s="14">
        <f>SUM(M1381:X1381)</f>
        <v/>
      </c>
      <c r="AA1381" s="14">
        <f>IFERROR(IF(UPPER($E1381)="L",SUMPRODUCT(M1381:X1381,$M$3:$X$3,$M$2:$X$2),SUMPRODUCT(M1381:X1381,$M$4:$X$4,$M$2:$X$2))/(Y1381/($K1381*$L1381)),"")</f>
        <v/>
      </c>
      <c r="AB1381" s="18" t="n"/>
    </row>
    <row r="1382">
      <c r="A1382" s="9" t="n">
        <v>813939</v>
      </c>
      <c r="B1382" s="9" t="inlineStr">
        <is>
          <t>Jan Luis Reyes</t>
        </is>
      </c>
      <c r="C1382" s="9" t="inlineStr">
        <is>
          <t>CHC</t>
        </is>
      </c>
      <c r="D1382" s="9" t="n">
        <v>25</v>
      </c>
      <c r="E1382" s="16" t="inlineStr">
        <is>
          <t>L</t>
        </is>
      </c>
      <c r="F1382" s="16" t="n"/>
      <c r="G1382" s="9" t="n">
        <v>10.21538461538462</v>
      </c>
      <c r="H1382" s="9" t="n">
        <v>10.21538461538462</v>
      </c>
      <c r="I1382" s="9" t="inlineStr">
        <is>
          <t>Depth (no MLB PA)</t>
        </is>
      </c>
      <c r="J1382" s="16" t="inlineStr">
        <is>
          <t>Opening Day</t>
        </is>
      </c>
      <c r="K1382" s="11">
        <f>IFERROR(INDEX(Roles!$B$17:$B$20,MATCH(J1382,Roles!$A$17:$A$20,0)),1)</f>
        <v/>
      </c>
      <c r="L1382" s="17" t="n">
        <v>1</v>
      </c>
      <c r="M1382" s="17" t="n"/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/>
      <c r="Y1382" s="13">
        <f>SUMPRODUCT(M1382:X1382,$M$2:$X$2)*$K1382*$L1382</f>
        <v/>
      </c>
      <c r="Z1382" s="14">
        <f>SUM(M1382:X1382)</f>
        <v/>
      </c>
      <c r="AA1382" s="14">
        <f>IFERROR(IF(UPPER($E1382)="L",SUMPRODUCT(M1382:X1382,$M$3:$X$3,$M$2:$X$2),SUMPRODUCT(M1382:X1382,$M$4:$X$4,$M$2:$X$2))/(Y1382/($K1382*$L1382)),"")</f>
        <v/>
      </c>
      <c r="AB1382" s="18" t="n"/>
    </row>
    <row r="1383">
      <c r="A1383" s="9" t="n">
        <v>833382</v>
      </c>
      <c r="B1383" s="9" t="inlineStr">
        <is>
          <t>Owen Hull</t>
        </is>
      </c>
      <c r="C1383" s="9" t="inlineStr">
        <is>
          <t>BOS</t>
        </is>
      </c>
      <c r="D1383" s="9" t="n">
        <v>25</v>
      </c>
      <c r="E1383" s="16" t="inlineStr">
        <is>
          <t>L</t>
        </is>
      </c>
      <c r="F1383" s="16" t="n"/>
      <c r="G1383" s="9" t="n">
        <v>23.38461538461539</v>
      </c>
      <c r="H1383" s="9" t="n">
        <v>23.38461538461539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7" t="n"/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/>
      <c r="Y1383" s="13">
        <f>SUMPRODUCT(M1383:X1383,$M$2:$X$2)*$K1383*$L1383</f>
        <v/>
      </c>
      <c r="Z1383" s="14">
        <f>SUM(M1383:X1383)</f>
        <v/>
      </c>
      <c r="AA1383" s="14">
        <f>IFERROR(IF(UPPER($E1383)="L",SUMPRODUCT(M1383:X1383,$M$3:$X$3,$M$2:$X$2),SUMPRODUCT(M1383:X1383,$M$4:$X$4,$M$2:$X$2))/(Y1383/($K1383*$L1383)),"")</f>
        <v/>
      </c>
      <c r="AB1383" s="18" t="n"/>
    </row>
    <row r="1384">
      <c r="A1384" s="9" t="n">
        <v>543228</v>
      </c>
      <c r="B1384" s="9" t="inlineStr">
        <is>
          <t>Yan Gomes</t>
        </is>
      </c>
      <c r="C1384" s="9" t="inlineStr">
        <is>
          <t>CHC</t>
        </is>
      </c>
      <c r="D1384" s="9" t="n">
        <v>39</v>
      </c>
      <c r="E1384" s="16" t="inlineStr">
        <is>
          <t>R</t>
        </is>
      </c>
      <c r="F1384" s="16" t="n"/>
      <c r="G1384" s="9" t="n">
        <v>96</v>
      </c>
      <c r="H1384" s="9" t="n">
        <v>808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7" t="n"/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/>
      <c r="Y1384" s="13">
        <f>SUMPRODUCT(M1384:X1384,$M$2:$X$2)*$K1384*$L1384</f>
        <v/>
      </c>
      <c r="Z1384" s="14">
        <f>SUM(M1384:X1384)</f>
        <v/>
      </c>
      <c r="AA1384" s="14">
        <f>IFERROR(IF(UPPER($E1384)="L",SUMPRODUCT(M1384:X1384,$M$3:$X$3,$M$2:$X$2),SUMPRODUCT(M1384:X1384,$M$4:$X$4,$M$2:$X$2))/(Y1384/($K1384*$L1384)),"")</f>
        <v/>
      </c>
      <c r="AB1384" s="18" t="n"/>
    </row>
    <row r="1385">
      <c r="A1385" s="9" t="n">
        <v>812807</v>
      </c>
      <c r="B1385" s="9" t="inlineStr">
        <is>
          <t>Kyle Jones</t>
        </is>
      </c>
      <c r="C1385" s="9" t="inlineStr">
        <is>
          <t>MIL</t>
        </is>
      </c>
      <c r="D1385" s="9" t="n">
        <v>25</v>
      </c>
      <c r="E1385" s="16" t="inlineStr">
        <is>
          <t>R</t>
        </is>
      </c>
      <c r="F1385" s="16" t="n"/>
      <c r="G1385" s="9" t="n">
        <v>12.67692307692308</v>
      </c>
      <c r="H1385" s="9" t="n">
        <v>12.67692307692308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7" t="n"/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/>
      <c r="Y1385" s="13">
        <f>SUMPRODUCT(M1385:X1385,$M$2:$X$2)*$K1385*$L1385</f>
        <v/>
      </c>
      <c r="Z1385" s="14">
        <f>SUM(M1385:X1385)</f>
        <v/>
      </c>
      <c r="AA1385" s="14">
        <f>IFERROR(IF(UPPER($E1385)="L",SUMPRODUCT(M1385:X1385,$M$3:$X$3,$M$2:$X$2),SUMPRODUCT(M1385:X1385,$M$4:$X$4,$M$2:$X$2))/(Y1385/($K1385*$L1385)),"")</f>
        <v/>
      </c>
      <c r="AB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7" t="n"/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/>
      <c r="Y1386" s="13">
        <f>SUMPRODUCT(M1386:X1386,$M$2:$X$2)*$K1386*$L1386</f>
        <v/>
      </c>
      <c r="Z1386" s="14">
        <f>SUM(M1386:X1386)</f>
        <v/>
      </c>
      <c r="AA1386" s="14">
        <f>IFERROR(IF(UPPER($E1386)="L",SUMPRODUCT(M1386:X1386,$M$3:$X$3,$M$2:$X$2),SUMPRODUCT(M1386:X1386,$M$4:$X$4,$M$2:$X$2))/(Y1386/($K1386*$L1386)),"")</f>
        <v/>
      </c>
      <c r="AB1386" s="18" t="n"/>
    </row>
    <row r="1387">
      <c r="A1387" s="9" t="n">
        <v>687072</v>
      </c>
      <c r="B1387" s="9" t="inlineStr">
        <is>
          <t>Jamari Baylor</t>
        </is>
      </c>
      <c r="C1387" s="9" t="inlineStr">
        <is>
          <t>NYM</t>
        </is>
      </c>
      <c r="D1387" s="9" t="n">
        <v>25</v>
      </c>
      <c r="E1387" s="16" t="inlineStr">
        <is>
          <t>R</t>
        </is>
      </c>
      <c r="F1387" s="16" t="n"/>
      <c r="G1387" s="9" t="n">
        <v>19.02564102564103</v>
      </c>
      <c r="H1387" s="9" t="n">
        <v>19.02564102564103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7" t="n"/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/>
      <c r="Y1387" s="13">
        <f>SUMPRODUCT(M1387:X1387,$M$2:$X$2)*$K1387*$L1387</f>
        <v/>
      </c>
      <c r="Z1387" s="14">
        <f>SUM(M1387:X1387)</f>
        <v/>
      </c>
      <c r="AA1387" s="14">
        <f>IFERROR(IF(UPPER($E1387)="L",SUMPRODUCT(M1387:X1387,$M$3:$X$3,$M$2:$X$2),SUMPRODUCT(M1387:X1387,$M$4:$X$4,$M$2:$X$2))/(Y1387/($K1387*$L1387)),"")</f>
        <v/>
      </c>
      <c r="AB1387" s="18" t="n"/>
    </row>
    <row r="1388">
      <c r="A1388" s="9" t="n">
        <v>694991</v>
      </c>
      <c r="B1388" s="9" t="inlineStr">
        <is>
          <t>Mitch Jebb</t>
        </is>
      </c>
      <c r="C1388" s="9" t="inlineStr">
        <is>
          <t>PIT</t>
        </is>
      </c>
      <c r="D1388" s="9" t="n">
        <v>25</v>
      </c>
      <c r="E1388" s="16" t="inlineStr">
        <is>
          <t>L</t>
        </is>
      </c>
      <c r="F1388" s="16" t="n"/>
      <c r="G1388" s="9" t="n">
        <v>138.2051282051282</v>
      </c>
      <c r="H1388" s="9" t="n">
        <v>138.2051282051282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7" t="n"/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/>
      <c r="Y1388" s="13">
        <f>SUMPRODUCT(M1388:X1388,$M$2:$X$2)*$K1388*$L1388</f>
        <v/>
      </c>
      <c r="Z1388" s="14">
        <f>SUM(M1388:X1388)</f>
        <v/>
      </c>
      <c r="AA1388" s="14">
        <f>IFERROR(IF(UPPER($E1388)="L",SUMPRODUCT(M1388:X1388,$M$3:$X$3,$M$2:$X$2),SUMPRODUCT(M1388:X1388,$M$4:$X$4,$M$2:$X$2))/(Y1388/($K1388*$L1388)),"")</f>
        <v/>
      </c>
      <c r="AB1388" s="18" t="n"/>
    </row>
    <row r="1389">
      <c r="A1389" s="9" t="n">
        <v>807587</v>
      </c>
      <c r="B1389" s="9" t="inlineStr">
        <is>
          <t>Angel Ramirez</t>
        </is>
      </c>
      <c r="C1389" s="9" t="inlineStr">
        <is>
          <t>KC</t>
        </is>
      </c>
      <c r="D1389" s="9" t="n">
        <v>25</v>
      </c>
      <c r="E1389" s="16" t="inlineStr">
        <is>
          <t>R</t>
        </is>
      </c>
      <c r="F1389" s="16" t="n"/>
      <c r="G1389" s="9" t="n">
        <v>15.01538461538461</v>
      </c>
      <c r="H1389" s="9" t="n">
        <v>15.01538461538461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7" t="n"/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/>
      <c r="Y1389" s="13">
        <f>SUMPRODUCT(M1389:X1389,$M$2:$X$2)*$K1389*$L1389</f>
        <v/>
      </c>
      <c r="Z1389" s="14">
        <f>SUM(M1389:X1389)</f>
        <v/>
      </c>
      <c r="AA1389" s="14">
        <f>IFERROR(IF(UPPER($E1389)="L",SUMPRODUCT(M1389:X1389,$M$3:$X$3,$M$2:$X$2),SUMPRODUCT(M1389:X1389,$M$4:$X$4,$M$2:$X$2))/(Y1389/($K1389*$L1389)),"")</f>
        <v/>
      </c>
      <c r="AB1389" s="18" t="n"/>
    </row>
    <row r="1390">
      <c r="A1390" s="9" t="n">
        <v>676053</v>
      </c>
      <c r="B1390" s="9" t="inlineStr">
        <is>
          <t>Casey Opitz</t>
        </is>
      </c>
      <c r="C1390" s="9" t="inlineStr">
        <is>
          <t>CHC</t>
        </is>
      </c>
      <c r="D1390" s="9" t="n">
        <v>25</v>
      </c>
      <c r="E1390" s="16" t="inlineStr">
        <is>
          <t>S</t>
        </is>
      </c>
      <c r="F1390" s="16" t="n"/>
      <c r="G1390" s="9" t="n">
        <v>25.94871794871795</v>
      </c>
      <c r="H1390" s="9" t="n">
        <v>25.94871794871795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7" t="n"/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/>
      <c r="Y1390" s="13">
        <f>SUMPRODUCT(M1390:X1390,$M$2:$X$2)*$K1390*$L1390</f>
        <v/>
      </c>
      <c r="Z1390" s="14">
        <f>SUM(M1390:X1390)</f>
        <v/>
      </c>
      <c r="AA1390" s="14">
        <f>IFERROR(IF(UPPER($E1390)="L",SUMPRODUCT(M1390:X1390,$M$3:$X$3,$M$2:$X$2),SUMPRODUCT(M1390:X1390,$M$4:$X$4,$M$2:$X$2))/(Y1390/($K1390*$L1390)),"")</f>
        <v/>
      </c>
      <c r="AB1390" s="18" t="n"/>
    </row>
    <row r="1391">
      <c r="A1391" s="9" t="n">
        <v>701206</v>
      </c>
      <c r="B1391" s="9" t="inlineStr">
        <is>
          <t>Willy Montero</t>
        </is>
      </c>
      <c r="C1391" s="9" t="inlineStr">
        <is>
          <t>NYY</t>
        </is>
      </c>
      <c r="D1391" s="9" t="n">
        <v>25</v>
      </c>
      <c r="E1391" s="16" t="inlineStr">
        <is>
          <t>R</t>
        </is>
      </c>
      <c r="F1391" s="16" t="n"/>
      <c r="G1391" s="9" t="n">
        <v>14.76923076923077</v>
      </c>
      <c r="H1391" s="9" t="n">
        <v>14.76923076923077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7" t="n"/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/>
      <c r="Y1391" s="13">
        <f>SUMPRODUCT(M1391:X1391,$M$2:$X$2)*$K1391*$L1391</f>
        <v/>
      </c>
      <c r="Z1391" s="14">
        <f>SUM(M1391:X1391)</f>
        <v/>
      </c>
      <c r="AA1391" s="14">
        <f>IFERROR(IF(UPPER($E1391)="L",SUMPRODUCT(M1391:X1391,$M$3:$X$3,$M$2:$X$2),SUMPRODUCT(M1391:X1391,$M$4:$X$4,$M$2:$X$2))/(Y1391/($K1391*$L1391)),"")</f>
        <v/>
      </c>
      <c r="AB1391" s="18" t="n"/>
    </row>
    <row r="1392">
      <c r="A1392" s="9" t="n">
        <v>699111</v>
      </c>
      <c r="B1392" s="9" t="inlineStr">
        <is>
          <t>Diego Omana</t>
        </is>
      </c>
      <c r="C1392" s="9" t="inlineStr">
        <is>
          <t>CIN</t>
        </is>
      </c>
      <c r="D1392" s="9" t="n">
        <v>25</v>
      </c>
      <c r="E1392" s="16" t="inlineStr">
        <is>
          <t>R</t>
        </is>
      </c>
      <c r="F1392" s="16" t="n"/>
      <c r="G1392" s="9" t="n">
        <v>10.41025641025641</v>
      </c>
      <c r="H1392" s="9" t="n">
        <v>10.41025641025641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7" t="n"/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/>
      <c r="Y1392" s="13">
        <f>SUMPRODUCT(M1392:X1392,$M$2:$X$2)*$K1392*$L1392</f>
        <v/>
      </c>
      <c r="Z1392" s="14">
        <f>SUM(M1392:X1392)</f>
        <v/>
      </c>
      <c r="AA1392" s="14">
        <f>IFERROR(IF(UPPER($E1392)="L",SUMPRODUCT(M1392:X1392,$M$3:$X$3,$M$2:$X$2),SUMPRODUCT(M1392:X1392,$M$4:$X$4,$M$2:$X$2))/(Y1392/($K1392*$L1392)),"")</f>
        <v/>
      </c>
      <c r="AB1392" s="18" t="n"/>
    </row>
    <row r="1393">
      <c r="A1393" s="9" t="n">
        <v>808708</v>
      </c>
      <c r="B1393" s="9" t="inlineStr">
        <is>
          <t>Marcelo Alcala</t>
        </is>
      </c>
      <c r="C1393" s="9" t="inlineStr">
        <is>
          <t>CWS</t>
        </is>
      </c>
      <c r="D1393" s="9" t="n">
        <v>25</v>
      </c>
      <c r="E1393" s="16" t="inlineStr">
        <is>
          <t>R</t>
        </is>
      </c>
      <c r="F1393" s="16" t="n"/>
      <c r="G1393" s="9" t="n">
        <v>16.73846153846154</v>
      </c>
      <c r="H1393" s="9" t="n">
        <v>16.73846153846154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7" t="n"/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/>
      <c r="Y1393" s="13">
        <f>SUMPRODUCT(M1393:X1393,$M$2:$X$2)*$K1393*$L1393</f>
        <v/>
      </c>
      <c r="Z1393" s="14">
        <f>SUM(M1393:X1393)</f>
        <v/>
      </c>
      <c r="AA1393" s="14">
        <f>IFERROR(IF(UPPER($E1393)="L",SUMPRODUCT(M1393:X1393,$M$3:$X$3,$M$2:$X$2),SUMPRODUCT(M1393:X1393,$M$4:$X$4,$M$2:$X$2))/(Y1393/($K1393*$L1393)),"")</f>
        <v/>
      </c>
      <c r="AB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7" t="n"/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/>
      <c r="Y1394" s="13">
        <f>SUMPRODUCT(M1394:X1394,$M$2:$X$2)*$K1394*$L1394</f>
        <v/>
      </c>
      <c r="Z1394" s="14">
        <f>SUM(M1394:X1394)</f>
        <v/>
      </c>
      <c r="AA1394" s="14">
        <f>IFERROR(IF(UPPER($E1394)="L",SUMPRODUCT(M1394:X1394,$M$3:$X$3,$M$2:$X$2),SUMPRODUCT(M1394:X1394,$M$4:$X$4,$M$2:$X$2))/(Y1394/($K1394*$L1394)),"")</f>
        <v/>
      </c>
      <c r="AB1394" s="18" t="n"/>
    </row>
    <row r="1395">
      <c r="A1395" s="9" t="n">
        <v>699167</v>
      </c>
      <c r="B1395" s="9" t="inlineStr">
        <is>
          <t>Samuel Escudero</t>
        </is>
      </c>
      <c r="C1395" s="9" t="inlineStr">
        <is>
          <t>PIT</t>
        </is>
      </c>
      <c r="D1395" s="9" t="n">
        <v>25</v>
      </c>
      <c r="E1395" s="16" t="inlineStr">
        <is>
          <t>R</t>
        </is>
      </c>
      <c r="F1395" s="16" t="n"/>
      <c r="G1395" s="9" t="n">
        <v>19.38461538461538</v>
      </c>
      <c r="H1395" s="9" t="n">
        <v>19.38461538461538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7" t="n"/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/>
      <c r="Y1395" s="13">
        <f>SUMPRODUCT(M1395:X1395,$M$2:$X$2)*$K1395*$L1395</f>
        <v/>
      </c>
      <c r="Z1395" s="14">
        <f>SUM(M1395:X1395)</f>
        <v/>
      </c>
      <c r="AA1395" s="14">
        <f>IFERROR(IF(UPPER($E1395)="L",SUMPRODUCT(M1395:X1395,$M$3:$X$3,$M$2:$X$2),SUMPRODUCT(M1395:X1395,$M$4:$X$4,$M$2:$X$2))/(Y1395/($K1395*$L1395)),"")</f>
        <v/>
      </c>
      <c r="AB1395" s="18" t="n"/>
    </row>
    <row r="1396">
      <c r="A1396" s="9" t="n">
        <v>641553</v>
      </c>
      <c r="B1396" s="9" t="inlineStr">
        <is>
          <t>Adam Engel</t>
        </is>
      </c>
      <c r="C1396" s="9" t="inlineStr">
        <is>
          <t>CWS</t>
        </is>
      </c>
      <c r="D1396" s="9" t="n">
        <v>35</v>
      </c>
      <c r="E1396" s="16" t="inlineStr">
        <is>
          <t>R</t>
        </is>
      </c>
      <c r="F1396" s="16" t="n"/>
      <c r="G1396" s="9" t="n">
        <v>6</v>
      </c>
      <c r="H1396" s="9" t="n">
        <v>266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7" t="n"/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/>
      <c r="Y1396" s="13">
        <f>SUMPRODUCT(M1396:X1396,$M$2:$X$2)*$K1396*$L1396</f>
        <v/>
      </c>
      <c r="Z1396" s="14">
        <f>SUM(M1396:X1396)</f>
        <v/>
      </c>
      <c r="AA1396" s="14">
        <f>IFERROR(IF(UPPER($E1396)="L",SUMPRODUCT(M1396:X1396,$M$3:$X$3,$M$2:$X$2),SUMPRODUCT(M1396:X1396,$M$4:$X$4,$M$2:$X$2))/(Y1396/($K1396*$L1396)),"")</f>
        <v/>
      </c>
      <c r="AB1396" s="18" t="n"/>
    </row>
    <row r="1397">
      <c r="A1397" s="9" t="n">
        <v>836084</v>
      </c>
      <c r="B1397" s="9" t="inlineStr">
        <is>
          <t>Jimmy Anderson</t>
        </is>
      </c>
      <c r="C1397" s="9" t="inlineStr">
        <is>
          <t>BAL</t>
        </is>
      </c>
      <c r="D1397" s="9" t="n">
        <v>25</v>
      </c>
      <c r="E1397" s="16" t="inlineStr">
        <is>
          <t>R</t>
        </is>
      </c>
      <c r="F1397" s="16" t="n"/>
      <c r="G1397" s="9" t="n">
        <v>10.70769230769231</v>
      </c>
      <c r="H1397" s="9" t="n">
        <v>10.70769230769231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7" t="n"/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/>
      <c r="Y1397" s="13">
        <f>SUMPRODUCT(M1397:X1397,$M$2:$X$2)*$K1397*$L1397</f>
        <v/>
      </c>
      <c r="Z1397" s="14">
        <f>SUM(M1397:X1397)</f>
        <v/>
      </c>
      <c r="AA1397" s="14">
        <f>IFERROR(IF(UPPER($E1397)="L",SUMPRODUCT(M1397:X1397,$M$3:$X$3,$M$2:$X$2),SUMPRODUCT(M1397:X1397,$M$4:$X$4,$M$2:$X$2))/(Y1397/($K1397*$L1397)),"")</f>
        <v/>
      </c>
      <c r="AB1397" s="18" t="n"/>
    </row>
    <row r="1398">
      <c r="A1398" s="9" t="n">
        <v>842660</v>
      </c>
      <c r="B1398" s="9" t="inlineStr">
        <is>
          <t>Owen Nowak</t>
        </is>
      </c>
      <c r="C1398" s="9" t="inlineStr">
        <is>
          <t>HOU</t>
        </is>
      </c>
      <c r="D1398" s="9" t="n">
        <v>25</v>
      </c>
      <c r="E1398" s="16" t="inlineStr">
        <is>
          <t>L</t>
        </is>
      </c>
      <c r="F1398" s="16" t="n"/>
      <c r="G1398" s="9" t="n">
        <v>10.83076923076923</v>
      </c>
      <c r="H1398" s="9" t="n">
        <v>10.83076923076923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7" t="n"/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/>
      <c r="Y1398" s="13">
        <f>SUMPRODUCT(M1398:X1398,$M$2:$X$2)*$K1398*$L1398</f>
        <v/>
      </c>
      <c r="Z1398" s="14">
        <f>SUM(M1398:X1398)</f>
        <v/>
      </c>
      <c r="AA1398" s="14">
        <f>IFERROR(IF(UPPER($E1398)="L",SUMPRODUCT(M1398:X1398,$M$3:$X$3,$M$2:$X$2),SUMPRODUCT(M1398:X1398,$M$4:$X$4,$M$2:$X$2))/(Y1398/($K1398*$L1398)),"")</f>
        <v/>
      </c>
      <c r="AB1398" s="18" t="n"/>
    </row>
    <row r="1399">
      <c r="A1399" s="9" t="n">
        <v>694194</v>
      </c>
      <c r="B1399" s="9" t="inlineStr">
        <is>
          <t>Miguel Bleis</t>
        </is>
      </c>
      <c r="C1399" s="9" t="inlineStr">
        <is>
          <t>BOS</t>
        </is>
      </c>
      <c r="D1399" s="9" t="n">
        <v>25</v>
      </c>
      <c r="E1399" s="16" t="inlineStr">
        <is>
          <t>R</t>
        </is>
      </c>
      <c r="F1399" s="16" t="n"/>
      <c r="G1399" s="9" t="n">
        <v>124.5641025641026</v>
      </c>
      <c r="H1399" s="9" t="n">
        <v>124.5641025641026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7" t="n"/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/>
      <c r="Y1399" s="13">
        <f>SUMPRODUCT(M1399:X1399,$M$2:$X$2)*$K1399*$L1399</f>
        <v/>
      </c>
      <c r="Z1399" s="14">
        <f>SUM(M1399:X1399)</f>
        <v/>
      </c>
      <c r="AA1399" s="14">
        <f>IFERROR(IF(UPPER($E1399)="L",SUMPRODUCT(M1399:X1399,$M$3:$X$3,$M$2:$X$2),SUMPRODUCT(M1399:X1399,$M$4:$X$4,$M$2:$X$2))/(Y1399/($K1399*$L1399)),"")</f>
        <v/>
      </c>
      <c r="AB1399" s="18" t="n"/>
    </row>
    <row r="1400">
      <c r="A1400" s="9" t="n">
        <v>812518</v>
      </c>
      <c r="B1400" s="9" t="inlineStr">
        <is>
          <t>Camden Janik</t>
        </is>
      </c>
      <c r="C1400" s="9" t="inlineStr">
        <is>
          <t>PIT</t>
        </is>
      </c>
      <c r="D1400" s="9" t="n">
        <v>25</v>
      </c>
      <c r="E1400" s="16" t="inlineStr">
        <is>
          <t>R</t>
        </is>
      </c>
      <c r="F1400" s="16" t="n"/>
      <c r="G1400" s="9" t="n">
        <v>10.76923076923077</v>
      </c>
      <c r="H1400" s="9" t="n">
        <v>10.76923076923077</v>
      </c>
      <c r="I1400" s="9" t="inlineStr">
        <is>
          <t>Depth (no MLB PA)</t>
        </is>
      </c>
      <c r="J1400" s="16" t="inlineStr">
        <is>
          <t>Opening Day</t>
        </is>
      </c>
      <c r="K1400" s="11">
        <f>IFERROR(INDEX(Roles!$B$17:$B$20,MATCH(J1400,Roles!$A$17:$A$20,0)),1)</f>
        <v/>
      </c>
      <c r="L1400" s="17" t="n">
        <v>1</v>
      </c>
      <c r="M1400" s="17" t="n"/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/>
      <c r="Y1400" s="13">
        <f>SUMPRODUCT(M1400:X1400,$M$2:$X$2)*$K1400*$L1400</f>
        <v/>
      </c>
      <c r="Z1400" s="14">
        <f>SUM(M1400:X1400)</f>
        <v/>
      </c>
      <c r="AA1400" s="14">
        <f>IFERROR(IF(UPPER($E1400)="L",SUMPRODUCT(M1400:X1400,$M$3:$X$3,$M$2:$X$2),SUMPRODUCT(M1400:X1400,$M$4:$X$4,$M$2:$X$2))/(Y1400/($K1400*$L1400)),"")</f>
        <v/>
      </c>
      <c r="AB1400" s="18" t="n"/>
    </row>
    <row r="1401">
      <c r="A1401" s="9" t="n">
        <v>813916</v>
      </c>
      <c r="B1401" s="9" t="inlineStr">
        <is>
          <t>Kellon Lindsey</t>
        </is>
      </c>
      <c r="C1401" s="9" t="inlineStr">
        <is>
          <t>LAD</t>
        </is>
      </c>
      <c r="D1401" s="9" t="n">
        <v>25</v>
      </c>
      <c r="E1401" s="16" t="inlineStr">
        <is>
          <t>R</t>
        </is>
      </c>
      <c r="F1401" s="16" t="n"/>
      <c r="G1401" s="9" t="n">
        <v>34.33846153846154</v>
      </c>
      <c r="H1401" s="9" t="n">
        <v>34.33846153846154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7" t="n"/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/>
      <c r="Y1401" s="13">
        <f>SUMPRODUCT(M1401:X1401,$M$2:$X$2)*$K1401*$L1401</f>
        <v/>
      </c>
      <c r="Z1401" s="14">
        <f>SUM(M1401:X1401)</f>
        <v/>
      </c>
      <c r="AA1401" s="14">
        <f>IFERROR(IF(UPPER($E1401)="L",SUMPRODUCT(M1401:X1401,$M$3:$X$3,$M$2:$X$2),SUMPRODUCT(M1401:X1401,$M$4:$X$4,$M$2:$X$2))/(Y1401/($K1401*$L1401)),"")</f>
        <v/>
      </c>
      <c r="AB1401" s="18" t="n"/>
    </row>
    <row r="1402">
      <c r="A1402" s="9" t="n">
        <v>673945</v>
      </c>
      <c r="B1402" s="9" t="inlineStr">
        <is>
          <t>Freuddy Batista</t>
        </is>
      </c>
      <c r="C1402" s="9" t="inlineStr">
        <is>
          <t>HOU</t>
        </is>
      </c>
      <c r="D1402" s="9" t="n">
        <v>25</v>
      </c>
      <c r="E1402" s="16" t="inlineStr">
        <is>
          <t>R</t>
        </is>
      </c>
      <c r="F1402" s="16" t="n"/>
      <c r="G1402" s="9" t="n">
        <v>41.02564102564103</v>
      </c>
      <c r="H1402" s="9" t="n">
        <v>41.02564102564103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7" t="n"/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/>
      <c r="Y1402" s="13">
        <f>SUMPRODUCT(M1402:X1402,$M$2:$X$2)*$K1402*$L1402</f>
        <v/>
      </c>
      <c r="Z1402" s="14">
        <f>SUM(M1402:X1402)</f>
        <v/>
      </c>
      <c r="AA1402" s="14">
        <f>IFERROR(IF(UPPER($E1402)="L",SUMPRODUCT(M1402:X1402,$M$3:$X$3,$M$2:$X$2),SUMPRODUCT(M1402:X1402,$M$4:$X$4,$M$2:$X$2))/(Y1402/($K1402*$L1402)),"")</f>
        <v/>
      </c>
      <c r="AB1402" s="18" t="n"/>
    </row>
    <row r="1403">
      <c r="A1403" s="9" t="n">
        <v>805550</v>
      </c>
      <c r="B1403" s="9" t="inlineStr">
        <is>
          <t>Ryan Weingartner</t>
        </is>
      </c>
      <c r="C1403" s="9" t="inlineStr">
        <is>
          <t>STL</t>
        </is>
      </c>
      <c r="D1403" s="9" t="n">
        <v>25</v>
      </c>
      <c r="E1403" s="16" t="inlineStr">
        <is>
          <t>R</t>
        </is>
      </c>
      <c r="F1403" s="16" t="n"/>
      <c r="G1403" s="9" t="n">
        <v>10.66666666666667</v>
      </c>
      <c r="H1403" s="9" t="n">
        <v>10.66666666666667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7" t="n"/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/>
      <c r="Y1403" s="13">
        <f>SUMPRODUCT(M1403:X1403,$M$2:$X$2)*$K1403*$L1403</f>
        <v/>
      </c>
      <c r="Z1403" s="14">
        <f>SUM(M1403:X1403)</f>
        <v/>
      </c>
      <c r="AA1403" s="14">
        <f>IFERROR(IF(UPPER($E1403)="L",SUMPRODUCT(M1403:X1403,$M$3:$X$3,$M$2:$X$2),SUMPRODUCT(M1403:X1403,$M$4:$X$4,$M$2:$X$2))/(Y1403/($K1403*$L1403)),"")</f>
        <v/>
      </c>
      <c r="AB1403" s="18" t="n"/>
    </row>
    <row r="1404">
      <c r="A1404" s="9" t="n">
        <v>687201</v>
      </c>
      <c r="B1404" s="9" t="inlineStr">
        <is>
          <t>Kevin Kilpatrick Jr.</t>
        </is>
      </c>
      <c r="C1404" s="9" t="inlineStr">
        <is>
          <t>ATL</t>
        </is>
      </c>
      <c r="D1404" s="9" t="n">
        <v>25</v>
      </c>
      <c r="E1404" s="16" t="inlineStr">
        <is>
          <t>R</t>
        </is>
      </c>
      <c r="F1404" s="16" t="n"/>
      <c r="G1404" s="9" t="n">
        <v>10.71794871794872</v>
      </c>
      <c r="H1404" s="9" t="n">
        <v>10.71794871794872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7" t="n"/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/>
      <c r="Y1404" s="13">
        <f>SUMPRODUCT(M1404:X1404,$M$2:$X$2)*$K1404*$L1404</f>
        <v/>
      </c>
      <c r="Z1404" s="14">
        <f>SUM(M1404:X1404)</f>
        <v/>
      </c>
      <c r="AA1404" s="14">
        <f>IFERROR(IF(UPPER($E1404)="L",SUMPRODUCT(M1404:X1404,$M$3:$X$3,$M$2:$X$2),SUMPRODUCT(M1404:X1404,$M$4:$X$4,$M$2:$X$2))/(Y1404/($K1404*$L1404)),"")</f>
        <v/>
      </c>
      <c r="AB1404" s="18" t="n"/>
    </row>
    <row r="1405">
      <c r="A1405" s="9" t="n">
        <v>812185</v>
      </c>
      <c r="B1405" s="9" t="inlineStr">
        <is>
          <t>Clay Burdette</t>
        </is>
      </c>
      <c r="C1405" s="9" t="inlineStr">
        <is>
          <t>CWS</t>
        </is>
      </c>
      <c r="D1405" s="9" t="n">
        <v>25</v>
      </c>
      <c r="E1405" s="16" t="inlineStr">
        <is>
          <t>R</t>
        </is>
      </c>
      <c r="F1405" s="16" t="n"/>
      <c r="G1405" s="9" t="n">
        <v>14.76923076923077</v>
      </c>
      <c r="H1405" s="9" t="n">
        <v>14.76923076923077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7" t="n"/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/>
      <c r="Y1405" s="13">
        <f>SUMPRODUCT(M1405:X1405,$M$2:$X$2)*$K1405*$L1405</f>
        <v/>
      </c>
      <c r="Z1405" s="14">
        <f>SUM(M1405:X1405)</f>
        <v/>
      </c>
      <c r="AA1405" s="14">
        <f>IFERROR(IF(UPPER($E1405)="L",SUMPRODUCT(M1405:X1405,$M$3:$X$3,$M$2:$X$2),SUMPRODUCT(M1405:X1405,$M$4:$X$4,$M$2:$X$2))/(Y1405/($K1405*$L1405)),"")</f>
        <v/>
      </c>
      <c r="AB1405" s="18" t="n"/>
    </row>
    <row r="1406">
      <c r="A1406" s="9" t="n">
        <v>804053</v>
      </c>
      <c r="B1406" s="9" t="inlineStr">
        <is>
          <t>Brayden Dowd</t>
        </is>
      </c>
      <c r="C1406" s="9" t="inlineStr">
        <is>
          <t>ARI</t>
        </is>
      </c>
      <c r="D1406" s="9" t="n">
        <v>25</v>
      </c>
      <c r="E1406" s="16" t="inlineStr">
        <is>
          <t>L</t>
        </is>
      </c>
      <c r="F1406" s="16" t="n"/>
      <c r="G1406" s="9" t="n">
        <v>13.04615384615385</v>
      </c>
      <c r="H1406" s="9" t="n">
        <v>13.04615384615385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7" t="n"/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/>
      <c r="Y1406" s="13">
        <f>SUMPRODUCT(M1406:X1406,$M$2:$X$2)*$K1406*$L1406</f>
        <v/>
      </c>
      <c r="Z1406" s="14">
        <f>SUM(M1406:X1406)</f>
        <v/>
      </c>
      <c r="AA1406" s="14">
        <f>IFERROR(IF(UPPER($E1406)="L",SUMPRODUCT(M1406:X1406,$M$3:$X$3,$M$2:$X$2),SUMPRODUCT(M1406:X1406,$M$4:$X$4,$M$2:$X$2))/(Y1406/($K1406*$L1406)),"")</f>
        <v/>
      </c>
      <c r="AB1406" s="18" t="n"/>
    </row>
    <row r="1407">
      <c r="A1407" s="9" t="n">
        <v>687521</v>
      </c>
      <c r="B1407" s="9" t="inlineStr">
        <is>
          <t>Eric Brown Jr.</t>
        </is>
      </c>
      <c r="C1407" s="9" t="inlineStr">
        <is>
          <t>MIL</t>
        </is>
      </c>
      <c r="D1407" s="9" t="n">
        <v>25</v>
      </c>
      <c r="E1407" s="16" t="inlineStr">
        <is>
          <t>R</t>
        </is>
      </c>
      <c r="F1407" s="16" t="n"/>
      <c r="G1407" s="9" t="n">
        <v>26.51282051282051</v>
      </c>
      <c r="H1407" s="9" t="n">
        <v>26.51282051282051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7" t="n"/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/>
      <c r="Y1407" s="13">
        <f>SUMPRODUCT(M1407:X1407,$M$2:$X$2)*$K1407*$L1407</f>
        <v/>
      </c>
      <c r="Z1407" s="14">
        <f>SUM(M1407:X1407)</f>
        <v/>
      </c>
      <c r="AA1407" s="14">
        <f>IFERROR(IF(UPPER($E1407)="L",SUMPRODUCT(M1407:X1407,$M$3:$X$3,$M$2:$X$2),SUMPRODUCT(M1407:X1407,$M$4:$X$4,$M$2:$X$2))/(Y1407/($K1407*$L1407)),"")</f>
        <v/>
      </c>
      <c r="AB1407" s="18" t="n"/>
    </row>
    <row r="1408">
      <c r="A1408" s="9" t="n">
        <v>809372</v>
      </c>
      <c r="B1408" s="9" t="inlineStr">
        <is>
          <t>Victor Figueroa</t>
        </is>
      </c>
      <c r="C1408" s="9" t="inlineStr">
        <is>
          <t>BAL</t>
        </is>
      </c>
      <c r="D1408" s="9" t="n">
        <v>25</v>
      </c>
      <c r="E1408" s="16" t="inlineStr">
        <is>
          <t>L</t>
        </is>
      </c>
      <c r="F1408" s="16" t="n"/>
      <c r="G1408" s="9" t="n">
        <v>53.12820512820512</v>
      </c>
      <c r="H1408" s="9" t="n">
        <v>53.12820512820512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7" t="n"/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/>
      <c r="Y1408" s="13">
        <f>SUMPRODUCT(M1408:X1408,$M$2:$X$2)*$K1408*$L1408</f>
        <v/>
      </c>
      <c r="Z1408" s="14">
        <f>SUM(M1408:X1408)</f>
        <v/>
      </c>
      <c r="AA1408" s="14">
        <f>IFERROR(IF(UPPER($E1408)="L",SUMPRODUCT(M1408:X1408,$M$3:$X$3,$M$2:$X$2),SUMPRODUCT(M1408:X1408,$M$4:$X$4,$M$2:$X$2))/(Y1408/($K1408*$L1408)),"")</f>
        <v/>
      </c>
      <c r="AB1408" s="18" t="n"/>
    </row>
    <row r="1409">
      <c r="A1409" s="9" t="n">
        <v>808337</v>
      </c>
      <c r="B1409" s="9" t="inlineStr">
        <is>
          <t>Adriander Mejía</t>
        </is>
      </c>
      <c r="C1409" s="9" t="inlineStr">
        <is>
          <t>BAL</t>
        </is>
      </c>
      <c r="D1409" s="9" t="n">
        <v>25</v>
      </c>
      <c r="E1409" s="16" t="inlineStr">
        <is>
          <t>R</t>
        </is>
      </c>
      <c r="F1409" s="16" t="n"/>
      <c r="G1409" s="9" t="n">
        <v>10.83076923076923</v>
      </c>
      <c r="H1409" s="9" t="n">
        <v>10.83076923076923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7" t="n"/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/>
      <c r="Y1409" s="13">
        <f>SUMPRODUCT(M1409:X1409,$M$2:$X$2)*$K1409*$L1409</f>
        <v/>
      </c>
      <c r="Z1409" s="14">
        <f>SUM(M1409:X1409)</f>
        <v/>
      </c>
      <c r="AA1409" s="14">
        <f>IFERROR(IF(UPPER($E1409)="L",SUMPRODUCT(M1409:X1409,$M$3:$X$3,$M$2:$X$2),SUMPRODUCT(M1409:X1409,$M$4:$X$4,$M$2:$X$2))/(Y1409/($K1409*$L1409)),"")</f>
        <v/>
      </c>
      <c r="AB1409" s="18" t="n"/>
    </row>
    <row r="1410">
      <c r="A1410" s="9" t="n">
        <v>824424</v>
      </c>
      <c r="B1410" s="9" t="inlineStr">
        <is>
          <t>Bear Harrison</t>
        </is>
      </c>
      <c r="C1410" s="9" t="inlineStr">
        <is>
          <t>NYY</t>
        </is>
      </c>
      <c r="D1410" s="9" t="n">
        <v>25</v>
      </c>
      <c r="E1410" s="16" t="inlineStr">
        <is>
          <t>R</t>
        </is>
      </c>
      <c r="F1410" s="16" t="n"/>
      <c r="G1410" s="9" t="n">
        <v>10.58461538461538</v>
      </c>
      <c r="H1410" s="9" t="n">
        <v>10.58461538461538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7" t="n"/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/>
      <c r="Y1410" s="13">
        <f>SUMPRODUCT(M1410:X1410,$M$2:$X$2)*$K1410*$L1410</f>
        <v/>
      </c>
      <c r="Z1410" s="14">
        <f>SUM(M1410:X1410)</f>
        <v/>
      </c>
      <c r="AA1410" s="14">
        <f>IFERROR(IF(UPPER($E1410)="L",SUMPRODUCT(M1410:X1410,$M$3:$X$3,$M$2:$X$2),SUMPRODUCT(M1410:X1410,$M$4:$X$4,$M$2:$X$2))/(Y1410/($K1410*$L1410)),"")</f>
        <v/>
      </c>
      <c r="AB1410" s="18" t="n"/>
    </row>
    <row r="1411">
      <c r="A1411" s="9" t="n">
        <v>676625</v>
      </c>
      <c r="B1411" s="9" t="inlineStr">
        <is>
          <t>Rylan Bannon</t>
        </is>
      </c>
      <c r="C1411" s="9" t="inlineStr">
        <is>
          <t>HOU</t>
        </is>
      </c>
      <c r="D1411" s="9" t="n">
        <v>31</v>
      </c>
      <c r="E1411" s="16" t="inlineStr">
        <is>
          <t>R</t>
        </is>
      </c>
      <c r="F1411" s="16" t="n"/>
      <c r="G1411" s="9" t="n">
        <v>6</v>
      </c>
      <c r="H1411" s="9" t="n">
        <v>21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7" t="n"/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/>
      <c r="Y1411" s="13">
        <f>SUMPRODUCT(M1411:X1411,$M$2:$X$2)*$K1411*$L1411</f>
        <v/>
      </c>
      <c r="Z1411" s="14">
        <f>SUM(M1411:X1411)</f>
        <v/>
      </c>
      <c r="AA1411" s="14">
        <f>IFERROR(IF(UPPER($E1411)="L",SUMPRODUCT(M1411:X1411,$M$3:$X$3,$M$2:$X$2),SUMPRODUCT(M1411:X1411,$M$4:$X$4,$M$2:$X$2))/(Y1411/($K1411*$L1411)),"")</f>
        <v/>
      </c>
      <c r="AB1411" s="18" t="n"/>
    </row>
    <row r="1412">
      <c r="A1412" s="9" t="n">
        <v>676063</v>
      </c>
      <c r="B1412" s="9" t="inlineStr">
        <is>
          <t>Shane McGuire</t>
        </is>
      </c>
      <c r="C1412" s="9" t="inlineStr">
        <is>
          <t>OAK</t>
        </is>
      </c>
      <c r="D1412" s="9" t="n">
        <v>25</v>
      </c>
      <c r="E1412" s="16" t="inlineStr">
        <is>
          <t>L</t>
        </is>
      </c>
      <c r="F1412" s="16" t="n"/>
      <c r="G1412" s="9" t="n">
        <v>36.97435897435898</v>
      </c>
      <c r="H1412" s="9" t="n">
        <v>36.97435897435898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7" t="n"/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/>
      <c r="Y1412" s="13">
        <f>SUMPRODUCT(M1412:X1412,$M$2:$X$2)*$K1412*$L1412</f>
        <v/>
      </c>
      <c r="Z1412" s="14">
        <f>SUM(M1412:X1412)</f>
        <v/>
      </c>
      <c r="AA1412" s="14">
        <f>IFERROR(IF(UPPER($E1412)="L",SUMPRODUCT(M1412:X1412,$M$3:$X$3,$M$2:$X$2),SUMPRODUCT(M1412:X1412,$M$4:$X$4,$M$2:$X$2))/(Y1412/($K1412*$L1412)),"")</f>
        <v/>
      </c>
      <c r="AB1412" s="18" t="n"/>
    </row>
    <row r="1413">
      <c r="A1413" s="9" t="n">
        <v>816152</v>
      </c>
      <c r="B1413" s="9" t="inlineStr">
        <is>
          <t>DJ Layton</t>
        </is>
      </c>
      <c r="C1413" s="9" t="inlineStr">
        <is>
          <t>BAL</t>
        </is>
      </c>
      <c r="D1413" s="9" t="n">
        <v>25</v>
      </c>
      <c r="E1413" s="16" t="inlineStr">
        <is>
          <t>S</t>
        </is>
      </c>
      <c r="F1413" s="16" t="n"/>
      <c r="G1413" s="9" t="n">
        <v>18.66666666666667</v>
      </c>
      <c r="H1413" s="9" t="n">
        <v>18.66666666666667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7" t="n"/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/>
      <c r="Y1413" s="13">
        <f>SUMPRODUCT(M1413:X1413,$M$2:$X$2)*$K1413*$L1413</f>
        <v/>
      </c>
      <c r="Z1413" s="14">
        <f>SUM(M1413:X1413)</f>
        <v/>
      </c>
      <c r="AA1413" s="14">
        <f>IFERROR(IF(UPPER($E1413)="L",SUMPRODUCT(M1413:X1413,$M$3:$X$3,$M$2:$X$2),SUMPRODUCT(M1413:X1413,$M$4:$X$4,$M$2:$X$2))/(Y1413/($K1413*$L1413)),"")</f>
        <v/>
      </c>
      <c r="AB1413" s="18" t="n"/>
    </row>
    <row r="1414">
      <c r="A1414" s="9" t="n">
        <v>808503</v>
      </c>
      <c r="B1414" s="9" t="inlineStr">
        <is>
          <t>Jeremy Almonte</t>
        </is>
      </c>
      <c r="C1414" s="9" t="inlineStr">
        <is>
          <t>MIA</t>
        </is>
      </c>
      <c r="D1414" s="9" t="n">
        <v>25</v>
      </c>
      <c r="E1414" s="16" t="inlineStr">
        <is>
          <t>R</t>
        </is>
      </c>
      <c r="F1414" s="16" t="n"/>
      <c r="G1414" s="9" t="n">
        <v>17.72307692307692</v>
      </c>
      <c r="H1414" s="9" t="n">
        <v>17.72307692307692</v>
      </c>
      <c r="I1414" s="9" t="inlineStr">
        <is>
          <t>Depth (no MLB PA)</t>
        </is>
      </c>
      <c r="J1414" s="16" t="inlineStr">
        <is>
          <t>Opening Day</t>
        </is>
      </c>
      <c r="K1414" s="11">
        <f>IFERROR(INDEX(Roles!$B$17:$B$20,MATCH(J1414,Roles!$A$17:$A$20,0)),1)</f>
        <v/>
      </c>
      <c r="L1414" s="17" t="n">
        <v>1</v>
      </c>
      <c r="M1414" s="17" t="n"/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/>
      <c r="Y1414" s="13">
        <f>SUMPRODUCT(M1414:X1414,$M$2:$X$2)*$K1414*$L1414</f>
        <v/>
      </c>
      <c r="Z1414" s="14">
        <f>SUM(M1414:X1414)</f>
        <v/>
      </c>
      <c r="AA1414" s="14">
        <f>IFERROR(IF(UPPER($E1414)="L",SUMPRODUCT(M1414:X1414,$M$3:$X$3,$M$2:$X$2),SUMPRODUCT(M1414:X1414,$M$4:$X$4,$M$2:$X$2))/(Y1414/($K1414*$L1414)),"")</f>
        <v/>
      </c>
      <c r="AB1414" s="18" t="n"/>
    </row>
    <row r="1415">
      <c r="A1415" s="9" t="n">
        <v>806053</v>
      </c>
      <c r="B1415" s="9" t="inlineStr">
        <is>
          <t>Dean Curley</t>
        </is>
      </c>
      <c r="C1415" s="9" t="inlineStr">
        <is>
          <t>CLE</t>
        </is>
      </c>
      <c r="D1415" s="9" t="n">
        <v>25</v>
      </c>
      <c r="E1415" s="16" t="inlineStr">
        <is>
          <t>R</t>
        </is>
      </c>
      <c r="F1415" s="16" t="n"/>
      <c r="G1415" s="9" t="n">
        <v>70</v>
      </c>
      <c r="H1415" s="9" t="n">
        <v>70</v>
      </c>
      <c r="I1415" s="9" t="inlineStr">
        <is>
          <t>Depth (no MLB PA)</t>
        </is>
      </c>
      <c r="J1415" s="16" t="inlineStr">
        <is>
          <t>Opening Day</t>
        </is>
      </c>
      <c r="K1415" s="11">
        <f>IFERROR(INDEX(Roles!$B$17:$B$20,MATCH(J1415,Roles!$A$17:$A$20,0)),1)</f>
        <v/>
      </c>
      <c r="L1415" s="17" t="n">
        <v>1</v>
      </c>
      <c r="M1415" s="17" t="n"/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/>
      <c r="Y1415" s="13">
        <f>SUMPRODUCT(M1415:X1415,$M$2:$X$2)*$K1415*$L1415</f>
        <v/>
      </c>
      <c r="Z1415" s="14">
        <f>SUM(M1415:X1415)</f>
        <v/>
      </c>
      <c r="AA1415" s="14">
        <f>IFERROR(IF(UPPER($E1415)="L",SUMPRODUCT(M1415:X1415,$M$3:$X$3,$M$2:$X$2),SUMPRODUCT(M1415:X1415,$M$4:$X$4,$M$2:$X$2))/(Y1415/($K1415*$L1415)),"")</f>
        <v/>
      </c>
      <c r="AB1415" s="18" t="n"/>
    </row>
    <row r="1416">
      <c r="A1416" s="9" t="n">
        <v>695046</v>
      </c>
      <c r="B1416" s="9" t="inlineStr">
        <is>
          <t>Drew Brutcher</t>
        </is>
      </c>
      <c r="C1416" s="9" t="inlineStr">
        <is>
          <t>HOU</t>
        </is>
      </c>
      <c r="D1416" s="9" t="n">
        <v>25</v>
      </c>
      <c r="E1416" s="16" t="inlineStr">
        <is>
          <t>L</t>
        </is>
      </c>
      <c r="F1416" s="16" t="n"/>
      <c r="G1416" s="9" t="n">
        <v>45.23076923076923</v>
      </c>
      <c r="H1416" s="9" t="n">
        <v>45.23076923076923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7" t="n"/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/>
      <c r="Y1416" s="13">
        <f>SUMPRODUCT(M1416:X1416,$M$2:$X$2)*$K1416*$L1416</f>
        <v/>
      </c>
      <c r="Z1416" s="14">
        <f>SUM(M1416:X1416)</f>
        <v/>
      </c>
      <c r="AA1416" s="14">
        <f>IFERROR(IF(UPPER($E1416)="L",SUMPRODUCT(M1416:X1416,$M$3:$X$3,$M$2:$X$2),SUMPRODUCT(M1416:X1416,$M$4:$X$4,$M$2:$X$2))/(Y1416/($K1416*$L1416)),"")</f>
        <v/>
      </c>
      <c r="AB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7" t="n"/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/>
      <c r="Y1417" s="13">
        <f>SUMPRODUCT(M1417:X1417,$M$2:$X$2)*$K1417*$L1417</f>
        <v/>
      </c>
      <c r="Z1417" s="14">
        <f>SUM(M1417:X1417)</f>
        <v/>
      </c>
      <c r="AA1417" s="14">
        <f>IFERROR(IF(UPPER($E1417)="L",SUMPRODUCT(M1417:X1417,$M$3:$X$3,$M$2:$X$2),SUMPRODUCT(M1417:X1417,$M$4:$X$4,$M$2:$X$2))/(Y1417/($K1417*$L1417)),"")</f>
        <v/>
      </c>
      <c r="AB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7" t="n"/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/>
      <c r="Y1418" s="13">
        <f>SUMPRODUCT(M1418:X1418,$M$2:$X$2)*$K1418*$L1418</f>
        <v/>
      </c>
      <c r="Z1418" s="14">
        <f>SUM(M1418:X1418)</f>
        <v/>
      </c>
      <c r="AA1418" s="14">
        <f>IFERROR(IF(UPPER($E1418)="L",SUMPRODUCT(M1418:X1418,$M$3:$X$3,$M$2:$X$2),SUMPRODUCT(M1418:X1418,$M$4:$X$4,$M$2:$X$2))/(Y1418/($K1418*$L1418)),"")</f>
        <v/>
      </c>
      <c r="AB1418" s="18" t="n"/>
    </row>
    <row r="1419">
      <c r="A1419" s="9" t="n">
        <v>806176</v>
      </c>
      <c r="B1419" s="9" t="inlineStr">
        <is>
          <t>Jose Ortiz</t>
        </is>
      </c>
      <c r="C1419" s="9" t="inlineStr">
        <is>
          <t>SF</t>
        </is>
      </c>
      <c r="D1419" s="9" t="n">
        <v>25</v>
      </c>
      <c r="E1419" s="16" t="inlineStr">
        <is>
          <t>R</t>
        </is>
      </c>
      <c r="F1419" s="16" t="n"/>
      <c r="G1419" s="9" t="n">
        <v>10.87179487179487</v>
      </c>
      <c r="H1419" s="9" t="n">
        <v>10.87179487179487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7" t="n"/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/>
      <c r="Y1419" s="13">
        <f>SUMPRODUCT(M1419:X1419,$M$2:$X$2)*$K1419*$L1419</f>
        <v/>
      </c>
      <c r="Z1419" s="14">
        <f>SUM(M1419:X1419)</f>
        <v/>
      </c>
      <c r="AA1419" s="14">
        <f>IFERROR(IF(UPPER($E1419)="L",SUMPRODUCT(M1419:X1419,$M$3:$X$3,$M$2:$X$2),SUMPRODUCT(M1419:X1419,$M$4:$X$4,$M$2:$X$2))/(Y1419/($K1419*$L1419)),"")</f>
        <v/>
      </c>
      <c r="AB1419" s="18" t="n"/>
    </row>
    <row r="1420">
      <c r="A1420" s="9" t="n">
        <v>809860</v>
      </c>
      <c r="B1420" s="9" t="inlineStr">
        <is>
          <t>Mason Lytle</t>
        </is>
      </c>
      <c r="C1420" s="9" t="inlineStr">
        <is>
          <t>HOU</t>
        </is>
      </c>
      <c r="D1420" s="9" t="n">
        <v>25</v>
      </c>
      <c r="E1420" s="16" t="inlineStr">
        <is>
          <t>R</t>
        </is>
      </c>
      <c r="F1420" s="16" t="n"/>
      <c r="G1420" s="9" t="n">
        <v>11.12820512820513</v>
      </c>
      <c r="H1420" s="9" t="n">
        <v>11.12820512820513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7" t="n"/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/>
      <c r="Y1420" s="13">
        <f>SUMPRODUCT(M1420:X1420,$M$2:$X$2)*$K1420*$L1420</f>
        <v/>
      </c>
      <c r="Z1420" s="14">
        <f>SUM(M1420:X1420)</f>
        <v/>
      </c>
      <c r="AA1420" s="14">
        <f>IFERROR(IF(UPPER($E1420)="L",SUMPRODUCT(M1420:X1420,$M$3:$X$3,$M$2:$X$2),SUMPRODUCT(M1420:X1420,$M$4:$X$4,$M$2:$X$2))/(Y1420/($K1420*$L1420)),"")</f>
        <v/>
      </c>
      <c r="AB1420" s="18" t="n"/>
    </row>
    <row r="1421">
      <c r="A1421" s="9" t="n">
        <v>821613</v>
      </c>
      <c r="B1421" s="9" t="inlineStr">
        <is>
          <t>Luis Fragoza</t>
        </is>
      </c>
      <c r="C1421" s="9" t="inlineStr">
        <is>
          <t>MIN</t>
        </is>
      </c>
      <c r="D1421" s="9" t="n">
        <v>25</v>
      </c>
      <c r="E1421" s="16" t="inlineStr">
        <is>
          <t>R</t>
        </is>
      </c>
      <c r="F1421" s="16" t="n"/>
      <c r="G1421" s="9" t="n">
        <v>10.87179487179487</v>
      </c>
      <c r="H1421" s="9" t="n">
        <v>10.87179487179487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7" t="n"/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/>
      <c r="Y1421" s="13">
        <f>SUMPRODUCT(M1421:X1421,$M$2:$X$2)*$K1421*$L1421</f>
        <v/>
      </c>
      <c r="Z1421" s="14">
        <f>SUM(M1421:X1421)</f>
        <v/>
      </c>
      <c r="AA1421" s="14">
        <f>IFERROR(IF(UPPER($E1421)="L",SUMPRODUCT(M1421:X1421,$M$3:$X$3,$M$2:$X$2),SUMPRODUCT(M1421:X1421,$M$4:$X$4,$M$2:$X$2))/(Y1421/($K1421*$L1421)),"")</f>
        <v/>
      </c>
      <c r="AB1421" s="18" t="n"/>
    </row>
    <row r="1422">
      <c r="A1422" s="9" t="n">
        <v>834966</v>
      </c>
      <c r="B1422" s="9" t="inlineStr">
        <is>
          <t>Dylan Grego</t>
        </is>
      </c>
      <c r="C1422" s="9" t="inlineStr">
        <is>
          <t>SD</t>
        </is>
      </c>
      <c r="D1422" s="9" t="n">
        <v>25</v>
      </c>
      <c r="E1422" s="16" t="inlineStr">
        <is>
          <t>S</t>
        </is>
      </c>
      <c r="F1422" s="16" t="n"/>
      <c r="G1422" s="9" t="n">
        <v>11.28205128205128</v>
      </c>
      <c r="H1422" s="9" t="n">
        <v>11.28205128205128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7" t="n"/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/>
      <c r="Y1422" s="13">
        <f>SUMPRODUCT(M1422:X1422,$M$2:$X$2)*$K1422*$L1422</f>
        <v/>
      </c>
      <c r="Z1422" s="14">
        <f>SUM(M1422:X1422)</f>
        <v/>
      </c>
      <c r="AA1422" s="14">
        <f>IFERROR(IF(UPPER($E1422)="L",SUMPRODUCT(M1422:X1422,$M$3:$X$3,$M$2:$X$2),SUMPRODUCT(M1422:X1422,$M$4:$X$4,$M$2:$X$2))/(Y1422/($K1422*$L1422)),"")</f>
        <v/>
      </c>
      <c r="AB1422" s="18" t="n"/>
    </row>
    <row r="1423">
      <c r="A1423" s="9" t="n">
        <v>806981</v>
      </c>
      <c r="B1423" s="9" t="inlineStr">
        <is>
          <t>Luis Almeyda</t>
        </is>
      </c>
      <c r="C1423" s="9" t="inlineStr">
        <is>
          <t>BAL</t>
        </is>
      </c>
      <c r="D1423" s="9" t="n">
        <v>25</v>
      </c>
      <c r="E1423" s="16" t="inlineStr">
        <is>
          <t>R</t>
        </is>
      </c>
      <c r="F1423" s="16" t="n"/>
      <c r="G1423" s="9" t="n">
        <v>11.07692307692308</v>
      </c>
      <c r="H1423" s="9" t="n">
        <v>11.07692307692308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7" t="n"/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/>
      <c r="Y1423" s="13">
        <f>SUMPRODUCT(M1423:X1423,$M$2:$X$2)*$K1423*$L1423</f>
        <v/>
      </c>
      <c r="Z1423" s="14">
        <f>SUM(M1423:X1423)</f>
        <v/>
      </c>
      <c r="AA1423" s="14">
        <f>IFERROR(IF(UPPER($E1423)="L",SUMPRODUCT(M1423:X1423,$M$3:$X$3,$M$2:$X$2),SUMPRODUCT(M1423:X1423,$M$4:$X$4,$M$2:$X$2))/(Y1423/($K1423*$L1423)),"")</f>
        <v/>
      </c>
      <c r="AB1423" s="18" t="n"/>
    </row>
    <row r="1424">
      <c r="A1424" s="9" t="n">
        <v>685716</v>
      </c>
      <c r="B1424" s="9" t="inlineStr">
        <is>
          <t>Nelson Quiroz</t>
        </is>
      </c>
      <c r="C1424" s="9" t="inlineStr">
        <is>
          <t>LAD</t>
        </is>
      </c>
      <c r="D1424" s="9" t="n">
        <v>25</v>
      </c>
      <c r="E1424" s="16" t="inlineStr">
        <is>
          <t>L</t>
        </is>
      </c>
      <c r="F1424" s="16" t="n"/>
      <c r="G1424" s="9" t="n">
        <v>20.10256410256411</v>
      </c>
      <c r="H1424" s="9" t="n">
        <v>20.10256410256411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7" t="n"/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/>
      <c r="Y1424" s="13">
        <f>SUMPRODUCT(M1424:X1424,$M$2:$X$2)*$K1424*$L1424</f>
        <v/>
      </c>
      <c r="Z1424" s="14">
        <f>SUM(M1424:X1424)</f>
        <v/>
      </c>
      <c r="AA1424" s="14">
        <f>IFERROR(IF(UPPER($E1424)="L",SUMPRODUCT(M1424:X1424,$M$3:$X$3,$M$2:$X$2),SUMPRODUCT(M1424:X1424,$M$4:$X$4,$M$2:$X$2))/(Y1424/($K1424*$L1424)),"")</f>
        <v/>
      </c>
      <c r="AB1424" s="18" t="n"/>
    </row>
    <row r="1425">
      <c r="A1425" s="9" t="n">
        <v>700681</v>
      </c>
      <c r="B1425" s="9" t="inlineStr">
        <is>
          <t>Nick Lorusso</t>
        </is>
      </c>
      <c r="C1425" s="9" t="inlineStr">
        <is>
          <t>NYM</t>
        </is>
      </c>
      <c r="D1425" s="9" t="n">
        <v>25</v>
      </c>
      <c r="E1425" s="16" t="inlineStr">
        <is>
          <t>R</t>
        </is>
      </c>
      <c r="F1425" s="16" t="n"/>
      <c r="G1425" s="9" t="n">
        <v>58.10256410256411</v>
      </c>
      <c r="H1425" s="9" t="n">
        <v>58.10256410256411</v>
      </c>
      <c r="I1425" s="9" t="inlineStr">
        <is>
          <t>Depth (no MLB PA)</t>
        </is>
      </c>
      <c r="J1425" s="16" t="inlineStr">
        <is>
          <t>Opening Day</t>
        </is>
      </c>
      <c r="K1425" s="11">
        <f>IFERROR(INDEX(Roles!$B$17:$B$20,MATCH(J1425,Roles!$A$17:$A$20,0)),1)</f>
        <v/>
      </c>
      <c r="L1425" s="17" t="n">
        <v>1</v>
      </c>
      <c r="M1425" s="17" t="n"/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/>
      <c r="Y1425" s="13">
        <f>SUMPRODUCT(M1425:X1425,$M$2:$X$2)*$K1425*$L1425</f>
        <v/>
      </c>
      <c r="Z1425" s="14">
        <f>SUM(M1425:X1425)</f>
        <v/>
      </c>
      <c r="AA1425" s="14">
        <f>IFERROR(IF(UPPER($E1425)="L",SUMPRODUCT(M1425:X1425,$M$3:$X$3,$M$2:$X$2),SUMPRODUCT(M1425:X1425,$M$4:$X$4,$M$2:$X$2))/(Y1425/($K1425*$L1425)),"")</f>
        <v/>
      </c>
      <c r="AB1425" s="18" t="n"/>
    </row>
    <row r="1426">
      <c r="A1426" s="9" t="n">
        <v>701701</v>
      </c>
      <c r="B1426" s="9" t="inlineStr">
        <is>
          <t>Quincy Scott</t>
        </is>
      </c>
      <c r="C1426" s="9" t="inlineStr">
        <is>
          <t>TEX</t>
        </is>
      </c>
      <c r="D1426" s="9" t="n">
        <v>25</v>
      </c>
      <c r="E1426" s="16" t="inlineStr">
        <is>
          <t>R</t>
        </is>
      </c>
      <c r="F1426" s="16" t="n"/>
      <c r="G1426" s="9" t="n">
        <v>70.97435897435898</v>
      </c>
      <c r="H1426" s="9" t="n">
        <v>70.97435897435898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7" t="n"/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/>
      <c r="Y1426" s="13">
        <f>SUMPRODUCT(M1426:X1426,$M$2:$X$2)*$K1426*$L1426</f>
        <v/>
      </c>
      <c r="Z1426" s="14">
        <f>SUM(M1426:X1426)</f>
        <v/>
      </c>
      <c r="AA1426" s="14">
        <f>IFERROR(IF(UPPER($E1426)="L",SUMPRODUCT(M1426:X1426,$M$3:$X$3,$M$2:$X$2),SUMPRODUCT(M1426:X1426,$M$4:$X$4,$M$2:$X$2))/(Y1426/($K1426*$L1426)),"")</f>
        <v/>
      </c>
      <c r="AB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7" t="n"/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/>
      <c r="Y1427" s="13">
        <f>SUMPRODUCT(M1427:X1427,$M$2:$X$2)*$K1427*$L1427</f>
        <v/>
      </c>
      <c r="Z1427" s="14">
        <f>SUM(M1427:X1427)</f>
        <v/>
      </c>
      <c r="AA1427" s="14">
        <f>IFERROR(IF(UPPER($E1427)="L",SUMPRODUCT(M1427:X1427,$M$3:$X$3,$M$2:$X$2),SUMPRODUCT(M1427:X1427,$M$4:$X$4,$M$2:$X$2))/(Y1427/($K1427*$L1427)),"")</f>
        <v/>
      </c>
      <c r="AB1427" s="18" t="n"/>
    </row>
    <row r="1428">
      <c r="A1428" s="9" t="n">
        <v>826545</v>
      </c>
      <c r="B1428" s="9" t="inlineStr">
        <is>
          <t>Brendan Durfee</t>
        </is>
      </c>
      <c r="C1428" s="9" t="inlineStr">
        <is>
          <t>SD</t>
        </is>
      </c>
      <c r="D1428" s="9" t="n">
        <v>25</v>
      </c>
      <c r="E1428" s="16" t="inlineStr">
        <is>
          <t>L</t>
        </is>
      </c>
      <c r="F1428" s="16" t="n"/>
      <c r="G1428" s="9" t="n">
        <v>45.23076923076923</v>
      </c>
      <c r="H1428" s="9" t="n">
        <v>45.23076923076923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7" t="n"/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/>
      <c r="Y1428" s="13">
        <f>SUMPRODUCT(M1428:X1428,$M$2:$X$2)*$K1428*$L1428</f>
        <v/>
      </c>
      <c r="Z1428" s="14">
        <f>SUM(M1428:X1428)</f>
        <v/>
      </c>
      <c r="AA1428" s="14">
        <f>IFERROR(IF(UPPER($E1428)="L",SUMPRODUCT(M1428:X1428,$M$3:$X$3,$M$2:$X$2),SUMPRODUCT(M1428:X1428,$M$4:$X$4,$M$2:$X$2))/(Y1428/($K1428*$L1428)),"")</f>
        <v/>
      </c>
      <c r="AB1428" s="18" t="n"/>
    </row>
    <row r="1429">
      <c r="A1429" s="9" t="n">
        <v>677007</v>
      </c>
      <c r="B1429" s="9" t="inlineStr">
        <is>
          <t>Josh Breaux</t>
        </is>
      </c>
      <c r="C1429" s="9" t="inlineStr">
        <is>
          <t>CWS</t>
        </is>
      </c>
      <c r="D1429" s="9" t="n">
        <v>25</v>
      </c>
      <c r="E1429" s="16" t="inlineStr">
        <is>
          <t>R</t>
        </is>
      </c>
      <c r="F1429" s="16" t="n"/>
      <c r="G1429" s="9" t="n">
        <v>26.51282051282051</v>
      </c>
      <c r="H1429" s="9" t="n">
        <v>26.51282051282051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7" t="n"/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/>
      <c r="Y1429" s="13">
        <f>SUMPRODUCT(M1429:X1429,$M$2:$X$2)*$K1429*$L1429</f>
        <v/>
      </c>
      <c r="Z1429" s="14">
        <f>SUM(M1429:X1429)</f>
        <v/>
      </c>
      <c r="AA1429" s="14">
        <f>IFERROR(IF(UPPER($E1429)="L",SUMPRODUCT(M1429:X1429,$M$3:$X$3,$M$2:$X$2),SUMPRODUCT(M1429:X1429,$M$4:$X$4,$M$2:$X$2))/(Y1429/($K1429*$L1429)),"")</f>
        <v/>
      </c>
      <c r="AB1429" s="18" t="n"/>
    </row>
    <row r="1430">
      <c r="A1430" s="9" t="n">
        <v>691442</v>
      </c>
      <c r="B1430" s="9" t="inlineStr">
        <is>
          <t>Wilfred Veras</t>
        </is>
      </c>
      <c r="C1430" s="9" t="inlineStr">
        <is>
          <t>CWS</t>
        </is>
      </c>
      <c r="D1430" s="9" t="n">
        <v>25</v>
      </c>
      <c r="E1430" s="16" t="inlineStr">
        <is>
          <t>R</t>
        </is>
      </c>
      <c r="F1430" s="16" t="n"/>
      <c r="G1430" s="9" t="n">
        <v>62.46153846153845</v>
      </c>
      <c r="H1430" s="9" t="n">
        <v>62.46153846153845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7" t="n"/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/>
      <c r="Y1430" s="13">
        <f>SUMPRODUCT(M1430:X1430,$M$2:$X$2)*$K1430*$L1430</f>
        <v/>
      </c>
      <c r="Z1430" s="14">
        <f>SUM(M1430:X1430)</f>
        <v/>
      </c>
      <c r="AA1430" s="14">
        <f>IFERROR(IF(UPPER($E1430)="L",SUMPRODUCT(M1430:X1430,$M$3:$X$3,$M$2:$X$2),SUMPRODUCT(M1430:X1430,$M$4:$X$4,$M$2:$X$2))/(Y1430/($K1430*$L1430)),"")</f>
        <v/>
      </c>
      <c r="AB1430" s="18" t="n"/>
    </row>
    <row r="1431">
      <c r="A1431" s="9" t="n">
        <v>691944</v>
      </c>
      <c r="B1431" s="9" t="inlineStr">
        <is>
          <t>Mac Guscette</t>
        </is>
      </c>
      <c r="C1431" s="9" t="inlineStr">
        <is>
          <t>ATL</t>
        </is>
      </c>
      <c r="D1431" s="9" t="n">
        <v>25</v>
      </c>
      <c r="E1431" s="16" t="inlineStr">
        <is>
          <t>R</t>
        </is>
      </c>
      <c r="F1431" s="16" t="n"/>
      <c r="G1431" s="9" t="n">
        <v>33.02564102564103</v>
      </c>
      <c r="H1431" s="9" t="n">
        <v>33.02564102564103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7" t="n"/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/>
      <c r="Y1431" s="13">
        <f>SUMPRODUCT(M1431:X1431,$M$2:$X$2)*$K1431*$L1431</f>
        <v/>
      </c>
      <c r="Z1431" s="14">
        <f>SUM(M1431:X1431)</f>
        <v/>
      </c>
      <c r="AA1431" s="14">
        <f>IFERROR(IF(UPPER($E1431)="L",SUMPRODUCT(M1431:X1431,$M$3:$X$3,$M$2:$X$2),SUMPRODUCT(M1431:X1431,$M$4:$X$4,$M$2:$X$2))/(Y1431/($K1431*$L1431)),"")</f>
        <v/>
      </c>
      <c r="AB1431" s="18" t="n"/>
    </row>
    <row r="1432">
      <c r="A1432" s="9" t="n">
        <v>687553</v>
      </c>
      <c r="B1432" s="9" t="inlineStr">
        <is>
          <t>Kamren James</t>
        </is>
      </c>
      <c r="C1432" s="9" t="inlineStr">
        <is>
          <t>TB</t>
        </is>
      </c>
      <c r="D1432" s="9" t="n">
        <v>25</v>
      </c>
      <c r="E1432" s="16" t="inlineStr">
        <is>
          <t>R</t>
        </is>
      </c>
      <c r="F1432" s="16" t="n"/>
      <c r="G1432" s="9" t="n">
        <v>71.7948717948718</v>
      </c>
      <c r="H1432" s="9" t="n">
        <v>71.7948717948718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7" t="n"/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/>
      <c r="Y1432" s="13">
        <f>SUMPRODUCT(M1432:X1432,$M$2:$X$2)*$K1432*$L1432</f>
        <v/>
      </c>
      <c r="Z1432" s="14">
        <f>SUM(M1432:X1432)</f>
        <v/>
      </c>
      <c r="AA1432" s="14">
        <f>IFERROR(IF(UPPER($E1432)="L",SUMPRODUCT(M1432:X1432,$M$3:$X$3,$M$2:$X$2),SUMPRODUCT(M1432:X1432,$M$4:$X$4,$M$2:$X$2))/(Y1432/($K1432*$L1432)),"")</f>
        <v/>
      </c>
      <c r="AB1432" s="18" t="n"/>
    </row>
    <row r="1433">
      <c r="A1433" s="9" t="n">
        <v>692366</v>
      </c>
      <c r="B1433" s="9" t="inlineStr">
        <is>
          <t>Onil Perez</t>
        </is>
      </c>
      <c r="C1433" s="9" t="inlineStr">
        <is>
          <t>SF</t>
        </is>
      </c>
      <c r="D1433" s="9" t="n">
        <v>25</v>
      </c>
      <c r="E1433" s="16" t="inlineStr">
        <is>
          <t>R</t>
        </is>
      </c>
      <c r="F1433" s="16" t="n"/>
      <c r="G1433" s="9" t="n">
        <v>11.48717948717949</v>
      </c>
      <c r="H1433" s="9" t="n">
        <v>11.48717948717949</v>
      </c>
      <c r="I1433" s="9" t="inlineStr">
        <is>
          <t>Depth (no MLB PA)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7" t="n"/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/>
      <c r="W1433" s="17" t="n"/>
      <c r="X1433" s="17" t="n"/>
      <c r="Y1433" s="13">
        <f>SUMPRODUCT(M1433:X1433,$M$2:$X$2)*$K1433*$L1433</f>
        <v/>
      </c>
      <c r="Z1433" s="14">
        <f>SUM(M1433:X1433)</f>
        <v/>
      </c>
      <c r="AA1433" s="14">
        <f>IFERROR(IF(UPPER($E1433)="L",SUMPRODUCT(M1433:X1433,$M$3:$X$3,$M$2:$X$2),SUMPRODUCT(M1433:X1433,$M$4:$X$4,$M$2:$X$2))/(Y1433/($K1433*$L1433)),"")</f>
        <v/>
      </c>
      <c r="AB1433" s="18" t="n"/>
    </row>
    <row r="1434">
      <c r="A1434" s="9" t="n">
        <v>806083</v>
      </c>
      <c r="B1434" s="9" t="inlineStr">
        <is>
          <t>J.D. Gonzalez</t>
        </is>
      </c>
      <c r="C1434" s="9" t="inlineStr">
        <is>
          <t>TB</t>
        </is>
      </c>
      <c r="D1434" s="9" t="n">
        <v>25</v>
      </c>
      <c r="E1434" s="16" t="inlineStr">
        <is>
          <t>L</t>
        </is>
      </c>
      <c r="F1434" s="16" t="n"/>
      <c r="G1434" s="9" t="n">
        <v>19.48717948717949</v>
      </c>
      <c r="H1434" s="9" t="n">
        <v>19.48717948717949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7" t="n"/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/>
      <c r="Y1434" s="13">
        <f>SUMPRODUCT(M1434:X1434,$M$2:$X$2)*$K1434*$L1434</f>
        <v/>
      </c>
      <c r="Z1434" s="14">
        <f>SUM(M1434:X1434)</f>
        <v/>
      </c>
      <c r="AA1434" s="14">
        <f>IFERROR(IF(UPPER($E1434)="L",SUMPRODUCT(M1434:X1434,$M$3:$X$3,$M$2:$X$2),SUMPRODUCT(M1434:X1434,$M$4:$X$4,$M$2:$X$2))/(Y1434/($K1434*$L1434)),"")</f>
        <v/>
      </c>
      <c r="AB1434" s="18" t="n"/>
    </row>
    <row r="1435">
      <c r="A1435" s="9" t="n">
        <v>804946</v>
      </c>
      <c r="B1435" s="9" t="inlineStr">
        <is>
          <t>Tyler Howard</t>
        </is>
      </c>
      <c r="C1435" s="9" t="inlineStr">
        <is>
          <t>CLE</t>
        </is>
      </c>
      <c r="D1435" s="9" t="n">
        <v>25</v>
      </c>
      <c r="E1435" s="16" t="inlineStr">
        <is>
          <t>R</t>
        </is>
      </c>
      <c r="F1435" s="16" t="n"/>
      <c r="G1435" s="9" t="n">
        <v>24.41025641025641</v>
      </c>
      <c r="H1435" s="9" t="n">
        <v>24.41025641025641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7" t="n"/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/>
      <c r="Y1435" s="13">
        <f>SUMPRODUCT(M1435:X1435,$M$2:$X$2)*$K1435*$L1435</f>
        <v/>
      </c>
      <c r="Z1435" s="14">
        <f>SUM(M1435:X1435)</f>
        <v/>
      </c>
      <c r="AA1435" s="14">
        <f>IFERROR(IF(UPPER($E1435)="L",SUMPRODUCT(M1435:X1435,$M$3:$X$3,$M$2:$X$2),SUMPRODUCT(M1435:X1435,$M$4:$X$4,$M$2:$X$2))/(Y1435/($K1435*$L1435)),"")</f>
        <v/>
      </c>
      <c r="AB1435" s="18" t="n"/>
    </row>
    <row r="1436">
      <c r="A1436" s="9" t="n">
        <v>682729</v>
      </c>
      <c r="B1436" s="9" t="inlineStr">
        <is>
          <t>Jonatan Clase</t>
        </is>
      </c>
      <c r="C1436" s="9" t="inlineStr">
        <is>
          <t>TOR</t>
        </is>
      </c>
      <c r="D1436" s="9" t="n">
        <v>25</v>
      </c>
      <c r="E1436" s="16" t="inlineStr">
        <is>
          <t>S</t>
        </is>
      </c>
      <c r="F1436" s="16" t="n"/>
      <c r="G1436" s="9" t="n">
        <v>25</v>
      </c>
      <c r="H1436" s="9" t="n">
        <v>203</v>
      </c>
      <c r="I1436" s="9" t="inlineStr">
        <is>
          <t>Bench Bat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7" t="n"/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/>
      <c r="Y1436" s="13">
        <f>SUMPRODUCT(M1436:X1436,$M$2:$X$2)*$K1436*$L1436</f>
        <v/>
      </c>
      <c r="Z1436" s="14">
        <f>SUM(M1436:X1436)</f>
        <v/>
      </c>
      <c r="AA1436" s="14">
        <f>IFERROR(IF(UPPER($E1436)="L",SUMPRODUCT(M1436:X1436,$M$3:$X$3,$M$2:$X$2),SUMPRODUCT(M1436:X1436,$M$4:$X$4,$M$2:$X$2))/(Y1436/($K1436*$L1436)),"")</f>
        <v/>
      </c>
      <c r="AB1436" s="18" t="n"/>
    </row>
    <row r="1437">
      <c r="A1437" s="9" t="n">
        <v>676761</v>
      </c>
      <c r="B1437" s="9" t="inlineStr">
        <is>
          <t>Irving Lopez</t>
        </is>
      </c>
      <c r="C1437" s="9" t="inlineStr">
        <is>
          <t>STL</t>
        </is>
      </c>
      <c r="D1437" s="9" t="n">
        <v>32</v>
      </c>
      <c r="E1437" s="16" t="inlineStr">
        <is>
          <t>L</t>
        </is>
      </c>
      <c r="F1437" s="16" t="n"/>
      <c r="G1437" s="9" t="n">
        <v>12</v>
      </c>
      <c r="H1437" s="9" t="n">
        <v>12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7" t="n"/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/>
      <c r="Y1437" s="13">
        <f>SUMPRODUCT(M1437:X1437,$M$2:$X$2)*$K1437*$L1437</f>
        <v/>
      </c>
      <c r="Z1437" s="14">
        <f>SUM(M1437:X1437)</f>
        <v/>
      </c>
      <c r="AA1437" s="14">
        <f>IFERROR(IF(UPPER($E1437)="L",SUMPRODUCT(M1437:X1437,$M$3:$X$3,$M$2:$X$2),SUMPRODUCT(M1437:X1437,$M$4:$X$4,$M$2:$X$2))/(Y1437/($K1437*$L1437)),"")</f>
        <v/>
      </c>
      <c r="AB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7" t="n"/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/>
      <c r="Y1438" s="13">
        <f>SUMPRODUCT(M1438:X1438,$M$2:$X$2)*$K1438*$L1438</f>
        <v/>
      </c>
      <c r="Z1438" s="14">
        <f>SUM(M1438:X1438)</f>
        <v/>
      </c>
      <c r="AA1438" s="14">
        <f>IFERROR(IF(UPPER($E1438)="L",SUMPRODUCT(M1438:X1438,$M$3:$X$3,$M$2:$X$2),SUMPRODUCT(M1438:X1438,$M$4:$X$4,$M$2:$X$2))/(Y1438/($K1438*$L1438)),"")</f>
        <v/>
      </c>
      <c r="AB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7" t="n"/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/>
      <c r="Y1439" s="13">
        <f>SUMPRODUCT(M1439:X1439,$M$2:$X$2)*$K1439*$L1439</f>
        <v/>
      </c>
      <c r="Z1439" s="14">
        <f>SUM(M1439:X1439)</f>
        <v/>
      </c>
      <c r="AA1439" s="14">
        <f>IFERROR(IF(UPPER($E1439)="L",SUMPRODUCT(M1439:X1439,$M$3:$X$3,$M$2:$X$2),SUMPRODUCT(M1439:X1439,$M$4:$X$4,$M$2:$X$2))/(Y1439/($K1439*$L1439)),"")</f>
        <v/>
      </c>
      <c r="AB1439" s="18" t="n"/>
    </row>
    <row r="1440">
      <c r="A1440" s="9" t="n">
        <v>702517</v>
      </c>
      <c r="B1440" s="9" t="inlineStr">
        <is>
          <t>Mason White</t>
        </is>
      </c>
      <c r="C1440" s="9" t="inlineStr">
        <is>
          <t>BOS</t>
        </is>
      </c>
      <c r="D1440" s="9" t="n">
        <v>25</v>
      </c>
      <c r="E1440" s="16" t="inlineStr">
        <is>
          <t>L</t>
        </is>
      </c>
      <c r="F1440" s="16" t="n"/>
      <c r="G1440" s="9" t="n">
        <v>45.23076923076923</v>
      </c>
      <c r="H1440" s="9" t="n">
        <v>45.23076923076923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7" t="n"/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/>
      <c r="Y1440" s="13">
        <f>SUMPRODUCT(M1440:X1440,$M$2:$X$2)*$K1440*$L1440</f>
        <v/>
      </c>
      <c r="Z1440" s="14">
        <f>SUM(M1440:X1440)</f>
        <v/>
      </c>
      <c r="AA1440" s="14">
        <f>IFERROR(IF(UPPER($E1440)="L",SUMPRODUCT(M1440:X1440,$M$3:$X$3,$M$2:$X$2),SUMPRODUCT(M1440:X1440,$M$4:$X$4,$M$2:$X$2))/(Y1440/($K1440*$L1440)),"")</f>
        <v/>
      </c>
      <c r="AB1440" s="18" t="n"/>
    </row>
    <row r="1441">
      <c r="A1441" s="9" t="n">
        <v>816207</v>
      </c>
      <c r="B1441" s="9" t="inlineStr">
        <is>
          <t>Jared Davis</t>
        </is>
      </c>
      <c r="C1441" s="9" t="inlineStr">
        <is>
          <t>OAK</t>
        </is>
      </c>
      <c r="D1441" s="9" t="n">
        <v>25</v>
      </c>
      <c r="E1441" s="16" t="inlineStr">
        <is>
          <t>R</t>
        </is>
      </c>
      <c r="F1441" s="16" t="n"/>
      <c r="G1441" s="9" t="n">
        <v>11.69230769230769</v>
      </c>
      <c r="H1441" s="9" t="n">
        <v>11.69230769230769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7" t="n"/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/>
      <c r="Y1441" s="13">
        <f>SUMPRODUCT(M1441:X1441,$M$2:$X$2)*$K1441*$L1441</f>
        <v/>
      </c>
      <c r="Z1441" s="14">
        <f>SUM(M1441:X1441)</f>
        <v/>
      </c>
      <c r="AA1441" s="14">
        <f>IFERROR(IF(UPPER($E1441)="L",SUMPRODUCT(M1441:X1441,$M$3:$X$3,$M$2:$X$2),SUMPRODUCT(M1441:X1441,$M$4:$X$4,$M$2:$X$2))/(Y1441/($K1441*$L1441)),"")</f>
        <v/>
      </c>
      <c r="AB1441" s="18" t="n"/>
    </row>
    <row r="1442">
      <c r="A1442" s="9" t="n">
        <v>814748</v>
      </c>
      <c r="B1442" s="9" t="inlineStr">
        <is>
          <t>Dariel Ramon</t>
        </is>
      </c>
      <c r="C1442" s="9" t="inlineStr">
        <is>
          <t>TOR</t>
        </is>
      </c>
      <c r="D1442" s="9" t="n">
        <v>25</v>
      </c>
      <c r="E1442" s="16" t="inlineStr">
        <is>
          <t>R</t>
        </is>
      </c>
      <c r="F1442" s="16" t="n"/>
      <c r="G1442" s="9" t="n">
        <v>11.48717948717949</v>
      </c>
      <c r="H1442" s="9" t="n">
        <v>11.48717948717949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7" t="n"/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/>
      <c r="Y1442" s="13">
        <f>SUMPRODUCT(M1442:X1442,$M$2:$X$2)*$K1442*$L1442</f>
        <v/>
      </c>
      <c r="Z1442" s="14">
        <f>SUM(M1442:X1442)</f>
        <v/>
      </c>
      <c r="AA1442" s="14">
        <f>IFERROR(IF(UPPER($E1442)="L",SUMPRODUCT(M1442:X1442,$M$3:$X$3,$M$2:$X$2),SUMPRODUCT(M1442:X1442,$M$4:$X$4,$M$2:$X$2))/(Y1442/($K1442*$L1442)),"")</f>
        <v/>
      </c>
      <c r="AB1442" s="18" t="n"/>
    </row>
    <row r="1443">
      <c r="A1443" s="9" t="n">
        <v>702114</v>
      </c>
      <c r="B1443" s="9" t="inlineStr">
        <is>
          <t>John Michael Faile</t>
        </is>
      </c>
      <c r="C1443" s="9" t="inlineStr">
        <is>
          <t>CIN</t>
        </is>
      </c>
      <c r="D1443" s="9" t="n">
        <v>25</v>
      </c>
      <c r="E1443" s="16" t="inlineStr">
        <is>
          <t>R</t>
        </is>
      </c>
      <c r="F1443" s="16" t="n"/>
      <c r="G1443" s="9" t="n">
        <v>71.58974358974359</v>
      </c>
      <c r="H1443" s="9" t="n">
        <v>71.58974358974359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7" t="n"/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/>
      <c r="Y1443" s="13">
        <f>SUMPRODUCT(M1443:X1443,$M$2:$X$2)*$K1443*$L1443</f>
        <v/>
      </c>
      <c r="Z1443" s="14">
        <f>SUM(M1443:X1443)</f>
        <v/>
      </c>
      <c r="AA1443" s="14">
        <f>IFERROR(IF(UPPER($E1443)="L",SUMPRODUCT(M1443:X1443,$M$3:$X$3,$M$2:$X$2),SUMPRODUCT(M1443:X1443,$M$4:$X$4,$M$2:$X$2))/(Y1443/($K1443*$L1443)),"")</f>
        <v/>
      </c>
      <c r="AB1443" s="18" t="n"/>
    </row>
    <row r="1444">
      <c r="A1444" s="9" t="n">
        <v>683169</v>
      </c>
      <c r="B1444" s="9" t="inlineStr">
        <is>
          <t>Sean McLain</t>
        </is>
      </c>
      <c r="C1444" s="9" t="inlineStr">
        <is>
          <t>LAD</t>
        </is>
      </c>
      <c r="D1444" s="9" t="n">
        <v>25</v>
      </c>
      <c r="E1444" s="16" t="inlineStr">
        <is>
          <t>R</t>
        </is>
      </c>
      <c r="F1444" s="16" t="n"/>
      <c r="G1444" s="9" t="n">
        <v>71.43589743589743</v>
      </c>
      <c r="H1444" s="9" t="n">
        <v>71.43589743589743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7" t="n"/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/>
      <c r="Y1444" s="13">
        <f>SUMPRODUCT(M1444:X1444,$M$2:$X$2)*$K1444*$L1444</f>
        <v/>
      </c>
      <c r="Z1444" s="14">
        <f>SUM(M1444:X1444)</f>
        <v/>
      </c>
      <c r="AA1444" s="14">
        <f>IFERROR(IF(UPPER($E1444)="L",SUMPRODUCT(M1444:X1444,$M$3:$X$3,$M$2:$X$2),SUMPRODUCT(M1444:X1444,$M$4:$X$4,$M$2:$X$2))/(Y1444/($K1444*$L1444)),"")</f>
        <v/>
      </c>
      <c r="AB1444" s="18" t="n"/>
    </row>
    <row r="1445">
      <c r="A1445" s="9" t="n">
        <v>694204</v>
      </c>
      <c r="B1445" s="9" t="inlineStr">
        <is>
          <t>Maikol Hernández</t>
        </is>
      </c>
      <c r="C1445" s="9" t="inlineStr">
        <is>
          <t>BAL</t>
        </is>
      </c>
      <c r="D1445" s="9" t="n">
        <v>25</v>
      </c>
      <c r="E1445" s="16" t="inlineStr">
        <is>
          <t>R</t>
        </is>
      </c>
      <c r="F1445" s="16" t="n"/>
      <c r="G1445" s="9" t="n">
        <v>11.28205128205128</v>
      </c>
      <c r="H1445" s="9" t="n">
        <v>11.28205128205128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7" t="n"/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/>
      <c r="Y1445" s="13">
        <f>SUMPRODUCT(M1445:X1445,$M$2:$X$2)*$K1445*$L1445</f>
        <v/>
      </c>
      <c r="Z1445" s="14">
        <f>SUM(M1445:X1445)</f>
        <v/>
      </c>
      <c r="AA1445" s="14">
        <f>IFERROR(IF(UPPER($E1445)="L",SUMPRODUCT(M1445:X1445,$M$3:$X$3,$M$2:$X$2),SUMPRODUCT(M1445:X1445,$M$4:$X$4,$M$2:$X$2))/(Y1445/($K1445*$L1445)),"")</f>
        <v/>
      </c>
      <c r="AB1445" s="18" t="n"/>
    </row>
    <row r="1446">
      <c r="A1446" s="9" t="n">
        <v>815897</v>
      </c>
      <c r="B1446" s="9" t="inlineStr">
        <is>
          <t>Robert Arias</t>
        </is>
      </c>
      <c r="C1446" s="9" t="inlineStr">
        <is>
          <t>CLE</t>
        </is>
      </c>
      <c r="D1446" s="9" t="n">
        <v>25</v>
      </c>
      <c r="E1446" s="16" t="inlineStr">
        <is>
          <t>L</t>
        </is>
      </c>
      <c r="F1446" s="16" t="n"/>
      <c r="G1446" s="9" t="n">
        <v>23.01538461538461</v>
      </c>
      <c r="H1446" s="9" t="n">
        <v>23.01538461538461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7" t="n"/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/>
      <c r="Y1446" s="13">
        <f>SUMPRODUCT(M1446:X1446,$M$2:$X$2)*$K1446*$L1446</f>
        <v/>
      </c>
      <c r="Z1446" s="14">
        <f>SUM(M1446:X1446)</f>
        <v/>
      </c>
      <c r="AA1446" s="14">
        <f>IFERROR(IF(UPPER($E1446)="L",SUMPRODUCT(M1446:X1446,$M$3:$X$3,$M$2:$X$2),SUMPRODUCT(M1446:X1446,$M$4:$X$4,$M$2:$X$2))/(Y1446/($K1446*$L1446)),"")</f>
        <v/>
      </c>
      <c r="AB1446" s="18" t="n"/>
    </row>
    <row r="1447">
      <c r="A1447" s="9" t="n">
        <v>828519</v>
      </c>
      <c r="B1447" s="9" t="inlineStr">
        <is>
          <t>Braylon Whitaker</t>
        </is>
      </c>
      <c r="C1447" s="9" t="inlineStr">
        <is>
          <t>BAL</t>
        </is>
      </c>
      <c r="D1447" s="9" t="n">
        <v>25</v>
      </c>
      <c r="E1447" s="16" t="inlineStr">
        <is>
          <t>L</t>
        </is>
      </c>
      <c r="F1447" s="16" t="n"/>
      <c r="G1447" s="9" t="n">
        <v>16</v>
      </c>
      <c r="H1447" s="9" t="n">
        <v>16</v>
      </c>
      <c r="I1447" s="9" t="inlineStr">
        <is>
          <t>Depth (no MLB PA)</t>
        </is>
      </c>
      <c r="J1447" s="16" t="inlineStr">
        <is>
          <t>Opening Day</t>
        </is>
      </c>
      <c r="K1447" s="11">
        <f>IFERROR(INDEX(Roles!$B$17:$B$20,MATCH(J1447,Roles!$A$17:$A$20,0)),1)</f>
        <v/>
      </c>
      <c r="L1447" s="17" t="n">
        <v>1</v>
      </c>
      <c r="M1447" s="17" t="n"/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/>
      <c r="Y1447" s="13">
        <f>SUMPRODUCT(M1447:X1447,$M$2:$X$2)*$K1447*$L1447</f>
        <v/>
      </c>
      <c r="Z1447" s="14">
        <f>SUM(M1447:X1447)</f>
        <v/>
      </c>
      <c r="AA1447" s="14">
        <f>IFERROR(IF(UPPER($E1447)="L",SUMPRODUCT(M1447:X1447,$M$3:$X$3,$M$2:$X$2),SUMPRODUCT(M1447:X1447,$M$4:$X$4,$M$2:$X$2))/(Y1447/($K1447*$L1447)),"")</f>
        <v/>
      </c>
      <c r="AB1447" s="18" t="n"/>
    </row>
    <row r="1448">
      <c r="A1448" s="9" t="n">
        <v>694842</v>
      </c>
      <c r="B1448" s="9" t="inlineStr">
        <is>
          <t>JT Benson</t>
        </is>
      </c>
      <c r="C1448" s="9" t="inlineStr">
        <is>
          <t>NYM</t>
        </is>
      </c>
      <c r="D1448" s="9" t="n">
        <v>25</v>
      </c>
      <c r="E1448" s="16" t="inlineStr">
        <is>
          <t>R</t>
        </is>
      </c>
      <c r="F1448" s="16" t="n"/>
      <c r="G1448" s="9" t="n">
        <v>29.07692307692308</v>
      </c>
      <c r="H1448" s="9" t="n">
        <v>29.07692307692308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7" t="n"/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/>
      <c r="Y1448" s="13">
        <f>SUMPRODUCT(M1448:X1448,$M$2:$X$2)*$K1448*$L1448</f>
        <v/>
      </c>
      <c r="Z1448" s="14">
        <f>SUM(M1448:X1448)</f>
        <v/>
      </c>
      <c r="AA1448" s="14">
        <f>IFERROR(IF(UPPER($E1448)="L",SUMPRODUCT(M1448:X1448,$M$3:$X$3,$M$2:$X$2),SUMPRODUCT(M1448:X1448,$M$4:$X$4,$M$2:$X$2))/(Y1448/($K1448*$L1448)),"")</f>
        <v/>
      </c>
      <c r="AB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7" t="n"/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/>
      <c r="Y1449" s="13">
        <f>SUMPRODUCT(M1449:X1449,$M$2:$X$2)*$K1449*$L1449</f>
        <v/>
      </c>
      <c r="Z1449" s="14">
        <f>SUM(M1449:X1449)</f>
        <v/>
      </c>
      <c r="AA1449" s="14">
        <f>IFERROR(IF(UPPER($E1449)="L",SUMPRODUCT(M1449:X1449,$M$3:$X$3,$M$2:$X$2),SUMPRODUCT(M1449:X1449,$M$4:$X$4,$M$2:$X$2))/(Y1449/($K1449*$L1449)),"")</f>
        <v/>
      </c>
      <c r="AB1449" s="18" t="n"/>
    </row>
    <row r="1450">
      <c r="A1450" s="9" t="n">
        <v>801260</v>
      </c>
      <c r="B1450" s="9" t="inlineStr">
        <is>
          <t>Jairo Diaz</t>
        </is>
      </c>
      <c r="C1450" s="9" t="inlineStr">
        <is>
          <t>CHC</t>
        </is>
      </c>
      <c r="D1450" s="9" t="n">
        <v>25</v>
      </c>
      <c r="E1450" s="16" t="inlineStr">
        <is>
          <t>L</t>
        </is>
      </c>
      <c r="F1450" s="16" t="n"/>
      <c r="G1450" s="9" t="n">
        <v>15.63076923076923</v>
      </c>
      <c r="H1450" s="9" t="n">
        <v>15.63076923076923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7" t="n"/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/>
      <c r="Y1450" s="13">
        <f>SUMPRODUCT(M1450:X1450,$M$2:$X$2)*$K1450*$L1450</f>
        <v/>
      </c>
      <c r="Z1450" s="14">
        <f>SUM(M1450:X1450)</f>
        <v/>
      </c>
      <c r="AA1450" s="14">
        <f>IFERROR(IF(UPPER($E1450)="L",SUMPRODUCT(M1450:X1450,$M$3:$X$3,$M$2:$X$2),SUMPRODUCT(M1450:X1450,$M$4:$X$4,$M$2:$X$2))/(Y1450/($K1450*$L1450)),"")</f>
        <v/>
      </c>
      <c r="AB1450" s="18" t="n"/>
    </row>
    <row r="1451">
      <c r="A1451" s="9" t="n">
        <v>687730</v>
      </c>
      <c r="B1451" s="9" t="inlineStr">
        <is>
          <t>Caleb Cali</t>
        </is>
      </c>
      <c r="C1451" s="9" t="inlineStr">
        <is>
          <t>SEA</t>
        </is>
      </c>
      <c r="D1451" s="9" t="n">
        <v>25</v>
      </c>
      <c r="E1451" s="16" t="inlineStr">
        <is>
          <t>R</t>
        </is>
      </c>
      <c r="F1451" s="16" t="n"/>
      <c r="G1451" s="9" t="n">
        <v>182.3589743589744</v>
      </c>
      <c r="H1451" s="9" t="n">
        <v>182.3589743589744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7" t="n"/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/>
      <c r="Y1451" s="13">
        <f>SUMPRODUCT(M1451:X1451,$M$2:$X$2)*$K1451*$L1451</f>
        <v/>
      </c>
      <c r="Z1451" s="14">
        <f>SUM(M1451:X1451)</f>
        <v/>
      </c>
      <c r="AA1451" s="14">
        <f>IFERROR(IF(UPPER($E1451)="L",SUMPRODUCT(M1451:X1451,$M$3:$X$3,$M$2:$X$2),SUMPRODUCT(M1451:X1451,$M$4:$X$4,$M$2:$X$2))/(Y1451/($K1451*$L1451)),"")</f>
        <v/>
      </c>
      <c r="AB1451" s="18" t="n"/>
    </row>
    <row r="1452">
      <c r="A1452" s="9" t="n">
        <v>688367</v>
      </c>
      <c r="B1452" s="9" t="inlineStr">
        <is>
          <t>Tucker Mitchell</t>
        </is>
      </c>
      <c r="C1452" s="9" t="inlineStr">
        <is>
          <t>TEX</t>
        </is>
      </c>
      <c r="D1452" s="9" t="n">
        <v>25</v>
      </c>
      <c r="E1452" s="16" t="inlineStr">
        <is>
          <t>R</t>
        </is>
      </c>
      <c r="F1452" s="16" t="n"/>
      <c r="G1452" s="9" t="n">
        <v>12.20512820512821</v>
      </c>
      <c r="H1452" s="9" t="n">
        <v>12.20512820512821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7" t="n"/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/>
      <c r="Y1452" s="13">
        <f>SUMPRODUCT(M1452:X1452,$M$2:$X$2)*$K1452*$L1452</f>
        <v/>
      </c>
      <c r="Z1452" s="14">
        <f>SUM(M1452:X1452)</f>
        <v/>
      </c>
      <c r="AA1452" s="14">
        <f>IFERROR(IF(UPPER($E1452)="L",SUMPRODUCT(M1452:X1452,$M$3:$X$3,$M$2:$X$2),SUMPRODUCT(M1452:X1452,$M$4:$X$4,$M$2:$X$2))/(Y1452/($K1452*$L1452)),"")</f>
        <v/>
      </c>
      <c r="AB1452" s="18" t="n"/>
    </row>
    <row r="1453">
      <c r="A1453" s="9" t="n">
        <v>814411</v>
      </c>
      <c r="B1453" s="9" t="inlineStr">
        <is>
          <t>Matt Scannell</t>
        </is>
      </c>
      <c r="C1453" s="9" t="inlineStr">
        <is>
          <t>ATL</t>
        </is>
      </c>
      <c r="D1453" s="9" t="n">
        <v>25</v>
      </c>
      <c r="E1453" s="16" t="inlineStr">
        <is>
          <t>L</t>
        </is>
      </c>
      <c r="F1453" s="16" t="n"/>
      <c r="G1453" s="9" t="n">
        <v>11.48717948717949</v>
      </c>
      <c r="H1453" s="9" t="n">
        <v>11.48717948717949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7" t="n"/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/>
      <c r="Y1453" s="13">
        <f>SUMPRODUCT(M1453:X1453,$M$2:$X$2)*$K1453*$L1453</f>
        <v/>
      </c>
      <c r="Z1453" s="14">
        <f>SUM(M1453:X1453)</f>
        <v/>
      </c>
      <c r="AA1453" s="14">
        <f>IFERROR(IF(UPPER($E1453)="L",SUMPRODUCT(M1453:X1453,$M$3:$X$3,$M$2:$X$2),SUMPRODUCT(M1453:X1453,$M$4:$X$4,$M$2:$X$2))/(Y1453/($K1453*$L1453)),"")</f>
        <v/>
      </c>
      <c r="AB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7" t="n"/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/>
      <c r="Y1454" s="13">
        <f>SUMPRODUCT(M1454:X1454,$M$2:$X$2)*$K1454*$L1454</f>
        <v/>
      </c>
      <c r="Z1454" s="14">
        <f>SUM(M1454:X1454)</f>
        <v/>
      </c>
      <c r="AA1454" s="14">
        <f>IFERROR(IF(UPPER($E1454)="L",SUMPRODUCT(M1454:X1454,$M$3:$X$3,$M$2:$X$2),SUMPRODUCT(M1454:X1454,$M$4:$X$4,$M$2:$X$2))/(Y1454/($K1454*$L1454)),"")</f>
        <v/>
      </c>
      <c r="AB1454" s="18" t="n"/>
    </row>
    <row r="1455">
      <c r="A1455" s="9" t="n">
        <v>829034</v>
      </c>
      <c r="B1455" s="9" t="inlineStr">
        <is>
          <t>Josuar Gonzalez</t>
        </is>
      </c>
      <c r="C1455" s="9" t="inlineStr">
        <is>
          <t>SF</t>
        </is>
      </c>
      <c r="D1455" s="9" t="n">
        <v>25</v>
      </c>
      <c r="E1455" s="16" t="inlineStr">
        <is>
          <t>S</t>
        </is>
      </c>
      <c r="F1455" s="16" t="n"/>
      <c r="G1455" s="9" t="n">
        <v>18.46153846153846</v>
      </c>
      <c r="H1455" s="9" t="n">
        <v>18.46153846153846</v>
      </c>
      <c r="I1455" s="9" t="inlineStr">
        <is>
          <t>Depth (no MLB PA)</t>
        </is>
      </c>
      <c r="J1455" s="16" t="inlineStr">
        <is>
          <t>Opening Day</t>
        </is>
      </c>
      <c r="K1455" s="11">
        <f>IFERROR(INDEX(Roles!$B$17:$B$20,MATCH(J1455,Roles!$A$17:$A$20,0)),1)</f>
        <v/>
      </c>
      <c r="L1455" s="17" t="n">
        <v>1</v>
      </c>
      <c r="M1455" s="17" t="n"/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/>
      <c r="Y1455" s="13">
        <f>SUMPRODUCT(M1455:X1455,$M$2:$X$2)*$K1455*$L1455</f>
        <v/>
      </c>
      <c r="Z1455" s="14">
        <f>SUM(M1455:X1455)</f>
        <v/>
      </c>
      <c r="AA1455" s="14">
        <f>IFERROR(IF(UPPER($E1455)="L",SUMPRODUCT(M1455:X1455,$M$3:$X$3,$M$2:$X$2),SUMPRODUCT(M1455:X1455,$M$4:$X$4,$M$2:$X$2))/(Y1455/($K1455*$L1455)),"")</f>
        <v/>
      </c>
      <c r="AB1455" s="18" t="n"/>
    </row>
    <row r="1456">
      <c r="A1456" s="9" t="n">
        <v>808744</v>
      </c>
      <c r="B1456" s="9" t="inlineStr">
        <is>
          <t>Cal Stark</t>
        </is>
      </c>
      <c r="C1456" s="9" t="inlineStr">
        <is>
          <t>TEX</t>
        </is>
      </c>
      <c r="D1456" s="9" t="n">
        <v>25</v>
      </c>
      <c r="E1456" s="16" t="inlineStr">
        <is>
          <t>R</t>
        </is>
      </c>
      <c r="F1456" s="16" t="n"/>
      <c r="G1456" s="9" t="n">
        <v>27.8974358974359</v>
      </c>
      <c r="H1456" s="9" t="n">
        <v>27.8974358974359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7" t="n"/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/>
      <c r="Y1456" s="13">
        <f>SUMPRODUCT(M1456:X1456,$M$2:$X$2)*$K1456*$L1456</f>
        <v/>
      </c>
      <c r="Z1456" s="14">
        <f>SUM(M1456:X1456)</f>
        <v/>
      </c>
      <c r="AA1456" s="14">
        <f>IFERROR(IF(UPPER($E1456)="L",SUMPRODUCT(M1456:X1456,$M$3:$X$3,$M$2:$X$2),SUMPRODUCT(M1456:X1456,$M$4:$X$4,$M$2:$X$2))/(Y1456/($K1456*$L1456)),"")</f>
        <v/>
      </c>
      <c r="AB1456" s="18" t="n"/>
    </row>
    <row r="1457">
      <c r="A1457" s="9" t="n">
        <v>695612</v>
      </c>
      <c r="B1457" s="9" t="inlineStr">
        <is>
          <t>Alex Mooney</t>
        </is>
      </c>
      <c r="C1457" s="9" t="inlineStr">
        <is>
          <t>CLE</t>
        </is>
      </c>
      <c r="D1457" s="9" t="n">
        <v>25</v>
      </c>
      <c r="E1457" s="16" t="inlineStr">
        <is>
          <t>R</t>
        </is>
      </c>
      <c r="F1457" s="16" t="n"/>
      <c r="G1457" s="9" t="n">
        <v>11.84615384615385</v>
      </c>
      <c r="H1457" s="9" t="n">
        <v>11.84615384615385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7" t="n"/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/>
      <c r="Y1457" s="13">
        <f>SUMPRODUCT(M1457:X1457,$M$2:$X$2)*$K1457*$L1457</f>
        <v/>
      </c>
      <c r="Z1457" s="14">
        <f>SUM(M1457:X1457)</f>
        <v/>
      </c>
      <c r="AA1457" s="14">
        <f>IFERROR(IF(UPPER($E1457)="L",SUMPRODUCT(M1457:X1457,$M$3:$X$3,$M$2:$X$2),SUMPRODUCT(M1457:X1457,$M$4:$X$4,$M$2:$X$2))/(Y1457/($K1457*$L1457)),"")</f>
        <v/>
      </c>
      <c r="AB1457" s="18" t="n"/>
    </row>
    <row r="1458">
      <c r="A1458" s="9" t="n">
        <v>800444</v>
      </c>
      <c r="B1458" s="9" t="inlineStr">
        <is>
          <t>Nikau Pouaka-Grego</t>
        </is>
      </c>
      <c r="C1458" s="9" t="inlineStr">
        <is>
          <t>PHI</t>
        </is>
      </c>
      <c r="D1458" s="9" t="n">
        <v>25</v>
      </c>
      <c r="E1458" s="16" t="inlineStr">
        <is>
          <t>L</t>
        </is>
      </c>
      <c r="F1458" s="16" t="n"/>
      <c r="G1458" s="9" t="n">
        <v>11.48717948717949</v>
      </c>
      <c r="H1458" s="9" t="n">
        <v>11.48717948717949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7" t="n"/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/>
      <c r="Y1458" s="13">
        <f>SUMPRODUCT(M1458:X1458,$M$2:$X$2)*$K1458*$L1458</f>
        <v/>
      </c>
      <c r="Z1458" s="14">
        <f>SUM(M1458:X1458)</f>
        <v/>
      </c>
      <c r="AA1458" s="14">
        <f>IFERROR(IF(UPPER($E1458)="L",SUMPRODUCT(M1458:X1458,$M$3:$X$3,$M$2:$X$2),SUMPRODUCT(M1458:X1458,$M$4:$X$4,$M$2:$X$2))/(Y1458/($K1458*$L1458)),"")</f>
        <v/>
      </c>
      <c r="AB1458" s="18" t="n"/>
    </row>
    <row r="1459">
      <c r="A1459" s="9" t="n">
        <v>808694</v>
      </c>
      <c r="B1459" s="9" t="inlineStr">
        <is>
          <t>Nixon Chirinos</t>
        </is>
      </c>
      <c r="C1459" s="9" t="inlineStr">
        <is>
          <t>MIA</t>
        </is>
      </c>
      <c r="D1459" s="9" t="n">
        <v>25</v>
      </c>
      <c r="E1459" s="16" t="inlineStr">
        <is>
          <t>R</t>
        </is>
      </c>
      <c r="F1459" s="16" t="n"/>
      <c r="G1459" s="9" t="n">
        <v>13.90769230769231</v>
      </c>
      <c r="H1459" s="9" t="n">
        <v>13.90769230769231</v>
      </c>
      <c r="I1459" s="9" t="inlineStr">
        <is>
          <t>Depth (no MLB PA)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7" t="n"/>
      <c r="N1459" s="17" t="n"/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3">
        <f>SUMPRODUCT(M1459:X1459,$M$2:$X$2)*$K1459*$L1459</f>
        <v/>
      </c>
      <c r="Z1459" s="14">
        <f>SUM(M1459:X1459)</f>
        <v/>
      </c>
      <c r="AA1459" s="14">
        <f>IFERROR(IF(UPPER($E1459)="L",SUMPRODUCT(M1459:X1459,$M$3:$X$3,$M$2:$X$2),SUMPRODUCT(M1459:X1459,$M$4:$X$4,$M$2:$X$2))/(Y1459/($K1459*$L1459)),"")</f>
        <v/>
      </c>
      <c r="AB1459" s="18" t="n"/>
    </row>
    <row r="1460">
      <c r="A1460" s="9" t="n">
        <v>829398</v>
      </c>
      <c r="B1460" s="9" t="inlineStr">
        <is>
          <t>Franklin Primera</t>
        </is>
      </c>
      <c r="C1460" s="9" t="inlineStr">
        <is>
          <t>BOS</t>
        </is>
      </c>
      <c r="D1460" s="9" t="n">
        <v>25</v>
      </c>
      <c r="E1460" s="16" t="inlineStr">
        <is>
          <t>R</t>
        </is>
      </c>
      <c r="F1460" s="16" t="n"/>
      <c r="G1460" s="9" t="n">
        <v>23.38461538461539</v>
      </c>
      <c r="H1460" s="9" t="n">
        <v>23.38461538461539</v>
      </c>
      <c r="I1460" s="9" t="inlineStr">
        <is>
          <t>Depth (no MLB PA)</t>
        </is>
      </c>
      <c r="J1460" s="16" t="inlineStr">
        <is>
          <t>Opening Day</t>
        </is>
      </c>
      <c r="K1460" s="11">
        <f>IFERROR(INDEX(Roles!$B$17:$B$20,MATCH(J1460,Roles!$A$17:$A$20,0)),1)</f>
        <v/>
      </c>
      <c r="L1460" s="17" t="n">
        <v>1</v>
      </c>
      <c r="M1460" s="17" t="n"/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/>
      <c r="Y1460" s="13">
        <f>SUMPRODUCT(M1460:X1460,$M$2:$X$2)*$K1460*$L1460</f>
        <v/>
      </c>
      <c r="Z1460" s="14">
        <f>SUM(M1460:X1460)</f>
        <v/>
      </c>
      <c r="AA1460" s="14">
        <f>IFERROR(IF(UPPER($E1460)="L",SUMPRODUCT(M1460:X1460,$M$3:$X$3,$M$2:$X$2),SUMPRODUCT(M1460:X1460,$M$4:$X$4,$M$2:$X$2))/(Y1460/($K1460*$L1460)),"")</f>
        <v/>
      </c>
      <c r="AB1460" s="18" t="n"/>
    </row>
    <row r="1461">
      <c r="A1461" s="9" t="n">
        <v>592656</v>
      </c>
      <c r="B1461" s="9" t="inlineStr">
        <is>
          <t>Henry Ramos</t>
        </is>
      </c>
      <c r="C1461" s="9" t="inlineStr">
        <is>
          <t>CIN</t>
        </is>
      </c>
      <c r="D1461" s="9" t="n">
        <v>35</v>
      </c>
      <c r="E1461" s="16" t="inlineStr">
        <is>
          <t>S</t>
        </is>
      </c>
      <c r="F1461" s="16" t="n"/>
      <c r="G1461" s="9" t="n">
        <v>86</v>
      </c>
      <c r="H1461" s="9" t="n">
        <v>86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7" t="n"/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/>
      <c r="Y1461" s="13">
        <f>SUMPRODUCT(M1461:X1461,$M$2:$X$2)*$K1461*$L1461</f>
        <v/>
      </c>
      <c r="Z1461" s="14">
        <f>SUM(M1461:X1461)</f>
        <v/>
      </c>
      <c r="AA1461" s="14">
        <f>IFERROR(IF(UPPER($E1461)="L",SUMPRODUCT(M1461:X1461,$M$3:$X$3,$M$2:$X$2),SUMPRODUCT(M1461:X1461,$M$4:$X$4,$M$2:$X$2))/(Y1461/($K1461*$L1461)),"")</f>
        <v/>
      </c>
      <c r="AB1461" s="18" t="n"/>
    </row>
    <row r="1462">
      <c r="A1462" s="9" t="n">
        <v>645277</v>
      </c>
      <c r="B1462" s="9" t="inlineStr">
        <is>
          <t>Ozzie Albies</t>
        </is>
      </c>
      <c r="C1462" s="9" t="inlineStr">
        <is>
          <t>ATL</t>
        </is>
      </c>
      <c r="D1462" s="9" t="n">
        <v>30</v>
      </c>
      <c r="E1462" s="16" t="inlineStr">
        <is>
          <t>S</t>
        </is>
      </c>
      <c r="F1462" s="16" t="n"/>
      <c r="G1462" s="9" t="n">
        <v>683</v>
      </c>
      <c r="H1462" s="9" t="n">
        <v>2714</v>
      </c>
      <c r="I1462" s="9" t="inlineStr">
        <is>
          <t>Full Time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7" t="n"/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/>
      <c r="Y1462" s="13">
        <f>SUMPRODUCT(M1462:X1462,$M$2:$X$2)*$K1462*$L1462</f>
        <v/>
      </c>
      <c r="Z1462" s="14">
        <f>SUM(M1462:X1462)</f>
        <v/>
      </c>
      <c r="AA1462" s="14">
        <f>IFERROR(IF(UPPER($E1462)="L",SUMPRODUCT(M1462:X1462,$M$3:$X$3,$M$2:$X$2),SUMPRODUCT(M1462:X1462,$M$4:$X$4,$M$2:$X$2))/(Y1462/($K1462*$L1462)),"")</f>
        <v/>
      </c>
      <c r="AB1462" s="18" t="n"/>
    </row>
    <row r="1463">
      <c r="A1463" s="9" t="n">
        <v>806983</v>
      </c>
      <c r="B1463" s="9" t="inlineStr">
        <is>
          <t>Yophery Rodriguez</t>
        </is>
      </c>
      <c r="C1463" s="9" t="inlineStr">
        <is>
          <t>BOS</t>
        </is>
      </c>
      <c r="D1463" s="9" t="n">
        <v>25</v>
      </c>
      <c r="E1463" s="16" t="inlineStr">
        <is>
          <t>L</t>
        </is>
      </c>
      <c r="F1463" s="16" t="n"/>
      <c r="G1463" s="9" t="n">
        <v>80.20512820512822</v>
      </c>
      <c r="H1463" s="9" t="n">
        <v>80.20512820512822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7" t="n"/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/>
      <c r="Y1463" s="13">
        <f>SUMPRODUCT(M1463:X1463,$M$2:$X$2)*$K1463*$L1463</f>
        <v/>
      </c>
      <c r="Z1463" s="14">
        <f>SUM(M1463:X1463)</f>
        <v/>
      </c>
      <c r="AA1463" s="14">
        <f>IFERROR(IF(UPPER($E1463)="L",SUMPRODUCT(M1463:X1463,$M$3:$X$3,$M$2:$X$2),SUMPRODUCT(M1463:X1463,$M$4:$X$4,$M$2:$X$2))/(Y1463/($K1463*$L1463)),"")</f>
        <v/>
      </c>
      <c r="AB1463" s="18" t="n"/>
    </row>
    <row r="1464">
      <c r="A1464" s="9" t="n">
        <v>691183</v>
      </c>
      <c r="B1464" s="9" t="inlineStr">
        <is>
          <t>Kevin Made</t>
        </is>
      </c>
      <c r="C1464" s="9" t="inlineStr">
        <is>
          <t>WSH</t>
        </is>
      </c>
      <c r="D1464" s="9" t="n">
        <v>25</v>
      </c>
      <c r="E1464" s="16" t="inlineStr">
        <is>
          <t>R</t>
        </is>
      </c>
      <c r="F1464" s="16" t="n"/>
      <c r="G1464" s="9" t="n">
        <v>11.84615384615384</v>
      </c>
      <c r="H1464" s="9" t="n">
        <v>11.84615384615384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7" t="n"/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/>
      <c r="Y1464" s="13">
        <f>SUMPRODUCT(M1464:X1464,$M$2:$X$2)*$K1464*$L1464</f>
        <v/>
      </c>
      <c r="Z1464" s="14">
        <f>SUM(M1464:X1464)</f>
        <v/>
      </c>
      <c r="AA1464" s="14">
        <f>IFERROR(IF(UPPER($E1464)="L",SUMPRODUCT(M1464:X1464,$M$3:$X$3,$M$2:$X$2),SUMPRODUCT(M1464:X1464,$M$4:$X$4,$M$2:$X$2))/(Y1464/($K1464*$L1464)),"")</f>
        <v/>
      </c>
      <c r="AB1464" s="18" t="n"/>
    </row>
    <row r="1465">
      <c r="A1465" s="9" t="n">
        <v>844071</v>
      </c>
      <c r="B1465" s="9" t="inlineStr">
        <is>
          <t>Evan Morrison</t>
        </is>
      </c>
      <c r="C1465" s="9" t="inlineStr">
        <is>
          <t>TEX</t>
        </is>
      </c>
      <c r="D1465" s="9" t="n">
        <v>25</v>
      </c>
      <c r="E1465" s="16" t="inlineStr">
        <is>
          <t>L</t>
        </is>
      </c>
      <c r="F1465" s="16" t="n"/>
      <c r="G1465" s="9" t="n">
        <v>12.1025641025641</v>
      </c>
      <c r="H1465" s="9" t="n">
        <v>12.1025641025641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7" t="n"/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/>
      <c r="Y1465" s="13">
        <f>SUMPRODUCT(M1465:X1465,$M$2:$X$2)*$K1465*$L1465</f>
        <v/>
      </c>
      <c r="Z1465" s="14">
        <f>SUM(M1465:X1465)</f>
        <v/>
      </c>
      <c r="AA1465" s="14">
        <f>IFERROR(IF(UPPER($E1465)="L",SUMPRODUCT(M1465:X1465,$M$3:$X$3,$M$2:$X$2),SUMPRODUCT(M1465:X1465,$M$4:$X$4,$M$2:$X$2))/(Y1465/($K1465*$L1465)),"")</f>
        <v/>
      </c>
      <c r="AB1465" s="18" t="n"/>
    </row>
    <row r="1466">
      <c r="A1466" s="9" t="n">
        <v>834925</v>
      </c>
      <c r="B1466" s="9" t="inlineStr">
        <is>
          <t>Jose Silva</t>
        </is>
      </c>
      <c r="C1466" s="9" t="inlineStr">
        <is>
          <t>CHC</t>
        </is>
      </c>
      <c r="D1466" s="9" t="n">
        <v>25</v>
      </c>
      <c r="E1466" s="16" t="inlineStr">
        <is>
          <t>R</t>
        </is>
      </c>
      <c r="F1466" s="16" t="n"/>
      <c r="G1466" s="9" t="n">
        <v>16</v>
      </c>
      <c r="H1466" s="9" t="n">
        <v>16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7" t="n"/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/>
      <c r="Y1466" s="13">
        <f>SUMPRODUCT(M1466:X1466,$M$2:$X$2)*$K1466*$L1466</f>
        <v/>
      </c>
      <c r="Z1466" s="14">
        <f>SUM(M1466:X1466)</f>
        <v/>
      </c>
      <c r="AA1466" s="14">
        <f>IFERROR(IF(UPPER($E1466)="L",SUMPRODUCT(M1466:X1466,$M$3:$X$3,$M$2:$X$2),SUMPRODUCT(M1466:X1466,$M$4:$X$4,$M$2:$X$2))/(Y1466/($K1466*$L1466)),"")</f>
        <v/>
      </c>
      <c r="AB1466" s="18" t="n"/>
    </row>
    <row r="1467">
      <c r="A1467" s="9" t="n">
        <v>831188</v>
      </c>
      <c r="B1467" s="9" t="inlineStr">
        <is>
          <t>Steven Lancia</t>
        </is>
      </c>
      <c r="C1467" s="9" t="inlineStr">
        <is>
          <t>CWS</t>
        </is>
      </c>
      <c r="D1467" s="9" t="n">
        <v>25</v>
      </c>
      <c r="E1467" s="16" t="inlineStr">
        <is>
          <t>R</t>
        </is>
      </c>
      <c r="F1467" s="16" t="n"/>
      <c r="G1467" s="9" t="n">
        <v>16.36923076923077</v>
      </c>
      <c r="H1467" s="9" t="n">
        <v>16.36923076923077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7" t="n"/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/>
      <c r="Y1467" s="13">
        <f>SUMPRODUCT(M1467:X1467,$M$2:$X$2)*$K1467*$L1467</f>
        <v/>
      </c>
      <c r="Z1467" s="14">
        <f>SUM(M1467:X1467)</f>
        <v/>
      </c>
      <c r="AA1467" s="14">
        <f>IFERROR(IF(UPPER($E1467)="L",SUMPRODUCT(M1467:X1467,$M$3:$X$3,$M$2:$X$2),SUMPRODUCT(M1467:X1467,$M$4:$X$4,$M$2:$X$2))/(Y1467/($K1467*$L1467)),"")</f>
        <v/>
      </c>
      <c r="AB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n"/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7" t="n"/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/>
      <c r="Y1468" s="13">
        <f>SUMPRODUCT(M1468:X1468,$M$2:$X$2)*$K1468*$L1468</f>
        <v/>
      </c>
      <c r="Z1468" s="14">
        <f>SUM(M1468:X1468)</f>
        <v/>
      </c>
      <c r="AA1468" s="14">
        <f>IFERROR(IF(UPPER($E1468)="L",SUMPRODUCT(M1468:X1468,$M$3:$X$3,$M$2:$X$2),SUMPRODUCT(M1468:X1468,$M$4:$X$4,$M$2:$X$2))/(Y1468/($K1468*$L1468)),"")</f>
        <v/>
      </c>
      <c r="AB1468" s="18" t="n"/>
    </row>
    <row r="1469">
      <c r="A1469" s="9" t="n">
        <v>808852</v>
      </c>
      <c r="B1469" s="9" t="inlineStr">
        <is>
          <t>Gable Mitchell</t>
        </is>
      </c>
      <c r="C1469" s="9" t="inlineStr">
        <is>
          <t>TOR</t>
        </is>
      </c>
      <c r="D1469" s="9" t="n">
        <v>25</v>
      </c>
      <c r="E1469" s="16" t="inlineStr">
        <is>
          <t>S</t>
        </is>
      </c>
      <c r="F1469" s="16" t="n"/>
      <c r="G1469" s="9" t="n">
        <v>20.71794871794872</v>
      </c>
      <c r="H1469" s="9" t="n">
        <v>20.71794871794872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7" t="n"/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/>
      <c r="Y1469" s="13">
        <f>SUMPRODUCT(M1469:X1469,$M$2:$X$2)*$K1469*$L1469</f>
        <v/>
      </c>
      <c r="Z1469" s="14">
        <f>SUM(M1469:X1469)</f>
        <v/>
      </c>
      <c r="AA1469" s="14">
        <f>IFERROR(IF(UPPER($E1469)="L",SUMPRODUCT(M1469:X1469,$M$3:$X$3,$M$2:$X$2),SUMPRODUCT(M1469:X1469,$M$4:$X$4,$M$2:$X$2))/(Y1469/($K1469*$L1469)),"")</f>
        <v/>
      </c>
      <c r="AB1469" s="18" t="n"/>
    </row>
    <row r="1470">
      <c r="A1470" s="9" t="n">
        <v>811948</v>
      </c>
      <c r="B1470" s="9" t="inlineStr">
        <is>
          <t>Tony Santa Maria</t>
        </is>
      </c>
      <c r="C1470" s="9" t="inlineStr">
        <is>
          <t>TB</t>
        </is>
      </c>
      <c r="D1470" s="9" t="n">
        <v>25</v>
      </c>
      <c r="E1470" s="16" t="inlineStr">
        <is>
          <t>R</t>
        </is>
      </c>
      <c r="F1470" s="16" t="n"/>
      <c r="G1470" s="9" t="n">
        <v>27.64102564102564</v>
      </c>
      <c r="H1470" s="9" t="n">
        <v>27.64102564102564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7" t="n"/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/>
      <c r="Y1470" s="13">
        <f>SUMPRODUCT(M1470:X1470,$M$2:$X$2)*$K1470*$L1470</f>
        <v/>
      </c>
      <c r="Z1470" s="14">
        <f>SUM(M1470:X1470)</f>
        <v/>
      </c>
      <c r="AA1470" s="14">
        <f>IFERROR(IF(UPPER($E1470)="L",SUMPRODUCT(M1470:X1470,$M$3:$X$3,$M$2:$X$2),SUMPRODUCT(M1470:X1470,$M$4:$X$4,$M$2:$X$2))/(Y1470/($K1470*$L1470)),"")</f>
        <v/>
      </c>
      <c r="AB1470" s="18" t="n"/>
    </row>
    <row r="1471">
      <c r="A1471" s="9" t="n">
        <v>694223</v>
      </c>
      <c r="B1471" s="9" t="inlineStr">
        <is>
          <t>Starlin Aguilar</t>
        </is>
      </c>
      <c r="C1471" s="9" t="inlineStr">
        <is>
          <t>SEA</t>
        </is>
      </c>
      <c r="D1471" s="9" t="n">
        <v>25</v>
      </c>
      <c r="E1471" s="16" t="inlineStr">
        <is>
          <t>L</t>
        </is>
      </c>
      <c r="F1471" s="16" t="n"/>
      <c r="G1471" s="9" t="n">
        <v>33.96923076923077</v>
      </c>
      <c r="H1471" s="9" t="n">
        <v>33.96923076923077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7" t="n"/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/>
      <c r="Y1471" s="13">
        <f>SUMPRODUCT(M1471:X1471,$M$2:$X$2)*$K1471*$L1471</f>
        <v/>
      </c>
      <c r="Z1471" s="14">
        <f>SUM(M1471:X1471)</f>
        <v/>
      </c>
      <c r="AA1471" s="14">
        <f>IFERROR(IF(UPPER($E1471)="L",SUMPRODUCT(M1471:X1471,$M$3:$X$3,$M$2:$X$2),SUMPRODUCT(M1471:X1471,$M$4:$X$4,$M$2:$X$2))/(Y1471/($K1471*$L1471)),"")</f>
        <v/>
      </c>
      <c r="AB1471" s="18" t="n"/>
    </row>
    <row r="1472">
      <c r="A1472" s="9" t="n">
        <v>820831</v>
      </c>
      <c r="B1472" s="9" t="inlineStr">
        <is>
          <t>Sawyer Strosnider</t>
        </is>
      </c>
      <c r="C1472" s="9" t="inlineStr">
        <is>
          <t>MIL</t>
        </is>
      </c>
      <c r="D1472" s="9" t="n">
        <v>25</v>
      </c>
      <c r="E1472" s="16" t="inlineStr">
        <is>
          <t>L</t>
        </is>
      </c>
      <c r="F1472" s="16" t="n"/>
      <c r="G1472" s="9" t="n">
        <v>20.30769230769231</v>
      </c>
      <c r="H1472" s="9" t="n">
        <v>20.30769230769231</v>
      </c>
      <c r="I1472" s="9" t="inlineStr">
        <is>
          <t>Depth (no MLB PA)</t>
        </is>
      </c>
      <c r="J1472" s="16" t="inlineStr">
        <is>
          <t>Opening Day</t>
        </is>
      </c>
      <c r="K1472" s="11">
        <f>IFERROR(INDEX(Roles!$B$17:$B$20,MATCH(J1472,Roles!$A$17:$A$20,0)),1)</f>
        <v/>
      </c>
      <c r="L1472" s="17" t="n">
        <v>1</v>
      </c>
      <c r="M1472" s="17" t="n"/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/>
      <c r="Y1472" s="13">
        <f>SUMPRODUCT(M1472:X1472,$M$2:$X$2)*$K1472*$L1472</f>
        <v/>
      </c>
      <c r="Z1472" s="14">
        <f>SUM(M1472:X1472)</f>
        <v/>
      </c>
      <c r="AA1472" s="14">
        <f>IFERROR(IF(UPPER($E1472)="L",SUMPRODUCT(M1472:X1472,$M$3:$X$3,$M$2:$X$2),SUMPRODUCT(M1472:X1472,$M$4:$X$4,$M$2:$X$2))/(Y1472/($K1472*$L1472)),"")</f>
        <v/>
      </c>
      <c r="AB1472" s="18" t="n"/>
    </row>
    <row r="1473">
      <c r="A1473" s="9" t="n">
        <v>691281</v>
      </c>
      <c r="B1473" s="9" t="inlineStr">
        <is>
          <t>Diosfran Cabeza</t>
        </is>
      </c>
      <c r="C1473" s="9" t="inlineStr">
        <is>
          <t>ARI</t>
        </is>
      </c>
      <c r="D1473" s="9" t="n">
        <v>25</v>
      </c>
      <c r="E1473" s="16" t="inlineStr">
        <is>
          <t>S</t>
        </is>
      </c>
      <c r="F1473" s="16" t="n"/>
      <c r="G1473" s="9" t="n">
        <v>12.1025641025641</v>
      </c>
      <c r="H1473" s="9" t="n">
        <v>12.1025641025641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7" t="n"/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/>
      <c r="Y1473" s="13">
        <f>SUMPRODUCT(M1473:X1473,$M$2:$X$2)*$K1473*$L1473</f>
        <v/>
      </c>
      <c r="Z1473" s="14">
        <f>SUM(M1473:X1473)</f>
        <v/>
      </c>
      <c r="AA1473" s="14">
        <f>IFERROR(IF(UPPER($E1473)="L",SUMPRODUCT(M1473:X1473,$M$3:$X$3,$M$2:$X$2),SUMPRODUCT(M1473:X1473,$M$4:$X$4,$M$2:$X$2))/(Y1473/($K1473*$L1473)),"")</f>
        <v/>
      </c>
      <c r="AB1473" s="18" t="n"/>
    </row>
    <row r="1474">
      <c r="A1474" s="9" t="n">
        <v>543543</v>
      </c>
      <c r="B1474" s="9" t="inlineStr">
        <is>
          <t>Brad Miller</t>
        </is>
      </c>
      <c r="C1474" s="9" t="inlineStr">
        <is>
          <t>TEX</t>
        </is>
      </c>
      <c r="D1474" s="9" t="n">
        <v>37</v>
      </c>
      <c r="E1474" s="16" t="inlineStr">
        <is>
          <t>L</t>
        </is>
      </c>
      <c r="F1474" s="16" t="n"/>
      <c r="G1474" s="9" t="n">
        <v>67</v>
      </c>
      <c r="H1474" s="9" t="n">
        <v>308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7" t="n"/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/>
      <c r="Y1474" s="13">
        <f>SUMPRODUCT(M1474:X1474,$M$2:$X$2)*$K1474*$L1474</f>
        <v/>
      </c>
      <c r="Z1474" s="14">
        <f>SUM(M1474:X1474)</f>
        <v/>
      </c>
      <c r="AA1474" s="14">
        <f>IFERROR(IF(UPPER($E1474)="L",SUMPRODUCT(M1474:X1474,$M$3:$X$3,$M$2:$X$2),SUMPRODUCT(M1474:X1474,$M$4:$X$4,$M$2:$X$2))/(Y1474/($K1474*$L1474)),"")</f>
        <v/>
      </c>
      <c r="AB1474" s="18" t="n"/>
    </row>
    <row r="1475">
      <c r="A1475" s="9" t="n">
        <v>702574</v>
      </c>
      <c r="B1475" s="9" t="inlineStr">
        <is>
          <t>David Mershon</t>
        </is>
      </c>
      <c r="C1475" s="9" t="inlineStr">
        <is>
          <t>LAA</t>
        </is>
      </c>
      <c r="D1475" s="9" t="n">
        <v>25</v>
      </c>
      <c r="E1475" s="16" t="inlineStr">
        <is>
          <t>S</t>
        </is>
      </c>
      <c r="F1475" s="16" t="n"/>
      <c r="G1475" s="9" t="n">
        <v>12.20512820512821</v>
      </c>
      <c r="H1475" s="9" t="n">
        <v>12.20512820512821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7" t="n"/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/>
      <c r="Y1475" s="13">
        <f>SUMPRODUCT(M1475:X1475,$M$2:$X$2)*$K1475*$L1475</f>
        <v/>
      </c>
      <c r="Z1475" s="14">
        <f>SUM(M1475:X1475)</f>
        <v/>
      </c>
      <c r="AA1475" s="14">
        <f>IFERROR(IF(UPPER($E1475)="L",SUMPRODUCT(M1475:X1475,$M$3:$X$3,$M$2:$X$2),SUMPRODUCT(M1475:X1475,$M$4:$X$4,$M$2:$X$2))/(Y1475/($K1475*$L1475)),"")</f>
        <v/>
      </c>
      <c r="AB1475" s="18" t="n"/>
    </row>
    <row r="1476">
      <c r="A1476" s="9" t="n">
        <v>691605</v>
      </c>
      <c r="B1476" s="9" t="inlineStr">
        <is>
          <t>Miguel Briceno</t>
        </is>
      </c>
      <c r="C1476" s="9" t="inlineStr">
        <is>
          <t>MIN</t>
        </is>
      </c>
      <c r="D1476" s="9" t="n">
        <v>25</v>
      </c>
      <c r="E1476" s="16" t="inlineStr">
        <is>
          <t>R</t>
        </is>
      </c>
      <c r="F1476" s="16" t="n"/>
      <c r="G1476" s="9" t="n">
        <v>12.20512820512821</v>
      </c>
      <c r="H1476" s="9" t="n">
        <v>12.20512820512821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7" t="n"/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/>
      <c r="Y1476" s="13">
        <f>SUMPRODUCT(M1476:X1476,$M$2:$X$2)*$K1476*$L1476</f>
        <v/>
      </c>
      <c r="Z1476" s="14">
        <f>SUM(M1476:X1476)</f>
        <v/>
      </c>
      <c r="AA1476" s="14">
        <f>IFERROR(IF(UPPER($E1476)="L",SUMPRODUCT(M1476:X1476,$M$3:$X$3,$M$2:$X$2),SUMPRODUCT(M1476:X1476,$M$4:$X$4,$M$2:$X$2))/(Y1476/($K1476*$L1476)),"")</f>
        <v/>
      </c>
      <c r="AB1476" s="18" t="n"/>
    </row>
    <row r="1477">
      <c r="A1477" s="9" t="n">
        <v>703175</v>
      </c>
      <c r="B1477" s="9" t="inlineStr">
        <is>
          <t>Freili Encarnacion</t>
        </is>
      </c>
      <c r="C1477" s="9" t="inlineStr">
        <is>
          <t>BOS</t>
        </is>
      </c>
      <c r="D1477" s="9" t="n">
        <v>25</v>
      </c>
      <c r="E1477" s="16" t="inlineStr">
        <is>
          <t>R</t>
        </is>
      </c>
      <c r="F1477" s="16" t="n"/>
      <c r="G1477" s="9" t="n">
        <v>37.33333333333334</v>
      </c>
      <c r="H1477" s="9" t="n">
        <v>37.33333333333334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7" t="n"/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/>
      <c r="Y1477" s="13">
        <f>SUMPRODUCT(M1477:X1477,$M$2:$X$2)*$K1477*$L1477</f>
        <v/>
      </c>
      <c r="Z1477" s="14">
        <f>SUM(M1477:X1477)</f>
        <v/>
      </c>
      <c r="AA1477" s="14">
        <f>IFERROR(IF(UPPER($E1477)="L",SUMPRODUCT(M1477:X1477,$M$3:$X$3,$M$2:$X$2),SUMPRODUCT(M1477:X1477,$M$4:$X$4,$M$2:$X$2))/(Y1477/($K1477*$L1477)),"")</f>
        <v/>
      </c>
      <c r="AB1477" s="18" t="n"/>
    </row>
    <row r="1478">
      <c r="A1478" s="9" t="n">
        <v>443558</v>
      </c>
      <c r="B1478" s="9" t="inlineStr">
        <is>
          <t>Nelson Cruz</t>
        </is>
      </c>
      <c r="C1478" s="9" t="inlineStr">
        <is>
          <t>SD</t>
        </is>
      </c>
      <c r="D1478" s="9" t="n">
        <v>46</v>
      </c>
      <c r="E1478" s="16" t="inlineStr">
        <is>
          <t>R</t>
        </is>
      </c>
      <c r="F1478" s="16" t="n"/>
      <c r="G1478" s="9" t="n">
        <v>152</v>
      </c>
      <c r="H1478" s="9" t="n">
        <v>659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7" t="n"/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/>
      <c r="Y1478" s="13">
        <f>SUMPRODUCT(M1478:X1478,$M$2:$X$2)*$K1478*$L1478</f>
        <v/>
      </c>
      <c r="Z1478" s="14">
        <f>SUM(M1478:X1478)</f>
        <v/>
      </c>
      <c r="AA1478" s="14">
        <f>IFERROR(IF(UPPER($E1478)="L",SUMPRODUCT(M1478:X1478,$M$3:$X$3,$M$2:$X$2),SUMPRODUCT(M1478:X1478,$M$4:$X$4,$M$2:$X$2))/(Y1478/($K1478*$L1478)),"")</f>
        <v/>
      </c>
      <c r="AB1478" s="18" t="n"/>
    </row>
    <row r="1479">
      <c r="A1479" s="9" t="n">
        <v>680994</v>
      </c>
      <c r="B1479" s="9" t="inlineStr">
        <is>
          <t>Nick Biddison</t>
        </is>
      </c>
      <c r="C1479" s="9" t="inlineStr">
        <is>
          <t>PHI</t>
        </is>
      </c>
      <c r="D1479" s="9" t="n">
        <v>25</v>
      </c>
      <c r="E1479" s="16" t="inlineStr">
        <is>
          <t>R</t>
        </is>
      </c>
      <c r="F1479" s="16" t="n"/>
      <c r="G1479" s="9" t="n">
        <v>12.41025641025641</v>
      </c>
      <c r="H1479" s="9" t="n">
        <v>12.41025641025641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7" t="n"/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/>
      <c r="Y1479" s="13">
        <f>SUMPRODUCT(M1479:X1479,$M$2:$X$2)*$K1479*$L1479</f>
        <v/>
      </c>
      <c r="Z1479" s="14">
        <f>SUM(M1479:X1479)</f>
        <v/>
      </c>
      <c r="AA1479" s="14">
        <f>IFERROR(IF(UPPER($E1479)="L",SUMPRODUCT(M1479:X1479,$M$3:$X$3,$M$2:$X$2),SUMPRODUCT(M1479:X1479,$M$4:$X$4,$M$2:$X$2))/(Y1479/($K1479*$L1479)),"")</f>
        <v/>
      </c>
      <c r="AB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7" t="n"/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/>
      <c r="Y1480" s="13">
        <f>SUMPRODUCT(M1480:X1480,$M$2:$X$2)*$K1480*$L1480</f>
        <v/>
      </c>
      <c r="Z1480" s="14">
        <f>SUM(M1480:X1480)</f>
        <v/>
      </c>
      <c r="AA1480" s="14">
        <f>IFERROR(IF(UPPER($E1480)="L",SUMPRODUCT(M1480:X1480,$M$3:$X$3,$M$2:$X$2),SUMPRODUCT(M1480:X1480,$M$4:$X$4,$M$2:$X$2))/(Y1480/($K1480*$L1480)),"")</f>
        <v/>
      </c>
      <c r="AB1480" s="18" t="n"/>
    </row>
    <row r="1481">
      <c r="A1481" s="9" t="n">
        <v>691269</v>
      </c>
      <c r="B1481" s="9" t="inlineStr">
        <is>
          <t>Adrian Placencia</t>
        </is>
      </c>
      <c r="C1481" s="9" t="inlineStr">
        <is>
          <t>LAA</t>
        </is>
      </c>
      <c r="D1481" s="9" t="n">
        <v>25</v>
      </c>
      <c r="E1481" s="16" t="inlineStr">
        <is>
          <t>S</t>
        </is>
      </c>
      <c r="F1481" s="16" t="n"/>
      <c r="G1481" s="9" t="n">
        <v>40.41025641025641</v>
      </c>
      <c r="H1481" s="9" t="n">
        <v>40.41025641025641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7" t="n"/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/>
      <c r="Y1481" s="13">
        <f>SUMPRODUCT(M1481:X1481,$M$2:$X$2)*$K1481*$L1481</f>
        <v/>
      </c>
      <c r="Z1481" s="14">
        <f>SUM(M1481:X1481)</f>
        <v/>
      </c>
      <c r="AA1481" s="14">
        <f>IFERROR(IF(UPPER($E1481)="L",SUMPRODUCT(M1481:X1481,$M$3:$X$3,$M$2:$X$2),SUMPRODUCT(M1481:X1481,$M$4:$X$4,$M$2:$X$2))/(Y1481/($K1481*$L1481)),"")</f>
        <v/>
      </c>
      <c r="AB1481" s="18" t="n"/>
    </row>
    <row r="1482">
      <c r="A1482" s="9" t="n">
        <v>800433</v>
      </c>
      <c r="B1482" s="9" t="inlineStr">
        <is>
          <t>Elis Cuevas</t>
        </is>
      </c>
      <c r="C1482" s="9" t="inlineStr">
        <is>
          <t>BAL</t>
        </is>
      </c>
      <c r="D1482" s="9" t="n">
        <v>25</v>
      </c>
      <c r="E1482" s="16" t="inlineStr">
        <is>
          <t>L</t>
        </is>
      </c>
      <c r="F1482" s="16" t="n"/>
      <c r="G1482" s="9" t="n">
        <v>41.84615384615385</v>
      </c>
      <c r="H1482" s="9" t="n">
        <v>41.84615384615385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7" t="n"/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/>
      <c r="Y1482" s="13">
        <f>SUMPRODUCT(M1482:X1482,$M$2:$X$2)*$K1482*$L1482</f>
        <v/>
      </c>
      <c r="Z1482" s="14">
        <f>SUM(M1482:X1482)</f>
        <v/>
      </c>
      <c r="AA1482" s="14">
        <f>IFERROR(IF(UPPER($E1482)="L",SUMPRODUCT(M1482:X1482,$M$3:$X$3,$M$2:$X$2),SUMPRODUCT(M1482:X1482,$M$4:$X$4,$M$2:$X$2))/(Y1482/($K1482*$L1482)),"")</f>
        <v/>
      </c>
      <c r="AB1482" s="18" t="n"/>
    </row>
    <row r="1483">
      <c r="A1483" s="9" t="n">
        <v>694444</v>
      </c>
      <c r="B1483" s="9" t="inlineStr">
        <is>
          <t>Tavian Josenberger</t>
        </is>
      </c>
      <c r="C1483" s="9" t="inlineStr">
        <is>
          <t>BAL</t>
        </is>
      </c>
      <c r="D1483" s="9" t="n">
        <v>25</v>
      </c>
      <c r="E1483" s="16" t="inlineStr">
        <is>
          <t>L</t>
        </is>
      </c>
      <c r="F1483" s="16" t="n"/>
      <c r="G1483" s="9" t="n">
        <v>12.41025641025641</v>
      </c>
      <c r="H1483" s="9" t="n">
        <v>12.41025641025641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7" t="n"/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/>
      <c r="Y1483" s="13">
        <f>SUMPRODUCT(M1483:X1483,$M$2:$X$2)*$K1483*$L1483</f>
        <v/>
      </c>
      <c r="Z1483" s="14">
        <f>SUM(M1483:X1483)</f>
        <v/>
      </c>
      <c r="AA1483" s="14">
        <f>IFERROR(IF(UPPER($E1483)="L",SUMPRODUCT(M1483:X1483,$M$3:$X$3,$M$2:$X$2),SUMPRODUCT(M1483:X1483,$M$4:$X$4,$M$2:$X$2))/(Y1483/($K1483*$L1483)),"")</f>
        <v/>
      </c>
      <c r="AB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7" t="n"/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/>
      <c r="Y1484" s="13">
        <f>SUMPRODUCT(M1484:X1484,$M$2:$X$2)*$K1484*$L1484</f>
        <v/>
      </c>
      <c r="Z1484" s="14">
        <f>SUM(M1484:X1484)</f>
        <v/>
      </c>
      <c r="AA1484" s="14">
        <f>IFERROR(IF(UPPER($E1484)="L",SUMPRODUCT(M1484:X1484,$M$3:$X$3,$M$2:$X$2),SUMPRODUCT(M1484:X1484,$M$4:$X$4,$M$2:$X$2))/(Y1484/($K1484*$L1484)),"")</f>
        <v/>
      </c>
      <c r="AB1484" s="18" t="n"/>
    </row>
    <row r="1485">
      <c r="A1485" s="9" t="n">
        <v>842179</v>
      </c>
      <c r="B1485" s="9" t="inlineStr">
        <is>
          <t>Tanner Mally</t>
        </is>
      </c>
      <c r="C1485" s="9" t="inlineStr">
        <is>
          <t>SF</t>
        </is>
      </c>
      <c r="D1485" s="9" t="n">
        <v>25</v>
      </c>
      <c r="E1485" s="16" t="inlineStr">
        <is>
          <t>R</t>
        </is>
      </c>
      <c r="F1485" s="16" t="n"/>
      <c r="G1485" s="9" t="n">
        <v>12.43076923076923</v>
      </c>
      <c r="H1485" s="9" t="n">
        <v>12.43076923076923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7" t="n"/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/>
      <c r="Y1485" s="13">
        <f>SUMPRODUCT(M1485:X1485,$M$2:$X$2)*$K1485*$L1485</f>
        <v/>
      </c>
      <c r="Z1485" s="14">
        <f>SUM(M1485:X1485)</f>
        <v/>
      </c>
      <c r="AA1485" s="14">
        <f>IFERROR(IF(UPPER($E1485)="L",SUMPRODUCT(M1485:X1485,$M$3:$X$3,$M$2:$X$2),SUMPRODUCT(M1485:X1485,$M$4:$X$4,$M$2:$X$2))/(Y1485/($K1485*$L1485)),"")</f>
        <v/>
      </c>
      <c r="AB1485" s="18" t="n"/>
    </row>
    <row r="1486">
      <c r="A1486" s="9" t="n">
        <v>827084</v>
      </c>
      <c r="B1486" s="9" t="inlineStr">
        <is>
          <t>Jay McQueen</t>
        </is>
      </c>
      <c r="C1486" s="9" t="inlineStr">
        <is>
          <t>TEX</t>
        </is>
      </c>
      <c r="D1486" s="9" t="n">
        <v>25</v>
      </c>
      <c r="E1486" s="16" t="inlineStr">
        <is>
          <t>R</t>
        </is>
      </c>
      <c r="F1486" s="16" t="n"/>
      <c r="G1486" s="9" t="n">
        <v>12.30769230769231</v>
      </c>
      <c r="H1486" s="9" t="n">
        <v>12.30769230769231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7" t="n"/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/>
      <c r="Y1486" s="13">
        <f>SUMPRODUCT(M1486:X1486,$M$2:$X$2)*$K1486*$L1486</f>
        <v/>
      </c>
      <c r="Z1486" s="14">
        <f>SUM(M1486:X1486)</f>
        <v/>
      </c>
      <c r="AA1486" s="14">
        <f>IFERROR(IF(UPPER($E1486)="L",SUMPRODUCT(M1486:X1486,$M$3:$X$3,$M$2:$X$2),SUMPRODUCT(M1486:X1486,$M$4:$X$4,$M$2:$X$2))/(Y1486/($K1486*$L1486)),"")</f>
        <v/>
      </c>
      <c r="AB1486" s="18" t="n"/>
    </row>
    <row r="1487">
      <c r="A1487" s="9" t="n">
        <v>701860</v>
      </c>
      <c r="B1487" s="9" t="inlineStr">
        <is>
          <t>Carter Cunningham</t>
        </is>
      </c>
      <c r="C1487" s="9" t="inlineStr">
        <is>
          <t>TOR</t>
        </is>
      </c>
      <c r="D1487" s="9" t="n">
        <v>25</v>
      </c>
      <c r="E1487" s="16" t="inlineStr">
        <is>
          <t>L</t>
        </is>
      </c>
      <c r="F1487" s="16" t="n"/>
      <c r="G1487" s="9" t="n">
        <v>96.92307692307691</v>
      </c>
      <c r="H1487" s="9" t="n">
        <v>96.92307692307691</v>
      </c>
      <c r="I1487" s="9" t="inlineStr">
        <is>
          <t>Depth (no MLB PA)</t>
        </is>
      </c>
      <c r="J1487" s="16" t="inlineStr">
        <is>
          <t>Opening Day</t>
        </is>
      </c>
      <c r="K1487" s="11">
        <f>IFERROR(INDEX(Roles!$B$17:$B$20,MATCH(J1487,Roles!$A$17:$A$20,0)),1)</f>
        <v/>
      </c>
      <c r="L1487" s="17" t="n">
        <v>1</v>
      </c>
      <c r="M1487" s="17" t="n"/>
      <c r="N1487" s="17" t="n"/>
      <c r="O1487" s="17" t="n"/>
      <c r="P1487" s="17" t="n"/>
      <c r="Q1487" s="17" t="n"/>
      <c r="R1487" s="17" t="n"/>
      <c r="S1487" s="17" t="n"/>
      <c r="T1487" s="17" t="n"/>
      <c r="U1487" s="17" t="n"/>
      <c r="V1487" s="17" t="n"/>
      <c r="W1487" s="17" t="n"/>
      <c r="X1487" s="17" t="n"/>
      <c r="Y1487" s="13">
        <f>SUMPRODUCT(M1487:X1487,$M$2:$X$2)*$K1487*$L1487</f>
        <v/>
      </c>
      <c r="Z1487" s="14">
        <f>SUM(M1487:X1487)</f>
        <v/>
      </c>
      <c r="AA1487" s="14">
        <f>IFERROR(IF(UPPER($E1487)="L",SUMPRODUCT(M1487:X1487,$M$3:$X$3,$M$2:$X$2),SUMPRODUCT(M1487:X1487,$M$4:$X$4,$M$2:$X$2))/(Y1487/($K1487*$L1487)),"")</f>
        <v/>
      </c>
      <c r="AB1487" s="18" t="n"/>
    </row>
    <row r="1488">
      <c r="A1488" s="9" t="n">
        <v>691559</v>
      </c>
      <c r="B1488" s="9" t="inlineStr">
        <is>
          <t>Jose D. Hernandez</t>
        </is>
      </c>
      <c r="C1488" s="9" t="inlineStr">
        <is>
          <t>LAD</t>
        </is>
      </c>
      <c r="D1488" s="9" t="n">
        <v>25</v>
      </c>
      <c r="E1488" s="16" t="inlineStr">
        <is>
          <t>R</t>
        </is>
      </c>
      <c r="F1488" s="16" t="n"/>
      <c r="G1488" s="9" t="n">
        <v>25.43589743589744</v>
      </c>
      <c r="H1488" s="9" t="n">
        <v>25.43589743589744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7" t="n"/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/>
      <c r="Y1488" s="13">
        <f>SUMPRODUCT(M1488:X1488,$M$2:$X$2)*$K1488*$L1488</f>
        <v/>
      </c>
      <c r="Z1488" s="14">
        <f>SUM(M1488:X1488)</f>
        <v/>
      </c>
      <c r="AA1488" s="14">
        <f>IFERROR(IF(UPPER($E1488)="L",SUMPRODUCT(M1488:X1488,$M$3:$X$3,$M$2:$X$2),SUMPRODUCT(M1488:X1488,$M$4:$X$4,$M$2:$X$2))/(Y1488/($K1488*$L1488)),"")</f>
        <v/>
      </c>
      <c r="AB1488" s="18" t="n"/>
    </row>
    <row r="1489">
      <c r="A1489" s="9" t="n">
        <v>827636</v>
      </c>
      <c r="B1489" s="9" t="inlineStr">
        <is>
          <t>Trent Youngblood</t>
        </is>
      </c>
      <c r="C1489" s="9" t="inlineStr">
        <is>
          <t>ARI</t>
        </is>
      </c>
      <c r="D1489" s="9" t="n">
        <v>25</v>
      </c>
      <c r="E1489" s="16" t="inlineStr">
        <is>
          <t>L</t>
        </is>
      </c>
      <c r="F1489" s="16" t="n"/>
      <c r="G1489" s="9" t="n">
        <v>12.41025641025641</v>
      </c>
      <c r="H1489" s="9" t="n">
        <v>12.41025641025641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7" t="n"/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/>
      <c r="Y1489" s="13">
        <f>SUMPRODUCT(M1489:X1489,$M$2:$X$2)*$K1489*$L1489</f>
        <v/>
      </c>
      <c r="Z1489" s="14">
        <f>SUM(M1489:X1489)</f>
        <v/>
      </c>
      <c r="AA1489" s="14">
        <f>IFERROR(IF(UPPER($E1489)="L",SUMPRODUCT(M1489:X1489,$M$3:$X$3,$M$2:$X$2),SUMPRODUCT(M1489:X1489,$M$4:$X$4,$M$2:$X$2))/(Y1489/($K1489*$L1489)),"")</f>
        <v/>
      </c>
      <c r="AB1489" s="18" t="n"/>
    </row>
    <row r="1490">
      <c r="A1490" s="9" t="n">
        <v>821270</v>
      </c>
      <c r="B1490" s="9" t="inlineStr">
        <is>
          <t>Luis Peña</t>
        </is>
      </c>
      <c r="C1490" s="9" t="inlineStr">
        <is>
          <t>MIL</t>
        </is>
      </c>
      <c r="D1490" s="9" t="n">
        <v>25</v>
      </c>
      <c r="E1490" s="16" t="inlineStr">
        <is>
          <t>R</t>
        </is>
      </c>
      <c r="F1490" s="16" t="n"/>
      <c r="G1490" s="9" t="n">
        <v>21.53846153846154</v>
      </c>
      <c r="H1490" s="9" t="n">
        <v>21.53846153846154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7" t="n"/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/>
      <c r="Y1490" s="13">
        <f>SUMPRODUCT(M1490:X1490,$M$2:$X$2)*$K1490*$L1490</f>
        <v/>
      </c>
      <c r="Z1490" s="14">
        <f>SUM(M1490:X1490)</f>
        <v/>
      </c>
      <c r="AA1490" s="14">
        <f>IFERROR(IF(UPPER($E1490)="L",SUMPRODUCT(M1490:X1490,$M$3:$X$3,$M$2:$X$2),SUMPRODUCT(M1490:X1490,$M$4:$X$4,$M$2:$X$2))/(Y1490/($K1490*$L1490)),"")</f>
        <v/>
      </c>
      <c r="AB1490" s="18" t="n"/>
    </row>
    <row r="1491">
      <c r="A1491" s="9" t="n">
        <v>806969</v>
      </c>
      <c r="B1491" s="9" t="inlineStr">
        <is>
          <t>Camilo Diaz</t>
        </is>
      </c>
      <c r="C1491" s="9" t="inlineStr">
        <is>
          <t>HOU</t>
        </is>
      </c>
      <c r="D1491" s="9" t="n">
        <v>25</v>
      </c>
      <c r="E1491" s="16" t="inlineStr">
        <is>
          <t>R</t>
        </is>
      </c>
      <c r="F1491" s="16" t="n"/>
      <c r="G1491" s="9" t="n">
        <v>24.98461538461538</v>
      </c>
      <c r="H1491" s="9" t="n">
        <v>24.98461538461538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7" t="n"/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/>
      <c r="Y1491" s="13">
        <f>SUMPRODUCT(M1491:X1491,$M$2:$X$2)*$K1491*$L1491</f>
        <v/>
      </c>
      <c r="Z1491" s="14">
        <f>SUM(M1491:X1491)</f>
        <v/>
      </c>
      <c r="AA1491" s="14">
        <f>IFERROR(IF(UPPER($E1491)="L",SUMPRODUCT(M1491:X1491,$M$3:$X$3,$M$2:$X$2),SUMPRODUCT(M1491:X1491,$M$4:$X$4,$M$2:$X$2))/(Y1491/($K1491*$L1491)),"")</f>
        <v/>
      </c>
      <c r="AB1491" s="18" t="n"/>
    </row>
    <row r="1492">
      <c r="A1492" s="9" t="n">
        <v>823295</v>
      </c>
      <c r="B1492" s="9" t="inlineStr">
        <is>
          <t>Jay Thomason</t>
        </is>
      </c>
      <c r="C1492" s="9" t="inlineStr">
        <is>
          <t>MIN</t>
        </is>
      </c>
      <c r="D1492" s="9" t="n">
        <v>25</v>
      </c>
      <c r="E1492" s="16" t="inlineStr">
        <is>
          <t>L</t>
        </is>
      </c>
      <c r="F1492" s="16" t="n"/>
      <c r="G1492" s="9" t="n">
        <v>47.38461538461538</v>
      </c>
      <c r="H1492" s="9" t="n">
        <v>47.38461538461538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7" t="n"/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/>
      <c r="Y1492" s="13">
        <f>SUMPRODUCT(M1492:X1492,$M$2:$X$2)*$K1492*$L1492</f>
        <v/>
      </c>
      <c r="Z1492" s="14">
        <f>SUM(M1492:X1492)</f>
        <v/>
      </c>
      <c r="AA1492" s="14">
        <f>IFERROR(IF(UPPER($E1492)="L",SUMPRODUCT(M1492:X1492,$M$3:$X$3,$M$2:$X$2),SUMPRODUCT(M1492:X1492,$M$4:$X$4,$M$2:$X$2))/(Y1492/($K1492*$L1492)),"")</f>
        <v/>
      </c>
      <c r="AB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7" t="n"/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/>
      <c r="Y1493" s="13">
        <f>SUMPRODUCT(M1493:X1493,$M$2:$X$2)*$K1493*$L1493</f>
        <v/>
      </c>
      <c r="Z1493" s="14">
        <f>SUM(M1493:X1493)</f>
        <v/>
      </c>
      <c r="AA1493" s="14">
        <f>IFERROR(IF(UPPER($E1493)="L",SUMPRODUCT(M1493:X1493,$M$3:$X$3,$M$2:$X$2),SUMPRODUCT(M1493:X1493,$M$4:$X$4,$M$2:$X$2))/(Y1493/($K1493*$L1493)),"")</f>
        <v/>
      </c>
      <c r="AB1493" s="18" t="n"/>
    </row>
    <row r="1494">
      <c r="A1494" s="9" t="n">
        <v>821100</v>
      </c>
      <c r="B1494" s="9" t="inlineStr">
        <is>
          <t>Justin Gonzales</t>
        </is>
      </c>
      <c r="C1494" s="9" t="inlineStr">
        <is>
          <t>BOS</t>
        </is>
      </c>
      <c r="D1494" s="9" t="n">
        <v>25</v>
      </c>
      <c r="E1494" s="16" t="inlineStr">
        <is>
          <t>R</t>
        </is>
      </c>
      <c r="F1494" s="16" t="n"/>
      <c r="G1494" s="9" t="n">
        <v>29.79487179487179</v>
      </c>
      <c r="H1494" s="9" t="n">
        <v>29.79487179487179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7" t="n"/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/>
      <c r="Y1494" s="13">
        <f>SUMPRODUCT(M1494:X1494,$M$2:$X$2)*$K1494*$L1494</f>
        <v/>
      </c>
      <c r="Z1494" s="14">
        <f>SUM(M1494:X1494)</f>
        <v/>
      </c>
      <c r="AA1494" s="14">
        <f>IFERROR(IF(UPPER($E1494)="L",SUMPRODUCT(M1494:X1494,$M$3:$X$3,$M$2:$X$2),SUMPRODUCT(M1494:X1494,$M$4:$X$4,$M$2:$X$2))/(Y1494/($K1494*$L1494)),"")</f>
        <v/>
      </c>
      <c r="AB1494" s="18" t="n"/>
    </row>
    <row r="1495">
      <c r="A1495" s="9" t="n">
        <v>808297</v>
      </c>
      <c r="B1495" s="9" t="inlineStr">
        <is>
          <t>Deward Tovar</t>
        </is>
      </c>
      <c r="C1495" s="9" t="inlineStr">
        <is>
          <t>TEX</t>
        </is>
      </c>
      <c r="D1495" s="9" t="n">
        <v>25</v>
      </c>
      <c r="E1495" s="16" t="inlineStr">
        <is>
          <t>L</t>
        </is>
      </c>
      <c r="F1495" s="16" t="n"/>
      <c r="G1495" s="9" t="n">
        <v>51.32307692307692</v>
      </c>
      <c r="H1495" s="9" t="n">
        <v>51.32307692307692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7" t="n"/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/>
      <c r="Y1495" s="13">
        <f>SUMPRODUCT(M1495:X1495,$M$2:$X$2)*$K1495*$L1495</f>
        <v/>
      </c>
      <c r="Z1495" s="14">
        <f>SUM(M1495:X1495)</f>
        <v/>
      </c>
      <c r="AA1495" s="14">
        <f>IFERROR(IF(UPPER($E1495)="L",SUMPRODUCT(M1495:X1495,$M$3:$X$3,$M$2:$X$2),SUMPRODUCT(M1495:X1495,$M$4:$X$4,$M$2:$X$2))/(Y1495/($K1495*$L1495)),"")</f>
        <v/>
      </c>
      <c r="AB1495" s="18" t="n"/>
    </row>
    <row r="1496">
      <c r="A1496" s="9" t="n">
        <v>842969</v>
      </c>
      <c r="B1496" s="9" t="inlineStr">
        <is>
          <t>Corey Nunez</t>
        </is>
      </c>
      <c r="C1496" s="9" t="inlineStr">
        <is>
          <t>CHC</t>
        </is>
      </c>
      <c r="D1496" s="9" t="n">
        <v>25</v>
      </c>
      <c r="E1496" s="16" t="inlineStr">
        <is>
          <t>R</t>
        </is>
      </c>
      <c r="F1496" s="16" t="n"/>
      <c r="G1496" s="9" t="n">
        <v>12.8</v>
      </c>
      <c r="H1496" s="9" t="n">
        <v>12.8</v>
      </c>
      <c r="I1496" s="9" t="inlineStr">
        <is>
          <t>Depth (no MLB PA)</t>
        </is>
      </c>
      <c r="J1496" s="16" t="inlineStr">
        <is>
          <t>Opening Day</t>
        </is>
      </c>
      <c r="K1496" s="11">
        <f>IFERROR(INDEX(Roles!$B$17:$B$20,MATCH(J1496,Roles!$A$17:$A$20,0)),1)</f>
        <v/>
      </c>
      <c r="L1496" s="17" t="n">
        <v>1</v>
      </c>
      <c r="M1496" s="17" t="n"/>
      <c r="N1496" s="17" t="n"/>
      <c r="O1496" s="17" t="n"/>
      <c r="P1496" s="17" t="n"/>
      <c r="Q1496" s="17" t="n"/>
      <c r="R1496" s="17" t="n"/>
      <c r="S1496" s="17" t="n"/>
      <c r="T1496" s="17" t="n"/>
      <c r="U1496" s="17" t="n"/>
      <c r="V1496" s="17" t="n"/>
      <c r="W1496" s="17" t="n"/>
      <c r="X1496" s="17" t="n"/>
      <c r="Y1496" s="13">
        <f>SUMPRODUCT(M1496:X1496,$M$2:$X$2)*$K1496*$L1496</f>
        <v/>
      </c>
      <c r="Z1496" s="14">
        <f>SUM(M1496:X1496)</f>
        <v/>
      </c>
      <c r="AA1496" s="14">
        <f>IFERROR(IF(UPPER($E1496)="L",SUMPRODUCT(M1496:X1496,$M$3:$X$3,$M$2:$X$2),SUMPRODUCT(M1496:X1496,$M$4:$X$4,$M$2:$X$2))/(Y1496/($K1496*$L1496)),"")</f>
        <v/>
      </c>
      <c r="AB1496" s="18" t="n"/>
    </row>
    <row r="1497">
      <c r="A1497" s="9" t="n">
        <v>807722</v>
      </c>
      <c r="B1497" s="9" t="inlineStr">
        <is>
          <t>Maxton Martin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102.1538461538462</v>
      </c>
      <c r="H1497" s="9" t="n">
        <v>102.1538461538462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7" t="n"/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/>
      <c r="Y1497" s="13">
        <f>SUMPRODUCT(M1497:X1497,$M$2:$X$2)*$K1497*$L1497</f>
        <v/>
      </c>
      <c r="Z1497" s="14">
        <f>SUM(M1497:X1497)</f>
        <v/>
      </c>
      <c r="AA1497" s="14">
        <f>IFERROR(IF(UPPER($E1497)="L",SUMPRODUCT(M1497:X1497,$M$3:$X$3,$M$2:$X$2),SUMPRODUCT(M1497:X1497,$M$4:$X$4,$M$2:$X$2))/(Y1497/($K1497*$L1497)),"")</f>
        <v/>
      </c>
      <c r="AB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7" t="n"/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/>
      <c r="Y1498" s="13">
        <f>SUMPRODUCT(M1498:X1498,$M$2:$X$2)*$K1498*$L1498</f>
        <v/>
      </c>
      <c r="Z1498" s="14">
        <f>SUM(M1498:X1498)</f>
        <v/>
      </c>
      <c r="AA1498" s="14">
        <f>IFERROR(IF(UPPER($E1498)="L",SUMPRODUCT(M1498:X1498,$M$3:$X$3,$M$2:$X$2),SUMPRODUCT(M1498:X1498,$M$4:$X$4,$M$2:$X$2))/(Y1498/($K1498*$L1498)),"")</f>
        <v/>
      </c>
      <c r="AB1498" s="18" t="n"/>
    </row>
    <row r="1499">
      <c r="A1499" s="9" t="n">
        <v>701493</v>
      </c>
      <c r="B1499" s="9" t="inlineStr">
        <is>
          <t>Hunter Dobbins</t>
        </is>
      </c>
      <c r="C1499" s="9" t="inlineStr">
        <is>
          <t>DET</t>
        </is>
      </c>
      <c r="D1499" s="9" t="n">
        <v>25</v>
      </c>
      <c r="E1499" s="16" t="inlineStr">
        <is>
          <t>R</t>
        </is>
      </c>
      <c r="F1499" s="16" t="n"/>
      <c r="G1499" s="9" t="n">
        <v>16.41025641025641</v>
      </c>
      <c r="H1499" s="9" t="n">
        <v>16.41025641025641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7" t="n"/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/>
      <c r="Y1499" s="13">
        <f>SUMPRODUCT(M1499:X1499,$M$2:$X$2)*$K1499*$L1499</f>
        <v/>
      </c>
      <c r="Z1499" s="14">
        <f>SUM(M1499:X1499)</f>
        <v/>
      </c>
      <c r="AA1499" s="14">
        <f>IFERROR(IF(UPPER($E1499)="L",SUMPRODUCT(M1499:X1499,$M$3:$X$3,$M$2:$X$2),SUMPRODUCT(M1499:X1499,$M$4:$X$4,$M$2:$X$2))/(Y1499/($K1499*$L1499)),"")</f>
        <v/>
      </c>
      <c r="AB1499" s="18" t="n"/>
    </row>
    <row r="1500">
      <c r="A1500" s="9" t="n">
        <v>806061</v>
      </c>
      <c r="B1500" s="9" t="inlineStr">
        <is>
          <t>Isaiah Drake</t>
        </is>
      </c>
      <c r="C1500" s="9" t="inlineStr">
        <is>
          <t>ATL</t>
        </is>
      </c>
      <c r="D1500" s="9" t="n">
        <v>25</v>
      </c>
      <c r="E1500" s="16" t="inlineStr">
        <is>
          <t>L</t>
        </is>
      </c>
      <c r="F1500" s="16" t="n"/>
      <c r="G1500" s="9" t="n">
        <v>63.58974358974359</v>
      </c>
      <c r="H1500" s="9" t="n">
        <v>63.58974358974359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7" t="n"/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/>
      <c r="Y1500" s="13">
        <f>SUMPRODUCT(M1500:X1500,$M$2:$X$2)*$K1500*$L1500</f>
        <v/>
      </c>
      <c r="Z1500" s="14">
        <f>SUM(M1500:X1500)</f>
        <v/>
      </c>
      <c r="AA1500" s="14">
        <f>IFERROR(IF(UPPER($E1500)="L",SUMPRODUCT(M1500:X1500,$M$3:$X$3,$M$2:$X$2),SUMPRODUCT(M1500:X1500,$M$4:$X$4,$M$2:$X$2))/(Y1500/($K1500*$L1500)),"")</f>
        <v/>
      </c>
      <c r="AB1500" s="18" t="n"/>
    </row>
    <row r="1501">
      <c r="A1501" s="9" t="n">
        <v>696160</v>
      </c>
      <c r="B1501" s="9" t="inlineStr">
        <is>
          <t>Jake Rucker</t>
        </is>
      </c>
      <c r="C1501" s="9" t="inlineStr">
        <is>
          <t>MIN</t>
        </is>
      </c>
      <c r="D1501" s="9" t="n">
        <v>25</v>
      </c>
      <c r="E1501" s="16" t="inlineStr">
        <is>
          <t>R</t>
        </is>
      </c>
      <c r="F1501" s="16" t="n"/>
      <c r="G1501" s="9" t="n">
        <v>27.64102564102564</v>
      </c>
      <c r="H1501" s="9" t="n">
        <v>27.64102564102564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7" t="n"/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/>
      <c r="Y1501" s="13">
        <f>SUMPRODUCT(M1501:X1501,$M$2:$X$2)*$K1501*$L1501</f>
        <v/>
      </c>
      <c r="Z1501" s="14">
        <f>SUM(M1501:X1501)</f>
        <v/>
      </c>
      <c r="AA1501" s="14">
        <f>IFERROR(IF(UPPER($E1501)="L",SUMPRODUCT(M1501:X1501,$M$3:$X$3,$M$2:$X$2),SUMPRODUCT(M1501:X1501,$M$4:$X$4,$M$2:$X$2))/(Y1501/($K1501*$L1501)),"")</f>
        <v/>
      </c>
      <c r="AB1501" s="18" t="n"/>
    </row>
    <row r="1502">
      <c r="A1502" s="9" t="n">
        <v>691449</v>
      </c>
      <c r="B1502" s="9" t="inlineStr">
        <is>
          <t>Roberto Campos</t>
        </is>
      </c>
      <c r="C1502" s="9" t="inlineStr">
        <is>
          <t>DET</t>
        </is>
      </c>
      <c r="D1502" s="9" t="n">
        <v>25</v>
      </c>
      <c r="E1502" s="16" t="inlineStr">
        <is>
          <t>R</t>
        </is>
      </c>
      <c r="F1502" s="16" t="n"/>
      <c r="G1502" s="9" t="n">
        <v>30.15384615384616</v>
      </c>
      <c r="H1502" s="9" t="n">
        <v>30.15384615384616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7" t="n"/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/>
      <c r="Y1502" s="13">
        <f>SUMPRODUCT(M1502:X1502,$M$2:$X$2)*$K1502*$L1502</f>
        <v/>
      </c>
      <c r="Z1502" s="14">
        <f>SUM(M1502:X1502)</f>
        <v/>
      </c>
      <c r="AA1502" s="14">
        <f>IFERROR(IF(UPPER($E1502)="L",SUMPRODUCT(M1502:X1502,$M$3:$X$3,$M$2:$X$2),SUMPRODUCT(M1502:X1502,$M$4:$X$4,$M$2:$X$2))/(Y1502/($K1502*$L1502)),"")</f>
        <v/>
      </c>
      <c r="AB1502" s="18" t="n"/>
    </row>
    <row r="1503">
      <c r="A1503" s="9" t="n">
        <v>822531</v>
      </c>
      <c r="B1503" s="9" t="inlineStr">
        <is>
          <t>Kyle Fossum</t>
        </is>
      </c>
      <c r="C1503" s="9" t="inlineStr">
        <is>
          <t>COL</t>
        </is>
      </c>
      <c r="D1503" s="9" t="n">
        <v>25</v>
      </c>
      <c r="E1503" s="16" t="inlineStr">
        <is>
          <t>R</t>
        </is>
      </c>
      <c r="F1503" s="16" t="n"/>
      <c r="G1503" s="9" t="n">
        <v>31.75384615384615</v>
      </c>
      <c r="H1503" s="9" t="n">
        <v>31.75384615384615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7" t="n"/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/>
      <c r="Y1503" s="13">
        <f>SUMPRODUCT(M1503:X1503,$M$2:$X$2)*$K1503*$L1503</f>
        <v/>
      </c>
      <c r="Z1503" s="14">
        <f>SUM(M1503:X1503)</f>
        <v/>
      </c>
      <c r="AA1503" s="14">
        <f>IFERROR(IF(UPPER($E1503)="L",SUMPRODUCT(M1503:X1503,$M$3:$X$3,$M$2:$X$2),SUMPRODUCT(M1503:X1503,$M$4:$X$4,$M$2:$X$2))/(Y1503/($K1503*$L1503)),"")</f>
        <v/>
      </c>
      <c r="AB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7" t="n"/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/>
      <c r="Y1504" s="13">
        <f>SUMPRODUCT(M1504:X1504,$M$2:$X$2)*$K1504*$L1504</f>
        <v/>
      </c>
      <c r="Z1504" s="14">
        <f>SUM(M1504:X1504)</f>
        <v/>
      </c>
      <c r="AA1504" s="14">
        <f>IFERROR(IF(UPPER($E1504)="L",SUMPRODUCT(M1504:X1504,$M$3:$X$3,$M$2:$X$2),SUMPRODUCT(M1504:X1504,$M$4:$X$4,$M$2:$X$2))/(Y1504/($K1504*$L1504)),"")</f>
        <v/>
      </c>
      <c r="AB1504" s="18" t="n"/>
    </row>
    <row r="1505">
      <c r="A1505" s="9" t="n">
        <v>682011</v>
      </c>
      <c r="B1505" s="9" t="inlineStr">
        <is>
          <t>Tyler Miller</t>
        </is>
      </c>
      <c r="C1505" s="9" t="inlineStr">
        <is>
          <t>PHI</t>
        </is>
      </c>
      <c r="D1505" s="9" t="n">
        <v>25</v>
      </c>
      <c r="E1505" s="16" t="inlineStr">
        <is>
          <t>L</t>
        </is>
      </c>
      <c r="F1505" s="16" t="n"/>
      <c r="G1505" s="9" t="n">
        <v>16.82051282051282</v>
      </c>
      <c r="H1505" s="9" t="n">
        <v>16.82051282051282</v>
      </c>
      <c r="I1505" s="9" t="inlineStr">
        <is>
          <t>Depth (no MLB PA)</t>
        </is>
      </c>
      <c r="J1505" s="16" t="inlineStr">
        <is>
          <t>Opening Day</t>
        </is>
      </c>
      <c r="K1505" s="11">
        <f>IFERROR(INDEX(Roles!$B$17:$B$20,MATCH(J1505,Roles!$A$17:$A$20,0)),1)</f>
        <v/>
      </c>
      <c r="L1505" s="17" t="n">
        <v>1</v>
      </c>
      <c r="M1505" s="17" t="n"/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/>
      <c r="Y1505" s="13">
        <f>SUMPRODUCT(M1505:X1505,$M$2:$X$2)*$K1505*$L1505</f>
        <v/>
      </c>
      <c r="Z1505" s="14">
        <f>SUM(M1505:X1505)</f>
        <v/>
      </c>
      <c r="AA1505" s="14">
        <f>IFERROR(IF(UPPER($E1505)="L",SUMPRODUCT(M1505:X1505,$M$3:$X$3,$M$2:$X$2),SUMPRODUCT(M1505:X1505,$M$4:$X$4,$M$2:$X$2))/(Y1505/($K1505*$L1505)),"")</f>
        <v/>
      </c>
      <c r="AB1505" s="18" t="n"/>
    </row>
    <row r="1506">
      <c r="A1506" s="9" t="n">
        <v>808691</v>
      </c>
      <c r="B1506" s="9" t="inlineStr">
        <is>
          <t>Adrian Gil</t>
        </is>
      </c>
      <c r="C1506" s="9" t="inlineStr">
        <is>
          <t>CWS</t>
        </is>
      </c>
      <c r="D1506" s="9" t="n">
        <v>25</v>
      </c>
      <c r="E1506" s="16" t="inlineStr">
        <is>
          <t>R</t>
        </is>
      </c>
      <c r="F1506" s="16" t="n"/>
      <c r="G1506" s="9" t="n">
        <v>21.16923076923077</v>
      </c>
      <c r="H1506" s="9" t="n">
        <v>21.16923076923077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7" t="n"/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/>
      <c r="Y1506" s="13">
        <f>SUMPRODUCT(M1506:X1506,$M$2:$X$2)*$K1506*$L1506</f>
        <v/>
      </c>
      <c r="Z1506" s="14">
        <f>SUM(M1506:X1506)</f>
        <v/>
      </c>
      <c r="AA1506" s="14">
        <f>IFERROR(IF(UPPER($E1506)="L",SUMPRODUCT(M1506:X1506,$M$3:$X$3,$M$2:$X$2),SUMPRODUCT(M1506:X1506,$M$4:$X$4,$M$2:$X$2))/(Y1506/($K1506*$L1506)),"")</f>
        <v/>
      </c>
      <c r="AB1506" s="18" t="n"/>
    </row>
    <row r="1507">
      <c r="A1507" s="9" t="n">
        <v>808631</v>
      </c>
      <c r="B1507" s="9" t="inlineStr">
        <is>
          <t>Frederik Jimenez</t>
        </is>
      </c>
      <c r="C1507" s="9" t="inlineStr">
        <is>
          <t>BOS</t>
        </is>
      </c>
      <c r="D1507" s="9" t="n">
        <v>25</v>
      </c>
      <c r="E1507" s="16" t="inlineStr">
        <is>
          <t>S</t>
        </is>
      </c>
      <c r="F1507" s="16" t="n"/>
      <c r="G1507" s="9" t="n">
        <v>16.73846153846154</v>
      </c>
      <c r="H1507" s="9" t="n">
        <v>16.73846153846154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7" t="n"/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/>
      <c r="Y1507" s="13">
        <f>SUMPRODUCT(M1507:X1507,$M$2:$X$2)*$K1507*$L1507</f>
        <v/>
      </c>
      <c r="Z1507" s="14">
        <f>SUM(M1507:X1507)</f>
        <v/>
      </c>
      <c r="AA1507" s="14">
        <f>IFERROR(IF(UPPER($E1507)="L",SUMPRODUCT(M1507:X1507,$M$3:$X$3,$M$2:$X$2),SUMPRODUCT(M1507:X1507,$M$4:$X$4,$M$2:$X$2))/(Y1507/($K1507*$L1507)),"")</f>
        <v/>
      </c>
      <c r="AB1507" s="18" t="n"/>
    </row>
    <row r="1508">
      <c r="A1508" s="9" t="n">
        <v>829162</v>
      </c>
      <c r="B1508" s="9" t="inlineStr">
        <is>
          <t>Steele Hall</t>
        </is>
      </c>
      <c r="C1508" s="9" t="inlineStr">
        <is>
          <t>CIN</t>
        </is>
      </c>
      <c r="D1508" s="9" t="n">
        <v>25</v>
      </c>
      <c r="E1508" s="16" t="inlineStr">
        <is>
          <t>R</t>
        </is>
      </c>
      <c r="F1508" s="16" t="n"/>
      <c r="G1508" s="9" t="n">
        <v>14.64615384615385</v>
      </c>
      <c r="H1508" s="9" t="n">
        <v>14.64615384615385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7" t="n"/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/>
      <c r="Y1508" s="13">
        <f>SUMPRODUCT(M1508:X1508,$M$2:$X$2)*$K1508*$L1508</f>
        <v/>
      </c>
      <c r="Z1508" s="14">
        <f>SUM(M1508:X1508)</f>
        <v/>
      </c>
      <c r="AA1508" s="14">
        <f>IFERROR(IF(UPPER($E1508)="L",SUMPRODUCT(M1508:X1508,$M$3:$X$3,$M$2:$X$2),SUMPRODUCT(M1508:X1508,$M$4:$X$4,$M$2:$X$2))/(Y1508/($K1508*$L1508)),"")</f>
        <v/>
      </c>
      <c r="AB1508" s="18" t="n"/>
    </row>
    <row r="1509">
      <c r="A1509" s="9" t="n">
        <v>703603</v>
      </c>
      <c r="B1509" s="9" t="inlineStr">
        <is>
          <t>Grant Jay</t>
        </is>
      </c>
      <c r="C1509" s="9" t="inlineStr">
        <is>
          <t>SEA</t>
        </is>
      </c>
      <c r="D1509" s="9" t="n">
        <v>25</v>
      </c>
      <c r="E1509" s="16" t="inlineStr">
        <is>
          <t>R</t>
        </is>
      </c>
      <c r="F1509" s="16" t="n"/>
      <c r="G1509" s="9" t="n">
        <v>37.90769230769231</v>
      </c>
      <c r="H1509" s="9" t="n">
        <v>37.90769230769231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7" t="n"/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/>
      <c r="Y1509" s="13">
        <f>SUMPRODUCT(M1509:X1509,$M$2:$X$2)*$K1509*$L1509</f>
        <v/>
      </c>
      <c r="Z1509" s="14">
        <f>SUM(M1509:X1509)</f>
        <v/>
      </c>
      <c r="AA1509" s="14">
        <f>IFERROR(IF(UPPER($E1509)="L",SUMPRODUCT(M1509:X1509,$M$3:$X$3,$M$2:$X$2),SUMPRODUCT(M1509:X1509,$M$4:$X$4,$M$2:$X$2))/(Y1509/($K1509*$L1509)),"")</f>
        <v/>
      </c>
      <c r="AB1509" s="18" t="n"/>
    </row>
    <row r="1510">
      <c r="A1510" s="9" t="n">
        <v>703158</v>
      </c>
      <c r="B1510" s="9" t="inlineStr">
        <is>
          <t>Jonathan Mejía</t>
        </is>
      </c>
      <c r="C1510" s="9" t="inlineStr">
        <is>
          <t>STL</t>
        </is>
      </c>
      <c r="D1510" s="9" t="n">
        <v>25</v>
      </c>
      <c r="E1510" s="16" t="inlineStr">
        <is>
          <t>S</t>
        </is>
      </c>
      <c r="F1510" s="16" t="n"/>
      <c r="G1510" s="9" t="n">
        <v>38.64615384615384</v>
      </c>
      <c r="H1510" s="9" t="n">
        <v>38.64615384615384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7" t="n"/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/>
      <c r="Y1510" s="13">
        <f>SUMPRODUCT(M1510:X1510,$M$2:$X$2)*$K1510*$L1510</f>
        <v/>
      </c>
      <c r="Z1510" s="14">
        <f>SUM(M1510:X1510)</f>
        <v/>
      </c>
      <c r="AA1510" s="14">
        <f>IFERROR(IF(UPPER($E1510)="L",SUMPRODUCT(M1510:X1510,$M$3:$X$3,$M$2:$X$2),SUMPRODUCT(M1510:X1510,$M$4:$X$4,$M$2:$X$2))/(Y1510/($K1510*$L1510)),"")</f>
        <v/>
      </c>
      <c r="AB1510" s="18" t="n"/>
    </row>
    <row r="1511">
      <c r="A1511" s="9" t="n">
        <v>801853</v>
      </c>
      <c r="B1511" s="9" t="inlineStr">
        <is>
          <t>Brandon Nigh</t>
        </is>
      </c>
      <c r="C1511" s="9" t="inlineStr">
        <is>
          <t>HOU</t>
        </is>
      </c>
      <c r="D1511" s="9" t="n">
        <v>25</v>
      </c>
      <c r="E1511" s="16" t="inlineStr">
        <is>
          <t>R</t>
        </is>
      </c>
      <c r="F1511" s="16" t="n"/>
      <c r="G1511" s="9" t="n">
        <v>12.51282051282051</v>
      </c>
      <c r="H1511" s="9" t="n">
        <v>12.51282051282051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7" t="n"/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/>
      <c r="Y1511" s="13">
        <f>SUMPRODUCT(M1511:X1511,$M$2:$X$2)*$K1511*$L1511</f>
        <v/>
      </c>
      <c r="Z1511" s="14">
        <f>SUM(M1511:X1511)</f>
        <v/>
      </c>
      <c r="AA1511" s="14">
        <f>IFERROR(IF(UPPER($E1511)="L",SUMPRODUCT(M1511:X1511,$M$3:$X$3,$M$2:$X$2),SUMPRODUCT(M1511:X1511,$M$4:$X$4,$M$2:$X$2))/(Y1511/($K1511*$L1511)),"")</f>
        <v/>
      </c>
      <c r="AB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7" t="n"/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/>
      <c r="Y1512" s="13">
        <f>SUMPRODUCT(M1512:X1512,$M$2:$X$2)*$K1512*$L1512</f>
        <v/>
      </c>
      <c r="Z1512" s="14">
        <f>SUM(M1512:X1512)</f>
        <v/>
      </c>
      <c r="AA1512" s="14">
        <f>IFERROR(IF(UPPER($E1512)="L",SUMPRODUCT(M1512:X1512,$M$3:$X$3,$M$2:$X$2),SUMPRODUCT(M1512:X1512,$M$4:$X$4,$M$2:$X$2))/(Y1512/($K1512*$L1512)),"")</f>
        <v/>
      </c>
      <c r="AB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7" t="n"/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/>
      <c r="Y1513" s="13">
        <f>SUMPRODUCT(M1513:X1513,$M$2:$X$2)*$K1513*$L1513</f>
        <v/>
      </c>
      <c r="Z1513" s="14">
        <f>SUM(M1513:X1513)</f>
        <v/>
      </c>
      <c r="AA1513" s="14">
        <f>IFERROR(IF(UPPER($E1513)="L",SUMPRODUCT(M1513:X1513,$M$3:$X$3,$M$2:$X$2),SUMPRODUCT(M1513:X1513,$M$4:$X$4,$M$2:$X$2))/(Y1513/($K1513*$L1513)),"")</f>
        <v/>
      </c>
      <c r="AB1513" s="18" t="n"/>
    </row>
    <row r="1514">
      <c r="A1514" s="9" t="n">
        <v>689456</v>
      </c>
      <c r="B1514" s="9" t="inlineStr">
        <is>
          <t>Austin Murr</t>
        </is>
      </c>
      <c r="C1514" s="9" t="inlineStr">
        <is>
          <t>PHI</t>
        </is>
      </c>
      <c r="D1514" s="9" t="n">
        <v>25</v>
      </c>
      <c r="E1514" s="16" t="inlineStr">
        <is>
          <t>L</t>
        </is>
      </c>
      <c r="F1514" s="16" t="n"/>
      <c r="G1514" s="9" t="n">
        <v>76.46153846153845</v>
      </c>
      <c r="H1514" s="9" t="n">
        <v>76.46153846153845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7" t="n"/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/>
      <c r="Y1514" s="13">
        <f>SUMPRODUCT(M1514:X1514,$M$2:$X$2)*$K1514*$L1514</f>
        <v/>
      </c>
      <c r="Z1514" s="14">
        <f>SUM(M1514:X1514)</f>
        <v/>
      </c>
      <c r="AA1514" s="14">
        <f>IFERROR(IF(UPPER($E1514)="L",SUMPRODUCT(M1514:X1514,$M$3:$X$3,$M$2:$X$2),SUMPRODUCT(M1514:X1514,$M$4:$X$4,$M$2:$X$2))/(Y1514/($K1514*$L1514)),"")</f>
        <v/>
      </c>
      <c r="AB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25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Opening Day</t>
        </is>
      </c>
      <c r="K1515" s="11">
        <f>IFERROR(INDEX(Roles!$B$17:$B$20,MATCH(J1515,Roles!$A$17:$A$20,0)),1)</f>
        <v/>
      </c>
      <c r="L1515" s="17" t="n">
        <v>1</v>
      </c>
      <c r="M1515" s="17" t="n"/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/>
      <c r="Y1515" s="13">
        <f>SUMPRODUCT(M1515:X1515,$M$2:$X$2)*$K1515*$L1515</f>
        <v/>
      </c>
      <c r="Z1515" s="14">
        <f>SUM(M1515:X1515)</f>
        <v/>
      </c>
      <c r="AA1515" s="14">
        <f>IFERROR(IF(UPPER($E1515)="L",SUMPRODUCT(M1515:X1515,$M$3:$X$3,$M$2:$X$2),SUMPRODUCT(M1515:X1515,$M$4:$X$4,$M$2:$X$2))/(Y1515/($K1515*$L1515)),"")</f>
        <v/>
      </c>
      <c r="AB1515" s="18" t="n"/>
    </row>
    <row r="1516">
      <c r="A1516" s="9" t="n">
        <v>800614</v>
      </c>
      <c r="B1516" s="9" t="inlineStr">
        <is>
          <t>Bryce Rainer</t>
        </is>
      </c>
      <c r="C1516" s="9" t="inlineStr">
        <is>
          <t>DET</t>
        </is>
      </c>
      <c r="D1516" s="9" t="n">
        <v>25</v>
      </c>
      <c r="E1516" s="16" t="inlineStr">
        <is>
          <t>L</t>
        </is>
      </c>
      <c r="F1516" s="16" t="n"/>
      <c r="G1516" s="9" t="n">
        <v>87.17948717948718</v>
      </c>
      <c r="H1516" s="9" t="n">
        <v>87.17948717948718</v>
      </c>
      <c r="I1516" s="9" t="inlineStr">
        <is>
          <t>Depth (no MLB PA)</t>
        </is>
      </c>
      <c r="J1516" s="16" t="inlineStr">
        <is>
          <t>Opening Day</t>
        </is>
      </c>
      <c r="K1516" s="11">
        <f>IFERROR(INDEX(Roles!$B$17:$B$20,MATCH(J1516,Roles!$A$17:$A$20,0)),1)</f>
        <v/>
      </c>
      <c r="L1516" s="17" t="n">
        <v>1</v>
      </c>
      <c r="M1516" s="17" t="n"/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/>
      <c r="Y1516" s="13">
        <f>SUMPRODUCT(M1516:X1516,$M$2:$X$2)*$K1516*$L1516</f>
        <v/>
      </c>
      <c r="Z1516" s="14">
        <f>SUM(M1516:X1516)</f>
        <v/>
      </c>
      <c r="AA1516" s="14">
        <f>IFERROR(IF(UPPER($E1516)="L",SUMPRODUCT(M1516:X1516,$M$3:$X$3,$M$2:$X$2),SUMPRODUCT(M1516:X1516,$M$4:$X$4,$M$2:$X$2))/(Y1516/($K1516*$L1516)),"")</f>
        <v/>
      </c>
      <c r="AB1516" s="18" t="n"/>
    </row>
    <row r="1517">
      <c r="A1517" s="9" t="n">
        <v>700784</v>
      </c>
      <c r="B1517" s="9" t="inlineStr">
        <is>
          <t>Jeron Williams</t>
        </is>
      </c>
      <c r="C1517" s="9" t="inlineStr">
        <is>
          <t>HOU</t>
        </is>
      </c>
      <c r="D1517" s="9" t="n">
        <v>25</v>
      </c>
      <c r="E1517" s="16" t="inlineStr">
        <is>
          <t>R</t>
        </is>
      </c>
      <c r="F1517" s="16" t="n"/>
      <c r="G1517" s="9" t="n">
        <v>21.89743589743589</v>
      </c>
      <c r="H1517" s="9" t="n">
        <v>21.89743589743589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7" t="n"/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/>
      <c r="Y1517" s="13">
        <f>SUMPRODUCT(M1517:X1517,$M$2:$X$2)*$K1517*$L1517</f>
        <v/>
      </c>
      <c r="Z1517" s="14">
        <f>SUM(M1517:X1517)</f>
        <v/>
      </c>
      <c r="AA1517" s="14">
        <f>IFERROR(IF(UPPER($E1517)="L",SUMPRODUCT(M1517:X1517,$M$3:$X$3,$M$2:$X$2),SUMPRODUCT(M1517:X1517,$M$4:$X$4,$M$2:$X$2))/(Y1517/($K1517*$L1517)),"")</f>
        <v/>
      </c>
      <c r="AB1517" s="18" t="n"/>
    </row>
    <row r="1518">
      <c r="A1518" s="9" t="n">
        <v>807061</v>
      </c>
      <c r="B1518" s="9" t="inlineStr">
        <is>
          <t>Carter Beck</t>
        </is>
      </c>
      <c r="C1518" s="9" t="inlineStr">
        <is>
          <t>ATL</t>
        </is>
      </c>
      <c r="D1518" s="9" t="n">
        <v>25</v>
      </c>
      <c r="E1518" s="16" t="inlineStr">
        <is>
          <t>L</t>
        </is>
      </c>
      <c r="F1518" s="16" t="n"/>
      <c r="G1518" s="9" t="n">
        <v>17.43589743589744</v>
      </c>
      <c r="H1518" s="9" t="n">
        <v>17.43589743589744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7" t="n"/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/>
      <c r="Y1518" s="13">
        <f>SUMPRODUCT(M1518:X1518,$M$2:$X$2)*$K1518*$L1518</f>
        <v/>
      </c>
      <c r="Z1518" s="14">
        <f>SUM(M1518:X1518)</f>
        <v/>
      </c>
      <c r="AA1518" s="14">
        <f>IFERROR(IF(UPPER($E1518)="L",SUMPRODUCT(M1518:X1518,$M$3:$X$3,$M$2:$X$2),SUMPRODUCT(M1518:X1518,$M$4:$X$4,$M$2:$X$2))/(Y1518/($K1518*$L1518)),"")</f>
        <v/>
      </c>
      <c r="AB1518" s="18" t="n"/>
    </row>
    <row r="1519">
      <c r="A1519" s="9" t="n">
        <v>702597</v>
      </c>
      <c r="B1519" s="9" t="inlineStr">
        <is>
          <t>Dom Krupinski</t>
        </is>
      </c>
      <c r="C1519" s="9" t="inlineStr">
        <is>
          <t>CHC</t>
        </is>
      </c>
      <c r="D1519" s="9" t="n">
        <v>25</v>
      </c>
      <c r="E1519" s="16" t="inlineStr">
        <is>
          <t>L</t>
        </is>
      </c>
      <c r="F1519" s="16" t="n"/>
      <c r="G1519" s="9" t="n">
        <v>29.79487179487179</v>
      </c>
      <c r="H1519" s="9" t="n">
        <v>29.79487179487179</v>
      </c>
      <c r="I1519" s="9" t="inlineStr">
        <is>
          <t>Depth (no MLB PA)</t>
        </is>
      </c>
      <c r="J1519" s="16" t="inlineStr">
        <is>
          <t>Opening Day</t>
        </is>
      </c>
      <c r="K1519" s="11">
        <f>IFERROR(INDEX(Roles!$B$17:$B$20,MATCH(J1519,Roles!$A$17:$A$20,0)),1)</f>
        <v/>
      </c>
      <c r="L1519" s="17" t="n">
        <v>1</v>
      </c>
      <c r="M1519" s="17" t="n"/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/>
      <c r="Y1519" s="13">
        <f>SUMPRODUCT(M1519:X1519,$M$2:$X$2)*$K1519*$L1519</f>
        <v/>
      </c>
      <c r="Z1519" s="14">
        <f>SUM(M1519:X1519)</f>
        <v/>
      </c>
      <c r="AA1519" s="14">
        <f>IFERROR(IF(UPPER($E1519)="L",SUMPRODUCT(M1519:X1519,$M$3:$X$3,$M$2:$X$2),SUMPRODUCT(M1519:X1519,$M$4:$X$4,$M$2:$X$2))/(Y1519/($K1519*$L1519)),"")</f>
        <v/>
      </c>
      <c r="AB1519" s="18" t="n"/>
    </row>
    <row r="1520">
      <c r="A1520" s="9" t="n">
        <v>656403</v>
      </c>
      <c r="B1520" s="9" t="inlineStr">
        <is>
          <t>Drew Ellis</t>
        </is>
      </c>
      <c r="C1520" s="9" t="inlineStr">
        <is>
          <t>PHI</t>
        </is>
      </c>
      <c r="D1520" s="9" t="n">
        <v>31</v>
      </c>
      <c r="E1520" s="16" t="inlineStr">
        <is>
          <t>R</t>
        </is>
      </c>
      <c r="F1520" s="16" t="n"/>
      <c r="G1520" s="9" t="n">
        <v>29</v>
      </c>
      <c r="H1520" s="9" t="n">
        <v>46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7" t="n"/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/>
      <c r="Y1520" s="13">
        <f>SUMPRODUCT(M1520:X1520,$M$2:$X$2)*$K1520*$L1520</f>
        <v/>
      </c>
      <c r="Z1520" s="14">
        <f>SUM(M1520:X1520)</f>
        <v/>
      </c>
      <c r="AA1520" s="14">
        <f>IFERROR(IF(UPPER($E1520)="L",SUMPRODUCT(M1520:X1520,$M$3:$X$3,$M$2:$X$2),SUMPRODUCT(M1520:X1520,$M$4:$X$4,$M$2:$X$2))/(Y1520/($K1520*$L1520)),"")</f>
        <v/>
      </c>
      <c r="AB1520" s="18" t="n"/>
    </row>
    <row r="1521">
      <c r="A1521" s="9" t="n">
        <v>805104</v>
      </c>
      <c r="B1521" s="9" t="inlineStr">
        <is>
          <t>Jose Monserrate</t>
        </is>
      </c>
      <c r="C1521" s="9" t="inlineStr">
        <is>
          <t>MIA</t>
        </is>
      </c>
      <c r="D1521" s="9" t="n">
        <v>25</v>
      </c>
      <c r="E1521" s="16" t="inlineStr">
        <is>
          <t>R</t>
        </is>
      </c>
      <c r="F1521" s="16" t="n"/>
      <c r="G1521" s="9" t="n">
        <v>15.38461538461538</v>
      </c>
      <c r="H1521" s="9" t="n">
        <v>15.38461538461538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7" t="n"/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/>
      <c r="Y1521" s="13">
        <f>SUMPRODUCT(M1521:X1521,$M$2:$X$2)*$K1521*$L1521</f>
        <v/>
      </c>
      <c r="Z1521" s="14">
        <f>SUM(M1521:X1521)</f>
        <v/>
      </c>
      <c r="AA1521" s="14">
        <f>IFERROR(IF(UPPER($E1521)="L",SUMPRODUCT(M1521:X1521,$M$3:$X$3,$M$2:$X$2),SUMPRODUCT(M1521:X1521,$M$4:$X$4,$M$2:$X$2))/(Y1521/($K1521*$L1521)),"")</f>
        <v/>
      </c>
      <c r="AB1521" s="18" t="n"/>
    </row>
    <row r="1522">
      <c r="A1522" s="9" t="n">
        <v>800149</v>
      </c>
      <c r="B1522" s="9" t="inlineStr">
        <is>
          <t>Carlos Pacheco</t>
        </is>
      </c>
      <c r="C1522" s="9" t="inlineStr">
        <is>
          <t>OAK</t>
        </is>
      </c>
      <c r="D1522" s="9" t="n">
        <v>25</v>
      </c>
      <c r="E1522" s="16" t="inlineStr">
        <is>
          <t>R</t>
        </is>
      </c>
      <c r="F1522" s="16" t="n"/>
      <c r="G1522" s="9" t="n">
        <v>13.28205128205128</v>
      </c>
      <c r="H1522" s="9" t="n">
        <v>13.28205128205128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7" t="n"/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/>
      <c r="Y1522" s="13">
        <f>SUMPRODUCT(M1522:X1522,$M$2:$X$2)*$K1522*$L1522</f>
        <v/>
      </c>
      <c r="Z1522" s="14">
        <f>SUM(M1522:X1522)</f>
        <v/>
      </c>
      <c r="AA1522" s="14">
        <f>IFERROR(IF(UPPER($E1522)="L",SUMPRODUCT(M1522:X1522,$M$3:$X$3,$M$2:$X$2),SUMPRODUCT(M1522:X1522,$M$4:$X$4,$M$2:$X$2))/(Y1522/($K1522*$L1522)),"")</f>
        <v/>
      </c>
      <c r="AB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n"/>
      <c r="G1523" s="9" t="n">
        <v>248</v>
      </c>
      <c r="H1523" s="9" t="n">
        <v>798</v>
      </c>
      <c r="I1523" s="9" t="inlineStr">
        <is>
          <t>Utility OF / 4th OF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7" t="n"/>
      <c r="N1523" s="17" t="n"/>
      <c r="O1523" s="17" t="n"/>
      <c r="P1523" s="17" t="n"/>
      <c r="Q1523" s="17" t="n"/>
      <c r="R1523" s="17" t="n"/>
      <c r="S1523" s="17" t="n"/>
      <c r="T1523" s="17" t="n"/>
      <c r="U1523" s="17" t="n"/>
      <c r="V1523" s="17" t="n"/>
      <c r="W1523" s="17" t="n"/>
      <c r="X1523" s="17" t="n"/>
      <c r="Y1523" s="13">
        <f>SUMPRODUCT(M1523:X1523,$M$2:$X$2)*$K1523*$L1523</f>
        <v/>
      </c>
      <c r="Z1523" s="14">
        <f>SUM(M1523:X1523)</f>
        <v/>
      </c>
      <c r="AA1523" s="14">
        <f>IFERROR(IF(UPPER($E1523)="L",SUMPRODUCT(M1523:X1523,$M$3:$X$3,$M$2:$X$2),SUMPRODUCT(M1523:X1523,$M$4:$X$4,$M$2:$X$2))/(Y1523/($K1523*$L1523)),"")</f>
        <v/>
      </c>
      <c r="AB1523" s="18" t="n"/>
    </row>
    <row r="1524">
      <c r="A1524" s="9" t="n">
        <v>702520</v>
      </c>
      <c r="B1524" s="9" t="inlineStr">
        <is>
          <t>Justin Thomas Jr.</t>
        </is>
      </c>
      <c r="C1524" s="9" t="inlineStr">
        <is>
          <t>HOU</t>
        </is>
      </c>
      <c r="D1524" s="9" t="n">
        <v>25</v>
      </c>
      <c r="E1524" s="16" t="inlineStr">
        <is>
          <t>R</t>
        </is>
      </c>
      <c r="F1524" s="16" t="n"/>
      <c r="G1524" s="9" t="n">
        <v>30.15384615384616</v>
      </c>
      <c r="H1524" s="9" t="n">
        <v>30.15384615384616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7" t="n"/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/>
      <c r="Y1524" s="13">
        <f>SUMPRODUCT(M1524:X1524,$M$2:$X$2)*$K1524*$L1524</f>
        <v/>
      </c>
      <c r="Z1524" s="14">
        <f>SUM(M1524:X1524)</f>
        <v/>
      </c>
      <c r="AA1524" s="14">
        <f>IFERROR(IF(UPPER($E1524)="L",SUMPRODUCT(M1524:X1524,$M$3:$X$3,$M$2:$X$2),SUMPRODUCT(M1524:X1524,$M$4:$X$4,$M$2:$X$2))/(Y1524/($K1524*$L1524)),"")</f>
        <v/>
      </c>
      <c r="AB1524" s="18" t="n"/>
    </row>
    <row r="1525">
      <c r="A1525" s="9" t="n">
        <v>692364</v>
      </c>
      <c r="B1525" s="9" t="inlineStr">
        <is>
          <t>Cesar Quintas</t>
        </is>
      </c>
      <c r="C1525" s="9" t="inlineStr">
        <is>
          <t>SEA</t>
        </is>
      </c>
      <c r="D1525" s="9" t="n">
        <v>25</v>
      </c>
      <c r="E1525" s="16" t="inlineStr">
        <is>
          <t>R</t>
        </is>
      </c>
      <c r="F1525" s="16" t="n"/>
      <c r="G1525" s="9" t="n">
        <v>17.64102564102564</v>
      </c>
      <c r="H1525" s="9" t="n">
        <v>17.64102564102564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7" t="n"/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/>
      <c r="Y1525" s="13">
        <f>SUMPRODUCT(M1525:X1525,$M$2:$X$2)*$K1525*$L1525</f>
        <v/>
      </c>
      <c r="Z1525" s="14">
        <f>SUM(M1525:X1525)</f>
        <v/>
      </c>
      <c r="AA1525" s="14">
        <f>IFERROR(IF(UPPER($E1525)="L",SUMPRODUCT(M1525:X1525,$M$3:$X$3,$M$2:$X$2),SUMPRODUCT(M1525:X1525,$M$4:$X$4,$M$2:$X$2))/(Y1525/($K1525*$L1525)),"")</f>
        <v/>
      </c>
      <c r="AB1525" s="18" t="n"/>
    </row>
    <row r="1526">
      <c r="A1526" s="9" t="n">
        <v>805870</v>
      </c>
      <c r="B1526" s="9" t="inlineStr">
        <is>
          <t>Hyungchan Um</t>
        </is>
      </c>
      <c r="C1526" s="9" t="inlineStr">
        <is>
          <t>KC</t>
        </is>
      </c>
      <c r="D1526" s="9" t="n">
        <v>25</v>
      </c>
      <c r="E1526" s="16" t="inlineStr">
        <is>
          <t>R</t>
        </is>
      </c>
      <c r="F1526" s="16" t="n"/>
      <c r="G1526" s="9" t="n">
        <v>13.28205128205128</v>
      </c>
      <c r="H1526" s="9" t="n">
        <v>13.28205128205128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7" t="n"/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/>
      <c r="Y1526" s="13">
        <f>SUMPRODUCT(M1526:X1526,$M$2:$X$2)*$K1526*$L1526</f>
        <v/>
      </c>
      <c r="Z1526" s="14">
        <f>SUM(M1526:X1526)</f>
        <v/>
      </c>
      <c r="AA1526" s="14">
        <f>IFERROR(IF(UPPER($E1526)="L",SUMPRODUCT(M1526:X1526,$M$3:$X$3,$M$2:$X$2),SUMPRODUCT(M1526:X1526,$M$4:$X$4,$M$2:$X$2))/(Y1526/($K1526*$L1526)),"")</f>
        <v/>
      </c>
      <c r="AB1526" s="18" t="n"/>
    </row>
    <row r="1527">
      <c r="A1527" s="9" t="n">
        <v>807011</v>
      </c>
      <c r="B1527" s="9" t="inlineStr">
        <is>
          <t>Felix Morrobel</t>
        </is>
      </c>
      <c r="C1527" s="9" t="inlineStr">
        <is>
          <t>LAA</t>
        </is>
      </c>
      <c r="D1527" s="9" t="n">
        <v>25</v>
      </c>
      <c r="E1527" s="16" t="inlineStr">
        <is>
          <t>S</t>
        </is>
      </c>
      <c r="F1527" s="16" t="n"/>
      <c r="G1527" s="9" t="n">
        <v>13.41538461538462</v>
      </c>
      <c r="H1527" s="9" t="n">
        <v>13.41538461538462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7" t="n"/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/>
      <c r="Y1527" s="13">
        <f>SUMPRODUCT(M1527:X1527,$M$2:$X$2)*$K1527*$L1527</f>
        <v/>
      </c>
      <c r="Z1527" s="14">
        <f>SUM(M1527:X1527)</f>
        <v/>
      </c>
      <c r="AA1527" s="14">
        <f>IFERROR(IF(UPPER($E1527)="L",SUMPRODUCT(M1527:X1527,$M$3:$X$3,$M$2:$X$2),SUMPRODUCT(M1527:X1527,$M$4:$X$4,$M$2:$X$2))/(Y1527/($K1527*$L1527)),"")</f>
        <v/>
      </c>
      <c r="AB1527" s="18" t="n"/>
    </row>
    <row r="1528">
      <c r="A1528" s="9" t="n">
        <v>690053</v>
      </c>
      <c r="B1528" s="9" t="inlineStr">
        <is>
          <t>Chris Sargent</t>
        </is>
      </c>
      <c r="C1528" s="9" t="inlineStr">
        <is>
          <t>SD</t>
        </is>
      </c>
      <c r="D1528" s="9" t="n">
        <v>25</v>
      </c>
      <c r="E1528" s="16" t="inlineStr">
        <is>
          <t>R</t>
        </is>
      </c>
      <c r="F1528" s="16" t="n"/>
      <c r="G1528" s="9" t="n">
        <v>39.48717948717948</v>
      </c>
      <c r="H1528" s="9" t="n">
        <v>39.48717948717948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7" t="n"/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/>
      <c r="Y1528" s="13">
        <f>SUMPRODUCT(M1528:X1528,$M$2:$X$2)*$K1528*$L1528</f>
        <v/>
      </c>
      <c r="Z1528" s="14">
        <f>SUM(M1528:X1528)</f>
        <v/>
      </c>
      <c r="AA1528" s="14">
        <f>IFERROR(IF(UPPER($E1528)="L",SUMPRODUCT(M1528:X1528,$M$3:$X$3,$M$2:$X$2),SUMPRODUCT(M1528:X1528,$M$4:$X$4,$M$2:$X$2))/(Y1528/($K1528*$L1528)),"")</f>
        <v/>
      </c>
      <c r="AB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n"/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7" t="n"/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/>
      <c r="Y1529" s="13">
        <f>SUMPRODUCT(M1529:X1529,$M$2:$X$2)*$K1529*$L1529</f>
        <v/>
      </c>
      <c r="Z1529" s="14">
        <f>SUM(M1529:X1529)</f>
        <v/>
      </c>
      <c r="AA1529" s="14">
        <f>IFERROR(IF(UPPER($E1529)="L",SUMPRODUCT(M1529:X1529,$M$3:$X$3,$M$2:$X$2),SUMPRODUCT(M1529:X1529,$M$4:$X$4,$M$2:$X$2))/(Y1529/($K1529*$L1529)),"")</f>
        <v/>
      </c>
      <c r="AB1529" s="18" t="n"/>
    </row>
    <row r="1530">
      <c r="A1530" s="9" t="n">
        <v>519058</v>
      </c>
      <c r="B1530" s="9" t="inlineStr">
        <is>
          <t>Mike Moustakas</t>
        </is>
      </c>
      <c r="C1530" s="9" t="inlineStr">
        <is>
          <t>LAA</t>
        </is>
      </c>
      <c r="D1530" s="9" t="n">
        <v>38</v>
      </c>
      <c r="E1530" s="16" t="inlineStr">
        <is>
          <t>L</t>
        </is>
      </c>
      <c r="F1530" s="16" t="n"/>
      <c r="G1530" s="9" t="n">
        <v>386</v>
      </c>
      <c r="H1530" s="9" t="n">
        <v>671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7" t="n"/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/>
      <c r="Y1530" s="13">
        <f>SUMPRODUCT(M1530:X1530,$M$2:$X$2)*$K1530*$L1530</f>
        <v/>
      </c>
      <c r="Z1530" s="14">
        <f>SUM(M1530:X1530)</f>
        <v/>
      </c>
      <c r="AA1530" s="14">
        <f>IFERROR(IF(UPPER($E1530)="L",SUMPRODUCT(M1530:X1530,$M$3:$X$3,$M$2:$X$2),SUMPRODUCT(M1530:X1530,$M$4:$X$4,$M$2:$X$2))/(Y1530/($K1530*$L1530)),"")</f>
        <v/>
      </c>
      <c r="AB1530" s="18" t="n"/>
    </row>
    <row r="1531">
      <c r="A1531" s="9" t="n">
        <v>806982</v>
      </c>
      <c r="B1531" s="9" t="inlineStr">
        <is>
          <t>Esmil Valencia</t>
        </is>
      </c>
      <c r="C1531" s="9" t="inlineStr">
        <is>
          <t>MIA</t>
        </is>
      </c>
      <c r="D1531" s="9" t="n">
        <v>25</v>
      </c>
      <c r="E1531" s="16" t="inlineStr">
        <is>
          <t>R</t>
        </is>
      </c>
      <c r="F1531" s="16" t="n"/>
      <c r="G1531" s="9" t="n">
        <v>39.38461538461539</v>
      </c>
      <c r="H1531" s="9" t="n">
        <v>39.38461538461539</v>
      </c>
      <c r="I1531" s="9" t="inlineStr">
        <is>
          <t>Depth (no MLB PA)</t>
        </is>
      </c>
      <c r="J1531" s="16" t="inlineStr">
        <is>
          <t>Opening Day</t>
        </is>
      </c>
      <c r="K1531" s="11">
        <f>IFERROR(INDEX(Roles!$B$17:$B$20,MATCH(J1531,Roles!$A$17:$A$20,0)),1)</f>
        <v/>
      </c>
      <c r="L1531" s="17" t="n">
        <v>1</v>
      </c>
      <c r="M1531" s="17" t="n"/>
      <c r="N1531" s="17" t="n"/>
      <c r="O1531" s="17" t="n"/>
      <c r="P1531" s="17" t="n"/>
      <c r="Q1531" s="17" t="n"/>
      <c r="R1531" s="17" t="n"/>
      <c r="S1531" s="17" t="n"/>
      <c r="T1531" s="17" t="n"/>
      <c r="U1531" s="17" t="n"/>
      <c r="V1531" s="17" t="n"/>
      <c r="W1531" s="17" t="n"/>
      <c r="X1531" s="17" t="n"/>
      <c r="Y1531" s="13">
        <f>SUMPRODUCT(M1531:X1531,$M$2:$X$2)*$K1531*$L1531</f>
        <v/>
      </c>
      <c r="Z1531" s="14">
        <f>SUM(M1531:X1531)</f>
        <v/>
      </c>
      <c r="AA1531" s="14">
        <f>IFERROR(IF(UPPER($E1531)="L",SUMPRODUCT(M1531:X1531,$M$3:$X$3,$M$2:$X$2),SUMPRODUCT(M1531:X1531,$M$4:$X$4,$M$2:$X$2))/(Y1531/($K1531*$L1531)),"")</f>
        <v/>
      </c>
      <c r="AB1531" s="18" t="n"/>
    </row>
    <row r="1532">
      <c r="A1532" s="9" t="n">
        <v>695501</v>
      </c>
      <c r="B1532" s="9" t="inlineStr">
        <is>
          <t>Blake Burke</t>
        </is>
      </c>
      <c r="C1532" s="9" t="inlineStr">
        <is>
          <t>MIL</t>
        </is>
      </c>
      <c r="D1532" s="9" t="n">
        <v>25</v>
      </c>
      <c r="E1532" s="16" t="inlineStr">
        <is>
          <t>L</t>
        </is>
      </c>
      <c r="F1532" s="16" t="n"/>
      <c r="G1532" s="9" t="n">
        <v>75.02564102564104</v>
      </c>
      <c r="H1532" s="9" t="n">
        <v>75.02564102564104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7" t="n"/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/>
      <c r="Y1532" s="13">
        <f>SUMPRODUCT(M1532:X1532,$M$2:$X$2)*$K1532*$L1532</f>
        <v/>
      </c>
      <c r="Z1532" s="14">
        <f>SUM(M1532:X1532)</f>
        <v/>
      </c>
      <c r="AA1532" s="14">
        <f>IFERROR(IF(UPPER($E1532)="L",SUMPRODUCT(M1532:X1532,$M$3:$X$3,$M$2:$X$2),SUMPRODUCT(M1532:X1532,$M$4:$X$4,$M$2:$X$2))/(Y1532/($K1532*$L1532)),"")</f>
        <v/>
      </c>
      <c r="AB1532" s="18" t="n"/>
    </row>
    <row r="1533">
      <c r="A1533" s="9" t="n">
        <v>694838</v>
      </c>
      <c r="B1533" s="9" t="inlineStr">
        <is>
          <t>Joe Vetrano</t>
        </is>
      </c>
      <c r="C1533" s="9" t="inlineStr">
        <is>
          <t>LAD</t>
        </is>
      </c>
      <c r="D1533" s="9" t="n">
        <v>25</v>
      </c>
      <c r="E1533" s="16" t="inlineStr">
        <is>
          <t>L</t>
        </is>
      </c>
      <c r="F1533" s="16" t="n"/>
      <c r="G1533" s="9" t="n">
        <v>124.5641025641026</v>
      </c>
      <c r="H1533" s="9" t="n">
        <v>124.5641025641026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7" t="n"/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/>
      <c r="Y1533" s="13">
        <f>SUMPRODUCT(M1533:X1533,$M$2:$X$2)*$K1533*$L1533</f>
        <v/>
      </c>
      <c r="Z1533" s="14">
        <f>SUM(M1533:X1533)</f>
        <v/>
      </c>
      <c r="AA1533" s="14">
        <f>IFERROR(IF(UPPER($E1533)="L",SUMPRODUCT(M1533:X1533,$M$3:$X$3,$M$2:$X$2),SUMPRODUCT(M1533:X1533,$M$4:$X$4,$M$2:$X$2))/(Y1533/($K1533*$L1533)),"")</f>
        <v/>
      </c>
      <c r="AB1533" s="18" t="n"/>
    </row>
    <row r="1534">
      <c r="A1534" s="9" t="n">
        <v>803630</v>
      </c>
      <c r="B1534" s="9" t="inlineStr">
        <is>
          <t>Jalen Hairston</t>
        </is>
      </c>
      <c r="C1534" s="9" t="inlineStr">
        <is>
          <t>CIN</t>
        </is>
      </c>
      <c r="D1534" s="9" t="n">
        <v>25</v>
      </c>
      <c r="E1534" s="16" t="inlineStr">
        <is>
          <t>L</t>
        </is>
      </c>
      <c r="F1534" s="16" t="n"/>
      <c r="G1534" s="9" t="n">
        <v>28.92307692307692</v>
      </c>
      <c r="H1534" s="9" t="n">
        <v>28.92307692307692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7" t="n"/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/>
      <c r="Y1534" s="13">
        <f>SUMPRODUCT(M1534:X1534,$M$2:$X$2)*$K1534*$L1534</f>
        <v/>
      </c>
      <c r="Z1534" s="14">
        <f>SUM(M1534:X1534)</f>
        <v/>
      </c>
      <c r="AA1534" s="14">
        <f>IFERROR(IF(UPPER($E1534)="L",SUMPRODUCT(M1534:X1534,$M$3:$X$3,$M$2:$X$2),SUMPRODUCT(M1534:X1534,$M$4:$X$4,$M$2:$X$2))/(Y1534/($K1534*$L1534)),"")</f>
        <v/>
      </c>
      <c r="AB1534" s="18" t="n"/>
    </row>
    <row r="1535">
      <c r="A1535" s="9" t="n">
        <v>694193</v>
      </c>
      <c r="B1535" s="9" t="inlineStr">
        <is>
          <t>Victor Acosta</t>
        </is>
      </c>
      <c r="C1535" s="9" t="inlineStr">
        <is>
          <t>CIN</t>
        </is>
      </c>
      <c r="D1535" s="9" t="n">
        <v>25</v>
      </c>
      <c r="E1535" s="16" t="inlineStr">
        <is>
          <t>S</t>
        </is>
      </c>
      <c r="F1535" s="16" t="n"/>
      <c r="G1535" s="9" t="n">
        <v>30.97435897435897</v>
      </c>
      <c r="H1535" s="9" t="n">
        <v>30.97435897435897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7" t="n"/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/>
      <c r="Y1535" s="13">
        <f>SUMPRODUCT(M1535:X1535,$M$2:$X$2)*$K1535*$L1535</f>
        <v/>
      </c>
      <c r="Z1535" s="14">
        <f>SUM(M1535:X1535)</f>
        <v/>
      </c>
      <c r="AA1535" s="14">
        <f>IFERROR(IF(UPPER($E1535)="L",SUMPRODUCT(M1535:X1535,$M$3:$X$3,$M$2:$X$2),SUMPRODUCT(M1535:X1535,$M$4:$X$4,$M$2:$X$2))/(Y1535/($K1535*$L1535)),"")</f>
        <v/>
      </c>
      <c r="AB1535" s="18" t="n"/>
    </row>
    <row r="1536">
      <c r="A1536" s="9" t="n">
        <v>702630</v>
      </c>
      <c r="B1536" s="9" t="inlineStr">
        <is>
          <t>Luke Hanson</t>
        </is>
      </c>
      <c r="C1536" s="9" t="inlineStr">
        <is>
          <t>TEX</t>
        </is>
      </c>
      <c r="D1536" s="9" t="n">
        <v>25</v>
      </c>
      <c r="E1536" s="16" t="inlineStr">
        <is>
          <t>R</t>
        </is>
      </c>
      <c r="F1536" s="16" t="n"/>
      <c r="G1536" s="9" t="n">
        <v>22.61538461538461</v>
      </c>
      <c r="H1536" s="9" t="n">
        <v>22.61538461538461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7" t="n"/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/>
      <c r="Y1536" s="13">
        <f>SUMPRODUCT(M1536:X1536,$M$2:$X$2)*$K1536*$L1536</f>
        <v/>
      </c>
      <c r="Z1536" s="14">
        <f>SUM(M1536:X1536)</f>
        <v/>
      </c>
      <c r="AA1536" s="14">
        <f>IFERROR(IF(UPPER($E1536)="L",SUMPRODUCT(M1536:X1536,$M$3:$X$3,$M$2:$X$2),SUMPRODUCT(M1536:X1536,$M$4:$X$4,$M$2:$X$2))/(Y1536/($K1536*$L1536)),"")</f>
        <v/>
      </c>
      <c r="AB1536" s="18" t="n"/>
    </row>
    <row r="1537">
      <c r="A1537" s="9" t="n">
        <v>826043</v>
      </c>
      <c r="B1537" s="9" t="inlineStr">
        <is>
          <t>Riley Nelson</t>
        </is>
      </c>
      <c r="C1537" s="9" t="inlineStr">
        <is>
          <t>CLE</t>
        </is>
      </c>
      <c r="D1537" s="9" t="n">
        <v>25</v>
      </c>
      <c r="E1537" s="16" t="inlineStr">
        <is>
          <t>L</t>
        </is>
      </c>
      <c r="F1537" s="16" t="n"/>
      <c r="G1537" s="9" t="n">
        <v>13.33333333333334</v>
      </c>
      <c r="H1537" s="9" t="n">
        <v>13.33333333333334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7" t="n"/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/>
      <c r="Y1537" s="13">
        <f>SUMPRODUCT(M1537:X1537,$M$2:$X$2)*$K1537*$L1537</f>
        <v/>
      </c>
      <c r="Z1537" s="14">
        <f>SUM(M1537:X1537)</f>
        <v/>
      </c>
      <c r="AA1537" s="14">
        <f>IFERROR(IF(UPPER($E1537)="L",SUMPRODUCT(M1537:X1537,$M$3:$X$3,$M$2:$X$2),SUMPRODUCT(M1537:X1537,$M$4:$X$4,$M$2:$X$2))/(Y1537/($K1537*$L1537)),"")</f>
        <v/>
      </c>
      <c r="AB1537" s="18" t="n"/>
    </row>
    <row r="1538">
      <c r="A1538" s="9" t="n">
        <v>807975</v>
      </c>
      <c r="B1538" s="9" t="inlineStr">
        <is>
          <t>Yeiker Reyes</t>
        </is>
      </c>
      <c r="C1538" s="9" t="inlineStr">
        <is>
          <t>COL</t>
        </is>
      </c>
      <c r="D1538" s="9" t="n">
        <v>25</v>
      </c>
      <c r="E1538" s="16" t="inlineStr">
        <is>
          <t>L</t>
        </is>
      </c>
      <c r="F1538" s="16" t="n"/>
      <c r="G1538" s="9" t="n">
        <v>15.75384615384616</v>
      </c>
      <c r="H1538" s="9" t="n">
        <v>15.75384615384616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7" t="n"/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/>
      <c r="Y1538" s="13">
        <f>SUMPRODUCT(M1538:X1538,$M$2:$X$2)*$K1538*$L1538</f>
        <v/>
      </c>
      <c r="Z1538" s="14">
        <f>SUM(M1538:X1538)</f>
        <v/>
      </c>
      <c r="AA1538" s="14">
        <f>IFERROR(IF(UPPER($E1538)="L",SUMPRODUCT(M1538:X1538,$M$3:$X$3,$M$2:$X$2),SUMPRODUCT(M1538:X1538,$M$4:$X$4,$M$2:$X$2))/(Y1538/($K1538*$L1538)),"")</f>
        <v/>
      </c>
      <c r="AB1538" s="18" t="n"/>
    </row>
    <row r="1539">
      <c r="A1539" s="9" t="n">
        <v>804859</v>
      </c>
      <c r="B1539" s="9" t="inlineStr">
        <is>
          <t>Robert Phelps</t>
        </is>
      </c>
      <c r="C1539" s="9" t="inlineStr">
        <is>
          <t>PHI</t>
        </is>
      </c>
      <c r="D1539" s="9" t="n">
        <v>25</v>
      </c>
      <c r="E1539" s="16" t="inlineStr">
        <is>
          <t>R</t>
        </is>
      </c>
      <c r="F1539" s="16" t="n"/>
      <c r="G1539" s="9" t="n">
        <v>22.56410256410257</v>
      </c>
      <c r="H1539" s="9" t="n">
        <v>22.56410256410257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7" t="n"/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/>
      <c r="Y1539" s="13">
        <f>SUMPRODUCT(M1539:X1539,$M$2:$X$2)*$K1539*$L1539</f>
        <v/>
      </c>
      <c r="Z1539" s="14">
        <f>SUM(M1539:X1539)</f>
        <v/>
      </c>
      <c r="AA1539" s="14">
        <f>IFERROR(IF(UPPER($E1539)="L",SUMPRODUCT(M1539:X1539,$M$3:$X$3,$M$2:$X$2),SUMPRODUCT(M1539:X1539,$M$4:$X$4,$M$2:$X$2))/(Y1539/($K1539*$L1539)),"")</f>
        <v/>
      </c>
      <c r="AB1539" s="18" t="n"/>
    </row>
    <row r="1540">
      <c r="A1540" s="9" t="n">
        <v>694188</v>
      </c>
      <c r="B1540" s="9" t="inlineStr">
        <is>
          <t>Jesus Galiz</t>
        </is>
      </c>
      <c r="C1540" s="9" t="inlineStr">
        <is>
          <t>LAD</t>
        </is>
      </c>
      <c r="D1540" s="9" t="n">
        <v>25</v>
      </c>
      <c r="E1540" s="16" t="inlineStr">
        <is>
          <t>R</t>
        </is>
      </c>
      <c r="F1540" s="16" t="n"/>
      <c r="G1540" s="9" t="n">
        <v>13.74358974358974</v>
      </c>
      <c r="H1540" s="9" t="n">
        <v>13.74358974358974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7" t="n"/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/>
      <c r="Y1540" s="13">
        <f>SUMPRODUCT(M1540:X1540,$M$2:$X$2)*$K1540*$L1540</f>
        <v/>
      </c>
      <c r="Z1540" s="14">
        <f>SUM(M1540:X1540)</f>
        <v/>
      </c>
      <c r="AA1540" s="14">
        <f>IFERROR(IF(UPPER($E1540)="L",SUMPRODUCT(M1540:X1540,$M$3:$X$3,$M$2:$X$2),SUMPRODUCT(M1540:X1540,$M$4:$X$4,$M$2:$X$2))/(Y1540/($K1540*$L1540)),"")</f>
        <v/>
      </c>
      <c r="AB1540" s="18" t="n"/>
    </row>
    <row r="1541">
      <c r="A1541" s="9" t="n">
        <v>806867</v>
      </c>
      <c r="B1541" s="9" t="inlineStr">
        <is>
          <t>Abel Lorenzo</t>
        </is>
      </c>
      <c r="C1541" s="9" t="inlineStr">
        <is>
          <t>LAD</t>
        </is>
      </c>
      <c r="D1541" s="9" t="n">
        <v>25</v>
      </c>
      <c r="E1541" s="16" t="inlineStr">
        <is>
          <t>L</t>
        </is>
      </c>
      <c r="F1541" s="16" t="n"/>
      <c r="G1541" s="9" t="n">
        <v>15.87692307692308</v>
      </c>
      <c r="H1541" s="9" t="n">
        <v>15.87692307692308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7" t="n"/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/>
      <c r="Y1541" s="13">
        <f>SUMPRODUCT(M1541:X1541,$M$2:$X$2)*$K1541*$L1541</f>
        <v/>
      </c>
      <c r="Z1541" s="14">
        <f>SUM(M1541:X1541)</f>
        <v/>
      </c>
      <c r="AA1541" s="14">
        <f>IFERROR(IF(UPPER($E1541)="L",SUMPRODUCT(M1541:X1541,$M$3:$X$3,$M$2:$X$2),SUMPRODUCT(M1541:X1541,$M$4:$X$4,$M$2:$X$2))/(Y1541/($K1541*$L1541)),"")</f>
        <v/>
      </c>
      <c r="AB1541" s="18" t="n"/>
    </row>
    <row r="1542">
      <c r="A1542" s="9" t="n">
        <v>805416</v>
      </c>
      <c r="B1542" s="9" t="inlineStr">
        <is>
          <t>Will Vierling</t>
        </is>
      </c>
      <c r="C1542" s="9" t="inlineStr">
        <is>
          <t>PHI</t>
        </is>
      </c>
      <c r="D1542" s="9" t="n">
        <v>25</v>
      </c>
      <c r="E1542" s="16" t="inlineStr">
        <is>
          <t>L</t>
        </is>
      </c>
      <c r="F1542" s="16" t="n"/>
      <c r="G1542" s="9" t="n">
        <v>33.96923076923077</v>
      </c>
      <c r="H1542" s="9" t="n">
        <v>33.96923076923077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7" t="n"/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/>
      <c r="Y1542" s="13">
        <f>SUMPRODUCT(M1542:X1542,$M$2:$X$2)*$K1542*$L1542</f>
        <v/>
      </c>
      <c r="Z1542" s="14">
        <f>SUM(M1542:X1542)</f>
        <v/>
      </c>
      <c r="AA1542" s="14">
        <f>IFERROR(IF(UPPER($E1542)="L",SUMPRODUCT(M1542:X1542,$M$3:$X$3,$M$2:$X$2),SUMPRODUCT(M1542:X1542,$M$4:$X$4,$M$2:$X$2))/(Y1542/($K1542*$L1542)),"")</f>
        <v/>
      </c>
      <c r="AB1542" s="18" t="n"/>
    </row>
    <row r="1543">
      <c r="A1543" s="9" t="n">
        <v>686958</v>
      </c>
      <c r="B1543" s="9" t="inlineStr">
        <is>
          <t>Jose Torres</t>
        </is>
      </c>
      <c r="C1543" s="9" t="inlineStr">
        <is>
          <t>COL</t>
        </is>
      </c>
      <c r="D1543" s="9" t="n">
        <v>25</v>
      </c>
      <c r="E1543" s="16" t="inlineStr">
        <is>
          <t>R</t>
        </is>
      </c>
      <c r="F1543" s="16" t="n"/>
      <c r="G1543" s="9" t="n">
        <v>73.58974358974358</v>
      </c>
      <c r="H1543" s="9" t="n">
        <v>73.58974358974358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7" t="n"/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/>
      <c r="Y1543" s="13">
        <f>SUMPRODUCT(M1543:X1543,$M$2:$X$2)*$K1543*$L1543</f>
        <v/>
      </c>
      <c r="Z1543" s="14">
        <f>SUM(M1543:X1543)</f>
        <v/>
      </c>
      <c r="AA1543" s="14">
        <f>IFERROR(IF(UPPER($E1543)="L",SUMPRODUCT(M1543:X1543,$M$3:$X$3,$M$2:$X$2),SUMPRODUCT(M1543:X1543,$M$4:$X$4,$M$2:$X$2))/(Y1543/($K1543*$L1543)),"")</f>
        <v/>
      </c>
      <c r="AB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7" t="n"/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/>
      <c r="Y1544" s="13">
        <f>SUMPRODUCT(M1544:X1544,$M$2:$X$2)*$K1544*$L1544</f>
        <v/>
      </c>
      <c r="Z1544" s="14">
        <f>SUM(M1544:X1544)</f>
        <v/>
      </c>
      <c r="AA1544" s="14">
        <f>IFERROR(IF(UPPER($E1544)="L",SUMPRODUCT(M1544:X1544,$M$3:$X$3,$M$2:$X$2),SUMPRODUCT(M1544:X1544,$M$4:$X$4,$M$2:$X$2))/(Y1544/($K1544*$L1544)),"")</f>
        <v/>
      </c>
      <c r="AB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7" t="n"/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/>
      <c r="Y1545" s="13">
        <f>SUMPRODUCT(M1545:X1545,$M$2:$X$2)*$K1545*$L1545</f>
        <v/>
      </c>
      <c r="Z1545" s="14">
        <f>SUM(M1545:X1545)</f>
        <v/>
      </c>
      <c r="AA1545" s="14">
        <f>IFERROR(IF(UPPER($E1545)="L",SUMPRODUCT(M1545:X1545,$M$3:$X$3,$M$2:$X$2),SUMPRODUCT(M1545:X1545,$M$4:$X$4,$M$2:$X$2))/(Y1545/($K1545*$L1545)),"")</f>
        <v/>
      </c>
      <c r="AB1545" s="18" t="n"/>
    </row>
    <row r="1546">
      <c r="A1546" s="9" t="n">
        <v>701796</v>
      </c>
      <c r="B1546" s="9" t="inlineStr">
        <is>
          <t>Will Cresswell</t>
        </is>
      </c>
      <c r="C1546" s="9" t="inlineStr">
        <is>
          <t>TOR</t>
        </is>
      </c>
      <c r="D1546" s="9" t="n">
        <v>25</v>
      </c>
      <c r="E1546" s="16" t="inlineStr">
        <is>
          <t>R</t>
        </is>
      </c>
      <c r="F1546" s="16" t="n"/>
      <c r="G1546" s="9" t="n">
        <v>15.38461538461538</v>
      </c>
      <c r="H1546" s="9" t="n">
        <v>15.38461538461538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7" t="n"/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/>
      <c r="Y1546" s="13">
        <f>SUMPRODUCT(M1546:X1546,$M$2:$X$2)*$K1546*$L1546</f>
        <v/>
      </c>
      <c r="Z1546" s="14">
        <f>SUM(M1546:X1546)</f>
        <v/>
      </c>
      <c r="AA1546" s="14">
        <f>IFERROR(IF(UPPER($E1546)="L",SUMPRODUCT(M1546:X1546,$M$3:$X$3,$M$2:$X$2),SUMPRODUCT(M1546:X1546,$M$4:$X$4,$M$2:$X$2))/(Y1546/($K1546*$L1546)),"")</f>
        <v/>
      </c>
      <c r="AB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7" t="n"/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/>
      <c r="Y1547" s="13">
        <f>SUMPRODUCT(M1547:X1547,$M$2:$X$2)*$K1547*$L1547</f>
        <v/>
      </c>
      <c r="Z1547" s="14">
        <f>SUM(M1547:X1547)</f>
        <v/>
      </c>
      <c r="AA1547" s="14">
        <f>IFERROR(IF(UPPER($E1547)="L",SUMPRODUCT(M1547:X1547,$M$3:$X$3,$M$2:$X$2),SUMPRODUCT(M1547:X1547,$M$4:$X$4,$M$2:$X$2))/(Y1547/($K1547*$L1547)),"")</f>
        <v/>
      </c>
      <c r="AB1547" s="18" t="n"/>
    </row>
    <row r="1548">
      <c r="A1548" s="9" t="n">
        <v>694281</v>
      </c>
      <c r="B1548" s="9" t="inlineStr">
        <is>
          <t>Tomas Frick</t>
        </is>
      </c>
      <c r="C1548" s="9" t="inlineStr">
        <is>
          <t>NYY</t>
        </is>
      </c>
      <c r="D1548" s="9" t="n">
        <v>25</v>
      </c>
      <c r="E1548" s="16" t="inlineStr">
        <is>
          <t>R</t>
        </is>
      </c>
      <c r="F1548" s="16" t="n"/>
      <c r="G1548" s="9" t="n">
        <v>22.97435897435897</v>
      </c>
      <c r="H1548" s="9" t="n">
        <v>22.97435897435897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7" t="n"/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/>
      <c r="Y1548" s="13">
        <f>SUMPRODUCT(M1548:X1548,$M$2:$X$2)*$K1548*$L1548</f>
        <v/>
      </c>
      <c r="Z1548" s="14">
        <f>SUM(M1548:X1548)</f>
        <v/>
      </c>
      <c r="AA1548" s="14">
        <f>IFERROR(IF(UPPER($E1548)="L",SUMPRODUCT(M1548:X1548,$M$3:$X$3,$M$2:$X$2),SUMPRODUCT(M1548:X1548,$M$4:$X$4,$M$2:$X$2))/(Y1548/($K1548*$L1548)),"")</f>
        <v/>
      </c>
      <c r="AB1548" s="18" t="n"/>
    </row>
    <row r="1549">
      <c r="A1549" s="9" t="n">
        <v>696286</v>
      </c>
      <c r="B1549" s="9" t="inlineStr">
        <is>
          <t>Davis Diaz</t>
        </is>
      </c>
      <c r="C1549" s="9" t="inlineStr">
        <is>
          <t>OAK</t>
        </is>
      </c>
      <c r="D1549" s="9" t="n">
        <v>25</v>
      </c>
      <c r="E1549" s="16" t="inlineStr">
        <is>
          <t>R</t>
        </is>
      </c>
      <c r="F1549" s="16" t="n"/>
      <c r="G1549" s="9" t="n">
        <v>45.6923076923077</v>
      </c>
      <c r="H1549" s="9" t="n">
        <v>45.6923076923077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7" t="n"/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/>
      <c r="Y1549" s="13">
        <f>SUMPRODUCT(M1549:X1549,$M$2:$X$2)*$K1549*$L1549</f>
        <v/>
      </c>
      <c r="Z1549" s="14">
        <f>SUM(M1549:X1549)</f>
        <v/>
      </c>
      <c r="AA1549" s="14">
        <f>IFERROR(IF(UPPER($E1549)="L",SUMPRODUCT(M1549:X1549,$M$3:$X$3,$M$2:$X$2),SUMPRODUCT(M1549:X1549,$M$4:$X$4,$M$2:$X$2))/(Y1549/($K1549*$L1549)),"")</f>
        <v/>
      </c>
      <c r="AB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7" t="n"/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/>
      <c r="Y1550" s="13">
        <f>SUMPRODUCT(M1550:X1550,$M$2:$X$2)*$K1550*$L1550</f>
        <v/>
      </c>
      <c r="Z1550" s="14">
        <f>SUM(M1550:X1550)</f>
        <v/>
      </c>
      <c r="AA1550" s="14">
        <f>IFERROR(IF(UPPER($E1550)="L",SUMPRODUCT(M1550:X1550,$M$3:$X$3,$M$2:$X$2),SUMPRODUCT(M1550:X1550,$M$4:$X$4,$M$2:$X$2))/(Y1550/($K1550*$L1550)),"")</f>
        <v/>
      </c>
      <c r="AB1550" s="18" t="n"/>
    </row>
    <row r="1551">
      <c r="A1551" s="9" t="n">
        <v>703804</v>
      </c>
      <c r="B1551" s="9" t="inlineStr">
        <is>
          <t>Romeo Sanabria</t>
        </is>
      </c>
      <c r="C1551" s="9" t="inlineStr">
        <is>
          <t>SD</t>
        </is>
      </c>
      <c r="D1551" s="9" t="n">
        <v>25</v>
      </c>
      <c r="E1551" s="16" t="inlineStr">
        <is>
          <t>L</t>
        </is>
      </c>
      <c r="F1551" s="16" t="n"/>
      <c r="G1551" s="9" t="n">
        <v>46.25641025641026</v>
      </c>
      <c r="H1551" s="9" t="n">
        <v>46.25641025641026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7" t="n"/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/>
      <c r="Y1551" s="13">
        <f>SUMPRODUCT(M1551:X1551,$M$2:$X$2)*$K1551*$L1551</f>
        <v/>
      </c>
      <c r="Z1551" s="14">
        <f>SUM(M1551:X1551)</f>
        <v/>
      </c>
      <c r="AA1551" s="14">
        <f>IFERROR(IF(UPPER($E1551)="L",SUMPRODUCT(M1551:X1551,$M$3:$X$3,$M$2:$X$2),SUMPRODUCT(M1551:X1551,$M$4:$X$4,$M$2:$X$2))/(Y1551/($K1551*$L1551)),"")</f>
        <v/>
      </c>
      <c r="AB1551" s="18" t="n"/>
    </row>
    <row r="1552">
      <c r="A1552" s="9" t="n">
        <v>702333</v>
      </c>
      <c r="B1552" s="9" t="inlineStr">
        <is>
          <t>Haydn McGeary</t>
        </is>
      </c>
      <c r="C1552" s="9" t="inlineStr">
        <is>
          <t>CHC</t>
        </is>
      </c>
      <c r="D1552" s="9" t="n">
        <v>25</v>
      </c>
      <c r="E1552" s="16" t="inlineStr">
        <is>
          <t>R</t>
        </is>
      </c>
      <c r="F1552" s="16" t="n"/>
      <c r="G1552" s="9" t="n">
        <v>13.64102564102564</v>
      </c>
      <c r="H1552" s="9" t="n">
        <v>13.64102564102564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7" t="n"/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/>
      <c r="Y1552" s="13">
        <f>SUMPRODUCT(M1552:X1552,$M$2:$X$2)*$K1552*$L1552</f>
        <v/>
      </c>
      <c r="Z1552" s="14">
        <f>SUM(M1552:X1552)</f>
        <v/>
      </c>
      <c r="AA1552" s="14">
        <f>IFERROR(IF(UPPER($E1552)="L",SUMPRODUCT(M1552:X1552,$M$3:$X$3,$M$2:$X$2),SUMPRODUCT(M1552:X1552,$M$4:$X$4,$M$2:$X$2))/(Y1552/($K1552*$L1552)),"")</f>
        <v/>
      </c>
      <c r="AB1552" s="18" t="n"/>
    </row>
    <row r="1553">
      <c r="A1553" s="9" t="n">
        <v>694320</v>
      </c>
      <c r="B1553" s="9" t="inlineStr">
        <is>
          <t>Jack Costello</t>
        </is>
      </c>
      <c r="C1553" s="9" t="inlineStr">
        <is>
          <t>SD</t>
        </is>
      </c>
      <c r="D1553" s="9" t="n">
        <v>25</v>
      </c>
      <c r="E1553" s="16" t="inlineStr">
        <is>
          <t>R</t>
        </is>
      </c>
      <c r="F1553" s="16" t="n"/>
      <c r="G1553" s="9" t="n">
        <v>32.66666666666666</v>
      </c>
      <c r="H1553" s="9" t="n">
        <v>32.66666666666666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7" t="n"/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/>
      <c r="Y1553" s="13">
        <f>SUMPRODUCT(M1553:X1553,$M$2:$X$2)*$K1553*$L1553</f>
        <v/>
      </c>
      <c r="Z1553" s="14">
        <f>SUM(M1553:X1553)</f>
        <v/>
      </c>
      <c r="AA1553" s="14">
        <f>IFERROR(IF(UPPER($E1553)="L",SUMPRODUCT(M1553:X1553,$M$3:$X$3,$M$2:$X$2),SUMPRODUCT(M1553:X1553,$M$4:$X$4,$M$2:$X$2))/(Y1553/($K1553*$L1553)),"")</f>
        <v/>
      </c>
      <c r="AB1553" s="18" t="n"/>
    </row>
    <row r="1554">
      <c r="A1554" s="9" t="n">
        <v>808496</v>
      </c>
      <c r="B1554" s="9" t="inlineStr">
        <is>
          <t>Jaeden Calderon</t>
        </is>
      </c>
      <c r="C1554" s="9" t="inlineStr">
        <is>
          <t>PHI</t>
        </is>
      </c>
      <c r="D1554" s="9" t="n">
        <v>25</v>
      </c>
      <c r="E1554" s="16" t="inlineStr">
        <is>
          <t>R</t>
        </is>
      </c>
      <c r="F1554" s="16" t="n"/>
      <c r="G1554" s="9" t="n">
        <v>18.21538461538461</v>
      </c>
      <c r="H1554" s="9" t="n">
        <v>18.21538461538461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7" t="n"/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/>
      <c r="Y1554" s="13">
        <f>SUMPRODUCT(M1554:X1554,$M$2:$X$2)*$K1554*$L1554</f>
        <v/>
      </c>
      <c r="Z1554" s="14">
        <f>SUM(M1554:X1554)</f>
        <v/>
      </c>
      <c r="AA1554" s="14">
        <f>IFERROR(IF(UPPER($E1554)="L",SUMPRODUCT(M1554:X1554,$M$3:$X$3,$M$2:$X$2),SUMPRODUCT(M1554:X1554,$M$4:$X$4,$M$2:$X$2))/(Y1554/($K1554*$L1554)),"")</f>
        <v/>
      </c>
      <c r="AB1554" s="18" t="n"/>
    </row>
    <row r="1555">
      <c r="A1555" s="9" t="n">
        <v>702695</v>
      </c>
      <c r="B1555" s="9" t="inlineStr">
        <is>
          <t>Easton Carmichael</t>
        </is>
      </c>
      <c r="C1555" s="9" t="inlineStr">
        <is>
          <t>PIT</t>
        </is>
      </c>
      <c r="D1555" s="9" t="n">
        <v>25</v>
      </c>
      <c r="E1555" s="16" t="inlineStr">
        <is>
          <t>R</t>
        </is>
      </c>
      <c r="F1555" s="16" t="n"/>
      <c r="G1555" s="9" t="n">
        <v>50.61538461538461</v>
      </c>
      <c r="H1555" s="9" t="n">
        <v>50.61538461538461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7" t="n"/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/>
      <c r="Y1555" s="13">
        <f>SUMPRODUCT(M1555:X1555,$M$2:$X$2)*$K1555*$L1555</f>
        <v/>
      </c>
      <c r="Z1555" s="14">
        <f>SUM(M1555:X1555)</f>
        <v/>
      </c>
      <c r="AA1555" s="14">
        <f>IFERROR(IF(UPPER($E1555)="L",SUMPRODUCT(M1555:X1555,$M$3:$X$3,$M$2:$X$2),SUMPRODUCT(M1555:X1555,$M$4:$X$4,$M$2:$X$2))/(Y1555/($K1555*$L1555)),"")</f>
        <v/>
      </c>
      <c r="AB1555" s="18" t="n"/>
    </row>
    <row r="1556">
      <c r="A1556" s="9" t="n">
        <v>703157</v>
      </c>
      <c r="B1556" s="9" t="inlineStr">
        <is>
          <t>Javier Osorio</t>
        </is>
      </c>
      <c r="C1556" s="9" t="inlineStr">
        <is>
          <t>DET</t>
        </is>
      </c>
      <c r="D1556" s="9" t="n">
        <v>25</v>
      </c>
      <c r="E1556" s="16" t="inlineStr">
        <is>
          <t>R</t>
        </is>
      </c>
      <c r="F1556" s="16" t="n"/>
      <c r="G1556" s="9" t="n">
        <v>33.96923076923077</v>
      </c>
      <c r="H1556" s="9" t="n">
        <v>33.96923076923077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7" t="n"/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/>
      <c r="Y1556" s="13">
        <f>SUMPRODUCT(M1556:X1556,$M$2:$X$2)*$K1556*$L1556</f>
        <v/>
      </c>
      <c r="Z1556" s="14">
        <f>SUM(M1556:X1556)</f>
        <v/>
      </c>
      <c r="AA1556" s="14">
        <f>IFERROR(IF(UPPER($E1556)="L",SUMPRODUCT(M1556:X1556,$M$3:$X$3,$M$2:$X$2),SUMPRODUCT(M1556:X1556,$M$4:$X$4,$M$2:$X$2))/(Y1556/($K1556*$L1556)),"")</f>
        <v/>
      </c>
      <c r="AB1556" s="18" t="n"/>
    </row>
    <row r="1557">
      <c r="A1557" s="9" t="n">
        <v>695770</v>
      </c>
      <c r="B1557" s="9" t="inlineStr">
        <is>
          <t>Wes Kath</t>
        </is>
      </c>
      <c r="C1557" s="9" t="inlineStr">
        <is>
          <t>CWS</t>
        </is>
      </c>
      <c r="D1557" s="9" t="n">
        <v>25</v>
      </c>
      <c r="E1557" s="16" t="inlineStr">
        <is>
          <t>L</t>
        </is>
      </c>
      <c r="F1557" s="16" t="n"/>
      <c r="G1557" s="9" t="n">
        <v>17.64102564102564</v>
      </c>
      <c r="H1557" s="9" t="n">
        <v>17.64102564102564</v>
      </c>
      <c r="I1557" s="9" t="inlineStr">
        <is>
          <t>Depth (no MLB PA)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7" t="n"/>
      <c r="N1557" s="17" t="n"/>
      <c r="O1557" s="17" t="n"/>
      <c r="P1557" s="17" t="n"/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3">
        <f>SUMPRODUCT(M1557:X1557,$M$2:$X$2)*$K1557*$L1557</f>
        <v/>
      </c>
      <c r="Z1557" s="14">
        <f>SUM(M1557:X1557)</f>
        <v/>
      </c>
      <c r="AA1557" s="14">
        <f>IFERROR(IF(UPPER($E1557)="L",SUMPRODUCT(M1557:X1557,$M$3:$X$3,$M$2:$X$2),SUMPRODUCT(M1557:X1557,$M$4:$X$4,$M$2:$X$2))/(Y1557/($K1557*$L1557)),"")</f>
        <v/>
      </c>
      <c r="AB1557" s="18" t="n"/>
    </row>
    <row r="1558">
      <c r="A1558" s="9" t="n">
        <v>501659</v>
      </c>
      <c r="B1558" s="9" t="inlineStr">
        <is>
          <t>Abraham Almonte</t>
        </is>
      </c>
      <c r="C1558" s="9" t="inlineStr">
        <is>
          <t>BOS</t>
        </is>
      </c>
      <c r="D1558" s="9" t="n">
        <v>38</v>
      </c>
      <c r="E1558" s="16" t="inlineStr">
        <is>
          <t>S</t>
        </is>
      </c>
      <c r="F1558" s="16" t="n"/>
      <c r="G1558" s="9" t="n">
        <v>16</v>
      </c>
      <c r="H1558" s="9" t="n">
        <v>53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7" t="n"/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/>
      <c r="Y1558" s="13">
        <f>SUMPRODUCT(M1558:X1558,$M$2:$X$2)*$K1558*$L1558</f>
        <v/>
      </c>
      <c r="Z1558" s="14">
        <f>SUM(M1558:X1558)</f>
        <v/>
      </c>
      <c r="AA1558" s="14">
        <f>IFERROR(IF(UPPER($E1558)="L",SUMPRODUCT(M1558:X1558,$M$3:$X$3,$M$2:$X$2),SUMPRODUCT(M1558:X1558,$M$4:$X$4,$M$2:$X$2))/(Y1558/($K1558*$L1558)),"")</f>
        <v/>
      </c>
      <c r="AB1558" s="18" t="n"/>
    </row>
    <row r="1559">
      <c r="A1559" s="9" t="n">
        <v>622268</v>
      </c>
      <c r="B1559" s="9" t="inlineStr">
        <is>
          <t>Donovan Walton</t>
        </is>
      </c>
      <c r="C1559" s="9" t="inlineStr">
        <is>
          <t>OAK</t>
        </is>
      </c>
      <c r="D1559" s="9" t="n">
        <v>33</v>
      </c>
      <c r="E1559" s="16" t="inlineStr">
        <is>
          <t>L</t>
        </is>
      </c>
      <c r="F1559" s="16" t="n"/>
      <c r="G1559" s="9" t="n">
        <v>268</v>
      </c>
      <c r="H1559" s="9" t="n">
        <v>380</v>
      </c>
      <c r="I1559" s="9" t="inlineStr">
        <is>
          <t>Utility OF / 4th OF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7" t="n"/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/>
      <c r="Y1559" s="13">
        <f>SUMPRODUCT(M1559:X1559,$M$2:$X$2)*$K1559*$L1559</f>
        <v/>
      </c>
      <c r="Z1559" s="14">
        <f>SUM(M1559:X1559)</f>
        <v/>
      </c>
      <c r="AA1559" s="14">
        <f>IFERROR(IF(UPPER($E1559)="L",SUMPRODUCT(M1559:X1559,$M$3:$X$3,$M$2:$X$2),SUMPRODUCT(M1559:X1559,$M$4:$X$4,$M$2:$X$2))/(Y1559/($K1559*$L1559)),"")</f>
        <v/>
      </c>
      <c r="AB1559" s="18" t="n"/>
    </row>
    <row r="1560">
      <c r="A1560" s="9" t="n">
        <v>815895</v>
      </c>
      <c r="B1560" s="9" t="inlineStr">
        <is>
          <t>Adriel Radney</t>
        </is>
      </c>
      <c r="C1560" s="9" t="inlineStr">
        <is>
          <t>ARI</t>
        </is>
      </c>
      <c r="D1560" s="9" t="n">
        <v>25</v>
      </c>
      <c r="E1560" s="16" t="inlineStr">
        <is>
          <t>R</t>
        </is>
      </c>
      <c r="F1560" s="16" t="n"/>
      <c r="G1560" s="9" t="n">
        <v>13.90769230769231</v>
      </c>
      <c r="H1560" s="9" t="n">
        <v>13.90769230769231</v>
      </c>
      <c r="I1560" s="9" t="inlineStr">
        <is>
          <t>Depth (no MLB PA)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7" t="n"/>
      <c r="N1560" s="17" t="n"/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3">
        <f>SUMPRODUCT(M1560:X1560,$M$2:$X$2)*$K1560*$L1560</f>
        <v/>
      </c>
      <c r="Z1560" s="14">
        <f>SUM(M1560:X1560)</f>
        <v/>
      </c>
      <c r="AA1560" s="14">
        <f>IFERROR(IF(UPPER($E1560)="L",SUMPRODUCT(M1560:X1560,$M$3:$X$3,$M$2:$X$2),SUMPRODUCT(M1560:X1560,$M$4:$X$4,$M$2:$X$2))/(Y1560/($K1560*$L1560)),"")</f>
        <v/>
      </c>
      <c r="AB1560" s="18" t="n"/>
    </row>
    <row r="1561">
      <c r="A1561" s="9" t="n">
        <v>553869</v>
      </c>
      <c r="B1561" s="9" t="inlineStr">
        <is>
          <t>Elias Díaz</t>
        </is>
      </c>
      <c r="C1561" s="9" t="inlineStr">
        <is>
          <t>TEX</t>
        </is>
      </c>
      <c r="D1561" s="9" t="n">
        <v>36</v>
      </c>
      <c r="E1561" s="16" t="inlineStr">
        <is>
          <t>R</t>
        </is>
      </c>
      <c r="F1561" s="16" t="n"/>
      <c r="G1561" s="9" t="n">
        <v>237</v>
      </c>
      <c r="H1561" s="9" t="n">
        <v>1778</v>
      </c>
      <c r="I1561" s="9" t="inlineStr">
        <is>
          <t>Utility OF / 4th OF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7" t="n"/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/>
      <c r="Y1561" s="13">
        <f>SUMPRODUCT(M1561:X1561,$M$2:$X$2)*$K1561*$L1561</f>
        <v/>
      </c>
      <c r="Z1561" s="14">
        <f>SUM(M1561:X1561)</f>
        <v/>
      </c>
      <c r="AA1561" s="14">
        <f>IFERROR(IF(UPPER($E1561)="L",SUMPRODUCT(M1561:X1561,$M$3:$X$3,$M$2:$X$2),SUMPRODUCT(M1561:X1561,$M$4:$X$4,$M$2:$X$2))/(Y1561/($K1561*$L1561)),"")</f>
        <v/>
      </c>
      <c r="AB1561" s="18" t="n"/>
    </row>
    <row r="1562">
      <c r="A1562" s="9" t="n">
        <v>666139</v>
      </c>
      <c r="B1562" s="9" t="inlineStr">
        <is>
          <t>Josh Lowe</t>
        </is>
      </c>
      <c r="C1562" s="9" t="inlineStr">
        <is>
          <t>LAA</t>
        </is>
      </c>
      <c r="D1562" s="9" t="n">
        <v>29</v>
      </c>
      <c r="E1562" s="16" t="inlineStr">
        <is>
          <t>L</t>
        </is>
      </c>
      <c r="F1562" s="16" t="n"/>
      <c r="G1562" s="9" t="n">
        <v>343</v>
      </c>
      <c r="H1562" s="9" t="n">
        <v>1864</v>
      </c>
      <c r="I1562" s="9" t="inlineStr">
        <is>
          <t>Full Time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7" t="n"/>
      <c r="N1562" s="17" t="n"/>
      <c r="O1562" s="17" t="n"/>
      <c r="P1562" s="17" t="n"/>
      <c r="Q1562" s="17" t="n"/>
      <c r="R1562" s="17" t="n"/>
      <c r="S1562" s="17" t="n"/>
      <c r="T1562" s="17" t="n"/>
      <c r="U1562" s="17" t="n"/>
      <c r="V1562" s="17" t="n"/>
      <c r="W1562" s="17" t="n"/>
      <c r="X1562" s="17" t="n"/>
      <c r="Y1562" s="13">
        <f>SUMPRODUCT(M1562:X1562,$M$2:$X$2)*$K1562*$L1562</f>
        <v/>
      </c>
      <c r="Z1562" s="14">
        <f>SUM(M1562:X1562)</f>
        <v/>
      </c>
      <c r="AA1562" s="14">
        <f>IFERROR(IF(UPPER($E1562)="L",SUMPRODUCT(M1562:X1562,$M$3:$X$3,$M$2:$X$2),SUMPRODUCT(M1562:X1562,$M$4:$X$4,$M$2:$X$2))/(Y1562/($K1562*$L1562)),"")</f>
        <v/>
      </c>
      <c r="AB1562" s="18" t="n"/>
    </row>
    <row r="1563">
      <c r="A1563" s="9" t="n">
        <v>680998</v>
      </c>
      <c r="B1563" s="9" t="inlineStr">
        <is>
          <t>Branden Boissiere</t>
        </is>
      </c>
      <c r="C1563" s="9" t="inlineStr">
        <is>
          <t>WSH</t>
        </is>
      </c>
      <c r="D1563" s="9" t="n">
        <v>25</v>
      </c>
      <c r="E1563" s="16" t="inlineStr">
        <is>
          <t>L</t>
        </is>
      </c>
      <c r="F1563" s="16" t="n"/>
      <c r="G1563" s="9" t="n">
        <v>100.8717948717949</v>
      </c>
      <c r="H1563" s="9" t="n">
        <v>100.8717948717949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7" t="n"/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/>
      <c r="Y1563" s="13">
        <f>SUMPRODUCT(M1563:X1563,$M$2:$X$2)*$K1563*$L1563</f>
        <v/>
      </c>
      <c r="Z1563" s="14">
        <f>SUM(M1563:X1563)</f>
        <v/>
      </c>
      <c r="AA1563" s="14">
        <f>IFERROR(IF(UPPER($E1563)="L",SUMPRODUCT(M1563:X1563,$M$3:$X$3,$M$2:$X$2),SUMPRODUCT(M1563:X1563,$M$4:$X$4,$M$2:$X$2))/(Y1563/($K1563*$L1563)),"")</f>
        <v/>
      </c>
      <c r="AB1563" s="18" t="n"/>
    </row>
    <row r="1564">
      <c r="A1564" s="9" t="n">
        <v>829943</v>
      </c>
      <c r="B1564" s="9" t="inlineStr">
        <is>
          <t>Louis Andujar</t>
        </is>
      </c>
      <c r="C1564" s="9" t="inlineStr">
        <is>
          <t>BOS</t>
        </is>
      </c>
      <c r="D1564" s="9" t="n">
        <v>25</v>
      </c>
      <c r="E1564" s="16" t="inlineStr">
        <is>
          <t>R</t>
        </is>
      </c>
      <c r="F1564" s="16" t="n"/>
      <c r="G1564" s="9" t="n">
        <v>31.87692307692308</v>
      </c>
      <c r="H1564" s="9" t="n">
        <v>31.87692307692308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7" t="n"/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/>
      <c r="Y1564" s="13">
        <f>SUMPRODUCT(M1564:X1564,$M$2:$X$2)*$K1564*$L1564</f>
        <v/>
      </c>
      <c r="Z1564" s="14">
        <f>SUM(M1564:X1564)</f>
        <v/>
      </c>
      <c r="AA1564" s="14">
        <f>IFERROR(IF(UPPER($E1564)="L",SUMPRODUCT(M1564:X1564,$M$3:$X$3,$M$2:$X$2),SUMPRODUCT(M1564:X1564,$M$4:$X$4,$M$2:$X$2))/(Y1564/($K1564*$L1564)),"")</f>
        <v/>
      </c>
      <c r="AB1564" s="18" t="n"/>
    </row>
    <row r="1565">
      <c r="A1565" s="9" t="n">
        <v>808267</v>
      </c>
      <c r="B1565" s="9" t="inlineStr">
        <is>
          <t>Jose Monzon</t>
        </is>
      </c>
      <c r="C1565" s="9" t="inlineStr">
        <is>
          <t>TB</t>
        </is>
      </c>
      <c r="D1565" s="9" t="n">
        <v>25</v>
      </c>
      <c r="E1565" s="16" t="inlineStr">
        <is>
          <t>L</t>
        </is>
      </c>
      <c r="F1565" s="16" t="n"/>
      <c r="G1565" s="9" t="n">
        <v>14.03076923076923</v>
      </c>
      <c r="H1565" s="9" t="n">
        <v>14.03076923076923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7" t="n"/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/>
      <c r="Y1565" s="13">
        <f>SUMPRODUCT(M1565:X1565,$M$2:$X$2)*$K1565*$L1565</f>
        <v/>
      </c>
      <c r="Z1565" s="14">
        <f>SUM(M1565:X1565)</f>
        <v/>
      </c>
      <c r="AA1565" s="14">
        <f>IFERROR(IF(UPPER($E1565)="L",SUMPRODUCT(M1565:X1565,$M$3:$X$3,$M$2:$X$2),SUMPRODUCT(M1565:X1565,$M$4:$X$4,$M$2:$X$2))/(Y1565/($K1565*$L1565)),"")</f>
        <v/>
      </c>
      <c r="AB1565" s="18" t="n"/>
    </row>
    <row r="1566">
      <c r="A1566" s="9" t="n">
        <v>701520</v>
      </c>
      <c r="B1566" s="9" t="inlineStr">
        <is>
          <t>Bobby Blandford</t>
        </is>
      </c>
      <c r="C1566" s="9" t="inlineStr">
        <is>
          <t>OAK</t>
        </is>
      </c>
      <c r="D1566" s="9" t="n">
        <v>25</v>
      </c>
      <c r="E1566" s="16" t="inlineStr">
        <is>
          <t>L</t>
        </is>
      </c>
      <c r="F1566" s="16" t="n"/>
      <c r="G1566" s="9" t="n">
        <v>57.84615384615384</v>
      </c>
      <c r="H1566" s="9" t="n">
        <v>57.84615384615384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7" t="n"/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/>
      <c r="Y1566" s="13">
        <f>SUMPRODUCT(M1566:X1566,$M$2:$X$2)*$K1566*$L1566</f>
        <v/>
      </c>
      <c r="Z1566" s="14">
        <f>SUM(M1566:X1566)</f>
        <v/>
      </c>
      <c r="AA1566" s="14">
        <f>IFERROR(IF(UPPER($E1566)="L",SUMPRODUCT(M1566:X1566,$M$3:$X$3,$M$2:$X$2),SUMPRODUCT(M1566:X1566,$M$4:$X$4,$M$2:$X$2))/(Y1566/($K1566*$L1566)),"")</f>
        <v/>
      </c>
      <c r="AB1566" s="18" t="n"/>
    </row>
    <row r="1567">
      <c r="A1567" s="9" t="n">
        <v>828148</v>
      </c>
      <c r="B1567" s="9" t="inlineStr">
        <is>
          <t>Conor Essenburg</t>
        </is>
      </c>
      <c r="C1567" s="9" t="inlineStr">
        <is>
          <t>ATL</t>
        </is>
      </c>
      <c r="D1567" s="9" t="n">
        <v>25</v>
      </c>
      <c r="E1567" s="16" t="inlineStr">
        <is>
          <t>R</t>
        </is>
      </c>
      <c r="F1567" s="16" t="n"/>
      <c r="G1567" s="9" t="n">
        <v>26.66666666666667</v>
      </c>
      <c r="H1567" s="9" t="n">
        <v>26.66666666666667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7" t="n"/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/>
      <c r="Y1567" s="13">
        <f>SUMPRODUCT(M1567:X1567,$M$2:$X$2)*$K1567*$L1567</f>
        <v/>
      </c>
      <c r="Z1567" s="14">
        <f>SUM(M1567:X1567)</f>
        <v/>
      </c>
      <c r="AA1567" s="14">
        <f>IFERROR(IF(UPPER($E1567)="L",SUMPRODUCT(M1567:X1567,$M$3:$X$3,$M$2:$X$2),SUMPRODUCT(M1567:X1567,$M$4:$X$4,$M$2:$X$2))/(Y1567/($K1567*$L1567)),"")</f>
        <v/>
      </c>
      <c r="AB1567" s="18" t="n"/>
    </row>
    <row r="1568">
      <c r="A1568" s="9" t="n">
        <v>686984</v>
      </c>
      <c r="B1568" s="9" t="inlineStr">
        <is>
          <t>Marcus Lee Sang</t>
        </is>
      </c>
      <c r="C1568" s="9" t="inlineStr">
        <is>
          <t>TEX</t>
        </is>
      </c>
      <c r="D1568" s="9" t="n">
        <v>25</v>
      </c>
      <c r="E1568" s="16" t="inlineStr">
        <is>
          <t>L</t>
        </is>
      </c>
      <c r="F1568" s="16" t="n"/>
      <c r="G1568" s="9" t="n">
        <v>155.4358974358974</v>
      </c>
      <c r="H1568" s="9" t="n">
        <v>155.4358974358974</v>
      </c>
      <c r="I1568" s="9" t="inlineStr">
        <is>
          <t>Depth (no MLB PA)</t>
        </is>
      </c>
      <c r="J1568" s="16" t="inlineStr">
        <is>
          <t>Opening Day</t>
        </is>
      </c>
      <c r="K1568" s="11">
        <f>IFERROR(INDEX(Roles!$B$17:$B$20,MATCH(J1568,Roles!$A$17:$A$20,0)),1)</f>
        <v/>
      </c>
      <c r="L1568" s="17" t="n">
        <v>1</v>
      </c>
      <c r="M1568" s="17" t="n"/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/>
      <c r="Y1568" s="13">
        <f>SUMPRODUCT(M1568:X1568,$M$2:$X$2)*$K1568*$L1568</f>
        <v/>
      </c>
      <c r="Z1568" s="14">
        <f>SUM(M1568:X1568)</f>
        <v/>
      </c>
      <c r="AA1568" s="14">
        <f>IFERROR(IF(UPPER($E1568)="L",SUMPRODUCT(M1568:X1568,$M$3:$X$3,$M$2:$X$2),SUMPRODUCT(M1568:X1568,$M$4:$X$4,$M$2:$X$2))/(Y1568/($K1568*$L1568)),"")</f>
        <v/>
      </c>
      <c r="AB1568" s="18" t="n"/>
    </row>
    <row r="1569">
      <c r="A1569" s="9" t="n">
        <v>829750</v>
      </c>
      <c r="B1569" s="9" t="inlineStr">
        <is>
          <t>Victor Santana</t>
        </is>
      </c>
      <c r="C1569" s="9" t="inlineStr">
        <is>
          <t>ARI</t>
        </is>
      </c>
      <c r="D1569" s="9" t="n">
        <v>25</v>
      </c>
      <c r="E1569" s="16" t="inlineStr">
        <is>
          <t>R</t>
        </is>
      </c>
      <c r="F1569" s="16" t="n"/>
      <c r="G1569" s="9" t="n">
        <v>14.52307692307692</v>
      </c>
      <c r="H1569" s="9" t="n">
        <v>14.52307692307692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7" t="n"/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/>
      <c r="Y1569" s="13">
        <f>SUMPRODUCT(M1569:X1569,$M$2:$X$2)*$K1569*$L1569</f>
        <v/>
      </c>
      <c r="Z1569" s="14">
        <f>SUM(M1569:X1569)</f>
        <v/>
      </c>
      <c r="AA1569" s="14">
        <f>IFERROR(IF(UPPER($E1569)="L",SUMPRODUCT(M1569:X1569,$M$3:$X$3,$M$2:$X$2),SUMPRODUCT(M1569:X1569,$M$4:$X$4,$M$2:$X$2))/(Y1569/($K1569*$L1569)),"")</f>
        <v/>
      </c>
      <c r="AB1569" s="18" t="n"/>
    </row>
    <row r="1570">
      <c r="A1570" s="9" t="n">
        <v>807737</v>
      </c>
      <c r="B1570" s="9" t="inlineStr">
        <is>
          <t>TJayy Walton</t>
        </is>
      </c>
      <c r="C1570" s="9" t="inlineStr">
        <is>
          <t>PHI</t>
        </is>
      </c>
      <c r="D1570" s="9" t="n">
        <v>25</v>
      </c>
      <c r="E1570" s="16" t="inlineStr">
        <is>
          <t>R</t>
        </is>
      </c>
      <c r="F1570" s="16" t="n"/>
      <c r="G1570" s="9" t="n">
        <v>18.46153846153846</v>
      </c>
      <c r="H1570" s="9" t="n">
        <v>18.46153846153846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7" t="n"/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/>
      <c r="Y1570" s="13">
        <f>SUMPRODUCT(M1570:X1570,$M$2:$X$2)*$K1570*$L1570</f>
        <v/>
      </c>
      <c r="Z1570" s="14">
        <f>SUM(M1570:X1570)</f>
        <v/>
      </c>
      <c r="AA1570" s="14">
        <f>IFERROR(IF(UPPER($E1570)="L",SUMPRODUCT(M1570:X1570,$M$3:$X$3,$M$2:$X$2),SUMPRODUCT(M1570:X1570,$M$4:$X$4,$M$2:$X$2))/(Y1570/($K1570*$L1570)),"")</f>
        <v/>
      </c>
      <c r="AB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7" t="n"/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/>
      <c r="Y1571" s="13">
        <f>SUMPRODUCT(M1571:X1571,$M$2:$X$2)*$K1571*$L1571</f>
        <v/>
      </c>
      <c r="Z1571" s="14">
        <f>SUM(M1571:X1571)</f>
        <v/>
      </c>
      <c r="AA1571" s="14">
        <f>IFERROR(IF(UPPER($E1571)="L",SUMPRODUCT(M1571:X1571,$M$3:$X$3,$M$2:$X$2),SUMPRODUCT(M1571:X1571,$M$4:$X$4,$M$2:$X$2))/(Y1571/($K1571*$L1571)),"")</f>
        <v/>
      </c>
      <c r="AB1571" s="18" t="n"/>
    </row>
    <row r="1572">
      <c r="A1572" s="9" t="n">
        <v>806967</v>
      </c>
      <c r="B1572" s="9" t="inlineStr">
        <is>
          <t>Brailer Guerrero</t>
        </is>
      </c>
      <c r="C1572" s="9" t="inlineStr">
        <is>
          <t>TB</t>
        </is>
      </c>
      <c r="D1572" s="9" t="n">
        <v>25</v>
      </c>
      <c r="E1572" s="16" t="inlineStr">
        <is>
          <t>L</t>
        </is>
      </c>
      <c r="F1572" s="16" t="n"/>
      <c r="G1572" s="9" t="n">
        <v>24.86153846153847</v>
      </c>
      <c r="H1572" s="9" t="n">
        <v>24.86153846153847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7" t="n"/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/>
      <c r="Y1572" s="13">
        <f>SUMPRODUCT(M1572:X1572,$M$2:$X$2)*$K1572*$L1572</f>
        <v/>
      </c>
      <c r="Z1572" s="14">
        <f>SUM(M1572:X1572)</f>
        <v/>
      </c>
      <c r="AA1572" s="14">
        <f>IFERROR(IF(UPPER($E1572)="L",SUMPRODUCT(M1572:X1572,$M$3:$X$3,$M$2:$X$2),SUMPRODUCT(M1572:X1572,$M$4:$X$4,$M$2:$X$2))/(Y1572/($K1572*$L1572)),"")</f>
        <v/>
      </c>
      <c r="AB1572" s="18" t="n"/>
    </row>
    <row r="1573">
      <c r="A1573" s="9" t="n">
        <v>814816</v>
      </c>
      <c r="B1573" s="9" t="inlineStr">
        <is>
          <t>Johnny Tincher</t>
        </is>
      </c>
      <c r="C1573" s="9" t="inlineStr">
        <is>
          <t>BAL</t>
        </is>
      </c>
      <c r="D1573" s="9" t="n">
        <v>25</v>
      </c>
      <c r="E1573" s="16" t="inlineStr">
        <is>
          <t>R</t>
        </is>
      </c>
      <c r="F1573" s="16" t="n"/>
      <c r="G1573" s="9" t="n">
        <v>14.35897435897436</v>
      </c>
      <c r="H1573" s="9" t="n">
        <v>14.35897435897436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7" t="n"/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/>
      <c r="Y1573" s="13">
        <f>SUMPRODUCT(M1573:X1573,$M$2:$X$2)*$K1573*$L1573</f>
        <v/>
      </c>
      <c r="Z1573" s="14">
        <f>SUM(M1573:X1573)</f>
        <v/>
      </c>
      <c r="AA1573" s="14">
        <f>IFERROR(IF(UPPER($E1573)="L",SUMPRODUCT(M1573:X1573,$M$3:$X$3,$M$2:$X$2),SUMPRODUCT(M1573:X1573,$M$4:$X$4,$M$2:$X$2))/(Y1573/($K1573*$L1573)),"")</f>
        <v/>
      </c>
      <c r="AB1573" s="18" t="n"/>
    </row>
    <row r="1574">
      <c r="A1574" s="9" t="n">
        <v>823817</v>
      </c>
      <c r="B1574" s="9" t="inlineStr">
        <is>
          <t>Jake McCutcheon</t>
        </is>
      </c>
      <c r="C1574" s="9" t="inlineStr">
        <is>
          <t>MIA</t>
        </is>
      </c>
      <c r="D1574" s="9" t="n">
        <v>25</v>
      </c>
      <c r="E1574" s="16" t="inlineStr">
        <is>
          <t>L</t>
        </is>
      </c>
      <c r="F1574" s="16" t="n"/>
      <c r="G1574" s="9" t="n">
        <v>14.35897435897436</v>
      </c>
      <c r="H1574" s="9" t="n">
        <v>14.35897435897436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7" t="n"/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/>
      <c r="Y1574" s="13">
        <f>SUMPRODUCT(M1574:X1574,$M$2:$X$2)*$K1574*$L1574</f>
        <v/>
      </c>
      <c r="Z1574" s="14">
        <f>SUM(M1574:X1574)</f>
        <v/>
      </c>
      <c r="AA1574" s="14">
        <f>IFERROR(IF(UPPER($E1574)="L",SUMPRODUCT(M1574:X1574,$M$3:$X$3,$M$2:$X$2),SUMPRODUCT(M1574:X1574,$M$4:$X$4,$M$2:$X$2))/(Y1574/($K1574*$L1574)),"")</f>
        <v/>
      </c>
      <c r="AB1574" s="18" t="n"/>
    </row>
    <row r="1575">
      <c r="A1575" s="9" t="n">
        <v>825582</v>
      </c>
      <c r="B1575" s="9" t="inlineStr">
        <is>
          <t>Nate George</t>
        </is>
      </c>
      <c r="C1575" s="9" t="inlineStr">
        <is>
          <t>BAL</t>
        </is>
      </c>
      <c r="D1575" s="9" t="n">
        <v>25</v>
      </c>
      <c r="E1575" s="16" t="inlineStr">
        <is>
          <t>R</t>
        </is>
      </c>
      <c r="F1575" s="16" t="n"/>
      <c r="G1575" s="9" t="n">
        <v>18.87179487179487</v>
      </c>
      <c r="H1575" s="9" t="n">
        <v>18.87179487179487</v>
      </c>
      <c r="I1575" s="9" t="inlineStr">
        <is>
          <t>Depth (no MLB PA)</t>
        </is>
      </c>
      <c r="J1575" s="16" t="inlineStr">
        <is>
          <t>Opening Day</t>
        </is>
      </c>
      <c r="K1575" s="11">
        <f>IFERROR(INDEX(Roles!$B$17:$B$20,MATCH(J1575,Roles!$A$17:$A$20,0)),1)</f>
        <v/>
      </c>
      <c r="L1575" s="17" t="n">
        <v>1</v>
      </c>
      <c r="M1575" s="17" t="n"/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/>
      <c r="Y1575" s="13">
        <f>SUMPRODUCT(M1575:X1575,$M$2:$X$2)*$K1575*$L1575</f>
        <v/>
      </c>
      <c r="Z1575" s="14">
        <f>SUM(M1575:X1575)</f>
        <v/>
      </c>
      <c r="AA1575" s="14">
        <f>IFERROR(IF(UPPER($E1575)="L",SUMPRODUCT(M1575:X1575,$M$3:$X$3,$M$2:$X$2),SUMPRODUCT(M1575:X1575,$M$4:$X$4,$M$2:$X$2))/(Y1575/($K1575*$L1575)),"")</f>
        <v/>
      </c>
      <c r="AB1575" s="18" t="n"/>
    </row>
    <row r="1576">
      <c r="A1576" s="9" t="n">
        <v>694754</v>
      </c>
      <c r="B1576" s="9" t="inlineStr">
        <is>
          <t>Sabin Ceballos</t>
        </is>
      </c>
      <c r="C1576" s="9" t="inlineStr">
        <is>
          <t>SF</t>
        </is>
      </c>
      <c r="D1576" s="9" t="n">
        <v>25</v>
      </c>
      <c r="E1576" s="16" t="inlineStr">
        <is>
          <t>R</t>
        </is>
      </c>
      <c r="F1576" s="16" t="n"/>
      <c r="G1576" s="9" t="n">
        <v>174.8205128205128</v>
      </c>
      <c r="H1576" s="9" t="n">
        <v>174.8205128205128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7" t="n"/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/>
      <c r="Y1576" s="13">
        <f>SUMPRODUCT(M1576:X1576,$M$2:$X$2)*$K1576*$L1576</f>
        <v/>
      </c>
      <c r="Z1576" s="14">
        <f>SUM(M1576:X1576)</f>
        <v/>
      </c>
      <c r="AA1576" s="14">
        <f>IFERROR(IF(UPPER($E1576)="L",SUMPRODUCT(M1576:X1576,$M$3:$X$3,$M$2:$X$2),SUMPRODUCT(M1576:X1576,$M$4:$X$4,$M$2:$X$2))/(Y1576/($K1576*$L1576)),"")</f>
        <v/>
      </c>
      <c r="AB1576" s="18" t="n"/>
    </row>
    <row r="1577">
      <c r="A1577" s="9" t="n">
        <v>809397</v>
      </c>
      <c r="B1577" s="9" t="inlineStr">
        <is>
          <t>Juan Cruz</t>
        </is>
      </c>
      <c r="C1577" s="9" t="inlineStr">
        <is>
          <t>WSH</t>
        </is>
      </c>
      <c r="D1577" s="9" t="n">
        <v>25</v>
      </c>
      <c r="E1577" s="16" t="inlineStr">
        <is>
          <t>R</t>
        </is>
      </c>
      <c r="F1577" s="16" t="n"/>
      <c r="G1577" s="9" t="n">
        <v>40.98461538461538</v>
      </c>
      <c r="H1577" s="9" t="n">
        <v>40.98461538461538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7" t="n"/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/>
      <c r="Y1577" s="13">
        <f>SUMPRODUCT(M1577:X1577,$M$2:$X$2)*$K1577*$L1577</f>
        <v/>
      </c>
      <c r="Z1577" s="14">
        <f>SUM(M1577:X1577)</f>
        <v/>
      </c>
      <c r="AA1577" s="14">
        <f>IFERROR(IF(UPPER($E1577)="L",SUMPRODUCT(M1577:X1577,$M$3:$X$3,$M$2:$X$2),SUMPRODUCT(M1577:X1577,$M$4:$X$4,$M$2:$X$2))/(Y1577/($K1577*$L1577)),"")</f>
        <v/>
      </c>
      <c r="AB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25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Opening Day</t>
        </is>
      </c>
      <c r="K1578" s="11">
        <f>IFERROR(INDEX(Roles!$B$17:$B$20,MATCH(J1578,Roles!$A$17:$A$20,0)),1)</f>
        <v/>
      </c>
      <c r="L1578" s="17" t="n">
        <v>1</v>
      </c>
      <c r="M1578" s="17" t="n"/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/>
      <c r="Y1578" s="13">
        <f>SUMPRODUCT(M1578:X1578,$M$2:$X$2)*$K1578*$L1578</f>
        <v/>
      </c>
      <c r="Z1578" s="14">
        <f>SUM(M1578:X1578)</f>
        <v/>
      </c>
      <c r="AA1578" s="14">
        <f>IFERROR(IF(UPPER($E1578)="L",SUMPRODUCT(M1578:X1578,$M$3:$X$3,$M$2:$X$2),SUMPRODUCT(M1578:X1578,$M$4:$X$4,$M$2:$X$2))/(Y1578/($K1578*$L1578)),"")</f>
        <v/>
      </c>
      <c r="AB1578" s="18" t="n"/>
    </row>
    <row r="1579">
      <c r="A1579" s="9" t="n">
        <v>691262</v>
      </c>
      <c r="B1579" s="9" t="inlineStr">
        <is>
          <t>Reginald Preciado</t>
        </is>
      </c>
      <c r="C1579" s="9" t="inlineStr">
        <is>
          <t>CHC</t>
        </is>
      </c>
      <c r="D1579" s="9" t="n">
        <v>25</v>
      </c>
      <c r="E1579" s="16" t="inlineStr">
        <is>
          <t>R</t>
        </is>
      </c>
      <c r="F1579" s="16" t="n"/>
      <c r="G1579" s="9" t="n">
        <v>22.56410256410257</v>
      </c>
      <c r="H1579" s="9" t="n">
        <v>22.56410256410257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7" t="n"/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/>
      <c r="Y1579" s="13">
        <f>SUMPRODUCT(M1579:X1579,$M$2:$X$2)*$K1579*$L1579</f>
        <v/>
      </c>
      <c r="Z1579" s="14">
        <f>SUM(M1579:X1579)</f>
        <v/>
      </c>
      <c r="AA1579" s="14">
        <f>IFERROR(IF(UPPER($E1579)="L",SUMPRODUCT(M1579:X1579,$M$3:$X$3,$M$2:$X$2),SUMPRODUCT(M1579:X1579,$M$4:$X$4,$M$2:$X$2))/(Y1579/($K1579*$L1579)),"")</f>
        <v/>
      </c>
      <c r="AB1579" s="18" t="n"/>
    </row>
    <row r="1580">
      <c r="A1580" s="9" t="n">
        <v>703612</v>
      </c>
      <c r="B1580" s="9" t="inlineStr">
        <is>
          <t>Nick Peoples</t>
        </is>
      </c>
      <c r="C1580" s="9" t="inlineStr">
        <is>
          <t>WSH</t>
        </is>
      </c>
      <c r="D1580" s="9" t="n">
        <v>25</v>
      </c>
      <c r="E1580" s="16" t="inlineStr">
        <is>
          <t>L</t>
        </is>
      </c>
      <c r="F1580" s="16" t="n"/>
      <c r="G1580" s="9" t="n">
        <v>31.01538461538461</v>
      </c>
      <c r="H1580" s="9" t="n">
        <v>31.01538461538461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7" t="n"/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/>
      <c r="Y1580" s="13">
        <f>SUMPRODUCT(M1580:X1580,$M$2:$X$2)*$K1580*$L1580</f>
        <v/>
      </c>
      <c r="Z1580" s="14">
        <f>SUM(M1580:X1580)</f>
        <v/>
      </c>
      <c r="AA1580" s="14">
        <f>IFERROR(IF(UPPER($E1580)="L",SUMPRODUCT(M1580:X1580,$M$3:$X$3,$M$2:$X$2),SUMPRODUCT(M1580:X1580,$M$4:$X$4,$M$2:$X$2))/(Y1580/($K1580*$L1580)),"")</f>
        <v/>
      </c>
      <c r="AB1580" s="18" t="n"/>
    </row>
    <row r="1581">
      <c r="A1581" s="9" t="n">
        <v>691942</v>
      </c>
      <c r="B1581" s="9" t="inlineStr">
        <is>
          <t>Jack O'Dowd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75.02564102564102</v>
      </c>
      <c r="H1581" s="9" t="n">
        <v>75.02564102564102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7" t="n"/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/>
      <c r="Y1581" s="13">
        <f>SUMPRODUCT(M1581:X1581,$M$2:$X$2)*$K1581*$L1581</f>
        <v/>
      </c>
      <c r="Z1581" s="14">
        <f>SUM(M1581:X1581)</f>
        <v/>
      </c>
      <c r="AA1581" s="14">
        <f>IFERROR(IF(UPPER($E1581)="L",SUMPRODUCT(M1581:X1581,$M$3:$X$3,$M$2:$X$2),SUMPRODUCT(M1581:X1581,$M$4:$X$4,$M$2:$X$2))/(Y1581/($K1581*$L1581)),"")</f>
        <v/>
      </c>
      <c r="AB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7" t="n"/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/>
      <c r="Y1582" s="13">
        <f>SUMPRODUCT(M1582:X1582,$M$2:$X$2)*$K1582*$L1582</f>
        <v/>
      </c>
      <c r="Z1582" s="14">
        <f>SUM(M1582:X1582)</f>
        <v/>
      </c>
      <c r="AA1582" s="14">
        <f>IFERROR(IF(UPPER($E1582)="L",SUMPRODUCT(M1582:X1582,$M$3:$X$3,$M$2:$X$2),SUMPRODUCT(M1582:X1582,$M$4:$X$4,$M$2:$X$2))/(Y1582/($K1582*$L1582)),"")</f>
        <v/>
      </c>
      <c r="AB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7" t="n"/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/>
      <c r="Y1583" s="13">
        <f>SUMPRODUCT(M1583:X1583,$M$2:$X$2)*$K1583*$L1583</f>
        <v/>
      </c>
      <c r="Z1583" s="14">
        <f>SUM(M1583:X1583)</f>
        <v/>
      </c>
      <c r="AA1583" s="14">
        <f>IFERROR(IF(UPPER($E1583)="L",SUMPRODUCT(M1583:X1583,$M$3:$X$3,$M$2:$X$2),SUMPRODUCT(M1583:X1583,$M$4:$X$4,$M$2:$X$2))/(Y1583/($K1583*$L1583)),"")</f>
        <v/>
      </c>
      <c r="AB1583" s="18" t="n"/>
    </row>
    <row r="1584">
      <c r="A1584" s="9" t="n">
        <v>571740</v>
      </c>
      <c r="B1584" s="9" t="inlineStr">
        <is>
          <t>Billy Hamilton</t>
        </is>
      </c>
      <c r="C1584" s="9" t="inlineStr">
        <is>
          <t>CWS</t>
        </is>
      </c>
      <c r="D1584" s="9" t="n">
        <v>36</v>
      </c>
      <c r="E1584" s="16" t="inlineStr">
        <is>
          <t>S</t>
        </is>
      </c>
      <c r="F1584" s="16" t="n"/>
      <c r="G1584" s="9" t="n">
        <v>2</v>
      </c>
      <c r="H1584" s="9" t="n">
        <v>25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7" t="n"/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/>
      <c r="Y1584" s="13">
        <f>SUMPRODUCT(M1584:X1584,$M$2:$X$2)*$K1584*$L1584</f>
        <v/>
      </c>
      <c r="Z1584" s="14">
        <f>SUM(M1584:X1584)</f>
        <v/>
      </c>
      <c r="AA1584" s="14">
        <f>IFERROR(IF(UPPER($E1584)="L",SUMPRODUCT(M1584:X1584,$M$3:$X$3,$M$2:$X$2),SUMPRODUCT(M1584:X1584,$M$4:$X$4,$M$2:$X$2))/(Y1584/($K1584*$L1584)),"")</f>
        <v/>
      </c>
      <c r="AB1584" s="18" t="n"/>
    </row>
    <row r="1585">
      <c r="A1585" s="9" t="n">
        <v>702486</v>
      </c>
      <c r="B1585" s="9" t="inlineStr">
        <is>
          <t>Jaxson West</t>
        </is>
      </c>
      <c r="C1585" s="9" t="inlineStr">
        <is>
          <t>TOR</t>
        </is>
      </c>
      <c r="D1585" s="9" t="n">
        <v>25</v>
      </c>
      <c r="E1585" s="16" t="inlineStr">
        <is>
          <t>L</t>
        </is>
      </c>
      <c r="F1585" s="16" t="n"/>
      <c r="G1585" s="9" t="n">
        <v>19.28205128205128</v>
      </c>
      <c r="H1585" s="9" t="n">
        <v>19.28205128205128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7" t="n"/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/>
      <c r="Y1585" s="13">
        <f>SUMPRODUCT(M1585:X1585,$M$2:$X$2)*$K1585*$L1585</f>
        <v/>
      </c>
      <c r="Z1585" s="14">
        <f>SUM(M1585:X1585)</f>
        <v/>
      </c>
      <c r="AA1585" s="14">
        <f>IFERROR(IF(UPPER($E1585)="L",SUMPRODUCT(M1585:X1585,$M$3:$X$3,$M$2:$X$2),SUMPRODUCT(M1585:X1585,$M$4:$X$4,$M$2:$X$2))/(Y1585/($K1585*$L1585)),"")</f>
        <v/>
      </c>
      <c r="AB1585" s="18" t="n"/>
    </row>
    <row r="1586">
      <c r="A1586" s="9" t="n">
        <v>828173</v>
      </c>
      <c r="B1586" s="9" t="inlineStr">
        <is>
          <t>Slater de Brun</t>
        </is>
      </c>
      <c r="C1586" s="9" t="inlineStr">
        <is>
          <t>TB</t>
        </is>
      </c>
      <c r="D1586" s="9" t="n">
        <v>25</v>
      </c>
      <c r="E1586" s="16" t="inlineStr">
        <is>
          <t>L</t>
        </is>
      </c>
      <c r="F1586" s="16" t="n"/>
      <c r="G1586" s="9" t="n">
        <v>14.76923076923077</v>
      </c>
      <c r="H1586" s="9" t="n">
        <v>14.76923076923077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7" t="n"/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/>
      <c r="Y1586" s="13">
        <f>SUMPRODUCT(M1586:X1586,$M$2:$X$2)*$K1586*$L1586</f>
        <v/>
      </c>
      <c r="Z1586" s="14">
        <f>SUM(M1586:X1586)</f>
        <v/>
      </c>
      <c r="AA1586" s="14">
        <f>IFERROR(IF(UPPER($E1586)="L",SUMPRODUCT(M1586:X1586,$M$3:$X$3,$M$2:$X$2),SUMPRODUCT(M1586:X1586,$M$4:$X$4,$M$2:$X$2))/(Y1586/($K1586*$L1586)),"")</f>
        <v/>
      </c>
      <c r="AB1586" s="18" t="n"/>
    </row>
    <row r="1587">
      <c r="A1587" s="9" t="n">
        <v>801903</v>
      </c>
      <c r="B1587" s="9" t="inlineStr">
        <is>
          <t>Brock Tibbitts</t>
        </is>
      </c>
      <c r="C1587" s="9" t="inlineStr">
        <is>
          <t>TOR</t>
        </is>
      </c>
      <c r="D1587" s="9" t="n">
        <v>25</v>
      </c>
      <c r="E1587" s="16" t="inlineStr">
        <is>
          <t>R</t>
        </is>
      </c>
      <c r="F1587" s="16" t="n"/>
      <c r="G1587" s="9" t="n">
        <v>14.4</v>
      </c>
      <c r="H1587" s="9" t="n">
        <v>14.4</v>
      </c>
      <c r="I1587" s="9" t="inlineStr">
        <is>
          <t>Depth (no MLB PA)</t>
        </is>
      </c>
      <c r="J1587" s="16" t="inlineStr">
        <is>
          <t>Opening Day</t>
        </is>
      </c>
      <c r="K1587" s="11">
        <f>IFERROR(INDEX(Roles!$B$17:$B$20,MATCH(J1587,Roles!$A$17:$A$20,0)),1)</f>
        <v/>
      </c>
      <c r="L1587" s="17" t="n">
        <v>1</v>
      </c>
      <c r="M1587" s="17" t="n"/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/>
      <c r="Y1587" s="13">
        <f>SUMPRODUCT(M1587:X1587,$M$2:$X$2)*$K1587*$L1587</f>
        <v/>
      </c>
      <c r="Z1587" s="14">
        <f>SUM(M1587:X1587)</f>
        <v/>
      </c>
      <c r="AA1587" s="14">
        <f>IFERROR(IF(UPPER($E1587)="L",SUMPRODUCT(M1587:X1587,$M$3:$X$3,$M$2:$X$2),SUMPRODUCT(M1587:X1587,$M$4:$X$4,$M$2:$X$2))/(Y1587/($K1587*$L1587)),"")</f>
        <v/>
      </c>
      <c r="AB1587" s="18" t="n"/>
    </row>
    <row r="1588">
      <c r="A1588" s="9" t="n">
        <v>682997</v>
      </c>
      <c r="B1588" s="9" t="inlineStr">
        <is>
          <t>Tyler Callihan</t>
        </is>
      </c>
      <c r="C1588" s="9" t="inlineStr">
        <is>
          <t>PIT</t>
        </is>
      </c>
      <c r="D1588" s="9" t="n">
        <v>27</v>
      </c>
      <c r="E1588" s="16" t="inlineStr">
        <is>
          <t>L</t>
        </is>
      </c>
      <c r="F1588" s="16" t="n"/>
      <c r="G1588" s="9" t="n">
        <v>107</v>
      </c>
      <c r="H1588" s="9" t="n">
        <v>113</v>
      </c>
      <c r="I1588" s="9" t="inlineStr">
        <is>
          <t>Bench Bat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7" t="n"/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/>
      <c r="Y1588" s="13">
        <f>SUMPRODUCT(M1588:X1588,$M$2:$X$2)*$K1588*$L1588</f>
        <v/>
      </c>
      <c r="Z1588" s="14">
        <f>SUM(M1588:X1588)</f>
        <v/>
      </c>
      <c r="AA1588" s="14">
        <f>IFERROR(IF(UPPER($E1588)="L",SUMPRODUCT(M1588:X1588,$M$3:$X$3,$M$2:$X$2),SUMPRODUCT(M1588:X1588,$M$4:$X$4,$M$2:$X$2))/(Y1588/($K1588*$L1588)),"")</f>
        <v/>
      </c>
      <c r="AB1588" s="18" t="n"/>
    </row>
    <row r="1589">
      <c r="A1589" s="9" t="n">
        <v>806016</v>
      </c>
      <c r="B1589" s="9" t="inlineStr">
        <is>
          <t>Aaron Graeber</t>
        </is>
      </c>
      <c r="C1589" s="9" t="inlineStr">
        <is>
          <t>LAA</t>
        </is>
      </c>
      <c r="D1589" s="9" t="n">
        <v>25</v>
      </c>
      <c r="E1589" s="16" t="inlineStr">
        <is>
          <t>L</t>
        </is>
      </c>
      <c r="F1589" s="16" t="n"/>
      <c r="G1589" s="9" t="n">
        <v>30.97435897435897</v>
      </c>
      <c r="H1589" s="9" t="n">
        <v>30.97435897435897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7" t="n"/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/>
      <c r="Y1589" s="13">
        <f>SUMPRODUCT(M1589:X1589,$M$2:$X$2)*$K1589*$L1589</f>
        <v/>
      </c>
      <c r="Z1589" s="14">
        <f>SUM(M1589:X1589)</f>
        <v/>
      </c>
      <c r="AA1589" s="14">
        <f>IFERROR(IF(UPPER($E1589)="L",SUMPRODUCT(M1589:X1589,$M$3:$X$3,$M$2:$X$2),SUMPRODUCT(M1589:X1589,$M$4:$X$4,$M$2:$X$2))/(Y1589/($K1589*$L1589)),"")</f>
        <v/>
      </c>
      <c r="AB1589" s="18" t="n"/>
    </row>
    <row r="1590">
      <c r="A1590" s="9" t="n">
        <v>808104</v>
      </c>
      <c r="B1590" s="9" t="inlineStr">
        <is>
          <t>Andruw Musett</t>
        </is>
      </c>
      <c r="C1590" s="9" t="inlineStr">
        <is>
          <t>BOS</t>
        </is>
      </c>
      <c r="D1590" s="9" t="n">
        <v>25</v>
      </c>
      <c r="E1590" s="16" t="inlineStr">
        <is>
          <t>R</t>
        </is>
      </c>
      <c r="F1590" s="16" t="n"/>
      <c r="G1590" s="9" t="n">
        <v>23.63076923076923</v>
      </c>
      <c r="H1590" s="9" t="n">
        <v>23.63076923076923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7" t="n"/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/>
      <c r="Y1590" s="13">
        <f>SUMPRODUCT(M1590:X1590,$M$2:$X$2)*$K1590*$L1590</f>
        <v/>
      </c>
      <c r="Z1590" s="14">
        <f>SUM(M1590:X1590)</f>
        <v/>
      </c>
      <c r="AA1590" s="14">
        <f>IFERROR(IF(UPPER($E1590)="L",SUMPRODUCT(M1590:X1590,$M$3:$X$3,$M$2:$X$2),SUMPRODUCT(M1590:X1590,$M$4:$X$4,$M$2:$X$2))/(Y1590/($K1590*$L1590)),"")</f>
        <v/>
      </c>
      <c r="AB1590" s="18" t="n"/>
    </row>
    <row r="1591">
      <c r="A1591" s="9" t="n">
        <v>824753</v>
      </c>
      <c r="B1591" s="9" t="inlineStr">
        <is>
          <t>Nick Hollifield</t>
        </is>
      </c>
      <c r="C1591" s="9" t="inlineStr">
        <is>
          <t>WSH</t>
        </is>
      </c>
      <c r="D1591" s="9" t="n">
        <v>25</v>
      </c>
      <c r="E1591" s="16" t="inlineStr">
        <is>
          <t>R</t>
        </is>
      </c>
      <c r="F1591" s="16" t="n"/>
      <c r="G1591" s="9" t="n">
        <v>18.83076923076923</v>
      </c>
      <c r="H1591" s="9" t="n">
        <v>18.83076923076923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7" t="n"/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/>
      <c r="Y1591" s="13">
        <f>SUMPRODUCT(M1591:X1591,$M$2:$X$2)*$K1591*$L1591</f>
        <v/>
      </c>
      <c r="Z1591" s="14">
        <f>SUM(M1591:X1591)</f>
        <v/>
      </c>
      <c r="AA1591" s="14">
        <f>IFERROR(IF(UPPER($E1591)="L",SUMPRODUCT(M1591:X1591,$M$3:$X$3,$M$2:$X$2),SUMPRODUCT(M1591:X1591,$M$4:$X$4,$M$2:$X$2))/(Y1591/($K1591*$L1591)),"")</f>
        <v/>
      </c>
      <c r="AB1591" s="18" t="n"/>
    </row>
    <row r="1592">
      <c r="A1592" s="9" t="n">
        <v>802398</v>
      </c>
      <c r="B1592" s="9" t="inlineStr">
        <is>
          <t>Sebastian Baquera</t>
        </is>
      </c>
      <c r="C1592" s="9" t="inlineStr">
        <is>
          <t>TEX</t>
        </is>
      </c>
      <c r="D1592" s="9" t="n">
        <v>25</v>
      </c>
      <c r="E1592" s="16" t="inlineStr">
        <is>
          <t>R</t>
        </is>
      </c>
      <c r="F1592" s="16" t="n"/>
      <c r="G1592" s="9" t="n">
        <v>19.07692307692308</v>
      </c>
      <c r="H1592" s="9" t="n">
        <v>19.07692307692308</v>
      </c>
      <c r="I1592" s="9" t="inlineStr">
        <is>
          <t>Depth (no MLB PA)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7" t="n"/>
      <c r="N1592" s="17" t="n"/>
      <c r="O1592" s="17" t="n"/>
      <c r="P1592" s="17" t="n"/>
      <c r="Q1592" s="17" t="n"/>
      <c r="R1592" s="17" t="n"/>
      <c r="S1592" s="17" t="n"/>
      <c r="T1592" s="17" t="n"/>
      <c r="U1592" s="17" t="n"/>
      <c r="V1592" s="17" t="n"/>
      <c r="W1592" s="17" t="n"/>
      <c r="X1592" s="17" t="n"/>
      <c r="Y1592" s="13">
        <f>SUMPRODUCT(M1592:X1592,$M$2:$X$2)*$K1592*$L1592</f>
        <v/>
      </c>
      <c r="Z1592" s="14">
        <f>SUM(M1592:X1592)</f>
        <v/>
      </c>
      <c r="AA1592" s="14">
        <f>IFERROR(IF(UPPER($E1592)="L",SUMPRODUCT(M1592:X1592,$M$3:$X$3,$M$2:$X$2),SUMPRODUCT(M1592:X1592,$M$4:$X$4,$M$2:$X$2))/(Y1592/($K1592*$L1592)),"")</f>
        <v/>
      </c>
      <c r="AB1592" s="18" t="n"/>
    </row>
    <row r="1593">
      <c r="A1593" s="9" t="n">
        <v>802407</v>
      </c>
      <c r="B1593" s="9" t="inlineStr">
        <is>
          <t>Joe Lampe</t>
        </is>
      </c>
      <c r="C1593" s="9" t="inlineStr">
        <is>
          <t>CLE</t>
        </is>
      </c>
      <c r="D1593" s="9" t="n">
        <v>25</v>
      </c>
      <c r="E1593" s="16" t="inlineStr">
        <is>
          <t>L</t>
        </is>
      </c>
      <c r="F1593" s="16" t="n"/>
      <c r="G1593" s="9" t="n">
        <v>31.58974358974359</v>
      </c>
      <c r="H1593" s="9" t="n">
        <v>31.58974358974359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7" t="n"/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/>
      <c r="Y1593" s="13">
        <f>SUMPRODUCT(M1593:X1593,$M$2:$X$2)*$K1593*$L1593</f>
        <v/>
      </c>
      <c r="Z1593" s="14">
        <f>SUM(M1593:X1593)</f>
        <v/>
      </c>
      <c r="AA1593" s="14">
        <f>IFERROR(IF(UPPER($E1593)="L",SUMPRODUCT(M1593:X1593,$M$3:$X$3,$M$2:$X$2),SUMPRODUCT(M1593:X1593,$M$4:$X$4,$M$2:$X$2))/(Y1593/($K1593*$L1593)),"")</f>
        <v/>
      </c>
      <c r="AB1593" s="18" t="n"/>
    </row>
    <row r="1594">
      <c r="A1594" s="9" t="n">
        <v>660688</v>
      </c>
      <c r="B1594" s="9" t="inlineStr">
        <is>
          <t>Keibert Ruiz</t>
        </is>
      </c>
      <c r="C1594" s="9" t="inlineStr">
        <is>
          <t>WSH</t>
        </is>
      </c>
      <c r="D1594" s="9" t="n">
        <v>28</v>
      </c>
      <c r="E1594" s="16" t="inlineStr">
        <is>
          <t>S</t>
        </is>
      </c>
      <c r="F1594" s="16" t="n"/>
      <c r="G1594" s="9" t="n">
        <v>354</v>
      </c>
      <c r="H1594" s="9" t="n">
        <v>2101</v>
      </c>
      <c r="I1594" s="9" t="inlineStr">
        <is>
          <t>Utility OF / 4th OF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7" t="n"/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/>
      <c r="W1594" s="17" t="n"/>
      <c r="X1594" s="17" t="n"/>
      <c r="Y1594" s="13">
        <f>SUMPRODUCT(M1594:X1594,$M$2:$X$2)*$K1594*$L1594</f>
        <v/>
      </c>
      <c r="Z1594" s="14">
        <f>SUM(M1594:X1594)</f>
        <v/>
      </c>
      <c r="AA1594" s="14">
        <f>IFERROR(IF(UPPER($E1594)="L",SUMPRODUCT(M1594:X1594,$M$3:$X$3,$M$2:$X$2),SUMPRODUCT(M1594:X1594,$M$4:$X$4,$M$2:$X$2))/(Y1594/($K1594*$L1594)),"")</f>
        <v/>
      </c>
      <c r="AB1594" s="18" t="n"/>
    </row>
    <row r="1595">
      <c r="A1595" s="9" t="n">
        <v>702600</v>
      </c>
      <c r="B1595" s="9" t="inlineStr">
        <is>
          <t>Matt Klein</t>
        </is>
      </c>
      <c r="C1595" s="9" t="inlineStr">
        <is>
          <t>COL</t>
        </is>
      </c>
      <c r="D1595" s="9" t="n">
        <v>25</v>
      </c>
      <c r="E1595" s="16" t="inlineStr">
        <is>
          <t>L</t>
        </is>
      </c>
      <c r="F1595" s="16" t="n"/>
      <c r="G1595" s="9" t="n">
        <v>23.26153846153846</v>
      </c>
      <c r="H1595" s="9" t="n">
        <v>23.26153846153846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7" t="n"/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/>
      <c r="Y1595" s="13">
        <f>SUMPRODUCT(M1595:X1595,$M$2:$X$2)*$K1595*$L1595</f>
        <v/>
      </c>
      <c r="Z1595" s="14">
        <f>SUM(M1595:X1595)</f>
        <v/>
      </c>
      <c r="AA1595" s="14">
        <f>IFERROR(IF(UPPER($E1595)="L",SUMPRODUCT(M1595:X1595,$M$3:$X$3,$M$2:$X$2),SUMPRODUCT(M1595:X1595,$M$4:$X$4,$M$2:$X$2))/(Y1595/($K1595*$L1595)),"")</f>
        <v/>
      </c>
      <c r="AB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7" t="n"/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/>
      <c r="Y1596" s="13">
        <f>SUMPRODUCT(M1596:X1596,$M$2:$X$2)*$K1596*$L1596</f>
        <v/>
      </c>
      <c r="Z1596" s="14">
        <f>SUM(M1596:X1596)</f>
        <v/>
      </c>
      <c r="AA1596" s="14">
        <f>IFERROR(IF(UPPER($E1596)="L",SUMPRODUCT(M1596:X1596,$M$3:$X$3,$M$2:$X$2),SUMPRODUCT(M1596:X1596,$M$4:$X$4,$M$2:$X$2))/(Y1596/($K1596*$L1596)),"")</f>
        <v/>
      </c>
      <c r="AB1596" s="18" t="n"/>
    </row>
    <row r="1597">
      <c r="A1597" s="9" t="n">
        <v>822877</v>
      </c>
      <c r="B1597" s="9" t="inlineStr">
        <is>
          <t>Luke Cantwell</t>
        </is>
      </c>
      <c r="C1597" s="9" t="inlineStr">
        <is>
          <t>SD</t>
        </is>
      </c>
      <c r="D1597" s="9" t="n">
        <v>25</v>
      </c>
      <c r="E1597" s="16" t="inlineStr">
        <is>
          <t>L</t>
        </is>
      </c>
      <c r="F1597" s="16" t="n"/>
      <c r="G1597" s="9" t="n">
        <v>31.58974358974359</v>
      </c>
      <c r="H1597" s="9" t="n">
        <v>31.58974358974359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7" t="n"/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/>
      <c r="Y1597" s="13">
        <f>SUMPRODUCT(M1597:X1597,$M$2:$X$2)*$K1597*$L1597</f>
        <v/>
      </c>
      <c r="Z1597" s="14">
        <f>SUM(M1597:X1597)</f>
        <v/>
      </c>
      <c r="AA1597" s="14">
        <f>IFERROR(IF(UPPER($E1597)="L",SUMPRODUCT(M1597:X1597,$M$3:$X$3,$M$2:$X$2),SUMPRODUCT(M1597:X1597,$M$4:$X$4,$M$2:$X$2))/(Y1597/($K1597*$L1597)),"")</f>
        <v/>
      </c>
      <c r="AB1597" s="18" t="n"/>
    </row>
    <row r="1598">
      <c r="A1598" s="9" t="n">
        <v>682192</v>
      </c>
      <c r="B1598" s="9" t="inlineStr">
        <is>
          <t>Paul McIntosh</t>
        </is>
      </c>
      <c r="C1598" s="9" t="inlineStr">
        <is>
          <t>PHI</t>
        </is>
      </c>
      <c r="D1598" s="9" t="n">
        <v>25</v>
      </c>
      <c r="E1598" s="16" t="inlineStr">
        <is>
          <t>R</t>
        </is>
      </c>
      <c r="F1598" s="16" t="n"/>
      <c r="G1598" s="9" t="n">
        <v>159.6410256410257</v>
      </c>
      <c r="H1598" s="9" t="n">
        <v>159.6410256410257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7" t="n"/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/>
      <c r="Y1598" s="13">
        <f>SUMPRODUCT(M1598:X1598,$M$2:$X$2)*$K1598*$L1598</f>
        <v/>
      </c>
      <c r="Z1598" s="14">
        <f>SUM(M1598:X1598)</f>
        <v/>
      </c>
      <c r="AA1598" s="14">
        <f>IFERROR(IF(UPPER($E1598)="L",SUMPRODUCT(M1598:X1598,$M$3:$X$3,$M$2:$X$2),SUMPRODUCT(M1598:X1598,$M$4:$X$4,$M$2:$X$2))/(Y1598/($K1598*$L1598)),"")</f>
        <v/>
      </c>
      <c r="AB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7" t="n"/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/>
      <c r="Y1599" s="13">
        <f>SUMPRODUCT(M1599:X1599,$M$2:$X$2)*$K1599*$L1599</f>
        <v/>
      </c>
      <c r="Z1599" s="14">
        <f>SUM(M1599:X1599)</f>
        <v/>
      </c>
      <c r="AA1599" s="14">
        <f>IFERROR(IF(UPPER($E1599)="L",SUMPRODUCT(M1599:X1599,$M$3:$X$3,$M$2:$X$2),SUMPRODUCT(M1599:X1599,$M$4:$X$4,$M$2:$X$2))/(Y1599/($K1599*$L1599)),"")</f>
        <v/>
      </c>
      <c r="AB1599" s="18" t="n"/>
    </row>
    <row r="1600">
      <c r="A1600" s="9" t="n">
        <v>821181</v>
      </c>
      <c r="B1600" s="9" t="inlineStr">
        <is>
          <t>Juneiker Caceres</t>
        </is>
      </c>
      <c r="C1600" s="9" t="inlineStr">
        <is>
          <t>CLE</t>
        </is>
      </c>
      <c r="D1600" s="9" t="n">
        <v>25</v>
      </c>
      <c r="E1600" s="16" t="inlineStr">
        <is>
          <t>L</t>
        </is>
      </c>
      <c r="F1600" s="16" t="n"/>
      <c r="G1600" s="9" t="n">
        <v>19.28205128205128</v>
      </c>
      <c r="H1600" s="9" t="n">
        <v>19.28205128205128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7" t="n"/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/>
      <c r="Y1600" s="13">
        <f>SUMPRODUCT(M1600:X1600,$M$2:$X$2)*$K1600*$L1600</f>
        <v/>
      </c>
      <c r="Z1600" s="14">
        <f>SUM(M1600:X1600)</f>
        <v/>
      </c>
      <c r="AA1600" s="14">
        <f>IFERROR(IF(UPPER($E1600)="L",SUMPRODUCT(M1600:X1600,$M$3:$X$3,$M$2:$X$2),SUMPRODUCT(M1600:X1600,$M$4:$X$4,$M$2:$X$2))/(Y1600/($K1600*$L1600)),"")</f>
        <v/>
      </c>
      <c r="AB1600" s="18" t="n"/>
    </row>
    <row r="1601">
      <c r="A1601" s="9" t="n">
        <v>825484</v>
      </c>
      <c r="B1601" s="9" t="inlineStr">
        <is>
          <t>Alexander Frias</t>
        </is>
      </c>
      <c r="C1601" s="9" t="inlineStr">
        <is>
          <t>STL</t>
        </is>
      </c>
      <c r="D1601" s="9" t="n">
        <v>25</v>
      </c>
      <c r="E1601" s="16" t="inlineStr">
        <is>
          <t>L</t>
        </is>
      </c>
      <c r="F1601" s="16" t="n"/>
      <c r="G1601" s="9" t="n">
        <v>28.30769230769231</v>
      </c>
      <c r="H1601" s="9" t="n">
        <v>28.30769230769231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7" t="n"/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/>
      <c r="Y1601" s="13">
        <f>SUMPRODUCT(M1601:X1601,$M$2:$X$2)*$K1601*$L1601</f>
        <v/>
      </c>
      <c r="Z1601" s="14">
        <f>SUM(M1601:X1601)</f>
        <v/>
      </c>
      <c r="AA1601" s="14">
        <f>IFERROR(IF(UPPER($E1601)="L",SUMPRODUCT(M1601:X1601,$M$3:$X$3,$M$2:$X$2),SUMPRODUCT(M1601:X1601,$M$4:$X$4,$M$2:$X$2))/(Y1601/($K1601*$L1601)),"")</f>
        <v/>
      </c>
      <c r="AB1601" s="18" t="n"/>
    </row>
    <row r="1602">
      <c r="A1602" s="9" t="n">
        <v>821688</v>
      </c>
      <c r="B1602" s="9" t="inlineStr">
        <is>
          <t>Jemone Nuel</t>
        </is>
      </c>
      <c r="C1602" s="9" t="inlineStr">
        <is>
          <t>BAL</t>
        </is>
      </c>
      <c r="D1602" s="9" t="n">
        <v>25</v>
      </c>
      <c r="E1602" s="16" t="inlineStr">
        <is>
          <t>S</t>
        </is>
      </c>
      <c r="F1602" s="16" t="n"/>
      <c r="G1602" s="9" t="n">
        <v>14.89230769230769</v>
      </c>
      <c r="H1602" s="9" t="n">
        <v>14.89230769230769</v>
      </c>
      <c r="I1602" s="9" t="inlineStr">
        <is>
          <t>Depth (no MLB PA)</t>
        </is>
      </c>
      <c r="J1602" s="16" t="inlineStr">
        <is>
          <t>Opening Day</t>
        </is>
      </c>
      <c r="K1602" s="11">
        <f>IFERROR(INDEX(Roles!$B$17:$B$20,MATCH(J1602,Roles!$A$17:$A$20,0)),1)</f>
        <v/>
      </c>
      <c r="L1602" s="17" t="n">
        <v>1</v>
      </c>
      <c r="M1602" s="17" t="n"/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/>
      <c r="Y1602" s="13">
        <f>SUMPRODUCT(M1602:X1602,$M$2:$X$2)*$K1602*$L1602</f>
        <v/>
      </c>
      <c r="Z1602" s="14">
        <f>SUM(M1602:X1602)</f>
        <v/>
      </c>
      <c r="AA1602" s="14">
        <f>IFERROR(IF(UPPER($E1602)="L",SUMPRODUCT(M1602:X1602,$M$3:$X$3,$M$2:$X$2),SUMPRODUCT(M1602:X1602,$M$4:$X$4,$M$2:$X$2))/(Y1602/($K1602*$L1602)),"")</f>
        <v/>
      </c>
      <c r="AB1602" s="18" t="n"/>
    </row>
    <row r="1603">
      <c r="A1603" s="9" t="n">
        <v>685087</v>
      </c>
      <c r="B1603" s="9" t="inlineStr">
        <is>
          <t>Jordan Nwogu</t>
        </is>
      </c>
      <c r="C1603" s="9" t="inlineStr">
        <is>
          <t>CHC</t>
        </is>
      </c>
      <c r="D1603" s="9" t="n">
        <v>25</v>
      </c>
      <c r="E1603" s="16" t="inlineStr">
        <is>
          <t>R</t>
        </is>
      </c>
      <c r="F1603" s="16" t="n"/>
      <c r="G1603" s="9" t="n">
        <v>63.17948717948719</v>
      </c>
      <c r="H1603" s="9" t="n">
        <v>63.17948717948719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7" t="n"/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/>
      <c r="Y1603" s="13">
        <f>SUMPRODUCT(M1603:X1603,$M$2:$X$2)*$K1603*$L1603</f>
        <v/>
      </c>
      <c r="Z1603" s="14">
        <f>SUM(M1603:X1603)</f>
        <v/>
      </c>
      <c r="AA1603" s="14">
        <f>IFERROR(IF(UPPER($E1603)="L",SUMPRODUCT(M1603:X1603,$M$3:$X$3,$M$2:$X$2),SUMPRODUCT(M1603:X1603,$M$4:$X$4,$M$2:$X$2))/(Y1603/($K1603*$L1603)),"")</f>
        <v/>
      </c>
      <c r="AB1603" s="18" t="n"/>
    </row>
    <row r="1604">
      <c r="A1604" s="9" t="n">
        <v>656308</v>
      </c>
      <c r="B1604" s="9" t="inlineStr">
        <is>
          <t>Michael Chavis</t>
        </is>
      </c>
      <c r="C1604" s="9" t="inlineStr">
        <is>
          <t>WSH</t>
        </is>
      </c>
      <c r="D1604" s="9" t="n">
        <v>31</v>
      </c>
      <c r="E1604" s="16" t="inlineStr">
        <is>
          <t>R</t>
        </is>
      </c>
      <c r="F1604" s="16" t="n"/>
      <c r="G1604" s="9" t="n">
        <v>96</v>
      </c>
      <c r="H1604" s="9" t="n">
        <v>522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7" t="n"/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/>
      <c r="Y1604" s="13">
        <f>SUMPRODUCT(M1604:X1604,$M$2:$X$2)*$K1604*$L1604</f>
        <v/>
      </c>
      <c r="Z1604" s="14">
        <f>SUM(M1604:X1604)</f>
        <v/>
      </c>
      <c r="AA1604" s="14">
        <f>IFERROR(IF(UPPER($E1604)="L",SUMPRODUCT(M1604:X1604,$M$3:$X$3,$M$2:$X$2),SUMPRODUCT(M1604:X1604,$M$4:$X$4,$M$2:$X$2))/(Y1604/($K1604*$L1604)),"")</f>
        <v/>
      </c>
      <c r="AB1604" s="18" t="n"/>
    </row>
    <row r="1605">
      <c r="A1605" s="9" t="n">
        <v>696020</v>
      </c>
      <c r="B1605" s="9" t="inlineStr">
        <is>
          <t>Raudelis Martinez</t>
        </is>
      </c>
      <c r="C1605" s="9" t="inlineStr">
        <is>
          <t>BOS</t>
        </is>
      </c>
      <c r="D1605" s="9" t="n">
        <v>25</v>
      </c>
      <c r="E1605" s="16" t="inlineStr">
        <is>
          <t>L</t>
        </is>
      </c>
      <c r="F1605" s="16" t="n"/>
      <c r="G1605" s="9" t="n">
        <v>24.05128205128205</v>
      </c>
      <c r="H1605" s="9" t="n">
        <v>24.05128205128205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7" t="n"/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/>
      <c r="Y1605" s="13">
        <f>SUMPRODUCT(M1605:X1605,$M$2:$X$2)*$K1605*$L1605</f>
        <v/>
      </c>
      <c r="Z1605" s="14">
        <f>SUM(M1605:X1605)</f>
        <v/>
      </c>
      <c r="AA1605" s="14">
        <f>IFERROR(IF(UPPER($E1605)="L",SUMPRODUCT(M1605:X1605,$M$3:$X$3,$M$2:$X$2),SUMPRODUCT(M1605:X1605,$M$4:$X$4,$M$2:$X$2))/(Y1605/($K1605*$L1605)),"")</f>
        <v/>
      </c>
      <c r="AB1605" s="18" t="n"/>
    </row>
    <row r="1606">
      <c r="A1606" s="9" t="n">
        <v>699031</v>
      </c>
      <c r="B1606" s="9" t="inlineStr">
        <is>
          <t>Anyelo Encarnación</t>
        </is>
      </c>
      <c r="C1606" s="9" t="inlineStr">
        <is>
          <t>STL</t>
        </is>
      </c>
      <c r="D1606" s="9" t="n">
        <v>25</v>
      </c>
      <c r="E1606" s="16" t="inlineStr">
        <is>
          <t>R</t>
        </is>
      </c>
      <c r="F1606" s="16" t="n"/>
      <c r="G1606" s="9" t="n">
        <v>52.30769230769232</v>
      </c>
      <c r="H1606" s="9" t="n">
        <v>52.30769230769232</v>
      </c>
      <c r="I1606" s="9" t="inlineStr">
        <is>
          <t>Depth (no MLB PA)</t>
        </is>
      </c>
      <c r="J1606" s="16" t="inlineStr">
        <is>
          <t>Opening Day</t>
        </is>
      </c>
      <c r="K1606" s="11">
        <f>IFERROR(INDEX(Roles!$B$17:$B$20,MATCH(J1606,Roles!$A$17:$A$20,0)),1)</f>
        <v/>
      </c>
      <c r="L1606" s="17" t="n">
        <v>1</v>
      </c>
      <c r="M1606" s="17" t="n"/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/>
      <c r="Y1606" s="13">
        <f>SUMPRODUCT(M1606:X1606,$M$2:$X$2)*$K1606*$L1606</f>
        <v/>
      </c>
      <c r="Z1606" s="14">
        <f>SUM(M1606:X1606)</f>
        <v/>
      </c>
      <c r="AA1606" s="14">
        <f>IFERROR(IF(UPPER($E1606)="L",SUMPRODUCT(M1606:X1606,$M$3:$X$3,$M$2:$X$2),SUMPRODUCT(M1606:X1606,$M$4:$X$4,$M$2:$X$2))/(Y1606/($K1606*$L1606)),"")</f>
        <v/>
      </c>
      <c r="AB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7" t="n"/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/>
      <c r="Y1607" s="13">
        <f>SUMPRODUCT(M1607:X1607,$M$2:$X$2)*$K1607*$L1607</f>
        <v/>
      </c>
      <c r="Z1607" s="14">
        <f>SUM(M1607:X1607)</f>
        <v/>
      </c>
      <c r="AA1607" s="14">
        <f>IFERROR(IF(UPPER($E1607)="L",SUMPRODUCT(M1607:X1607,$M$3:$X$3,$M$2:$X$2),SUMPRODUCT(M1607:X1607,$M$4:$X$4,$M$2:$X$2))/(Y1607/($K1607*$L1607)),"")</f>
        <v/>
      </c>
      <c r="AB1607" s="18" t="n"/>
    </row>
    <row r="1608">
      <c r="A1608" s="9" t="n">
        <v>815907</v>
      </c>
      <c r="B1608" s="9" t="inlineStr">
        <is>
          <t>Curley Martha</t>
        </is>
      </c>
      <c r="C1608" s="9" t="inlineStr">
        <is>
          <t>TEX</t>
        </is>
      </c>
      <c r="D1608" s="9" t="n">
        <v>25</v>
      </c>
      <c r="E1608" s="16" t="inlineStr">
        <is>
          <t>R</t>
        </is>
      </c>
      <c r="F1608" s="16" t="n"/>
      <c r="G1608" s="9" t="n">
        <v>22.03076923076923</v>
      </c>
      <c r="H1608" s="9" t="n">
        <v>22.03076923076923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7" t="n"/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/>
      <c r="Y1608" s="13">
        <f>SUMPRODUCT(M1608:X1608,$M$2:$X$2)*$K1608*$L1608</f>
        <v/>
      </c>
      <c r="Z1608" s="14">
        <f>SUM(M1608:X1608)</f>
        <v/>
      </c>
      <c r="AA1608" s="14">
        <f>IFERROR(IF(UPPER($E1608)="L",SUMPRODUCT(M1608:X1608,$M$3:$X$3,$M$2:$X$2),SUMPRODUCT(M1608:X1608,$M$4:$X$4,$M$2:$X$2))/(Y1608/($K1608*$L1608)),"")</f>
        <v/>
      </c>
      <c r="AB1608" s="18" t="n"/>
    </row>
    <row r="1609">
      <c r="A1609" s="9" t="n">
        <v>821237</v>
      </c>
      <c r="B1609" s="9" t="inlineStr">
        <is>
          <t>Kevin Garcia</t>
        </is>
      </c>
      <c r="C1609" s="9" t="inlineStr">
        <is>
          <t>MIL</t>
        </is>
      </c>
      <c r="D1609" s="9" t="n">
        <v>25</v>
      </c>
      <c r="E1609" s="16" t="inlineStr">
        <is>
          <t>R</t>
        </is>
      </c>
      <c r="F1609" s="16" t="n"/>
      <c r="G1609" s="9" t="n">
        <v>27.93846153846154</v>
      </c>
      <c r="H1609" s="9" t="n">
        <v>27.93846153846154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7" t="n"/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/>
      <c r="Y1609" s="13">
        <f>SUMPRODUCT(M1609:X1609,$M$2:$X$2)*$K1609*$L1609</f>
        <v/>
      </c>
      <c r="Z1609" s="14">
        <f>SUM(M1609:X1609)</f>
        <v/>
      </c>
      <c r="AA1609" s="14">
        <f>IFERROR(IF(UPPER($E1609)="L",SUMPRODUCT(M1609:X1609,$M$3:$X$3,$M$2:$X$2),SUMPRODUCT(M1609:X1609,$M$4:$X$4,$M$2:$X$2))/(Y1609/($K1609*$L1609)),"")</f>
        <v/>
      </c>
      <c r="AB1609" s="18" t="n"/>
    </row>
    <row r="1610">
      <c r="A1610" s="9" t="n">
        <v>809861</v>
      </c>
      <c r="B1610" s="9" t="inlineStr">
        <is>
          <t>Chase Meggers</t>
        </is>
      </c>
      <c r="C1610" s="9" t="inlineStr">
        <is>
          <t>NYM</t>
        </is>
      </c>
      <c r="D1610" s="9" t="n">
        <v>25</v>
      </c>
      <c r="E1610" s="16" t="inlineStr">
        <is>
          <t>L</t>
        </is>
      </c>
      <c r="F1610" s="16" t="n"/>
      <c r="G1610" s="9" t="n">
        <v>15.17948717948718</v>
      </c>
      <c r="H1610" s="9" t="n">
        <v>15.17948717948718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7" t="n"/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/>
      <c r="Y1610" s="13">
        <f>SUMPRODUCT(M1610:X1610,$M$2:$X$2)*$K1610*$L1610</f>
        <v/>
      </c>
      <c r="Z1610" s="14">
        <f>SUM(M1610:X1610)</f>
        <v/>
      </c>
      <c r="AA1610" s="14">
        <f>IFERROR(IF(UPPER($E1610)="L",SUMPRODUCT(M1610:X1610,$M$3:$X$3,$M$2:$X$2),SUMPRODUCT(M1610:X1610,$M$4:$X$4,$M$2:$X$2))/(Y1610/($K1610*$L1610)),"")</f>
        <v/>
      </c>
      <c r="AB1610" s="18" t="n"/>
    </row>
    <row r="1611">
      <c r="A1611" s="9" t="n">
        <v>827504</v>
      </c>
      <c r="B1611" s="9" t="inlineStr">
        <is>
          <t>Hector Salas</t>
        </is>
      </c>
      <c r="C1611" s="9" t="inlineStr">
        <is>
          <t>HOU</t>
        </is>
      </c>
      <c r="D1611" s="9" t="n">
        <v>25</v>
      </c>
      <c r="E1611" s="16" t="inlineStr">
        <is>
          <t>L</t>
        </is>
      </c>
      <c r="F1611" s="16" t="n"/>
      <c r="G1611" s="9" t="n">
        <v>24.05128205128205</v>
      </c>
      <c r="H1611" s="9" t="n">
        <v>24.05128205128205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7" t="n"/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/>
      <c r="Y1611" s="13">
        <f>SUMPRODUCT(M1611:X1611,$M$2:$X$2)*$K1611*$L1611</f>
        <v/>
      </c>
      <c r="Z1611" s="14">
        <f>SUM(M1611:X1611)</f>
        <v/>
      </c>
      <c r="AA1611" s="14">
        <f>IFERROR(IF(UPPER($E1611)="L",SUMPRODUCT(M1611:X1611,$M$3:$X$3,$M$2:$X$2),SUMPRODUCT(M1611:X1611,$M$4:$X$4,$M$2:$X$2))/(Y1611/($K1611*$L1611)),"")</f>
        <v/>
      </c>
      <c r="AB1611" s="18" t="n"/>
    </row>
    <row r="1612">
      <c r="A1612" s="9" t="n">
        <v>806152</v>
      </c>
      <c r="B1612" s="9" t="inlineStr">
        <is>
          <t>Walker Martin</t>
        </is>
      </c>
      <c r="C1612" s="9" t="inlineStr">
        <is>
          <t>SF</t>
        </is>
      </c>
      <c r="D1612" s="9" t="n">
        <v>25</v>
      </c>
      <c r="E1612" s="16" t="inlineStr">
        <is>
          <t>L</t>
        </is>
      </c>
      <c r="F1612" s="16" t="n"/>
      <c r="G1612" s="9" t="n">
        <v>90.46153846153848</v>
      </c>
      <c r="H1612" s="9" t="n">
        <v>90.46153846153848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7" t="n"/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/>
      <c r="Y1612" s="13">
        <f>SUMPRODUCT(M1612:X1612,$M$2:$X$2)*$K1612*$L1612</f>
        <v/>
      </c>
      <c r="Z1612" s="14">
        <f>SUM(M1612:X1612)</f>
        <v/>
      </c>
      <c r="AA1612" s="14">
        <f>IFERROR(IF(UPPER($E1612)="L",SUMPRODUCT(M1612:X1612,$M$3:$X$3,$M$2:$X$2),SUMPRODUCT(M1612:X1612,$M$4:$X$4,$M$2:$X$2))/(Y1612/($K1612*$L1612)),"")</f>
        <v/>
      </c>
      <c r="AB1612" s="18" t="n"/>
    </row>
    <row r="1613">
      <c r="A1613" s="9" t="n">
        <v>836173</v>
      </c>
      <c r="B1613" s="9" t="inlineStr">
        <is>
          <t>Conner Westenburg</t>
        </is>
      </c>
      <c r="C1613" s="9" t="inlineStr">
        <is>
          <t>SD</t>
        </is>
      </c>
      <c r="D1613" s="9" t="n">
        <v>25</v>
      </c>
      <c r="E1613" s="16" t="inlineStr">
        <is>
          <t>R</t>
        </is>
      </c>
      <c r="F1613" s="16" t="n"/>
      <c r="G1613" s="9" t="n">
        <v>14.97435897435898</v>
      </c>
      <c r="H1613" s="9" t="n">
        <v>14.97435897435898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7" t="n"/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/>
      <c r="Y1613" s="13">
        <f>SUMPRODUCT(M1613:X1613,$M$2:$X$2)*$K1613*$L1613</f>
        <v/>
      </c>
      <c r="Z1613" s="14">
        <f>SUM(M1613:X1613)</f>
        <v/>
      </c>
      <c r="AA1613" s="14">
        <f>IFERROR(IF(UPPER($E1613)="L",SUMPRODUCT(M1613:X1613,$M$3:$X$3,$M$2:$X$2),SUMPRODUCT(M1613:X1613,$M$4:$X$4,$M$2:$X$2))/(Y1613/($K1613*$L1613)),"")</f>
        <v/>
      </c>
      <c r="AB1613" s="18" t="n"/>
    </row>
    <row r="1614">
      <c r="A1614" s="9" t="n">
        <v>664247</v>
      </c>
      <c r="B1614" s="9" t="inlineStr">
        <is>
          <t>Kyle Garlick</t>
        </is>
      </c>
      <c r="C1614" s="9" t="inlineStr">
        <is>
          <t>MIN</t>
        </is>
      </c>
      <c r="D1614" s="9" t="n">
        <v>35</v>
      </c>
      <c r="E1614" s="16" t="inlineStr">
        <is>
          <t>R</t>
        </is>
      </c>
      <c r="F1614" s="16" t="n"/>
      <c r="G1614" s="9" t="n">
        <v>30</v>
      </c>
      <c r="H1614" s="9" t="n">
        <v>192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7" t="n"/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/>
      <c r="Y1614" s="13">
        <f>SUMPRODUCT(M1614:X1614,$M$2:$X$2)*$K1614*$L1614</f>
        <v/>
      </c>
      <c r="Z1614" s="14">
        <f>SUM(M1614:X1614)</f>
        <v/>
      </c>
      <c r="AA1614" s="14">
        <f>IFERROR(IF(UPPER($E1614)="L",SUMPRODUCT(M1614:X1614,$M$3:$X$3,$M$2:$X$2),SUMPRODUCT(M1614:X1614,$M$4:$X$4,$M$2:$X$2))/(Y1614/($K1614*$L1614)),"")</f>
        <v/>
      </c>
      <c r="AB1614" s="18" t="n"/>
    </row>
    <row r="1615">
      <c r="A1615" s="9" t="n">
        <v>808082</v>
      </c>
      <c r="B1615" s="9" t="inlineStr">
        <is>
          <t>Vladi Gomez</t>
        </is>
      </c>
      <c r="C1615" s="9" t="inlineStr">
        <is>
          <t>NYM</t>
        </is>
      </c>
      <c r="D1615" s="9" t="n">
        <v>25</v>
      </c>
      <c r="E1615" s="16" t="inlineStr">
        <is>
          <t>L</t>
        </is>
      </c>
      <c r="F1615" s="16" t="n"/>
      <c r="G1615" s="9" t="n">
        <v>15.26153846153846</v>
      </c>
      <c r="H1615" s="9" t="n">
        <v>15.26153846153846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7" t="n"/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/>
      <c r="Y1615" s="13">
        <f>SUMPRODUCT(M1615:X1615,$M$2:$X$2)*$K1615*$L1615</f>
        <v/>
      </c>
      <c r="Z1615" s="14">
        <f>SUM(M1615:X1615)</f>
        <v/>
      </c>
      <c r="AA1615" s="14">
        <f>IFERROR(IF(UPPER($E1615)="L",SUMPRODUCT(M1615:X1615,$M$3:$X$3,$M$2:$X$2),SUMPRODUCT(M1615:X1615,$M$4:$X$4,$M$2:$X$2))/(Y1615/($K1615*$L1615)),"")</f>
        <v/>
      </c>
      <c r="AB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7" t="n"/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/>
      <c r="Y1616" s="13">
        <f>SUMPRODUCT(M1616:X1616,$M$2:$X$2)*$K1616*$L1616</f>
        <v/>
      </c>
      <c r="Z1616" s="14">
        <f>SUM(M1616:X1616)</f>
        <v/>
      </c>
      <c r="AA1616" s="14">
        <f>IFERROR(IF(UPPER($E1616)="L",SUMPRODUCT(M1616:X1616,$M$3:$X$3,$M$2:$X$2),SUMPRODUCT(M1616:X1616,$M$4:$X$4,$M$2:$X$2))/(Y1616/($K1616*$L1616)),"")</f>
        <v/>
      </c>
      <c r="AB1616" s="18" t="n"/>
    </row>
    <row r="1617">
      <c r="A1617" s="9" t="n">
        <v>664029</v>
      </c>
      <c r="B1617" s="9" t="inlineStr">
        <is>
          <t>Mark Mathias</t>
        </is>
      </c>
      <c r="C1617" s="9" t="inlineStr">
        <is>
          <t>SF</t>
        </is>
      </c>
      <c r="D1617" s="9" t="n">
        <v>32</v>
      </c>
      <c r="E1617" s="16" t="inlineStr">
        <is>
          <t>R</t>
        </is>
      </c>
      <c r="F1617" s="16" t="n"/>
      <c r="G1617" s="9" t="n">
        <v>72</v>
      </c>
      <c r="H1617" s="9" t="n">
        <v>163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7" t="n"/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/>
      <c r="Y1617" s="13">
        <f>SUMPRODUCT(M1617:X1617,$M$2:$X$2)*$K1617*$L1617</f>
        <v/>
      </c>
      <c r="Z1617" s="14">
        <f>SUM(M1617:X1617)</f>
        <v/>
      </c>
      <c r="AA1617" s="14">
        <f>IFERROR(IF(UPPER($E1617)="L",SUMPRODUCT(M1617:X1617,$M$3:$X$3,$M$2:$X$2),SUMPRODUCT(M1617:X1617,$M$4:$X$4,$M$2:$X$2))/(Y1617/($K1617*$L1617)),"")</f>
        <v/>
      </c>
      <c r="AB1617" s="18" t="n"/>
    </row>
    <row r="1618">
      <c r="A1618" s="9" t="n">
        <v>656495</v>
      </c>
      <c r="B1618" s="9" t="inlineStr">
        <is>
          <t>Dalton Guthrie</t>
        </is>
      </c>
      <c r="C1618" s="9" t="inlineStr">
        <is>
          <t>PHI</t>
        </is>
      </c>
      <c r="D1618" s="9" t="n">
        <v>31</v>
      </c>
      <c r="E1618" s="16" t="inlineStr">
        <is>
          <t>R</t>
        </is>
      </c>
      <c r="F1618" s="16" t="n"/>
      <c r="G1618" s="9" t="n">
        <v>28</v>
      </c>
      <c r="H1618" s="9" t="n">
        <v>56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7" t="n"/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/>
      <c r="Y1618" s="13">
        <f>SUMPRODUCT(M1618:X1618,$M$2:$X$2)*$K1618*$L1618</f>
        <v/>
      </c>
      <c r="Z1618" s="14">
        <f>SUM(M1618:X1618)</f>
        <v/>
      </c>
      <c r="AA1618" s="14">
        <f>IFERROR(IF(UPPER($E1618)="L",SUMPRODUCT(M1618:X1618,$M$3:$X$3,$M$2:$X$2),SUMPRODUCT(M1618:X1618,$M$4:$X$4,$M$2:$X$2))/(Y1618/($K1618*$L1618)),"")</f>
        <v/>
      </c>
      <c r="AB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7" t="n"/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/>
      <c r="Y1619" s="13">
        <f>SUMPRODUCT(M1619:X1619,$M$2:$X$2)*$K1619*$L1619</f>
        <v/>
      </c>
      <c r="Z1619" s="14">
        <f>SUM(M1619:X1619)</f>
        <v/>
      </c>
      <c r="AA1619" s="14">
        <f>IFERROR(IF(UPPER($E1619)="L",SUMPRODUCT(M1619:X1619,$M$3:$X$3,$M$2:$X$2),SUMPRODUCT(M1619:X1619,$M$4:$X$4,$M$2:$X$2))/(Y1619/($K1619*$L1619)),"")</f>
        <v/>
      </c>
      <c r="AB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7" t="n"/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/>
      <c r="Y1620" s="13">
        <f>SUMPRODUCT(M1620:X1620,$M$2:$X$2)*$K1620*$L1620</f>
        <v/>
      </c>
      <c r="Z1620" s="14">
        <f>SUM(M1620:X1620)</f>
        <v/>
      </c>
      <c r="AA1620" s="14">
        <f>IFERROR(IF(UPPER($E1620)="L",SUMPRODUCT(M1620:X1620,$M$3:$X$3,$M$2:$X$2),SUMPRODUCT(M1620:X1620,$M$4:$X$4,$M$2:$X$2))/(Y1620/($K1620*$L1620)),"")</f>
        <v/>
      </c>
      <c r="AB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7" t="n"/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/>
      <c r="Y1621" s="13">
        <f>SUMPRODUCT(M1621:X1621,$M$2:$X$2)*$K1621*$L1621</f>
        <v/>
      </c>
      <c r="Z1621" s="14">
        <f>SUM(M1621:X1621)</f>
        <v/>
      </c>
      <c r="AA1621" s="14">
        <f>IFERROR(IF(UPPER($E1621)="L",SUMPRODUCT(M1621:X1621,$M$3:$X$3,$M$2:$X$2),SUMPRODUCT(M1621:X1621,$M$4:$X$4,$M$2:$X$2))/(Y1621/($K1621*$L1621)),"")</f>
        <v/>
      </c>
      <c r="AB1621" s="18" t="n"/>
    </row>
    <row r="1622">
      <c r="A1622" s="9" t="n">
        <v>800294</v>
      </c>
      <c r="B1622" s="9" t="inlineStr">
        <is>
          <t>Waner Luciano</t>
        </is>
      </c>
      <c r="C1622" s="9" t="inlineStr">
        <is>
          <t>HOU</t>
        </is>
      </c>
      <c r="D1622" s="9" t="n">
        <v>25</v>
      </c>
      <c r="E1622" s="16" t="inlineStr">
        <is>
          <t>R</t>
        </is>
      </c>
      <c r="F1622" s="16" t="n"/>
      <c r="G1622" s="9" t="n">
        <v>36.06153846153846</v>
      </c>
      <c r="H1622" s="9" t="n">
        <v>36.06153846153846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7" t="n"/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/>
      <c r="Y1622" s="13">
        <f>SUMPRODUCT(M1622:X1622,$M$2:$X$2)*$K1622*$L1622</f>
        <v/>
      </c>
      <c r="Z1622" s="14">
        <f>SUM(M1622:X1622)</f>
        <v/>
      </c>
      <c r="AA1622" s="14">
        <f>IFERROR(IF(UPPER($E1622)="L",SUMPRODUCT(M1622:X1622,$M$3:$X$3,$M$2:$X$2),SUMPRODUCT(M1622:X1622,$M$4:$X$4,$M$2:$X$2))/(Y1622/($K1622*$L1622)),"")</f>
        <v/>
      </c>
      <c r="AB1622" s="18" t="n"/>
    </row>
    <row r="1623">
      <c r="A1623" s="9" t="n">
        <v>694378</v>
      </c>
      <c r="B1623" s="9" t="inlineStr">
        <is>
          <t>Jacob Gonzalez</t>
        </is>
      </c>
      <c r="C1623" s="9" t="inlineStr">
        <is>
          <t>PIT</t>
        </is>
      </c>
      <c r="D1623" s="9" t="n">
        <v>25</v>
      </c>
      <c r="E1623" s="16" t="inlineStr">
        <is>
          <t>L</t>
        </is>
      </c>
      <c r="F1623" s="16" t="n"/>
      <c r="G1623" s="9" t="n">
        <v>227</v>
      </c>
      <c r="H1623" s="9" t="n">
        <v>227</v>
      </c>
      <c r="I1623" s="9" t="inlineStr">
        <is>
          <t>Bench Bat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7" t="n"/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/>
      <c r="Y1623" s="13">
        <f>SUMPRODUCT(M1623:X1623,$M$2:$X$2)*$K1623*$L1623</f>
        <v/>
      </c>
      <c r="Z1623" s="14">
        <f>SUM(M1623:X1623)</f>
        <v/>
      </c>
      <c r="AA1623" s="14">
        <f>IFERROR(IF(UPPER($E1623)="L",SUMPRODUCT(M1623:X1623,$M$3:$X$3,$M$2:$X$2),SUMPRODUCT(M1623:X1623,$M$4:$X$4,$M$2:$X$2))/(Y1623/($K1623*$L1623)),"")</f>
        <v/>
      </c>
      <c r="AB1623" s="18" t="n"/>
    </row>
    <row r="1624">
      <c r="A1624" s="9" t="n">
        <v>689052</v>
      </c>
      <c r="B1624" s="9" t="inlineStr">
        <is>
          <t>Jordan Williams</t>
        </is>
      </c>
      <c r="C1624" s="9" t="inlineStr">
        <is>
          <t>WSH</t>
        </is>
      </c>
      <c r="D1624" s="9" t="n">
        <v>25</v>
      </c>
      <c r="E1624" s="16" t="inlineStr">
        <is>
          <t>S</t>
        </is>
      </c>
      <c r="F1624" s="16" t="n"/>
      <c r="G1624" s="9" t="n">
        <v>35.44615384615385</v>
      </c>
      <c r="H1624" s="9" t="n">
        <v>35.44615384615385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7" t="n"/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/>
      <c r="Y1624" s="13">
        <f>SUMPRODUCT(M1624:X1624,$M$2:$X$2)*$K1624*$L1624</f>
        <v/>
      </c>
      <c r="Z1624" s="14">
        <f>SUM(M1624:X1624)</f>
        <v/>
      </c>
      <c r="AA1624" s="14">
        <f>IFERROR(IF(UPPER($E1624)="L",SUMPRODUCT(M1624:X1624,$M$3:$X$3,$M$2:$X$2),SUMPRODUCT(M1624:X1624,$M$4:$X$4,$M$2:$X$2))/(Y1624/($K1624*$L1624)),"")</f>
        <v/>
      </c>
      <c r="AB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n"/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7" t="n"/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/>
      <c r="W1625" s="17" t="n"/>
      <c r="X1625" s="17" t="n"/>
      <c r="Y1625" s="13">
        <f>SUMPRODUCT(M1625:X1625,$M$2:$X$2)*$K1625*$L1625</f>
        <v/>
      </c>
      <c r="Z1625" s="14">
        <f>SUM(M1625:X1625)</f>
        <v/>
      </c>
      <c r="AA1625" s="14">
        <f>IFERROR(IF(UPPER($E1625)="L",SUMPRODUCT(M1625:X1625,$M$3:$X$3,$M$2:$X$2),SUMPRODUCT(M1625:X1625,$M$4:$X$4,$M$2:$X$2))/(Y1625/($K1625*$L1625)),"")</f>
        <v/>
      </c>
      <c r="AB1625" s="18" t="n"/>
    </row>
    <row r="1626">
      <c r="A1626" s="9" t="n">
        <v>695527</v>
      </c>
      <c r="B1626" s="9" t="inlineStr">
        <is>
          <t>Ian Daugherty</t>
        </is>
      </c>
      <c r="C1626" s="9" t="inlineStr">
        <is>
          <t>MIN</t>
        </is>
      </c>
      <c r="D1626" s="9" t="n">
        <v>25</v>
      </c>
      <c r="E1626" s="16" t="inlineStr">
        <is>
          <t>R</t>
        </is>
      </c>
      <c r="F1626" s="16" t="n"/>
      <c r="G1626" s="9" t="n">
        <v>15.23076923076923</v>
      </c>
      <c r="H1626" s="9" t="n">
        <v>15.23076923076923</v>
      </c>
      <c r="I1626" s="9" t="inlineStr">
        <is>
          <t>Depth (no MLB PA)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7" t="n"/>
      <c r="N1626" s="17" t="n"/>
      <c r="O1626" s="17" t="n"/>
      <c r="P1626" s="17" t="n"/>
      <c r="Q1626" s="17" t="n"/>
      <c r="R1626" s="17" t="n"/>
      <c r="S1626" s="17" t="n"/>
      <c r="T1626" s="17" t="n"/>
      <c r="U1626" s="17" t="n"/>
      <c r="V1626" s="17" t="n"/>
      <c r="W1626" s="17" t="n"/>
      <c r="X1626" s="17" t="n"/>
      <c r="Y1626" s="13">
        <f>SUMPRODUCT(M1626:X1626,$M$2:$X$2)*$K1626*$L1626</f>
        <v/>
      </c>
      <c r="Z1626" s="14">
        <f>SUM(M1626:X1626)</f>
        <v/>
      </c>
      <c r="AA1626" s="14">
        <f>IFERROR(IF(UPPER($E1626)="L",SUMPRODUCT(M1626:X1626,$M$3:$X$3,$M$2:$X$2),SUMPRODUCT(M1626:X1626,$M$4:$X$4,$M$2:$X$2))/(Y1626/($K1626*$L1626)),"")</f>
        <v/>
      </c>
      <c r="AB1626" s="18" t="n"/>
    </row>
    <row r="1627">
      <c r="A1627" s="9" t="n">
        <v>681286</v>
      </c>
      <c r="B1627" s="9" t="inlineStr">
        <is>
          <t>JT Schwartz</t>
        </is>
      </c>
      <c r="C1627" s="9" t="inlineStr">
        <is>
          <t>NYM</t>
        </is>
      </c>
      <c r="D1627" s="9" t="n">
        <v>25</v>
      </c>
      <c r="E1627" s="16" t="inlineStr">
        <is>
          <t>L</t>
        </is>
      </c>
      <c r="F1627" s="16" t="n"/>
      <c r="G1627" s="9" t="n">
        <v>103.7435897435897</v>
      </c>
      <c r="H1627" s="9" t="n">
        <v>103.7435897435897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7" t="n"/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/>
      <c r="Y1627" s="13">
        <f>SUMPRODUCT(M1627:X1627,$M$2:$X$2)*$K1627*$L1627</f>
        <v/>
      </c>
      <c r="Z1627" s="14">
        <f>SUM(M1627:X1627)</f>
        <v/>
      </c>
      <c r="AA1627" s="14">
        <f>IFERROR(IF(UPPER($E1627)="L",SUMPRODUCT(M1627:X1627,$M$3:$X$3,$M$2:$X$2),SUMPRODUCT(M1627:X1627,$M$4:$X$4,$M$2:$X$2))/(Y1627/($K1627*$L1627)),"")</f>
        <v/>
      </c>
      <c r="AB1627" s="18" t="n"/>
    </row>
    <row r="1628">
      <c r="A1628" s="9" t="n">
        <v>702461</v>
      </c>
      <c r="B1628" s="9" t="inlineStr">
        <is>
          <t>Kay-Lan Nicasia</t>
        </is>
      </c>
      <c r="C1628" s="9" t="inlineStr">
        <is>
          <t>MIL</t>
        </is>
      </c>
      <c r="D1628" s="9" t="n">
        <v>25</v>
      </c>
      <c r="E1628" s="16" t="inlineStr">
        <is>
          <t>S</t>
        </is>
      </c>
      <c r="F1628" s="16" t="n"/>
      <c r="G1628" s="9" t="n">
        <v>15.07692307692308</v>
      </c>
      <c r="H1628" s="9" t="n">
        <v>15.07692307692308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7" t="n"/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/>
      <c r="Y1628" s="13">
        <f>SUMPRODUCT(M1628:X1628,$M$2:$X$2)*$K1628*$L1628</f>
        <v/>
      </c>
      <c r="Z1628" s="14">
        <f>SUM(M1628:X1628)</f>
        <v/>
      </c>
      <c r="AA1628" s="14">
        <f>IFERROR(IF(UPPER($E1628)="L",SUMPRODUCT(M1628:X1628,$M$3:$X$3,$M$2:$X$2),SUMPRODUCT(M1628:X1628,$M$4:$X$4,$M$2:$X$2))/(Y1628/($K1628*$L1628)),"")</f>
        <v/>
      </c>
      <c r="AB1628" s="18" t="n"/>
    </row>
    <row r="1629">
      <c r="A1629" s="9" t="n">
        <v>821759</v>
      </c>
      <c r="B1629" s="9" t="inlineStr">
        <is>
          <t>Johan Rodriguez</t>
        </is>
      </c>
      <c r="C1629" s="9" t="inlineStr">
        <is>
          <t>CLE</t>
        </is>
      </c>
      <c r="D1629" s="9" t="n">
        <v>25</v>
      </c>
      <c r="E1629" s="16" t="inlineStr">
        <is>
          <t>R</t>
        </is>
      </c>
      <c r="F1629" s="16" t="n"/>
      <c r="G1629" s="9" t="n">
        <v>24.86153846153847</v>
      </c>
      <c r="H1629" s="9" t="n">
        <v>24.86153846153847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7" t="n"/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/>
      <c r="Y1629" s="13">
        <f>SUMPRODUCT(M1629:X1629,$M$2:$X$2)*$K1629*$L1629</f>
        <v/>
      </c>
      <c r="Z1629" s="14">
        <f>SUM(M1629:X1629)</f>
        <v/>
      </c>
      <c r="AA1629" s="14">
        <f>IFERROR(IF(UPPER($E1629)="L",SUMPRODUCT(M1629:X1629,$M$3:$X$3,$M$2:$X$2),SUMPRODUCT(M1629:X1629,$M$4:$X$4,$M$2:$X$2))/(Y1629/($K1629*$L1629)),"")</f>
        <v/>
      </c>
      <c r="AB1629" s="18" t="n"/>
    </row>
    <row r="1630">
      <c r="A1630" s="9" t="n">
        <v>701800</v>
      </c>
      <c r="B1630" s="9" t="inlineStr">
        <is>
          <t>Carlos Linarez</t>
        </is>
      </c>
      <c r="C1630" s="9" t="inlineStr">
        <is>
          <t>STL</t>
        </is>
      </c>
      <c r="D1630" s="9" t="n">
        <v>25</v>
      </c>
      <c r="E1630" s="16" t="inlineStr">
        <is>
          <t>R</t>
        </is>
      </c>
      <c r="F1630" s="16" t="n"/>
      <c r="G1630" s="9" t="n">
        <v>15.43589743589743</v>
      </c>
      <c r="H1630" s="9" t="n">
        <v>15.43589743589743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7" t="n"/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/>
      <c r="Y1630" s="13">
        <f>SUMPRODUCT(M1630:X1630,$M$2:$X$2)*$K1630*$L1630</f>
        <v/>
      </c>
      <c r="Z1630" s="14">
        <f>SUM(M1630:X1630)</f>
        <v/>
      </c>
      <c r="AA1630" s="14">
        <f>IFERROR(IF(UPPER($E1630)="L",SUMPRODUCT(M1630:X1630,$M$3:$X$3,$M$2:$X$2),SUMPRODUCT(M1630:X1630,$M$4:$X$4,$M$2:$X$2))/(Y1630/($K1630*$L1630)),"")</f>
        <v/>
      </c>
      <c r="AB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7" t="n"/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/>
      <c r="Y1631" s="13">
        <f>SUMPRODUCT(M1631:X1631,$M$2:$X$2)*$K1631*$L1631</f>
        <v/>
      </c>
      <c r="Z1631" s="14">
        <f>SUM(M1631:X1631)</f>
        <v/>
      </c>
      <c r="AA1631" s="14">
        <f>IFERROR(IF(UPPER($E1631)="L",SUMPRODUCT(M1631:X1631,$M$3:$X$3,$M$2:$X$2),SUMPRODUCT(M1631:X1631,$M$4:$X$4,$M$2:$X$2))/(Y1631/($K1631*$L1631)),"")</f>
        <v/>
      </c>
      <c r="AB1631" s="18" t="n"/>
    </row>
    <row r="1632">
      <c r="A1632" s="9" t="n">
        <v>815653</v>
      </c>
      <c r="B1632" s="9" t="inlineStr">
        <is>
          <t>Tyson Lewis</t>
        </is>
      </c>
      <c r="C1632" s="9" t="inlineStr">
        <is>
          <t>CIN</t>
        </is>
      </c>
      <c r="D1632" s="9" t="n">
        <v>25</v>
      </c>
      <c r="E1632" s="16" t="inlineStr">
        <is>
          <t>L</t>
        </is>
      </c>
      <c r="F1632" s="16" t="n"/>
      <c r="G1632" s="9" t="n">
        <v>45.74358974358975</v>
      </c>
      <c r="H1632" s="9" t="n">
        <v>45.74358974358975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7" t="n"/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/>
      <c r="Y1632" s="13">
        <f>SUMPRODUCT(M1632:X1632,$M$2:$X$2)*$K1632*$L1632</f>
        <v/>
      </c>
      <c r="Z1632" s="14">
        <f>SUM(M1632:X1632)</f>
        <v/>
      </c>
      <c r="AA1632" s="14">
        <f>IFERROR(IF(UPPER($E1632)="L",SUMPRODUCT(M1632:X1632,$M$3:$X$3,$M$2:$X$2),SUMPRODUCT(M1632:X1632,$M$4:$X$4,$M$2:$X$2))/(Y1632/($K1632*$L1632)),"")</f>
        <v/>
      </c>
      <c r="AB1632" s="18" t="n"/>
    </row>
    <row r="1633">
      <c r="A1633" s="9" t="n">
        <v>596115</v>
      </c>
      <c r="B1633" s="9" t="inlineStr">
        <is>
          <t>Trevor Story</t>
        </is>
      </c>
      <c r="C1633" s="9" t="inlineStr">
        <is>
          <t>BOS</t>
        </is>
      </c>
      <c r="D1633" s="9" t="n">
        <v>34</v>
      </c>
      <c r="E1633" s="16" t="inlineStr">
        <is>
          <t>R</t>
        </is>
      </c>
      <c r="F1633" s="16" t="n"/>
      <c r="G1633" s="9" t="n">
        <v>266</v>
      </c>
      <c r="H1633" s="9" t="n">
        <v>1590</v>
      </c>
      <c r="I1633" s="9" t="inlineStr">
        <is>
          <t>Full Time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7" t="n"/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/>
      <c r="Y1633" s="13">
        <f>SUMPRODUCT(M1633:X1633,$M$2:$X$2)*$K1633*$L1633</f>
        <v/>
      </c>
      <c r="Z1633" s="14">
        <f>SUM(M1633:X1633)</f>
        <v/>
      </c>
      <c r="AA1633" s="14">
        <f>IFERROR(IF(UPPER($E1633)="L",SUMPRODUCT(M1633:X1633,$M$3:$X$3,$M$2:$X$2),SUMPRODUCT(M1633:X1633,$M$4:$X$4,$M$2:$X$2))/(Y1633/($K1633*$L1633)),"")</f>
        <v/>
      </c>
      <c r="AB1633" s="18" t="n"/>
    </row>
    <row r="1634">
      <c r="A1634" s="9" t="n">
        <v>800377</v>
      </c>
      <c r="B1634" s="9" t="inlineStr">
        <is>
          <t>Angel Mateo</t>
        </is>
      </c>
      <c r="C1634" s="9" t="inlineStr">
        <is>
          <t>TB</t>
        </is>
      </c>
      <c r="D1634" s="9" t="n">
        <v>25</v>
      </c>
      <c r="E1634" s="16" t="inlineStr">
        <is>
          <t>R</t>
        </is>
      </c>
      <c r="F1634" s="16" t="n"/>
      <c r="G1634" s="9" t="n">
        <v>24.41025641025641</v>
      </c>
      <c r="H1634" s="9" t="n">
        <v>24.41025641025641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7" t="n"/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/>
      <c r="Y1634" s="13">
        <f>SUMPRODUCT(M1634:X1634,$M$2:$X$2)*$K1634*$L1634</f>
        <v/>
      </c>
      <c r="Z1634" s="14">
        <f>SUM(M1634:X1634)</f>
        <v/>
      </c>
      <c r="AA1634" s="14">
        <f>IFERROR(IF(UPPER($E1634)="L",SUMPRODUCT(M1634:X1634,$M$3:$X$3,$M$2:$X$2),SUMPRODUCT(M1634:X1634,$M$4:$X$4,$M$2:$X$2))/(Y1634/($K1634*$L1634)),"")</f>
        <v/>
      </c>
      <c r="AB1634" s="18" t="n"/>
    </row>
    <row r="1635">
      <c r="A1635" s="9" t="n">
        <v>829033</v>
      </c>
      <c r="B1635" s="9" t="inlineStr">
        <is>
          <t>Elian Peña</t>
        </is>
      </c>
      <c r="C1635" s="9" t="inlineStr">
        <is>
          <t>NYM</t>
        </is>
      </c>
      <c r="D1635" s="9" t="n">
        <v>25</v>
      </c>
      <c r="E1635" s="16" t="inlineStr">
        <is>
          <t>L</t>
        </is>
      </c>
      <c r="F1635" s="16" t="n"/>
      <c r="G1635" s="9" t="n">
        <v>15.58974358974359</v>
      </c>
      <c r="H1635" s="9" t="n">
        <v>15.58974358974359</v>
      </c>
      <c r="I1635" s="9" t="inlineStr">
        <is>
          <t>Depth (no MLB PA)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7" t="n"/>
      <c r="N1635" s="17" t="n"/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3">
        <f>SUMPRODUCT(M1635:X1635,$M$2:$X$2)*$K1635*$L1635</f>
        <v/>
      </c>
      <c r="Z1635" s="14">
        <f>SUM(M1635:X1635)</f>
        <v/>
      </c>
      <c r="AA1635" s="14">
        <f>IFERROR(IF(UPPER($E1635)="L",SUMPRODUCT(M1635:X1635,$M$3:$X$3,$M$2:$X$2),SUMPRODUCT(M1635:X1635,$M$4:$X$4,$M$2:$X$2))/(Y1635/($K1635*$L1635)),"")</f>
        <v/>
      </c>
      <c r="AB1635" s="18" t="n"/>
    </row>
    <row r="1636">
      <c r="A1636" s="9" t="n">
        <v>690971</v>
      </c>
      <c r="B1636" s="9" t="inlineStr">
        <is>
          <t>Chase Davis</t>
        </is>
      </c>
      <c r="C1636" s="9" t="inlineStr">
        <is>
          <t>STL</t>
        </is>
      </c>
      <c r="D1636" s="9" t="n">
        <v>25</v>
      </c>
      <c r="E1636" s="16" t="inlineStr">
        <is>
          <t>L</t>
        </is>
      </c>
      <c r="F1636" s="16" t="n"/>
      <c r="G1636" s="9" t="n">
        <v>111.1282051282051</v>
      </c>
      <c r="H1636" s="9" t="n">
        <v>111.1282051282051</v>
      </c>
      <c r="I1636" s="9" t="inlineStr">
        <is>
          <t>Depth (no MLB PA)</t>
        </is>
      </c>
      <c r="J1636" s="16" t="inlineStr">
        <is>
          <t>Opening Day</t>
        </is>
      </c>
      <c r="K1636" s="11">
        <f>IFERROR(INDEX(Roles!$B$17:$B$20,MATCH(J1636,Roles!$A$17:$A$20,0)),1)</f>
        <v/>
      </c>
      <c r="L1636" s="17" t="n">
        <v>1</v>
      </c>
      <c r="M1636" s="17" t="n"/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/>
      <c r="Y1636" s="13">
        <f>SUMPRODUCT(M1636:X1636,$M$2:$X$2)*$K1636*$L1636</f>
        <v/>
      </c>
      <c r="Z1636" s="14">
        <f>SUM(M1636:X1636)</f>
        <v/>
      </c>
      <c r="AA1636" s="14">
        <f>IFERROR(IF(UPPER($E1636)="L",SUMPRODUCT(M1636:X1636,$M$3:$X$3,$M$2:$X$2),SUMPRODUCT(M1636:X1636,$M$4:$X$4,$M$2:$X$2))/(Y1636/($K1636*$L1636)),"")</f>
        <v/>
      </c>
      <c r="AB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7" t="n"/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/>
      <c r="Y1637" s="13">
        <f>SUMPRODUCT(M1637:X1637,$M$2:$X$2)*$K1637*$L1637</f>
        <v/>
      </c>
      <c r="Z1637" s="14">
        <f>SUM(M1637:X1637)</f>
        <v/>
      </c>
      <c r="AA1637" s="14">
        <f>IFERROR(IF(UPPER($E1637)="L",SUMPRODUCT(M1637:X1637,$M$3:$X$3,$M$2:$X$2),SUMPRODUCT(M1637:X1637,$M$4:$X$4,$M$2:$X$2))/(Y1637/($K1637*$L1637)),"")</f>
        <v/>
      </c>
      <c r="AB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7" t="n"/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/>
      <c r="Y1638" s="13">
        <f>SUMPRODUCT(M1638:X1638,$M$2:$X$2)*$K1638*$L1638</f>
        <v/>
      </c>
      <c r="Z1638" s="14">
        <f>SUM(M1638:X1638)</f>
        <v/>
      </c>
      <c r="AA1638" s="14">
        <f>IFERROR(IF(UPPER($E1638)="L",SUMPRODUCT(M1638:X1638,$M$3:$X$3,$M$2:$X$2),SUMPRODUCT(M1638:X1638,$M$4:$X$4,$M$2:$X$2))/(Y1638/($K1638*$L1638)),"")</f>
        <v/>
      </c>
      <c r="AB1638" s="18" t="n"/>
    </row>
    <row r="1639">
      <c r="A1639" s="9" t="n">
        <v>683353</v>
      </c>
      <c r="B1639" s="9" t="inlineStr">
        <is>
          <t>Connor Caskenette</t>
        </is>
      </c>
      <c r="C1639" s="9" t="inlineStr">
        <is>
          <t>MIA</t>
        </is>
      </c>
      <c r="D1639" s="9" t="n">
        <v>25</v>
      </c>
      <c r="E1639" s="16" t="inlineStr">
        <is>
          <t>R</t>
        </is>
      </c>
      <c r="F1639" s="16" t="n"/>
      <c r="G1639" s="9" t="n">
        <v>69.28205128205128</v>
      </c>
      <c r="H1639" s="9" t="n">
        <v>69.28205128205128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7" t="n"/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/>
      <c r="Y1639" s="13">
        <f>SUMPRODUCT(M1639:X1639,$M$2:$X$2)*$K1639*$L1639</f>
        <v/>
      </c>
      <c r="Z1639" s="14">
        <f>SUM(M1639:X1639)</f>
        <v/>
      </c>
      <c r="AA1639" s="14">
        <f>IFERROR(IF(UPPER($E1639)="L",SUMPRODUCT(M1639:X1639,$M$3:$X$3,$M$2:$X$2),SUMPRODUCT(M1639:X1639,$M$4:$X$4,$M$2:$X$2))/(Y1639/($K1639*$L1639)),"")</f>
        <v/>
      </c>
      <c r="AB1639" s="18" t="n"/>
    </row>
    <row r="1640">
      <c r="A1640" s="9" t="n">
        <v>695000</v>
      </c>
      <c r="B1640" s="9" t="inlineStr">
        <is>
          <t>Poncho Ruiz</t>
        </is>
      </c>
      <c r="C1640" s="9" t="inlineStr">
        <is>
          <t>MIN</t>
        </is>
      </c>
      <c r="D1640" s="9" t="n">
        <v>25</v>
      </c>
      <c r="E1640" s="16" t="inlineStr">
        <is>
          <t>R</t>
        </is>
      </c>
      <c r="F1640" s="16" t="n"/>
      <c r="G1640" s="9" t="n">
        <v>34.1025641025641</v>
      </c>
      <c r="H1640" s="9" t="n">
        <v>34.1025641025641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7" t="n"/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/>
      <c r="Y1640" s="13">
        <f>SUMPRODUCT(M1640:X1640,$M$2:$X$2)*$K1640*$L1640</f>
        <v/>
      </c>
      <c r="Z1640" s="14">
        <f>SUM(M1640:X1640)</f>
        <v/>
      </c>
      <c r="AA1640" s="14">
        <f>IFERROR(IF(UPPER($E1640)="L",SUMPRODUCT(M1640:X1640,$M$3:$X$3,$M$2:$X$2),SUMPRODUCT(M1640:X1640,$M$4:$X$4,$M$2:$X$2))/(Y1640/($K1640*$L1640)),"")</f>
        <v/>
      </c>
      <c r="AB1640" s="18" t="n"/>
    </row>
    <row r="1641">
      <c r="A1641" s="9" t="n">
        <v>800728</v>
      </c>
      <c r="B1641" s="9" t="inlineStr">
        <is>
          <t>Cameron Nickens</t>
        </is>
      </c>
      <c r="C1641" s="9" t="inlineStr">
        <is>
          <t>STL</t>
        </is>
      </c>
      <c r="D1641" s="9" t="n">
        <v>25</v>
      </c>
      <c r="E1641" s="16" t="inlineStr">
        <is>
          <t>R</t>
        </is>
      </c>
      <c r="F1641" s="16" t="n"/>
      <c r="G1641" s="9" t="n">
        <v>32.61538461538462</v>
      </c>
      <c r="H1641" s="9" t="n">
        <v>32.61538461538462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7" t="n"/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/>
      <c r="Y1641" s="13">
        <f>SUMPRODUCT(M1641:X1641,$M$2:$X$2)*$K1641*$L1641</f>
        <v/>
      </c>
      <c r="Z1641" s="14">
        <f>SUM(M1641:X1641)</f>
        <v/>
      </c>
      <c r="AA1641" s="14">
        <f>IFERROR(IF(UPPER($E1641)="L",SUMPRODUCT(M1641:X1641,$M$3:$X$3,$M$2:$X$2),SUMPRODUCT(M1641:X1641,$M$4:$X$4,$M$2:$X$2))/(Y1641/($K1641*$L1641)),"")</f>
        <v/>
      </c>
      <c r="AB1641" s="18" t="n"/>
    </row>
    <row r="1642">
      <c r="A1642" s="9" t="n">
        <v>829704</v>
      </c>
      <c r="B1642" s="9" t="inlineStr">
        <is>
          <t>Fredderick Ovalle</t>
        </is>
      </c>
      <c r="C1642" s="9" t="inlineStr">
        <is>
          <t>PIT</t>
        </is>
      </c>
      <c r="D1642" s="9" t="n">
        <v>25</v>
      </c>
      <c r="E1642" s="16" t="inlineStr">
        <is>
          <t>L</t>
        </is>
      </c>
      <c r="F1642" s="16" t="n"/>
      <c r="G1642" s="9" t="n">
        <v>18.58461538461538</v>
      </c>
      <c r="H1642" s="9" t="n">
        <v>18.58461538461538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7" t="n"/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/>
      <c r="Y1642" s="13">
        <f>SUMPRODUCT(M1642:X1642,$M$2:$X$2)*$K1642*$L1642</f>
        <v/>
      </c>
      <c r="Z1642" s="14">
        <f>SUM(M1642:X1642)</f>
        <v/>
      </c>
      <c r="AA1642" s="14">
        <f>IFERROR(IF(UPPER($E1642)="L",SUMPRODUCT(M1642:X1642,$M$3:$X$3,$M$2:$X$2),SUMPRODUCT(M1642:X1642,$M$4:$X$4,$M$2:$X$2))/(Y1642/($K1642*$L1642)),"")</f>
        <v/>
      </c>
      <c r="AB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7" t="n"/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/>
      <c r="Y1643" s="13">
        <f>SUMPRODUCT(M1643:X1643,$M$2:$X$2)*$K1643*$L1643</f>
        <v/>
      </c>
      <c r="Z1643" s="14">
        <f>SUM(M1643:X1643)</f>
        <v/>
      </c>
      <c r="AA1643" s="14">
        <f>IFERROR(IF(UPPER($E1643)="L",SUMPRODUCT(M1643:X1643,$M$3:$X$3,$M$2:$X$2),SUMPRODUCT(M1643:X1643,$M$4:$X$4,$M$2:$X$2))/(Y1643/($K1643*$L1643)),"")</f>
        <v/>
      </c>
      <c r="AB1643" s="18" t="n"/>
    </row>
    <row r="1644">
      <c r="A1644" s="9" t="n">
        <v>801194</v>
      </c>
      <c r="B1644" s="9" t="inlineStr">
        <is>
          <t>Max Anderson</t>
        </is>
      </c>
      <c r="C1644" s="9" t="inlineStr">
        <is>
          <t>DET</t>
        </is>
      </c>
      <c r="D1644" s="9" t="n">
        <v>25</v>
      </c>
      <c r="E1644" s="16" t="inlineStr">
        <is>
          <t>R</t>
        </is>
      </c>
      <c r="F1644" s="16" t="n"/>
      <c r="G1644" s="9" t="n">
        <v>265.1282051282051</v>
      </c>
      <c r="H1644" s="9" t="n">
        <v>265.1282051282051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7" t="n"/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/>
      <c r="Y1644" s="13">
        <f>SUMPRODUCT(M1644:X1644,$M$2:$X$2)*$K1644*$L1644</f>
        <v/>
      </c>
      <c r="Z1644" s="14">
        <f>SUM(M1644:X1644)</f>
        <v/>
      </c>
      <c r="AA1644" s="14">
        <f>IFERROR(IF(UPPER($E1644)="L",SUMPRODUCT(M1644:X1644,$M$3:$X$3,$M$2:$X$2),SUMPRODUCT(M1644:X1644,$M$4:$X$4,$M$2:$X$2))/(Y1644/($K1644*$L1644)),"")</f>
        <v/>
      </c>
      <c r="AB1644" s="18" t="n"/>
    </row>
    <row r="1645">
      <c r="A1645" s="9" t="n">
        <v>803426</v>
      </c>
      <c r="B1645" s="9" t="inlineStr">
        <is>
          <t>Carlos Cauro</t>
        </is>
      </c>
      <c r="C1645" s="9" t="inlineStr">
        <is>
          <t>HOU</t>
        </is>
      </c>
      <c r="D1645" s="9" t="n">
        <v>25</v>
      </c>
      <c r="E1645" s="16" t="inlineStr">
        <is>
          <t>R</t>
        </is>
      </c>
      <c r="F1645" s="16" t="n"/>
      <c r="G1645" s="9" t="n">
        <v>31.63076923076923</v>
      </c>
      <c r="H1645" s="9" t="n">
        <v>31.63076923076923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7" t="n"/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/>
      <c r="Y1645" s="13">
        <f>SUMPRODUCT(M1645:X1645,$M$2:$X$2)*$K1645*$L1645</f>
        <v/>
      </c>
      <c r="Z1645" s="14">
        <f>SUM(M1645:X1645)</f>
        <v/>
      </c>
      <c r="AA1645" s="14">
        <f>IFERROR(IF(UPPER($E1645)="L",SUMPRODUCT(M1645:X1645,$M$3:$X$3,$M$2:$X$2),SUMPRODUCT(M1645:X1645,$M$4:$X$4,$M$2:$X$2))/(Y1645/($K1645*$L1645)),"")</f>
        <v/>
      </c>
      <c r="AB1645" s="18" t="n"/>
    </row>
    <row r="1646">
      <c r="A1646" s="9" t="n">
        <v>803152</v>
      </c>
      <c r="B1646" s="9" t="inlineStr">
        <is>
          <t>Jake Reinisch</t>
        </is>
      </c>
      <c r="C1646" s="9" t="inlineStr">
        <is>
          <t>OAK</t>
        </is>
      </c>
      <c r="D1646" s="9" t="n">
        <v>25</v>
      </c>
      <c r="E1646" s="16" t="inlineStr">
        <is>
          <t>L</t>
        </is>
      </c>
      <c r="F1646" s="16" t="n"/>
      <c r="G1646" s="9" t="n">
        <v>41.64102564102564</v>
      </c>
      <c r="H1646" s="9" t="n">
        <v>41.64102564102564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7" t="n"/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/>
      <c r="Y1646" s="13">
        <f>SUMPRODUCT(M1646:X1646,$M$2:$X$2)*$K1646*$L1646</f>
        <v/>
      </c>
      <c r="Z1646" s="14">
        <f>SUM(M1646:X1646)</f>
        <v/>
      </c>
      <c r="AA1646" s="14">
        <f>IFERROR(IF(UPPER($E1646)="L",SUMPRODUCT(M1646:X1646,$M$3:$X$3,$M$2:$X$2),SUMPRODUCT(M1646:X1646,$M$4:$X$4,$M$2:$X$2))/(Y1646/($K1646*$L1646)),"")</f>
        <v/>
      </c>
      <c r="AB1646" s="18" t="n"/>
    </row>
    <row r="1647">
      <c r="A1647" s="9" t="n">
        <v>694206</v>
      </c>
      <c r="B1647" s="9" t="inlineStr">
        <is>
          <t>Daniel Guilarte</t>
        </is>
      </c>
      <c r="C1647" s="9" t="inlineStr">
        <is>
          <t>MIL</t>
        </is>
      </c>
      <c r="D1647" s="9" t="n">
        <v>25</v>
      </c>
      <c r="E1647" s="16" t="inlineStr">
        <is>
          <t>R</t>
        </is>
      </c>
      <c r="F1647" s="16" t="n"/>
      <c r="G1647" s="9" t="n">
        <v>15.7948717948718</v>
      </c>
      <c r="H1647" s="9" t="n">
        <v>15.7948717948718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7" t="n"/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/>
      <c r="Y1647" s="13">
        <f>SUMPRODUCT(M1647:X1647,$M$2:$X$2)*$K1647*$L1647</f>
        <v/>
      </c>
      <c r="Z1647" s="14">
        <f>SUM(M1647:X1647)</f>
        <v/>
      </c>
      <c r="AA1647" s="14">
        <f>IFERROR(IF(UPPER($E1647)="L",SUMPRODUCT(M1647:X1647,$M$3:$X$3,$M$2:$X$2),SUMPRODUCT(M1647:X1647,$M$4:$X$4,$M$2:$X$2))/(Y1647/($K1647*$L1647)),"")</f>
        <v/>
      </c>
      <c r="AB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7" t="n"/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/>
      <c r="Y1648" s="13">
        <f>SUMPRODUCT(M1648:X1648,$M$2:$X$2)*$K1648*$L1648</f>
        <v/>
      </c>
      <c r="Z1648" s="14">
        <f>SUM(M1648:X1648)</f>
        <v/>
      </c>
      <c r="AA1648" s="14">
        <f>IFERROR(IF(UPPER($E1648)="L",SUMPRODUCT(M1648:X1648,$M$3:$X$3,$M$2:$X$2),SUMPRODUCT(M1648:X1648,$M$4:$X$4,$M$2:$X$2))/(Y1648/($K1648*$L1648)),"")</f>
        <v/>
      </c>
      <c r="AB1648" s="18" t="n"/>
    </row>
    <row r="1649">
      <c r="A1649" s="9" t="n">
        <v>699077</v>
      </c>
      <c r="B1649" s="9" t="inlineStr">
        <is>
          <t>Jose Perez</t>
        </is>
      </c>
      <c r="C1649" s="9" t="inlineStr">
        <is>
          <t>TB</t>
        </is>
      </c>
      <c r="D1649" s="9" t="n">
        <v>25</v>
      </c>
      <c r="E1649" s="16" t="inlineStr">
        <is>
          <t>S</t>
        </is>
      </c>
      <c r="F1649" s="16" t="n"/>
      <c r="G1649" s="9" t="n">
        <v>16</v>
      </c>
      <c r="H1649" s="9" t="n">
        <v>16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7" t="n"/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/>
      <c r="Y1649" s="13">
        <f>SUMPRODUCT(M1649:X1649,$M$2:$X$2)*$K1649*$L1649</f>
        <v/>
      </c>
      <c r="Z1649" s="14">
        <f>SUM(M1649:X1649)</f>
        <v/>
      </c>
      <c r="AA1649" s="14">
        <f>IFERROR(IF(UPPER($E1649)="L",SUMPRODUCT(M1649:X1649,$M$3:$X$3,$M$2:$X$2),SUMPRODUCT(M1649:X1649,$M$4:$X$4,$M$2:$X$2))/(Y1649/($K1649*$L1649)),"")</f>
        <v/>
      </c>
      <c r="AB1649" s="18" t="n"/>
    </row>
    <row r="1650">
      <c r="A1650" s="9" t="n">
        <v>801442</v>
      </c>
      <c r="B1650" s="9" t="inlineStr">
        <is>
          <t>Jack Pineda</t>
        </is>
      </c>
      <c r="C1650" s="9" t="inlineStr">
        <is>
          <t>KC</t>
        </is>
      </c>
      <c r="D1650" s="9" t="n">
        <v>25</v>
      </c>
      <c r="E1650" s="16" t="inlineStr">
        <is>
          <t>L</t>
        </is>
      </c>
      <c r="F1650" s="16" t="n"/>
      <c r="G1650" s="9" t="n">
        <v>50.20512820512821</v>
      </c>
      <c r="H1650" s="9" t="n">
        <v>50.20512820512821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7" t="n"/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/>
      <c r="Y1650" s="13">
        <f>SUMPRODUCT(M1650:X1650,$M$2:$X$2)*$K1650*$L1650</f>
        <v/>
      </c>
      <c r="Z1650" s="14">
        <f>SUM(M1650:X1650)</f>
        <v/>
      </c>
      <c r="AA1650" s="14">
        <f>IFERROR(IF(UPPER($E1650)="L",SUMPRODUCT(M1650:X1650,$M$3:$X$3,$M$2:$X$2),SUMPRODUCT(M1650:X1650,$M$4:$X$4,$M$2:$X$2))/(Y1650/($K1650*$L1650)),"")</f>
        <v/>
      </c>
      <c r="AB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7" t="n"/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/>
      <c r="Y1651" s="13">
        <f>SUMPRODUCT(M1651:X1651,$M$2:$X$2)*$K1651*$L1651</f>
        <v/>
      </c>
      <c r="Z1651" s="14">
        <f>SUM(M1651:X1651)</f>
        <v/>
      </c>
      <c r="AA1651" s="14">
        <f>IFERROR(IF(UPPER($E1651)="L",SUMPRODUCT(M1651:X1651,$M$3:$X$3,$M$2:$X$2),SUMPRODUCT(M1651:X1651,$M$4:$X$4,$M$2:$X$2))/(Y1651/($K1651*$L1651)),"")</f>
        <v/>
      </c>
      <c r="AB1651" s="18" t="n"/>
    </row>
    <row r="1652">
      <c r="A1652" s="9" t="n">
        <v>832213</v>
      </c>
      <c r="B1652" s="9" t="inlineStr">
        <is>
          <t>Derek Cerda</t>
        </is>
      </c>
      <c r="C1652" s="9" t="inlineStr">
        <is>
          <t>CWS</t>
        </is>
      </c>
      <c r="D1652" s="9" t="n">
        <v>25</v>
      </c>
      <c r="E1652" s="16" t="inlineStr">
        <is>
          <t>R</t>
        </is>
      </c>
      <c r="F1652" s="16" t="n"/>
      <c r="G1652" s="9" t="n">
        <v>20.92307692307692</v>
      </c>
      <c r="H1652" s="9" t="n">
        <v>20.92307692307692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7" t="n"/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/>
      <c r="Y1652" s="13">
        <f>SUMPRODUCT(M1652:X1652,$M$2:$X$2)*$K1652*$L1652</f>
        <v/>
      </c>
      <c r="Z1652" s="14">
        <f>SUM(M1652:X1652)</f>
        <v/>
      </c>
      <c r="AA1652" s="14">
        <f>IFERROR(IF(UPPER($E1652)="L",SUMPRODUCT(M1652:X1652,$M$3:$X$3,$M$2:$X$2),SUMPRODUCT(M1652:X1652,$M$4:$X$4,$M$2:$X$2))/(Y1652/($K1652*$L1652)),"")</f>
        <v/>
      </c>
      <c r="AB1652" s="18" t="n"/>
    </row>
    <row r="1653">
      <c r="A1653" s="9" t="n">
        <v>808237</v>
      </c>
      <c r="B1653" s="9" t="inlineStr">
        <is>
          <t>Yirer Garcia</t>
        </is>
      </c>
      <c r="C1653" s="9" t="inlineStr">
        <is>
          <t>TB</t>
        </is>
      </c>
      <c r="D1653" s="9" t="n">
        <v>25</v>
      </c>
      <c r="E1653" s="16" t="inlineStr">
        <is>
          <t>R</t>
        </is>
      </c>
      <c r="F1653" s="16" t="n"/>
      <c r="G1653" s="9" t="n">
        <v>16.73846153846154</v>
      </c>
      <c r="H1653" s="9" t="n">
        <v>16.73846153846154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7" t="n"/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/>
      <c r="Y1653" s="13">
        <f>SUMPRODUCT(M1653:X1653,$M$2:$X$2)*$K1653*$L1653</f>
        <v/>
      </c>
      <c r="Z1653" s="14">
        <f>SUM(M1653:X1653)</f>
        <v/>
      </c>
      <c r="AA1653" s="14">
        <f>IFERROR(IF(UPPER($E1653)="L",SUMPRODUCT(M1653:X1653,$M$3:$X$3,$M$2:$X$2),SUMPRODUCT(M1653:X1653,$M$4:$X$4,$M$2:$X$2))/(Y1653/($K1653*$L1653)),"")</f>
        <v/>
      </c>
      <c r="AB1653" s="18" t="n"/>
    </row>
    <row r="1654">
      <c r="A1654" s="9" t="n">
        <v>691941</v>
      </c>
      <c r="B1654" s="9" t="inlineStr">
        <is>
          <t>Calvin Harris</t>
        </is>
      </c>
      <c r="C1654" s="9" t="inlineStr">
        <is>
          <t>CWS</t>
        </is>
      </c>
      <c r="D1654" s="9" t="n">
        <v>25</v>
      </c>
      <c r="E1654" s="16" t="inlineStr">
        <is>
          <t>L</t>
        </is>
      </c>
      <c r="F1654" s="16" t="n"/>
      <c r="G1654" s="9" t="n">
        <v>52.41025641025641</v>
      </c>
      <c r="H1654" s="9" t="n">
        <v>52.41025641025641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7" t="n"/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/>
      <c r="Y1654" s="13">
        <f>SUMPRODUCT(M1654:X1654,$M$2:$X$2)*$K1654*$L1654</f>
        <v/>
      </c>
      <c r="Z1654" s="14">
        <f>SUM(M1654:X1654)</f>
        <v/>
      </c>
      <c r="AA1654" s="14">
        <f>IFERROR(IF(UPPER($E1654)="L",SUMPRODUCT(M1654:X1654,$M$3:$X$3,$M$2:$X$2),SUMPRODUCT(M1654:X1654,$M$4:$X$4,$M$2:$X$2))/(Y1654/($K1654*$L1654)),"")</f>
        <v/>
      </c>
      <c r="AB1654" s="18" t="n"/>
    </row>
    <row r="1655">
      <c r="A1655" s="9" t="n">
        <v>802082</v>
      </c>
      <c r="B1655" s="9" t="inlineStr">
        <is>
          <t>Julio Henriquez</t>
        </is>
      </c>
      <c r="C1655" s="9" t="inlineStr">
        <is>
          <t>MIA</t>
        </is>
      </c>
      <c r="D1655" s="9" t="n">
        <v>25</v>
      </c>
      <c r="E1655" s="16" t="inlineStr">
        <is>
          <t>R</t>
        </is>
      </c>
      <c r="F1655" s="16" t="n"/>
      <c r="G1655" s="9" t="n">
        <v>18.46153846153846</v>
      </c>
      <c r="H1655" s="9" t="n">
        <v>18.46153846153846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7" t="n"/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/>
      <c r="Y1655" s="13">
        <f>SUMPRODUCT(M1655:X1655,$M$2:$X$2)*$K1655*$L1655</f>
        <v/>
      </c>
      <c r="Z1655" s="14">
        <f>SUM(M1655:X1655)</f>
        <v/>
      </c>
      <c r="AA1655" s="14">
        <f>IFERROR(IF(UPPER($E1655)="L",SUMPRODUCT(M1655:X1655,$M$3:$X$3,$M$2:$X$2),SUMPRODUCT(M1655:X1655,$M$4:$X$4,$M$2:$X$2))/(Y1655/($K1655*$L1655)),"")</f>
        <v/>
      </c>
      <c r="AB1655" s="18" t="n"/>
    </row>
    <row r="1656">
      <c r="A1656" s="9" t="n">
        <v>806921</v>
      </c>
      <c r="B1656" s="9" t="inlineStr">
        <is>
          <t>Yannic Walther</t>
        </is>
      </c>
      <c r="C1656" s="9" t="inlineStr">
        <is>
          <t>MIL</t>
        </is>
      </c>
      <c r="D1656" s="9" t="n">
        <v>25</v>
      </c>
      <c r="E1656" s="16" t="inlineStr">
        <is>
          <t>R</t>
        </is>
      </c>
      <c r="F1656" s="16" t="n"/>
      <c r="G1656" s="9" t="n">
        <v>24.2051282051282</v>
      </c>
      <c r="H1656" s="9" t="n">
        <v>24.2051282051282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7" t="n"/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/>
      <c r="Y1656" s="13">
        <f>SUMPRODUCT(M1656:X1656,$M$2:$X$2)*$K1656*$L1656</f>
        <v/>
      </c>
      <c r="Z1656" s="14">
        <f>SUM(M1656:X1656)</f>
        <v/>
      </c>
      <c r="AA1656" s="14">
        <f>IFERROR(IF(UPPER($E1656)="L",SUMPRODUCT(M1656:X1656,$M$3:$X$3,$M$2:$X$2),SUMPRODUCT(M1656:X1656,$M$4:$X$4,$M$2:$X$2))/(Y1656/($K1656*$L1656)),"")</f>
        <v/>
      </c>
      <c r="AB1656" s="18" t="n"/>
    </row>
    <row r="1657">
      <c r="A1657" s="9" t="n">
        <v>834846</v>
      </c>
      <c r="B1657" s="9" t="inlineStr">
        <is>
          <t>Caden Merritt</t>
        </is>
      </c>
      <c r="C1657" s="9" t="inlineStr">
        <is>
          <t>ATL</t>
        </is>
      </c>
      <c r="D1657" s="9" t="n">
        <v>25</v>
      </c>
      <c r="E1657" s="16" t="inlineStr">
        <is>
          <t>R</t>
        </is>
      </c>
      <c r="F1657" s="16" t="n"/>
      <c r="G1657" s="9" t="n">
        <v>22.27692307692308</v>
      </c>
      <c r="H1657" s="9" t="n">
        <v>22.27692307692308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7" t="n"/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/>
      <c r="Y1657" s="13">
        <f>SUMPRODUCT(M1657:X1657,$M$2:$X$2)*$K1657*$L1657</f>
        <v/>
      </c>
      <c r="Z1657" s="14">
        <f>SUM(M1657:X1657)</f>
        <v/>
      </c>
      <c r="AA1657" s="14">
        <f>IFERROR(IF(UPPER($E1657)="L",SUMPRODUCT(M1657:X1657,$M$3:$X$3,$M$2:$X$2),SUMPRODUCT(M1657:X1657,$M$4:$X$4,$M$2:$X$2))/(Y1657/($K1657*$L1657)),"")</f>
        <v/>
      </c>
      <c r="AB1657" s="18" t="n"/>
    </row>
    <row r="1658">
      <c r="A1658" s="9" t="n">
        <v>821380</v>
      </c>
      <c r="B1658" s="9" t="inlineStr">
        <is>
          <t>Pedro Blanco</t>
        </is>
      </c>
      <c r="C1658" s="9" t="inlineStr">
        <is>
          <t>ARI</t>
        </is>
      </c>
      <c r="D1658" s="9" t="n">
        <v>25</v>
      </c>
      <c r="E1658" s="16" t="inlineStr">
        <is>
          <t>L</t>
        </is>
      </c>
      <c r="F1658" s="16" t="n"/>
      <c r="G1658" s="9" t="n">
        <v>54.52307692307692</v>
      </c>
      <c r="H1658" s="9" t="n">
        <v>54.52307692307692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7" t="n"/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/>
      <c r="Y1658" s="13">
        <f>SUMPRODUCT(M1658:X1658,$M$2:$X$2)*$K1658*$L1658</f>
        <v/>
      </c>
      <c r="Z1658" s="14">
        <f>SUM(M1658:X1658)</f>
        <v/>
      </c>
      <c r="AA1658" s="14">
        <f>IFERROR(IF(UPPER($E1658)="L",SUMPRODUCT(M1658:X1658,$M$3:$X$3,$M$2:$X$2),SUMPRODUCT(M1658:X1658,$M$4:$X$4,$M$2:$X$2))/(Y1658/($K1658*$L1658)),"")</f>
        <v/>
      </c>
      <c r="AB1658" s="18" t="n"/>
    </row>
    <row r="1659">
      <c r="A1659" s="9" t="n">
        <v>703188</v>
      </c>
      <c r="B1659" s="9" t="inlineStr">
        <is>
          <t>Anthuan Valencia</t>
        </is>
      </c>
      <c r="C1659" s="9" t="inlineStr">
        <is>
          <t>CIN</t>
        </is>
      </c>
      <c r="D1659" s="9" t="n">
        <v>25</v>
      </c>
      <c r="E1659" s="16" t="inlineStr">
        <is>
          <t>R</t>
        </is>
      </c>
      <c r="F1659" s="16" t="n"/>
      <c r="G1659" s="9" t="n">
        <v>16</v>
      </c>
      <c r="H1659" s="9" t="n">
        <v>16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7" t="n"/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/>
      <c r="Y1659" s="13">
        <f>SUMPRODUCT(M1659:X1659,$M$2:$X$2)*$K1659*$L1659</f>
        <v/>
      </c>
      <c r="Z1659" s="14">
        <f>SUM(M1659:X1659)</f>
        <v/>
      </c>
      <c r="AA1659" s="14">
        <f>IFERROR(IF(UPPER($E1659)="L",SUMPRODUCT(M1659:X1659,$M$3:$X$3,$M$2:$X$2),SUMPRODUCT(M1659:X1659,$M$4:$X$4,$M$2:$X$2))/(Y1659/($K1659*$L1659)),"")</f>
        <v/>
      </c>
      <c r="AB1659" s="18" t="n"/>
    </row>
    <row r="1660">
      <c r="A1660" s="9" t="n">
        <v>804446</v>
      </c>
      <c r="B1660" s="9" t="inlineStr">
        <is>
          <t>Eddie Micheletti Jr.</t>
        </is>
      </c>
      <c r="C1660" s="9" t="inlineStr">
        <is>
          <t>LAA</t>
        </is>
      </c>
      <c r="D1660" s="9" t="n">
        <v>25</v>
      </c>
      <c r="E1660" s="16" t="inlineStr">
        <is>
          <t>L</t>
        </is>
      </c>
      <c r="F1660" s="16" t="n"/>
      <c r="G1660" s="9" t="n">
        <v>179.8461538461538</v>
      </c>
      <c r="H1660" s="9" t="n">
        <v>179.8461538461538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7" t="n"/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/>
      <c r="Y1660" s="13">
        <f>SUMPRODUCT(M1660:X1660,$M$2:$X$2)*$K1660*$L1660</f>
        <v/>
      </c>
      <c r="Z1660" s="14">
        <f>SUM(M1660:X1660)</f>
        <v/>
      </c>
      <c r="AA1660" s="14">
        <f>IFERROR(IF(UPPER($E1660)="L",SUMPRODUCT(M1660:X1660,$M$3:$X$3,$M$2:$X$2),SUMPRODUCT(M1660:X1660,$M$4:$X$4,$M$2:$X$2))/(Y1660/($K1660*$L1660)),"")</f>
        <v/>
      </c>
      <c r="AB1660" s="18" t="n"/>
    </row>
    <row r="1661">
      <c r="A1661" s="9" t="n">
        <v>605170</v>
      </c>
      <c r="B1661" s="9" t="inlineStr">
        <is>
          <t>Victor Caratini</t>
        </is>
      </c>
      <c r="C1661" s="9" t="inlineStr">
        <is>
          <t>MIN</t>
        </is>
      </c>
      <c r="D1661" s="9" t="n">
        <v>33</v>
      </c>
      <c r="E1661" s="16" t="inlineStr">
        <is>
          <t>S</t>
        </is>
      </c>
      <c r="F1661" s="16" t="n"/>
      <c r="G1661" s="9" t="n">
        <v>382</v>
      </c>
      <c r="H1661" s="9" t="n">
        <v>1582</v>
      </c>
      <c r="I1661" s="9" t="inlineStr">
        <is>
          <t>Utility OF / 4th OF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7" t="n"/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/>
      <c r="Y1661" s="13">
        <f>SUMPRODUCT(M1661:X1661,$M$2:$X$2)*$K1661*$L1661</f>
        <v/>
      </c>
      <c r="Z1661" s="14">
        <f>SUM(M1661:X1661)</f>
        <v/>
      </c>
      <c r="AA1661" s="14">
        <f>IFERROR(IF(UPPER($E1661)="L",SUMPRODUCT(M1661:X1661,$M$3:$X$3,$M$2:$X$2),SUMPRODUCT(M1661:X1661,$M$4:$X$4,$M$2:$X$2))/(Y1661/($K1661*$L1661)),"")</f>
        <v/>
      </c>
      <c r="AB1661" s="18" t="n"/>
    </row>
    <row r="1662">
      <c r="A1662" s="9" t="n">
        <v>833381</v>
      </c>
      <c r="B1662" s="9" t="inlineStr">
        <is>
          <t>Jack Moroknek</t>
        </is>
      </c>
      <c r="C1662" s="9" t="inlineStr">
        <is>
          <t>WSH</t>
        </is>
      </c>
      <c r="D1662" s="9" t="n">
        <v>25</v>
      </c>
      <c r="E1662" s="16" t="inlineStr">
        <is>
          <t>L</t>
        </is>
      </c>
      <c r="F1662" s="16" t="n"/>
      <c r="G1662" s="9" t="n">
        <v>32.82051282051282</v>
      </c>
      <c r="H1662" s="9" t="n">
        <v>32.82051282051282</v>
      </c>
      <c r="I1662" s="9" t="inlineStr">
        <is>
          <t>Depth (no MLB PA)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7" t="n"/>
      <c r="N1662" s="17" t="n"/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3">
        <f>SUMPRODUCT(M1662:X1662,$M$2:$X$2)*$K1662*$L1662</f>
        <v/>
      </c>
      <c r="Z1662" s="14">
        <f>SUM(M1662:X1662)</f>
        <v/>
      </c>
      <c r="AA1662" s="14">
        <f>IFERROR(IF(UPPER($E1662)="L",SUMPRODUCT(M1662:X1662,$M$3:$X$3,$M$2:$X$2),SUMPRODUCT(M1662:X1662,$M$4:$X$4,$M$2:$X$2))/(Y1662/($K1662*$L1662)),"")</f>
        <v/>
      </c>
      <c r="AB1662" s="18" t="n"/>
    </row>
    <row r="1663">
      <c r="A1663" s="9" t="n">
        <v>695573</v>
      </c>
      <c r="B1663" s="9" t="inlineStr">
        <is>
          <t>Cole Mathis</t>
        </is>
      </c>
      <c r="C1663" s="9" t="inlineStr">
        <is>
          <t>NYM</t>
        </is>
      </c>
      <c r="D1663" s="9" t="n">
        <v>25</v>
      </c>
      <c r="E1663" s="16" t="inlineStr">
        <is>
          <t>R</t>
        </is>
      </c>
      <c r="F1663" s="16" t="n"/>
      <c r="G1663" s="9" t="n">
        <v>29.33333333333333</v>
      </c>
      <c r="H1663" s="9" t="n">
        <v>29.33333333333333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7" t="n"/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/>
      <c r="Y1663" s="13">
        <f>SUMPRODUCT(M1663:X1663,$M$2:$X$2)*$K1663*$L1663</f>
        <v/>
      </c>
      <c r="Z1663" s="14">
        <f>SUM(M1663:X1663)</f>
        <v/>
      </c>
      <c r="AA1663" s="14">
        <f>IFERROR(IF(UPPER($E1663)="L",SUMPRODUCT(M1663:X1663,$M$3:$X$3,$M$2:$X$2),SUMPRODUCT(M1663:X1663,$M$4:$X$4,$M$2:$X$2))/(Y1663/($K1663*$L1663)),"")</f>
        <v/>
      </c>
      <c r="AB1663" s="18" t="n"/>
    </row>
    <row r="1664">
      <c r="A1664" s="9" t="n">
        <v>801523</v>
      </c>
      <c r="B1664" s="9" t="inlineStr">
        <is>
          <t>Chris Suero</t>
        </is>
      </c>
      <c r="C1664" s="9" t="inlineStr">
        <is>
          <t>NYM</t>
        </is>
      </c>
      <c r="D1664" s="9" t="n">
        <v>25</v>
      </c>
      <c r="E1664" s="16" t="inlineStr">
        <is>
          <t>R</t>
        </is>
      </c>
      <c r="F1664" s="16" t="n"/>
      <c r="G1664" s="9" t="n">
        <v>173.3846153846154</v>
      </c>
      <c r="H1664" s="9" t="n">
        <v>173.3846153846154</v>
      </c>
      <c r="I1664" s="9" t="inlineStr">
        <is>
          <t>Depth (no MLB PA)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7" t="n"/>
      <c r="N1664" s="17" t="n"/>
      <c r="O1664" s="17" t="n"/>
      <c r="P1664" s="17" t="n"/>
      <c r="Q1664" s="17" t="n"/>
      <c r="R1664" s="17" t="n"/>
      <c r="S1664" s="17" t="n"/>
      <c r="T1664" s="17" t="n"/>
      <c r="U1664" s="17" t="n"/>
      <c r="V1664" s="17" t="n"/>
      <c r="W1664" s="17" t="n"/>
      <c r="X1664" s="17" t="n"/>
      <c r="Y1664" s="13">
        <f>SUMPRODUCT(M1664:X1664,$M$2:$X$2)*$K1664*$L1664</f>
        <v/>
      </c>
      <c r="Z1664" s="14">
        <f>SUM(M1664:X1664)</f>
        <v/>
      </c>
      <c r="AA1664" s="14">
        <f>IFERROR(IF(UPPER($E1664)="L",SUMPRODUCT(M1664:X1664,$M$3:$X$3,$M$2:$X$2),SUMPRODUCT(M1664:X1664,$M$4:$X$4,$M$2:$X$2))/(Y1664/($K1664*$L1664)),"")</f>
        <v/>
      </c>
      <c r="AB1664" s="18" t="n"/>
    </row>
    <row r="1665">
      <c r="A1665" s="9" t="n">
        <v>801686</v>
      </c>
      <c r="B1665" s="9" t="inlineStr">
        <is>
          <t>Michael Carico</t>
        </is>
      </c>
      <c r="C1665" s="9" t="inlineStr">
        <is>
          <t>CHC</t>
        </is>
      </c>
      <c r="D1665" s="9" t="n">
        <v>25</v>
      </c>
      <c r="E1665" s="16" t="inlineStr">
        <is>
          <t>L</t>
        </is>
      </c>
      <c r="F1665" s="16" t="n"/>
      <c r="G1665" s="9" t="n">
        <v>20.10256410256411</v>
      </c>
      <c r="H1665" s="9" t="n">
        <v>20.10256410256411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7" t="n"/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/>
      <c r="Y1665" s="13">
        <f>SUMPRODUCT(M1665:X1665,$M$2:$X$2)*$K1665*$L1665</f>
        <v/>
      </c>
      <c r="Z1665" s="14">
        <f>SUM(M1665:X1665)</f>
        <v/>
      </c>
      <c r="AA1665" s="14">
        <f>IFERROR(IF(UPPER($E1665)="L",SUMPRODUCT(M1665:X1665,$M$3:$X$3,$M$2:$X$2),SUMPRODUCT(M1665:X1665,$M$4:$X$4,$M$2:$X$2))/(Y1665/($K1665*$L1665)),"")</f>
        <v/>
      </c>
      <c r="AB1665" s="18" t="n"/>
    </row>
    <row r="1666">
      <c r="A1666" s="9" t="n">
        <v>805301</v>
      </c>
      <c r="B1666" s="9" t="inlineStr">
        <is>
          <t>Jordan Dissin</t>
        </is>
      </c>
      <c r="C1666" s="9" t="inlineStr">
        <is>
          <t>PHI</t>
        </is>
      </c>
      <c r="D1666" s="9" t="n">
        <v>25</v>
      </c>
      <c r="E1666" s="16" t="inlineStr">
        <is>
          <t>R</t>
        </is>
      </c>
      <c r="F1666" s="16" t="n"/>
      <c r="G1666" s="9" t="n">
        <v>16.92307692307692</v>
      </c>
      <c r="H1666" s="9" t="n">
        <v>16.92307692307692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7" t="n"/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/>
      <c r="Y1666" s="13">
        <f>SUMPRODUCT(M1666:X1666,$M$2:$X$2)*$K1666*$L1666</f>
        <v/>
      </c>
      <c r="Z1666" s="14">
        <f>SUM(M1666:X1666)</f>
        <v/>
      </c>
      <c r="AA1666" s="14">
        <f>IFERROR(IF(UPPER($E1666)="L",SUMPRODUCT(M1666:X1666,$M$3:$X$3,$M$2:$X$2),SUMPRODUCT(M1666:X1666,$M$4:$X$4,$M$2:$X$2))/(Y1666/($K1666*$L1666)),"")</f>
        <v/>
      </c>
      <c r="AB1666" s="18" t="n"/>
    </row>
    <row r="1667">
      <c r="A1667" s="9" t="n">
        <v>663853</v>
      </c>
      <c r="B1667" s="9" t="inlineStr">
        <is>
          <t>Romy Gonzalez</t>
        </is>
      </c>
      <c r="C1667" s="9" t="inlineStr">
        <is>
          <t>BOS</t>
        </is>
      </c>
      <c r="D1667" s="9" t="n">
        <v>30</v>
      </c>
      <c r="E1667" s="16" t="inlineStr">
        <is>
          <t>R</t>
        </is>
      </c>
      <c r="F1667" s="16" t="n"/>
      <c r="G1667" s="9" t="n">
        <v>73</v>
      </c>
      <c r="H1667" s="9" t="n">
        <v>836</v>
      </c>
      <c r="I1667" s="9" t="inlineStr">
        <is>
          <t>Utility OF / 4th OF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7" t="n"/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/>
      <c r="Y1667" s="13">
        <f>SUMPRODUCT(M1667:X1667,$M$2:$X$2)*$K1667*$L1667</f>
        <v/>
      </c>
      <c r="Z1667" s="14">
        <f>SUM(M1667:X1667)</f>
        <v/>
      </c>
      <c r="AA1667" s="14">
        <f>IFERROR(IF(UPPER($E1667)="L",SUMPRODUCT(M1667:X1667,$M$3:$X$3,$M$2:$X$2),SUMPRODUCT(M1667:X1667,$M$4:$X$4,$M$2:$X$2))/(Y1667/($K1667*$L1667)),"")</f>
        <v/>
      </c>
      <c r="AB1667" s="18" t="n"/>
    </row>
    <row r="1668">
      <c r="A1668" s="9" t="n">
        <v>701699</v>
      </c>
      <c r="B1668" s="9" t="inlineStr">
        <is>
          <t>Bryan Arendt</t>
        </is>
      </c>
      <c r="C1668" s="9" t="inlineStr">
        <is>
          <t>OAK</t>
        </is>
      </c>
      <c r="D1668" s="9" t="n">
        <v>25</v>
      </c>
      <c r="E1668" s="16" t="inlineStr">
        <is>
          <t>R</t>
        </is>
      </c>
      <c r="F1668" s="16" t="n"/>
      <c r="G1668" s="9" t="n">
        <v>25.02564102564103</v>
      </c>
      <c r="H1668" s="9" t="n">
        <v>25.02564102564103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7" t="n"/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/>
      <c r="Y1668" s="13">
        <f>SUMPRODUCT(M1668:X1668,$M$2:$X$2)*$K1668*$L1668</f>
        <v/>
      </c>
      <c r="Z1668" s="14">
        <f>SUM(M1668:X1668)</f>
        <v/>
      </c>
      <c r="AA1668" s="14">
        <f>IFERROR(IF(UPPER($E1668)="L",SUMPRODUCT(M1668:X1668,$M$3:$X$3,$M$2:$X$2),SUMPRODUCT(M1668:X1668,$M$4:$X$4,$M$2:$X$2))/(Y1668/($K1668*$L1668)),"")</f>
        <v/>
      </c>
      <c r="AB1668" s="18" t="n"/>
    </row>
    <row r="1669">
      <c r="A1669" s="9" t="n">
        <v>700243</v>
      </c>
      <c r="B1669" s="9" t="inlineStr">
        <is>
          <t>Payton Green</t>
        </is>
      </c>
      <c r="C1669" s="9" t="inlineStr">
        <is>
          <t>MIA</t>
        </is>
      </c>
      <c r="D1669" s="9" t="n">
        <v>25</v>
      </c>
      <c r="E1669" s="16" t="inlineStr">
        <is>
          <t>R</t>
        </is>
      </c>
      <c r="F1669" s="16" t="n"/>
      <c r="G1669" s="9" t="n">
        <v>16.35897435897436</v>
      </c>
      <c r="H1669" s="9" t="n">
        <v>16.35897435897436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7" t="n"/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/>
      <c r="Y1669" s="13">
        <f>SUMPRODUCT(M1669:X1669,$M$2:$X$2)*$K1669*$L1669</f>
        <v/>
      </c>
      <c r="Z1669" s="14">
        <f>SUM(M1669:X1669)</f>
        <v/>
      </c>
      <c r="AA1669" s="14">
        <f>IFERROR(IF(UPPER($E1669)="L",SUMPRODUCT(M1669:X1669,$M$3:$X$3,$M$2:$X$2),SUMPRODUCT(M1669:X1669,$M$4:$X$4,$M$2:$X$2))/(Y1669/($K1669*$L1669)),"")</f>
        <v/>
      </c>
      <c r="AB1669" s="18" t="n"/>
    </row>
    <row r="1670">
      <c r="A1670" s="9" t="n">
        <v>800346</v>
      </c>
      <c r="B1670" s="9" t="inlineStr">
        <is>
          <t>Juanfel Peguero</t>
        </is>
      </c>
      <c r="C1670" s="9" t="inlineStr">
        <is>
          <t>TB</t>
        </is>
      </c>
      <c r="D1670" s="9" t="n">
        <v>25</v>
      </c>
      <c r="E1670" s="16" t="inlineStr">
        <is>
          <t>S</t>
        </is>
      </c>
      <c r="F1670" s="16" t="n"/>
      <c r="G1670" s="9" t="n">
        <v>16.2051282051282</v>
      </c>
      <c r="H1670" s="9" t="n">
        <v>16.2051282051282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7" t="n"/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/>
      <c r="Y1670" s="13">
        <f>SUMPRODUCT(M1670:X1670,$M$2:$X$2)*$K1670*$L1670</f>
        <v/>
      </c>
      <c r="Z1670" s="14">
        <f>SUM(M1670:X1670)</f>
        <v/>
      </c>
      <c r="AA1670" s="14">
        <f>IFERROR(IF(UPPER($E1670)="L",SUMPRODUCT(M1670:X1670,$M$3:$X$3,$M$2:$X$2),SUMPRODUCT(M1670:X1670,$M$4:$X$4,$M$2:$X$2))/(Y1670/($K1670*$L1670)),"")</f>
        <v/>
      </c>
      <c r="AB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7" t="n"/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/>
      <c r="Y1671" s="13">
        <f>SUMPRODUCT(M1671:X1671,$M$2:$X$2)*$K1671*$L1671</f>
        <v/>
      </c>
      <c r="Z1671" s="14">
        <f>SUM(M1671:X1671)</f>
        <v/>
      </c>
      <c r="AA1671" s="14">
        <f>IFERROR(IF(UPPER($E1671)="L",SUMPRODUCT(M1671:X1671,$M$3:$X$3,$M$2:$X$2),SUMPRODUCT(M1671:X1671,$M$4:$X$4,$M$2:$X$2))/(Y1671/($K1671*$L1671)),"")</f>
        <v/>
      </c>
      <c r="AB1671" s="18" t="n"/>
    </row>
    <row r="1672">
      <c r="A1672" s="9" t="n">
        <v>820986</v>
      </c>
      <c r="B1672" s="9" t="inlineStr">
        <is>
          <t>Hayden Alvarez</t>
        </is>
      </c>
      <c r="C1672" s="9" t="inlineStr">
        <is>
          <t>LAA</t>
        </is>
      </c>
      <c r="D1672" s="9" t="n">
        <v>25</v>
      </c>
      <c r="E1672" s="16" t="inlineStr">
        <is>
          <t>R</t>
        </is>
      </c>
      <c r="F1672" s="16" t="n"/>
      <c r="G1672" s="9" t="n">
        <v>21.33333333333334</v>
      </c>
      <c r="H1672" s="9" t="n">
        <v>21.33333333333334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7" t="n"/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/>
      <c r="Y1672" s="13">
        <f>SUMPRODUCT(M1672:X1672,$M$2:$X$2)*$K1672*$L1672</f>
        <v/>
      </c>
      <c r="Z1672" s="14">
        <f>SUM(M1672:X1672)</f>
        <v/>
      </c>
      <c r="AA1672" s="14">
        <f>IFERROR(IF(UPPER($E1672)="L",SUMPRODUCT(M1672:X1672,$M$3:$X$3,$M$2:$X$2),SUMPRODUCT(M1672:X1672,$M$4:$X$4,$M$2:$X$2))/(Y1672/($K1672*$L1672)),"")</f>
        <v/>
      </c>
      <c r="AB1672" s="18" t="n"/>
    </row>
    <row r="1673">
      <c r="A1673" s="9" t="n">
        <v>701546</v>
      </c>
      <c r="B1673" s="9" t="inlineStr">
        <is>
          <t>Duce Gourson</t>
        </is>
      </c>
      <c r="C1673" s="9" t="inlineStr">
        <is>
          <t>PIT</t>
        </is>
      </c>
      <c r="D1673" s="9" t="n">
        <v>25</v>
      </c>
      <c r="E1673" s="16" t="inlineStr">
        <is>
          <t>L</t>
        </is>
      </c>
      <c r="F1673" s="16" t="n"/>
      <c r="G1673" s="9" t="n">
        <v>112.2564102564103</v>
      </c>
      <c r="H1673" s="9" t="n">
        <v>112.2564102564103</v>
      </c>
      <c r="I1673" s="9" t="inlineStr">
        <is>
          <t>Depth (no MLB PA)</t>
        </is>
      </c>
      <c r="J1673" s="16" t="inlineStr">
        <is>
          <t>Opening Day</t>
        </is>
      </c>
      <c r="K1673" s="11">
        <f>IFERROR(INDEX(Roles!$B$17:$B$20,MATCH(J1673,Roles!$A$17:$A$20,0)),1)</f>
        <v/>
      </c>
      <c r="L1673" s="17" t="n">
        <v>1</v>
      </c>
      <c r="M1673" s="17" t="n"/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/>
      <c r="Y1673" s="13">
        <f>SUMPRODUCT(M1673:X1673,$M$2:$X$2)*$K1673*$L1673</f>
        <v/>
      </c>
      <c r="Z1673" s="14">
        <f>SUM(M1673:X1673)</f>
        <v/>
      </c>
      <c r="AA1673" s="14">
        <f>IFERROR(IF(UPPER($E1673)="L",SUMPRODUCT(M1673:X1673,$M$3:$X$3,$M$2:$X$2),SUMPRODUCT(M1673:X1673,$M$4:$X$4,$M$2:$X$2))/(Y1673/($K1673*$L1673)),"")</f>
        <v/>
      </c>
      <c r="AB1673" s="18" t="n"/>
    </row>
    <row r="1674">
      <c r="A1674" s="9" t="n">
        <v>829052</v>
      </c>
      <c r="B1674" s="9" t="inlineStr">
        <is>
          <t>Breyson Guedez</t>
        </is>
      </c>
      <c r="C1674" s="9" t="inlineStr">
        <is>
          <t>OAK</t>
        </is>
      </c>
      <c r="D1674" s="9" t="n">
        <v>25</v>
      </c>
      <c r="E1674" s="16" t="inlineStr">
        <is>
          <t>L</t>
        </is>
      </c>
      <c r="F1674" s="16" t="n"/>
      <c r="G1674" s="9" t="n">
        <v>26.05128205128205</v>
      </c>
      <c r="H1674" s="9" t="n">
        <v>26.05128205128205</v>
      </c>
      <c r="I1674" s="9" t="inlineStr">
        <is>
          <t>Depth (no MLB PA)</t>
        </is>
      </c>
      <c r="J1674" s="16" t="inlineStr">
        <is>
          <t>Opening Day</t>
        </is>
      </c>
      <c r="K1674" s="11">
        <f>IFERROR(INDEX(Roles!$B$17:$B$20,MATCH(J1674,Roles!$A$17:$A$20,0)),1)</f>
        <v/>
      </c>
      <c r="L1674" s="17" t="n">
        <v>1</v>
      </c>
      <c r="M1674" s="17" t="n"/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/>
      <c r="Y1674" s="13">
        <f>SUMPRODUCT(M1674:X1674,$M$2:$X$2)*$K1674*$L1674</f>
        <v/>
      </c>
      <c r="Z1674" s="14">
        <f>SUM(M1674:X1674)</f>
        <v/>
      </c>
      <c r="AA1674" s="14">
        <f>IFERROR(IF(UPPER($E1674)="L",SUMPRODUCT(M1674:X1674,$M$3:$X$3,$M$2:$X$2),SUMPRODUCT(M1674:X1674,$M$4:$X$4,$M$2:$X$2))/(Y1674/($K1674*$L1674)),"")</f>
        <v/>
      </c>
      <c r="AB1674" s="18" t="n"/>
    </row>
    <row r="1675">
      <c r="A1675" s="9" t="n">
        <v>691907</v>
      </c>
      <c r="B1675" s="9" t="inlineStr">
        <is>
          <t>Tsung-Che Cheng</t>
        </is>
      </c>
      <c r="C1675" s="9" t="inlineStr">
        <is>
          <t>BOS</t>
        </is>
      </c>
      <c r="D1675" s="9" t="n">
        <v>25</v>
      </c>
      <c r="E1675" s="16" t="inlineStr">
        <is>
          <t>L</t>
        </is>
      </c>
      <c r="F1675" s="16" t="n"/>
      <c r="G1675" s="9" t="n">
        <v>44</v>
      </c>
      <c r="H1675" s="9" t="n">
        <v>51</v>
      </c>
      <c r="I1675" s="9" t="inlineStr">
        <is>
          <t>Bench Bat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7" t="n"/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/>
      <c r="W1675" s="17" t="n"/>
      <c r="X1675" s="17" t="n"/>
      <c r="Y1675" s="13">
        <f>SUMPRODUCT(M1675:X1675,$M$2:$X$2)*$K1675*$L1675</f>
        <v/>
      </c>
      <c r="Z1675" s="14">
        <f>SUM(M1675:X1675)</f>
        <v/>
      </c>
      <c r="AA1675" s="14">
        <f>IFERROR(IF(UPPER($E1675)="L",SUMPRODUCT(M1675:X1675,$M$3:$X$3,$M$2:$X$2),SUMPRODUCT(M1675:X1675,$M$4:$X$4,$M$2:$X$2))/(Y1675/($K1675*$L1675)),"")</f>
        <v/>
      </c>
      <c r="AB1675" s="18" t="n"/>
    </row>
    <row r="1676">
      <c r="A1676" s="9" t="n">
        <v>825094</v>
      </c>
      <c r="B1676" s="9" t="inlineStr">
        <is>
          <t>Nick Dumesnil</t>
        </is>
      </c>
      <c r="C1676" s="9" t="inlineStr">
        <is>
          <t>DET</t>
        </is>
      </c>
      <c r="D1676" s="9" t="n">
        <v>25</v>
      </c>
      <c r="E1676" s="16" t="inlineStr">
        <is>
          <t>R</t>
        </is>
      </c>
      <c r="F1676" s="16" t="n"/>
      <c r="G1676" s="9" t="n">
        <v>30.15384615384616</v>
      </c>
      <c r="H1676" s="9" t="n">
        <v>30.15384615384616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7" t="n"/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/>
      <c r="Y1676" s="13">
        <f>SUMPRODUCT(M1676:X1676,$M$2:$X$2)*$K1676*$L1676</f>
        <v/>
      </c>
      <c r="Z1676" s="14">
        <f>SUM(M1676:X1676)</f>
        <v/>
      </c>
      <c r="AA1676" s="14">
        <f>IFERROR(IF(UPPER($E1676)="L",SUMPRODUCT(M1676:X1676,$M$3:$X$3,$M$2:$X$2),SUMPRODUCT(M1676:X1676,$M$4:$X$4,$M$2:$X$2))/(Y1676/($K1676*$L1676)),"")</f>
        <v/>
      </c>
      <c r="AB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7" t="n"/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/>
      <c r="Y1677" s="13">
        <f>SUMPRODUCT(M1677:X1677,$M$2:$X$2)*$K1677*$L1677</f>
        <v/>
      </c>
      <c r="Z1677" s="14">
        <f>SUM(M1677:X1677)</f>
        <v/>
      </c>
      <c r="AA1677" s="14">
        <f>IFERROR(IF(UPPER($E1677)="L",SUMPRODUCT(M1677:X1677,$M$3:$X$3,$M$2:$X$2),SUMPRODUCT(M1677:X1677,$M$4:$X$4,$M$2:$X$2))/(Y1677/($K1677*$L1677)),"")</f>
        <v/>
      </c>
      <c r="AB1677" s="18" t="n"/>
    </row>
    <row r="1678">
      <c r="A1678" s="9" t="n">
        <v>692374</v>
      </c>
      <c r="B1678" s="9" t="inlineStr">
        <is>
          <t>Jose Ramos</t>
        </is>
      </c>
      <c r="C1678" s="9" t="inlineStr">
        <is>
          <t>SF</t>
        </is>
      </c>
      <c r="D1678" s="9" t="n">
        <v>25</v>
      </c>
      <c r="E1678" s="16" t="inlineStr">
        <is>
          <t>R</t>
        </is>
      </c>
      <c r="F1678" s="16" t="n"/>
      <c r="G1678" s="9" t="n">
        <v>25.43589743589744</v>
      </c>
      <c r="H1678" s="9" t="n">
        <v>25.43589743589744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7" t="n"/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/>
      <c r="Y1678" s="13">
        <f>SUMPRODUCT(M1678:X1678,$M$2:$X$2)*$K1678*$L1678</f>
        <v/>
      </c>
      <c r="Z1678" s="14">
        <f>SUM(M1678:X1678)</f>
        <v/>
      </c>
      <c r="AA1678" s="14">
        <f>IFERROR(IF(UPPER($E1678)="L",SUMPRODUCT(M1678:X1678,$M$3:$X$3,$M$2:$X$2),SUMPRODUCT(M1678:X1678,$M$4:$X$4,$M$2:$X$2))/(Y1678/($K1678*$L1678)),"")</f>
        <v/>
      </c>
      <c r="AB1678" s="18" t="n"/>
    </row>
    <row r="1679">
      <c r="A1679" s="9" t="n">
        <v>806869</v>
      </c>
      <c r="B1679" s="9" t="inlineStr">
        <is>
          <t>Pedro Catuy</t>
        </is>
      </c>
      <c r="C1679" s="9" t="inlineStr">
        <is>
          <t>ARI</t>
        </is>
      </c>
      <c r="D1679" s="9" t="n">
        <v>25</v>
      </c>
      <c r="E1679" s="16" t="inlineStr">
        <is>
          <t>R</t>
        </is>
      </c>
      <c r="F1679" s="16" t="n"/>
      <c r="G1679" s="9" t="n">
        <v>34.46153846153846</v>
      </c>
      <c r="H1679" s="9" t="n">
        <v>34.46153846153846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7" t="n"/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/>
      <c r="Y1679" s="13">
        <f>SUMPRODUCT(M1679:X1679,$M$2:$X$2)*$K1679*$L1679</f>
        <v/>
      </c>
      <c r="Z1679" s="14">
        <f>SUM(M1679:X1679)</f>
        <v/>
      </c>
      <c r="AA1679" s="14">
        <f>IFERROR(IF(UPPER($E1679)="L",SUMPRODUCT(M1679:X1679,$M$3:$X$3,$M$2:$X$2),SUMPRODUCT(M1679:X1679,$M$4:$X$4,$M$2:$X$2))/(Y1679/($K1679*$L1679)),"")</f>
        <v/>
      </c>
      <c r="AB1679" s="18" t="n"/>
    </row>
    <row r="1680">
      <c r="A1680" s="9" t="n">
        <v>815793</v>
      </c>
      <c r="B1680" s="9" t="inlineStr">
        <is>
          <t>Carter Johnson</t>
        </is>
      </c>
      <c r="C1680" s="9" t="inlineStr">
        <is>
          <t>MIA</t>
        </is>
      </c>
      <c r="D1680" s="9" t="n">
        <v>25</v>
      </c>
      <c r="E1680" s="16" t="inlineStr">
        <is>
          <t>L</t>
        </is>
      </c>
      <c r="F1680" s="16" t="n"/>
      <c r="G1680" s="9" t="n">
        <v>43.07692307692308</v>
      </c>
      <c r="H1680" s="9" t="n">
        <v>43.07692307692308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7" t="n"/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/>
      <c r="Y1680" s="13">
        <f>SUMPRODUCT(M1680:X1680,$M$2:$X$2)*$K1680*$L1680</f>
        <v/>
      </c>
      <c r="Z1680" s="14">
        <f>SUM(M1680:X1680)</f>
        <v/>
      </c>
      <c r="AA1680" s="14">
        <f>IFERROR(IF(UPPER($E1680)="L",SUMPRODUCT(M1680:X1680,$M$3:$X$3,$M$2:$X$2),SUMPRODUCT(M1680:X1680,$M$4:$X$4,$M$2:$X$2))/(Y1680/($K1680*$L1680)),"")</f>
        <v/>
      </c>
      <c r="AB1680" s="18" t="n"/>
    </row>
    <row r="1681">
      <c r="A1681" s="9" t="n">
        <v>641521</v>
      </c>
      <c r="B1681" s="9" t="inlineStr">
        <is>
          <t>Edwin Díaz</t>
        </is>
      </c>
      <c r="C1681" s="9" t="inlineStr">
        <is>
          <t>HOU</t>
        </is>
      </c>
      <c r="D1681" s="9" t="n">
        <v>25</v>
      </c>
      <c r="E1681" s="16" t="inlineStr">
        <is>
          <t>R</t>
        </is>
      </c>
      <c r="F1681" s="16" t="n"/>
      <c r="G1681" s="9" t="n">
        <v>46.82051282051282</v>
      </c>
      <c r="H1681" s="9" t="n">
        <v>46.82051282051282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7" t="n"/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/>
      <c r="Y1681" s="13">
        <f>SUMPRODUCT(M1681:X1681,$M$2:$X$2)*$K1681*$L1681</f>
        <v/>
      </c>
      <c r="Z1681" s="14">
        <f>SUM(M1681:X1681)</f>
        <v/>
      </c>
      <c r="AA1681" s="14">
        <f>IFERROR(IF(UPPER($E1681)="L",SUMPRODUCT(M1681:X1681,$M$3:$X$3,$M$2:$X$2),SUMPRODUCT(M1681:X1681,$M$4:$X$4,$M$2:$X$2))/(Y1681/($K1681*$L1681)),"")</f>
        <v/>
      </c>
      <c r="AB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7" t="n"/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/>
      <c r="Y1682" s="13">
        <f>SUMPRODUCT(M1682:X1682,$M$2:$X$2)*$K1682*$L1682</f>
        <v/>
      </c>
      <c r="Z1682" s="14">
        <f>SUM(M1682:X1682)</f>
        <v/>
      </c>
      <c r="AA1682" s="14">
        <f>IFERROR(IF(UPPER($E1682)="L",SUMPRODUCT(M1682:X1682,$M$3:$X$3,$M$2:$X$2),SUMPRODUCT(M1682:X1682,$M$4:$X$4,$M$2:$X$2))/(Y1682/($K1682*$L1682)),"")</f>
        <v/>
      </c>
      <c r="AB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7" t="n"/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/>
      <c r="Y1683" s="13">
        <f>SUMPRODUCT(M1683:X1683,$M$2:$X$2)*$K1683*$L1683</f>
        <v/>
      </c>
      <c r="Z1683" s="14">
        <f>SUM(M1683:X1683)</f>
        <v/>
      </c>
      <c r="AA1683" s="14">
        <f>IFERROR(IF(UPPER($E1683)="L",SUMPRODUCT(M1683:X1683,$M$3:$X$3,$M$2:$X$2),SUMPRODUCT(M1683:X1683,$M$4:$X$4,$M$2:$X$2))/(Y1683/($K1683*$L1683)),"")</f>
        <v/>
      </c>
      <c r="AB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7" t="n"/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/>
      <c r="Y1684" s="13">
        <f>SUMPRODUCT(M1684:X1684,$M$2:$X$2)*$K1684*$L1684</f>
        <v/>
      </c>
      <c r="Z1684" s="14">
        <f>SUM(M1684:X1684)</f>
        <v/>
      </c>
      <c r="AA1684" s="14">
        <f>IFERROR(IF(UPPER($E1684)="L",SUMPRODUCT(M1684:X1684,$M$3:$X$3,$M$2:$X$2),SUMPRODUCT(M1684:X1684,$M$4:$X$4,$M$2:$X$2))/(Y1684/($K1684*$L1684)),"")</f>
        <v/>
      </c>
      <c r="AB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7" t="n"/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/>
      <c r="Y1685" s="13">
        <f>SUMPRODUCT(M1685:X1685,$M$2:$X$2)*$K1685*$L1685</f>
        <v/>
      </c>
      <c r="Z1685" s="14">
        <f>SUM(M1685:X1685)</f>
        <v/>
      </c>
      <c r="AA1685" s="14">
        <f>IFERROR(IF(UPPER($E1685)="L",SUMPRODUCT(M1685:X1685,$M$3:$X$3,$M$2:$X$2),SUMPRODUCT(M1685:X1685,$M$4:$X$4,$M$2:$X$2))/(Y1685/($K1685*$L1685)),"")</f>
        <v/>
      </c>
      <c r="AB1685" s="18" t="n"/>
    </row>
    <row r="1686">
      <c r="A1686" s="9" t="n">
        <v>692110</v>
      </c>
      <c r="B1686" s="9" t="inlineStr">
        <is>
          <t>Core Jackson</t>
        </is>
      </c>
      <c r="C1686" s="9" t="inlineStr">
        <is>
          <t>NYY</t>
        </is>
      </c>
      <c r="D1686" s="9" t="n">
        <v>25</v>
      </c>
      <c r="E1686" s="16" t="inlineStr">
        <is>
          <t>L</t>
        </is>
      </c>
      <c r="F1686" s="16" t="n"/>
      <c r="G1686" s="9" t="n">
        <v>36.25641025641026</v>
      </c>
      <c r="H1686" s="9" t="n">
        <v>36.25641025641026</v>
      </c>
      <c r="I1686" s="9" t="inlineStr">
        <is>
          <t>Depth (no MLB PA)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7" t="n"/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/>
      <c r="W1686" s="17" t="n"/>
      <c r="X1686" s="17" t="n"/>
      <c r="Y1686" s="13">
        <f>SUMPRODUCT(M1686:X1686,$M$2:$X$2)*$K1686*$L1686</f>
        <v/>
      </c>
      <c r="Z1686" s="14">
        <f>SUM(M1686:X1686)</f>
        <v/>
      </c>
      <c r="AA1686" s="14">
        <f>IFERROR(IF(UPPER($E1686)="L",SUMPRODUCT(M1686:X1686,$M$3:$X$3,$M$2:$X$2),SUMPRODUCT(M1686:X1686,$M$4:$X$4,$M$2:$X$2))/(Y1686/($K1686*$L1686)),"")</f>
        <v/>
      </c>
      <c r="AB1686" s="18" t="n"/>
    </row>
    <row r="1687">
      <c r="A1687" s="9" t="n">
        <v>803067</v>
      </c>
      <c r="B1687" s="9" t="inlineStr">
        <is>
          <t>Brady Marget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26.46153846153846</v>
      </c>
      <c r="H1687" s="9" t="n">
        <v>26.46153846153846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7" t="n"/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/>
      <c r="Y1687" s="13">
        <f>SUMPRODUCT(M1687:X1687,$M$2:$X$2)*$K1687*$L1687</f>
        <v/>
      </c>
      <c r="Z1687" s="14">
        <f>SUM(M1687:X1687)</f>
        <v/>
      </c>
      <c r="AA1687" s="14">
        <f>IFERROR(IF(UPPER($E1687)="L",SUMPRODUCT(M1687:X1687,$M$3:$X$3,$M$2:$X$2),SUMPRODUCT(M1687:X1687,$M$4:$X$4,$M$2:$X$2))/(Y1687/($K1687*$L1687)),"")</f>
        <v/>
      </c>
      <c r="AB1687" s="18" t="n"/>
    </row>
    <row r="1688">
      <c r="A1688" s="9" t="n">
        <v>672761</v>
      </c>
      <c r="B1688" s="9" t="inlineStr">
        <is>
          <t>Wenceel Pérez</t>
        </is>
      </c>
      <c r="C1688" s="9" t="inlineStr">
        <is>
          <t>DET</t>
        </is>
      </c>
      <c r="D1688" s="9" t="n">
        <v>27</v>
      </c>
      <c r="E1688" s="16" t="inlineStr">
        <is>
          <t>S</t>
        </is>
      </c>
      <c r="F1688" s="16" t="n"/>
      <c r="G1688" s="9" t="n">
        <v>175</v>
      </c>
      <c r="H1688" s="9" t="n">
        <v>983</v>
      </c>
      <c r="I1688" s="9" t="inlineStr">
        <is>
          <t>Utility OF / 4th OF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7" t="n"/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/>
      <c r="Y1688" s="13">
        <f>SUMPRODUCT(M1688:X1688,$M$2:$X$2)*$K1688*$L1688</f>
        <v/>
      </c>
      <c r="Z1688" s="14">
        <f>SUM(M1688:X1688)</f>
        <v/>
      </c>
      <c r="AA1688" s="14">
        <f>IFERROR(IF(UPPER($E1688)="L",SUMPRODUCT(M1688:X1688,$M$3:$X$3,$M$2:$X$2),SUMPRODUCT(M1688:X1688,$M$4:$X$4,$M$2:$X$2))/(Y1688/($K1688*$L1688)),"")</f>
        <v/>
      </c>
      <c r="AB1688" s="18" t="n"/>
    </row>
    <row r="1689">
      <c r="A1689" s="9" t="n">
        <v>694181</v>
      </c>
      <c r="B1689" s="9" t="inlineStr">
        <is>
          <t>Carlos Colmenarez</t>
        </is>
      </c>
      <c r="C1689" s="9" t="inlineStr">
        <is>
          <t>TB</t>
        </is>
      </c>
      <c r="D1689" s="9" t="n">
        <v>25</v>
      </c>
      <c r="E1689" s="16" t="inlineStr">
        <is>
          <t>L</t>
        </is>
      </c>
      <c r="F1689" s="16" t="n"/>
      <c r="G1689" s="9" t="n">
        <v>46.82051282051282</v>
      </c>
      <c r="H1689" s="9" t="n">
        <v>46.82051282051282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7" t="n"/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/>
      <c r="Y1689" s="13">
        <f>SUMPRODUCT(M1689:X1689,$M$2:$X$2)*$K1689*$L1689</f>
        <v/>
      </c>
      <c r="Z1689" s="14">
        <f>SUM(M1689:X1689)</f>
        <v/>
      </c>
      <c r="AA1689" s="14">
        <f>IFERROR(IF(UPPER($E1689)="L",SUMPRODUCT(M1689:X1689,$M$3:$X$3,$M$2:$X$2),SUMPRODUCT(M1689:X1689,$M$4:$X$4,$M$2:$X$2))/(Y1689/($K1689*$L1689)),"")</f>
        <v/>
      </c>
      <c r="AB1689" s="18" t="n"/>
    </row>
    <row r="1690">
      <c r="A1690" s="9" t="n">
        <v>694469</v>
      </c>
      <c r="B1690" s="9" t="inlineStr">
        <is>
          <t>Bryce Eblin</t>
        </is>
      </c>
      <c r="C1690" s="9" t="inlineStr">
        <is>
          <t>CWS</t>
        </is>
      </c>
      <c r="D1690" s="9" t="n">
        <v>25</v>
      </c>
      <c r="E1690" s="16" t="inlineStr">
        <is>
          <t>L</t>
        </is>
      </c>
      <c r="F1690" s="16" t="n"/>
      <c r="G1690" s="9" t="n">
        <v>29.94871794871795</v>
      </c>
      <c r="H1690" s="9" t="n">
        <v>29.94871794871795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7" t="n"/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/>
      <c r="Y1690" s="13">
        <f>SUMPRODUCT(M1690:X1690,$M$2:$X$2)*$K1690*$L1690</f>
        <v/>
      </c>
      <c r="Z1690" s="14">
        <f>SUM(M1690:X1690)</f>
        <v/>
      </c>
      <c r="AA1690" s="14">
        <f>IFERROR(IF(UPPER($E1690)="L",SUMPRODUCT(M1690:X1690,$M$3:$X$3,$M$2:$X$2),SUMPRODUCT(M1690:X1690,$M$4:$X$4,$M$2:$X$2))/(Y1690/($K1690*$L1690)),"")</f>
        <v/>
      </c>
      <c r="AB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7" t="n"/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/>
      <c r="Y1691" s="13">
        <f>SUMPRODUCT(M1691:X1691,$M$2:$X$2)*$K1691*$L1691</f>
        <v/>
      </c>
      <c r="Z1691" s="14">
        <f>SUM(M1691:X1691)</f>
        <v/>
      </c>
      <c r="AA1691" s="14">
        <f>IFERROR(IF(UPPER($E1691)="L",SUMPRODUCT(M1691:X1691,$M$3:$X$3,$M$2:$X$2),SUMPRODUCT(M1691:X1691,$M$4:$X$4,$M$2:$X$2))/(Y1691/($K1691*$L1691)),"")</f>
        <v/>
      </c>
      <c r="AB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7" t="n"/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/>
      <c r="Y1692" s="13">
        <f>SUMPRODUCT(M1692:X1692,$M$2:$X$2)*$K1692*$L1692</f>
        <v/>
      </c>
      <c r="Z1692" s="14">
        <f>SUM(M1692:X1692)</f>
        <v/>
      </c>
      <c r="AA1692" s="14">
        <f>IFERROR(IF(UPPER($E1692)="L",SUMPRODUCT(M1692:X1692,$M$3:$X$3,$M$2:$X$2),SUMPRODUCT(M1692:X1692,$M$4:$X$4,$M$2:$X$2))/(Y1692/($K1692*$L1692)),"")</f>
        <v/>
      </c>
      <c r="AB1692" s="18" t="n"/>
    </row>
    <row r="1693">
      <c r="A1693" s="9" t="n">
        <v>641786</v>
      </c>
      <c r="B1693" s="9" t="inlineStr">
        <is>
          <t>Kyle Lewis</t>
        </is>
      </c>
      <c r="C1693" s="9" t="inlineStr">
        <is>
          <t>ARI</t>
        </is>
      </c>
      <c r="D1693" s="9" t="n">
        <v>31</v>
      </c>
      <c r="E1693" s="16" t="inlineStr">
        <is>
          <t>R</t>
        </is>
      </c>
      <c r="F1693" s="16" t="n"/>
      <c r="G1693" s="9" t="n">
        <v>54</v>
      </c>
      <c r="H1693" s="9" t="n">
        <v>116</v>
      </c>
      <c r="I1693" s="9" t="inlineStr">
        <is>
          <t>Depth (no MLB PA)</t>
        </is>
      </c>
      <c r="J1693" s="16" t="inlineStr">
        <is>
          <t>Opening Day</t>
        </is>
      </c>
      <c r="K1693" s="11">
        <f>IFERROR(INDEX(Roles!$B$17:$B$20,MATCH(J1693,Roles!$A$17:$A$20,0)),1)</f>
        <v/>
      </c>
      <c r="L1693" s="17" t="n">
        <v>1</v>
      </c>
      <c r="M1693" s="17" t="n"/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/>
      <c r="Y1693" s="13">
        <f>SUMPRODUCT(M1693:X1693,$M$2:$X$2)*$K1693*$L1693</f>
        <v/>
      </c>
      <c r="Z1693" s="14">
        <f>SUM(M1693:X1693)</f>
        <v/>
      </c>
      <c r="AA1693" s="14">
        <f>IFERROR(IF(UPPER($E1693)="L",SUMPRODUCT(M1693:X1693,$M$3:$X$3,$M$2:$X$2),SUMPRODUCT(M1693:X1693,$M$4:$X$4,$M$2:$X$2))/(Y1693/($K1693*$L1693)),"")</f>
        <v/>
      </c>
      <c r="AB1693" s="18" t="n"/>
    </row>
    <row r="1694">
      <c r="A1694" s="9" t="n">
        <v>833426</v>
      </c>
      <c r="B1694" s="9" t="inlineStr">
        <is>
          <t>Hayden Jatczak</t>
        </is>
      </c>
      <c r="C1694" s="9" t="inlineStr">
        <is>
          <t>SF</t>
        </is>
      </c>
      <c r="D1694" s="9" t="n">
        <v>25</v>
      </c>
      <c r="E1694" s="16" t="inlineStr">
        <is>
          <t>R</t>
        </is>
      </c>
      <c r="F1694" s="16" t="n"/>
      <c r="G1694" s="9" t="n">
        <v>30.56410256410257</v>
      </c>
      <c r="H1694" s="9" t="n">
        <v>30.56410256410257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7" t="n"/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/>
      <c r="Y1694" s="13">
        <f>SUMPRODUCT(M1694:X1694,$M$2:$X$2)*$K1694*$L1694</f>
        <v/>
      </c>
      <c r="Z1694" s="14">
        <f>SUM(M1694:X1694)</f>
        <v/>
      </c>
      <c r="AA1694" s="14">
        <f>IFERROR(IF(UPPER($E1694)="L",SUMPRODUCT(M1694:X1694,$M$3:$X$3,$M$2:$X$2),SUMPRODUCT(M1694:X1694,$M$4:$X$4,$M$2:$X$2))/(Y1694/($K1694*$L1694)),"")</f>
        <v/>
      </c>
      <c r="AB1694" s="18" t="n"/>
    </row>
    <row r="1695">
      <c r="A1695" s="9" t="n">
        <v>805804</v>
      </c>
      <c r="B1695" s="9" t="inlineStr">
        <is>
          <t>George Wolkow</t>
        </is>
      </c>
      <c r="C1695" s="9" t="inlineStr">
        <is>
          <t>CWS</t>
        </is>
      </c>
      <c r="D1695" s="9" t="n">
        <v>25</v>
      </c>
      <c r="E1695" s="16" t="inlineStr">
        <is>
          <t>L</t>
        </is>
      </c>
      <c r="F1695" s="16" t="n"/>
      <c r="G1695" s="9" t="n">
        <v>110.5641025641026</v>
      </c>
      <c r="H1695" s="9" t="n">
        <v>110.5641025641026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7" t="n"/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/>
      <c r="Y1695" s="13">
        <f>SUMPRODUCT(M1695:X1695,$M$2:$X$2)*$K1695*$L1695</f>
        <v/>
      </c>
      <c r="Z1695" s="14">
        <f>SUM(M1695:X1695)</f>
        <v/>
      </c>
      <c r="AA1695" s="14">
        <f>IFERROR(IF(UPPER($E1695)="L",SUMPRODUCT(M1695:X1695,$M$3:$X$3,$M$2:$X$2),SUMPRODUCT(M1695:X1695,$M$4:$X$4,$M$2:$X$2))/(Y1695/($K1695*$L1695)),"")</f>
        <v/>
      </c>
      <c r="AB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25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Opening Day</t>
        </is>
      </c>
      <c r="K1696" s="11">
        <f>IFERROR(INDEX(Roles!$B$17:$B$20,MATCH(J1696,Roles!$A$17:$A$20,0)),1)</f>
        <v/>
      </c>
      <c r="L1696" s="17" t="n">
        <v>1</v>
      </c>
      <c r="M1696" s="17" t="n"/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/>
      <c r="Y1696" s="13">
        <f>SUMPRODUCT(M1696:X1696,$M$2:$X$2)*$K1696*$L1696</f>
        <v/>
      </c>
      <c r="Z1696" s="14">
        <f>SUM(M1696:X1696)</f>
        <v/>
      </c>
      <c r="AA1696" s="14">
        <f>IFERROR(IF(UPPER($E1696)="L",SUMPRODUCT(M1696:X1696,$M$3:$X$3,$M$2:$X$2),SUMPRODUCT(M1696:X1696,$M$4:$X$4,$M$2:$X$2))/(Y1696/($K1696*$L1696)),"")</f>
        <v/>
      </c>
      <c r="AB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7" t="n"/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/>
      <c r="Y1697" s="13">
        <f>SUMPRODUCT(M1697:X1697,$M$2:$X$2)*$K1697*$L1697</f>
        <v/>
      </c>
      <c r="Z1697" s="14">
        <f>SUM(M1697:X1697)</f>
        <v/>
      </c>
      <c r="AA1697" s="14">
        <f>IFERROR(IF(UPPER($E1697)="L",SUMPRODUCT(M1697:X1697,$M$3:$X$3,$M$2:$X$2),SUMPRODUCT(M1697:X1697,$M$4:$X$4,$M$2:$X$2))/(Y1697/($K1697*$L1697)),"")</f>
        <v/>
      </c>
      <c r="AB1697" s="18" t="n"/>
    </row>
    <row r="1698">
      <c r="A1698" s="9" t="n">
        <v>808675</v>
      </c>
      <c r="B1698" s="9" t="inlineStr">
        <is>
          <t>Ramon Ramirez</t>
        </is>
      </c>
      <c r="C1698" s="9" t="inlineStr">
        <is>
          <t>KC</t>
        </is>
      </c>
      <c r="D1698" s="9" t="n">
        <v>25</v>
      </c>
      <c r="E1698" s="16" t="inlineStr">
        <is>
          <t>R</t>
        </is>
      </c>
      <c r="F1698" s="16" t="n"/>
      <c r="G1698" s="9" t="n">
        <v>74.25641025641026</v>
      </c>
      <c r="H1698" s="9" t="n">
        <v>74.25641025641026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7" t="n"/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/>
      <c r="Y1698" s="13">
        <f>SUMPRODUCT(M1698:X1698,$M$2:$X$2)*$K1698*$L1698</f>
        <v/>
      </c>
      <c r="Z1698" s="14">
        <f>SUM(M1698:X1698)</f>
        <v/>
      </c>
      <c r="AA1698" s="14">
        <f>IFERROR(IF(UPPER($E1698)="L",SUMPRODUCT(M1698:X1698,$M$3:$X$3,$M$2:$X$2),SUMPRODUCT(M1698:X1698,$M$4:$X$4,$M$2:$X$2))/(Y1698/($K1698*$L1698)),"")</f>
        <v/>
      </c>
      <c r="AB1698" s="18" t="n"/>
    </row>
    <row r="1699">
      <c r="A1699" s="9" t="n">
        <v>800195</v>
      </c>
      <c r="B1699" s="9" t="inlineStr">
        <is>
          <t>Jorgelys Mota</t>
        </is>
      </c>
      <c r="C1699" s="9" t="inlineStr">
        <is>
          <t>WSH</t>
        </is>
      </c>
      <c r="D1699" s="9" t="n">
        <v>25</v>
      </c>
      <c r="E1699" s="16" t="inlineStr">
        <is>
          <t>R</t>
        </is>
      </c>
      <c r="F1699" s="16" t="n"/>
      <c r="G1699" s="9" t="n">
        <v>17.02564102564103</v>
      </c>
      <c r="H1699" s="9" t="n">
        <v>17.02564102564103</v>
      </c>
      <c r="I1699" s="9" t="inlineStr">
        <is>
          <t>Depth (no MLB PA)</t>
        </is>
      </c>
      <c r="J1699" s="16" t="inlineStr">
        <is>
          <t>Opening Day</t>
        </is>
      </c>
      <c r="K1699" s="11">
        <f>IFERROR(INDEX(Roles!$B$17:$B$20,MATCH(J1699,Roles!$A$17:$A$20,0)),1)</f>
        <v/>
      </c>
      <c r="L1699" s="17" t="n">
        <v>1</v>
      </c>
      <c r="M1699" s="17" t="n"/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/>
      <c r="Y1699" s="13">
        <f>SUMPRODUCT(M1699:X1699,$M$2:$X$2)*$K1699*$L1699</f>
        <v/>
      </c>
      <c r="Z1699" s="14">
        <f>SUM(M1699:X1699)</f>
        <v/>
      </c>
      <c r="AA1699" s="14">
        <f>IFERROR(IF(UPPER($E1699)="L",SUMPRODUCT(M1699:X1699,$M$3:$X$3,$M$2:$X$2),SUMPRODUCT(M1699:X1699,$M$4:$X$4,$M$2:$X$2))/(Y1699/($K1699*$L1699)),"")</f>
        <v/>
      </c>
      <c r="AB1699" s="18" t="n"/>
    </row>
    <row r="1700">
      <c r="A1700" s="9" t="n">
        <v>699061</v>
      </c>
      <c r="B1700" s="9" t="inlineStr">
        <is>
          <t>Rayne Doncon</t>
        </is>
      </c>
      <c r="C1700" s="9" t="inlineStr">
        <is>
          <t>MIN</t>
        </is>
      </c>
      <c r="D1700" s="9" t="n">
        <v>25</v>
      </c>
      <c r="E1700" s="16" t="inlineStr">
        <is>
          <t>R</t>
        </is>
      </c>
      <c r="F1700" s="16" t="n"/>
      <c r="G1700" s="9" t="n">
        <v>40</v>
      </c>
      <c r="H1700" s="9" t="n">
        <v>40</v>
      </c>
      <c r="I1700" s="9" t="inlineStr">
        <is>
          <t>Depth (no MLB PA)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7" t="n"/>
      <c r="N1700" s="17" t="n"/>
      <c r="O1700" s="17" t="n"/>
      <c r="P1700" s="17" t="n"/>
      <c r="Q1700" s="17" t="n"/>
      <c r="R1700" s="17" t="n"/>
      <c r="S1700" s="17" t="n"/>
      <c r="T1700" s="17" t="n"/>
      <c r="U1700" s="17" t="n"/>
      <c r="V1700" s="17" t="n"/>
      <c r="W1700" s="17" t="n"/>
      <c r="X1700" s="17" t="n"/>
      <c r="Y1700" s="13">
        <f>SUMPRODUCT(M1700:X1700,$M$2:$X$2)*$K1700*$L1700</f>
        <v/>
      </c>
      <c r="Z1700" s="14">
        <f>SUM(M1700:X1700)</f>
        <v/>
      </c>
      <c r="AA1700" s="14">
        <f>IFERROR(IF(UPPER($E1700)="L",SUMPRODUCT(M1700:X1700,$M$3:$X$3,$M$2:$X$2),SUMPRODUCT(M1700:X1700,$M$4:$X$4,$M$2:$X$2))/(Y1700/($K1700*$L1700)),"")</f>
        <v/>
      </c>
      <c r="AB1700" s="18" t="n"/>
    </row>
    <row r="1701">
      <c r="A1701" s="9" t="n">
        <v>681134</v>
      </c>
      <c r="B1701" s="9" t="inlineStr">
        <is>
          <t>Caleb Roberts</t>
        </is>
      </c>
      <c r="C1701" s="9" t="inlineStr">
        <is>
          <t>MIN</t>
        </is>
      </c>
      <c r="D1701" s="9" t="n">
        <v>25</v>
      </c>
      <c r="E1701" s="16" t="inlineStr">
        <is>
          <t>L</t>
        </is>
      </c>
      <c r="F1701" s="16" t="n"/>
      <c r="G1701" s="9" t="n">
        <v>43.79487179487179</v>
      </c>
      <c r="H1701" s="9" t="n">
        <v>43.79487179487179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7" t="n"/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/>
      <c r="Y1701" s="13">
        <f>SUMPRODUCT(M1701:X1701,$M$2:$X$2)*$K1701*$L1701</f>
        <v/>
      </c>
      <c r="Z1701" s="14">
        <f>SUM(M1701:X1701)</f>
        <v/>
      </c>
      <c r="AA1701" s="14">
        <f>IFERROR(IF(UPPER($E1701)="L",SUMPRODUCT(M1701:X1701,$M$3:$X$3,$M$2:$X$2),SUMPRODUCT(M1701:X1701,$M$4:$X$4,$M$2:$X$2))/(Y1701/($K1701*$L1701)),"")</f>
        <v/>
      </c>
      <c r="AB1701" s="18" t="n"/>
    </row>
    <row r="1702">
      <c r="A1702" s="9" t="n">
        <v>665804</v>
      </c>
      <c r="B1702" s="9" t="inlineStr">
        <is>
          <t>Miguel Amaya</t>
        </is>
      </c>
      <c r="C1702" s="9" t="inlineStr">
        <is>
          <t>CHC</t>
        </is>
      </c>
      <c r="D1702" s="9" t="n">
        <v>28</v>
      </c>
      <c r="E1702" s="16" t="inlineStr">
        <is>
          <t>R</t>
        </is>
      </c>
      <c r="F1702" s="16" t="n"/>
      <c r="G1702" s="9" t="n">
        <v>254</v>
      </c>
      <c r="H1702" s="9" t="n">
        <v>876</v>
      </c>
      <c r="I1702" s="9" t="inlineStr">
        <is>
          <t>Utility OF / 4th OF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7" t="n"/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/>
      <c r="Y1702" s="13">
        <f>SUMPRODUCT(M1702:X1702,$M$2:$X$2)*$K1702*$L1702</f>
        <v/>
      </c>
      <c r="Z1702" s="14">
        <f>SUM(M1702:X1702)</f>
        <v/>
      </c>
      <c r="AA1702" s="14">
        <f>IFERROR(IF(UPPER($E1702)="L",SUMPRODUCT(M1702:X1702,$M$3:$X$3,$M$2:$X$2),SUMPRODUCT(M1702:X1702,$M$4:$X$4,$M$2:$X$2))/(Y1702/($K1702*$L1702)),"")</f>
        <v/>
      </c>
      <c r="AB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7" t="n"/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/>
      <c r="Y1703" s="13">
        <f>SUMPRODUCT(M1703:X1703,$M$2:$X$2)*$K1703*$L1703</f>
        <v/>
      </c>
      <c r="Z1703" s="14">
        <f>SUM(M1703:X1703)</f>
        <v/>
      </c>
      <c r="AA1703" s="14">
        <f>IFERROR(IF(UPPER($E1703)="L",SUMPRODUCT(M1703:X1703,$M$3:$X$3,$M$2:$X$2),SUMPRODUCT(M1703:X1703,$M$4:$X$4,$M$2:$X$2))/(Y1703/($K1703*$L1703)),"")</f>
        <v/>
      </c>
      <c r="AB1703" s="18" t="n"/>
    </row>
    <row r="1704">
      <c r="A1704" s="9" t="n">
        <v>800426</v>
      </c>
      <c r="B1704" s="9" t="inlineStr">
        <is>
          <t>Raylin Ramos</t>
        </is>
      </c>
      <c r="C1704" s="9" t="inlineStr">
        <is>
          <t>BAL</t>
        </is>
      </c>
      <c r="D1704" s="9" t="n">
        <v>25</v>
      </c>
      <c r="E1704" s="16" t="inlineStr">
        <is>
          <t>R</t>
        </is>
      </c>
      <c r="F1704" s="16" t="n"/>
      <c r="G1704" s="9" t="n">
        <v>26.95384615384616</v>
      </c>
      <c r="H1704" s="9" t="n">
        <v>26.95384615384616</v>
      </c>
      <c r="I1704" s="9" t="inlineStr">
        <is>
          <t>Depth (no MLB PA)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7" t="n"/>
      <c r="N1704" s="17" t="n"/>
      <c r="O1704" s="17" t="n"/>
      <c r="P1704" s="17" t="n"/>
      <c r="Q1704" s="17" t="n"/>
      <c r="R1704" s="17" t="n"/>
      <c r="S1704" s="17" t="n"/>
      <c r="T1704" s="17" t="n"/>
      <c r="U1704" s="17" t="n"/>
      <c r="V1704" s="17" t="n"/>
      <c r="W1704" s="17" t="n"/>
      <c r="X1704" s="17" t="n"/>
      <c r="Y1704" s="13">
        <f>SUMPRODUCT(M1704:X1704,$M$2:$X$2)*$K1704*$L1704</f>
        <v/>
      </c>
      <c r="Z1704" s="14">
        <f>SUM(M1704:X1704)</f>
        <v/>
      </c>
      <c r="AA1704" s="14">
        <f>IFERROR(IF(UPPER($E1704)="L",SUMPRODUCT(M1704:X1704,$M$3:$X$3,$M$2:$X$2),SUMPRODUCT(M1704:X1704,$M$4:$X$4,$M$2:$X$2))/(Y1704/($K1704*$L1704)),"")</f>
        <v/>
      </c>
      <c r="AB1704" s="18" t="n"/>
    </row>
    <row r="1705">
      <c r="A1705" s="9" t="n">
        <v>672515</v>
      </c>
      <c r="B1705" s="9" t="inlineStr">
        <is>
          <t>Gabriel Moreno</t>
        </is>
      </c>
      <c r="C1705" s="9" t="inlineStr">
        <is>
          <t>ARI</t>
        </is>
      </c>
      <c r="D1705" s="9" t="n">
        <v>27</v>
      </c>
      <c r="E1705" s="16" t="inlineStr">
        <is>
          <t>R</t>
        </is>
      </c>
      <c r="F1705" s="16" t="n"/>
      <c r="G1705" s="9" t="n">
        <v>549</v>
      </c>
      <c r="H1705" s="9" t="n">
        <v>1662</v>
      </c>
      <c r="I1705" s="9" t="inlineStr">
        <is>
          <t>Full Time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7" t="n"/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/>
      <c r="Y1705" s="13">
        <f>SUMPRODUCT(M1705:X1705,$M$2:$X$2)*$K1705*$L1705</f>
        <v/>
      </c>
      <c r="Z1705" s="14">
        <f>SUM(M1705:X1705)</f>
        <v/>
      </c>
      <c r="AA1705" s="14">
        <f>IFERROR(IF(UPPER($E1705)="L",SUMPRODUCT(M1705:X1705,$M$3:$X$3,$M$2:$X$2),SUMPRODUCT(M1705:X1705,$M$4:$X$4,$M$2:$X$2))/(Y1705/($K1705*$L1705)),"")</f>
        <v/>
      </c>
      <c r="AB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7" t="n"/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/>
      <c r="Y1706" s="13">
        <f>SUMPRODUCT(M1706:X1706,$M$2:$X$2)*$K1706*$L1706</f>
        <v/>
      </c>
      <c r="Z1706" s="14">
        <f>SUM(M1706:X1706)</f>
        <v/>
      </c>
      <c r="AA1706" s="14">
        <f>IFERROR(IF(UPPER($E1706)="L",SUMPRODUCT(M1706:X1706,$M$3:$X$3,$M$2:$X$2),SUMPRODUCT(M1706:X1706,$M$4:$X$4,$M$2:$X$2))/(Y1706/($K1706*$L1706)),"")</f>
        <v/>
      </c>
      <c r="AB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7" t="n"/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/>
      <c r="Y1707" s="13">
        <f>SUMPRODUCT(M1707:X1707,$M$2:$X$2)*$K1707*$L1707</f>
        <v/>
      </c>
      <c r="Z1707" s="14">
        <f>SUM(M1707:X1707)</f>
        <v/>
      </c>
      <c r="AA1707" s="14">
        <f>IFERROR(IF(UPPER($E1707)="L",SUMPRODUCT(M1707:X1707,$M$3:$X$3,$M$2:$X$2),SUMPRODUCT(M1707:X1707,$M$4:$X$4,$M$2:$X$2))/(Y1707/($K1707*$L1707)),"")</f>
        <v/>
      </c>
      <c r="AB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7" t="n"/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/>
      <c r="Y1708" s="13">
        <f>SUMPRODUCT(M1708:X1708,$M$2:$X$2)*$K1708*$L1708</f>
        <v/>
      </c>
      <c r="Z1708" s="14">
        <f>SUM(M1708:X1708)</f>
        <v/>
      </c>
      <c r="AA1708" s="14">
        <f>IFERROR(IF(UPPER($E1708)="L",SUMPRODUCT(M1708:X1708,$M$3:$X$3,$M$2:$X$2),SUMPRODUCT(M1708:X1708,$M$4:$X$4,$M$2:$X$2))/(Y1708/($K1708*$L1708)),"")</f>
        <v/>
      </c>
      <c r="AB1708" s="18" t="n"/>
    </row>
    <row r="1709">
      <c r="A1709" s="9" t="n">
        <v>687616</v>
      </c>
      <c r="B1709" s="9" t="inlineStr">
        <is>
          <t>Jimmy Obertop</t>
        </is>
      </c>
      <c r="C1709" s="9" t="inlineStr">
        <is>
          <t>COL</t>
        </is>
      </c>
      <c r="D1709" s="9" t="n">
        <v>25</v>
      </c>
      <c r="E1709" s="16" t="inlineStr">
        <is>
          <t>R</t>
        </is>
      </c>
      <c r="F1709" s="16" t="n"/>
      <c r="G1709" s="9" t="n">
        <v>59.58974358974358</v>
      </c>
      <c r="H1709" s="9" t="n">
        <v>59.58974358974358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7" t="n"/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/>
      <c r="Y1709" s="13">
        <f>SUMPRODUCT(M1709:X1709,$M$2:$X$2)*$K1709*$L1709</f>
        <v/>
      </c>
      <c r="Z1709" s="14">
        <f>SUM(M1709:X1709)</f>
        <v/>
      </c>
      <c r="AA1709" s="14">
        <f>IFERROR(IF(UPPER($E1709)="L",SUMPRODUCT(M1709:X1709,$M$3:$X$3,$M$2:$X$2),SUMPRODUCT(M1709:X1709,$M$4:$X$4,$M$2:$X$2))/(Y1709/($K1709*$L1709)),"")</f>
        <v/>
      </c>
      <c r="AB1709" s="18" t="n"/>
    </row>
    <row r="1710">
      <c r="A1710" s="9" t="n">
        <v>695732</v>
      </c>
      <c r="B1710" s="9" t="inlineStr">
        <is>
          <t>Dylan King</t>
        </is>
      </c>
      <c r="C1710" s="9" t="inlineStr">
        <is>
          <t>CIN</t>
        </is>
      </c>
      <c r="D1710" s="9" t="n">
        <v>25</v>
      </c>
      <c r="E1710" s="16" t="inlineStr">
        <is>
          <t>L</t>
        </is>
      </c>
      <c r="F1710" s="16" t="n"/>
      <c r="G1710" s="9" t="n">
        <v>21.41538461538461</v>
      </c>
      <c r="H1710" s="9" t="n">
        <v>21.41538461538461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7" t="n"/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/>
      <c r="Y1710" s="13">
        <f>SUMPRODUCT(M1710:X1710,$M$2:$X$2)*$K1710*$L1710</f>
        <v/>
      </c>
      <c r="Z1710" s="14">
        <f>SUM(M1710:X1710)</f>
        <v/>
      </c>
      <c r="AA1710" s="14">
        <f>IFERROR(IF(UPPER($E1710)="L",SUMPRODUCT(M1710:X1710,$M$3:$X$3,$M$2:$X$2),SUMPRODUCT(M1710:X1710,$M$4:$X$4,$M$2:$X$2))/(Y1710/($K1710*$L1710)),"")</f>
        <v/>
      </c>
      <c r="AB1710" s="18" t="n"/>
    </row>
    <row r="1711">
      <c r="A1711" s="9" t="n">
        <v>608703</v>
      </c>
      <c r="B1711" s="9" t="inlineStr">
        <is>
          <t>Matt Reynolds</t>
        </is>
      </c>
      <c r="C1711" s="9" t="inlineStr">
        <is>
          <t>CIN</t>
        </is>
      </c>
      <c r="D1711" s="9" t="n">
        <v>36</v>
      </c>
      <c r="E1711" s="16" t="inlineStr">
        <is>
          <t>R</t>
        </is>
      </c>
      <c r="F1711" s="16" t="n"/>
      <c r="G1711" s="9" t="n">
        <v>5</v>
      </c>
      <c r="H1711" s="9" t="n">
        <v>277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7" t="n"/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/>
      <c r="Y1711" s="13">
        <f>SUMPRODUCT(M1711:X1711,$M$2:$X$2)*$K1711*$L1711</f>
        <v/>
      </c>
      <c r="Z1711" s="14">
        <f>SUM(M1711:X1711)</f>
        <v/>
      </c>
      <c r="AA1711" s="14">
        <f>IFERROR(IF(UPPER($E1711)="L",SUMPRODUCT(M1711:X1711,$M$3:$X$3,$M$2:$X$2),SUMPRODUCT(M1711:X1711,$M$4:$X$4,$M$2:$X$2))/(Y1711/($K1711*$L1711)),"")</f>
        <v/>
      </c>
      <c r="AB1711" s="18" t="n"/>
    </row>
    <row r="1712">
      <c r="A1712" s="9" t="n">
        <v>813771</v>
      </c>
      <c r="B1712" s="9" t="inlineStr">
        <is>
          <t>Robert Hipwell</t>
        </is>
      </c>
      <c r="C1712" s="9" t="inlineStr">
        <is>
          <t>SF</t>
        </is>
      </c>
      <c r="D1712" s="9" t="n">
        <v>25</v>
      </c>
      <c r="E1712" s="16" t="inlineStr">
        <is>
          <t>L</t>
        </is>
      </c>
      <c r="F1712" s="16" t="n"/>
      <c r="G1712" s="9" t="n">
        <v>50.46153846153847</v>
      </c>
      <c r="H1712" s="9" t="n">
        <v>50.46153846153847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7" t="n"/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/>
      <c r="Y1712" s="13">
        <f>SUMPRODUCT(M1712:X1712,$M$2:$X$2)*$K1712*$L1712</f>
        <v/>
      </c>
      <c r="Z1712" s="14">
        <f>SUM(M1712:X1712)</f>
        <v/>
      </c>
      <c r="AA1712" s="14">
        <f>IFERROR(IF(UPPER($E1712)="L",SUMPRODUCT(M1712:X1712,$M$3:$X$3,$M$2:$X$2),SUMPRODUCT(M1712:X1712,$M$4:$X$4,$M$2:$X$2))/(Y1712/($K1712*$L1712)),"")</f>
        <v/>
      </c>
      <c r="AB1712" s="18" t="n"/>
    </row>
    <row r="1713">
      <c r="A1713" s="9" t="n">
        <v>680868</v>
      </c>
      <c r="B1713" s="9" t="inlineStr">
        <is>
          <t>Patrick Winkel</t>
        </is>
      </c>
      <c r="C1713" s="9" t="inlineStr">
        <is>
          <t>TOR</t>
        </is>
      </c>
      <c r="D1713" s="9" t="n">
        <v>25</v>
      </c>
      <c r="E1713" s="16" t="inlineStr">
        <is>
          <t>L</t>
        </is>
      </c>
      <c r="F1713" s="16" t="n"/>
      <c r="G1713" s="9" t="n">
        <v>44.15384615384615</v>
      </c>
      <c r="H1713" s="9" t="n">
        <v>44.15384615384615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7" t="n"/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/>
      <c r="Y1713" s="13">
        <f>SUMPRODUCT(M1713:X1713,$M$2:$X$2)*$K1713*$L1713</f>
        <v/>
      </c>
      <c r="Z1713" s="14">
        <f>SUM(M1713:X1713)</f>
        <v/>
      </c>
      <c r="AA1713" s="14">
        <f>IFERROR(IF(UPPER($E1713)="L",SUMPRODUCT(M1713:X1713,$M$3:$X$3,$M$2:$X$2),SUMPRODUCT(M1713:X1713,$M$4:$X$4,$M$2:$X$2))/(Y1713/($K1713*$L1713)),"")</f>
        <v/>
      </c>
      <c r="AB1713" s="18" t="n"/>
    </row>
    <row r="1714">
      <c r="A1714" s="9" t="n">
        <v>806464</v>
      </c>
      <c r="B1714" s="9" t="inlineStr">
        <is>
          <t>Connor Charping</t>
        </is>
      </c>
      <c r="C1714" s="9" t="inlineStr">
        <is>
          <t>SEA</t>
        </is>
      </c>
      <c r="D1714" s="9" t="n">
        <v>25</v>
      </c>
      <c r="E1714" s="16" t="inlineStr">
        <is>
          <t>R</t>
        </is>
      </c>
      <c r="F1714" s="16" t="n"/>
      <c r="G1714" s="9" t="n">
        <v>72.51282051282051</v>
      </c>
      <c r="H1714" s="9" t="n">
        <v>72.51282051282051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7" t="n"/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/>
      <c r="Y1714" s="13">
        <f>SUMPRODUCT(M1714:X1714,$M$2:$X$2)*$K1714*$L1714</f>
        <v/>
      </c>
      <c r="Z1714" s="14">
        <f>SUM(M1714:X1714)</f>
        <v/>
      </c>
      <c r="AA1714" s="14">
        <f>IFERROR(IF(UPPER($E1714)="L",SUMPRODUCT(M1714:X1714,$M$3:$X$3,$M$2:$X$2),SUMPRODUCT(M1714:X1714,$M$4:$X$4,$M$2:$X$2))/(Y1714/($K1714*$L1714)),"")</f>
        <v/>
      </c>
      <c r="AB1714" s="18" t="n"/>
    </row>
    <row r="1715">
      <c r="A1715" s="9" t="n">
        <v>831025</v>
      </c>
      <c r="B1715" s="9" t="inlineStr">
        <is>
          <t>Dean Toigo</t>
        </is>
      </c>
      <c r="C1715" s="9" t="inlineStr">
        <is>
          <t>NYY</t>
        </is>
      </c>
      <c r="D1715" s="9" t="n">
        <v>25</v>
      </c>
      <c r="E1715" s="16" t="inlineStr">
        <is>
          <t>L</t>
        </is>
      </c>
      <c r="F1715" s="16" t="n"/>
      <c r="G1715" s="9" t="n">
        <v>18.05128205128205</v>
      </c>
      <c r="H1715" s="9" t="n">
        <v>18.05128205128205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7" t="n"/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/>
      <c r="Y1715" s="13">
        <f>SUMPRODUCT(M1715:X1715,$M$2:$X$2)*$K1715*$L1715</f>
        <v/>
      </c>
      <c r="Z1715" s="14">
        <f>SUM(M1715:X1715)</f>
        <v/>
      </c>
      <c r="AA1715" s="14">
        <f>IFERROR(IF(UPPER($E1715)="L",SUMPRODUCT(M1715:X1715,$M$3:$X$3,$M$2:$X$2),SUMPRODUCT(M1715:X1715,$M$4:$X$4,$M$2:$X$2))/(Y1715/($K1715*$L1715)),"")</f>
        <v/>
      </c>
      <c r="AB1715" s="18" t="n"/>
    </row>
    <row r="1716">
      <c r="A1716" s="9" t="n">
        <v>814131</v>
      </c>
      <c r="B1716" s="9" t="inlineStr">
        <is>
          <t>Derik Alcantara</t>
        </is>
      </c>
      <c r="C1716" s="9" t="inlineStr">
        <is>
          <t>CHC</t>
        </is>
      </c>
      <c r="D1716" s="9" t="n">
        <v>25</v>
      </c>
      <c r="E1716" s="16" t="inlineStr">
        <is>
          <t>L</t>
        </is>
      </c>
      <c r="F1716" s="16" t="n"/>
      <c r="G1716" s="9" t="n">
        <v>20.8</v>
      </c>
      <c r="H1716" s="9" t="n">
        <v>20.8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7" t="n"/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/>
      <c r="Y1716" s="13">
        <f>SUMPRODUCT(M1716:X1716,$M$2:$X$2)*$K1716*$L1716</f>
        <v/>
      </c>
      <c r="Z1716" s="14">
        <f>SUM(M1716:X1716)</f>
        <v/>
      </c>
      <c r="AA1716" s="14">
        <f>IFERROR(IF(UPPER($E1716)="L",SUMPRODUCT(M1716:X1716,$M$3:$X$3,$M$2:$X$2),SUMPRODUCT(M1716:X1716,$M$4:$X$4,$M$2:$X$2))/(Y1716/($K1716*$L1716)),"")</f>
        <v/>
      </c>
      <c r="AB1716" s="18" t="n"/>
    </row>
    <row r="1717">
      <c r="A1717" s="9" t="n">
        <v>805880</v>
      </c>
      <c r="B1717" s="9" t="inlineStr">
        <is>
          <t>Tanner Thach</t>
        </is>
      </c>
      <c r="C1717" s="9" t="inlineStr">
        <is>
          <t>COL</t>
        </is>
      </c>
      <c r="D1717" s="9" t="n">
        <v>25</v>
      </c>
      <c r="E1717" s="16" t="inlineStr">
        <is>
          <t>L</t>
        </is>
      </c>
      <c r="F1717" s="16" t="n"/>
      <c r="G1717" s="9" t="n">
        <v>45.53846153846155</v>
      </c>
      <c r="H1717" s="9" t="n">
        <v>45.53846153846155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7" t="n"/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/>
      <c r="Y1717" s="13">
        <f>SUMPRODUCT(M1717:X1717,$M$2:$X$2)*$K1717*$L1717</f>
        <v/>
      </c>
      <c r="Z1717" s="14">
        <f>SUM(M1717:X1717)</f>
        <v/>
      </c>
      <c r="AA1717" s="14">
        <f>IFERROR(IF(UPPER($E1717)="L",SUMPRODUCT(M1717:X1717,$M$3:$X$3,$M$2:$X$2),SUMPRODUCT(M1717:X1717,$M$4:$X$4,$M$2:$X$2))/(Y1717/($K1717*$L1717)),"")</f>
        <v/>
      </c>
      <c r="AB1717" s="18" t="n"/>
    </row>
    <row r="1718">
      <c r="A1718" s="9" t="n">
        <v>702110</v>
      </c>
      <c r="B1718" s="9" t="inlineStr">
        <is>
          <t>Matt Suggs</t>
        </is>
      </c>
      <c r="C1718" s="9" t="inlineStr">
        <is>
          <t>WSH</t>
        </is>
      </c>
      <c r="D1718" s="9" t="n">
        <v>25</v>
      </c>
      <c r="E1718" s="16" t="inlineStr">
        <is>
          <t>R</t>
        </is>
      </c>
      <c r="F1718" s="16" t="n"/>
      <c r="G1718" s="9" t="n">
        <v>17.64102564102564</v>
      </c>
      <c r="H1718" s="9" t="n">
        <v>17.64102564102564</v>
      </c>
      <c r="I1718" s="9" t="inlineStr">
        <is>
          <t>Depth (no MLB PA)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7" t="n"/>
      <c r="N1718" s="17" t="n"/>
      <c r="O1718" s="17" t="n"/>
      <c r="P1718" s="17" t="n"/>
      <c r="Q1718" s="17" t="n"/>
      <c r="R1718" s="17" t="n"/>
      <c r="S1718" s="17" t="n"/>
      <c r="T1718" s="17" t="n"/>
      <c r="U1718" s="17" t="n"/>
      <c r="V1718" s="17" t="n"/>
      <c r="W1718" s="17" t="n"/>
      <c r="X1718" s="17" t="n"/>
      <c r="Y1718" s="13">
        <f>SUMPRODUCT(M1718:X1718,$M$2:$X$2)*$K1718*$L1718</f>
        <v/>
      </c>
      <c r="Z1718" s="14">
        <f>SUM(M1718:X1718)</f>
        <v/>
      </c>
      <c r="AA1718" s="14">
        <f>IFERROR(IF(UPPER($E1718)="L",SUMPRODUCT(M1718:X1718,$M$3:$X$3,$M$2:$X$2),SUMPRODUCT(M1718:X1718,$M$4:$X$4,$M$2:$X$2))/(Y1718/($K1718*$L1718)),"")</f>
        <v/>
      </c>
      <c r="AB1718" s="18" t="n"/>
    </row>
    <row r="1719">
      <c r="A1719" s="9" t="n">
        <v>657041</v>
      </c>
      <c r="B1719" s="9" t="inlineStr">
        <is>
          <t>Lane Thomas</t>
        </is>
      </c>
      <c r="C1719" s="9" t="inlineStr">
        <is>
          <t>ATL</t>
        </is>
      </c>
      <c r="D1719" s="9" t="n">
        <v>31</v>
      </c>
      <c r="E1719" s="16" t="inlineStr">
        <is>
          <t>R</t>
        </is>
      </c>
      <c r="F1719" s="16" t="n"/>
      <c r="G1719" s="9" t="n">
        <v>374</v>
      </c>
      <c r="H1719" s="9" t="n">
        <v>2274</v>
      </c>
      <c r="I1719" s="9" t="inlineStr">
        <is>
          <t>Utility OF / 4th OF</t>
        </is>
      </c>
      <c r="J1719" s="16" t="inlineStr">
        <is>
          <t>Opening Day</t>
        </is>
      </c>
      <c r="K1719" s="11">
        <f>IFERROR(INDEX(Roles!$B$17:$B$20,MATCH(J1719,Roles!$A$17:$A$20,0)),1)</f>
        <v/>
      </c>
      <c r="L1719" s="17" t="n">
        <v>1</v>
      </c>
      <c r="M1719" s="17" t="n"/>
      <c r="N1719" s="17" t="n"/>
      <c r="O1719" s="17" t="n"/>
      <c r="P1719" s="17" t="n"/>
      <c r="Q1719" s="17" t="n"/>
      <c r="R1719" s="17" t="n"/>
      <c r="S1719" s="17" t="n"/>
      <c r="T1719" s="17" t="n"/>
      <c r="U1719" s="17" t="n"/>
      <c r="V1719" s="17" t="n"/>
      <c r="W1719" s="17" t="n"/>
      <c r="X1719" s="17" t="n"/>
      <c r="Y1719" s="13">
        <f>SUMPRODUCT(M1719:X1719,$M$2:$X$2)*$K1719*$L1719</f>
        <v/>
      </c>
      <c r="Z1719" s="14">
        <f>SUM(M1719:X1719)</f>
        <v/>
      </c>
      <c r="AA1719" s="14">
        <f>IFERROR(IF(UPPER($E1719)="L",SUMPRODUCT(M1719:X1719,$M$3:$X$3,$M$2:$X$2),SUMPRODUCT(M1719:X1719,$M$4:$X$4,$M$2:$X$2))/(Y1719/($K1719*$L1719)),"")</f>
        <v/>
      </c>
      <c r="AB1719" s="18" t="n"/>
    </row>
    <row r="1720">
      <c r="A1720" s="9" t="n">
        <v>703149</v>
      </c>
      <c r="B1720" s="9" t="inlineStr">
        <is>
          <t>Roderick Arias</t>
        </is>
      </c>
      <c r="C1720" s="9" t="inlineStr">
        <is>
          <t>NYY</t>
        </is>
      </c>
      <c r="D1720" s="9" t="n">
        <v>25</v>
      </c>
      <c r="E1720" s="16" t="inlineStr">
        <is>
          <t>S</t>
        </is>
      </c>
      <c r="F1720" s="16" t="n"/>
      <c r="G1720" s="9" t="n">
        <v>53.12820512820512</v>
      </c>
      <c r="H1720" s="9" t="n">
        <v>53.12820512820512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7" t="n"/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/>
      <c r="Y1720" s="13">
        <f>SUMPRODUCT(M1720:X1720,$M$2:$X$2)*$K1720*$L1720</f>
        <v/>
      </c>
      <c r="Z1720" s="14">
        <f>SUM(M1720:X1720)</f>
        <v/>
      </c>
      <c r="AA1720" s="14">
        <f>IFERROR(IF(UPPER($E1720)="L",SUMPRODUCT(M1720:X1720,$M$3:$X$3,$M$2:$X$2),SUMPRODUCT(M1720:X1720,$M$4:$X$4,$M$2:$X$2))/(Y1720/($K1720*$L1720)),"")</f>
        <v/>
      </c>
      <c r="AB1720" s="18" t="n"/>
    </row>
    <row r="1721">
      <c r="A1721" s="9" t="n">
        <v>815304</v>
      </c>
      <c r="B1721" s="9" t="inlineStr">
        <is>
          <t>Josh Adamczewski</t>
        </is>
      </c>
      <c r="C1721" s="9" t="inlineStr">
        <is>
          <t>MIL</t>
        </is>
      </c>
      <c r="D1721" s="9" t="n">
        <v>25</v>
      </c>
      <c r="E1721" s="16" t="inlineStr">
        <is>
          <t>L</t>
        </is>
      </c>
      <c r="F1721" s="16" t="n"/>
      <c r="G1721" s="9" t="n">
        <v>99.7948717948718</v>
      </c>
      <c r="H1721" s="9" t="n">
        <v>99.7948717948718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7" t="n"/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/>
      <c r="Y1721" s="13">
        <f>SUMPRODUCT(M1721:X1721,$M$2:$X$2)*$K1721*$L1721</f>
        <v/>
      </c>
      <c r="Z1721" s="14">
        <f>SUM(M1721:X1721)</f>
        <v/>
      </c>
      <c r="AA1721" s="14">
        <f>IFERROR(IF(UPPER($E1721)="L",SUMPRODUCT(M1721:X1721,$M$3:$X$3,$M$2:$X$2),SUMPRODUCT(M1721:X1721,$M$4:$X$4,$M$2:$X$2))/(Y1721/($K1721*$L1721)),"")</f>
        <v/>
      </c>
      <c r="AB1721" s="18" t="n"/>
    </row>
    <row r="1722">
      <c r="A1722" s="9" t="n">
        <v>668832</v>
      </c>
      <c r="B1722" s="9" t="inlineStr">
        <is>
          <t>Kyle McCann</t>
        </is>
      </c>
      <c r="C1722" s="9" t="inlineStr">
        <is>
          <t>OAK</t>
        </is>
      </c>
      <c r="D1722" s="9" t="n">
        <v>29</v>
      </c>
      <c r="E1722" s="16" t="inlineStr">
        <is>
          <t>L</t>
        </is>
      </c>
      <c r="F1722" s="16" t="n"/>
      <c r="G1722" s="9" t="n">
        <v>157</v>
      </c>
      <c r="H1722" s="9" t="n">
        <v>157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7" t="n"/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/>
      <c r="Y1722" s="13">
        <f>SUMPRODUCT(M1722:X1722,$M$2:$X$2)*$K1722*$L1722</f>
        <v/>
      </c>
      <c r="Z1722" s="14">
        <f>SUM(M1722:X1722)</f>
        <v/>
      </c>
      <c r="AA1722" s="14">
        <f>IFERROR(IF(UPPER($E1722)="L",SUMPRODUCT(M1722:X1722,$M$3:$X$3,$M$2:$X$2),SUMPRODUCT(M1722:X1722,$M$4:$X$4,$M$2:$X$2))/(Y1722/($K1722*$L1722)),"")</f>
        <v/>
      </c>
      <c r="AB1722" s="18" t="n"/>
    </row>
    <row r="1723">
      <c r="A1723" s="9" t="n">
        <v>815152</v>
      </c>
      <c r="B1723" s="9" t="inlineStr">
        <is>
          <t>Theo Hardy</t>
        </is>
      </c>
      <c r="C1723" s="9" t="inlineStr">
        <is>
          <t>TEX</t>
        </is>
      </c>
      <c r="D1723" s="9" t="n">
        <v>25</v>
      </c>
      <c r="E1723" s="16" t="inlineStr">
        <is>
          <t>S</t>
        </is>
      </c>
      <c r="F1723" s="16" t="n"/>
      <c r="G1723" s="9" t="n">
        <v>18.61538461538462</v>
      </c>
      <c r="H1723" s="9" t="n">
        <v>18.61538461538462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7" t="n"/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/>
      <c r="Y1723" s="13">
        <f>SUMPRODUCT(M1723:X1723,$M$2:$X$2)*$K1723*$L1723</f>
        <v/>
      </c>
      <c r="Z1723" s="14">
        <f>SUM(M1723:X1723)</f>
        <v/>
      </c>
      <c r="AA1723" s="14">
        <f>IFERROR(IF(UPPER($E1723)="L",SUMPRODUCT(M1723:X1723,$M$3:$X$3,$M$2:$X$2),SUMPRODUCT(M1723:X1723,$M$4:$X$4,$M$2:$X$2))/(Y1723/($K1723*$L1723)),"")</f>
        <v/>
      </c>
      <c r="AB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7" t="n"/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/>
      <c r="Y1724" s="13">
        <f>SUMPRODUCT(M1724:X1724,$M$2:$X$2)*$K1724*$L1724</f>
        <v/>
      </c>
      <c r="Z1724" s="14">
        <f>SUM(M1724:X1724)</f>
        <v/>
      </c>
      <c r="AA1724" s="14">
        <f>IFERROR(IF(UPPER($E1724)="L",SUMPRODUCT(M1724:X1724,$M$3:$X$3,$M$2:$X$2),SUMPRODUCT(M1724:X1724,$M$4:$X$4,$M$2:$X$2))/(Y1724/($K1724*$L1724)),"")</f>
        <v/>
      </c>
      <c r="AB1724" s="18" t="n"/>
    </row>
    <row r="1725">
      <c r="A1725" s="9" t="n">
        <v>815877</v>
      </c>
      <c r="B1725" s="9" t="inlineStr">
        <is>
          <t>Jeremiah Jenkins</t>
        </is>
      </c>
      <c r="C1725" s="9" t="inlineStr">
        <is>
          <t>SF</t>
        </is>
      </c>
      <c r="D1725" s="9" t="n">
        <v>25</v>
      </c>
      <c r="E1725" s="16" t="inlineStr">
        <is>
          <t>L</t>
        </is>
      </c>
      <c r="F1725" s="16" t="n"/>
      <c r="G1725" s="9" t="n">
        <v>55.38461538461539</v>
      </c>
      <c r="H1725" s="9" t="n">
        <v>55.38461538461539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7" t="n"/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/>
      <c r="Y1725" s="13">
        <f>SUMPRODUCT(M1725:X1725,$M$2:$X$2)*$K1725*$L1725</f>
        <v/>
      </c>
      <c r="Z1725" s="14">
        <f>SUM(M1725:X1725)</f>
        <v/>
      </c>
      <c r="AA1725" s="14">
        <f>IFERROR(IF(UPPER($E1725)="L",SUMPRODUCT(M1725:X1725,$M$3:$X$3,$M$2:$X$2),SUMPRODUCT(M1725:X1725,$M$4:$X$4,$M$2:$X$2))/(Y1725/($K1725*$L1725)),"")</f>
        <v/>
      </c>
      <c r="AB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n"/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7" t="n"/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/>
      <c r="Y1726" s="13">
        <f>SUMPRODUCT(M1726:X1726,$M$2:$X$2)*$K1726*$L1726</f>
        <v/>
      </c>
      <c r="Z1726" s="14">
        <f>SUM(M1726:X1726)</f>
        <v/>
      </c>
      <c r="AA1726" s="14">
        <f>IFERROR(IF(UPPER($E1726)="L",SUMPRODUCT(M1726:X1726,$M$3:$X$3,$M$2:$X$2),SUMPRODUCT(M1726:X1726,$M$4:$X$4,$M$2:$X$2))/(Y1726/($K1726*$L1726)),"")</f>
        <v/>
      </c>
      <c r="AB1726" s="18" t="n"/>
    </row>
    <row r="1727">
      <c r="A1727" s="9" t="n">
        <v>594777</v>
      </c>
      <c r="B1727" s="9" t="inlineStr">
        <is>
          <t>Kole Calhoun</t>
        </is>
      </c>
      <c r="C1727" s="9" t="inlineStr">
        <is>
          <t>CLE</t>
        </is>
      </c>
      <c r="D1727" s="9" t="n">
        <v>39</v>
      </c>
      <c r="E1727" s="16" t="inlineStr">
        <is>
          <t>L</t>
        </is>
      </c>
      <c r="F1727" s="16" t="n"/>
      <c r="G1727" s="9" t="n">
        <v>174</v>
      </c>
      <c r="H1727" s="9" t="n">
        <v>598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7" t="n"/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/>
      <c r="Y1727" s="13">
        <f>SUMPRODUCT(M1727:X1727,$M$2:$X$2)*$K1727*$L1727</f>
        <v/>
      </c>
      <c r="Z1727" s="14">
        <f>SUM(M1727:X1727)</f>
        <v/>
      </c>
      <c r="AA1727" s="14">
        <f>IFERROR(IF(UPPER($E1727)="L",SUMPRODUCT(M1727:X1727,$M$3:$X$3,$M$2:$X$2),SUMPRODUCT(M1727:X1727,$M$4:$X$4,$M$2:$X$2))/(Y1727/($K1727*$L1727)),"")</f>
        <v/>
      </c>
      <c r="AB1727" s="18" t="n"/>
    </row>
    <row r="1728">
      <c r="A1728" s="9" t="n">
        <v>829076</v>
      </c>
      <c r="B1728" s="9" t="inlineStr">
        <is>
          <t>Jhomnardo Reyes</t>
        </is>
      </c>
      <c r="C1728" s="9" t="inlineStr">
        <is>
          <t>BAL</t>
        </is>
      </c>
      <c r="D1728" s="9" t="n">
        <v>25</v>
      </c>
      <c r="E1728" s="16" t="inlineStr">
        <is>
          <t>L</t>
        </is>
      </c>
      <c r="F1728" s="16" t="n"/>
      <c r="G1728" s="9" t="n">
        <v>18.33846153846154</v>
      </c>
      <c r="H1728" s="9" t="n">
        <v>18.33846153846154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7" t="n"/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/>
      <c r="Y1728" s="13">
        <f>SUMPRODUCT(M1728:X1728,$M$2:$X$2)*$K1728*$L1728</f>
        <v/>
      </c>
      <c r="Z1728" s="14">
        <f>SUM(M1728:X1728)</f>
        <v/>
      </c>
      <c r="AA1728" s="14">
        <f>IFERROR(IF(UPPER($E1728)="L",SUMPRODUCT(M1728:X1728,$M$3:$X$3,$M$2:$X$2),SUMPRODUCT(M1728:X1728,$M$4:$X$4,$M$2:$X$2))/(Y1728/($K1728*$L1728)),"")</f>
        <v/>
      </c>
      <c r="AB1728" s="18" t="n"/>
    </row>
    <row r="1729">
      <c r="A1729" s="9" t="n">
        <v>815983</v>
      </c>
      <c r="B1729" s="9" t="inlineStr">
        <is>
          <t>Coy James</t>
        </is>
      </c>
      <c r="C1729" s="9" t="inlineStr">
        <is>
          <t>WSH</t>
        </is>
      </c>
      <c r="D1729" s="9" t="n">
        <v>25</v>
      </c>
      <c r="E1729" s="16" t="inlineStr">
        <is>
          <t>R</t>
        </is>
      </c>
      <c r="F1729" s="16" t="n"/>
      <c r="G1729" s="9" t="n">
        <v>61.16923076923077</v>
      </c>
      <c r="H1729" s="9" t="n">
        <v>61.16923076923077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7" t="n"/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/>
      <c r="Y1729" s="13">
        <f>SUMPRODUCT(M1729:X1729,$M$2:$X$2)*$K1729*$L1729</f>
        <v/>
      </c>
      <c r="Z1729" s="14">
        <f>SUM(M1729:X1729)</f>
        <v/>
      </c>
      <c r="AA1729" s="14">
        <f>IFERROR(IF(UPPER($E1729)="L",SUMPRODUCT(M1729:X1729,$M$3:$X$3,$M$2:$X$2),SUMPRODUCT(M1729:X1729,$M$4:$X$4,$M$2:$X$2))/(Y1729/($K1729*$L1729)),"")</f>
        <v/>
      </c>
      <c r="AB1729" s="18" t="n"/>
    </row>
    <row r="1730">
      <c r="A1730" s="9" t="n">
        <v>813664</v>
      </c>
      <c r="B1730" s="9" t="inlineStr">
        <is>
          <t>Justin DeCriscio</t>
        </is>
      </c>
      <c r="C1730" s="9" t="inlineStr">
        <is>
          <t>SD</t>
        </is>
      </c>
      <c r="D1730" s="9" t="n">
        <v>25</v>
      </c>
      <c r="E1730" s="16" t="inlineStr">
        <is>
          <t>R</t>
        </is>
      </c>
      <c r="F1730" s="16" t="n"/>
      <c r="G1730" s="9" t="n">
        <v>27.64102564102564</v>
      </c>
      <c r="H1730" s="9" t="n">
        <v>27.64102564102564</v>
      </c>
      <c r="I1730" s="9" t="inlineStr">
        <is>
          <t>Depth (no MLB PA)</t>
        </is>
      </c>
      <c r="J1730" s="16" t="inlineStr">
        <is>
          <t>Opening Day</t>
        </is>
      </c>
      <c r="K1730" s="11">
        <f>IFERROR(INDEX(Roles!$B$17:$B$20,MATCH(J1730,Roles!$A$17:$A$20,0)),1)</f>
        <v/>
      </c>
      <c r="L1730" s="17" t="n">
        <v>1</v>
      </c>
      <c r="M1730" s="17" t="n"/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/>
      <c r="Y1730" s="13">
        <f>SUMPRODUCT(M1730:X1730,$M$2:$X$2)*$K1730*$L1730</f>
        <v/>
      </c>
      <c r="Z1730" s="14">
        <f>SUM(M1730:X1730)</f>
        <v/>
      </c>
      <c r="AA1730" s="14">
        <f>IFERROR(IF(UPPER($E1730)="L",SUMPRODUCT(M1730:X1730,$M$3:$X$3,$M$2:$X$2),SUMPRODUCT(M1730:X1730,$M$4:$X$4,$M$2:$X$2))/(Y1730/($K1730*$L1730)),"")</f>
        <v/>
      </c>
      <c r="AB1730" s="18" t="n"/>
    </row>
    <row r="1731">
      <c r="A1731" s="9" t="n">
        <v>645801</v>
      </c>
      <c r="B1731" s="9" t="inlineStr">
        <is>
          <t>Mike Ford</t>
        </is>
      </c>
      <c r="C1731" s="9" t="inlineStr">
        <is>
          <t>CIN</t>
        </is>
      </c>
      <c r="D1731" s="9" t="n">
        <v>34</v>
      </c>
      <c r="E1731" s="16" t="inlineStr">
        <is>
          <t>L</t>
        </is>
      </c>
      <c r="F1731" s="16" t="n"/>
      <c r="G1731" s="9" t="n">
        <v>62</v>
      </c>
      <c r="H1731" s="9" t="n">
        <v>462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7" t="n"/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/>
      <c r="Y1731" s="13">
        <f>SUMPRODUCT(M1731:X1731,$M$2:$X$2)*$K1731*$L1731</f>
        <v/>
      </c>
      <c r="Z1731" s="14">
        <f>SUM(M1731:X1731)</f>
        <v/>
      </c>
      <c r="AA1731" s="14">
        <f>IFERROR(IF(UPPER($E1731)="L",SUMPRODUCT(M1731:X1731,$M$3:$X$3,$M$2:$X$2),SUMPRODUCT(M1731:X1731,$M$4:$X$4,$M$2:$X$2))/(Y1731/($K1731*$L1731)),"")</f>
        <v/>
      </c>
      <c r="AB1731" s="18" t="n"/>
    </row>
    <row r="1732">
      <c r="A1732" s="9" t="n">
        <v>809844</v>
      </c>
      <c r="B1732" s="9" t="inlineStr">
        <is>
          <t>Kien Vu</t>
        </is>
      </c>
      <c r="C1732" s="9" t="inlineStr">
        <is>
          <t>CIN</t>
        </is>
      </c>
      <c r="D1732" s="9" t="n">
        <v>25</v>
      </c>
      <c r="E1732" s="16" t="inlineStr">
        <is>
          <t>L</t>
        </is>
      </c>
      <c r="F1732" s="16" t="n"/>
      <c r="G1732" s="9" t="n">
        <v>62.1025641025641</v>
      </c>
      <c r="H1732" s="9" t="n">
        <v>62.1025641025641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7" t="n"/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/>
      <c r="Y1732" s="13">
        <f>SUMPRODUCT(M1732:X1732,$M$2:$X$2)*$K1732*$L1732</f>
        <v/>
      </c>
      <c r="Z1732" s="14">
        <f>SUM(M1732:X1732)</f>
        <v/>
      </c>
      <c r="AA1732" s="14">
        <f>IFERROR(IF(UPPER($E1732)="L",SUMPRODUCT(M1732:X1732,$M$3:$X$3,$M$2:$X$2),SUMPRODUCT(M1732:X1732,$M$4:$X$4,$M$2:$X$2))/(Y1732/($K1732*$L1732)),"")</f>
        <v/>
      </c>
      <c r="AB1732" s="18" t="n"/>
    </row>
    <row r="1733">
      <c r="A1733" s="9" t="n">
        <v>800281</v>
      </c>
      <c r="B1733" s="9" t="inlineStr">
        <is>
          <t>Roynier Hernandez</t>
        </is>
      </c>
      <c r="C1733" s="9" t="inlineStr">
        <is>
          <t>COL</t>
        </is>
      </c>
      <c r="D1733" s="9" t="n">
        <v>25</v>
      </c>
      <c r="E1733" s="16" t="inlineStr">
        <is>
          <t>L</t>
        </is>
      </c>
      <c r="F1733" s="16" t="n"/>
      <c r="G1733" s="9" t="n">
        <v>19.02564102564103</v>
      </c>
      <c r="H1733" s="9" t="n">
        <v>19.02564102564103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7" t="n"/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/>
      <c r="Y1733" s="13">
        <f>SUMPRODUCT(M1733:X1733,$M$2:$X$2)*$K1733*$L1733</f>
        <v/>
      </c>
      <c r="Z1733" s="14">
        <f>SUM(M1733:X1733)</f>
        <v/>
      </c>
      <c r="AA1733" s="14">
        <f>IFERROR(IF(UPPER($E1733)="L",SUMPRODUCT(M1733:X1733,$M$3:$X$3,$M$2:$X$2),SUMPRODUCT(M1733:X1733,$M$4:$X$4,$M$2:$X$2))/(Y1733/($K1733*$L1733)),"")</f>
        <v/>
      </c>
      <c r="AB1733" s="18" t="n"/>
    </row>
    <row r="1734">
      <c r="A1734" s="9" t="n">
        <v>695579</v>
      </c>
      <c r="B1734" s="9" t="inlineStr">
        <is>
          <t>Trevor Haskins</t>
        </is>
      </c>
      <c r="C1734" s="9" t="inlineStr">
        <is>
          <t>STL</t>
        </is>
      </c>
      <c r="D1734" s="9" t="n">
        <v>25</v>
      </c>
      <c r="E1734" s="16" t="inlineStr">
        <is>
          <t>R</t>
        </is>
      </c>
      <c r="F1734" s="16" t="n"/>
      <c r="G1734" s="9" t="n">
        <v>44.67692307692308</v>
      </c>
      <c r="H1734" s="9" t="n">
        <v>44.67692307692308</v>
      </c>
      <c r="I1734" s="9" t="inlineStr">
        <is>
          <t>Depth (no MLB PA)</t>
        </is>
      </c>
      <c r="J1734" s="16" t="inlineStr">
        <is>
          <t>Opening Day</t>
        </is>
      </c>
      <c r="K1734" s="11">
        <f>IFERROR(INDEX(Roles!$B$17:$B$20,MATCH(J1734,Roles!$A$17:$A$20,0)),1)</f>
        <v/>
      </c>
      <c r="L1734" s="17" t="n">
        <v>1</v>
      </c>
      <c r="M1734" s="17" t="n"/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/>
      <c r="Y1734" s="13">
        <f>SUMPRODUCT(M1734:X1734,$M$2:$X$2)*$K1734*$L1734</f>
        <v/>
      </c>
      <c r="Z1734" s="14">
        <f>SUM(M1734:X1734)</f>
        <v/>
      </c>
      <c r="AA1734" s="14">
        <f>IFERROR(IF(UPPER($E1734)="L",SUMPRODUCT(M1734:X1734,$M$3:$X$3,$M$2:$X$2),SUMPRODUCT(M1734:X1734,$M$4:$X$4,$M$2:$X$2))/(Y1734/($K1734*$L1734)),"")</f>
        <v/>
      </c>
      <c r="AB1734" s="18" t="n"/>
    </row>
    <row r="1735">
      <c r="A1735" s="9" t="n">
        <v>803811</v>
      </c>
      <c r="B1735" s="9" t="inlineStr">
        <is>
          <t>Josh Hogue</t>
        </is>
      </c>
      <c r="C1735" s="9" t="inlineStr">
        <is>
          <t>MIA</t>
        </is>
      </c>
      <c r="D1735" s="9" t="n">
        <v>25</v>
      </c>
      <c r="E1735" s="16" t="inlineStr">
        <is>
          <t>L</t>
        </is>
      </c>
      <c r="F1735" s="16" t="n"/>
      <c r="G1735" s="9" t="n">
        <v>29.66153846153846</v>
      </c>
      <c r="H1735" s="9" t="n">
        <v>29.66153846153846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7" t="n"/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/>
      <c r="Y1735" s="13">
        <f>SUMPRODUCT(M1735:X1735,$M$2:$X$2)*$K1735*$L1735</f>
        <v/>
      </c>
      <c r="Z1735" s="14">
        <f>SUM(M1735:X1735)</f>
        <v/>
      </c>
      <c r="AA1735" s="14">
        <f>IFERROR(IF(UPPER($E1735)="L",SUMPRODUCT(M1735:X1735,$M$3:$X$3,$M$2:$X$2),SUMPRODUCT(M1735:X1735,$M$4:$X$4,$M$2:$X$2))/(Y1735/($K1735*$L1735)),"")</f>
        <v/>
      </c>
      <c r="AB1735" s="18" t="n"/>
    </row>
    <row r="1736">
      <c r="A1736" s="9" t="n">
        <v>835279</v>
      </c>
      <c r="B1736" s="9" t="inlineStr">
        <is>
          <t>Jake Schaffner</t>
        </is>
      </c>
      <c r="C1736" s="9" t="inlineStr">
        <is>
          <t>BOS</t>
        </is>
      </c>
      <c r="D1736" s="9" t="n">
        <v>25</v>
      </c>
      <c r="E1736" s="16" t="inlineStr">
        <is>
          <t>L</t>
        </is>
      </c>
      <c r="F1736" s="16" t="n"/>
      <c r="G1736" s="9" t="n">
        <v>23.58974358974359</v>
      </c>
      <c r="H1736" s="9" t="n">
        <v>23.58974358974359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7" t="n"/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/>
      <c r="Y1736" s="13">
        <f>SUMPRODUCT(M1736:X1736,$M$2:$X$2)*$K1736*$L1736</f>
        <v/>
      </c>
      <c r="Z1736" s="14">
        <f>SUM(M1736:X1736)</f>
        <v/>
      </c>
      <c r="AA1736" s="14">
        <f>IFERROR(IF(UPPER($E1736)="L",SUMPRODUCT(M1736:X1736,$M$3:$X$3,$M$2:$X$2),SUMPRODUCT(M1736:X1736,$M$4:$X$4,$M$2:$X$2))/(Y1736/($K1736*$L1736)),"")</f>
        <v/>
      </c>
      <c r="AB1736" s="18" t="n"/>
    </row>
    <row r="1737">
      <c r="A1737" s="9" t="n">
        <v>815528</v>
      </c>
      <c r="B1737" s="9" t="inlineStr">
        <is>
          <t>Ediel Rivera</t>
        </is>
      </c>
      <c r="C1737" s="9" t="inlineStr">
        <is>
          <t>NYY</t>
        </is>
      </c>
      <c r="D1737" s="9" t="n">
        <v>25</v>
      </c>
      <c r="E1737" s="16" t="inlineStr">
        <is>
          <t>R</t>
        </is>
      </c>
      <c r="F1737" s="16" t="n"/>
      <c r="G1737" s="9" t="n">
        <v>27.07692307692308</v>
      </c>
      <c r="H1737" s="9" t="n">
        <v>27.07692307692308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7" t="n"/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/>
      <c r="Y1737" s="13">
        <f>SUMPRODUCT(M1737:X1737,$M$2:$X$2)*$K1737*$L1737</f>
        <v/>
      </c>
      <c r="Z1737" s="14">
        <f>SUM(M1737:X1737)</f>
        <v/>
      </c>
      <c r="AA1737" s="14">
        <f>IFERROR(IF(UPPER($E1737)="L",SUMPRODUCT(M1737:X1737,$M$3:$X$3,$M$2:$X$2),SUMPRODUCT(M1737:X1737,$M$4:$X$4,$M$2:$X$2))/(Y1737/($K1737*$L1737)),"")</f>
        <v/>
      </c>
      <c r="AB1737" s="18" t="n"/>
    </row>
    <row r="1738">
      <c r="A1738" s="9" t="n">
        <v>702547</v>
      </c>
      <c r="B1738" s="9" t="inlineStr">
        <is>
          <t>Caden Powell</t>
        </is>
      </c>
      <c r="C1738" s="9" t="inlineStr">
        <is>
          <t>HOU</t>
        </is>
      </c>
      <c r="D1738" s="9" t="n">
        <v>25</v>
      </c>
      <c r="E1738" s="16" t="inlineStr">
        <is>
          <t>R</t>
        </is>
      </c>
      <c r="F1738" s="16" t="n"/>
      <c r="G1738" s="9" t="n">
        <v>96.20512820512822</v>
      </c>
      <c r="H1738" s="9" t="n">
        <v>96.20512820512822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7" t="n"/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/>
      <c r="Y1738" s="13">
        <f>SUMPRODUCT(M1738:X1738,$M$2:$X$2)*$K1738*$L1738</f>
        <v/>
      </c>
      <c r="Z1738" s="14">
        <f>SUM(M1738:X1738)</f>
        <v/>
      </c>
      <c r="AA1738" s="14">
        <f>IFERROR(IF(UPPER($E1738)="L",SUMPRODUCT(M1738:X1738,$M$3:$X$3,$M$2:$X$2),SUMPRODUCT(M1738:X1738,$M$4:$X$4,$M$2:$X$2))/(Y1738/($K1738*$L1738)),"")</f>
        <v/>
      </c>
      <c r="AB1738" s="18" t="n"/>
    </row>
    <row r="1739">
      <c r="A1739" s="9" t="n">
        <v>815874</v>
      </c>
      <c r="B1739" s="9" t="inlineStr">
        <is>
          <t>Nick Roselli</t>
        </is>
      </c>
      <c r="C1739" s="9" t="inlineStr">
        <is>
          <t>NYM</t>
        </is>
      </c>
      <c r="D1739" s="9" t="n">
        <v>25</v>
      </c>
      <c r="E1739" s="16" t="inlineStr">
        <is>
          <t>L</t>
        </is>
      </c>
      <c r="F1739" s="16" t="n"/>
      <c r="G1739" s="9" t="n">
        <v>18.66666666666667</v>
      </c>
      <c r="H1739" s="9" t="n">
        <v>18.66666666666667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7" t="n"/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/>
      <c r="Y1739" s="13">
        <f>SUMPRODUCT(M1739:X1739,$M$2:$X$2)*$K1739*$L1739</f>
        <v/>
      </c>
      <c r="Z1739" s="14">
        <f>SUM(M1739:X1739)</f>
        <v/>
      </c>
      <c r="AA1739" s="14">
        <f>IFERROR(IF(UPPER($E1739)="L",SUMPRODUCT(M1739:X1739,$M$3:$X$3,$M$2:$X$2),SUMPRODUCT(M1739:X1739,$M$4:$X$4,$M$2:$X$2))/(Y1739/($K1739*$L1739)),"")</f>
        <v/>
      </c>
      <c r="AB1739" s="18" t="n"/>
    </row>
    <row r="1740">
      <c r="A1740" s="9" t="n">
        <v>815438</v>
      </c>
      <c r="B1740" s="9" t="inlineStr">
        <is>
          <t>Jesus Freitez</t>
        </is>
      </c>
      <c r="C1740" s="9" t="inlineStr">
        <is>
          <t>COL</t>
        </is>
      </c>
      <c r="D1740" s="9" t="n">
        <v>25</v>
      </c>
      <c r="E1740" s="16" t="inlineStr">
        <is>
          <t>R</t>
        </is>
      </c>
      <c r="F1740" s="16" t="n"/>
      <c r="G1740" s="9" t="n">
        <v>21.66153846153846</v>
      </c>
      <c r="H1740" s="9" t="n">
        <v>21.66153846153846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7" t="n"/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/>
      <c r="Y1740" s="13">
        <f>SUMPRODUCT(M1740:X1740,$M$2:$X$2)*$K1740*$L1740</f>
        <v/>
      </c>
      <c r="Z1740" s="14">
        <f>SUM(M1740:X1740)</f>
        <v/>
      </c>
      <c r="AA1740" s="14">
        <f>IFERROR(IF(UPPER($E1740)="L",SUMPRODUCT(M1740:X1740,$M$3:$X$3,$M$2:$X$2),SUMPRODUCT(M1740:X1740,$M$4:$X$4,$M$2:$X$2))/(Y1740/($K1740*$L1740)),"")</f>
        <v/>
      </c>
      <c r="AB1740" s="18" t="n"/>
    </row>
    <row r="1741">
      <c r="A1741" s="9" t="n">
        <v>806306</v>
      </c>
      <c r="B1741" s="9" t="inlineStr">
        <is>
          <t>Cameron Decker</t>
        </is>
      </c>
      <c r="C1741" s="9" t="inlineStr">
        <is>
          <t>LAD</t>
        </is>
      </c>
      <c r="D1741" s="9" t="n">
        <v>25</v>
      </c>
      <c r="E1741" s="16" t="inlineStr">
        <is>
          <t>R</t>
        </is>
      </c>
      <c r="F1741" s="16" t="n"/>
      <c r="G1741" s="9" t="n">
        <v>35.28205128205128</v>
      </c>
      <c r="H1741" s="9" t="n">
        <v>35.28205128205128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7" t="n"/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/>
      <c r="Y1741" s="13">
        <f>SUMPRODUCT(M1741:X1741,$M$2:$X$2)*$K1741*$L1741</f>
        <v/>
      </c>
      <c r="Z1741" s="14">
        <f>SUM(M1741:X1741)</f>
        <v/>
      </c>
      <c r="AA1741" s="14">
        <f>IFERROR(IF(UPPER($E1741)="L",SUMPRODUCT(M1741:X1741,$M$3:$X$3,$M$2:$X$2),SUMPRODUCT(M1741:X1741,$M$4:$X$4,$M$2:$X$2))/(Y1741/($K1741*$L1741)),"")</f>
        <v/>
      </c>
      <c r="AB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7" t="n"/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/>
      <c r="Y1742" s="13">
        <f>SUMPRODUCT(M1742:X1742,$M$2:$X$2)*$K1742*$L1742</f>
        <v/>
      </c>
      <c r="Z1742" s="14">
        <f>SUM(M1742:X1742)</f>
        <v/>
      </c>
      <c r="AA1742" s="14">
        <f>IFERROR(IF(UPPER($E1742)="L",SUMPRODUCT(M1742:X1742,$M$3:$X$3,$M$2:$X$2),SUMPRODUCT(M1742:X1742,$M$4:$X$4,$M$2:$X$2))/(Y1742/($K1742*$L1742)),"")</f>
        <v/>
      </c>
      <c r="AB1742" s="18" t="n"/>
    </row>
    <row r="1743">
      <c r="A1743" s="9" t="n">
        <v>800607</v>
      </c>
      <c r="B1743" s="9" t="inlineStr">
        <is>
          <t>Kehden Hettiger</t>
        </is>
      </c>
      <c r="C1743" s="9" t="inlineStr">
        <is>
          <t>PHI</t>
        </is>
      </c>
      <c r="D1743" s="9" t="n">
        <v>25</v>
      </c>
      <c r="E1743" s="16" t="inlineStr">
        <is>
          <t>L</t>
        </is>
      </c>
      <c r="F1743" s="16" t="n"/>
      <c r="G1743" s="9" t="n">
        <v>87.23076923076923</v>
      </c>
      <c r="H1743" s="9" t="n">
        <v>87.23076923076923</v>
      </c>
      <c r="I1743" s="9" t="inlineStr">
        <is>
          <t>Depth (no MLB PA)</t>
        </is>
      </c>
      <c r="J1743" s="16" t="inlineStr">
        <is>
          <t>Opening Day</t>
        </is>
      </c>
      <c r="K1743" s="11">
        <f>IFERROR(INDEX(Roles!$B$17:$B$20,MATCH(J1743,Roles!$A$17:$A$20,0)),1)</f>
        <v/>
      </c>
      <c r="L1743" s="17" t="n">
        <v>1</v>
      </c>
      <c r="M1743" s="17" t="n"/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/>
      <c r="Y1743" s="13">
        <f>SUMPRODUCT(M1743:X1743,$M$2:$X$2)*$K1743*$L1743</f>
        <v/>
      </c>
      <c r="Z1743" s="14">
        <f>SUM(M1743:X1743)</f>
        <v/>
      </c>
      <c r="AA1743" s="14">
        <f>IFERROR(IF(UPPER($E1743)="L",SUMPRODUCT(M1743:X1743,$M$3:$X$3,$M$2:$X$2),SUMPRODUCT(M1743:X1743,$M$4:$X$4,$M$2:$X$2))/(Y1743/($K1743*$L1743)),"")</f>
        <v/>
      </c>
      <c r="AB1743" s="18" t="n"/>
    </row>
    <row r="1744">
      <c r="A1744" s="9" t="n">
        <v>686445</v>
      </c>
      <c r="B1744" s="9" t="inlineStr">
        <is>
          <t>Sammy Siani</t>
        </is>
      </c>
      <c r="C1744" s="9" t="inlineStr">
        <is>
          <t>SEA</t>
        </is>
      </c>
      <c r="D1744" s="9" t="n">
        <v>25</v>
      </c>
      <c r="E1744" s="16" t="inlineStr">
        <is>
          <t>L</t>
        </is>
      </c>
      <c r="F1744" s="16" t="n"/>
      <c r="G1744" s="9" t="n">
        <v>82.92307692307692</v>
      </c>
      <c r="H1744" s="9" t="n">
        <v>82.92307692307692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7" t="n"/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/>
      <c r="Y1744" s="13">
        <f>SUMPRODUCT(M1744:X1744,$M$2:$X$2)*$K1744*$L1744</f>
        <v/>
      </c>
      <c r="Z1744" s="14">
        <f>SUM(M1744:X1744)</f>
        <v/>
      </c>
      <c r="AA1744" s="14">
        <f>IFERROR(IF(UPPER($E1744)="L",SUMPRODUCT(M1744:X1744,$M$3:$X$3,$M$2:$X$2),SUMPRODUCT(M1744:X1744,$M$4:$X$4,$M$2:$X$2))/(Y1744/($K1744*$L1744)),"")</f>
        <v/>
      </c>
      <c r="AB1744" s="18" t="n"/>
    </row>
    <row r="1745">
      <c r="A1745" s="9" t="n">
        <v>828685</v>
      </c>
      <c r="B1745" s="9" t="inlineStr">
        <is>
          <t>Taitn Gray</t>
        </is>
      </c>
      <c r="C1745" s="9" t="inlineStr">
        <is>
          <t>TB</t>
        </is>
      </c>
      <c r="D1745" s="9" t="n">
        <v>25</v>
      </c>
      <c r="E1745" s="16" t="inlineStr">
        <is>
          <t>S</t>
        </is>
      </c>
      <c r="F1745" s="16" t="n"/>
      <c r="G1745" s="9" t="n">
        <v>36.92307692307692</v>
      </c>
      <c r="H1745" s="9" t="n">
        <v>36.92307692307692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7" t="n"/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/>
      <c r="Y1745" s="13">
        <f>SUMPRODUCT(M1745:X1745,$M$2:$X$2)*$K1745*$L1745</f>
        <v/>
      </c>
      <c r="Z1745" s="14">
        <f>SUM(M1745:X1745)</f>
        <v/>
      </c>
      <c r="AA1745" s="14">
        <f>IFERROR(IF(UPPER($E1745)="L",SUMPRODUCT(M1745:X1745,$M$3:$X$3,$M$2:$X$2),SUMPRODUCT(M1745:X1745,$M$4:$X$4,$M$2:$X$2))/(Y1745/($K1745*$L1745)),"")</f>
        <v/>
      </c>
      <c r="AB1745" s="18" t="n"/>
    </row>
    <row r="1746">
      <c r="A1746" s="9" t="n">
        <v>806999</v>
      </c>
      <c r="B1746" s="9" t="inlineStr">
        <is>
          <t>Manuel Cabrera</t>
        </is>
      </c>
      <c r="C1746" s="9" t="inlineStr">
        <is>
          <t>WSH</t>
        </is>
      </c>
      <c r="D1746" s="9" t="n">
        <v>25</v>
      </c>
      <c r="E1746" s="16" t="inlineStr">
        <is>
          <t>R</t>
        </is>
      </c>
      <c r="F1746" s="16" t="n"/>
      <c r="G1746" s="9" t="n">
        <v>29.66153846153846</v>
      </c>
      <c r="H1746" s="9" t="n">
        <v>29.66153846153846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7" t="n"/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/>
      <c r="Y1746" s="13">
        <f>SUMPRODUCT(M1746:X1746,$M$2:$X$2)*$K1746*$L1746</f>
        <v/>
      </c>
      <c r="Z1746" s="14">
        <f>SUM(M1746:X1746)</f>
        <v/>
      </c>
      <c r="AA1746" s="14">
        <f>IFERROR(IF(UPPER($E1746)="L",SUMPRODUCT(M1746:X1746,$M$3:$X$3,$M$2:$X$2),SUMPRODUCT(M1746:X1746,$M$4:$X$4,$M$2:$X$2))/(Y1746/($K1746*$L1746)),"")</f>
        <v/>
      </c>
      <c r="AB1746" s="18" t="n"/>
    </row>
    <row r="1747">
      <c r="A1747" s="9" t="n">
        <v>691863</v>
      </c>
      <c r="B1747" s="9" t="inlineStr">
        <is>
          <t>Carlos Franco</t>
        </is>
      </c>
      <c r="C1747" s="9" t="inlineStr">
        <is>
          <t>OAK</t>
        </is>
      </c>
      <c r="D1747" s="9" t="n">
        <v>25</v>
      </c>
      <c r="E1747" s="16" t="inlineStr">
        <is>
          <t>R</t>
        </is>
      </c>
      <c r="F1747" s="16" t="n"/>
      <c r="G1747" s="9" t="n">
        <v>32.82051282051282</v>
      </c>
      <c r="H1747" s="9" t="n">
        <v>32.82051282051282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7" t="n"/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/>
      <c r="Y1747" s="13">
        <f>SUMPRODUCT(M1747:X1747,$M$2:$X$2)*$K1747*$L1747</f>
        <v/>
      </c>
      <c r="Z1747" s="14">
        <f>SUM(M1747:X1747)</f>
        <v/>
      </c>
      <c r="AA1747" s="14">
        <f>IFERROR(IF(UPPER($E1747)="L",SUMPRODUCT(M1747:X1747,$M$3:$X$3,$M$2:$X$2),SUMPRODUCT(M1747:X1747,$M$4:$X$4,$M$2:$X$2))/(Y1747/($K1747*$L1747)),"")</f>
        <v/>
      </c>
      <c r="AB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7" t="n"/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/>
      <c r="Y1748" s="13">
        <f>SUMPRODUCT(M1748:X1748,$M$2:$X$2)*$K1748*$L1748</f>
        <v/>
      </c>
      <c r="Z1748" s="14">
        <f>SUM(M1748:X1748)</f>
        <v/>
      </c>
      <c r="AA1748" s="14">
        <f>IFERROR(IF(UPPER($E1748)="L",SUMPRODUCT(M1748:X1748,$M$3:$X$3,$M$2:$X$2),SUMPRODUCT(M1748:X1748,$M$4:$X$4,$M$2:$X$2))/(Y1748/($K1748*$L1748)),"")</f>
        <v/>
      </c>
      <c r="AB1748" s="18" t="n"/>
    </row>
    <row r="1749">
      <c r="A1749" s="9" t="n">
        <v>808302</v>
      </c>
      <c r="B1749" s="9" t="inlineStr">
        <is>
          <t>Juan Ortega</t>
        </is>
      </c>
      <c r="C1749" s="9" t="inlineStr">
        <is>
          <t>BAL</t>
        </is>
      </c>
      <c r="D1749" s="9" t="n">
        <v>25</v>
      </c>
      <c r="E1749" s="16" t="inlineStr">
        <is>
          <t>R</t>
        </is>
      </c>
      <c r="F1749" s="16" t="n"/>
      <c r="G1749" s="9" t="n">
        <v>23.50769230769231</v>
      </c>
      <c r="H1749" s="9" t="n">
        <v>23.50769230769231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7" t="n"/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/>
      <c r="Y1749" s="13">
        <f>SUMPRODUCT(M1749:X1749,$M$2:$X$2)*$K1749*$L1749</f>
        <v/>
      </c>
      <c r="Z1749" s="14">
        <f>SUM(M1749:X1749)</f>
        <v/>
      </c>
      <c r="AA1749" s="14">
        <f>IFERROR(IF(UPPER($E1749)="L",SUMPRODUCT(M1749:X1749,$M$3:$X$3,$M$2:$X$2),SUMPRODUCT(M1749:X1749,$M$4:$X$4,$M$2:$X$2))/(Y1749/($K1749*$L1749)),"")</f>
        <v/>
      </c>
      <c r="AB1749" s="18" t="n"/>
    </row>
    <row r="1750">
      <c r="A1750" s="9" t="n">
        <v>701682</v>
      </c>
      <c r="B1750" s="9" t="inlineStr">
        <is>
          <t>Braedon Karpathios</t>
        </is>
      </c>
      <c r="C1750" s="9" t="inlineStr">
        <is>
          <t>SD</t>
        </is>
      </c>
      <c r="D1750" s="9" t="n">
        <v>25</v>
      </c>
      <c r="E1750" s="16" t="inlineStr">
        <is>
          <t>L</t>
        </is>
      </c>
      <c r="F1750" s="16" t="n"/>
      <c r="G1750" s="9" t="n">
        <v>18.61538461538462</v>
      </c>
      <c r="H1750" s="9" t="n">
        <v>18.61538461538462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7" t="n"/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/>
      <c r="Y1750" s="13">
        <f>SUMPRODUCT(M1750:X1750,$M$2:$X$2)*$K1750*$L1750</f>
        <v/>
      </c>
      <c r="Z1750" s="14">
        <f>SUM(M1750:X1750)</f>
        <v/>
      </c>
      <c r="AA1750" s="14">
        <f>IFERROR(IF(UPPER($E1750)="L",SUMPRODUCT(M1750:X1750,$M$3:$X$3,$M$2:$X$2),SUMPRODUCT(M1750:X1750,$M$4:$X$4,$M$2:$X$2))/(Y1750/($K1750*$L1750)),"")</f>
        <v/>
      </c>
      <c r="AB1750" s="18" t="n"/>
    </row>
    <row r="1751">
      <c r="A1751" s="9" t="n">
        <v>600301</v>
      </c>
      <c r="B1751" s="9" t="inlineStr">
        <is>
          <t>Taylor Motter</t>
        </is>
      </c>
      <c r="C1751" s="9" t="inlineStr">
        <is>
          <t>STL</t>
        </is>
      </c>
      <c r="D1751" s="9" t="n">
        <v>37</v>
      </c>
      <c r="E1751" s="16" t="inlineStr">
        <is>
          <t>R</t>
        </is>
      </c>
      <c r="F1751" s="16" t="n"/>
      <c r="G1751" s="9" t="n">
        <v>82</v>
      </c>
      <c r="H1751" s="9" t="n">
        <v>88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7" t="n"/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/>
      <c r="Y1751" s="13">
        <f>SUMPRODUCT(M1751:X1751,$M$2:$X$2)*$K1751*$L1751</f>
        <v/>
      </c>
      <c r="Z1751" s="14">
        <f>SUM(M1751:X1751)</f>
        <v/>
      </c>
      <c r="AA1751" s="14">
        <f>IFERROR(IF(UPPER($E1751)="L",SUMPRODUCT(M1751:X1751,$M$3:$X$3,$M$2:$X$2),SUMPRODUCT(M1751:X1751,$M$4:$X$4,$M$2:$X$2))/(Y1751/($K1751*$L1751)),"")</f>
        <v/>
      </c>
      <c r="AB1751" s="18" t="n"/>
    </row>
    <row r="1752">
      <c r="A1752" s="9" t="n">
        <v>800357</v>
      </c>
      <c r="B1752" s="9" t="inlineStr">
        <is>
          <t>Ricardo Gonzalez</t>
        </is>
      </c>
      <c r="C1752" s="9" t="inlineStr">
        <is>
          <t>TB</t>
        </is>
      </c>
      <c r="D1752" s="9" t="n">
        <v>25</v>
      </c>
      <c r="E1752" s="16" t="inlineStr">
        <is>
          <t>S</t>
        </is>
      </c>
      <c r="F1752" s="16" t="n"/>
      <c r="G1752" s="9" t="n">
        <v>23.58974358974359</v>
      </c>
      <c r="H1752" s="9" t="n">
        <v>23.58974358974359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7" t="n"/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/>
      <c r="Y1752" s="13">
        <f>SUMPRODUCT(M1752:X1752,$M$2:$X$2)*$K1752*$L1752</f>
        <v/>
      </c>
      <c r="Z1752" s="14">
        <f>SUM(M1752:X1752)</f>
        <v/>
      </c>
      <c r="AA1752" s="14">
        <f>IFERROR(IF(UPPER($E1752)="L",SUMPRODUCT(M1752:X1752,$M$3:$X$3,$M$2:$X$2),SUMPRODUCT(M1752:X1752,$M$4:$X$4,$M$2:$X$2))/(Y1752/($K1752*$L1752)),"")</f>
        <v/>
      </c>
      <c r="AB1752" s="18" t="n"/>
    </row>
    <row r="1753">
      <c r="A1753" s="9" t="n">
        <v>682239</v>
      </c>
      <c r="B1753" s="9" t="inlineStr">
        <is>
          <t>Luke Ritter</t>
        </is>
      </c>
      <c r="C1753" s="9" t="inlineStr">
        <is>
          <t>DET</t>
        </is>
      </c>
      <c r="D1753" s="9" t="n">
        <v>25</v>
      </c>
      <c r="E1753" s="16" t="inlineStr">
        <is>
          <t>R</t>
        </is>
      </c>
      <c r="F1753" s="16" t="n"/>
      <c r="G1753" s="9" t="n">
        <v>34.41025641025641</v>
      </c>
      <c r="H1753" s="9" t="n">
        <v>34.41025641025641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7" t="n"/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/>
      <c r="Y1753" s="13">
        <f>SUMPRODUCT(M1753:X1753,$M$2:$X$2)*$K1753*$L1753</f>
        <v/>
      </c>
      <c r="Z1753" s="14">
        <f>SUM(M1753:X1753)</f>
        <v/>
      </c>
      <c r="AA1753" s="14">
        <f>IFERROR(IF(UPPER($E1753)="L",SUMPRODUCT(M1753:X1753,$M$3:$X$3,$M$2:$X$2),SUMPRODUCT(M1753:X1753,$M$4:$X$4,$M$2:$X$2))/(Y1753/($K1753*$L1753)),"")</f>
        <v/>
      </c>
      <c r="AB1753" s="18" t="n"/>
    </row>
    <row r="1754">
      <c r="A1754" s="9" t="n">
        <v>672701</v>
      </c>
      <c r="B1754" s="9" t="inlineStr">
        <is>
          <t>José Devers</t>
        </is>
      </c>
      <c r="C1754" s="9" t="inlineStr">
        <is>
          <t>MIA</t>
        </is>
      </c>
      <c r="D1754" s="9" t="n">
        <v>27</v>
      </c>
      <c r="E1754" s="16" t="inlineStr">
        <is>
          <t>L</t>
        </is>
      </c>
      <c r="F1754" s="16" t="n"/>
      <c r="G1754" s="9" t="n">
        <v>4</v>
      </c>
      <c r="H1754" s="9" t="n">
        <v>4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7" t="n"/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/>
      <c r="Y1754" s="13">
        <f>SUMPRODUCT(M1754:X1754,$M$2:$X$2)*$K1754*$L1754</f>
        <v/>
      </c>
      <c r="Z1754" s="14">
        <f>SUM(M1754:X1754)</f>
        <v/>
      </c>
      <c r="AA1754" s="14">
        <f>IFERROR(IF(UPPER($E1754)="L",SUMPRODUCT(M1754:X1754,$M$3:$X$3,$M$2:$X$2),SUMPRODUCT(M1754:X1754,$M$4:$X$4,$M$2:$X$2))/(Y1754/($K1754*$L1754)),"")</f>
        <v/>
      </c>
      <c r="AB1754" s="18" t="n"/>
    </row>
    <row r="1755">
      <c r="A1755" s="9" t="n">
        <v>827517</v>
      </c>
      <c r="B1755" s="9" t="inlineStr">
        <is>
          <t>Kyle Lodise</t>
        </is>
      </c>
      <c r="C1755" s="9" t="inlineStr">
        <is>
          <t>CWS</t>
        </is>
      </c>
      <c r="D1755" s="9" t="n">
        <v>25</v>
      </c>
      <c r="E1755" s="16" t="inlineStr">
        <is>
          <t>R</t>
        </is>
      </c>
      <c r="F1755" s="16" t="n"/>
      <c r="G1755" s="9" t="n">
        <v>104.6153846153846</v>
      </c>
      <c r="H1755" s="9" t="n">
        <v>104.6153846153846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7" t="n"/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/>
      <c r="Y1755" s="13">
        <f>SUMPRODUCT(M1755:X1755,$M$2:$X$2)*$K1755*$L1755</f>
        <v/>
      </c>
      <c r="Z1755" s="14">
        <f>SUM(M1755:X1755)</f>
        <v/>
      </c>
      <c r="AA1755" s="14">
        <f>IFERROR(IF(UPPER($E1755)="L",SUMPRODUCT(M1755:X1755,$M$3:$X$3,$M$2:$X$2),SUMPRODUCT(M1755:X1755,$M$4:$X$4,$M$2:$X$2))/(Y1755/($K1755*$L1755)),"")</f>
        <v/>
      </c>
      <c r="AB1755" s="18" t="n"/>
    </row>
    <row r="1756">
      <c r="A1756" s="9" t="n">
        <v>690992</v>
      </c>
      <c r="B1756" s="9" t="inlineStr">
        <is>
          <t>Ed Howard</t>
        </is>
      </c>
      <c r="C1756" s="9" t="inlineStr">
        <is>
          <t>CHC</t>
        </is>
      </c>
      <c r="D1756" s="9" t="n">
        <v>25</v>
      </c>
      <c r="E1756" s="16" t="inlineStr">
        <is>
          <t>R</t>
        </is>
      </c>
      <c r="F1756" s="16" t="n"/>
      <c r="G1756" s="9" t="n">
        <v>18.61538461538462</v>
      </c>
      <c r="H1756" s="9" t="n">
        <v>18.61538461538462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7" t="n"/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/>
      <c r="Y1756" s="13">
        <f>SUMPRODUCT(M1756:X1756,$M$2:$X$2)*$K1756*$L1756</f>
        <v/>
      </c>
      <c r="Z1756" s="14">
        <f>SUM(M1756:X1756)</f>
        <v/>
      </c>
      <c r="AA1756" s="14">
        <f>IFERROR(IF(UPPER($E1756)="L",SUMPRODUCT(M1756:X1756,$M$3:$X$3,$M$2:$X$2),SUMPRODUCT(M1756:X1756,$M$4:$X$4,$M$2:$X$2))/(Y1756/($K1756*$L1756)),"")</f>
        <v/>
      </c>
      <c r="AB1756" s="18" t="n"/>
    </row>
    <row r="1757">
      <c r="A1757" s="9" t="n">
        <v>800391</v>
      </c>
      <c r="B1757" s="9" t="inlineStr">
        <is>
          <t>Darlyn De Leon</t>
        </is>
      </c>
      <c r="C1757" s="9" t="inlineStr">
        <is>
          <t>CHC</t>
        </is>
      </c>
      <c r="D1757" s="9" t="n">
        <v>25</v>
      </c>
      <c r="E1757" s="16" t="inlineStr">
        <is>
          <t>L</t>
        </is>
      </c>
      <c r="F1757" s="16" t="n"/>
      <c r="G1757" s="9" t="n">
        <v>28.55384615384616</v>
      </c>
      <c r="H1757" s="9" t="n">
        <v>28.55384615384616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7" t="n"/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/>
      <c r="Y1757" s="13">
        <f>SUMPRODUCT(M1757:X1757,$M$2:$X$2)*$K1757*$L1757</f>
        <v/>
      </c>
      <c r="Z1757" s="14">
        <f>SUM(M1757:X1757)</f>
        <v/>
      </c>
      <c r="AA1757" s="14">
        <f>IFERROR(IF(UPPER($E1757)="L",SUMPRODUCT(M1757:X1757,$M$3:$X$3,$M$2:$X$2),SUMPRODUCT(M1757:X1757,$M$4:$X$4,$M$2:$X$2))/(Y1757/($K1757*$L1757)),"")</f>
        <v/>
      </c>
      <c r="AB1757" s="18" t="n"/>
    </row>
    <row r="1758">
      <c r="A1758" s="9" t="n">
        <v>811339</v>
      </c>
      <c r="B1758" s="9" t="inlineStr">
        <is>
          <t>Josh Kross</t>
        </is>
      </c>
      <c r="C1758" s="9" t="inlineStr">
        <is>
          <t>STL</t>
        </is>
      </c>
      <c r="D1758" s="9" t="n">
        <v>25</v>
      </c>
      <c r="E1758" s="16" t="inlineStr">
        <is>
          <t>S</t>
        </is>
      </c>
      <c r="F1758" s="16" t="n"/>
      <c r="G1758" s="9" t="n">
        <v>75.8974358974359</v>
      </c>
      <c r="H1758" s="9" t="n">
        <v>75.8974358974359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7" t="n"/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/>
      <c r="Y1758" s="13">
        <f>SUMPRODUCT(M1758:X1758,$M$2:$X$2)*$K1758*$L1758</f>
        <v/>
      </c>
      <c r="Z1758" s="14">
        <f>SUM(M1758:X1758)</f>
        <v/>
      </c>
      <c r="AA1758" s="14">
        <f>IFERROR(IF(UPPER($E1758)="L",SUMPRODUCT(M1758:X1758,$M$3:$X$3,$M$2:$X$2),SUMPRODUCT(M1758:X1758,$M$4:$X$4,$M$2:$X$2))/(Y1758/($K1758*$L1758)),"")</f>
        <v/>
      </c>
      <c r="AB1758" s="18" t="n"/>
    </row>
    <row r="1759">
      <c r="A1759" s="9" t="n">
        <v>701435</v>
      </c>
      <c r="B1759" s="9" t="inlineStr">
        <is>
          <t>Broedy Poppell</t>
        </is>
      </c>
      <c r="C1759" s="9" t="inlineStr">
        <is>
          <t>SF</t>
        </is>
      </c>
      <c r="D1759" s="9" t="n">
        <v>25</v>
      </c>
      <c r="E1759" s="16" t="inlineStr">
        <is>
          <t>S</t>
        </is>
      </c>
      <c r="F1759" s="16" t="n"/>
      <c r="G1759" s="9" t="n">
        <v>36.67692307692308</v>
      </c>
      <c r="H1759" s="9" t="n">
        <v>36.67692307692308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7" t="n"/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/>
      <c r="Y1759" s="13">
        <f>SUMPRODUCT(M1759:X1759,$M$2:$X$2)*$K1759*$L1759</f>
        <v/>
      </c>
      <c r="Z1759" s="14">
        <f>SUM(M1759:X1759)</f>
        <v/>
      </c>
      <c r="AA1759" s="14">
        <f>IFERROR(IF(UPPER($E1759)="L",SUMPRODUCT(M1759:X1759,$M$3:$X$3,$M$2:$X$2),SUMPRODUCT(M1759:X1759,$M$4:$X$4,$M$2:$X$2))/(Y1759/($K1759*$L1759)),"")</f>
        <v/>
      </c>
      <c r="AB1759" s="18" t="n"/>
    </row>
    <row r="1760">
      <c r="A1760" s="9" t="n">
        <v>695604</v>
      </c>
      <c r="B1760" s="9" t="inlineStr">
        <is>
          <t>T.J. White</t>
        </is>
      </c>
      <c r="C1760" s="9" t="inlineStr">
        <is>
          <t>WSH</t>
        </is>
      </c>
      <c r="D1760" s="9" t="n">
        <v>25</v>
      </c>
      <c r="E1760" s="16" t="inlineStr">
        <is>
          <t>S</t>
        </is>
      </c>
      <c r="F1760" s="16" t="n"/>
      <c r="G1760" s="9" t="n">
        <v>81.48717948717947</v>
      </c>
      <c r="H1760" s="9" t="n">
        <v>81.48717948717947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7" t="n"/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/>
      <c r="Y1760" s="13">
        <f>SUMPRODUCT(M1760:X1760,$M$2:$X$2)*$K1760*$L1760</f>
        <v/>
      </c>
      <c r="Z1760" s="14">
        <f>SUM(M1760:X1760)</f>
        <v/>
      </c>
      <c r="AA1760" s="14">
        <f>IFERROR(IF(UPPER($E1760)="L",SUMPRODUCT(M1760:X1760,$M$3:$X$3,$M$2:$X$2),SUMPRODUCT(M1760:X1760,$M$4:$X$4,$M$2:$X$2))/(Y1760/($K1760*$L1760)),"")</f>
        <v/>
      </c>
      <c r="AB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n"/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7" t="n"/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/>
      <c r="Y1761" s="13">
        <f>SUMPRODUCT(M1761:X1761,$M$2:$X$2)*$K1761*$L1761</f>
        <v/>
      </c>
      <c r="Z1761" s="14">
        <f>SUM(M1761:X1761)</f>
        <v/>
      </c>
      <c r="AA1761" s="14">
        <f>IFERROR(IF(UPPER($E1761)="L",SUMPRODUCT(M1761:X1761,$M$3:$X$3,$M$2:$X$2),SUMPRODUCT(M1761:X1761,$M$4:$X$4,$M$2:$X$2))/(Y1761/($K1761*$L1761)),"")</f>
        <v/>
      </c>
      <c r="AB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7" t="n"/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/>
      <c r="Y1762" s="13">
        <f>SUMPRODUCT(M1762:X1762,$M$2:$X$2)*$K1762*$L1762</f>
        <v/>
      </c>
      <c r="Z1762" s="14">
        <f>SUM(M1762:X1762)</f>
        <v/>
      </c>
      <c r="AA1762" s="14">
        <f>IFERROR(IF(UPPER($E1762)="L",SUMPRODUCT(M1762:X1762,$M$3:$X$3,$M$2:$X$2),SUMPRODUCT(M1762:X1762,$M$4:$X$4,$M$2:$X$2))/(Y1762/($K1762*$L1762)),"")</f>
        <v/>
      </c>
      <c r="AB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7" t="n"/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/>
      <c r="Y1763" s="13">
        <f>SUMPRODUCT(M1763:X1763,$M$2:$X$2)*$K1763*$L1763</f>
        <v/>
      </c>
      <c r="Z1763" s="14">
        <f>SUM(M1763:X1763)</f>
        <v/>
      </c>
      <c r="AA1763" s="14">
        <f>IFERROR(IF(UPPER($E1763)="L",SUMPRODUCT(M1763:X1763,$M$3:$X$3,$M$2:$X$2),SUMPRODUCT(M1763:X1763,$M$4:$X$4,$M$2:$X$2))/(Y1763/($K1763*$L1763)),"")</f>
        <v/>
      </c>
      <c r="AB1763" s="18" t="n"/>
    </row>
    <row r="1764">
      <c r="A1764" s="9" t="n">
        <v>832110</v>
      </c>
      <c r="B1764" s="9" t="inlineStr">
        <is>
          <t>Daniel Rogers</t>
        </is>
      </c>
      <c r="C1764" s="9" t="inlineStr">
        <is>
          <t>SF</t>
        </is>
      </c>
      <c r="D1764" s="9" t="n">
        <v>25</v>
      </c>
      <c r="E1764" s="16" t="inlineStr">
        <is>
          <t>L</t>
        </is>
      </c>
      <c r="F1764" s="16" t="n"/>
      <c r="G1764" s="9" t="n">
        <v>27.48717948717949</v>
      </c>
      <c r="H1764" s="9" t="n">
        <v>27.48717948717949</v>
      </c>
      <c r="I1764" s="9" t="inlineStr">
        <is>
          <t>Depth (no MLB PA)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7" t="n"/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/>
      <c r="W1764" s="17" t="n"/>
      <c r="X1764" s="17" t="n"/>
      <c r="Y1764" s="13">
        <f>SUMPRODUCT(M1764:X1764,$M$2:$X$2)*$K1764*$L1764</f>
        <v/>
      </c>
      <c r="Z1764" s="14">
        <f>SUM(M1764:X1764)</f>
        <v/>
      </c>
      <c r="AA1764" s="14">
        <f>IFERROR(IF(UPPER($E1764)="L",SUMPRODUCT(M1764:X1764,$M$3:$X$3,$M$2:$X$2),SUMPRODUCT(M1764:X1764,$M$4:$X$4,$M$2:$X$2))/(Y1764/($K1764*$L1764)),"")</f>
        <v/>
      </c>
      <c r="AB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7" t="n"/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/>
      <c r="Y1765" s="13">
        <f>SUMPRODUCT(M1765:X1765,$M$2:$X$2)*$K1765*$L1765</f>
        <v/>
      </c>
      <c r="Z1765" s="14">
        <f>SUM(M1765:X1765)</f>
        <v/>
      </c>
      <c r="AA1765" s="14">
        <f>IFERROR(IF(UPPER($E1765)="L",SUMPRODUCT(M1765:X1765,$M$3:$X$3,$M$2:$X$2),SUMPRODUCT(M1765:X1765,$M$4:$X$4,$M$2:$X$2))/(Y1765/($K1765*$L1765)),"")</f>
        <v/>
      </c>
      <c r="AB1765" s="18" t="n"/>
    </row>
    <row r="1766">
      <c r="A1766" s="9" t="n">
        <v>457759</v>
      </c>
      <c r="B1766" s="9" t="inlineStr">
        <is>
          <t>Justin Turner</t>
        </is>
      </c>
      <c r="C1766" s="9" t="inlineStr">
        <is>
          <t>CHC</t>
        </is>
      </c>
      <c r="D1766" s="9" t="n">
        <v>42</v>
      </c>
      <c r="E1766" s="16" t="inlineStr">
        <is>
          <t>R</t>
        </is>
      </c>
      <c r="F1766" s="16" t="n"/>
      <c r="G1766" s="9" t="n">
        <v>191</v>
      </c>
      <c r="H1766" s="9" t="n">
        <v>1888</v>
      </c>
      <c r="I1766" s="9" t="inlineStr">
        <is>
          <t>Bench Bat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7" t="n"/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/>
      <c r="Y1766" s="13">
        <f>SUMPRODUCT(M1766:X1766,$M$2:$X$2)*$K1766*$L1766</f>
        <v/>
      </c>
      <c r="Z1766" s="14">
        <f>SUM(M1766:X1766)</f>
        <v/>
      </c>
      <c r="AA1766" s="14">
        <f>IFERROR(IF(UPPER($E1766)="L",SUMPRODUCT(M1766:X1766,$M$3:$X$3,$M$2:$X$2),SUMPRODUCT(M1766:X1766,$M$4:$X$4,$M$2:$X$2))/(Y1766/($K1766*$L1766)),"")</f>
        <v/>
      </c>
      <c r="AB1766" s="18" t="n"/>
    </row>
    <row r="1767">
      <c r="A1767" s="9" t="n">
        <v>828098</v>
      </c>
      <c r="B1767" s="9" t="inlineStr">
        <is>
          <t>JoJo Parker</t>
        </is>
      </c>
      <c r="C1767" s="9" t="inlineStr">
        <is>
          <t>TOR</t>
        </is>
      </c>
      <c r="D1767" s="9" t="n">
        <v>25</v>
      </c>
      <c r="E1767" s="16" t="inlineStr">
        <is>
          <t>L</t>
        </is>
      </c>
      <c r="F1767" s="16" t="n"/>
      <c r="G1767" s="9" t="n">
        <v>19.69230769230769</v>
      </c>
      <c r="H1767" s="9" t="n">
        <v>19.69230769230769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7" t="n"/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/>
      <c r="Y1767" s="13">
        <f>SUMPRODUCT(M1767:X1767,$M$2:$X$2)*$K1767*$L1767</f>
        <v/>
      </c>
      <c r="Z1767" s="14">
        <f>SUM(M1767:X1767)</f>
        <v/>
      </c>
      <c r="AA1767" s="14">
        <f>IFERROR(IF(UPPER($E1767)="L",SUMPRODUCT(M1767:X1767,$M$3:$X$3,$M$2:$X$2),SUMPRODUCT(M1767:X1767,$M$4:$X$4,$M$2:$X$2))/(Y1767/($K1767*$L1767)),"")</f>
        <v/>
      </c>
      <c r="AB1767" s="18" t="n"/>
    </row>
    <row r="1768">
      <c r="A1768" s="9" t="n">
        <v>683270</v>
      </c>
      <c r="B1768" s="9" t="inlineStr">
        <is>
          <t>Connor Dykstra</t>
        </is>
      </c>
      <c r="C1768" s="9" t="inlineStr">
        <is>
          <t>SEA</t>
        </is>
      </c>
      <c r="D1768" s="9" t="n">
        <v>25</v>
      </c>
      <c r="E1768" s="16" t="inlineStr">
        <is>
          <t>R</t>
        </is>
      </c>
      <c r="F1768" s="16" t="n"/>
      <c r="G1768" s="9" t="n">
        <v>27.81538461538462</v>
      </c>
      <c r="H1768" s="9" t="n">
        <v>27.81538461538462</v>
      </c>
      <c r="I1768" s="9" t="inlineStr">
        <is>
          <t>Depth (no MLB PA)</t>
        </is>
      </c>
      <c r="J1768" s="16" t="inlineStr">
        <is>
          <t>Opening Day</t>
        </is>
      </c>
      <c r="K1768" s="11">
        <f>IFERROR(INDEX(Roles!$B$17:$B$20,MATCH(J1768,Roles!$A$17:$A$20,0)),1)</f>
        <v/>
      </c>
      <c r="L1768" s="17" t="n">
        <v>1</v>
      </c>
      <c r="M1768" s="17" t="n"/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/>
      <c r="Y1768" s="13">
        <f>SUMPRODUCT(M1768:X1768,$M$2:$X$2)*$K1768*$L1768</f>
        <v/>
      </c>
      <c r="Z1768" s="14">
        <f>SUM(M1768:X1768)</f>
        <v/>
      </c>
      <c r="AA1768" s="14">
        <f>IFERROR(IF(UPPER($E1768)="L",SUMPRODUCT(M1768:X1768,$M$3:$X$3,$M$2:$X$2),SUMPRODUCT(M1768:X1768,$M$4:$X$4,$M$2:$X$2))/(Y1768/($K1768*$L1768)),"")</f>
        <v/>
      </c>
      <c r="AB1768" s="18" t="n"/>
    </row>
    <row r="1769">
      <c r="A1769" s="9" t="n">
        <v>808693</v>
      </c>
      <c r="B1769" s="9" t="inlineStr">
        <is>
          <t>Daniel Lopez</t>
        </is>
      </c>
      <c r="C1769" s="9" t="inlineStr">
        <is>
          <t>KC</t>
        </is>
      </c>
      <c r="D1769" s="9" t="n">
        <v>25</v>
      </c>
      <c r="E1769" s="16" t="inlineStr">
        <is>
          <t>L</t>
        </is>
      </c>
      <c r="F1769" s="16" t="n"/>
      <c r="G1769" s="9" t="n">
        <v>21.78461538461539</v>
      </c>
      <c r="H1769" s="9" t="n">
        <v>21.78461538461539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7" t="n"/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/>
      <c r="Y1769" s="13">
        <f>SUMPRODUCT(M1769:X1769,$M$2:$X$2)*$K1769*$L1769</f>
        <v/>
      </c>
      <c r="Z1769" s="14">
        <f>SUM(M1769:X1769)</f>
        <v/>
      </c>
      <c r="AA1769" s="14">
        <f>IFERROR(IF(UPPER($E1769)="L",SUMPRODUCT(M1769:X1769,$M$3:$X$3,$M$2:$X$2),SUMPRODUCT(M1769:X1769,$M$4:$X$4,$M$2:$X$2))/(Y1769/($K1769*$L1769)),"")</f>
        <v/>
      </c>
      <c r="AB1769" s="18" t="n"/>
    </row>
    <row r="1770">
      <c r="A1770" s="9" t="n">
        <v>689822</v>
      </c>
      <c r="B1770" s="9" t="inlineStr">
        <is>
          <t>Matt Rudick</t>
        </is>
      </c>
      <c r="C1770" s="9" t="inlineStr">
        <is>
          <t>NYM</t>
        </is>
      </c>
      <c r="D1770" s="9" t="n">
        <v>25</v>
      </c>
      <c r="E1770" s="16" t="inlineStr">
        <is>
          <t>L</t>
        </is>
      </c>
      <c r="F1770" s="16" t="n"/>
      <c r="G1770" s="9" t="n">
        <v>36.66666666666667</v>
      </c>
      <c r="H1770" s="9" t="n">
        <v>36.66666666666667</v>
      </c>
      <c r="I1770" s="9" t="inlineStr">
        <is>
          <t>Depth (no MLB PA)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7" t="n"/>
      <c r="N1770" s="17" t="n"/>
      <c r="O1770" s="17" t="n"/>
      <c r="P1770" s="17" t="n"/>
      <c r="Q1770" s="17" t="n"/>
      <c r="R1770" s="17" t="n"/>
      <c r="S1770" s="17" t="n"/>
      <c r="T1770" s="17" t="n"/>
      <c r="U1770" s="17" t="n"/>
      <c r="V1770" s="17" t="n"/>
      <c r="W1770" s="17" t="n"/>
      <c r="X1770" s="17" t="n"/>
      <c r="Y1770" s="13">
        <f>SUMPRODUCT(M1770:X1770,$M$2:$X$2)*$K1770*$L1770</f>
        <v/>
      </c>
      <c r="Z1770" s="14">
        <f>SUM(M1770:X1770)</f>
        <v/>
      </c>
      <c r="AA1770" s="14">
        <f>IFERROR(IF(UPPER($E1770)="L",SUMPRODUCT(M1770:X1770,$M$3:$X$3,$M$2:$X$2),SUMPRODUCT(M1770:X1770,$M$4:$X$4,$M$2:$X$2))/(Y1770/($K1770*$L1770)),"")</f>
        <v/>
      </c>
      <c r="AB1770" s="18" t="n"/>
    </row>
    <row r="1771">
      <c r="A1771" s="9" t="n">
        <v>642708</v>
      </c>
      <c r="B1771" s="9" t="inlineStr">
        <is>
          <t>Amed Rosario</t>
        </is>
      </c>
      <c r="C1771" s="9" t="inlineStr">
        <is>
          <t>NYY</t>
        </is>
      </c>
      <c r="D1771" s="9" t="n">
        <v>31</v>
      </c>
      <c r="E1771" s="16" t="inlineStr">
        <is>
          <t>R</t>
        </is>
      </c>
      <c r="F1771" s="16" t="n"/>
      <c r="G1771" s="9" t="n">
        <v>244</v>
      </c>
      <c r="H1771" s="9" t="n">
        <v>1996</v>
      </c>
      <c r="I1771" s="9" t="inlineStr">
        <is>
          <t>Utility OF / 4th OF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7" t="n"/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/>
      <c r="Y1771" s="13">
        <f>SUMPRODUCT(M1771:X1771,$M$2:$X$2)*$K1771*$L1771</f>
        <v/>
      </c>
      <c r="Z1771" s="14">
        <f>SUM(M1771:X1771)</f>
        <v/>
      </c>
      <c r="AA1771" s="14">
        <f>IFERROR(IF(UPPER($E1771)="L",SUMPRODUCT(M1771:X1771,$M$3:$X$3,$M$2:$X$2),SUMPRODUCT(M1771:X1771,$M$4:$X$4,$M$2:$X$2))/(Y1771/($K1771*$L1771)),"")</f>
        <v/>
      </c>
      <c r="AB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7" t="n"/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/>
      <c r="Y1772" s="13">
        <f>SUMPRODUCT(M1772:X1772,$M$2:$X$2)*$K1772*$L1772</f>
        <v/>
      </c>
      <c r="Z1772" s="14">
        <f>SUM(M1772:X1772)</f>
        <v/>
      </c>
      <c r="AA1772" s="14">
        <f>IFERROR(IF(UPPER($E1772)="L",SUMPRODUCT(M1772:X1772,$M$3:$X$3,$M$2:$X$2),SUMPRODUCT(M1772:X1772,$M$4:$X$4,$M$2:$X$2))/(Y1772/($K1772*$L1772)),"")</f>
        <v/>
      </c>
      <c r="AB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7" t="n"/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/>
      <c r="Y1773" s="13">
        <f>SUMPRODUCT(M1773:X1773,$M$2:$X$2)*$K1773*$L1773</f>
        <v/>
      </c>
      <c r="Z1773" s="14">
        <f>SUM(M1773:X1773)</f>
        <v/>
      </c>
      <c r="AA1773" s="14">
        <f>IFERROR(IF(UPPER($E1773)="L",SUMPRODUCT(M1773:X1773,$M$3:$X$3,$M$2:$X$2),SUMPRODUCT(M1773:X1773,$M$4:$X$4,$M$2:$X$2))/(Y1773/($K1773*$L1773)),"")</f>
        <v/>
      </c>
      <c r="AB1773" s="18" t="n"/>
    </row>
    <row r="1774">
      <c r="A1774" s="9" t="n">
        <v>699130</v>
      </c>
      <c r="B1774" s="9" t="inlineStr">
        <is>
          <t>Jadher Areinamo</t>
        </is>
      </c>
      <c r="C1774" s="9" t="inlineStr">
        <is>
          <t>TB</t>
        </is>
      </c>
      <c r="D1774" s="9" t="n">
        <v>25</v>
      </c>
      <c r="E1774" s="16" t="inlineStr">
        <is>
          <t>R</t>
        </is>
      </c>
      <c r="F1774" s="16" t="n"/>
      <c r="G1774" s="9" t="n">
        <v>21.43589743589744</v>
      </c>
      <c r="H1774" s="9" t="n">
        <v>21.43589743589744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7" t="n"/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/>
      <c r="Y1774" s="13">
        <f>SUMPRODUCT(M1774:X1774,$M$2:$X$2)*$K1774*$L1774</f>
        <v/>
      </c>
      <c r="Z1774" s="14">
        <f>SUM(M1774:X1774)</f>
        <v/>
      </c>
      <c r="AA1774" s="14">
        <f>IFERROR(IF(UPPER($E1774)="L",SUMPRODUCT(M1774:X1774,$M$3:$X$3,$M$2:$X$2),SUMPRODUCT(M1774:X1774,$M$4:$X$4,$M$2:$X$2))/(Y1774/($K1774*$L1774)),"")</f>
        <v/>
      </c>
      <c r="AB1774" s="18" t="n"/>
    </row>
    <row r="1775">
      <c r="A1775" s="9" t="n">
        <v>821075</v>
      </c>
      <c r="B1775" s="9" t="inlineStr">
        <is>
          <t>Merphy Hernandez</t>
        </is>
      </c>
      <c r="C1775" s="9" t="inlineStr">
        <is>
          <t>MIN</t>
        </is>
      </c>
      <c r="D1775" s="9" t="n">
        <v>25</v>
      </c>
      <c r="E1775" s="16" t="inlineStr">
        <is>
          <t>L</t>
        </is>
      </c>
      <c r="F1775" s="16" t="n"/>
      <c r="G1775" s="9" t="n">
        <v>28.92307692307692</v>
      </c>
      <c r="H1775" s="9" t="n">
        <v>28.92307692307692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7" t="n"/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/>
      <c r="Y1775" s="13">
        <f>SUMPRODUCT(M1775:X1775,$M$2:$X$2)*$K1775*$L1775</f>
        <v/>
      </c>
      <c r="Z1775" s="14">
        <f>SUM(M1775:X1775)</f>
        <v/>
      </c>
      <c r="AA1775" s="14">
        <f>IFERROR(IF(UPPER($E1775)="L",SUMPRODUCT(M1775:X1775,$M$3:$X$3,$M$2:$X$2),SUMPRODUCT(M1775:X1775,$M$4:$X$4,$M$2:$X$2))/(Y1775/($K1775*$L1775)),"")</f>
        <v/>
      </c>
      <c r="AB1775" s="18" t="n"/>
    </row>
    <row r="1776">
      <c r="A1776" s="9" t="n">
        <v>691922</v>
      </c>
      <c r="B1776" s="9" t="inlineStr">
        <is>
          <t>Javier Rivas</t>
        </is>
      </c>
      <c r="C1776" s="9" t="inlineStr">
        <is>
          <t>PIT</t>
        </is>
      </c>
      <c r="D1776" s="9" t="n">
        <v>25</v>
      </c>
      <c r="E1776" s="16" t="inlineStr">
        <is>
          <t>R</t>
        </is>
      </c>
      <c r="F1776" s="16" t="n"/>
      <c r="G1776" s="9" t="n">
        <v>110.5641025641026</v>
      </c>
      <c r="H1776" s="9" t="n">
        <v>110.5641025641026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7" t="n"/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/>
      <c r="Y1776" s="13">
        <f>SUMPRODUCT(M1776:X1776,$M$2:$X$2)*$K1776*$L1776</f>
        <v/>
      </c>
      <c r="Z1776" s="14">
        <f>SUM(M1776:X1776)</f>
        <v/>
      </c>
      <c r="AA1776" s="14">
        <f>IFERROR(IF(UPPER($E1776)="L",SUMPRODUCT(M1776:X1776,$M$3:$X$3,$M$2:$X$2),SUMPRODUCT(M1776:X1776,$M$4:$X$4,$M$2:$X$2))/(Y1776/($K1776*$L1776)),"")</f>
        <v/>
      </c>
      <c r="AB1776" s="18" t="n"/>
    </row>
    <row r="1777">
      <c r="A1777" s="9" t="n">
        <v>800516</v>
      </c>
      <c r="B1777" s="9" t="inlineStr">
        <is>
          <t>Alberto Hernandez</t>
        </is>
      </c>
      <c r="C1777" s="9" t="inlineStr">
        <is>
          <t>HOU</t>
        </is>
      </c>
      <c r="D1777" s="9" t="n">
        <v>25</v>
      </c>
      <c r="E1777" s="16" t="inlineStr">
        <is>
          <t>R</t>
        </is>
      </c>
      <c r="F1777" s="16" t="n"/>
      <c r="G1777" s="9" t="n">
        <v>38.41025641025641</v>
      </c>
      <c r="H1777" s="9" t="n">
        <v>38.41025641025641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7" t="n"/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/>
      <c r="Y1777" s="13">
        <f>SUMPRODUCT(M1777:X1777,$M$2:$X$2)*$K1777*$L1777</f>
        <v/>
      </c>
      <c r="Z1777" s="14">
        <f>SUM(M1777:X1777)</f>
        <v/>
      </c>
      <c r="AA1777" s="14">
        <f>IFERROR(IF(UPPER($E1777)="L",SUMPRODUCT(M1777:X1777,$M$3:$X$3,$M$2:$X$2),SUMPRODUCT(M1777:X1777,$M$4:$X$4,$M$2:$X$2))/(Y1777/($K1777*$L1777)),"")</f>
        <v/>
      </c>
      <c r="AB1777" s="18" t="n"/>
    </row>
    <row r="1778">
      <c r="A1778" s="9" t="n">
        <v>807461</v>
      </c>
      <c r="B1778" s="9" t="inlineStr">
        <is>
          <t>Kaleb Freeman</t>
        </is>
      </c>
      <c r="C1778" s="9" t="inlineStr">
        <is>
          <t>CWS</t>
        </is>
      </c>
      <c r="D1778" s="9" t="n">
        <v>25</v>
      </c>
      <c r="E1778" s="16" t="inlineStr">
        <is>
          <t>S</t>
        </is>
      </c>
      <c r="F1778" s="16" t="n"/>
      <c r="G1778" s="9" t="n">
        <v>61.53846153846154</v>
      </c>
      <c r="H1778" s="9" t="n">
        <v>61.53846153846154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7" t="n"/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/>
      <c r="Y1778" s="13">
        <f>SUMPRODUCT(M1778:X1778,$M$2:$X$2)*$K1778*$L1778</f>
        <v/>
      </c>
      <c r="Z1778" s="14">
        <f>SUM(M1778:X1778)</f>
        <v/>
      </c>
      <c r="AA1778" s="14">
        <f>IFERROR(IF(UPPER($E1778)="L",SUMPRODUCT(M1778:X1778,$M$3:$X$3,$M$2:$X$2),SUMPRODUCT(M1778:X1778,$M$4:$X$4,$M$2:$X$2))/(Y1778/($K1778*$L1778)),"")</f>
        <v/>
      </c>
      <c r="AB1778" s="18" t="n"/>
    </row>
    <row r="1779">
      <c r="A1779" s="9" t="n">
        <v>547379</v>
      </c>
      <c r="B1779" s="9" t="inlineStr">
        <is>
          <t>Roberto Pérez</t>
        </is>
      </c>
      <c r="C1779" s="9" t="inlineStr">
        <is>
          <t>PIT</t>
        </is>
      </c>
      <c r="D1779" s="9" t="n">
        <v>38</v>
      </c>
      <c r="E1779" s="16" t="inlineStr">
        <is>
          <t>R</t>
        </is>
      </c>
      <c r="F1779" s="16" t="n"/>
      <c r="G1779" s="9" t="n">
        <v>17</v>
      </c>
      <c r="H1779" s="9" t="n">
        <v>86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7" t="n"/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/>
      <c r="Y1779" s="13">
        <f>SUMPRODUCT(M1779:X1779,$M$2:$X$2)*$K1779*$L1779</f>
        <v/>
      </c>
      <c r="Z1779" s="14">
        <f>SUM(M1779:X1779)</f>
        <v/>
      </c>
      <c r="AA1779" s="14">
        <f>IFERROR(IF(UPPER($E1779)="L",SUMPRODUCT(M1779:X1779,$M$3:$X$3,$M$2:$X$2),SUMPRODUCT(M1779:X1779,$M$4:$X$4,$M$2:$X$2))/(Y1779/($K1779*$L1779)),"")</f>
        <v/>
      </c>
      <c r="AB1779" s="18" t="n"/>
    </row>
    <row r="1780">
      <c r="A1780" s="9" t="n">
        <v>820842</v>
      </c>
      <c r="B1780" s="9" t="inlineStr">
        <is>
          <t>Bryce Chance</t>
        </is>
      </c>
      <c r="C1780" s="9" t="inlineStr">
        <is>
          <t>TOR</t>
        </is>
      </c>
      <c r="D1780" s="9" t="n">
        <v>25</v>
      </c>
      <c r="E1780" s="16" t="inlineStr">
        <is>
          <t>R</t>
        </is>
      </c>
      <c r="F1780" s="16" t="n"/>
      <c r="G1780" s="9" t="n">
        <v>20.71794871794872</v>
      </c>
      <c r="H1780" s="9" t="n">
        <v>20.71794871794872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7" t="n"/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/>
      <c r="Y1780" s="13">
        <f>SUMPRODUCT(M1780:X1780,$M$2:$X$2)*$K1780*$L1780</f>
        <v/>
      </c>
      <c r="Z1780" s="14">
        <f>SUM(M1780:X1780)</f>
        <v/>
      </c>
      <c r="AA1780" s="14">
        <f>IFERROR(IF(UPPER($E1780)="L",SUMPRODUCT(M1780:X1780,$M$3:$X$3,$M$2:$X$2),SUMPRODUCT(M1780:X1780,$M$4:$X$4,$M$2:$X$2))/(Y1780/($K1780*$L1780)),"")</f>
        <v/>
      </c>
      <c r="AB1780" s="18" t="n"/>
    </row>
    <row r="1781">
      <c r="A1781" s="9" t="n">
        <v>703641</v>
      </c>
      <c r="B1781" s="9" t="inlineStr">
        <is>
          <t>Adrian Rodriguez</t>
        </is>
      </c>
      <c r="C1781" s="9" t="inlineStr">
        <is>
          <t>ARI</t>
        </is>
      </c>
      <c r="D1781" s="9" t="n">
        <v>25</v>
      </c>
      <c r="E1781" s="16" t="inlineStr">
        <is>
          <t>R</t>
        </is>
      </c>
      <c r="F1781" s="16" t="n"/>
      <c r="G1781" s="9" t="n">
        <v>29.33333333333333</v>
      </c>
      <c r="H1781" s="9" t="n">
        <v>29.33333333333333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7" t="n"/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/>
      <c r="Y1781" s="13">
        <f>SUMPRODUCT(M1781:X1781,$M$2:$X$2)*$K1781*$L1781</f>
        <v/>
      </c>
      <c r="Z1781" s="14">
        <f>SUM(M1781:X1781)</f>
        <v/>
      </c>
      <c r="AA1781" s="14">
        <f>IFERROR(IF(UPPER($E1781)="L",SUMPRODUCT(M1781:X1781,$M$3:$X$3,$M$2:$X$2),SUMPRODUCT(M1781:X1781,$M$4:$X$4,$M$2:$X$2))/(Y1781/($K1781*$L1781)),"")</f>
        <v/>
      </c>
      <c r="AB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7" t="n"/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/>
      <c r="Y1782" s="13">
        <f>SUMPRODUCT(M1782:X1782,$M$2:$X$2)*$K1782*$L1782</f>
        <v/>
      </c>
      <c r="Z1782" s="14">
        <f>SUM(M1782:X1782)</f>
        <v/>
      </c>
      <c r="AA1782" s="14">
        <f>IFERROR(IF(UPPER($E1782)="L",SUMPRODUCT(M1782:X1782,$M$3:$X$3,$M$2:$X$2),SUMPRODUCT(M1782:X1782,$M$4:$X$4,$M$2:$X$2))/(Y1782/($K1782*$L1782)),"")</f>
        <v/>
      </c>
      <c r="AB1782" s="18" t="n"/>
    </row>
    <row r="1783">
      <c r="A1783" s="9" t="n">
        <v>664913</v>
      </c>
      <c r="B1783" s="9" t="inlineStr">
        <is>
          <t>Seth Brown</t>
        </is>
      </c>
      <c r="C1783" s="9" t="inlineStr">
        <is>
          <t>OAK</t>
        </is>
      </c>
      <c r="D1783" s="9" t="n">
        <v>34</v>
      </c>
      <c r="E1783" s="16" t="inlineStr">
        <is>
          <t>L</t>
        </is>
      </c>
      <c r="F1783" s="16" t="n"/>
      <c r="G1783" s="9" t="n">
        <v>76</v>
      </c>
      <c r="H1783" s="9" t="n">
        <v>1409</v>
      </c>
      <c r="I1783" s="9" t="inlineStr">
        <is>
          <t>Bench Bat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7" t="n"/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/>
      <c r="Y1783" s="13">
        <f>SUMPRODUCT(M1783:X1783,$M$2:$X$2)*$K1783*$L1783</f>
        <v/>
      </c>
      <c r="Z1783" s="14">
        <f>SUM(M1783:X1783)</f>
        <v/>
      </c>
      <c r="AA1783" s="14">
        <f>IFERROR(IF(UPPER($E1783)="L",SUMPRODUCT(M1783:X1783,$M$3:$X$3,$M$2:$X$2),SUMPRODUCT(M1783:X1783,$M$4:$X$4,$M$2:$X$2))/(Y1783/($K1783*$L1783)),"")</f>
        <v/>
      </c>
      <c r="AB1783" s="18" t="n"/>
    </row>
    <row r="1784">
      <c r="A1784" s="9" t="n">
        <v>643393</v>
      </c>
      <c r="B1784" s="9" t="inlineStr">
        <is>
          <t>Tony Kemp</t>
        </is>
      </c>
      <c r="C1784" s="9" t="inlineStr">
        <is>
          <t>OAK</t>
        </is>
      </c>
      <c r="D1784" s="9" t="n">
        <v>35</v>
      </c>
      <c r="E1784" s="16" t="inlineStr">
        <is>
          <t>L</t>
        </is>
      </c>
      <c r="F1784" s="16" t="n"/>
      <c r="G1784" s="9" t="n">
        <v>10</v>
      </c>
      <c r="H1784" s="9" t="n">
        <v>987</v>
      </c>
      <c r="I1784" s="9" t="inlineStr">
        <is>
          <t>Depth (no MLB PA)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7" t="n"/>
      <c r="N1784" s="17" t="n"/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3">
        <f>SUMPRODUCT(M1784:X1784,$M$2:$X$2)*$K1784*$L1784</f>
        <v/>
      </c>
      <c r="Z1784" s="14">
        <f>SUM(M1784:X1784)</f>
        <v/>
      </c>
      <c r="AA1784" s="14">
        <f>IFERROR(IF(UPPER($E1784)="L",SUMPRODUCT(M1784:X1784,$M$3:$X$3,$M$2:$X$2),SUMPRODUCT(M1784:X1784,$M$4:$X$4,$M$2:$X$2))/(Y1784/($K1784*$L1784)),"")</f>
        <v/>
      </c>
      <c r="AB1784" s="18" t="n"/>
    </row>
    <row r="1785">
      <c r="A1785" s="9" t="n">
        <v>605141</v>
      </c>
      <c r="B1785" s="9" t="inlineStr">
        <is>
          <t>Mookie Betts</t>
        </is>
      </c>
      <c r="C1785" s="9" t="inlineStr">
        <is>
          <t>LAD</t>
        </is>
      </c>
      <c r="D1785" s="9" t="n">
        <v>34</v>
      </c>
      <c r="E1785" s="16" t="inlineStr">
        <is>
          <t>R</t>
        </is>
      </c>
      <c r="F1785" s="16" t="n"/>
      <c r="G1785" s="9" t="n">
        <v>528</v>
      </c>
      <c r="H1785" s="9" t="n">
        <v>3039</v>
      </c>
      <c r="I1785" s="9" t="inlineStr">
        <is>
          <t>Full Time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7" t="n"/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/>
      <c r="Y1785" s="13">
        <f>SUMPRODUCT(M1785:X1785,$M$2:$X$2)*$K1785*$L1785</f>
        <v/>
      </c>
      <c r="Z1785" s="14">
        <f>SUM(M1785:X1785)</f>
        <v/>
      </c>
      <c r="AA1785" s="14">
        <f>IFERROR(IF(UPPER($E1785)="L",SUMPRODUCT(M1785:X1785,$M$3:$X$3,$M$2:$X$2),SUMPRODUCT(M1785:X1785,$M$4:$X$4,$M$2:$X$2))/(Y1785/($K1785*$L1785)),"")</f>
        <v/>
      </c>
      <c r="AB1785" s="18" t="n"/>
    </row>
    <row r="1786">
      <c r="A1786" s="9" t="n">
        <v>683734</v>
      </c>
      <c r="B1786" s="9" t="inlineStr">
        <is>
          <t>Andrew Vaughn</t>
        </is>
      </c>
      <c r="C1786" s="9" t="inlineStr">
        <is>
          <t>MIL</t>
        </is>
      </c>
      <c r="D1786" s="9" t="n">
        <v>29</v>
      </c>
      <c r="E1786" s="16" t="inlineStr">
        <is>
          <t>R</t>
        </is>
      </c>
      <c r="F1786" s="16" t="n"/>
      <c r="G1786" s="9" t="n">
        <v>331</v>
      </c>
      <c r="H1786" s="9" t="n">
        <v>2567</v>
      </c>
      <c r="I1786" s="9" t="inlineStr">
        <is>
          <t>Full Time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7" t="n"/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/>
      <c r="Y1786" s="13">
        <f>SUMPRODUCT(M1786:X1786,$M$2:$X$2)*$K1786*$L1786</f>
        <v/>
      </c>
      <c r="Z1786" s="14">
        <f>SUM(M1786:X1786)</f>
        <v/>
      </c>
      <c r="AA1786" s="14">
        <f>IFERROR(IF(UPPER($E1786)="L",SUMPRODUCT(M1786:X1786,$M$3:$X$3,$M$2:$X$2),SUMPRODUCT(M1786:X1786,$M$4:$X$4,$M$2:$X$2))/(Y1786/($K1786*$L1786)),"")</f>
        <v/>
      </c>
      <c r="AB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n"/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7" t="n"/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/>
      <c r="Y1787" s="13">
        <f>SUMPRODUCT(M1787:X1787,$M$2:$X$2)*$K1787*$L1787</f>
        <v/>
      </c>
      <c r="Z1787" s="14">
        <f>SUM(M1787:X1787)</f>
        <v/>
      </c>
      <c r="AA1787" s="14">
        <f>IFERROR(IF(UPPER($E1787)="L",SUMPRODUCT(M1787:X1787,$M$3:$X$3,$M$2:$X$2),SUMPRODUCT(M1787:X1787,$M$4:$X$4,$M$2:$X$2))/(Y1787/($K1787*$L1787)),"")</f>
        <v/>
      </c>
      <c r="AB1787" s="18" t="n"/>
    </row>
    <row r="1788">
      <c r="A1788" s="9" t="n">
        <v>690443</v>
      </c>
      <c r="B1788" s="9" t="inlineStr">
        <is>
          <t>Mike Antico</t>
        </is>
      </c>
      <c r="C1788" s="9" t="inlineStr">
        <is>
          <t>COL</t>
        </is>
      </c>
      <c r="D1788" s="9" t="n">
        <v>25</v>
      </c>
      <c r="E1788" s="16" t="inlineStr">
        <is>
          <t>L</t>
        </is>
      </c>
      <c r="F1788" s="16" t="n"/>
      <c r="G1788" s="9" t="n">
        <v>36.10256410256411</v>
      </c>
      <c r="H1788" s="9" t="n">
        <v>36.10256410256411</v>
      </c>
      <c r="I1788" s="9" t="inlineStr">
        <is>
          <t>Depth (no MLB PA)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7" t="n"/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/>
      <c r="W1788" s="17" t="n"/>
      <c r="X1788" s="17" t="n"/>
      <c r="Y1788" s="13">
        <f>SUMPRODUCT(M1788:X1788,$M$2:$X$2)*$K1788*$L1788</f>
        <v/>
      </c>
      <c r="Z1788" s="14">
        <f>SUM(M1788:X1788)</f>
        <v/>
      </c>
      <c r="AA1788" s="14">
        <f>IFERROR(IF(UPPER($E1788)="L",SUMPRODUCT(M1788:X1788,$M$3:$X$3,$M$2:$X$2),SUMPRODUCT(M1788:X1788,$M$4:$X$4,$M$2:$X$2))/(Y1788/($K1788*$L1788)),"")</f>
        <v/>
      </c>
      <c r="AB1788" s="18" t="n"/>
    </row>
    <row r="1789">
      <c r="A1789" s="9" t="n">
        <v>806956</v>
      </c>
      <c r="B1789" s="9" t="inlineStr">
        <is>
          <t>Ethan Salas</t>
        </is>
      </c>
      <c r="C1789" s="9" t="inlineStr">
        <is>
          <t>SD</t>
        </is>
      </c>
      <c r="D1789" s="9" t="n">
        <v>21</v>
      </c>
      <c r="E1789" s="16" t="inlineStr">
        <is>
          <t>L</t>
        </is>
      </c>
      <c r="F1789" s="16" t="n"/>
      <c r="G1789" s="9" t="n">
        <v>40</v>
      </c>
      <c r="H1789" s="9" t="n">
        <v>40</v>
      </c>
      <c r="I1789" s="9" t="inlineStr">
        <is>
          <t>Bench Bat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7" t="n"/>
      <c r="N1789" s="17" t="n"/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3">
        <f>SUMPRODUCT(M1789:X1789,$M$2:$X$2)*$K1789*$L1789</f>
        <v/>
      </c>
      <c r="Z1789" s="14">
        <f>SUM(M1789:X1789)</f>
        <v/>
      </c>
      <c r="AA1789" s="14">
        <f>IFERROR(IF(UPPER($E1789)="L",SUMPRODUCT(M1789:X1789,$M$3:$X$3,$M$2:$X$2),SUMPRODUCT(M1789:X1789,$M$4:$X$4,$M$2:$X$2))/(Y1789/($K1789*$L1789)),"")</f>
        <v/>
      </c>
      <c r="AB1789" s="18" t="n"/>
    </row>
    <row r="1790">
      <c r="A1790" s="9" t="n">
        <v>806963</v>
      </c>
      <c r="B1790" s="9" t="inlineStr">
        <is>
          <t>Brando Mayea</t>
        </is>
      </c>
      <c r="C1790" s="9" t="inlineStr">
        <is>
          <t>NYY</t>
        </is>
      </c>
      <c r="D1790" s="9" t="n">
        <v>25</v>
      </c>
      <c r="E1790" s="16" t="inlineStr">
        <is>
          <t>R</t>
        </is>
      </c>
      <c r="F1790" s="16" t="n"/>
      <c r="G1790" s="9" t="n">
        <v>38.15384615384615</v>
      </c>
      <c r="H1790" s="9" t="n">
        <v>38.15384615384615</v>
      </c>
      <c r="I1790" s="9" t="inlineStr">
        <is>
          <t>Depth (no MLB PA)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7" t="n"/>
      <c r="N1790" s="17" t="n"/>
      <c r="O1790" s="17" t="n"/>
      <c r="P1790" s="17" t="n"/>
      <c r="Q1790" s="17" t="n"/>
      <c r="R1790" s="17" t="n"/>
      <c r="S1790" s="17" t="n"/>
      <c r="T1790" s="17" t="n"/>
      <c r="U1790" s="17" t="n"/>
      <c r="V1790" s="17" t="n"/>
      <c r="W1790" s="17" t="n"/>
      <c r="X1790" s="17" t="n"/>
      <c r="Y1790" s="13">
        <f>SUMPRODUCT(M1790:X1790,$M$2:$X$2)*$K1790*$L1790</f>
        <v/>
      </c>
      <c r="Z1790" s="14">
        <f>SUM(M1790:X1790)</f>
        <v/>
      </c>
      <c r="AA1790" s="14">
        <f>IFERROR(IF(UPPER($E1790)="L",SUMPRODUCT(M1790:X1790,$M$3:$X$3,$M$2:$X$2),SUMPRODUCT(M1790:X1790,$M$4:$X$4,$M$2:$X$2))/(Y1790/($K1790*$L1790)),"")</f>
        <v/>
      </c>
      <c r="AB1790" s="18" t="n"/>
    </row>
    <row r="1791">
      <c r="A1791" s="9" t="n">
        <v>821180</v>
      </c>
      <c r="B1791" s="9" t="inlineStr">
        <is>
          <t>Ilan Fernandez</t>
        </is>
      </c>
      <c r="C1791" s="9" t="inlineStr">
        <is>
          <t>BOS</t>
        </is>
      </c>
      <c r="D1791" s="9" t="n">
        <v>25</v>
      </c>
      <c r="E1791" s="16" t="inlineStr">
        <is>
          <t>R</t>
        </is>
      </c>
      <c r="F1791" s="16" t="n"/>
      <c r="G1791" s="9" t="n">
        <v>28.92307692307692</v>
      </c>
      <c r="H1791" s="9" t="n">
        <v>28.92307692307692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7" t="n"/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/>
      <c r="Y1791" s="13">
        <f>SUMPRODUCT(M1791:X1791,$M$2:$X$2)*$K1791*$L1791</f>
        <v/>
      </c>
      <c r="Z1791" s="14">
        <f>SUM(M1791:X1791)</f>
        <v/>
      </c>
      <c r="AA1791" s="14">
        <f>IFERROR(IF(UPPER($E1791)="L",SUMPRODUCT(M1791:X1791,$M$3:$X$3,$M$2:$X$2),SUMPRODUCT(M1791:X1791,$M$4:$X$4,$M$2:$X$2))/(Y1791/($K1791*$L1791)),"")</f>
        <v/>
      </c>
      <c r="AB1791" s="18" t="n"/>
    </row>
    <row r="1792">
      <c r="A1792" s="9" t="n">
        <v>805058</v>
      </c>
      <c r="B1792" s="9" t="inlineStr">
        <is>
          <t>Luis Marquez</t>
        </is>
      </c>
      <c r="C1792" s="9" t="inlineStr">
        <is>
          <t>TEX</t>
        </is>
      </c>
      <c r="D1792" s="9" t="n">
        <v>25</v>
      </c>
      <c r="E1792" s="16" t="inlineStr">
        <is>
          <t>R</t>
        </is>
      </c>
      <c r="F1792" s="16" t="n"/>
      <c r="G1792" s="9" t="n">
        <v>24.24615384615385</v>
      </c>
      <c r="H1792" s="9" t="n">
        <v>24.24615384615385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7" t="n"/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/>
      <c r="Y1792" s="13">
        <f>SUMPRODUCT(M1792:X1792,$M$2:$X$2)*$K1792*$L1792</f>
        <v/>
      </c>
      <c r="Z1792" s="14">
        <f>SUM(M1792:X1792)</f>
        <v/>
      </c>
      <c r="AA1792" s="14">
        <f>IFERROR(IF(UPPER($E1792)="L",SUMPRODUCT(M1792:X1792,$M$3:$X$3,$M$2:$X$2),SUMPRODUCT(M1792:X1792,$M$4:$X$4,$M$2:$X$2))/(Y1792/($K1792*$L1792)),"")</f>
        <v/>
      </c>
      <c r="AB1792" s="18" t="n"/>
    </row>
    <row r="1793">
      <c r="A1793" s="9" t="n">
        <v>815551</v>
      </c>
      <c r="B1793" s="9" t="inlineStr">
        <is>
          <t>Trey Snyder</t>
        </is>
      </c>
      <c r="C1793" s="9" t="inlineStr">
        <is>
          <t>NYM</t>
        </is>
      </c>
      <c r="D1793" s="9" t="n">
        <v>25</v>
      </c>
      <c r="E1793" s="16" t="inlineStr">
        <is>
          <t>R</t>
        </is>
      </c>
      <c r="F1793" s="16" t="n"/>
      <c r="G1793" s="9" t="n">
        <v>28.92307692307692</v>
      </c>
      <c r="H1793" s="9" t="n">
        <v>28.92307692307692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7" t="n"/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/>
      <c r="Y1793" s="13">
        <f>SUMPRODUCT(M1793:X1793,$M$2:$X$2)*$K1793*$L1793</f>
        <v/>
      </c>
      <c r="Z1793" s="14">
        <f>SUM(M1793:X1793)</f>
        <v/>
      </c>
      <c r="AA1793" s="14">
        <f>IFERROR(IF(UPPER($E1793)="L",SUMPRODUCT(M1793:X1793,$M$3:$X$3,$M$2:$X$2),SUMPRODUCT(M1793:X1793,$M$4:$X$4,$M$2:$X$2))/(Y1793/($K1793*$L1793)),"")</f>
        <v/>
      </c>
      <c r="AB1793" s="18" t="n"/>
    </row>
    <row r="1794">
      <c r="A1794" s="9" t="n">
        <v>800177</v>
      </c>
      <c r="B1794" s="9" t="inlineStr">
        <is>
          <t>Cesar Gonzalez</t>
        </is>
      </c>
      <c r="C1794" s="9" t="inlineStr">
        <is>
          <t>OAK</t>
        </is>
      </c>
      <c r="D1794" s="9" t="n">
        <v>25</v>
      </c>
      <c r="E1794" s="16" t="inlineStr">
        <is>
          <t>R</t>
        </is>
      </c>
      <c r="F1794" s="16" t="n"/>
      <c r="G1794" s="9" t="n">
        <v>28.67692307692308</v>
      </c>
      <c r="H1794" s="9" t="n">
        <v>28.67692307692308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7" t="n"/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/>
      <c r="Y1794" s="13">
        <f>SUMPRODUCT(M1794:X1794,$M$2:$X$2)*$K1794*$L1794</f>
        <v/>
      </c>
      <c r="Z1794" s="14">
        <f>SUM(M1794:X1794)</f>
        <v/>
      </c>
      <c r="AA1794" s="14">
        <f>IFERROR(IF(UPPER($E1794)="L",SUMPRODUCT(M1794:X1794,$M$3:$X$3,$M$2:$X$2),SUMPRODUCT(M1794:X1794,$M$4:$X$4,$M$2:$X$2))/(Y1794/($K1794*$L1794)),"")</f>
        <v/>
      </c>
      <c r="AB1794" s="18" t="n"/>
    </row>
    <row r="1795">
      <c r="A1795" s="9" t="n">
        <v>805931</v>
      </c>
      <c r="B1795" s="9" t="inlineStr">
        <is>
          <t>Caleb Hobson</t>
        </is>
      </c>
      <c r="C1795" s="9" t="inlineStr">
        <is>
          <t>COL</t>
        </is>
      </c>
      <c r="D1795" s="9" t="n">
        <v>25</v>
      </c>
      <c r="E1795" s="16" t="inlineStr">
        <is>
          <t>R</t>
        </is>
      </c>
      <c r="F1795" s="16" t="n"/>
      <c r="G1795" s="9" t="n">
        <v>19.28205128205128</v>
      </c>
      <c r="H1795" s="9" t="n">
        <v>19.28205128205128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7" t="n"/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/>
      <c r="Y1795" s="13">
        <f>SUMPRODUCT(M1795:X1795,$M$2:$X$2)*$K1795*$L1795</f>
        <v/>
      </c>
      <c r="Z1795" s="14">
        <f>SUM(M1795:X1795)</f>
        <v/>
      </c>
      <c r="AA1795" s="14">
        <f>IFERROR(IF(UPPER($E1795)="L",SUMPRODUCT(M1795:X1795,$M$3:$X$3,$M$2:$X$2),SUMPRODUCT(M1795:X1795,$M$4:$X$4,$M$2:$X$2))/(Y1795/($K1795*$L1795)),"")</f>
        <v/>
      </c>
      <c r="AB1795" s="18" t="n"/>
    </row>
    <row r="1796">
      <c r="A1796" s="9" t="n">
        <v>827719</v>
      </c>
      <c r="B1796" s="9" t="inlineStr">
        <is>
          <t>Jake Munroe</t>
        </is>
      </c>
      <c r="C1796" s="9" t="inlineStr">
        <is>
          <t>LAA</t>
        </is>
      </c>
      <c r="D1796" s="9" t="n">
        <v>25</v>
      </c>
      <c r="E1796" s="16" t="inlineStr">
        <is>
          <t>R</t>
        </is>
      </c>
      <c r="F1796" s="16" t="n"/>
      <c r="G1796" s="9" t="n">
        <v>94.05128205128204</v>
      </c>
      <c r="H1796" s="9" t="n">
        <v>94.05128205128204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7" t="n"/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/>
      <c r="Y1796" s="13">
        <f>SUMPRODUCT(M1796:X1796,$M$2:$X$2)*$K1796*$L1796</f>
        <v/>
      </c>
      <c r="Z1796" s="14">
        <f>SUM(M1796:X1796)</f>
        <v/>
      </c>
      <c r="AA1796" s="14">
        <f>IFERROR(IF(UPPER($E1796)="L",SUMPRODUCT(M1796:X1796,$M$3:$X$3,$M$2:$X$2),SUMPRODUCT(M1796:X1796,$M$4:$X$4,$M$2:$X$2))/(Y1796/($K1796*$L1796)),"")</f>
        <v/>
      </c>
      <c r="AB1796" s="18" t="n"/>
    </row>
    <row r="1797">
      <c r="A1797" s="9" t="n">
        <v>644374</v>
      </c>
      <c r="B1797" s="9" t="inlineStr">
        <is>
          <t>Yu Chang</t>
        </is>
      </c>
      <c r="C1797" s="9" t="inlineStr">
        <is>
          <t>BOS</t>
        </is>
      </c>
      <c r="D1797" s="9" t="n">
        <v>31</v>
      </c>
      <c r="E1797" s="16" t="inlineStr">
        <is>
          <t>R</t>
        </is>
      </c>
      <c r="F1797" s="16" t="n"/>
      <c r="G1797" s="9" t="n">
        <v>112</v>
      </c>
      <c r="H1797" s="9" t="n">
        <v>302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7" t="n"/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/>
      <c r="Y1797" s="13">
        <f>SUMPRODUCT(M1797:X1797,$M$2:$X$2)*$K1797*$L1797</f>
        <v/>
      </c>
      <c r="Z1797" s="14">
        <f>SUM(M1797:X1797)</f>
        <v/>
      </c>
      <c r="AA1797" s="14">
        <f>IFERROR(IF(UPPER($E1797)="L",SUMPRODUCT(M1797:X1797,$M$3:$X$3,$M$2:$X$2),SUMPRODUCT(M1797:X1797,$M$4:$X$4,$M$2:$X$2))/(Y1797/($K1797*$L1797)),"")</f>
        <v/>
      </c>
      <c r="AB1797" s="18" t="n"/>
    </row>
    <row r="1798">
      <c r="A1798" s="9" t="n">
        <v>802001</v>
      </c>
      <c r="B1798" s="9" t="inlineStr">
        <is>
          <t>Henry Hunter</t>
        </is>
      </c>
      <c r="C1798" s="9" t="inlineStr">
        <is>
          <t>CIN</t>
        </is>
      </c>
      <c r="D1798" s="9" t="n">
        <v>25</v>
      </c>
      <c r="E1798" s="16" t="inlineStr">
        <is>
          <t>L</t>
        </is>
      </c>
      <c r="F1798" s="16" t="n"/>
      <c r="G1798" s="9" t="n">
        <v>27.81538461538462</v>
      </c>
      <c r="H1798" s="9" t="n">
        <v>27.81538461538462</v>
      </c>
      <c r="I1798" s="9" t="inlineStr">
        <is>
          <t>Depth (no MLB PA)</t>
        </is>
      </c>
      <c r="J1798" s="16" t="inlineStr">
        <is>
          <t>Opening Day</t>
        </is>
      </c>
      <c r="K1798" s="11">
        <f>IFERROR(INDEX(Roles!$B$17:$B$20,MATCH(J1798,Roles!$A$17:$A$20,0)),1)</f>
        <v/>
      </c>
      <c r="L1798" s="17" t="n">
        <v>1</v>
      </c>
      <c r="M1798" s="17" t="n"/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/>
      <c r="Y1798" s="13">
        <f>SUMPRODUCT(M1798:X1798,$M$2:$X$2)*$K1798*$L1798</f>
        <v/>
      </c>
      <c r="Z1798" s="14">
        <f>SUM(M1798:X1798)</f>
        <v/>
      </c>
      <c r="AA1798" s="14">
        <f>IFERROR(IF(UPPER($E1798)="L",SUMPRODUCT(M1798:X1798,$M$3:$X$3,$M$2:$X$2),SUMPRODUCT(M1798:X1798,$M$4:$X$4,$M$2:$X$2))/(Y1798/($K1798*$L1798)),"")</f>
        <v/>
      </c>
      <c r="AB1798" s="18" t="n"/>
    </row>
    <row r="1799">
      <c r="A1799" s="9" t="n">
        <v>695681</v>
      </c>
      <c r="B1799" s="9" t="inlineStr">
        <is>
          <t>Christian Moore</t>
        </is>
      </c>
      <c r="C1799" s="9" t="inlineStr">
        <is>
          <t>LAA</t>
        </is>
      </c>
      <c r="D1799" s="9" t="n">
        <v>24</v>
      </c>
      <c r="E1799" s="16" t="inlineStr">
        <is>
          <t>R</t>
        </is>
      </c>
      <c r="F1799" s="16" t="n"/>
      <c r="G1799" s="9" t="n">
        <v>147</v>
      </c>
      <c r="H1799" s="9" t="n">
        <v>331</v>
      </c>
      <c r="I1799" s="9" t="inlineStr">
        <is>
          <t>Bench Bat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7" t="n"/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/>
      <c r="Y1799" s="13">
        <f>SUMPRODUCT(M1799:X1799,$M$2:$X$2)*$K1799*$L1799</f>
        <v/>
      </c>
      <c r="Z1799" s="14">
        <f>SUM(M1799:X1799)</f>
        <v/>
      </c>
      <c r="AA1799" s="14">
        <f>IFERROR(IF(UPPER($E1799)="L",SUMPRODUCT(M1799:X1799,$M$3:$X$3,$M$2:$X$2),SUMPRODUCT(M1799:X1799,$M$4:$X$4,$M$2:$X$2))/(Y1799/($K1799*$L1799)),"")</f>
        <v/>
      </c>
      <c r="AB1799" s="18" t="n"/>
    </row>
    <row r="1800">
      <c r="A1800" s="9" t="n">
        <v>806985</v>
      </c>
      <c r="B1800" s="9" t="inlineStr">
        <is>
          <t>Yoeilin Cespedes</t>
        </is>
      </c>
      <c r="C1800" s="9" t="inlineStr">
        <is>
          <t>BOS</t>
        </is>
      </c>
      <c r="D1800" s="9" t="n">
        <v>25</v>
      </c>
      <c r="E1800" s="16" t="inlineStr">
        <is>
          <t>R</t>
        </is>
      </c>
      <c r="F1800" s="16" t="n"/>
      <c r="G1800" s="9" t="n">
        <v>38.41025641025641</v>
      </c>
      <c r="H1800" s="9" t="n">
        <v>38.41025641025641</v>
      </c>
      <c r="I1800" s="9" t="inlineStr">
        <is>
          <t>Depth (no MLB PA)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7" t="n"/>
      <c r="N1800" s="17" t="n"/>
      <c r="O1800" s="17" t="n"/>
      <c r="P1800" s="17" t="n"/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3">
        <f>SUMPRODUCT(M1800:X1800,$M$2:$X$2)*$K1800*$L1800</f>
        <v/>
      </c>
      <c r="Z1800" s="14">
        <f>SUM(M1800:X1800)</f>
        <v/>
      </c>
      <c r="AA1800" s="14">
        <f>IFERROR(IF(UPPER($E1800)="L",SUMPRODUCT(M1800:X1800,$M$3:$X$3,$M$2:$X$2),SUMPRODUCT(M1800:X1800,$M$4:$X$4,$M$2:$X$2))/(Y1800/($K1800*$L1800)),"")</f>
        <v/>
      </c>
      <c r="AB1800" s="18" t="n"/>
    </row>
    <row r="1801">
      <c r="A1801" s="9" t="n">
        <v>829643</v>
      </c>
      <c r="B1801" s="9" t="inlineStr">
        <is>
          <t>Jacob McCombs</t>
        </is>
      </c>
      <c r="C1801" s="9" t="inlineStr">
        <is>
          <t>MIN</t>
        </is>
      </c>
      <c r="D1801" s="9" t="n">
        <v>25</v>
      </c>
      <c r="E1801" s="16" t="inlineStr">
        <is>
          <t>L</t>
        </is>
      </c>
      <c r="F1801" s="16" t="n"/>
      <c r="G1801" s="9" t="n">
        <v>52.30769230769232</v>
      </c>
      <c r="H1801" s="9" t="n">
        <v>52.30769230769232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7" t="n"/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/>
      <c r="Y1801" s="13">
        <f>SUMPRODUCT(M1801:X1801,$M$2:$X$2)*$K1801*$L1801</f>
        <v/>
      </c>
      <c r="Z1801" s="14">
        <f>SUM(M1801:X1801)</f>
        <v/>
      </c>
      <c r="AA1801" s="14">
        <f>IFERROR(IF(UPPER($E1801)="L",SUMPRODUCT(M1801:X1801,$M$3:$X$3,$M$2:$X$2),SUMPRODUCT(M1801:X1801,$M$4:$X$4,$M$2:$X$2))/(Y1801/($K1801*$L1801)),"")</f>
        <v/>
      </c>
      <c r="AB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7" t="n"/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/>
      <c r="Y1802" s="13">
        <f>SUMPRODUCT(M1802:X1802,$M$2:$X$2)*$K1802*$L1802</f>
        <v/>
      </c>
      <c r="Z1802" s="14">
        <f>SUM(M1802:X1802)</f>
        <v/>
      </c>
      <c r="AA1802" s="14">
        <f>IFERROR(IF(UPPER($E1802)="L",SUMPRODUCT(M1802:X1802,$M$3:$X$3,$M$2:$X$2),SUMPRODUCT(M1802:X1802,$M$4:$X$4,$M$2:$X$2))/(Y1802/($K1802*$L1802)),"")</f>
        <v/>
      </c>
      <c r="AB1802" s="18" t="n"/>
    </row>
    <row r="1803">
      <c r="A1803" s="9" t="n">
        <v>812540</v>
      </c>
      <c r="B1803" s="9" t="inlineStr">
        <is>
          <t>Qrey Lott</t>
        </is>
      </c>
      <c r="C1803" s="9" t="inlineStr">
        <is>
          <t>SD</t>
        </is>
      </c>
      <c r="D1803" s="9" t="n">
        <v>25</v>
      </c>
      <c r="E1803" s="16" t="inlineStr">
        <is>
          <t>R</t>
        </is>
      </c>
      <c r="F1803" s="16" t="n"/>
      <c r="G1803" s="9" t="n">
        <v>38.4</v>
      </c>
      <c r="H1803" s="9" t="n">
        <v>38.4</v>
      </c>
      <c r="I1803" s="9" t="inlineStr">
        <is>
          <t>Depth (no MLB PA)</t>
        </is>
      </c>
      <c r="J1803" s="16" t="inlineStr">
        <is>
          <t>Opening Day</t>
        </is>
      </c>
      <c r="K1803" s="11">
        <f>IFERROR(INDEX(Roles!$B$17:$B$20,MATCH(J1803,Roles!$A$17:$A$20,0)),1)</f>
        <v/>
      </c>
      <c r="L1803" s="17" t="n">
        <v>1</v>
      </c>
      <c r="M1803" s="17" t="n"/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/>
      <c r="Y1803" s="13">
        <f>SUMPRODUCT(M1803:X1803,$M$2:$X$2)*$K1803*$L1803</f>
        <v/>
      </c>
      <c r="Z1803" s="14">
        <f>SUM(M1803:X1803)</f>
        <v/>
      </c>
      <c r="AA1803" s="14">
        <f>IFERROR(IF(UPPER($E1803)="L",SUMPRODUCT(M1803:X1803,$M$3:$X$3,$M$2:$X$2),SUMPRODUCT(M1803:X1803,$M$4:$X$4,$M$2:$X$2))/(Y1803/($K1803*$L1803)),"")</f>
        <v/>
      </c>
      <c r="AB1803" s="18" t="n"/>
    </row>
    <row r="1804">
      <c r="A1804" s="9" t="n">
        <v>703676</v>
      </c>
      <c r="B1804" s="9" t="inlineStr">
        <is>
          <t>Ethan Frey</t>
        </is>
      </c>
      <c r="C1804" s="9" t="inlineStr">
        <is>
          <t>HOU</t>
        </is>
      </c>
      <c r="D1804" s="9" t="n">
        <v>25</v>
      </c>
      <c r="E1804" s="16" t="inlineStr">
        <is>
          <t>R</t>
        </is>
      </c>
      <c r="F1804" s="16" t="n"/>
      <c r="G1804" s="9" t="n">
        <v>58.87179487179488</v>
      </c>
      <c r="H1804" s="9" t="n">
        <v>58.87179487179488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7" t="n"/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/>
      <c r="Y1804" s="13">
        <f>SUMPRODUCT(M1804:X1804,$M$2:$X$2)*$K1804*$L1804</f>
        <v/>
      </c>
      <c r="Z1804" s="14">
        <f>SUM(M1804:X1804)</f>
        <v/>
      </c>
      <c r="AA1804" s="14">
        <f>IFERROR(IF(UPPER($E1804)="L",SUMPRODUCT(M1804:X1804,$M$3:$X$3,$M$2:$X$2),SUMPRODUCT(M1804:X1804,$M$4:$X$4,$M$2:$X$2))/(Y1804/($K1804*$L1804)),"")</f>
        <v/>
      </c>
      <c r="AB1804" s="18" t="n"/>
    </row>
    <row r="1805">
      <c r="A1805" s="9" t="n">
        <v>683061</v>
      </c>
      <c r="B1805" s="9" t="inlineStr">
        <is>
          <t>Alexander Vargas</t>
        </is>
      </c>
      <c r="C1805" s="9" t="inlineStr">
        <is>
          <t>CIN</t>
        </is>
      </c>
      <c r="D1805" s="9" t="n">
        <v>25</v>
      </c>
      <c r="E1805" s="16" t="inlineStr">
        <is>
          <t>S</t>
        </is>
      </c>
      <c r="F1805" s="16" t="n"/>
      <c r="G1805" s="9" t="n">
        <v>21.53846153846154</v>
      </c>
      <c r="H1805" s="9" t="n">
        <v>21.53846153846154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7" t="n"/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/>
      <c r="Y1805" s="13">
        <f>SUMPRODUCT(M1805:X1805,$M$2:$X$2)*$K1805*$L1805</f>
        <v/>
      </c>
      <c r="Z1805" s="14">
        <f>SUM(M1805:X1805)</f>
        <v/>
      </c>
      <c r="AA1805" s="14">
        <f>IFERROR(IF(UPPER($E1805)="L",SUMPRODUCT(M1805:X1805,$M$3:$X$3,$M$2:$X$2),SUMPRODUCT(M1805:X1805,$M$4:$X$4,$M$2:$X$2))/(Y1805/($K1805*$L1805)),"")</f>
        <v/>
      </c>
      <c r="AB1805" s="18" t="n"/>
    </row>
    <row r="1806">
      <c r="A1806" s="9" t="n">
        <v>703195</v>
      </c>
      <c r="B1806" s="9" t="inlineStr">
        <is>
          <t>Bryan Acuña</t>
        </is>
      </c>
      <c r="C1806" s="9" t="inlineStr">
        <is>
          <t>MIN</t>
        </is>
      </c>
      <c r="D1806" s="9" t="n">
        <v>25</v>
      </c>
      <c r="E1806" s="16" t="inlineStr">
        <is>
          <t>R</t>
        </is>
      </c>
      <c r="F1806" s="16" t="n"/>
      <c r="G1806" s="9" t="n">
        <v>20.18461538461538</v>
      </c>
      <c r="H1806" s="9" t="n">
        <v>20.18461538461538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7" t="n"/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/>
      <c r="Y1806" s="13">
        <f>SUMPRODUCT(M1806:X1806,$M$2:$X$2)*$K1806*$L1806</f>
        <v/>
      </c>
      <c r="Z1806" s="14">
        <f>SUM(M1806:X1806)</f>
        <v/>
      </c>
      <c r="AA1806" s="14">
        <f>IFERROR(IF(UPPER($E1806)="L",SUMPRODUCT(M1806:X1806,$M$3:$X$3,$M$2:$X$2),SUMPRODUCT(M1806:X1806,$M$4:$X$4,$M$2:$X$2))/(Y1806/($K1806*$L1806)),"")</f>
        <v/>
      </c>
      <c r="AB1806" s="18" t="n"/>
    </row>
    <row r="1807">
      <c r="A1807" s="9" t="n">
        <v>807256</v>
      </c>
      <c r="B1807" s="9" t="inlineStr">
        <is>
          <t>Josh Springer</t>
        </is>
      </c>
      <c r="C1807" s="9" t="inlineStr">
        <is>
          <t>TEX</t>
        </is>
      </c>
      <c r="D1807" s="9" t="n">
        <v>25</v>
      </c>
      <c r="E1807" s="16" t="inlineStr">
        <is>
          <t>R</t>
        </is>
      </c>
      <c r="F1807" s="16" t="n"/>
      <c r="G1807" s="9" t="n">
        <v>24.36923076923077</v>
      </c>
      <c r="H1807" s="9" t="n">
        <v>24.36923076923077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7" t="n"/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/>
      <c r="Y1807" s="13">
        <f>SUMPRODUCT(M1807:X1807,$M$2:$X$2)*$K1807*$L1807</f>
        <v/>
      </c>
      <c r="Z1807" s="14">
        <f>SUM(M1807:X1807)</f>
        <v/>
      </c>
      <c r="AA1807" s="14">
        <f>IFERROR(IF(UPPER($E1807)="L",SUMPRODUCT(M1807:X1807,$M$3:$X$3,$M$2:$X$2),SUMPRODUCT(M1807:X1807,$M$4:$X$4,$M$2:$X$2))/(Y1807/($K1807*$L1807)),"")</f>
        <v/>
      </c>
      <c r="AB1807" s="18" t="n"/>
    </row>
    <row r="1808">
      <c r="A1808" s="9" t="n">
        <v>694208</v>
      </c>
      <c r="B1808" s="9" t="inlineStr">
        <is>
          <t>Moisés Ballesteros</t>
        </is>
      </c>
      <c r="C1808" s="9" t="inlineStr">
        <is>
          <t>LAA</t>
        </is>
      </c>
      <c r="D1808" s="9" t="n">
        <v>23</v>
      </c>
      <c r="E1808" s="16" t="inlineStr">
        <is>
          <t>L</t>
        </is>
      </c>
      <c r="F1808" s="16" t="n"/>
      <c r="G1808" s="9" t="n">
        <v>352</v>
      </c>
      <c r="H1808" s="9" t="n">
        <v>418</v>
      </c>
      <c r="I1808" s="9" t="inlineStr">
        <is>
          <t>Utility OF / 4th OF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7" t="n"/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/>
      <c r="Y1808" s="13">
        <f>SUMPRODUCT(M1808:X1808,$M$2:$X$2)*$K1808*$L1808</f>
        <v/>
      </c>
      <c r="Z1808" s="14">
        <f>SUM(M1808:X1808)</f>
        <v/>
      </c>
      <c r="AA1808" s="14">
        <f>IFERROR(IF(UPPER($E1808)="L",SUMPRODUCT(M1808:X1808,$M$3:$X$3,$M$2:$X$2),SUMPRODUCT(M1808:X1808,$M$4:$X$4,$M$2:$X$2))/(Y1808/($K1808*$L1808)),"")</f>
        <v/>
      </c>
      <c r="AB1808" s="18" t="n"/>
    </row>
    <row r="1809">
      <c r="A1809" s="9" t="n">
        <v>682663</v>
      </c>
      <c r="B1809" s="9" t="inlineStr">
        <is>
          <t>Agustín Ramírez</t>
        </is>
      </c>
      <c r="C1809" s="9" t="inlineStr">
        <is>
          <t>MIA</t>
        </is>
      </c>
      <c r="D1809" s="9" t="n">
        <v>25</v>
      </c>
      <c r="E1809" s="16" t="inlineStr">
        <is>
          <t>R</t>
        </is>
      </c>
      <c r="F1809" s="16" t="n"/>
      <c r="G1809" s="9" t="n">
        <v>255</v>
      </c>
      <c r="H1809" s="9" t="n">
        <v>840</v>
      </c>
      <c r="I1809" s="9" t="inlineStr">
        <is>
          <t>Full Time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7" t="n"/>
      <c r="N1809" s="17" t="n"/>
      <c r="O1809" s="17" t="n"/>
      <c r="P1809" s="17" t="n"/>
      <c r="Q1809" s="17" t="n"/>
      <c r="R1809" s="17" t="n"/>
      <c r="S1809" s="17" t="n"/>
      <c r="T1809" s="17" t="n"/>
      <c r="U1809" s="17" t="n"/>
      <c r="V1809" s="17" t="n"/>
      <c r="W1809" s="17" t="n"/>
      <c r="X1809" s="17" t="n"/>
      <c r="Y1809" s="13">
        <f>SUMPRODUCT(M1809:X1809,$M$2:$X$2)*$K1809*$L1809</f>
        <v/>
      </c>
      <c r="Z1809" s="14">
        <f>SUM(M1809:X1809)</f>
        <v/>
      </c>
      <c r="AA1809" s="14">
        <f>IFERROR(IF(UPPER($E1809)="L",SUMPRODUCT(M1809:X1809,$M$3:$X$3,$M$2:$X$2),SUMPRODUCT(M1809:X1809,$M$4:$X$4,$M$2:$X$2))/(Y1809/($K1809*$L1809)),"")</f>
        <v/>
      </c>
      <c r="AB1809" s="18" t="n"/>
    </row>
    <row r="1810">
      <c r="A1810" s="9" t="n">
        <v>699305</v>
      </c>
      <c r="B1810" s="9" t="inlineStr">
        <is>
          <t>Diego Mosquera</t>
        </is>
      </c>
      <c r="C1810" s="9" t="inlineStr">
        <is>
          <t>NYM</t>
        </is>
      </c>
      <c r="D1810" s="9" t="n">
        <v>25</v>
      </c>
      <c r="E1810" s="16" t="inlineStr">
        <is>
          <t>R</t>
        </is>
      </c>
      <c r="F1810" s="16" t="n"/>
      <c r="G1810" s="9" t="n">
        <v>20.10256410256411</v>
      </c>
      <c r="H1810" s="9" t="n">
        <v>20.10256410256411</v>
      </c>
      <c r="I1810" s="9" t="inlineStr">
        <is>
          <t>Depth (no MLB PA)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7" t="n"/>
      <c r="N1810" s="17" t="n"/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3">
        <f>SUMPRODUCT(M1810:X1810,$M$2:$X$2)*$K1810*$L1810</f>
        <v/>
      </c>
      <c r="Z1810" s="14">
        <f>SUM(M1810:X1810)</f>
        <v/>
      </c>
      <c r="AA1810" s="14">
        <f>IFERROR(IF(UPPER($E1810)="L",SUMPRODUCT(M1810:X1810,$M$3:$X$3,$M$2:$X$2),SUMPRODUCT(M1810:X1810,$M$4:$X$4,$M$2:$X$2))/(Y1810/($K1810*$L1810)),"")</f>
        <v/>
      </c>
      <c r="AB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7" t="n"/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/>
      <c r="Y1811" s="13">
        <f>SUMPRODUCT(M1811:X1811,$M$2:$X$2)*$K1811*$L1811</f>
        <v/>
      </c>
      <c r="Z1811" s="14">
        <f>SUM(M1811:X1811)</f>
        <v/>
      </c>
      <c r="AA1811" s="14">
        <f>IFERROR(IF(UPPER($E1811)="L",SUMPRODUCT(M1811:X1811,$M$3:$X$3,$M$2:$X$2),SUMPRODUCT(M1811:X1811,$M$4:$X$4,$M$2:$X$2))/(Y1811/($K1811*$L1811)),"")</f>
        <v/>
      </c>
      <c r="AB1811" s="18" t="n"/>
    </row>
    <row r="1812">
      <c r="A1812" s="9" t="n">
        <v>804119</v>
      </c>
      <c r="B1812" s="9" t="inlineStr">
        <is>
          <t>Bobby Boser</t>
        </is>
      </c>
      <c r="C1812" s="9" t="inlineStr">
        <is>
          <t>OAK</t>
        </is>
      </c>
      <c r="D1812" s="9" t="n">
        <v>25</v>
      </c>
      <c r="E1812" s="16" t="inlineStr">
        <is>
          <t>R</t>
        </is>
      </c>
      <c r="F1812" s="16" t="n"/>
      <c r="G1812" s="9" t="n">
        <v>116.3076923076923</v>
      </c>
      <c r="H1812" s="9" t="n">
        <v>116.3076923076923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7" t="n"/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/>
      <c r="Y1812" s="13">
        <f>SUMPRODUCT(M1812:X1812,$M$2:$X$2)*$K1812*$L1812</f>
        <v/>
      </c>
      <c r="Z1812" s="14">
        <f>SUM(M1812:X1812)</f>
        <v/>
      </c>
      <c r="AA1812" s="14">
        <f>IFERROR(IF(UPPER($E1812)="L",SUMPRODUCT(M1812:X1812,$M$3:$X$3,$M$2:$X$2),SUMPRODUCT(M1812:X1812,$M$4:$X$4,$M$2:$X$2))/(Y1812/($K1812*$L1812)),"")</f>
        <v/>
      </c>
      <c r="AB1812" s="18" t="n"/>
    </row>
    <row r="1813">
      <c r="A1813" s="9" t="n">
        <v>684491</v>
      </c>
      <c r="B1813" s="9" t="inlineStr">
        <is>
          <t>Frank Rodriguez</t>
        </is>
      </c>
      <c r="C1813" s="9" t="inlineStr">
        <is>
          <t>LAD</t>
        </is>
      </c>
      <c r="D1813" s="9" t="n">
        <v>25</v>
      </c>
      <c r="E1813" s="16" t="inlineStr">
        <is>
          <t>R</t>
        </is>
      </c>
      <c r="F1813" s="16" t="n"/>
      <c r="G1813" s="9" t="n">
        <v>94.41025641025639</v>
      </c>
      <c r="H1813" s="9" t="n">
        <v>94.41025641025639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7" t="n"/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/>
      <c r="Y1813" s="13">
        <f>SUMPRODUCT(M1813:X1813,$M$2:$X$2)*$K1813*$L1813</f>
        <v/>
      </c>
      <c r="Z1813" s="14">
        <f>SUM(M1813:X1813)</f>
        <v/>
      </c>
      <c r="AA1813" s="14">
        <f>IFERROR(IF(UPPER($E1813)="L",SUMPRODUCT(M1813:X1813,$M$3:$X$3,$M$2:$X$2),SUMPRODUCT(M1813:X1813,$M$4:$X$4,$M$2:$X$2))/(Y1813/($K1813*$L1813)),"")</f>
        <v/>
      </c>
      <c r="AB1813" s="18" t="n"/>
    </row>
    <row r="1814">
      <c r="A1814" s="9" t="n">
        <v>815380</v>
      </c>
      <c r="B1814" s="9" t="inlineStr">
        <is>
          <t>Luke Dickerson</t>
        </is>
      </c>
      <c r="C1814" s="9" t="inlineStr">
        <is>
          <t>WSH</t>
        </is>
      </c>
      <c r="D1814" s="9" t="n">
        <v>25</v>
      </c>
      <c r="E1814" s="16" t="inlineStr">
        <is>
          <t>R</t>
        </is>
      </c>
      <c r="F1814" s="16" t="n"/>
      <c r="G1814" s="9" t="n">
        <v>19.69230769230769</v>
      </c>
      <c r="H1814" s="9" t="n">
        <v>19.69230769230769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7" t="n"/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/>
      <c r="Y1814" s="13">
        <f>SUMPRODUCT(M1814:X1814,$M$2:$X$2)*$K1814*$L1814</f>
        <v/>
      </c>
      <c r="Z1814" s="14">
        <f>SUM(M1814:X1814)</f>
        <v/>
      </c>
      <c r="AA1814" s="14">
        <f>IFERROR(IF(UPPER($E1814)="L",SUMPRODUCT(M1814:X1814,$M$3:$X$3,$M$2:$X$2),SUMPRODUCT(M1814:X1814,$M$4:$X$4,$M$2:$X$2))/(Y1814/($K1814*$L1814)),"")</f>
        <v/>
      </c>
      <c r="AB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n"/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7" t="n"/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/>
      <c r="Y1815" s="13">
        <f>SUMPRODUCT(M1815:X1815,$M$2:$X$2)*$K1815*$L1815</f>
        <v/>
      </c>
      <c r="Z1815" s="14">
        <f>SUM(M1815:X1815)</f>
        <v/>
      </c>
      <c r="AA1815" s="14">
        <f>IFERROR(IF(UPPER($E1815)="L",SUMPRODUCT(M1815:X1815,$M$3:$X$3,$M$2:$X$2),SUMPRODUCT(M1815:X1815,$M$4:$X$4,$M$2:$X$2))/(Y1815/($K1815*$L1815)),"")</f>
        <v/>
      </c>
      <c r="AB1815" s="18" t="n"/>
    </row>
    <row r="1816">
      <c r="A1816" s="9" t="n">
        <v>808307</v>
      </c>
      <c r="B1816" s="9" t="inlineStr">
        <is>
          <t>Kleyver Salazar</t>
        </is>
      </c>
      <c r="C1816" s="9" t="inlineStr">
        <is>
          <t>BOS</t>
        </is>
      </c>
      <c r="D1816" s="9" t="n">
        <v>25</v>
      </c>
      <c r="E1816" s="16" t="inlineStr">
        <is>
          <t>R</t>
        </is>
      </c>
      <c r="F1816" s="16" t="n"/>
      <c r="G1816" s="9" t="n">
        <v>48.98461538461539</v>
      </c>
      <c r="H1816" s="9" t="n">
        <v>48.98461538461539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7" t="n"/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/>
      <c r="Y1816" s="13">
        <f>SUMPRODUCT(M1816:X1816,$M$2:$X$2)*$K1816*$L1816</f>
        <v/>
      </c>
      <c r="Z1816" s="14">
        <f>SUM(M1816:X1816)</f>
        <v/>
      </c>
      <c r="AA1816" s="14">
        <f>IFERROR(IF(UPPER($E1816)="L",SUMPRODUCT(M1816:X1816,$M$3:$X$3,$M$2:$X$2),SUMPRODUCT(M1816:X1816,$M$4:$X$4,$M$2:$X$2))/(Y1816/($K1816*$L1816)),"")</f>
        <v/>
      </c>
      <c r="AB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7" t="n"/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/>
      <c r="Y1817" s="13">
        <f>SUMPRODUCT(M1817:X1817,$M$2:$X$2)*$K1817*$L1817</f>
        <v/>
      </c>
      <c r="Z1817" s="14">
        <f>SUM(M1817:X1817)</f>
        <v/>
      </c>
      <c r="AA1817" s="14">
        <f>IFERROR(IF(UPPER($E1817)="L",SUMPRODUCT(M1817:X1817,$M$3:$X$3,$M$2:$X$2),SUMPRODUCT(M1817:X1817,$M$4:$X$4,$M$2:$X$2))/(Y1817/($K1817*$L1817)),"")</f>
        <v/>
      </c>
      <c r="AB1817" s="18" t="n"/>
    </row>
    <row r="1818">
      <c r="A1818" s="9" t="n">
        <v>641525</v>
      </c>
      <c r="B1818" s="9" t="inlineStr">
        <is>
          <t>Brandon Dixon</t>
        </is>
      </c>
      <c r="C1818" s="9" t="inlineStr">
        <is>
          <t>SD</t>
        </is>
      </c>
      <c r="D1818" s="9" t="n">
        <v>35</v>
      </c>
      <c r="E1818" s="16" t="inlineStr">
        <is>
          <t>R</t>
        </is>
      </c>
      <c r="F1818" s="16" t="n"/>
      <c r="G1818" s="9" t="n">
        <v>86</v>
      </c>
      <c r="H1818" s="9" t="n">
        <v>100</v>
      </c>
      <c r="I1818" s="9" t="inlineStr">
        <is>
          <t>Depth (no MLB PA)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7" t="n"/>
      <c r="N1818" s="17" t="n"/>
      <c r="O1818" s="17" t="n"/>
      <c r="P1818" s="17" t="n"/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3">
        <f>SUMPRODUCT(M1818:X1818,$M$2:$X$2)*$K1818*$L1818</f>
        <v/>
      </c>
      <c r="Z1818" s="14">
        <f>SUM(M1818:X1818)</f>
        <v/>
      </c>
      <c r="AA1818" s="14">
        <f>IFERROR(IF(UPPER($E1818)="L",SUMPRODUCT(M1818:X1818,$M$3:$X$3,$M$2:$X$2),SUMPRODUCT(M1818:X1818,$M$4:$X$4,$M$2:$X$2))/(Y1818/($K1818*$L1818)),"")</f>
        <v/>
      </c>
      <c r="AB1818" s="18" t="n"/>
    </row>
    <row r="1819">
      <c r="A1819" s="9" t="n">
        <v>669016</v>
      </c>
      <c r="B1819" s="9" t="inlineStr">
        <is>
          <t>Brandon Marsh</t>
        </is>
      </c>
      <c r="C1819" s="9" t="inlineStr">
        <is>
          <t>PHI</t>
        </is>
      </c>
      <c r="D1819" s="9" t="n">
        <v>29</v>
      </c>
      <c r="E1819" s="16" t="inlineStr">
        <is>
          <t>L</t>
        </is>
      </c>
      <c r="F1819" s="16" t="n"/>
      <c r="G1819" s="9" t="n">
        <v>568</v>
      </c>
      <c r="H1819" s="9" t="n">
        <v>2402</v>
      </c>
      <c r="I1819" s="9" t="inlineStr">
        <is>
          <t>Full Time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7" t="n"/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/>
      <c r="Y1819" s="13">
        <f>SUMPRODUCT(M1819:X1819,$M$2:$X$2)*$K1819*$L1819</f>
        <v/>
      </c>
      <c r="Z1819" s="14">
        <f>SUM(M1819:X1819)</f>
        <v/>
      </c>
      <c r="AA1819" s="14">
        <f>IFERROR(IF(UPPER($E1819)="L",SUMPRODUCT(M1819:X1819,$M$3:$X$3,$M$2:$X$2),SUMPRODUCT(M1819:X1819,$M$4:$X$4,$M$2:$X$2))/(Y1819/($K1819*$L1819)),"")</f>
        <v/>
      </c>
      <c r="AB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7" t="n"/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/>
      <c r="Y1820" s="13">
        <f>SUMPRODUCT(M1820:X1820,$M$2:$X$2)*$K1820*$L1820</f>
        <v/>
      </c>
      <c r="Z1820" s="14">
        <f>SUM(M1820:X1820)</f>
        <v/>
      </c>
      <c r="AA1820" s="14">
        <f>IFERROR(IF(UPPER($E1820)="L",SUMPRODUCT(M1820:X1820,$M$3:$X$3,$M$2:$X$2),SUMPRODUCT(M1820:X1820,$M$4:$X$4,$M$2:$X$2))/(Y1820/($K1820*$L1820)),"")</f>
        <v/>
      </c>
      <c r="AB1820" s="18" t="n"/>
    </row>
    <row r="1821">
      <c r="A1821" s="9" t="n">
        <v>670208</v>
      </c>
      <c r="B1821" s="9" t="inlineStr">
        <is>
          <t>Matt Fraizer</t>
        </is>
      </c>
      <c r="C1821" s="9" t="inlineStr">
        <is>
          <t>BOS</t>
        </is>
      </c>
      <c r="D1821" s="9" t="n">
        <v>25</v>
      </c>
      <c r="E1821" s="16" t="inlineStr">
        <is>
          <t>L</t>
        </is>
      </c>
      <c r="F1821" s="16" t="n"/>
      <c r="G1821" s="9" t="n">
        <v>30.51282051282051</v>
      </c>
      <c r="H1821" s="9" t="n">
        <v>30.51282051282051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7" t="n"/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/>
      <c r="Y1821" s="13">
        <f>SUMPRODUCT(M1821:X1821,$M$2:$X$2)*$K1821*$L1821</f>
        <v/>
      </c>
      <c r="Z1821" s="14">
        <f>SUM(M1821:X1821)</f>
        <v/>
      </c>
      <c r="AA1821" s="14">
        <f>IFERROR(IF(UPPER($E1821)="L",SUMPRODUCT(M1821:X1821,$M$3:$X$3,$M$2:$X$2),SUMPRODUCT(M1821:X1821,$M$4:$X$4,$M$2:$X$2))/(Y1821/($K1821*$L1821)),"")</f>
        <v/>
      </c>
      <c r="AB1821" s="18" t="n"/>
    </row>
    <row r="1822">
      <c r="A1822" s="9" t="n">
        <v>641680</v>
      </c>
      <c r="B1822" s="9" t="inlineStr">
        <is>
          <t>Jonah Heim</t>
        </is>
      </c>
      <c r="C1822" s="9" t="inlineStr">
        <is>
          <t>OAK</t>
        </is>
      </c>
      <c r="D1822" s="9" t="n">
        <v>32</v>
      </c>
      <c r="E1822" s="16" t="inlineStr">
        <is>
          <t>S</t>
        </is>
      </c>
      <c r="F1822" s="16" t="n"/>
      <c r="G1822" s="9" t="n">
        <v>390</v>
      </c>
      <c r="H1822" s="9" t="n">
        <v>2265</v>
      </c>
      <c r="I1822" s="9" t="inlineStr">
        <is>
          <t>Full Time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7" t="n"/>
      <c r="N1822" s="17" t="n"/>
      <c r="O1822" s="17" t="n"/>
      <c r="P1822" s="17" t="n"/>
      <c r="Q1822" s="17" t="n"/>
      <c r="R1822" s="17" t="n"/>
      <c r="S1822" s="17" t="n"/>
      <c r="T1822" s="17" t="n"/>
      <c r="U1822" s="17" t="n"/>
      <c r="V1822" s="17" t="n"/>
      <c r="W1822" s="17" t="n"/>
      <c r="X1822" s="17" t="n"/>
      <c r="Y1822" s="13">
        <f>SUMPRODUCT(M1822:X1822,$M$2:$X$2)*$K1822*$L1822</f>
        <v/>
      </c>
      <c r="Z1822" s="14">
        <f>SUM(M1822:X1822)</f>
        <v/>
      </c>
      <c r="AA1822" s="14">
        <f>IFERROR(IF(UPPER($E1822)="L",SUMPRODUCT(M1822:X1822,$M$3:$X$3,$M$2:$X$2),SUMPRODUCT(M1822:X1822,$M$4:$X$4,$M$2:$X$2))/(Y1822/($K1822*$L1822)),"")</f>
        <v/>
      </c>
      <c r="AB1822" s="18" t="n"/>
    </row>
    <row r="1823">
      <c r="A1823" s="9" t="n">
        <v>666386</v>
      </c>
      <c r="B1823" s="9" t="inlineStr">
        <is>
          <t>Archer Brookman</t>
        </is>
      </c>
      <c r="C1823" s="9" t="inlineStr">
        <is>
          <t>ATL</t>
        </is>
      </c>
      <c r="D1823" s="9" t="n">
        <v>25</v>
      </c>
      <c r="E1823" s="16" t="inlineStr">
        <is>
          <t>R</t>
        </is>
      </c>
      <c r="F1823" s="16" t="n"/>
      <c r="G1823" s="9" t="n">
        <v>103.7435897435897</v>
      </c>
      <c r="H1823" s="9" t="n">
        <v>103.7435897435897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7" t="n"/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/>
      <c r="Y1823" s="13">
        <f>SUMPRODUCT(M1823:X1823,$M$2:$X$2)*$K1823*$L1823</f>
        <v/>
      </c>
      <c r="Z1823" s="14">
        <f>SUM(M1823:X1823)</f>
        <v/>
      </c>
      <c r="AA1823" s="14">
        <f>IFERROR(IF(UPPER($E1823)="L",SUMPRODUCT(M1823:X1823,$M$3:$X$3,$M$2:$X$2),SUMPRODUCT(M1823:X1823,$M$4:$X$4,$M$2:$X$2))/(Y1823/($K1823*$L1823)),"")</f>
        <v/>
      </c>
      <c r="AB1823" s="18" t="n"/>
    </row>
    <row r="1824">
      <c r="A1824" s="9" t="n">
        <v>821009</v>
      </c>
      <c r="B1824" s="9" t="inlineStr">
        <is>
          <t>Cesar Hernandez</t>
        </is>
      </c>
      <c r="C1824" s="9" t="inlineStr">
        <is>
          <t>HOU</t>
        </is>
      </c>
      <c r="D1824" s="9" t="n">
        <v>25</v>
      </c>
      <c r="E1824" s="16" t="inlineStr">
        <is>
          <t>L</t>
        </is>
      </c>
      <c r="F1824" s="16" t="n"/>
      <c r="G1824" s="9" t="n">
        <v>29.94871794871795</v>
      </c>
      <c r="H1824" s="9" t="n">
        <v>29.94871794871795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7" t="n"/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/>
      <c r="Y1824" s="13">
        <f>SUMPRODUCT(M1824:X1824,$M$2:$X$2)*$K1824*$L1824</f>
        <v/>
      </c>
      <c r="Z1824" s="14">
        <f>SUM(M1824:X1824)</f>
        <v/>
      </c>
      <c r="AA1824" s="14">
        <f>IFERROR(IF(UPPER($E1824)="L",SUMPRODUCT(M1824:X1824,$M$3:$X$3,$M$2:$X$2),SUMPRODUCT(M1824:X1824,$M$4:$X$4,$M$2:$X$2))/(Y1824/($K1824*$L1824)),"")</f>
        <v/>
      </c>
      <c r="AB1824" s="18" t="n"/>
    </row>
    <row r="1825">
      <c r="A1825" s="9" t="n">
        <v>806958</v>
      </c>
      <c r="B1825" s="9" t="inlineStr">
        <is>
          <t>Felnin Celesten</t>
        </is>
      </c>
      <c r="C1825" s="9" t="inlineStr">
        <is>
          <t>SEA</t>
        </is>
      </c>
      <c r="D1825" s="9" t="n">
        <v>25</v>
      </c>
      <c r="E1825" s="16" t="inlineStr">
        <is>
          <t>S</t>
        </is>
      </c>
      <c r="F1825" s="16" t="n"/>
      <c r="G1825" s="9" t="n">
        <v>47.38461538461538</v>
      </c>
      <c r="H1825" s="9" t="n">
        <v>47.38461538461538</v>
      </c>
      <c r="I1825" s="9" t="inlineStr">
        <is>
          <t>Depth (no MLB PA)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7" t="n"/>
      <c r="N1825" s="17" t="n"/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3">
        <f>SUMPRODUCT(M1825:X1825,$M$2:$X$2)*$K1825*$L1825</f>
        <v/>
      </c>
      <c r="Z1825" s="14">
        <f>SUM(M1825:X1825)</f>
        <v/>
      </c>
      <c r="AA1825" s="14">
        <f>IFERROR(IF(UPPER($E1825)="L",SUMPRODUCT(M1825:X1825,$M$3:$X$3,$M$2:$X$2),SUMPRODUCT(M1825:X1825,$M$4:$X$4,$M$2:$X$2))/(Y1825/($K1825*$L1825)),"")</f>
        <v/>
      </c>
      <c r="AB1825" s="18" t="n"/>
    </row>
    <row r="1826">
      <c r="A1826" s="9" t="n">
        <v>665489</v>
      </c>
      <c r="B1826" s="9" t="inlineStr">
        <is>
          <t>Vladimir Guerrero Jr.</t>
        </is>
      </c>
      <c r="C1826" s="9" t="inlineStr">
        <is>
          <t>TOR</t>
        </is>
      </c>
      <c r="D1826" s="9" t="n">
        <v>28</v>
      </c>
      <c r="E1826" s="16" t="inlineStr">
        <is>
          <t>R</t>
        </is>
      </c>
      <c r="F1826" s="16" t="n"/>
      <c r="G1826" s="9" t="n">
        <v>609</v>
      </c>
      <c r="H1826" s="9" t="n">
        <v>3374</v>
      </c>
      <c r="I1826" s="9" t="inlineStr">
        <is>
          <t>Full Time</t>
        </is>
      </c>
      <c r="J1826" s="16" t="inlineStr">
        <is>
          <t>Opening Day</t>
        </is>
      </c>
      <c r="K1826" s="11">
        <f>IFERROR(INDEX(Roles!$B$17:$B$20,MATCH(J1826,Roles!$A$17:$A$20,0)),1)</f>
        <v/>
      </c>
      <c r="L1826" s="17" t="n">
        <v>1</v>
      </c>
      <c r="M1826" s="17" t="n"/>
      <c r="N1826" s="17" t="n"/>
      <c r="O1826" s="17" t="n"/>
      <c r="P1826" s="17" t="n"/>
      <c r="Q1826" s="17" t="n"/>
      <c r="R1826" s="17" t="n"/>
      <c r="S1826" s="17" t="n"/>
      <c r="T1826" s="17" t="n"/>
      <c r="U1826" s="17" t="n"/>
      <c r="V1826" s="17" t="n"/>
      <c r="W1826" s="17" t="n"/>
      <c r="X1826" s="17" t="n"/>
      <c r="Y1826" s="13">
        <f>SUMPRODUCT(M1826:X1826,$M$2:$X$2)*$K1826*$L1826</f>
        <v/>
      </c>
      <c r="Z1826" s="14">
        <f>SUM(M1826:X1826)</f>
        <v/>
      </c>
      <c r="AA1826" s="14">
        <f>IFERROR(IF(UPPER($E1826)="L",SUMPRODUCT(M1826:X1826,$M$3:$X$3,$M$2:$X$2),SUMPRODUCT(M1826:X1826,$M$4:$X$4,$M$2:$X$2))/(Y1826/($K1826*$L1826)),"")</f>
        <v/>
      </c>
      <c r="AB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7" t="n"/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/>
      <c r="Y1827" s="13">
        <f>SUMPRODUCT(M1827:X1827,$M$2:$X$2)*$K1827*$L1827</f>
        <v/>
      </c>
      <c r="Z1827" s="14">
        <f>SUM(M1827:X1827)</f>
        <v/>
      </c>
      <c r="AA1827" s="14">
        <f>IFERROR(IF(UPPER($E1827)="L",SUMPRODUCT(M1827:X1827,$M$3:$X$3,$M$2:$X$2),SUMPRODUCT(M1827:X1827,$M$4:$X$4,$M$2:$X$2))/(Y1827/($K1827*$L1827)),"")</f>
        <v/>
      </c>
      <c r="AB1827" s="18" t="n"/>
    </row>
    <row r="1828">
      <c r="A1828" s="9" t="n">
        <v>806957</v>
      </c>
      <c r="B1828" s="9" t="inlineStr">
        <is>
          <t>Alfredo Duno</t>
        </is>
      </c>
      <c r="C1828" s="9" t="inlineStr">
        <is>
          <t>CIN</t>
        </is>
      </c>
      <c r="D1828" s="9" t="n">
        <v>25</v>
      </c>
      <c r="E1828" s="16" t="inlineStr">
        <is>
          <t>R</t>
        </is>
      </c>
      <c r="F1828" s="16" t="n"/>
      <c r="G1828" s="9" t="n">
        <v>49.53846153846154</v>
      </c>
      <c r="H1828" s="9" t="n">
        <v>49.53846153846154</v>
      </c>
      <c r="I1828" s="9" t="inlineStr">
        <is>
          <t>Depth (no MLB PA)</t>
        </is>
      </c>
      <c r="J1828" s="16" t="inlineStr">
        <is>
          <t>Opening Day</t>
        </is>
      </c>
      <c r="K1828" s="11">
        <f>IFERROR(INDEX(Roles!$B$17:$B$20,MATCH(J1828,Roles!$A$17:$A$20,0)),1)</f>
        <v/>
      </c>
      <c r="L1828" s="17" t="n">
        <v>1</v>
      </c>
      <c r="M1828" s="17" t="n"/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/>
      <c r="Y1828" s="13">
        <f>SUMPRODUCT(M1828:X1828,$M$2:$X$2)*$K1828*$L1828</f>
        <v/>
      </c>
      <c r="Z1828" s="14">
        <f>SUM(M1828:X1828)</f>
        <v/>
      </c>
      <c r="AA1828" s="14">
        <f>IFERROR(IF(UPPER($E1828)="L",SUMPRODUCT(M1828:X1828,$M$3:$X$3,$M$2:$X$2),SUMPRODUCT(M1828:X1828,$M$4:$X$4,$M$2:$X$2))/(Y1828/($K1828*$L1828)),"")</f>
        <v/>
      </c>
      <c r="AB1828" s="18" t="n"/>
    </row>
    <row r="1829">
      <c r="A1829" s="9" t="n">
        <v>701678</v>
      </c>
      <c r="B1829" s="9" t="inlineStr">
        <is>
          <t>Hao-Yu Lee</t>
        </is>
      </c>
      <c r="C1829" s="9" t="inlineStr">
        <is>
          <t>DET</t>
        </is>
      </c>
      <c r="D1829" s="9" t="n">
        <v>24</v>
      </c>
      <c r="E1829" s="16" t="inlineStr">
        <is>
          <t>R</t>
        </is>
      </c>
      <c r="F1829" s="16" t="n"/>
      <c r="G1829" s="9" t="n">
        <v>364</v>
      </c>
      <c r="H1829" s="9" t="n">
        <v>364</v>
      </c>
      <c r="I1829" s="9" t="inlineStr">
        <is>
          <t>Utility OF / 4th OF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7" t="n"/>
      <c r="N1829" s="17" t="n"/>
      <c r="O1829" s="17" t="n"/>
      <c r="P1829" s="17" t="n"/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3">
        <f>SUMPRODUCT(M1829:X1829,$M$2:$X$2)*$K1829*$L1829</f>
        <v/>
      </c>
      <c r="Z1829" s="14">
        <f>SUM(M1829:X1829)</f>
        <v/>
      </c>
      <c r="AA1829" s="14">
        <f>IFERROR(IF(UPPER($E1829)="L",SUMPRODUCT(M1829:X1829,$M$3:$X$3,$M$2:$X$2),SUMPRODUCT(M1829:X1829,$M$4:$X$4,$M$2:$X$2))/(Y1829/($K1829*$L1829)),"")</f>
        <v/>
      </c>
      <c r="AB1829" s="18" t="n"/>
    </row>
    <row r="1830">
      <c r="A1830" s="9" t="n">
        <v>823918</v>
      </c>
      <c r="B1830" s="9" t="inlineStr">
        <is>
          <t>Kyle West</t>
        </is>
      </c>
      <c r="C1830" s="9" t="inlineStr">
        <is>
          <t>NYY</t>
        </is>
      </c>
      <c r="D1830" s="9" t="n">
        <v>25</v>
      </c>
      <c r="E1830" s="16" t="inlineStr">
        <is>
          <t>L</t>
        </is>
      </c>
      <c r="F1830" s="16" t="n"/>
      <c r="G1830" s="9" t="n">
        <v>108.3076923076923</v>
      </c>
      <c r="H1830" s="9" t="n">
        <v>108.3076923076923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7" t="n"/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/>
      <c r="Y1830" s="13">
        <f>SUMPRODUCT(M1830:X1830,$M$2:$X$2)*$K1830*$L1830</f>
        <v/>
      </c>
      <c r="Z1830" s="14">
        <f>SUM(M1830:X1830)</f>
        <v/>
      </c>
      <c r="AA1830" s="14">
        <f>IFERROR(IF(UPPER($E1830)="L",SUMPRODUCT(M1830:X1830,$M$3:$X$3,$M$2:$X$2),SUMPRODUCT(M1830:X1830,$M$4:$X$4,$M$2:$X$2))/(Y1830/($K1830*$L1830)),"")</f>
        <v/>
      </c>
      <c r="AB1830" s="18" t="n"/>
    </row>
    <row r="1831">
      <c r="A1831" s="9" t="n">
        <v>815839</v>
      </c>
      <c r="B1831" s="9" t="inlineStr">
        <is>
          <t>Quentin Young</t>
        </is>
      </c>
      <c r="C1831" s="9" t="inlineStr">
        <is>
          <t>MIN</t>
        </is>
      </c>
      <c r="D1831" s="9" t="n">
        <v>25</v>
      </c>
      <c r="E1831" s="16" t="inlineStr">
        <is>
          <t>R</t>
        </is>
      </c>
      <c r="F1831" s="16" t="n"/>
      <c r="G1831" s="9" t="n">
        <v>53.16923076923077</v>
      </c>
      <c r="H1831" s="9" t="n">
        <v>53.16923076923077</v>
      </c>
      <c r="I1831" s="9" t="inlineStr">
        <is>
          <t>Depth (no MLB PA)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7" t="n"/>
      <c r="N1831" s="17" t="n"/>
      <c r="O1831" s="17" t="n"/>
      <c r="P1831" s="17" t="n"/>
      <c r="Q1831" s="17" t="n"/>
      <c r="R1831" s="17" t="n"/>
      <c r="S1831" s="17" t="n"/>
      <c r="T1831" s="17" t="n"/>
      <c r="U1831" s="17" t="n"/>
      <c r="V1831" s="17" t="n"/>
      <c r="W1831" s="17" t="n"/>
      <c r="X1831" s="17" t="n"/>
      <c r="Y1831" s="13">
        <f>SUMPRODUCT(M1831:X1831,$M$2:$X$2)*$K1831*$L1831</f>
        <v/>
      </c>
      <c r="Z1831" s="14">
        <f>SUM(M1831:X1831)</f>
        <v/>
      </c>
      <c r="AA1831" s="14">
        <f>IFERROR(IF(UPPER($E1831)="L",SUMPRODUCT(M1831:X1831,$M$3:$X$3,$M$2:$X$2),SUMPRODUCT(M1831:X1831,$M$4:$X$4,$M$2:$X$2))/(Y1831/($K1831*$L1831)),"")</f>
        <v/>
      </c>
      <c r="AB1831" s="18" t="n"/>
    </row>
    <row r="1832">
      <c r="A1832" s="9" t="n">
        <v>815913</v>
      </c>
      <c r="B1832" s="9" t="inlineStr">
        <is>
          <t>Stiven Martinez</t>
        </is>
      </c>
      <c r="C1832" s="9" t="inlineStr">
        <is>
          <t>BAL</t>
        </is>
      </c>
      <c r="D1832" s="9" t="n">
        <v>25</v>
      </c>
      <c r="E1832" s="16" t="inlineStr">
        <is>
          <t>R</t>
        </is>
      </c>
      <c r="F1832" s="16" t="n"/>
      <c r="G1832" s="9" t="n">
        <v>52.18461538461538</v>
      </c>
      <c r="H1832" s="9" t="n">
        <v>52.18461538461538</v>
      </c>
      <c r="I1832" s="9" t="inlineStr">
        <is>
          <t>Depth (no MLB PA)</t>
        </is>
      </c>
      <c r="J1832" s="16" t="inlineStr">
        <is>
          <t>Opening Day</t>
        </is>
      </c>
      <c r="K1832" s="11">
        <f>IFERROR(INDEX(Roles!$B$17:$B$20,MATCH(J1832,Roles!$A$17:$A$20,0)),1)</f>
        <v/>
      </c>
      <c r="L1832" s="17" t="n">
        <v>1</v>
      </c>
      <c r="M1832" s="17" t="n"/>
      <c r="N1832" s="17" t="n"/>
      <c r="O1832" s="17" t="n"/>
      <c r="P1832" s="17" t="n"/>
      <c r="Q1832" s="17" t="n"/>
      <c r="R1832" s="17" t="n"/>
      <c r="S1832" s="17" t="n"/>
      <c r="T1832" s="17" t="n"/>
      <c r="U1832" s="17" t="n"/>
      <c r="V1832" s="17" t="n"/>
      <c r="W1832" s="17" t="n"/>
      <c r="X1832" s="17" t="n"/>
      <c r="Y1832" s="13">
        <f>SUMPRODUCT(M1832:X1832,$M$2:$X$2)*$K1832*$L1832</f>
        <v/>
      </c>
      <c r="Z1832" s="14">
        <f>SUM(M1832:X1832)</f>
        <v/>
      </c>
      <c r="AA1832" s="14">
        <f>IFERROR(IF(UPPER($E1832)="L",SUMPRODUCT(M1832:X1832,$M$3:$X$3,$M$2:$X$2),SUMPRODUCT(M1832:X1832,$M$4:$X$4,$M$2:$X$2))/(Y1832/($K1832*$L1832)),"")</f>
        <v/>
      </c>
      <c r="AB1832" s="18" t="n"/>
    </row>
    <row r="1833">
      <c r="A1833" s="9" t="n">
        <v>805126</v>
      </c>
      <c r="B1833" s="9" t="inlineStr">
        <is>
          <t>Charlie Szykowny</t>
        </is>
      </c>
      <c r="C1833" s="9" t="inlineStr">
        <is>
          <t>SF</t>
        </is>
      </c>
      <c r="D1833" s="9" t="n">
        <v>25</v>
      </c>
      <c r="E1833" s="16" t="inlineStr">
        <is>
          <t>L</t>
        </is>
      </c>
      <c r="F1833" s="16" t="n"/>
      <c r="G1833" s="9" t="n">
        <v>40.05128205128205</v>
      </c>
      <c r="H1833" s="9" t="n">
        <v>40.05128205128205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7" t="n"/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/>
      <c r="Y1833" s="13">
        <f>SUMPRODUCT(M1833:X1833,$M$2:$X$2)*$K1833*$L1833</f>
        <v/>
      </c>
      <c r="Z1833" s="14">
        <f>SUM(M1833:X1833)</f>
        <v/>
      </c>
      <c r="AA1833" s="14">
        <f>IFERROR(IF(UPPER($E1833)="L",SUMPRODUCT(M1833:X1833,$M$3:$X$3,$M$2:$X$2),SUMPRODUCT(M1833:X1833,$M$4:$X$4,$M$2:$X$2))/(Y1833/($K1833*$L1833)),"")</f>
        <v/>
      </c>
      <c r="AB1833" s="18" t="n"/>
    </row>
    <row r="1834">
      <c r="A1834" s="9" t="n">
        <v>806161</v>
      </c>
      <c r="B1834" s="9" t="inlineStr">
        <is>
          <t>Yahil Melendez</t>
        </is>
      </c>
      <c r="C1834" s="9" t="inlineStr">
        <is>
          <t>CHC</t>
        </is>
      </c>
      <c r="D1834" s="9" t="n">
        <v>25</v>
      </c>
      <c r="E1834" s="16" t="inlineStr">
        <is>
          <t>L</t>
        </is>
      </c>
      <c r="F1834" s="16" t="n"/>
      <c r="G1834" s="9" t="n">
        <v>24.86153846153847</v>
      </c>
      <c r="H1834" s="9" t="n">
        <v>24.86153846153847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7" t="n"/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/>
      <c r="Y1834" s="13">
        <f>SUMPRODUCT(M1834:X1834,$M$2:$X$2)*$K1834*$L1834</f>
        <v/>
      </c>
      <c r="Z1834" s="14">
        <f>SUM(M1834:X1834)</f>
        <v/>
      </c>
      <c r="AA1834" s="14">
        <f>IFERROR(IF(UPPER($E1834)="L",SUMPRODUCT(M1834:X1834,$M$3:$X$3,$M$2:$X$2),SUMPRODUCT(M1834:X1834,$M$4:$X$4,$M$2:$X$2))/(Y1834/($K1834*$L1834)),"")</f>
        <v/>
      </c>
      <c r="AB1834" s="18" t="n"/>
    </row>
    <row r="1835">
      <c r="A1835" s="9" t="n">
        <v>694385</v>
      </c>
      <c r="B1835" s="9" t="inlineStr">
        <is>
          <t>Brock Wilken</t>
        </is>
      </c>
      <c r="C1835" s="9" t="inlineStr">
        <is>
          <t>MIL</t>
        </is>
      </c>
      <c r="D1835" s="9" t="n">
        <v>25</v>
      </c>
      <c r="E1835" s="16" t="inlineStr">
        <is>
          <t>R</t>
        </is>
      </c>
      <c r="F1835" s="16" t="n"/>
      <c r="G1835" s="9" t="n">
        <v>297.2820512820513</v>
      </c>
      <c r="H1835" s="9" t="n">
        <v>297.2820512820513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7" t="n"/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/>
      <c r="Y1835" s="13">
        <f>SUMPRODUCT(M1835:X1835,$M$2:$X$2)*$K1835*$L1835</f>
        <v/>
      </c>
      <c r="Z1835" s="14">
        <f>SUM(M1835:X1835)</f>
        <v/>
      </c>
      <c r="AA1835" s="14">
        <f>IFERROR(IF(UPPER($E1835)="L",SUMPRODUCT(M1835:X1835,$M$3:$X$3,$M$2:$X$2),SUMPRODUCT(M1835:X1835,$M$4:$X$4,$M$2:$X$2))/(Y1835/($K1835*$L1835)),"")</f>
        <v/>
      </c>
      <c r="AB1835" s="18" t="n"/>
    </row>
    <row r="1836">
      <c r="A1836" s="9" t="n">
        <v>700369</v>
      </c>
      <c r="B1836" s="9" t="inlineStr">
        <is>
          <t>Adrian De Leon</t>
        </is>
      </c>
      <c r="C1836" s="9" t="inlineStr">
        <is>
          <t>ARI</t>
        </is>
      </c>
      <c r="D1836" s="9" t="n">
        <v>25</v>
      </c>
      <c r="E1836" s="16" t="inlineStr">
        <is>
          <t>R</t>
        </is>
      </c>
      <c r="F1836" s="16" t="n"/>
      <c r="G1836" s="9" t="n">
        <v>29.07692307692308</v>
      </c>
      <c r="H1836" s="9" t="n">
        <v>29.07692307692308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7" t="n"/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/>
      <c r="Y1836" s="13">
        <f>SUMPRODUCT(M1836:X1836,$M$2:$X$2)*$K1836*$L1836</f>
        <v/>
      </c>
      <c r="Z1836" s="14">
        <f>SUM(M1836:X1836)</f>
        <v/>
      </c>
      <c r="AA1836" s="14">
        <f>IFERROR(IF(UPPER($E1836)="L",SUMPRODUCT(M1836:X1836,$M$3:$X$3,$M$2:$X$2),SUMPRODUCT(M1836:X1836,$M$4:$X$4,$M$2:$X$2))/(Y1836/($K1836*$L1836)),"")</f>
        <v/>
      </c>
      <c r="AB1836" s="18" t="n"/>
    </row>
    <row r="1837">
      <c r="A1837" s="9" t="n">
        <v>823807</v>
      </c>
      <c r="B1837" s="9" t="inlineStr">
        <is>
          <t>Kane Kepley</t>
        </is>
      </c>
      <c r="C1837" s="9" t="inlineStr">
        <is>
          <t>CHC</t>
        </is>
      </c>
      <c r="D1837" s="9" t="n">
        <v>25</v>
      </c>
      <c r="E1837" s="16" t="inlineStr">
        <is>
          <t>L</t>
        </is>
      </c>
      <c r="F1837" s="16" t="n"/>
      <c r="G1837" s="9" t="n">
        <v>49.17948717948718</v>
      </c>
      <c r="H1837" s="9" t="n">
        <v>49.17948717948718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7" t="n"/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/>
      <c r="Y1837" s="13">
        <f>SUMPRODUCT(M1837:X1837,$M$2:$X$2)*$K1837*$L1837</f>
        <v/>
      </c>
      <c r="Z1837" s="14">
        <f>SUM(M1837:X1837)</f>
        <v/>
      </c>
      <c r="AA1837" s="14">
        <f>IFERROR(IF(UPPER($E1837)="L",SUMPRODUCT(M1837:X1837,$M$3:$X$3,$M$2:$X$2),SUMPRODUCT(M1837:X1837,$M$4:$X$4,$M$2:$X$2))/(Y1837/($K1837*$L1837)),"")</f>
        <v/>
      </c>
      <c r="AB1837" s="18" t="n"/>
    </row>
    <row r="1838">
      <c r="A1838" s="9" t="n">
        <v>664954</v>
      </c>
      <c r="B1838" s="9" t="inlineStr">
        <is>
          <t>Brett Sullivan</t>
        </is>
      </c>
      <c r="C1838" s="9" t="inlineStr">
        <is>
          <t>COL</t>
        </is>
      </c>
      <c r="D1838" s="9" t="n">
        <v>33</v>
      </c>
      <c r="E1838" s="16" t="inlineStr">
        <is>
          <t>L</t>
        </is>
      </c>
      <c r="F1838" s="16" t="n"/>
      <c r="G1838" s="9" t="n">
        <v>237</v>
      </c>
      <c r="H1838" s="9" t="n">
        <v>349</v>
      </c>
      <c r="I1838" s="9" t="inlineStr">
        <is>
          <t>Bench Bat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7" t="n"/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/>
      <c r="Y1838" s="13">
        <f>SUMPRODUCT(M1838:X1838,$M$2:$X$2)*$K1838*$L1838</f>
        <v/>
      </c>
      <c r="Z1838" s="14">
        <f>SUM(M1838:X1838)</f>
        <v/>
      </c>
      <c r="AA1838" s="14">
        <f>IFERROR(IF(UPPER($E1838)="L",SUMPRODUCT(M1838:X1838,$M$3:$X$3,$M$2:$X$2),SUMPRODUCT(M1838:X1838,$M$4:$X$4,$M$2:$X$2))/(Y1838/($K1838*$L1838)),"")</f>
        <v/>
      </c>
      <c r="AB1838" s="18" t="n"/>
    </row>
    <row r="1839">
      <c r="A1839" s="9" t="n">
        <v>691252</v>
      </c>
      <c r="B1839" s="9" t="inlineStr">
        <is>
          <t>Jhon Diaz</t>
        </is>
      </c>
      <c r="C1839" s="9" t="inlineStr">
        <is>
          <t>TB</t>
        </is>
      </c>
      <c r="D1839" s="9" t="n">
        <v>25</v>
      </c>
      <c r="E1839" s="16" t="inlineStr">
        <is>
          <t>L</t>
        </is>
      </c>
      <c r="F1839" s="16" t="n"/>
      <c r="G1839" s="9" t="n">
        <v>56.71794871794871</v>
      </c>
      <c r="H1839" s="9" t="n">
        <v>56.71794871794871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7" t="n"/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/>
      <c r="Y1839" s="13">
        <f>SUMPRODUCT(M1839:X1839,$M$2:$X$2)*$K1839*$L1839</f>
        <v/>
      </c>
      <c r="Z1839" s="14">
        <f>SUM(M1839:X1839)</f>
        <v/>
      </c>
      <c r="AA1839" s="14">
        <f>IFERROR(IF(UPPER($E1839)="L",SUMPRODUCT(M1839:X1839,$M$3:$X$3,$M$2:$X$2),SUMPRODUCT(M1839:X1839,$M$4:$X$4,$M$2:$X$2))/(Y1839/($K1839*$L1839)),"")</f>
        <v/>
      </c>
      <c r="AB1839" s="18" t="n"/>
    </row>
    <row r="1840">
      <c r="A1840" s="9" t="n">
        <v>682983</v>
      </c>
      <c r="B1840" s="9" t="inlineStr">
        <is>
          <t>Jud Fabian</t>
        </is>
      </c>
      <c r="C1840" s="9" t="inlineStr">
        <is>
          <t>BAL</t>
        </is>
      </c>
      <c r="D1840" s="9" t="n">
        <v>25</v>
      </c>
      <c r="E1840" s="16" t="inlineStr">
        <is>
          <t>R</t>
        </is>
      </c>
      <c r="F1840" s="16" t="n"/>
      <c r="G1840" s="9" t="n">
        <v>246.5128205128205</v>
      </c>
      <c r="H1840" s="9" t="n">
        <v>246.5128205128205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7" t="n"/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/>
      <c r="Y1840" s="13">
        <f>SUMPRODUCT(M1840:X1840,$M$2:$X$2)*$K1840*$L1840</f>
        <v/>
      </c>
      <c r="Z1840" s="14">
        <f>SUM(M1840:X1840)</f>
        <v/>
      </c>
      <c r="AA1840" s="14">
        <f>IFERROR(IF(UPPER($E1840)="L",SUMPRODUCT(M1840:X1840,$M$3:$X$3,$M$2:$X$2),SUMPRODUCT(M1840:X1840,$M$4:$X$4,$M$2:$X$2))/(Y1840/($K1840*$L1840)),"")</f>
        <v/>
      </c>
      <c r="AB1840" s="18" t="n"/>
    </row>
    <row r="1841">
      <c r="A1841" s="9" t="n">
        <v>808113</v>
      </c>
      <c r="B1841" s="9" t="inlineStr">
        <is>
          <t>Anyelo Marquez</t>
        </is>
      </c>
      <c r="C1841" s="9" t="inlineStr">
        <is>
          <t>LAA</t>
        </is>
      </c>
      <c r="D1841" s="9" t="n">
        <v>25</v>
      </c>
      <c r="E1841" s="16" t="inlineStr">
        <is>
          <t>L</t>
        </is>
      </c>
      <c r="F1841" s="16" t="n"/>
      <c r="G1841" s="9" t="n">
        <v>55.01538461538461</v>
      </c>
      <c r="H1841" s="9" t="n">
        <v>55.01538461538461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7" t="n"/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/>
      <c r="Y1841" s="13">
        <f>SUMPRODUCT(M1841:X1841,$M$2:$X$2)*$K1841*$L1841</f>
        <v/>
      </c>
      <c r="Z1841" s="14">
        <f>SUM(M1841:X1841)</f>
        <v/>
      </c>
      <c r="AA1841" s="14">
        <f>IFERROR(IF(UPPER($E1841)="L",SUMPRODUCT(M1841:X1841,$M$3:$X$3,$M$2:$X$2),SUMPRODUCT(M1841:X1841,$M$4:$X$4,$M$2:$X$2))/(Y1841/($K1841*$L1841)),"")</f>
        <v/>
      </c>
      <c r="AB1841" s="18" t="n"/>
    </row>
    <row r="1842">
      <c r="A1842" s="9" t="n">
        <v>808166</v>
      </c>
      <c r="B1842" s="9" t="inlineStr">
        <is>
          <t>Junior Aybar</t>
        </is>
      </c>
      <c r="C1842" s="9" t="inlineStr">
        <is>
          <t>BAL</t>
        </is>
      </c>
      <c r="D1842" s="9" t="n">
        <v>25</v>
      </c>
      <c r="E1842" s="16" t="inlineStr">
        <is>
          <t>L</t>
        </is>
      </c>
      <c r="F1842" s="16" t="n"/>
      <c r="G1842" s="9" t="n">
        <v>25.35384615384616</v>
      </c>
      <c r="H1842" s="9" t="n">
        <v>25.35384615384616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7" t="n"/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/>
      <c r="Y1842" s="13">
        <f>SUMPRODUCT(M1842:X1842,$M$2:$X$2)*$K1842*$L1842</f>
        <v/>
      </c>
      <c r="Z1842" s="14">
        <f>SUM(M1842:X1842)</f>
        <v/>
      </c>
      <c r="AA1842" s="14">
        <f>IFERROR(IF(UPPER($E1842)="L",SUMPRODUCT(M1842:X1842,$M$3:$X$3,$M$2:$X$2),SUMPRODUCT(M1842:X1842,$M$4:$X$4,$M$2:$X$2))/(Y1842/($K1842*$L1842)),"")</f>
        <v/>
      </c>
      <c r="AB1842" s="18" t="n"/>
    </row>
    <row r="1843">
      <c r="A1843" s="9" t="n">
        <v>686744</v>
      </c>
      <c r="B1843" s="9" t="inlineStr">
        <is>
          <t>Jake Snider</t>
        </is>
      </c>
      <c r="C1843" s="9" t="inlineStr">
        <is>
          <t>TEX</t>
        </is>
      </c>
      <c r="D1843" s="9" t="n">
        <v>25</v>
      </c>
      <c r="E1843" s="16" t="inlineStr">
        <is>
          <t>L</t>
        </is>
      </c>
      <c r="F1843" s="16" t="n"/>
      <c r="G1843" s="9" t="n">
        <v>20.82051282051282</v>
      </c>
      <c r="H1843" s="9" t="n">
        <v>20.82051282051282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7" t="n"/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/>
      <c r="Y1843" s="13">
        <f>SUMPRODUCT(M1843:X1843,$M$2:$X$2)*$K1843*$L1843</f>
        <v/>
      </c>
      <c r="Z1843" s="14">
        <f>SUM(M1843:X1843)</f>
        <v/>
      </c>
      <c r="AA1843" s="14">
        <f>IFERROR(IF(UPPER($E1843)="L",SUMPRODUCT(M1843:X1843,$M$3:$X$3,$M$2:$X$2),SUMPRODUCT(M1843:X1843,$M$4:$X$4,$M$2:$X$2))/(Y1843/($K1843*$L1843)),"")</f>
        <v/>
      </c>
      <c r="AB1843" s="18" t="n"/>
    </row>
    <row r="1844">
      <c r="A1844" s="9" t="n">
        <v>701394</v>
      </c>
      <c r="B1844" s="9" t="inlineStr">
        <is>
          <t>Zach Ehrhard</t>
        </is>
      </c>
      <c r="C1844" s="9" t="inlineStr">
        <is>
          <t>LAD</t>
        </is>
      </c>
      <c r="D1844" s="9" t="n">
        <v>25</v>
      </c>
      <c r="E1844" s="16" t="inlineStr">
        <is>
          <t>R</t>
        </is>
      </c>
      <c r="F1844" s="16" t="n"/>
      <c r="G1844" s="9" t="n">
        <v>353.1282051282052</v>
      </c>
      <c r="H1844" s="9" t="n">
        <v>353.1282051282052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7" t="n"/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/>
      <c r="Y1844" s="13">
        <f>SUMPRODUCT(M1844:X1844,$M$2:$X$2)*$K1844*$L1844</f>
        <v/>
      </c>
      <c r="Z1844" s="14">
        <f>SUM(M1844:X1844)</f>
        <v/>
      </c>
      <c r="AA1844" s="14">
        <f>IFERROR(IF(UPPER($E1844)="L",SUMPRODUCT(M1844:X1844,$M$3:$X$3,$M$2:$X$2),SUMPRODUCT(M1844:X1844,$M$4:$X$4,$M$2:$X$2))/(Y1844/($K1844*$L1844)),"")</f>
        <v/>
      </c>
      <c r="AB1844" s="18" t="n"/>
    </row>
    <row r="1845">
      <c r="A1845" s="9" t="n">
        <v>703151</v>
      </c>
      <c r="B1845" s="9" t="inlineStr">
        <is>
          <t>William Bergolla Jr.</t>
        </is>
      </c>
      <c r="C1845" s="9" t="inlineStr">
        <is>
          <t>CWS</t>
        </is>
      </c>
      <c r="D1845" s="9" t="n">
        <v>25</v>
      </c>
      <c r="E1845" s="16" t="inlineStr">
        <is>
          <t>L</t>
        </is>
      </c>
      <c r="F1845" s="16" t="n"/>
      <c r="G1845" s="9" t="n">
        <v>22.56410256410257</v>
      </c>
      <c r="H1845" s="9" t="n">
        <v>22.56410256410257</v>
      </c>
      <c r="I1845" s="9" t="inlineStr">
        <is>
          <t>Depth (no MLB PA)</t>
        </is>
      </c>
      <c r="J1845" s="16" t="inlineStr">
        <is>
          <t>Opening Day</t>
        </is>
      </c>
      <c r="K1845" s="11">
        <f>IFERROR(INDEX(Roles!$B$17:$B$20,MATCH(J1845,Roles!$A$17:$A$20,0)),1)</f>
        <v/>
      </c>
      <c r="L1845" s="17" t="n">
        <v>1</v>
      </c>
      <c r="M1845" s="17" t="n"/>
      <c r="N1845" s="17" t="n"/>
      <c r="O1845" s="17" t="n"/>
      <c r="P1845" s="17" t="n"/>
      <c r="Q1845" s="17" t="n"/>
      <c r="R1845" s="17" t="n"/>
      <c r="S1845" s="17" t="n"/>
      <c r="T1845" s="17" t="n"/>
      <c r="U1845" s="17" t="n"/>
      <c r="V1845" s="17" t="n"/>
      <c r="W1845" s="17" t="n"/>
      <c r="X1845" s="17" t="n"/>
      <c r="Y1845" s="13">
        <f>SUMPRODUCT(M1845:X1845,$M$2:$X$2)*$K1845*$L1845</f>
        <v/>
      </c>
      <c r="Z1845" s="14">
        <f>SUM(M1845:X1845)</f>
        <v/>
      </c>
      <c r="AA1845" s="14">
        <f>IFERROR(IF(UPPER($E1845)="L",SUMPRODUCT(M1845:X1845,$M$3:$X$3,$M$2:$X$2),SUMPRODUCT(M1845:X1845,$M$4:$X$4,$M$2:$X$2))/(Y1845/($K1845*$L1845)),"")</f>
        <v/>
      </c>
      <c r="AB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7" t="n"/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/>
      <c r="Y1846" s="13">
        <f>SUMPRODUCT(M1846:X1846,$M$2:$X$2)*$K1846*$L1846</f>
        <v/>
      </c>
      <c r="Z1846" s="14">
        <f>SUM(M1846:X1846)</f>
        <v/>
      </c>
      <c r="AA1846" s="14">
        <f>IFERROR(IF(UPPER($E1846)="L",SUMPRODUCT(M1846:X1846,$M$3:$X$3,$M$2:$X$2),SUMPRODUCT(M1846:X1846,$M$4:$X$4,$M$2:$X$2))/(Y1846/($K1846*$L1846)),"")</f>
        <v/>
      </c>
      <c r="AB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n"/>
      <c r="G1847" s="9" t="n">
        <v>650</v>
      </c>
      <c r="H1847" s="9" t="n">
        <v>2880</v>
      </c>
      <c r="I1847" s="9" t="inlineStr">
        <is>
          <t>Full Time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7" t="n"/>
      <c r="N1847" s="17" t="n"/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3">
        <f>SUMPRODUCT(M1847:X1847,$M$2:$X$2)*$K1847*$L1847</f>
        <v/>
      </c>
      <c r="Z1847" s="14">
        <f>SUM(M1847:X1847)</f>
        <v/>
      </c>
      <c r="AA1847" s="14">
        <f>IFERROR(IF(UPPER($E1847)="L",SUMPRODUCT(M1847:X1847,$M$3:$X$3,$M$2:$X$2),SUMPRODUCT(M1847:X1847,$M$4:$X$4,$M$2:$X$2))/(Y1847/($K1847*$L1847)),"")</f>
        <v/>
      </c>
      <c r="AB1847" s="18" t="n"/>
    </row>
    <row r="1848">
      <c r="A1848" s="9" t="n">
        <v>800957</v>
      </c>
      <c r="B1848" s="9" t="inlineStr">
        <is>
          <t>Brendan Jones</t>
        </is>
      </c>
      <c r="C1848" s="9" t="inlineStr">
        <is>
          <t>MIA</t>
        </is>
      </c>
      <c r="D1848" s="9" t="n">
        <v>25</v>
      </c>
      <c r="E1848" s="16" t="inlineStr">
        <is>
          <t>L</t>
        </is>
      </c>
      <c r="F1848" s="16" t="n"/>
      <c r="G1848" s="9" t="n">
        <v>53.5897435897436</v>
      </c>
      <c r="H1848" s="9" t="n">
        <v>53.5897435897436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7" t="n"/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/>
      <c r="Y1848" s="13">
        <f>SUMPRODUCT(M1848:X1848,$M$2:$X$2)*$K1848*$L1848</f>
        <v/>
      </c>
      <c r="Z1848" s="14">
        <f>SUM(M1848:X1848)</f>
        <v/>
      </c>
      <c r="AA1848" s="14">
        <f>IFERROR(IF(UPPER($E1848)="L",SUMPRODUCT(M1848:X1848,$M$3:$X$3,$M$2:$X$2),SUMPRODUCT(M1848:X1848,$M$4:$X$4,$M$2:$X$2))/(Y1848/($K1848*$L1848)),"")</f>
        <v/>
      </c>
      <c r="AB1848" s="18" t="n"/>
    </row>
    <row r="1849">
      <c r="A1849" s="9" t="n">
        <v>699321</v>
      </c>
      <c r="B1849" s="9" t="inlineStr">
        <is>
          <t>Diego Guzman</t>
        </is>
      </c>
      <c r="C1849" s="9" t="inlineStr">
        <is>
          <t>KC</t>
        </is>
      </c>
      <c r="D1849" s="9" t="n">
        <v>25</v>
      </c>
      <c r="E1849" s="16" t="inlineStr">
        <is>
          <t>R</t>
        </is>
      </c>
      <c r="F1849" s="16" t="n"/>
      <c r="G1849" s="9" t="n">
        <v>20.92307692307692</v>
      </c>
      <c r="H1849" s="9" t="n">
        <v>20.92307692307692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7" t="n"/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/>
      <c r="Y1849" s="13">
        <f>SUMPRODUCT(M1849:X1849,$M$2:$X$2)*$K1849*$L1849</f>
        <v/>
      </c>
      <c r="Z1849" s="14">
        <f>SUM(M1849:X1849)</f>
        <v/>
      </c>
      <c r="AA1849" s="14">
        <f>IFERROR(IF(UPPER($E1849)="L",SUMPRODUCT(M1849:X1849,$M$3:$X$3,$M$2:$X$2),SUMPRODUCT(M1849:X1849,$M$4:$X$4,$M$2:$X$2))/(Y1849/($K1849*$L1849)),"")</f>
        <v/>
      </c>
      <c r="AB1849" s="18" t="n"/>
    </row>
    <row r="1850">
      <c r="A1850" s="9" t="n">
        <v>808381</v>
      </c>
      <c r="B1850" s="9" t="inlineStr">
        <is>
          <t>Enyervert Perez</t>
        </is>
      </c>
      <c r="C1850" s="9" t="inlineStr">
        <is>
          <t>ARI</t>
        </is>
      </c>
      <c r="D1850" s="9" t="n">
        <v>25</v>
      </c>
      <c r="E1850" s="16" t="inlineStr">
        <is>
          <t>R</t>
        </is>
      </c>
      <c r="F1850" s="16" t="n"/>
      <c r="G1850" s="9" t="n">
        <v>45.90769230769231</v>
      </c>
      <c r="H1850" s="9" t="n">
        <v>45.90769230769231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7" t="n"/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/>
      <c r="Y1850" s="13">
        <f>SUMPRODUCT(M1850:X1850,$M$2:$X$2)*$K1850*$L1850</f>
        <v/>
      </c>
      <c r="Z1850" s="14">
        <f>SUM(M1850:X1850)</f>
        <v/>
      </c>
      <c r="AA1850" s="14">
        <f>IFERROR(IF(UPPER($E1850)="L",SUMPRODUCT(M1850:X1850,$M$3:$X$3,$M$2:$X$2),SUMPRODUCT(M1850:X1850,$M$4:$X$4,$M$2:$X$2))/(Y1850/($K1850*$L1850)),"")</f>
        <v/>
      </c>
      <c r="AB1850" s="18" t="n"/>
    </row>
    <row r="1851">
      <c r="A1851" s="9" t="n">
        <v>800354</v>
      </c>
      <c r="B1851" s="9" t="inlineStr">
        <is>
          <t>Esteban Mejia</t>
        </is>
      </c>
      <c r="C1851" s="9" t="inlineStr">
        <is>
          <t>TEX</t>
        </is>
      </c>
      <c r="D1851" s="9" t="n">
        <v>25</v>
      </c>
      <c r="E1851" s="16" t="inlineStr">
        <is>
          <t>R</t>
        </is>
      </c>
      <c r="F1851" s="16" t="n"/>
      <c r="G1851" s="9" t="n">
        <v>31.17948717948718</v>
      </c>
      <c r="H1851" s="9" t="n">
        <v>31.17948717948718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7" t="n"/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/>
      <c r="Y1851" s="13">
        <f>SUMPRODUCT(M1851:X1851,$M$2:$X$2)*$K1851*$L1851</f>
        <v/>
      </c>
      <c r="Z1851" s="14">
        <f>SUM(M1851:X1851)</f>
        <v/>
      </c>
      <c r="AA1851" s="14">
        <f>IFERROR(IF(UPPER($E1851)="L",SUMPRODUCT(M1851:X1851,$M$3:$X$3,$M$2:$X$2),SUMPRODUCT(M1851:X1851,$M$4:$X$4,$M$2:$X$2))/(Y1851/($K1851*$L1851)),"")</f>
        <v/>
      </c>
      <c r="AB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7" t="n"/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/>
      <c r="Y1852" s="13">
        <f>SUMPRODUCT(M1852:X1852,$M$2:$X$2)*$K1852*$L1852</f>
        <v/>
      </c>
      <c r="Z1852" s="14">
        <f>SUM(M1852:X1852)</f>
        <v/>
      </c>
      <c r="AA1852" s="14">
        <f>IFERROR(IF(UPPER($E1852)="L",SUMPRODUCT(M1852:X1852,$M$3:$X$3,$M$2:$X$2),SUMPRODUCT(M1852:X1852,$M$4:$X$4,$M$2:$X$2))/(Y1852/($K1852*$L1852)),"")</f>
        <v/>
      </c>
      <c r="AB1852" s="18" t="n"/>
    </row>
    <row r="1853">
      <c r="A1853" s="9" t="n">
        <v>800246</v>
      </c>
      <c r="B1853" s="9" t="inlineStr">
        <is>
          <t>Engelth Urena</t>
        </is>
      </c>
      <c r="C1853" s="9" t="inlineStr">
        <is>
          <t>NYY</t>
        </is>
      </c>
      <c r="D1853" s="9" t="n">
        <v>25</v>
      </c>
      <c r="E1853" s="16" t="inlineStr">
        <is>
          <t>R</t>
        </is>
      </c>
      <c r="F1853" s="16" t="n"/>
      <c r="G1853" s="9" t="n">
        <v>37.66153846153846</v>
      </c>
      <c r="H1853" s="9" t="n">
        <v>37.66153846153846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7" t="n"/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/>
      <c r="Y1853" s="13">
        <f>SUMPRODUCT(M1853:X1853,$M$2:$X$2)*$K1853*$L1853</f>
        <v/>
      </c>
      <c r="Z1853" s="14">
        <f>SUM(M1853:X1853)</f>
        <v/>
      </c>
      <c r="AA1853" s="14">
        <f>IFERROR(IF(UPPER($E1853)="L",SUMPRODUCT(M1853:X1853,$M$3:$X$3,$M$2:$X$2),SUMPRODUCT(M1853:X1853,$M$4:$X$4,$M$2:$X$2))/(Y1853/($K1853*$L1853)),"")</f>
        <v/>
      </c>
      <c r="AB1853" s="18" t="n"/>
    </row>
    <row r="1854">
      <c r="A1854" s="9" t="n">
        <v>801507</v>
      </c>
      <c r="B1854" s="9" t="inlineStr">
        <is>
          <t>Jake Cunningham</t>
        </is>
      </c>
      <c r="C1854" s="9" t="inlineStr">
        <is>
          <t>SD</t>
        </is>
      </c>
      <c r="D1854" s="9" t="n">
        <v>25</v>
      </c>
      <c r="E1854" s="16" t="inlineStr">
        <is>
          <t>R</t>
        </is>
      </c>
      <c r="F1854" s="16" t="n"/>
      <c r="G1854" s="9" t="n">
        <v>57.7948717948718</v>
      </c>
      <c r="H1854" s="9" t="n">
        <v>57.7948717948718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7" t="n"/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/>
      <c r="Y1854" s="13">
        <f>SUMPRODUCT(M1854:X1854,$M$2:$X$2)*$K1854*$L1854</f>
        <v/>
      </c>
      <c r="Z1854" s="14">
        <f>SUM(M1854:X1854)</f>
        <v/>
      </c>
      <c r="AA1854" s="14">
        <f>IFERROR(IF(UPPER($E1854)="L",SUMPRODUCT(M1854:X1854,$M$3:$X$3,$M$2:$X$2),SUMPRODUCT(M1854:X1854,$M$4:$X$4,$M$2:$X$2))/(Y1854/($K1854*$L1854)),"")</f>
        <v/>
      </c>
      <c r="AB1854" s="18" t="n"/>
    </row>
    <row r="1855">
      <c r="A1855" s="9" t="n">
        <v>808119</v>
      </c>
      <c r="B1855" s="9" t="inlineStr">
        <is>
          <t>Yaikel Mijares</t>
        </is>
      </c>
      <c r="C1855" s="9" t="inlineStr">
        <is>
          <t>CLE</t>
        </is>
      </c>
      <c r="D1855" s="9" t="n">
        <v>25</v>
      </c>
      <c r="E1855" s="16" t="inlineStr">
        <is>
          <t>R</t>
        </is>
      </c>
      <c r="F1855" s="16" t="n"/>
      <c r="G1855" s="9" t="n">
        <v>23.26153846153846</v>
      </c>
      <c r="H1855" s="9" t="n">
        <v>23.26153846153846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7" t="n"/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/>
      <c r="Y1855" s="13">
        <f>SUMPRODUCT(M1855:X1855,$M$2:$X$2)*$K1855*$L1855</f>
        <v/>
      </c>
      <c r="Z1855" s="14">
        <f>SUM(M1855:X1855)</f>
        <v/>
      </c>
      <c r="AA1855" s="14">
        <f>IFERROR(IF(UPPER($E1855)="L",SUMPRODUCT(M1855:X1855,$M$3:$X$3,$M$2:$X$2),SUMPRODUCT(M1855:X1855,$M$4:$X$4,$M$2:$X$2))/(Y1855/($K1855*$L1855)),"")</f>
        <v/>
      </c>
      <c r="AB1855" s="18" t="n"/>
    </row>
    <row r="1856">
      <c r="A1856" s="9" t="n">
        <v>806534</v>
      </c>
      <c r="B1856" s="9" t="inlineStr">
        <is>
          <t>Ben Gobbel</t>
        </is>
      </c>
      <c r="C1856" s="9" t="inlineStr">
        <is>
          <t>LAA</t>
        </is>
      </c>
      <c r="D1856" s="9" t="n">
        <v>25</v>
      </c>
      <c r="E1856" s="16" t="inlineStr">
        <is>
          <t>R</t>
        </is>
      </c>
      <c r="F1856" s="16" t="n"/>
      <c r="G1856" s="9" t="n">
        <v>154.5641025641026</v>
      </c>
      <c r="H1856" s="9" t="n">
        <v>154.5641025641026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7" t="n"/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/>
      <c r="Y1856" s="13">
        <f>SUMPRODUCT(M1856:X1856,$M$2:$X$2)*$K1856*$L1856</f>
        <v/>
      </c>
      <c r="Z1856" s="14">
        <f>SUM(M1856:X1856)</f>
        <v/>
      </c>
      <c r="AA1856" s="14">
        <f>IFERROR(IF(UPPER($E1856)="L",SUMPRODUCT(M1856:X1856,$M$3:$X$3,$M$2:$X$2),SUMPRODUCT(M1856:X1856,$M$4:$X$4,$M$2:$X$2))/(Y1856/($K1856*$L1856)),"")</f>
        <v/>
      </c>
      <c r="AB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7" t="n"/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/>
      <c r="Y1857" s="13">
        <f>SUMPRODUCT(M1857:X1857,$M$2:$X$2)*$K1857*$L1857</f>
        <v/>
      </c>
      <c r="Z1857" s="14">
        <f>SUM(M1857:X1857)</f>
        <v/>
      </c>
      <c r="AA1857" s="14">
        <f>IFERROR(IF(UPPER($E1857)="L",SUMPRODUCT(M1857:X1857,$M$3:$X$3,$M$2:$X$2),SUMPRODUCT(M1857:X1857,$M$4:$X$4,$M$2:$X$2))/(Y1857/($K1857*$L1857)),"")</f>
        <v/>
      </c>
      <c r="AB1857" s="18" t="n"/>
    </row>
    <row r="1858">
      <c r="A1858" s="9" t="n">
        <v>691006</v>
      </c>
      <c r="B1858" s="9" t="inlineStr">
        <is>
          <t>Kevin Parada</t>
        </is>
      </c>
      <c r="C1858" s="9" t="inlineStr">
        <is>
          <t>NYM</t>
        </is>
      </c>
      <c r="D1858" s="9" t="n">
        <v>25</v>
      </c>
      <c r="E1858" s="16" t="inlineStr">
        <is>
          <t>R</t>
        </is>
      </c>
      <c r="F1858" s="16" t="n"/>
      <c r="G1858" s="9" t="n">
        <v>55.28205128205128</v>
      </c>
      <c r="H1858" s="9" t="n">
        <v>55.28205128205128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7" t="n"/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/>
      <c r="Y1858" s="13">
        <f>SUMPRODUCT(M1858:X1858,$M$2:$X$2)*$K1858*$L1858</f>
        <v/>
      </c>
      <c r="Z1858" s="14">
        <f>SUM(M1858:X1858)</f>
        <v/>
      </c>
      <c r="AA1858" s="14">
        <f>IFERROR(IF(UPPER($E1858)="L",SUMPRODUCT(M1858:X1858,$M$3:$X$3,$M$2:$X$2),SUMPRODUCT(M1858:X1858,$M$4:$X$4,$M$2:$X$2))/(Y1858/($K1858*$L1858)),"")</f>
        <v/>
      </c>
      <c r="AB1858" s="18" t="n"/>
    </row>
    <row r="1859">
      <c r="A1859" s="9" t="n">
        <v>682633</v>
      </c>
      <c r="B1859" s="9" t="inlineStr">
        <is>
          <t>Eduardo Garcia</t>
        </is>
      </c>
      <c r="C1859" s="9" t="inlineStr">
        <is>
          <t>MIL</t>
        </is>
      </c>
      <c r="D1859" s="9" t="n">
        <v>25</v>
      </c>
      <c r="E1859" s="16" t="inlineStr">
        <is>
          <t>R</t>
        </is>
      </c>
      <c r="F1859" s="16" t="n"/>
      <c r="G1859" s="9" t="n">
        <v>117.8974358974359</v>
      </c>
      <c r="H1859" s="9" t="n">
        <v>117.8974358974359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7" t="n"/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/>
      <c r="Y1859" s="13">
        <f>SUMPRODUCT(M1859:X1859,$M$2:$X$2)*$K1859*$L1859</f>
        <v/>
      </c>
      <c r="Z1859" s="14">
        <f>SUM(M1859:X1859)</f>
        <v/>
      </c>
      <c r="AA1859" s="14">
        <f>IFERROR(IF(UPPER($E1859)="L",SUMPRODUCT(M1859:X1859,$M$3:$X$3,$M$2:$X$2),SUMPRODUCT(M1859:X1859,$M$4:$X$4,$M$2:$X$2))/(Y1859/($K1859*$L1859)),"")</f>
        <v/>
      </c>
      <c r="AB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7" t="n"/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/>
      <c r="Y1860" s="13">
        <f>SUMPRODUCT(M1860:X1860,$M$2:$X$2)*$K1860*$L1860</f>
        <v/>
      </c>
      <c r="Z1860" s="14">
        <f>SUM(M1860:X1860)</f>
        <v/>
      </c>
      <c r="AA1860" s="14">
        <f>IFERROR(IF(UPPER($E1860)="L",SUMPRODUCT(M1860:X1860,$M$3:$X$3,$M$2:$X$2),SUMPRODUCT(M1860:X1860,$M$4:$X$4,$M$2:$X$2))/(Y1860/($K1860*$L1860)),"")</f>
        <v/>
      </c>
      <c r="AB1860" s="18" t="n"/>
    </row>
    <row r="1861">
      <c r="A1861" s="9" t="n">
        <v>808041</v>
      </c>
      <c r="B1861" s="9" t="inlineStr">
        <is>
          <t>Abraham Nunez</t>
        </is>
      </c>
      <c r="C1861" s="9" t="inlineStr">
        <is>
          <t>CWS</t>
        </is>
      </c>
      <c r="D1861" s="9" t="n">
        <v>25</v>
      </c>
      <c r="E1861" s="16" t="inlineStr">
        <is>
          <t>L</t>
        </is>
      </c>
      <c r="F1861" s="16" t="n"/>
      <c r="G1861" s="9" t="n">
        <v>34.09230769230769</v>
      </c>
      <c r="H1861" s="9" t="n">
        <v>34.09230769230769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7" t="n"/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/>
      <c r="Y1861" s="13">
        <f>SUMPRODUCT(M1861:X1861,$M$2:$X$2)*$K1861*$L1861</f>
        <v/>
      </c>
      <c r="Z1861" s="14">
        <f>SUM(M1861:X1861)</f>
        <v/>
      </c>
      <c r="AA1861" s="14">
        <f>IFERROR(IF(UPPER($E1861)="L",SUMPRODUCT(M1861:X1861,$M$3:$X$3,$M$2:$X$2),SUMPRODUCT(M1861:X1861,$M$4:$X$4,$M$2:$X$2))/(Y1861/($K1861*$L1861)),"")</f>
        <v/>
      </c>
      <c r="AB1861" s="18" t="n"/>
    </row>
    <row r="1862">
      <c r="A1862" s="9" t="n">
        <v>703726</v>
      </c>
      <c r="B1862" s="9" t="inlineStr">
        <is>
          <t>Edward Vargas</t>
        </is>
      </c>
      <c r="C1862" s="9" t="inlineStr">
        <is>
          <t>CHC</t>
        </is>
      </c>
      <c r="D1862" s="9" t="n">
        <v>25</v>
      </c>
      <c r="E1862" s="16" t="inlineStr">
        <is>
          <t>R</t>
        </is>
      </c>
      <c r="F1862" s="16" t="n"/>
      <c r="G1862" s="9" t="n">
        <v>24.86153846153847</v>
      </c>
      <c r="H1862" s="9" t="n">
        <v>24.86153846153847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7" t="n"/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/>
      <c r="Y1862" s="13">
        <f>SUMPRODUCT(M1862:X1862,$M$2:$X$2)*$K1862*$L1862</f>
        <v/>
      </c>
      <c r="Z1862" s="14">
        <f>SUM(M1862:X1862)</f>
        <v/>
      </c>
      <c r="AA1862" s="14">
        <f>IFERROR(IF(UPPER($E1862)="L",SUMPRODUCT(M1862:X1862,$M$3:$X$3,$M$2:$X$2),SUMPRODUCT(M1862:X1862,$M$4:$X$4,$M$2:$X$2))/(Y1862/($K1862*$L1862)),"")</f>
        <v/>
      </c>
      <c r="AB1862" s="18" t="n"/>
    </row>
    <row r="1863">
      <c r="A1863" s="9" t="n">
        <v>671956</v>
      </c>
      <c r="B1863" s="9" t="inlineStr">
        <is>
          <t>Noah Myers</t>
        </is>
      </c>
      <c r="C1863" s="9" t="inlineStr">
        <is>
          <t>TB</t>
        </is>
      </c>
      <c r="D1863" s="9" t="n">
        <v>25</v>
      </c>
      <c r="E1863" s="16" t="inlineStr">
        <is>
          <t>L</t>
        </is>
      </c>
      <c r="F1863" s="16" t="n"/>
      <c r="G1863" s="9" t="n">
        <v>30.51282051282051</v>
      </c>
      <c r="H1863" s="9" t="n">
        <v>30.51282051282051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7" t="n"/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/>
      <c r="Y1863" s="13">
        <f>SUMPRODUCT(M1863:X1863,$M$2:$X$2)*$K1863*$L1863</f>
        <v/>
      </c>
      <c r="Z1863" s="14">
        <f>SUM(M1863:X1863)</f>
        <v/>
      </c>
      <c r="AA1863" s="14">
        <f>IFERROR(IF(UPPER($E1863)="L",SUMPRODUCT(M1863:X1863,$M$3:$X$3,$M$2:$X$2),SUMPRODUCT(M1863:X1863,$M$4:$X$4,$M$2:$X$2))/(Y1863/($K1863*$L1863)),"")</f>
        <v/>
      </c>
      <c r="AB1863" s="18" t="n"/>
    </row>
    <row r="1864">
      <c r="A1864" s="9" t="n">
        <v>803015</v>
      </c>
      <c r="B1864" s="9" t="inlineStr">
        <is>
          <t>Ben Hartl</t>
        </is>
      </c>
      <c r="C1864" s="9" t="inlineStr">
        <is>
          <t>CWS</t>
        </is>
      </c>
      <c r="D1864" s="9" t="n">
        <v>25</v>
      </c>
      <c r="E1864" s="16" t="inlineStr">
        <is>
          <t>R</t>
        </is>
      </c>
      <c r="F1864" s="16" t="n"/>
      <c r="G1864" s="9" t="n">
        <v>35.07692307692308</v>
      </c>
      <c r="H1864" s="9" t="n">
        <v>35.07692307692308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7" t="n"/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/>
      <c r="Y1864" s="13">
        <f>SUMPRODUCT(M1864:X1864,$M$2:$X$2)*$K1864*$L1864</f>
        <v/>
      </c>
      <c r="Z1864" s="14">
        <f>SUM(M1864:X1864)</f>
        <v/>
      </c>
      <c r="AA1864" s="14">
        <f>IFERROR(IF(UPPER($E1864)="L",SUMPRODUCT(M1864:X1864,$M$3:$X$3,$M$2:$X$2),SUMPRODUCT(M1864:X1864,$M$4:$X$4,$M$2:$X$2))/(Y1864/($K1864*$L1864)),"")</f>
        <v/>
      </c>
      <c r="AB1864" s="18" t="n"/>
    </row>
    <row r="1865">
      <c r="A1865" s="9" t="n">
        <v>624503</v>
      </c>
      <c r="B1865" s="9" t="inlineStr">
        <is>
          <t>Nick Gordon</t>
        </is>
      </c>
      <c r="C1865" s="9" t="inlineStr">
        <is>
          <t>MIA</t>
        </is>
      </c>
      <c r="D1865" s="9" t="n">
        <v>31</v>
      </c>
      <c r="E1865" s="16" t="inlineStr">
        <is>
          <t>L</t>
        </is>
      </c>
      <c r="F1865" s="16" t="n"/>
      <c r="G1865" s="9" t="n">
        <v>275</v>
      </c>
      <c r="H1865" s="9" t="n">
        <v>811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7" t="n"/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/>
      <c r="Y1865" s="13">
        <f>SUMPRODUCT(M1865:X1865,$M$2:$X$2)*$K1865*$L1865</f>
        <v/>
      </c>
      <c r="Z1865" s="14">
        <f>SUM(M1865:X1865)</f>
        <v/>
      </c>
      <c r="AA1865" s="14">
        <f>IFERROR(IF(UPPER($E1865)="L",SUMPRODUCT(M1865:X1865,$M$3:$X$3,$M$2:$X$2),SUMPRODUCT(M1865:X1865,$M$4:$X$4,$M$2:$X$2))/(Y1865/($K1865*$L1865)),"")</f>
        <v/>
      </c>
      <c r="AB1865" s="18" t="n"/>
    </row>
    <row r="1866">
      <c r="A1866" s="9" t="n">
        <v>800029</v>
      </c>
      <c r="B1866" s="9" t="inlineStr">
        <is>
          <t>Modeifi Marte</t>
        </is>
      </c>
      <c r="C1866" s="9" t="inlineStr">
        <is>
          <t>ARI</t>
        </is>
      </c>
      <c r="D1866" s="9" t="n">
        <v>25</v>
      </c>
      <c r="E1866" s="16" t="inlineStr">
        <is>
          <t>R</t>
        </is>
      </c>
      <c r="F1866" s="16" t="n"/>
      <c r="G1866" s="9" t="n">
        <v>55.7948717948718</v>
      </c>
      <c r="H1866" s="9" t="n">
        <v>55.7948717948718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7" t="n"/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/>
      <c r="Y1866" s="13">
        <f>SUMPRODUCT(M1866:X1866,$M$2:$X$2)*$K1866*$L1866</f>
        <v/>
      </c>
      <c r="Z1866" s="14">
        <f>SUM(M1866:X1866)</f>
        <v/>
      </c>
      <c r="AA1866" s="14">
        <f>IFERROR(IF(UPPER($E1866)="L",SUMPRODUCT(M1866:X1866,$M$3:$X$3,$M$2:$X$2),SUMPRODUCT(M1866:X1866,$M$4:$X$4,$M$2:$X$2))/(Y1866/($K1866*$L1866)),"")</f>
        <v/>
      </c>
      <c r="AB1866" s="18" t="n"/>
    </row>
    <row r="1867">
      <c r="A1867" s="9" t="n">
        <v>692031</v>
      </c>
      <c r="B1867" s="9" t="inlineStr">
        <is>
          <t>George Feliz</t>
        </is>
      </c>
      <c r="C1867" s="9" t="inlineStr">
        <is>
          <t>SEA</t>
        </is>
      </c>
      <c r="D1867" s="9" t="n">
        <v>25</v>
      </c>
      <c r="E1867" s="16" t="inlineStr">
        <is>
          <t>R</t>
        </is>
      </c>
      <c r="F1867" s="16" t="n"/>
      <c r="G1867" s="9" t="n">
        <v>32.73846153846154</v>
      </c>
      <c r="H1867" s="9" t="n">
        <v>32.73846153846154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7" t="n"/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/>
      <c r="Y1867" s="13">
        <f>SUMPRODUCT(M1867:X1867,$M$2:$X$2)*$K1867*$L1867</f>
        <v/>
      </c>
      <c r="Z1867" s="14">
        <f>SUM(M1867:X1867)</f>
        <v/>
      </c>
      <c r="AA1867" s="14">
        <f>IFERROR(IF(UPPER($E1867)="L",SUMPRODUCT(M1867:X1867,$M$3:$X$3,$M$2:$X$2),SUMPRODUCT(M1867:X1867,$M$4:$X$4,$M$2:$X$2))/(Y1867/($K1867*$L1867)),"")</f>
        <v/>
      </c>
      <c r="AB1867" s="18" t="n"/>
    </row>
    <row r="1868">
      <c r="A1868" s="9" t="n">
        <v>806984</v>
      </c>
      <c r="B1868" s="9" t="inlineStr">
        <is>
          <t>Arnaldo Lantigua</t>
        </is>
      </c>
      <c r="C1868" s="9" t="inlineStr">
        <is>
          <t>CIN</t>
        </is>
      </c>
      <c r="D1868" s="9" t="n">
        <v>25</v>
      </c>
      <c r="E1868" s="16" t="inlineStr">
        <is>
          <t>R</t>
        </is>
      </c>
      <c r="F1868" s="16" t="n"/>
      <c r="G1868" s="9" t="n">
        <v>49.84615384615385</v>
      </c>
      <c r="H1868" s="9" t="n">
        <v>49.84615384615385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7" t="n"/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/>
      <c r="Y1868" s="13">
        <f>SUMPRODUCT(M1868:X1868,$M$2:$X$2)*$K1868*$L1868</f>
        <v/>
      </c>
      <c r="Z1868" s="14">
        <f>SUM(M1868:X1868)</f>
        <v/>
      </c>
      <c r="AA1868" s="14">
        <f>IFERROR(IF(UPPER($E1868)="L",SUMPRODUCT(M1868:X1868,$M$3:$X$3,$M$2:$X$2),SUMPRODUCT(M1868:X1868,$M$4:$X$4,$M$2:$X$2))/(Y1868/($K1868*$L1868)),"")</f>
        <v/>
      </c>
      <c r="AB1868" s="18" t="n"/>
    </row>
    <row r="1869">
      <c r="A1869" s="9" t="n">
        <v>813896</v>
      </c>
      <c r="B1869" s="9" t="inlineStr">
        <is>
          <t>Joseph Sullivan</t>
        </is>
      </c>
      <c r="C1869" s="9" t="inlineStr">
        <is>
          <t>HOU</t>
        </is>
      </c>
      <c r="D1869" s="9" t="n">
        <v>25</v>
      </c>
      <c r="E1869" s="16" t="inlineStr">
        <is>
          <t>L</t>
        </is>
      </c>
      <c r="F1869" s="16" t="n"/>
      <c r="G1869" s="9" t="n">
        <v>120.2564102564102</v>
      </c>
      <c r="H1869" s="9" t="n">
        <v>120.2564102564102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7" t="n"/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/>
      <c r="Y1869" s="13">
        <f>SUMPRODUCT(M1869:X1869,$M$2:$X$2)*$K1869*$L1869</f>
        <v/>
      </c>
      <c r="Z1869" s="14">
        <f>SUM(M1869:X1869)</f>
        <v/>
      </c>
      <c r="AA1869" s="14">
        <f>IFERROR(IF(UPPER($E1869)="L",SUMPRODUCT(M1869:X1869,$M$3:$X$3,$M$2:$X$2),SUMPRODUCT(M1869:X1869,$M$4:$X$4,$M$2:$X$2))/(Y1869/($K1869*$L1869)),"")</f>
        <v/>
      </c>
      <c r="AB1869" s="18" t="n"/>
    </row>
    <row r="1870">
      <c r="A1870" s="9" t="n">
        <v>703602</v>
      </c>
      <c r="B1870" s="9" t="inlineStr">
        <is>
          <t>Jalin Flores</t>
        </is>
      </c>
      <c r="C1870" s="9" t="inlineStr">
        <is>
          <t>STL</t>
        </is>
      </c>
      <c r="D1870" s="9" t="n">
        <v>25</v>
      </c>
      <c r="E1870" s="16" t="inlineStr">
        <is>
          <t>R</t>
        </is>
      </c>
      <c r="F1870" s="16" t="n"/>
      <c r="G1870" s="9" t="n">
        <v>98.05128205128206</v>
      </c>
      <c r="H1870" s="9" t="n">
        <v>98.05128205128206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7" t="n"/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/>
      <c r="Y1870" s="13">
        <f>SUMPRODUCT(M1870:X1870,$M$2:$X$2)*$K1870*$L1870</f>
        <v/>
      </c>
      <c r="Z1870" s="14">
        <f>SUM(M1870:X1870)</f>
        <v/>
      </c>
      <c r="AA1870" s="14">
        <f>IFERROR(IF(UPPER($E1870)="L",SUMPRODUCT(M1870:X1870,$M$3:$X$3,$M$2:$X$2),SUMPRODUCT(M1870:X1870,$M$4:$X$4,$M$2:$X$2))/(Y1870/($K1870*$L1870)),"")</f>
        <v/>
      </c>
      <c r="AB1870" s="18" t="n"/>
    </row>
    <row r="1871">
      <c r="A1871" s="9" t="n">
        <v>834681</v>
      </c>
      <c r="B1871" s="9" t="inlineStr">
        <is>
          <t>Matthew Miura</t>
        </is>
      </c>
      <c r="C1871" s="9" t="inlineStr">
        <is>
          <t>STL</t>
        </is>
      </c>
      <c r="D1871" s="9" t="n">
        <v>25</v>
      </c>
      <c r="E1871" s="16" t="inlineStr">
        <is>
          <t>R</t>
        </is>
      </c>
      <c r="F1871" s="16" t="n"/>
      <c r="G1871" s="9" t="n">
        <v>30.64615384615384</v>
      </c>
      <c r="H1871" s="9" t="n">
        <v>30.64615384615384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7" t="n"/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/>
      <c r="Y1871" s="13">
        <f>SUMPRODUCT(M1871:X1871,$M$2:$X$2)*$K1871*$L1871</f>
        <v/>
      </c>
      <c r="Z1871" s="14">
        <f>SUM(M1871:X1871)</f>
        <v/>
      </c>
      <c r="AA1871" s="14">
        <f>IFERROR(IF(UPPER($E1871)="L",SUMPRODUCT(M1871:X1871,$M$3:$X$3,$M$2:$X$2),SUMPRODUCT(M1871:X1871,$M$4:$X$4,$M$2:$X$2))/(Y1871/($K1871*$L1871)),"")</f>
        <v/>
      </c>
      <c r="AB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7" t="n"/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/>
      <c r="Y1872" s="13">
        <f>SUMPRODUCT(M1872:X1872,$M$2:$X$2)*$K1872*$L1872</f>
        <v/>
      </c>
      <c r="Z1872" s="14">
        <f>SUM(M1872:X1872)</f>
        <v/>
      </c>
      <c r="AA1872" s="14">
        <f>IFERROR(IF(UPPER($E1872)="L",SUMPRODUCT(M1872:X1872,$M$3:$X$3,$M$2:$X$2),SUMPRODUCT(M1872:X1872,$M$4:$X$4,$M$2:$X$2))/(Y1872/($K1872*$L1872)),"")</f>
        <v/>
      </c>
      <c r="AB1872" s="18" t="n"/>
    </row>
    <row r="1873">
      <c r="A1873" s="9" t="n">
        <v>836061</v>
      </c>
      <c r="B1873" s="9" t="inlineStr">
        <is>
          <t>George Bilecki</t>
        </is>
      </c>
      <c r="C1873" s="9" t="inlineStr">
        <is>
          <t>SD</t>
        </is>
      </c>
      <c r="D1873" s="9" t="n">
        <v>25</v>
      </c>
      <c r="E1873" s="16" t="inlineStr">
        <is>
          <t>L</t>
        </is>
      </c>
      <c r="F1873" s="16" t="n"/>
      <c r="G1873" s="9" t="n">
        <v>35.69230769230769</v>
      </c>
      <c r="H1873" s="9" t="n">
        <v>35.69230769230769</v>
      </c>
      <c r="I1873" s="9" t="inlineStr">
        <is>
          <t>Depth (no MLB PA)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7" t="n"/>
      <c r="N1873" s="17" t="n"/>
      <c r="O1873" s="17" t="n"/>
      <c r="P1873" s="17" t="n"/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3">
        <f>SUMPRODUCT(M1873:X1873,$M$2:$X$2)*$K1873*$L1873</f>
        <v/>
      </c>
      <c r="Z1873" s="14">
        <f>SUM(M1873:X1873)</f>
        <v/>
      </c>
      <c r="AA1873" s="14">
        <f>IFERROR(IF(UPPER($E1873)="L",SUMPRODUCT(M1873:X1873,$M$3:$X$3,$M$2:$X$2),SUMPRODUCT(M1873:X1873,$M$4:$X$4,$M$2:$X$2))/(Y1873/($K1873*$L1873)),"")</f>
        <v/>
      </c>
      <c r="AB1873" s="18" t="n"/>
    </row>
    <row r="1874">
      <c r="A1874" s="9" t="n">
        <v>666126</v>
      </c>
      <c r="B1874" s="9" t="inlineStr">
        <is>
          <t>Carlos Cortes</t>
        </is>
      </c>
      <c r="C1874" s="9" t="inlineStr">
        <is>
          <t>OAK</t>
        </is>
      </c>
      <c r="D1874" s="9" t="n">
        <v>30</v>
      </c>
      <c r="E1874" s="16" t="inlineStr">
        <is>
          <t>L</t>
        </is>
      </c>
      <c r="F1874" s="16" t="n"/>
      <c r="G1874" s="9" t="n">
        <v>381</v>
      </c>
      <c r="H1874" s="9" t="n">
        <v>480</v>
      </c>
      <c r="I1874" s="9" t="inlineStr">
        <is>
          <t>Utility OF / 4th OF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7" t="n"/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/>
      <c r="Y1874" s="13">
        <f>SUMPRODUCT(M1874:X1874,$M$2:$X$2)*$K1874*$L1874</f>
        <v/>
      </c>
      <c r="Z1874" s="14">
        <f>SUM(M1874:X1874)</f>
        <v/>
      </c>
      <c r="AA1874" s="14">
        <f>IFERROR(IF(UPPER($E1874)="L",SUMPRODUCT(M1874:X1874,$M$3:$X$3,$M$2:$X$2),SUMPRODUCT(M1874:X1874,$M$4:$X$4,$M$2:$X$2))/(Y1874/($K1874*$L1874)),"")</f>
        <v/>
      </c>
      <c r="AB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7" t="n"/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/>
      <c r="Y1875" s="13">
        <f>SUMPRODUCT(M1875:X1875,$M$2:$X$2)*$K1875*$L1875</f>
        <v/>
      </c>
      <c r="Z1875" s="14">
        <f>SUM(M1875:X1875)</f>
        <v/>
      </c>
      <c r="AA1875" s="14">
        <f>IFERROR(IF(UPPER($E1875)="L",SUMPRODUCT(M1875:X1875,$M$3:$X$3,$M$2:$X$2),SUMPRODUCT(M1875:X1875,$M$4:$X$4,$M$2:$X$2))/(Y1875/($K1875*$L1875)),"")</f>
        <v/>
      </c>
      <c r="AB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7" t="n"/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/>
      <c r="Y1876" s="13">
        <f>SUMPRODUCT(M1876:X1876,$M$2:$X$2)*$K1876*$L1876</f>
        <v/>
      </c>
      <c r="Z1876" s="14">
        <f>SUM(M1876:X1876)</f>
        <v/>
      </c>
      <c r="AA1876" s="14">
        <f>IFERROR(IF(UPPER($E1876)="L",SUMPRODUCT(M1876:X1876,$M$3:$X$3,$M$2:$X$2),SUMPRODUCT(M1876:X1876,$M$4:$X$4,$M$2:$X$2))/(Y1876/($K1876*$L1876)),"")</f>
        <v/>
      </c>
      <c r="AB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7" t="n"/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/>
      <c r="Y1877" s="13">
        <f>SUMPRODUCT(M1877:X1877,$M$2:$X$2)*$K1877*$L1877</f>
        <v/>
      </c>
      <c r="Z1877" s="14">
        <f>SUM(M1877:X1877)</f>
        <v/>
      </c>
      <c r="AA1877" s="14">
        <f>IFERROR(IF(UPPER($E1877)="L",SUMPRODUCT(M1877:X1877,$M$3:$X$3,$M$2:$X$2),SUMPRODUCT(M1877:X1877,$M$4:$X$4,$M$2:$X$2))/(Y1877/($K1877*$L1877)),"")</f>
        <v/>
      </c>
      <c r="AB1877" s="18" t="n"/>
    </row>
    <row r="1878">
      <c r="A1878" s="9" t="n">
        <v>666464</v>
      </c>
      <c r="B1878" s="9" t="inlineStr">
        <is>
          <t>Jerar Encarnacion</t>
        </is>
      </c>
      <c r="C1878" s="9" t="inlineStr">
        <is>
          <t>SF</t>
        </is>
      </c>
      <c r="D1878" s="9" t="n">
        <v>29</v>
      </c>
      <c r="E1878" s="16" t="inlineStr">
        <is>
          <t>R</t>
        </is>
      </c>
      <c r="F1878" s="16" t="n"/>
      <c r="G1878" s="9" t="n">
        <v>35</v>
      </c>
      <c r="H1878" s="9" t="n">
        <v>291</v>
      </c>
      <c r="I1878" s="9" t="inlineStr">
        <is>
          <t>Bench Bat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7" t="n"/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/>
      <c r="Y1878" s="13">
        <f>SUMPRODUCT(M1878:X1878,$M$2:$X$2)*$K1878*$L1878</f>
        <v/>
      </c>
      <c r="Z1878" s="14">
        <f>SUM(M1878:X1878)</f>
        <v/>
      </c>
      <c r="AA1878" s="14">
        <f>IFERROR(IF(UPPER($E1878)="L",SUMPRODUCT(M1878:X1878,$M$3:$X$3,$M$2:$X$2),SUMPRODUCT(M1878:X1878,$M$4:$X$4,$M$2:$X$2))/(Y1878/($K1878*$L1878)),"")</f>
        <v/>
      </c>
      <c r="AB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7" t="n"/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/>
      <c r="Y1879" s="13">
        <f>SUMPRODUCT(M1879:X1879,$M$2:$X$2)*$K1879*$L1879</f>
        <v/>
      </c>
      <c r="Z1879" s="14">
        <f>SUM(M1879:X1879)</f>
        <v/>
      </c>
      <c r="AA1879" s="14">
        <f>IFERROR(IF(UPPER($E1879)="L",SUMPRODUCT(M1879:X1879,$M$3:$X$3,$M$2:$X$2),SUMPRODUCT(M1879:X1879,$M$4:$X$4,$M$2:$X$2))/(Y1879/($K1879*$L1879)),"")</f>
        <v/>
      </c>
      <c r="AB1879" s="18" t="n"/>
    </row>
    <row r="1880">
      <c r="A1880" s="9" t="n">
        <v>802219</v>
      </c>
      <c r="B1880" s="9" t="inlineStr">
        <is>
          <t>Woody Hadeen</t>
        </is>
      </c>
      <c r="C1880" s="9" t="inlineStr">
        <is>
          <t>DET</t>
        </is>
      </c>
      <c r="D1880" s="9" t="n">
        <v>25</v>
      </c>
      <c r="E1880" s="16" t="inlineStr">
        <is>
          <t>S</t>
        </is>
      </c>
      <c r="F1880" s="16" t="n"/>
      <c r="G1880" s="9" t="n">
        <v>42</v>
      </c>
      <c r="H1880" s="9" t="n">
        <v>42</v>
      </c>
      <c r="I1880" s="9" t="inlineStr">
        <is>
          <t>Depth (no MLB PA)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7" t="n"/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/>
      <c r="W1880" s="17" t="n"/>
      <c r="X1880" s="17" t="n"/>
      <c r="Y1880" s="13">
        <f>SUMPRODUCT(M1880:X1880,$M$2:$X$2)*$K1880*$L1880</f>
        <v/>
      </c>
      <c r="Z1880" s="14">
        <f>SUM(M1880:X1880)</f>
        <v/>
      </c>
      <c r="AA1880" s="14">
        <f>IFERROR(IF(UPPER($E1880)="L",SUMPRODUCT(M1880:X1880,$M$3:$X$3,$M$2:$X$2),SUMPRODUCT(M1880:X1880,$M$4:$X$4,$M$2:$X$2))/(Y1880/($K1880*$L1880)),"")</f>
        <v/>
      </c>
      <c r="AB1880" s="18" t="n"/>
    </row>
    <row r="1881">
      <c r="A1881" s="9" t="n">
        <v>621043</v>
      </c>
      <c r="B1881" s="9" t="inlineStr">
        <is>
          <t>Carlos Correa</t>
        </is>
      </c>
      <c r="C1881" s="9" t="inlineStr">
        <is>
          <t>HOU</t>
        </is>
      </c>
      <c r="D1881" s="9" t="n">
        <v>32</v>
      </c>
      <c r="E1881" s="16" t="inlineStr">
        <is>
          <t>R</t>
        </is>
      </c>
      <c r="F1881" s="16" t="n"/>
      <c r="G1881" s="9" t="n">
        <v>141</v>
      </c>
      <c r="H1881" s="9" t="n">
        <v>2262</v>
      </c>
      <c r="I1881" s="9" t="inlineStr">
        <is>
          <t>Full Time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7" t="n"/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/>
      <c r="Y1881" s="13">
        <f>SUMPRODUCT(M1881:X1881,$M$2:$X$2)*$K1881*$L1881</f>
        <v/>
      </c>
      <c r="Z1881" s="14">
        <f>SUM(M1881:X1881)</f>
        <v/>
      </c>
      <c r="AA1881" s="14">
        <f>IFERROR(IF(UPPER($E1881)="L",SUMPRODUCT(M1881:X1881,$M$3:$X$3,$M$2:$X$2),SUMPRODUCT(M1881:X1881,$M$4:$X$4,$M$2:$X$2))/(Y1881/($K1881*$L1881)),"")</f>
        <v/>
      </c>
      <c r="AB1881" s="18" t="n"/>
    </row>
    <row r="1882">
      <c r="A1882" s="9" t="n">
        <v>689070</v>
      </c>
      <c r="B1882" s="9" t="inlineStr">
        <is>
          <t>Spencer Packard</t>
        </is>
      </c>
      <c r="C1882" s="9" t="inlineStr">
        <is>
          <t>SEA</t>
        </is>
      </c>
      <c r="D1882" s="9" t="n">
        <v>25</v>
      </c>
      <c r="E1882" s="16" t="inlineStr">
        <is>
          <t>L</t>
        </is>
      </c>
      <c r="F1882" s="16" t="n"/>
      <c r="G1882" s="9" t="n">
        <v>108.3076923076923</v>
      </c>
      <c r="H1882" s="9" t="n">
        <v>108.3076923076923</v>
      </c>
      <c r="I1882" s="9" t="inlineStr">
        <is>
          <t>Depth (no MLB PA)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7" t="n"/>
      <c r="N1882" s="17" t="n"/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3">
        <f>SUMPRODUCT(M1882:X1882,$M$2:$X$2)*$K1882*$L1882</f>
        <v/>
      </c>
      <c r="Z1882" s="14">
        <f>SUM(M1882:X1882)</f>
        <v/>
      </c>
      <c r="AA1882" s="14">
        <f>IFERROR(IF(UPPER($E1882)="L",SUMPRODUCT(M1882:X1882,$M$3:$X$3,$M$2:$X$2),SUMPRODUCT(M1882:X1882,$M$4:$X$4,$M$2:$X$2))/(Y1882/($K1882*$L1882)),"")</f>
        <v/>
      </c>
      <c r="AB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7" t="n"/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/>
      <c r="Y1883" s="13">
        <f>SUMPRODUCT(M1883:X1883,$M$2:$X$2)*$K1883*$L1883</f>
        <v/>
      </c>
      <c r="Z1883" s="14">
        <f>SUM(M1883:X1883)</f>
        <v/>
      </c>
      <c r="AA1883" s="14">
        <f>IFERROR(IF(UPPER($E1883)="L",SUMPRODUCT(M1883:X1883,$M$3:$X$3,$M$2:$X$2),SUMPRODUCT(M1883:X1883,$M$4:$X$4,$M$2:$X$2))/(Y1883/($K1883*$L1883)),"")</f>
        <v/>
      </c>
      <c r="AB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25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Opening Day</t>
        </is>
      </c>
      <c r="K1884" s="11">
        <f>IFERROR(INDEX(Roles!$B$17:$B$20,MATCH(J1884,Roles!$A$17:$A$20,0)),1)</f>
        <v/>
      </c>
      <c r="L1884" s="17" t="n">
        <v>1</v>
      </c>
      <c r="M1884" s="17" t="n"/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/>
      <c r="Y1884" s="13">
        <f>SUMPRODUCT(M1884:X1884,$M$2:$X$2)*$K1884*$L1884</f>
        <v/>
      </c>
      <c r="Z1884" s="14">
        <f>SUM(M1884:X1884)</f>
        <v/>
      </c>
      <c r="AA1884" s="14">
        <f>IFERROR(IF(UPPER($E1884)="L",SUMPRODUCT(M1884:X1884,$M$3:$X$3,$M$2:$X$2),SUMPRODUCT(M1884:X1884,$M$4:$X$4,$M$2:$X$2))/(Y1884/($K1884*$L1884)),"")</f>
        <v/>
      </c>
      <c r="AB1884" s="18" t="n"/>
    </row>
    <row r="1885">
      <c r="A1885" s="9" t="n">
        <v>650619</v>
      </c>
      <c r="B1885" s="9" t="inlineStr">
        <is>
          <t>Meibrys Viloria</t>
        </is>
      </c>
      <c r="C1885" s="9" t="inlineStr">
        <is>
          <t>TEX</t>
        </is>
      </c>
      <c r="D1885" s="9" t="n">
        <v>30</v>
      </c>
      <c r="E1885" s="16" t="inlineStr">
        <is>
          <t>L</t>
        </is>
      </c>
      <c r="F1885" s="16" t="n"/>
      <c r="G1885" s="9" t="n">
        <v>4</v>
      </c>
      <c r="H1885" s="9" t="n">
        <v>79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7" t="n"/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/>
      <c r="Y1885" s="13">
        <f>SUMPRODUCT(M1885:X1885,$M$2:$X$2)*$K1885*$L1885</f>
        <v/>
      </c>
      <c r="Z1885" s="14">
        <f>SUM(M1885:X1885)</f>
        <v/>
      </c>
      <c r="AA1885" s="14">
        <f>IFERROR(IF(UPPER($E1885)="L",SUMPRODUCT(M1885:X1885,$M$3:$X$3,$M$2:$X$2),SUMPRODUCT(M1885:X1885,$M$4:$X$4,$M$2:$X$2))/(Y1885/($K1885*$L1885)),"")</f>
        <v/>
      </c>
      <c r="AB1885" s="18" t="n"/>
    </row>
    <row r="1886">
      <c r="A1886" s="9" t="n">
        <v>678854</v>
      </c>
      <c r="B1886" s="9" t="inlineStr">
        <is>
          <t>Viandel Pena</t>
        </is>
      </c>
      <c r="C1886" s="9" t="inlineStr">
        <is>
          <t>DET</t>
        </is>
      </c>
      <c r="D1886" s="9" t="n">
        <v>25</v>
      </c>
      <c r="E1886" s="16" t="inlineStr">
        <is>
          <t>S</t>
        </is>
      </c>
      <c r="F1886" s="16" t="n"/>
      <c r="G1886" s="9" t="n">
        <v>41.28205128205128</v>
      </c>
      <c r="H1886" s="9" t="n">
        <v>41.28205128205128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7" t="n"/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/>
      <c r="Y1886" s="13">
        <f>SUMPRODUCT(M1886:X1886,$M$2:$X$2)*$K1886*$L1886</f>
        <v/>
      </c>
      <c r="Z1886" s="14">
        <f>SUM(M1886:X1886)</f>
        <v/>
      </c>
      <c r="AA1886" s="14">
        <f>IFERROR(IF(UPPER($E1886)="L",SUMPRODUCT(M1886:X1886,$M$3:$X$3,$M$2:$X$2),SUMPRODUCT(M1886:X1886,$M$4:$X$4,$M$2:$X$2))/(Y1886/($K1886*$L1886)),"")</f>
        <v/>
      </c>
      <c r="AB1886" s="18" t="n"/>
    </row>
    <row r="1887">
      <c r="A1887" s="9" t="n">
        <v>815830</v>
      </c>
      <c r="B1887" s="9" t="inlineStr">
        <is>
          <t>Dean Moss</t>
        </is>
      </c>
      <c r="C1887" s="9" t="inlineStr">
        <is>
          <t>TB</t>
        </is>
      </c>
      <c r="D1887" s="9" t="n">
        <v>25</v>
      </c>
      <c r="E1887" s="16" t="inlineStr">
        <is>
          <t>L</t>
        </is>
      </c>
      <c r="F1887" s="16" t="n"/>
      <c r="G1887" s="9" t="n">
        <v>35.81538461538462</v>
      </c>
      <c r="H1887" s="9" t="n">
        <v>35.81538461538462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7" t="n"/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/>
      <c r="Y1887" s="13">
        <f>SUMPRODUCT(M1887:X1887,$M$2:$X$2)*$K1887*$L1887</f>
        <v/>
      </c>
      <c r="Z1887" s="14">
        <f>SUM(M1887:X1887)</f>
        <v/>
      </c>
      <c r="AA1887" s="14">
        <f>IFERROR(IF(UPPER($E1887)="L",SUMPRODUCT(M1887:X1887,$M$3:$X$3,$M$2:$X$2),SUMPRODUCT(M1887:X1887,$M$4:$X$4,$M$2:$X$2))/(Y1887/($K1887*$L1887)),"")</f>
        <v/>
      </c>
      <c r="AB1887" s="18" t="n"/>
    </row>
    <row r="1888">
      <c r="A1888" s="9" t="n">
        <v>808277</v>
      </c>
      <c r="B1888" s="9" t="inlineStr">
        <is>
          <t>Miguel Rodríguez</t>
        </is>
      </c>
      <c r="C1888" s="9" t="inlineStr">
        <is>
          <t>BAL</t>
        </is>
      </c>
      <c r="D1888" s="9" t="n">
        <v>25</v>
      </c>
      <c r="E1888" s="16" t="inlineStr">
        <is>
          <t>R</t>
        </is>
      </c>
      <c r="F1888" s="16" t="n"/>
      <c r="G1888" s="9" t="n">
        <v>28.8</v>
      </c>
      <c r="H1888" s="9" t="n">
        <v>28.8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7" t="n"/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/>
      <c r="Y1888" s="13">
        <f>SUMPRODUCT(M1888:X1888,$M$2:$X$2)*$K1888*$L1888</f>
        <v/>
      </c>
      <c r="Z1888" s="14">
        <f>SUM(M1888:X1888)</f>
        <v/>
      </c>
      <c r="AA1888" s="14">
        <f>IFERROR(IF(UPPER($E1888)="L",SUMPRODUCT(M1888:X1888,$M$3:$X$3,$M$2:$X$2),SUMPRODUCT(M1888:X1888,$M$4:$X$4,$M$2:$X$2))/(Y1888/($K1888*$L1888)),"")</f>
        <v/>
      </c>
      <c r="AB1888" s="18" t="n"/>
    </row>
    <row r="1889">
      <c r="A1889" s="9" t="n">
        <v>804710</v>
      </c>
      <c r="B1889" s="9" t="inlineStr">
        <is>
          <t>Brennan Orf</t>
        </is>
      </c>
      <c r="C1889" s="9" t="inlineStr">
        <is>
          <t>TOR</t>
        </is>
      </c>
      <c r="D1889" s="9" t="n">
        <v>25</v>
      </c>
      <c r="E1889" s="16" t="inlineStr">
        <is>
          <t>L</t>
        </is>
      </c>
      <c r="F1889" s="16" t="n"/>
      <c r="G1889" s="9" t="n">
        <v>26.66666666666667</v>
      </c>
      <c r="H1889" s="9" t="n">
        <v>26.66666666666667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7" t="n"/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/>
      <c r="Y1889" s="13">
        <f>SUMPRODUCT(M1889:X1889,$M$2:$X$2)*$K1889*$L1889</f>
        <v/>
      </c>
      <c r="Z1889" s="14">
        <f>SUM(M1889:X1889)</f>
        <v/>
      </c>
      <c r="AA1889" s="14">
        <f>IFERROR(IF(UPPER($E1889)="L",SUMPRODUCT(M1889:X1889,$M$3:$X$3,$M$2:$X$2),SUMPRODUCT(M1889:X1889,$M$4:$X$4,$M$2:$X$2))/(Y1889/($K1889*$L1889)),"")</f>
        <v/>
      </c>
      <c r="AB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7" t="n"/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/>
      <c r="Y1890" s="13">
        <f>SUMPRODUCT(M1890:X1890,$M$2:$X$2)*$K1890*$L1890</f>
        <v/>
      </c>
      <c r="Z1890" s="14">
        <f>SUM(M1890:X1890)</f>
        <v/>
      </c>
      <c r="AA1890" s="14">
        <f>IFERROR(IF(UPPER($E1890)="L",SUMPRODUCT(M1890:X1890,$M$3:$X$3,$M$2:$X$2),SUMPRODUCT(M1890:X1890,$M$4:$X$4,$M$2:$X$2))/(Y1890/($K1890*$L1890)),"")</f>
        <v/>
      </c>
      <c r="AB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n"/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7" t="n"/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/>
      <c r="Y1891" s="13">
        <f>SUMPRODUCT(M1891:X1891,$M$2:$X$2)*$K1891*$L1891</f>
        <v/>
      </c>
      <c r="Z1891" s="14">
        <f>SUM(M1891:X1891)</f>
        <v/>
      </c>
      <c r="AA1891" s="14">
        <f>IFERROR(IF(UPPER($E1891)="L",SUMPRODUCT(M1891:X1891,$M$3:$X$3,$M$2:$X$2),SUMPRODUCT(M1891:X1891,$M$4:$X$4,$M$2:$X$2))/(Y1891/($K1891*$L1891)),"")</f>
        <v/>
      </c>
      <c r="AB1891" s="18" t="n"/>
    </row>
    <row r="1892">
      <c r="A1892" s="9" t="n">
        <v>572008</v>
      </c>
      <c r="B1892" s="9" t="inlineStr">
        <is>
          <t>Chris Owings</t>
        </is>
      </c>
      <c r="C1892" s="9" t="inlineStr">
        <is>
          <t>PIT</t>
        </is>
      </c>
      <c r="D1892" s="9" t="n">
        <v>35</v>
      </c>
      <c r="E1892" s="16" t="inlineStr">
        <is>
          <t>R</t>
        </is>
      </c>
      <c r="F1892" s="16" t="n"/>
      <c r="G1892" s="9" t="n">
        <v>25</v>
      </c>
      <c r="H1892" s="9" t="n">
        <v>93</v>
      </c>
      <c r="I1892" s="9" t="inlineStr">
        <is>
          <t>Depth (no MLB PA)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7" t="n"/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/>
      <c r="W1892" s="17" t="n"/>
      <c r="X1892" s="17" t="n"/>
      <c r="Y1892" s="13">
        <f>SUMPRODUCT(M1892:X1892,$M$2:$X$2)*$K1892*$L1892</f>
        <v/>
      </c>
      <c r="Z1892" s="14">
        <f>SUM(M1892:X1892)</f>
        <v/>
      </c>
      <c r="AA1892" s="14">
        <f>IFERROR(IF(UPPER($E1892)="L",SUMPRODUCT(M1892:X1892,$M$3:$X$3,$M$2:$X$2),SUMPRODUCT(M1892:X1892,$M$4:$X$4,$M$2:$X$2))/(Y1892/($K1892*$L1892)),"")</f>
        <v/>
      </c>
      <c r="AB1892" s="18" t="n"/>
    </row>
    <row r="1893">
      <c r="A1893" s="9" t="n">
        <v>681371</v>
      </c>
      <c r="B1893" s="9" t="inlineStr">
        <is>
          <t>Dom Keegan</t>
        </is>
      </c>
      <c r="C1893" s="9" t="inlineStr">
        <is>
          <t>TB</t>
        </is>
      </c>
      <c r="D1893" s="9" t="n">
        <v>25</v>
      </c>
      <c r="E1893" s="16" t="inlineStr">
        <is>
          <t>R</t>
        </is>
      </c>
      <c r="F1893" s="16" t="n"/>
      <c r="G1893" s="9" t="n">
        <v>117.8974358974359</v>
      </c>
      <c r="H1893" s="9" t="n">
        <v>117.8974358974359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7" t="n"/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/>
      <c r="Y1893" s="13">
        <f>SUMPRODUCT(M1893:X1893,$M$2:$X$2)*$K1893*$L1893</f>
        <v/>
      </c>
      <c r="Z1893" s="14">
        <f>SUM(M1893:X1893)</f>
        <v/>
      </c>
      <c r="AA1893" s="14">
        <f>IFERROR(IF(UPPER($E1893)="L",SUMPRODUCT(M1893:X1893,$M$3:$X$3,$M$2:$X$2),SUMPRODUCT(M1893:X1893,$M$4:$X$4,$M$2:$X$2))/(Y1893/($K1893*$L1893)),"")</f>
        <v/>
      </c>
      <c r="AB1893" s="18" t="n"/>
    </row>
    <row r="1894">
      <c r="A1894" s="9" t="n">
        <v>518792</v>
      </c>
      <c r="B1894" s="9" t="inlineStr">
        <is>
          <t>Jason Heyward</t>
        </is>
      </c>
      <c r="C1894" s="9" t="inlineStr">
        <is>
          <t>SD</t>
        </is>
      </c>
      <c r="D1894" s="9" t="n">
        <v>37</v>
      </c>
      <c r="E1894" s="16" t="inlineStr">
        <is>
          <t>L</t>
        </is>
      </c>
      <c r="F1894" s="16" t="n"/>
      <c r="G1894" s="9" t="n">
        <v>95</v>
      </c>
      <c r="H1894" s="9" t="n">
        <v>881</v>
      </c>
      <c r="I1894" s="9" t="inlineStr">
        <is>
          <t>Bench Bat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7" t="n"/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/>
      <c r="Y1894" s="13">
        <f>SUMPRODUCT(M1894:X1894,$M$2:$X$2)*$K1894*$L1894</f>
        <v/>
      </c>
      <c r="Z1894" s="14">
        <f>SUM(M1894:X1894)</f>
        <v/>
      </c>
      <c r="AA1894" s="14">
        <f>IFERROR(IF(UPPER($E1894)="L",SUMPRODUCT(M1894:X1894,$M$3:$X$3,$M$2:$X$2),SUMPRODUCT(M1894:X1894,$M$4:$X$4,$M$2:$X$2))/(Y1894/($K1894*$L1894)),"")</f>
        <v/>
      </c>
      <c r="AB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7" t="n"/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/>
      <c r="Y1895" s="13">
        <f>SUMPRODUCT(M1895:X1895,$M$2:$X$2)*$K1895*$L1895</f>
        <v/>
      </c>
      <c r="Z1895" s="14">
        <f>SUM(M1895:X1895)</f>
        <v/>
      </c>
      <c r="AA1895" s="14">
        <f>IFERROR(IF(UPPER($E1895)="L",SUMPRODUCT(M1895:X1895,$M$3:$X$3,$M$2:$X$2),SUMPRODUCT(M1895:X1895,$M$4:$X$4,$M$2:$X$2))/(Y1895/($K1895*$L1895)),"")</f>
        <v/>
      </c>
      <c r="AB1895" s="18" t="n"/>
    </row>
    <row r="1896">
      <c r="A1896" s="9" t="n">
        <v>682868</v>
      </c>
      <c r="B1896" s="9" t="inlineStr">
        <is>
          <t>Bryan Ramos</t>
        </is>
      </c>
      <c r="C1896" s="9" t="inlineStr">
        <is>
          <t>CWS</t>
        </is>
      </c>
      <c r="D1896" s="9" t="n">
        <v>25</v>
      </c>
      <c r="E1896" s="16" t="inlineStr">
        <is>
          <t>R</t>
        </is>
      </c>
      <c r="F1896" s="16" t="n"/>
      <c r="G1896" s="9" t="n">
        <v>12</v>
      </c>
      <c r="H1896" s="9" t="n">
        <v>120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7" t="n"/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/>
      <c r="Y1896" s="13">
        <f>SUMPRODUCT(M1896:X1896,$M$2:$X$2)*$K1896*$L1896</f>
        <v/>
      </c>
      <c r="Z1896" s="14">
        <f>SUM(M1896:X1896)</f>
        <v/>
      </c>
      <c r="AA1896" s="14">
        <f>IFERROR(IF(UPPER($E1896)="L",SUMPRODUCT(M1896:X1896,$M$3:$X$3,$M$2:$X$2),SUMPRODUCT(M1896:X1896,$M$4:$X$4,$M$2:$X$2))/(Y1896/($K1896*$L1896)),"")</f>
        <v/>
      </c>
      <c r="AB1896" s="18" t="n"/>
    </row>
    <row r="1897">
      <c r="A1897" s="9" t="n">
        <v>669352</v>
      </c>
      <c r="B1897" s="9" t="inlineStr">
        <is>
          <t>Bubba Thompson</t>
        </is>
      </c>
      <c r="C1897" s="9" t="inlineStr">
        <is>
          <t>TEX</t>
        </is>
      </c>
      <c r="D1897" s="9" t="n">
        <v>29</v>
      </c>
      <c r="E1897" s="16" t="inlineStr">
        <is>
          <t>R</t>
        </is>
      </c>
      <c r="F1897" s="16" t="n"/>
      <c r="G1897" s="9" t="n">
        <v>18</v>
      </c>
      <c r="H1897" s="9" t="n">
        <v>259</v>
      </c>
      <c r="I1897" s="9" t="inlineStr">
        <is>
          <t>Depth (no MLB PA)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7" t="n"/>
      <c r="N1897" s="17" t="n"/>
      <c r="O1897" s="17" t="n"/>
      <c r="P1897" s="17" t="n"/>
      <c r="Q1897" s="17" t="n"/>
      <c r="R1897" s="17" t="n"/>
      <c r="S1897" s="17" t="n"/>
      <c r="T1897" s="17" t="n"/>
      <c r="U1897" s="17" t="n"/>
      <c r="V1897" s="17" t="n"/>
      <c r="W1897" s="17" t="n"/>
      <c r="X1897" s="17" t="n"/>
      <c r="Y1897" s="13">
        <f>SUMPRODUCT(M1897:X1897,$M$2:$X$2)*$K1897*$L1897</f>
        <v/>
      </c>
      <c r="Z1897" s="14">
        <f>SUM(M1897:X1897)</f>
        <v/>
      </c>
      <c r="AA1897" s="14">
        <f>IFERROR(IF(UPPER($E1897)="L",SUMPRODUCT(M1897:X1897,$M$3:$X$3,$M$2:$X$2),SUMPRODUCT(M1897:X1897,$M$4:$X$4,$M$2:$X$2))/(Y1897/($K1897*$L1897)),"")</f>
        <v/>
      </c>
      <c r="AB1897" s="18" t="n"/>
    </row>
    <row r="1898">
      <c r="A1898" s="9" t="n">
        <v>650489</v>
      </c>
      <c r="B1898" s="9" t="inlineStr">
        <is>
          <t>Willi Castro</t>
        </is>
      </c>
      <c r="C1898" s="9" t="inlineStr">
        <is>
          <t>COL</t>
        </is>
      </c>
      <c r="D1898" s="9" t="n">
        <v>30</v>
      </c>
      <c r="E1898" s="16" t="inlineStr">
        <is>
          <t>S</t>
        </is>
      </c>
      <c r="F1898" s="16" t="n"/>
      <c r="G1898" s="9" t="n">
        <v>477</v>
      </c>
      <c r="H1898" s="9" t="n">
        <v>2367</v>
      </c>
      <c r="I1898" s="9" t="inlineStr">
        <is>
          <t>Full Time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7" t="n"/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/>
      <c r="Y1898" s="13">
        <f>SUMPRODUCT(M1898:X1898,$M$2:$X$2)*$K1898*$L1898</f>
        <v/>
      </c>
      <c r="Z1898" s="14">
        <f>SUM(M1898:X1898)</f>
        <v/>
      </c>
      <c r="AA1898" s="14">
        <f>IFERROR(IF(UPPER($E1898)="L",SUMPRODUCT(M1898:X1898,$M$3:$X$3,$M$2:$X$2),SUMPRODUCT(M1898:X1898,$M$4:$X$4,$M$2:$X$2))/(Y1898/($K1898*$L1898)),"")</f>
        <v/>
      </c>
      <c r="AB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n"/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7" t="n"/>
      <c r="N1899" s="17" t="n"/>
      <c r="O1899" s="17" t="n"/>
      <c r="P1899" s="17" t="n"/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3">
        <f>SUMPRODUCT(M1899:X1899,$M$2:$X$2)*$K1899*$L1899</f>
        <v/>
      </c>
      <c r="Z1899" s="14">
        <f>SUM(M1899:X1899)</f>
        <v/>
      </c>
      <c r="AA1899" s="14">
        <f>IFERROR(IF(UPPER($E1899)="L",SUMPRODUCT(M1899:X1899,$M$3:$X$3,$M$2:$X$2),SUMPRODUCT(M1899:X1899,$M$4:$X$4,$M$2:$X$2))/(Y1899/($K1899*$L1899)),"")</f>
        <v/>
      </c>
      <c r="AB1899" s="18" t="n"/>
    </row>
    <row r="1900">
      <c r="A1900" s="9" t="n">
        <v>815632</v>
      </c>
      <c r="B1900" s="9" t="inlineStr">
        <is>
          <t>Tytus Cissell</t>
        </is>
      </c>
      <c r="C1900" s="9" t="inlineStr">
        <is>
          <t>ARI</t>
        </is>
      </c>
      <c r="D1900" s="9" t="n">
        <v>25</v>
      </c>
      <c r="E1900" s="16" t="inlineStr">
        <is>
          <t>S</t>
        </is>
      </c>
      <c r="F1900" s="16" t="n"/>
      <c r="G1900" s="9" t="n">
        <v>25.84615384615385</v>
      </c>
      <c r="H1900" s="9" t="n">
        <v>25.84615384615385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7" t="n"/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/>
      <c r="Y1900" s="13">
        <f>SUMPRODUCT(M1900:X1900,$M$2:$X$2)*$K1900*$L1900</f>
        <v/>
      </c>
      <c r="Z1900" s="14">
        <f>SUM(M1900:X1900)</f>
        <v/>
      </c>
      <c r="AA1900" s="14">
        <f>IFERROR(IF(UPPER($E1900)="L",SUMPRODUCT(M1900:X1900,$M$3:$X$3,$M$2:$X$2),SUMPRODUCT(M1900:X1900,$M$4:$X$4,$M$2:$X$2))/(Y1900/($K1900*$L1900)),"")</f>
        <v/>
      </c>
      <c r="AB1900" s="18" t="n"/>
    </row>
    <row r="1901">
      <c r="A1901" s="9" t="n">
        <v>701696</v>
      </c>
      <c r="B1901" s="9" t="inlineStr">
        <is>
          <t>Ryan Stafford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32.82051282051282</v>
      </c>
      <c r="H1901" s="9" t="n">
        <v>32.82051282051282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7" t="n"/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/>
      <c r="Y1901" s="13">
        <f>SUMPRODUCT(M1901:X1901,$M$2:$X$2)*$K1901*$L1901</f>
        <v/>
      </c>
      <c r="Z1901" s="14">
        <f>SUM(M1901:X1901)</f>
        <v/>
      </c>
      <c r="AA1901" s="14">
        <f>IFERROR(IF(UPPER($E1901)="L",SUMPRODUCT(M1901:X1901,$M$3:$X$3,$M$2:$X$2),SUMPRODUCT(M1901:X1901,$M$4:$X$4,$M$2:$X$2))/(Y1901/($K1901*$L1901)),"")</f>
        <v/>
      </c>
      <c r="AB1901" s="18" t="n"/>
    </row>
    <row r="1902">
      <c r="A1902" s="9" t="n">
        <v>703178</v>
      </c>
      <c r="B1902" s="9" t="inlineStr">
        <is>
          <t>Braylin Tavera</t>
        </is>
      </c>
      <c r="C1902" s="9" t="inlineStr">
        <is>
          <t>BAL</t>
        </is>
      </c>
      <c r="D1902" s="9" t="n">
        <v>25</v>
      </c>
      <c r="E1902" s="16" t="inlineStr">
        <is>
          <t>R</t>
        </is>
      </c>
      <c r="F1902" s="16" t="n"/>
      <c r="G1902" s="9" t="n">
        <v>83.4871794871795</v>
      </c>
      <c r="H1902" s="9" t="n">
        <v>83.4871794871795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7" t="n"/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/>
      <c r="Y1902" s="13">
        <f>SUMPRODUCT(M1902:X1902,$M$2:$X$2)*$K1902*$L1902</f>
        <v/>
      </c>
      <c r="Z1902" s="14">
        <f>SUM(M1902:X1902)</f>
        <v/>
      </c>
      <c r="AA1902" s="14">
        <f>IFERROR(IF(UPPER($E1902)="L",SUMPRODUCT(M1902:X1902,$M$3:$X$3,$M$2:$X$2),SUMPRODUCT(M1902:X1902,$M$4:$X$4,$M$2:$X$2))/(Y1902/($K1902*$L1902)),"")</f>
        <v/>
      </c>
      <c r="AB1902" s="18" t="n"/>
    </row>
    <row r="1903">
      <c r="A1903" s="9" t="n">
        <v>702889</v>
      </c>
      <c r="B1903" s="9" t="inlineStr">
        <is>
          <t>Andy Lugo</t>
        </is>
      </c>
      <c r="C1903" s="9" t="inlineStr">
        <is>
          <t>MIN</t>
        </is>
      </c>
      <c r="D1903" s="9" t="n">
        <v>25</v>
      </c>
      <c r="E1903" s="16" t="inlineStr">
        <is>
          <t>R</t>
        </is>
      </c>
      <c r="F1903" s="16" t="n"/>
      <c r="G1903" s="9" t="n">
        <v>44.92307692307693</v>
      </c>
      <c r="H1903" s="9" t="n">
        <v>44.92307692307693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7" t="n"/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/>
      <c r="Y1903" s="13">
        <f>SUMPRODUCT(M1903:X1903,$M$2:$X$2)*$K1903*$L1903</f>
        <v/>
      </c>
      <c r="Z1903" s="14">
        <f>SUM(M1903:X1903)</f>
        <v/>
      </c>
      <c r="AA1903" s="14">
        <f>IFERROR(IF(UPPER($E1903)="L",SUMPRODUCT(M1903:X1903,$M$3:$X$3,$M$2:$X$2),SUMPRODUCT(M1903:X1903,$M$4:$X$4,$M$2:$X$2))/(Y1903/($K1903*$L1903)),"")</f>
        <v/>
      </c>
      <c r="AB1903" s="18" t="n"/>
    </row>
    <row r="1904">
      <c r="A1904" s="9" t="n">
        <v>703198</v>
      </c>
      <c r="B1904" s="9" t="inlineStr">
        <is>
          <t>Kenni Gomez</t>
        </is>
      </c>
      <c r="C1904" s="9" t="inlineStr">
        <is>
          <t>HOU</t>
        </is>
      </c>
      <c r="D1904" s="9" t="n">
        <v>25</v>
      </c>
      <c r="E1904" s="16" t="inlineStr">
        <is>
          <t>L</t>
        </is>
      </c>
      <c r="F1904" s="16" t="n"/>
      <c r="G1904" s="9" t="n">
        <v>23.69230769230769</v>
      </c>
      <c r="H1904" s="9" t="n">
        <v>23.69230769230769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7" t="n"/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/>
      <c r="Y1904" s="13">
        <f>SUMPRODUCT(M1904:X1904,$M$2:$X$2)*$K1904*$L1904</f>
        <v/>
      </c>
      <c r="Z1904" s="14">
        <f>SUM(M1904:X1904)</f>
        <v/>
      </c>
      <c r="AA1904" s="14">
        <f>IFERROR(IF(UPPER($E1904)="L",SUMPRODUCT(M1904:X1904,$M$3:$X$3,$M$2:$X$2),SUMPRODUCT(M1904:X1904,$M$4:$X$4,$M$2:$X$2))/(Y1904/($K1904*$L1904)),"")</f>
        <v/>
      </c>
      <c r="AB1904" s="18" t="n"/>
    </row>
    <row r="1905">
      <c r="A1905" s="9" t="n">
        <v>692585</v>
      </c>
      <c r="B1905" s="9" t="inlineStr">
        <is>
          <t>Yanquiel Fernández</t>
        </is>
      </c>
      <c r="C1905" s="9" t="inlineStr">
        <is>
          <t>COL</t>
        </is>
      </c>
      <c r="D1905" s="9" t="n">
        <v>24</v>
      </c>
      <c r="E1905" s="16" t="inlineStr">
        <is>
          <t>L</t>
        </is>
      </c>
      <c r="F1905" s="16" t="n"/>
      <c r="G1905" s="9" t="n">
        <v>147</v>
      </c>
      <c r="H1905" s="9" t="n">
        <v>147</v>
      </c>
      <c r="I1905" s="9" t="inlineStr">
        <is>
          <t>Bench Bat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7" t="n"/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/>
      <c r="Y1905" s="13">
        <f>SUMPRODUCT(M1905:X1905,$M$2:$X$2)*$K1905*$L1905</f>
        <v/>
      </c>
      <c r="Z1905" s="14">
        <f>SUM(M1905:X1905)</f>
        <v/>
      </c>
      <c r="AA1905" s="14">
        <f>IFERROR(IF(UPPER($E1905)="L",SUMPRODUCT(M1905:X1905,$M$3:$X$3,$M$2:$X$2),SUMPRODUCT(M1905:X1905,$M$4:$X$4,$M$2:$X$2))/(Y1905/($K1905*$L1905)),"")</f>
        <v/>
      </c>
      <c r="AB1905" s="18" t="n"/>
    </row>
    <row r="1906">
      <c r="A1906" s="9" t="n">
        <v>808129</v>
      </c>
      <c r="B1906" s="9" t="inlineStr">
        <is>
          <t>Juan Flores</t>
        </is>
      </c>
      <c r="C1906" s="9" t="inlineStr">
        <is>
          <t>LAA</t>
        </is>
      </c>
      <c r="D1906" s="9" t="n">
        <v>25</v>
      </c>
      <c r="E1906" s="16" t="inlineStr">
        <is>
          <t>R</t>
        </is>
      </c>
      <c r="F1906" s="16" t="n"/>
      <c r="G1906" s="9" t="n">
        <v>69.28205128205128</v>
      </c>
      <c r="H1906" s="9" t="n">
        <v>69.28205128205128</v>
      </c>
      <c r="I1906" s="9" t="inlineStr">
        <is>
          <t>Depth (no MLB PA)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7" t="n"/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/>
      <c r="W1906" s="17" t="n"/>
      <c r="X1906" s="17" t="n"/>
      <c r="Y1906" s="13">
        <f>SUMPRODUCT(M1906:X1906,$M$2:$X$2)*$K1906*$L1906</f>
        <v/>
      </c>
      <c r="Z1906" s="14">
        <f>SUM(M1906:X1906)</f>
        <v/>
      </c>
      <c r="AA1906" s="14">
        <f>IFERROR(IF(UPPER($E1906)="L",SUMPRODUCT(M1906:X1906,$M$3:$X$3,$M$2:$X$2),SUMPRODUCT(M1906:X1906,$M$4:$X$4,$M$2:$X$2))/(Y1906/($K1906*$L1906)),"")</f>
        <v/>
      </c>
      <c r="AB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7" t="n"/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/>
      <c r="Y1907" s="13">
        <f>SUMPRODUCT(M1907:X1907,$M$2:$X$2)*$K1907*$L1907</f>
        <v/>
      </c>
      <c r="Z1907" s="14">
        <f>SUM(M1907:X1907)</f>
        <v/>
      </c>
      <c r="AA1907" s="14">
        <f>IFERROR(IF(UPPER($E1907)="L",SUMPRODUCT(M1907:X1907,$M$3:$X$3,$M$2:$X$2),SUMPRODUCT(M1907:X1907,$M$4:$X$4,$M$2:$X$2))/(Y1907/($K1907*$L1907)),"")</f>
        <v/>
      </c>
      <c r="AB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7" t="n"/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/>
      <c r="Y1908" s="13">
        <f>SUMPRODUCT(M1908:X1908,$M$2:$X$2)*$K1908*$L1908</f>
        <v/>
      </c>
      <c r="Z1908" s="14">
        <f>SUM(M1908:X1908)</f>
        <v/>
      </c>
      <c r="AA1908" s="14">
        <f>IFERROR(IF(UPPER($E1908)="L",SUMPRODUCT(M1908:X1908,$M$3:$X$3,$M$2:$X$2),SUMPRODUCT(M1908:X1908,$M$4:$X$4,$M$2:$X$2))/(Y1908/($K1908*$L1908)),"")</f>
        <v/>
      </c>
      <c r="AB1908" s="18" t="n"/>
    </row>
    <row r="1909">
      <c r="A1909" s="9" t="n">
        <v>815909</v>
      </c>
      <c r="B1909" s="9" t="inlineStr">
        <is>
          <t>Luis Cova</t>
        </is>
      </c>
      <c r="C1909" s="9" t="inlineStr">
        <is>
          <t>MIA</t>
        </is>
      </c>
      <c r="D1909" s="9" t="n">
        <v>25</v>
      </c>
      <c r="E1909" s="16" t="inlineStr">
        <is>
          <t>R</t>
        </is>
      </c>
      <c r="F1909" s="16" t="n"/>
      <c r="G1909" s="9" t="n">
        <v>30.64615384615384</v>
      </c>
      <c r="H1909" s="9" t="n">
        <v>30.64615384615384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7" t="n"/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/>
      <c r="Y1909" s="13">
        <f>SUMPRODUCT(M1909:X1909,$M$2:$X$2)*$K1909*$L1909</f>
        <v/>
      </c>
      <c r="Z1909" s="14">
        <f>SUM(M1909:X1909)</f>
        <v/>
      </c>
      <c r="AA1909" s="14">
        <f>IFERROR(IF(UPPER($E1909)="L",SUMPRODUCT(M1909:X1909,$M$3:$X$3,$M$2:$X$2),SUMPRODUCT(M1909:X1909,$M$4:$X$4,$M$2:$X$2))/(Y1909/($K1909*$L1909)),"")</f>
        <v/>
      </c>
      <c r="AB1909" s="18" t="n"/>
    </row>
    <row r="1910">
      <c r="A1910" s="9" t="n">
        <v>572228</v>
      </c>
      <c r="B1910" s="9" t="inlineStr">
        <is>
          <t>Luke Voit</t>
        </is>
      </c>
      <c r="C1910" s="9" t="inlineStr">
        <is>
          <t>MIL</t>
        </is>
      </c>
      <c r="D1910" s="9" t="n">
        <v>36</v>
      </c>
      <c r="E1910" s="16" t="inlineStr">
        <is>
          <t>R</t>
        </is>
      </c>
      <c r="F1910" s="16" t="n"/>
      <c r="G1910" s="9" t="n">
        <v>74</v>
      </c>
      <c r="H1910" s="9" t="n">
        <v>642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7" t="n"/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/>
      <c r="Y1910" s="13">
        <f>SUMPRODUCT(M1910:X1910,$M$2:$X$2)*$K1910*$L1910</f>
        <v/>
      </c>
      <c r="Z1910" s="14">
        <f>SUM(M1910:X1910)</f>
        <v/>
      </c>
      <c r="AA1910" s="14">
        <f>IFERROR(IF(UPPER($E1910)="L",SUMPRODUCT(M1910:X1910,$M$3:$X$3,$M$2:$X$2),SUMPRODUCT(M1910:X1910,$M$4:$X$4,$M$2:$X$2))/(Y1910/($K1910*$L1910)),"")</f>
        <v/>
      </c>
      <c r="AB1910" s="18" t="n"/>
    </row>
    <row r="1911">
      <c r="A1911" s="9" t="n">
        <v>518626</v>
      </c>
      <c r="B1911" s="9" t="inlineStr">
        <is>
          <t>Josh Donaldson</t>
        </is>
      </c>
      <c r="C1911" s="9" t="inlineStr">
        <is>
          <t>MIL</t>
        </is>
      </c>
      <c r="D1911" s="9" t="n">
        <v>41</v>
      </c>
      <c r="E1911" s="16" t="inlineStr">
        <is>
          <t>R</t>
        </is>
      </c>
      <c r="F1911" s="16" t="n"/>
      <c r="G1911" s="9" t="n">
        <v>189</v>
      </c>
      <c r="H1911" s="9" t="n">
        <v>735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7" t="n"/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/>
      <c r="Y1911" s="13">
        <f>SUMPRODUCT(M1911:X1911,$M$2:$X$2)*$K1911*$L1911</f>
        <v/>
      </c>
      <c r="Z1911" s="14">
        <f>SUM(M1911:X1911)</f>
        <v/>
      </c>
      <c r="AA1911" s="14">
        <f>IFERROR(IF(UPPER($E1911)="L",SUMPRODUCT(M1911:X1911,$M$3:$X$3,$M$2:$X$2),SUMPRODUCT(M1911:X1911,$M$4:$X$4,$M$2:$X$2))/(Y1911/($K1911*$L1911)),"")</f>
        <v/>
      </c>
      <c r="AB1911" s="18" t="n"/>
    </row>
    <row r="1912">
      <c r="A1912" s="9" t="n">
        <v>700731</v>
      </c>
      <c r="B1912" s="9" t="inlineStr">
        <is>
          <t>Keiner Delgado</t>
        </is>
      </c>
      <c r="C1912" s="9" t="inlineStr">
        <is>
          <t>PIT</t>
        </is>
      </c>
      <c r="D1912" s="9" t="n">
        <v>25</v>
      </c>
      <c r="E1912" s="16" t="inlineStr">
        <is>
          <t>S</t>
        </is>
      </c>
      <c r="F1912" s="16" t="n"/>
      <c r="G1912" s="9" t="n">
        <v>41.17948717948718</v>
      </c>
      <c r="H1912" s="9" t="n">
        <v>41.17948717948718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7" t="n"/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/>
      <c r="Y1912" s="13">
        <f>SUMPRODUCT(M1912:X1912,$M$2:$X$2)*$K1912*$L1912</f>
        <v/>
      </c>
      <c r="Z1912" s="14">
        <f>SUM(M1912:X1912)</f>
        <v/>
      </c>
      <c r="AA1912" s="14">
        <f>IFERROR(IF(UPPER($E1912)="L",SUMPRODUCT(M1912:X1912,$M$3:$X$3,$M$2:$X$2),SUMPRODUCT(M1912:X1912,$M$4:$X$4,$M$2:$X$2))/(Y1912/($K1912*$L1912)),"")</f>
        <v/>
      </c>
      <c r="AB1912" s="18" t="n"/>
    </row>
    <row r="1913">
      <c r="A1913" s="9" t="n">
        <v>665856</v>
      </c>
      <c r="B1913" s="9" t="inlineStr">
        <is>
          <t>Jair Camargo</t>
        </is>
      </c>
      <c r="C1913" s="9" t="inlineStr">
        <is>
          <t>ATL</t>
        </is>
      </c>
      <c r="D1913" s="9" t="n">
        <v>27</v>
      </c>
      <c r="E1913" s="16" t="inlineStr">
        <is>
          <t>R</t>
        </is>
      </c>
      <c r="F1913" s="16" t="n"/>
      <c r="G1913" s="9" t="n">
        <v>2</v>
      </c>
      <c r="H1913" s="9" t="n">
        <v>9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7" t="n"/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/>
      <c r="Y1913" s="13">
        <f>SUMPRODUCT(M1913:X1913,$M$2:$X$2)*$K1913*$L1913</f>
        <v/>
      </c>
      <c r="Z1913" s="14">
        <f>SUM(M1913:X1913)</f>
        <v/>
      </c>
      <c r="AA1913" s="14">
        <f>IFERROR(IF(UPPER($E1913)="L",SUMPRODUCT(M1913:X1913,$M$3:$X$3,$M$2:$X$2),SUMPRODUCT(M1913:X1913,$M$4:$X$4,$M$2:$X$2))/(Y1913/($K1913*$L1913)),"")</f>
        <v/>
      </c>
      <c r="AB1913" s="18" t="n"/>
    </row>
    <row r="1914">
      <c r="A1914" s="9" t="n">
        <v>446334</v>
      </c>
      <c r="B1914" s="9" t="inlineStr">
        <is>
          <t>Evan Longoria</t>
        </is>
      </c>
      <c r="C1914" s="9" t="inlineStr">
        <is>
          <t>ARI</t>
        </is>
      </c>
      <c r="D1914" s="9" t="n">
        <v>41</v>
      </c>
      <c r="E1914" s="16" t="inlineStr">
        <is>
          <t>R</t>
        </is>
      </c>
      <c r="F1914" s="16" t="n"/>
      <c r="G1914" s="9" t="n">
        <v>237</v>
      </c>
      <c r="H1914" s="9" t="n">
        <v>535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7" t="n"/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/>
      <c r="Y1914" s="13">
        <f>SUMPRODUCT(M1914:X1914,$M$2:$X$2)*$K1914*$L1914</f>
        <v/>
      </c>
      <c r="Z1914" s="14">
        <f>SUM(M1914:X1914)</f>
        <v/>
      </c>
      <c r="AA1914" s="14">
        <f>IFERROR(IF(UPPER($E1914)="L",SUMPRODUCT(M1914:X1914,$M$3:$X$3,$M$2:$X$2),SUMPRODUCT(M1914:X1914,$M$4:$X$4,$M$2:$X$2))/(Y1914/($K1914*$L1914)),"")</f>
        <v/>
      </c>
      <c r="AB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7" t="n"/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/>
      <c r="Y1915" s="13">
        <f>SUMPRODUCT(M1915:X1915,$M$2:$X$2)*$K1915*$L1915</f>
        <v/>
      </c>
      <c r="Z1915" s="14">
        <f>SUM(M1915:X1915)</f>
        <v/>
      </c>
      <c r="AA1915" s="14">
        <f>IFERROR(IF(UPPER($E1915)="L",SUMPRODUCT(M1915:X1915,$M$3:$X$3,$M$2:$X$2),SUMPRODUCT(M1915:X1915,$M$4:$X$4,$M$2:$X$2))/(Y1915/($K1915*$L1915)),"")</f>
        <v/>
      </c>
      <c r="AB1915" s="18" t="n"/>
    </row>
    <row r="1916">
      <c r="A1916" s="9" t="n">
        <v>802139</v>
      </c>
      <c r="B1916" s="9" t="inlineStr">
        <is>
          <t>JJ Wetherholt</t>
        </is>
      </c>
      <c r="C1916" s="9" t="inlineStr">
        <is>
          <t>STL</t>
        </is>
      </c>
      <c r="D1916" s="9" t="n">
        <v>24</v>
      </c>
      <c r="E1916" s="16" t="inlineStr">
        <is>
          <t>L</t>
        </is>
      </c>
      <c r="F1916" s="16" t="n"/>
      <c r="G1916" s="9" t="n">
        <v>619</v>
      </c>
      <c r="H1916" s="9" t="n">
        <v>619</v>
      </c>
      <c r="I1916" s="9" t="inlineStr">
        <is>
          <t>Full Time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7" t="n"/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/>
      <c r="Y1916" s="13">
        <f>SUMPRODUCT(M1916:X1916,$M$2:$X$2)*$K1916*$L1916</f>
        <v/>
      </c>
      <c r="Z1916" s="14">
        <f>SUM(M1916:X1916)</f>
        <v/>
      </c>
      <c r="AA1916" s="14">
        <f>IFERROR(IF(UPPER($E1916)="L",SUMPRODUCT(M1916:X1916,$M$3:$X$3,$M$2:$X$2),SUMPRODUCT(M1916:X1916,$M$4:$X$4,$M$2:$X$2))/(Y1916/($K1916*$L1916)),"")</f>
        <v/>
      </c>
      <c r="AB1916" s="18" t="n"/>
    </row>
    <row r="1917">
      <c r="A1917" s="9" t="n">
        <v>809331</v>
      </c>
      <c r="B1917" s="9" t="inlineStr">
        <is>
          <t>Brian Sanchez</t>
        </is>
      </c>
      <c r="C1917" s="9" t="inlineStr">
        <is>
          <t>MIA</t>
        </is>
      </c>
      <c r="D1917" s="9" t="n">
        <v>25</v>
      </c>
      <c r="E1917" s="16" t="inlineStr">
        <is>
          <t>L</t>
        </is>
      </c>
      <c r="F1917" s="16" t="n"/>
      <c r="G1917" s="9" t="n">
        <v>82.05128205128206</v>
      </c>
      <c r="H1917" s="9" t="n">
        <v>82.05128205128206</v>
      </c>
      <c r="I1917" s="9" t="inlineStr">
        <is>
          <t>Depth (no MLB PA)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7" t="n"/>
      <c r="N1917" s="17" t="n"/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3">
        <f>SUMPRODUCT(M1917:X1917,$M$2:$X$2)*$K1917*$L1917</f>
        <v/>
      </c>
      <c r="Z1917" s="14">
        <f>SUM(M1917:X1917)</f>
        <v/>
      </c>
      <c r="AA1917" s="14">
        <f>IFERROR(IF(UPPER($E1917)="L",SUMPRODUCT(M1917:X1917,$M$3:$X$3,$M$2:$X$2),SUMPRODUCT(M1917:X1917,$M$4:$X$4,$M$2:$X$2))/(Y1917/($K1917*$L1917)),"")</f>
        <v/>
      </c>
      <c r="AB1917" s="18" t="n"/>
    </row>
    <row r="1918">
      <c r="A1918" s="9" t="n">
        <v>679734</v>
      </c>
      <c r="B1918" s="9" t="inlineStr">
        <is>
          <t>Julio Carreras</t>
        </is>
      </c>
      <c r="C1918" s="9" t="inlineStr">
        <is>
          <t>CIN</t>
        </is>
      </c>
      <c r="D1918" s="9" t="n">
        <v>25</v>
      </c>
      <c r="E1918" s="16" t="inlineStr">
        <is>
          <t>R</t>
        </is>
      </c>
      <c r="F1918" s="16" t="n"/>
      <c r="G1918" s="9" t="n">
        <v>50.61538461538461</v>
      </c>
      <c r="H1918" s="9" t="n">
        <v>50.61538461538461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7" t="n"/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/>
      <c r="Y1918" s="13">
        <f>SUMPRODUCT(M1918:X1918,$M$2:$X$2)*$K1918*$L1918</f>
        <v/>
      </c>
      <c r="Z1918" s="14">
        <f>SUM(M1918:X1918)</f>
        <v/>
      </c>
      <c r="AA1918" s="14">
        <f>IFERROR(IF(UPPER($E1918)="L",SUMPRODUCT(M1918:X1918,$M$3:$X$3,$M$2:$X$2),SUMPRODUCT(M1918:X1918,$M$4:$X$4,$M$2:$X$2))/(Y1918/($K1918*$L1918)),"")</f>
        <v/>
      </c>
      <c r="AB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7" t="n"/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/>
      <c r="Y1919" s="13">
        <f>SUMPRODUCT(M1919:X1919,$M$2:$X$2)*$K1919*$L1919</f>
        <v/>
      </c>
      <c r="Z1919" s="14">
        <f>SUM(M1919:X1919)</f>
        <v/>
      </c>
      <c r="AA1919" s="14">
        <f>IFERROR(IF(UPPER($E1919)="L",SUMPRODUCT(M1919:X1919,$M$3:$X$3,$M$2:$X$2),SUMPRODUCT(M1919:X1919,$M$4:$X$4,$M$2:$X$2))/(Y1919/($K1919*$L1919)),"")</f>
        <v/>
      </c>
      <c r="AB1919" s="18" t="n"/>
    </row>
    <row r="1920">
      <c r="A1920" s="9" t="n">
        <v>663550</v>
      </c>
      <c r="B1920" s="9" t="inlineStr">
        <is>
          <t>Trey Cabbage</t>
        </is>
      </c>
      <c r="C1920" s="9" t="inlineStr">
        <is>
          <t>HOU</t>
        </is>
      </c>
      <c r="D1920" s="9" t="n">
        <v>30</v>
      </c>
      <c r="E1920" s="16" t="inlineStr">
        <is>
          <t>L</t>
        </is>
      </c>
      <c r="F1920" s="16" t="n"/>
      <c r="G1920" s="9" t="n">
        <v>91</v>
      </c>
      <c r="H1920" s="9" t="n">
        <v>147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7" t="n"/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/>
      <c r="Y1920" s="13">
        <f>SUMPRODUCT(M1920:X1920,$M$2:$X$2)*$K1920*$L1920</f>
        <v/>
      </c>
      <c r="Z1920" s="14">
        <f>SUM(M1920:X1920)</f>
        <v/>
      </c>
      <c r="AA1920" s="14">
        <f>IFERROR(IF(UPPER($E1920)="L",SUMPRODUCT(M1920:X1920,$M$3:$X$3,$M$2:$X$2),SUMPRODUCT(M1920:X1920,$M$4:$X$4,$M$2:$X$2))/(Y1920/($K1920*$L1920)),"")</f>
        <v/>
      </c>
      <c r="AB1920" s="18" t="n"/>
    </row>
    <row r="1921">
      <c r="A1921" s="9" t="n">
        <v>666971</v>
      </c>
      <c r="B1921" s="9" t="inlineStr">
        <is>
          <t>Lourdes Gurriel Jr.</t>
        </is>
      </c>
      <c r="C1921" s="9" t="inlineStr">
        <is>
          <t>ARI</t>
        </is>
      </c>
      <c r="D1921" s="9" t="n">
        <v>33</v>
      </c>
      <c r="E1921" s="16" t="inlineStr">
        <is>
          <t>R</t>
        </is>
      </c>
      <c r="F1921" s="16" t="n"/>
      <c r="G1921" s="9" t="n">
        <v>201</v>
      </c>
      <c r="H1921" s="9" t="n">
        <v>2385</v>
      </c>
      <c r="I1921" s="9" t="inlineStr">
        <is>
          <t>Full Time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7" t="n"/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/>
      <c r="Y1921" s="13">
        <f>SUMPRODUCT(M1921:X1921,$M$2:$X$2)*$K1921*$L1921</f>
        <v/>
      </c>
      <c r="Z1921" s="14">
        <f>SUM(M1921:X1921)</f>
        <v/>
      </c>
      <c r="AA1921" s="14">
        <f>IFERROR(IF(UPPER($E1921)="L",SUMPRODUCT(M1921:X1921,$M$3:$X$3,$M$2:$X$2),SUMPRODUCT(M1921:X1921,$M$4:$X$4,$M$2:$X$2))/(Y1921/($K1921*$L1921)),"")</f>
        <v/>
      </c>
      <c r="AB1921" s="18" t="n"/>
    </row>
    <row r="1922">
      <c r="A1922" s="9" t="n">
        <v>677356</v>
      </c>
      <c r="B1922" s="9" t="inlineStr">
        <is>
          <t>Carter Young</t>
        </is>
      </c>
      <c r="C1922" s="9" t="inlineStr">
        <is>
          <t>BAL</t>
        </is>
      </c>
      <c r="D1922" s="9" t="n">
        <v>25</v>
      </c>
      <c r="E1922" s="16" t="inlineStr">
        <is>
          <t>L</t>
        </is>
      </c>
      <c r="F1922" s="16" t="n"/>
      <c r="G1922" s="9" t="n">
        <v>23.12820512820513</v>
      </c>
      <c r="H1922" s="9" t="n">
        <v>23.12820512820513</v>
      </c>
      <c r="I1922" s="9" t="inlineStr">
        <is>
          <t>Depth (no MLB PA)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7" t="n"/>
      <c r="N1922" s="17" t="n"/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3">
        <f>SUMPRODUCT(M1922:X1922,$M$2:$X$2)*$K1922*$L1922</f>
        <v/>
      </c>
      <c r="Z1922" s="14">
        <f>SUM(M1922:X1922)</f>
        <v/>
      </c>
      <c r="AA1922" s="14">
        <f>IFERROR(IF(UPPER($E1922)="L",SUMPRODUCT(M1922:X1922,$M$3:$X$3,$M$2:$X$2),SUMPRODUCT(M1922:X1922,$M$4:$X$4,$M$2:$X$2))/(Y1922/($K1922*$L1922)),"")</f>
        <v/>
      </c>
      <c r="AB1922" s="18" t="n"/>
    </row>
    <row r="1923">
      <c r="A1923" s="9" t="n">
        <v>808245</v>
      </c>
      <c r="B1923" s="9" t="inlineStr">
        <is>
          <t>Starlyn Nunez</t>
        </is>
      </c>
      <c r="C1923" s="9" t="inlineStr">
        <is>
          <t>BOS</t>
        </is>
      </c>
      <c r="D1923" s="9" t="n">
        <v>25</v>
      </c>
      <c r="E1923" s="16" t="inlineStr">
        <is>
          <t>S</t>
        </is>
      </c>
      <c r="F1923" s="16" t="n"/>
      <c r="G1923" s="9" t="n">
        <v>52.06153846153846</v>
      </c>
      <c r="H1923" s="9" t="n">
        <v>52.06153846153846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7" t="n"/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/>
      <c r="Y1923" s="13">
        <f>SUMPRODUCT(M1923:X1923,$M$2:$X$2)*$K1923*$L1923</f>
        <v/>
      </c>
      <c r="Z1923" s="14">
        <f>SUM(M1923:X1923)</f>
        <v/>
      </c>
      <c r="AA1923" s="14">
        <f>IFERROR(IF(UPPER($E1923)="L",SUMPRODUCT(M1923:X1923,$M$3:$X$3,$M$2:$X$2),SUMPRODUCT(M1923:X1923,$M$4:$X$4,$M$2:$X$2))/(Y1923/($K1923*$L1923)),"")</f>
        <v/>
      </c>
      <c r="AB1923" s="18" t="n"/>
    </row>
    <row r="1924">
      <c r="A1924" s="9" t="n">
        <v>675394</v>
      </c>
      <c r="B1924" s="9" t="inlineStr">
        <is>
          <t>Johnny Olmstead</t>
        </is>
      </c>
      <c r="C1924" s="9" t="inlineStr">
        <is>
          <t>MIA</t>
        </is>
      </c>
      <c r="D1924" s="9" t="n">
        <v>25</v>
      </c>
      <c r="E1924" s="16" t="inlineStr">
        <is>
          <t>R</t>
        </is>
      </c>
      <c r="F1924" s="16" t="n"/>
      <c r="G1924" s="9" t="n">
        <v>173.7435897435898</v>
      </c>
      <c r="H1924" s="9" t="n">
        <v>173.7435897435898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7" t="n"/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/>
      <c r="Y1924" s="13">
        <f>SUMPRODUCT(M1924:X1924,$M$2:$X$2)*$K1924*$L1924</f>
        <v/>
      </c>
      <c r="Z1924" s="14">
        <f>SUM(M1924:X1924)</f>
        <v/>
      </c>
      <c r="AA1924" s="14">
        <f>IFERROR(IF(UPPER($E1924)="L",SUMPRODUCT(M1924:X1924,$M$3:$X$3,$M$2:$X$2),SUMPRODUCT(M1924:X1924,$M$4:$X$4,$M$2:$X$2))/(Y1924/($K1924*$L1924)),"")</f>
        <v/>
      </c>
      <c r="AB1924" s="18" t="n"/>
    </row>
    <row r="1925">
      <c r="A1925" s="9" t="n">
        <v>816120</v>
      </c>
      <c r="B1925" s="9" t="inlineStr">
        <is>
          <t>Griffin Burkholder</t>
        </is>
      </c>
      <c r="C1925" s="9" t="inlineStr">
        <is>
          <t>PHI</t>
        </is>
      </c>
      <c r="D1925" s="9" t="n">
        <v>25</v>
      </c>
      <c r="E1925" s="16" t="inlineStr">
        <is>
          <t>R</t>
        </is>
      </c>
      <c r="F1925" s="16" t="n"/>
      <c r="G1925" s="9" t="n">
        <v>24</v>
      </c>
      <c r="H1925" s="9" t="n">
        <v>24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7" t="n"/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/>
      <c r="Y1925" s="13">
        <f>SUMPRODUCT(M1925:X1925,$M$2:$X$2)*$K1925*$L1925</f>
        <v/>
      </c>
      <c r="Z1925" s="14">
        <f>SUM(M1925:X1925)</f>
        <v/>
      </c>
      <c r="AA1925" s="14">
        <f>IFERROR(IF(UPPER($E1925)="L",SUMPRODUCT(M1925:X1925,$M$3:$X$3,$M$2:$X$2),SUMPRODUCT(M1925:X1925,$M$4:$X$4,$M$2:$X$2))/(Y1925/($K1925*$L1925)),"")</f>
        <v/>
      </c>
      <c r="AB1925" s="18" t="n"/>
    </row>
    <row r="1926">
      <c r="A1926" s="9" t="n">
        <v>808286</v>
      </c>
      <c r="B1926" s="9" t="inlineStr">
        <is>
          <t>Cristian Jauregui</t>
        </is>
      </c>
      <c r="C1926" s="9" t="inlineStr">
        <is>
          <t>PIT</t>
        </is>
      </c>
      <c r="D1926" s="9" t="n">
        <v>25</v>
      </c>
      <c r="E1926" s="16" t="inlineStr">
        <is>
          <t>L</t>
        </is>
      </c>
      <c r="F1926" s="16" t="n"/>
      <c r="G1926" s="9" t="n">
        <v>37.90769230769231</v>
      </c>
      <c r="H1926" s="9" t="n">
        <v>37.90769230769231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7" t="n"/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/>
      <c r="Y1926" s="13">
        <f>SUMPRODUCT(M1926:X1926,$M$2:$X$2)*$K1926*$L1926</f>
        <v/>
      </c>
      <c r="Z1926" s="14">
        <f>SUM(M1926:X1926)</f>
        <v/>
      </c>
      <c r="AA1926" s="14">
        <f>IFERROR(IF(UPPER($E1926)="L",SUMPRODUCT(M1926:X1926,$M$3:$X$3,$M$2:$X$2),SUMPRODUCT(M1926:X1926,$M$4:$X$4,$M$2:$X$2))/(Y1926/($K1926*$L1926)),"")</f>
        <v/>
      </c>
      <c r="AB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7" t="n"/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/>
      <c r="Y1927" s="13">
        <f>SUMPRODUCT(M1927:X1927,$M$2:$X$2)*$K1927*$L1927</f>
        <v/>
      </c>
      <c r="Z1927" s="14">
        <f>SUM(M1927:X1927)</f>
        <v/>
      </c>
      <c r="AA1927" s="14">
        <f>IFERROR(IF(UPPER($E1927)="L",SUMPRODUCT(M1927:X1927,$M$3:$X$3,$M$2:$X$2),SUMPRODUCT(M1927:X1927,$M$4:$X$4,$M$2:$X$2))/(Y1927/($K1927*$L1927)),"")</f>
        <v/>
      </c>
      <c r="AB1927" s="18" t="n"/>
    </row>
    <row r="1928">
      <c r="A1928" s="9" t="n">
        <v>685091</v>
      </c>
      <c r="B1928" s="9" t="inlineStr">
        <is>
          <t>Parker Chavers</t>
        </is>
      </c>
      <c r="C1928" s="9" t="inlineStr">
        <is>
          <t>HOU</t>
        </is>
      </c>
      <c r="D1928" s="9" t="n">
        <v>25</v>
      </c>
      <c r="E1928" s="16" t="inlineStr">
        <is>
          <t>L</t>
        </is>
      </c>
      <c r="F1928" s="16" t="n"/>
      <c r="G1928" s="9" t="n">
        <v>23.6923076923077</v>
      </c>
      <c r="H1928" s="9" t="n">
        <v>23.6923076923077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7" t="n"/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/>
      <c r="Y1928" s="13">
        <f>SUMPRODUCT(M1928:X1928,$M$2:$X$2)*$K1928*$L1928</f>
        <v/>
      </c>
      <c r="Z1928" s="14">
        <f>SUM(M1928:X1928)</f>
        <v/>
      </c>
      <c r="AA1928" s="14">
        <f>IFERROR(IF(UPPER($E1928)="L",SUMPRODUCT(M1928:X1928,$M$3:$X$3,$M$2:$X$2),SUMPRODUCT(M1928:X1928,$M$4:$X$4,$M$2:$X$2))/(Y1928/($K1928*$L1928)),"")</f>
        <v/>
      </c>
      <c r="AB1928" s="18" t="n"/>
    </row>
    <row r="1929">
      <c r="A1929" s="9" t="n">
        <v>458015</v>
      </c>
      <c r="B1929" s="9" t="inlineStr">
        <is>
          <t>Joey Votto</t>
        </is>
      </c>
      <c r="C1929" s="9" t="inlineStr">
        <is>
          <t>CIN</t>
        </is>
      </c>
      <c r="D1929" s="9" t="n">
        <v>43</v>
      </c>
      <c r="E1929" s="16" t="inlineStr">
        <is>
          <t>L</t>
        </is>
      </c>
      <c r="F1929" s="16" t="n"/>
      <c r="G1929" s="9" t="n">
        <v>242</v>
      </c>
      <c r="H1929" s="9" t="n">
        <v>618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7" t="n"/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/>
      <c r="Y1929" s="13">
        <f>SUMPRODUCT(M1929:X1929,$M$2:$X$2)*$K1929*$L1929</f>
        <v/>
      </c>
      <c r="Z1929" s="14">
        <f>SUM(M1929:X1929)</f>
        <v/>
      </c>
      <c r="AA1929" s="14">
        <f>IFERROR(IF(UPPER($E1929)="L",SUMPRODUCT(M1929:X1929,$M$3:$X$3,$M$2:$X$2),SUMPRODUCT(M1929:X1929,$M$4:$X$4,$M$2:$X$2))/(Y1929/($K1929*$L1929)),"")</f>
        <v/>
      </c>
      <c r="AB1929" s="18" t="n"/>
    </row>
    <row r="1930">
      <c r="A1930" s="9" t="n">
        <v>807643</v>
      </c>
      <c r="B1930" s="9" t="inlineStr">
        <is>
          <t>Alfredo Alcantara</t>
        </is>
      </c>
      <c r="C1930" s="9" t="inlineStr">
        <is>
          <t>CIN</t>
        </is>
      </c>
      <c r="D1930" s="9" t="n">
        <v>25</v>
      </c>
      <c r="E1930" s="16" t="inlineStr">
        <is>
          <t>R</t>
        </is>
      </c>
      <c r="F1930" s="16" t="n"/>
      <c r="G1930" s="9" t="n">
        <v>86.76923076923077</v>
      </c>
      <c r="H1930" s="9" t="n">
        <v>86.76923076923077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7" t="n"/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/>
      <c r="Y1930" s="13">
        <f>SUMPRODUCT(M1930:X1930,$M$2:$X$2)*$K1930*$L1930</f>
        <v/>
      </c>
      <c r="Z1930" s="14">
        <f>SUM(M1930:X1930)</f>
        <v/>
      </c>
      <c r="AA1930" s="14">
        <f>IFERROR(IF(UPPER($E1930)="L",SUMPRODUCT(M1930:X1930,$M$3:$X$3,$M$2:$X$2),SUMPRODUCT(M1930:X1930,$M$4:$X$4,$M$2:$X$2))/(Y1930/($K1930*$L1930)),"")</f>
        <v/>
      </c>
      <c r="AB1930" s="18" t="n"/>
    </row>
    <row r="1931">
      <c r="A1931" s="9" t="n">
        <v>701734</v>
      </c>
      <c r="B1931" s="9" t="inlineStr">
        <is>
          <t>Ryan McCrystal</t>
        </is>
      </c>
      <c r="C1931" s="9" t="inlineStr">
        <is>
          <t>CIN</t>
        </is>
      </c>
      <c r="D1931" s="9" t="n">
        <v>25</v>
      </c>
      <c r="E1931" s="16" t="inlineStr">
        <is>
          <t>L</t>
        </is>
      </c>
      <c r="F1931" s="16" t="n"/>
      <c r="G1931" s="9" t="n">
        <v>43.79487179487179</v>
      </c>
      <c r="H1931" s="9" t="n">
        <v>43.79487179487179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7" t="n"/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/>
      <c r="Y1931" s="13">
        <f>SUMPRODUCT(M1931:X1931,$M$2:$X$2)*$K1931*$L1931</f>
        <v/>
      </c>
      <c r="Z1931" s="14">
        <f>SUM(M1931:X1931)</f>
        <v/>
      </c>
      <c r="AA1931" s="14">
        <f>IFERROR(IF(UPPER($E1931)="L",SUMPRODUCT(M1931:X1931,$M$3:$X$3,$M$2:$X$2),SUMPRODUCT(M1931:X1931,$M$4:$X$4,$M$2:$X$2))/(Y1931/($K1931*$L1931)),"")</f>
        <v/>
      </c>
      <c r="AB1931" s="18" t="n"/>
    </row>
    <row r="1932">
      <c r="A1932" s="9" t="n">
        <v>681132</v>
      </c>
      <c r="B1932" s="9" t="inlineStr">
        <is>
          <t>Max Ferguson</t>
        </is>
      </c>
      <c r="C1932" s="9" t="inlineStr">
        <is>
          <t>BOS</t>
        </is>
      </c>
      <c r="D1932" s="9" t="n">
        <v>25</v>
      </c>
      <c r="E1932" s="16" t="inlineStr">
        <is>
          <t>L</t>
        </is>
      </c>
      <c r="F1932" s="16" t="n"/>
      <c r="G1932" s="9" t="n">
        <v>74.46153846153847</v>
      </c>
      <c r="H1932" s="9" t="n">
        <v>74.46153846153847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7" t="n"/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/>
      <c r="Y1932" s="13">
        <f>SUMPRODUCT(M1932:X1932,$M$2:$X$2)*$K1932*$L1932</f>
        <v/>
      </c>
      <c r="Z1932" s="14">
        <f>SUM(M1932:X1932)</f>
        <v/>
      </c>
      <c r="AA1932" s="14">
        <f>IFERROR(IF(UPPER($E1932)="L",SUMPRODUCT(M1932:X1932,$M$3:$X$3,$M$2:$X$2),SUMPRODUCT(M1932:X1932,$M$4:$X$4,$M$2:$X$2))/(Y1932/($K1932*$L1932)),"")</f>
        <v/>
      </c>
      <c r="AB1932" s="18" t="n"/>
    </row>
    <row r="1933">
      <c r="A1933" s="9" t="n">
        <v>808291</v>
      </c>
      <c r="B1933" s="9" t="inlineStr">
        <is>
          <t>Tyler Rodriguez</t>
        </is>
      </c>
      <c r="C1933" s="9" t="inlineStr">
        <is>
          <t>MIL</t>
        </is>
      </c>
      <c r="D1933" s="9" t="n">
        <v>25</v>
      </c>
      <c r="E1933" s="16" t="inlineStr">
        <is>
          <t>R</t>
        </is>
      </c>
      <c r="F1933" s="16" t="n"/>
      <c r="G1933" s="9" t="n">
        <v>33.84615384615385</v>
      </c>
      <c r="H1933" s="9" t="n">
        <v>33.84615384615385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7" t="n"/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/>
      <c r="Y1933" s="13">
        <f>SUMPRODUCT(M1933:X1933,$M$2:$X$2)*$K1933*$L1933</f>
        <v/>
      </c>
      <c r="Z1933" s="14">
        <f>SUM(M1933:X1933)</f>
        <v/>
      </c>
      <c r="AA1933" s="14">
        <f>IFERROR(IF(UPPER($E1933)="L",SUMPRODUCT(M1933:X1933,$M$3:$X$3,$M$2:$X$2),SUMPRODUCT(M1933:X1933,$M$4:$X$4,$M$2:$X$2))/(Y1933/($K1933*$L1933)),"")</f>
        <v/>
      </c>
      <c r="AB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7" t="n"/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/>
      <c r="Y1934" s="13">
        <f>SUMPRODUCT(M1934:X1934,$M$2:$X$2)*$K1934*$L1934</f>
        <v/>
      </c>
      <c r="Z1934" s="14">
        <f>SUM(M1934:X1934)</f>
        <v/>
      </c>
      <c r="AA1934" s="14">
        <f>IFERROR(IF(UPPER($E1934)="L",SUMPRODUCT(M1934:X1934,$M$3:$X$3,$M$2:$X$2),SUMPRODUCT(M1934:X1934,$M$4:$X$4,$M$2:$X$2))/(Y1934/($K1934*$L1934)),"")</f>
        <v/>
      </c>
      <c r="AB1934" s="18" t="n"/>
    </row>
    <row r="1935">
      <c r="A1935" s="9" t="n">
        <v>702619</v>
      </c>
      <c r="B1935" s="9" t="inlineStr">
        <is>
          <t>Luke Hill</t>
        </is>
      </c>
      <c r="C1935" s="9" t="inlineStr">
        <is>
          <t>CLE</t>
        </is>
      </c>
      <c r="D1935" s="9" t="n">
        <v>25</v>
      </c>
      <c r="E1935" s="16" t="inlineStr">
        <is>
          <t>R</t>
        </is>
      </c>
      <c r="F1935" s="16" t="n"/>
      <c r="G1935" s="9" t="n">
        <v>52.76923076923077</v>
      </c>
      <c r="H1935" s="9" t="n">
        <v>52.76923076923077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7" t="n"/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/>
      <c r="Y1935" s="13">
        <f>SUMPRODUCT(M1935:X1935,$M$2:$X$2)*$K1935*$L1935</f>
        <v/>
      </c>
      <c r="Z1935" s="14">
        <f>SUM(M1935:X1935)</f>
        <v/>
      </c>
      <c r="AA1935" s="14">
        <f>IFERROR(IF(UPPER($E1935)="L",SUMPRODUCT(M1935:X1935,$M$3:$X$3,$M$2:$X$2),SUMPRODUCT(M1935:X1935,$M$4:$X$4,$M$2:$X$2))/(Y1935/($K1935*$L1935)),"")</f>
        <v/>
      </c>
      <c r="AB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7" t="n"/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/>
      <c r="Y1936" s="13">
        <f>SUMPRODUCT(M1936:X1936,$M$2:$X$2)*$K1936*$L1936</f>
        <v/>
      </c>
      <c r="Z1936" s="14">
        <f>SUM(M1936:X1936)</f>
        <v/>
      </c>
      <c r="AA1936" s="14">
        <f>IFERROR(IF(UPPER($E1936)="L",SUMPRODUCT(M1936:X1936,$M$3:$X$3,$M$2:$X$2),SUMPRODUCT(M1936:X1936,$M$4:$X$4,$M$2:$X$2))/(Y1936/($K1936*$L1936)),"")</f>
        <v/>
      </c>
      <c r="AB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7" t="n"/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/>
      <c r="Y1937" s="13">
        <f>SUMPRODUCT(M1937:X1937,$M$2:$X$2)*$K1937*$L1937</f>
        <v/>
      </c>
      <c r="Z1937" s="14">
        <f>SUM(M1937:X1937)</f>
        <v/>
      </c>
      <c r="AA1937" s="14">
        <f>IFERROR(IF(UPPER($E1937)="L",SUMPRODUCT(M1937:X1937,$M$3:$X$3,$M$2:$X$2),SUMPRODUCT(M1937:X1937,$M$4:$X$4,$M$2:$X$2))/(Y1937/($K1937*$L1937)),"")</f>
        <v/>
      </c>
      <c r="AB1937" s="18" t="n"/>
    </row>
    <row r="1938">
      <c r="A1938" s="9" t="n">
        <v>641470</v>
      </c>
      <c r="B1938" s="9" t="inlineStr">
        <is>
          <t>Zack Collins</t>
        </is>
      </c>
      <c r="C1938" s="9" t="inlineStr">
        <is>
          <t>PIT</t>
        </is>
      </c>
      <c r="D1938" s="9" t="n">
        <v>32</v>
      </c>
      <c r="E1938" s="16" t="inlineStr">
        <is>
          <t>L</t>
        </is>
      </c>
      <c r="F1938" s="16" t="n"/>
      <c r="G1938" s="9" t="n">
        <v>6</v>
      </c>
      <c r="H1938" s="9" t="n">
        <v>114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7" t="n"/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/>
      <c r="Y1938" s="13">
        <f>SUMPRODUCT(M1938:X1938,$M$2:$X$2)*$K1938*$L1938</f>
        <v/>
      </c>
      <c r="Z1938" s="14">
        <f>SUM(M1938:X1938)</f>
        <v/>
      </c>
      <c r="AA1938" s="14">
        <f>IFERROR(IF(UPPER($E1938)="L",SUMPRODUCT(M1938:X1938,$M$3:$X$3,$M$2:$X$2),SUMPRODUCT(M1938:X1938,$M$4:$X$4,$M$2:$X$2))/(Y1938/($K1938*$L1938)),"")</f>
        <v/>
      </c>
      <c r="AB1938" s="18" t="n"/>
    </row>
    <row r="1939">
      <c r="A1939" s="9" t="n">
        <v>691369</v>
      </c>
      <c r="B1939" s="9" t="inlineStr">
        <is>
          <t>Allan Castro</t>
        </is>
      </c>
      <c r="C1939" s="9" t="inlineStr">
        <is>
          <t>BOS</t>
        </is>
      </c>
      <c r="D1939" s="9" t="n">
        <v>25</v>
      </c>
      <c r="E1939" s="16" t="inlineStr">
        <is>
          <t>S</t>
        </is>
      </c>
      <c r="F1939" s="16" t="n"/>
      <c r="G1939" s="9" t="n">
        <v>281.4871794871795</v>
      </c>
      <c r="H1939" s="9" t="n">
        <v>281.4871794871795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7" t="n"/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/>
      <c r="Y1939" s="13">
        <f>SUMPRODUCT(M1939:X1939,$M$2:$X$2)*$K1939*$L1939</f>
        <v/>
      </c>
      <c r="Z1939" s="14">
        <f>SUM(M1939:X1939)</f>
        <v/>
      </c>
      <c r="AA1939" s="14">
        <f>IFERROR(IF(UPPER($E1939)="L",SUMPRODUCT(M1939:X1939,$M$3:$X$3,$M$2:$X$2),SUMPRODUCT(M1939:X1939,$M$4:$X$4,$M$2:$X$2))/(Y1939/($K1939*$L1939)),"")</f>
        <v/>
      </c>
      <c r="AB1939" s="18" t="n"/>
    </row>
    <row r="1940">
      <c r="A1940" s="9" t="n">
        <v>690841</v>
      </c>
      <c r="B1940" s="9" t="inlineStr">
        <is>
          <t>Matt O'Neill</t>
        </is>
      </c>
      <c r="C1940" s="9" t="inlineStr">
        <is>
          <t>ARI</t>
        </is>
      </c>
      <c r="D1940" s="9" t="n">
        <v>25</v>
      </c>
      <c r="E1940" s="16" t="inlineStr">
        <is>
          <t>R</t>
        </is>
      </c>
      <c r="F1940" s="16" t="n"/>
      <c r="G1940" s="9" t="n">
        <v>90.82051282051285</v>
      </c>
      <c r="H1940" s="9" t="n">
        <v>90.82051282051285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7" t="n"/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/>
      <c r="Y1940" s="13">
        <f>SUMPRODUCT(M1940:X1940,$M$2:$X$2)*$K1940*$L1940</f>
        <v/>
      </c>
      <c r="Z1940" s="14">
        <f>SUM(M1940:X1940)</f>
        <v/>
      </c>
      <c r="AA1940" s="14">
        <f>IFERROR(IF(UPPER($E1940)="L",SUMPRODUCT(M1940:X1940,$M$3:$X$3,$M$2:$X$2),SUMPRODUCT(M1940:X1940,$M$4:$X$4,$M$2:$X$2))/(Y1940/($K1940*$L1940)),"")</f>
        <v/>
      </c>
      <c r="AB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7" t="n"/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/>
      <c r="Y1941" s="13">
        <f>SUMPRODUCT(M1941:X1941,$M$2:$X$2)*$K1941*$L1941</f>
        <v/>
      </c>
      <c r="Z1941" s="14">
        <f>SUM(M1941:X1941)</f>
        <v/>
      </c>
      <c r="AA1941" s="14">
        <f>IFERROR(IF(UPPER($E1941)="L",SUMPRODUCT(M1941:X1941,$M$3:$X$3,$M$2:$X$2),SUMPRODUCT(M1941:X1941,$M$4:$X$4,$M$2:$X$2))/(Y1941/($K1941*$L1941)),"")</f>
        <v/>
      </c>
      <c r="AB1941" s="18" t="n"/>
    </row>
    <row r="1942">
      <c r="A1942" s="9" t="n">
        <v>643348</v>
      </c>
      <c r="B1942" s="9" t="inlineStr">
        <is>
          <t>Caleb Hamilton</t>
        </is>
      </c>
      <c r="C1942" s="9" t="inlineStr">
        <is>
          <t>BOS</t>
        </is>
      </c>
      <c r="D1942" s="9" t="n">
        <v>32</v>
      </c>
      <c r="E1942" s="16" t="inlineStr">
        <is>
          <t>R</t>
        </is>
      </c>
      <c r="F1942" s="16" t="n"/>
      <c r="G1942" s="9" t="n">
        <v>6</v>
      </c>
      <c r="H1942" s="9" t="n">
        <v>29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7" t="n"/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/>
      <c r="Y1942" s="13">
        <f>SUMPRODUCT(M1942:X1942,$M$2:$X$2)*$K1942*$L1942</f>
        <v/>
      </c>
      <c r="Z1942" s="14">
        <f>SUM(M1942:X1942)</f>
        <v/>
      </c>
      <c r="AA1942" s="14">
        <f>IFERROR(IF(UPPER($E1942)="L",SUMPRODUCT(M1942:X1942,$M$3:$X$3,$M$2:$X$2),SUMPRODUCT(M1942:X1942,$M$4:$X$4,$M$2:$X$2))/(Y1942/($K1942*$L1942)),"")</f>
        <v/>
      </c>
      <c r="AB1942" s="18" t="n"/>
    </row>
    <row r="1943">
      <c r="A1943" s="9" t="n">
        <v>829058</v>
      </c>
      <c r="B1943" s="9" t="inlineStr">
        <is>
          <t>Gabriel Davalillo</t>
        </is>
      </c>
      <c r="C1943" s="9" t="inlineStr">
        <is>
          <t>LAA</t>
        </is>
      </c>
      <c r="D1943" s="9" t="n">
        <v>25</v>
      </c>
      <c r="E1943" s="16" t="inlineStr">
        <is>
          <t>R</t>
        </is>
      </c>
      <c r="F1943" s="16" t="n"/>
      <c r="G1943" s="9" t="n">
        <v>54.52307692307692</v>
      </c>
      <c r="H1943" s="9" t="n">
        <v>54.52307692307692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7" t="n"/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/>
      <c r="Y1943" s="13">
        <f>SUMPRODUCT(M1943:X1943,$M$2:$X$2)*$K1943*$L1943</f>
        <v/>
      </c>
      <c r="Z1943" s="14">
        <f>SUM(M1943:X1943)</f>
        <v/>
      </c>
      <c r="AA1943" s="14">
        <f>IFERROR(IF(UPPER($E1943)="L",SUMPRODUCT(M1943:X1943,$M$3:$X$3,$M$2:$X$2),SUMPRODUCT(M1943:X1943,$M$4:$X$4,$M$2:$X$2))/(Y1943/($K1943*$L1943)),"")</f>
        <v/>
      </c>
      <c r="AB1943" s="18" t="n"/>
    </row>
    <row r="1944">
      <c r="A1944" s="9" t="n">
        <v>807010</v>
      </c>
      <c r="B1944" s="9" t="inlineStr">
        <is>
          <t>Anibal Salas</t>
        </is>
      </c>
      <c r="C1944" s="9" t="inlineStr">
        <is>
          <t>DET</t>
        </is>
      </c>
      <c r="D1944" s="9" t="n">
        <v>25</v>
      </c>
      <c r="E1944" s="16" t="inlineStr">
        <is>
          <t>S</t>
        </is>
      </c>
      <c r="F1944" s="16" t="n"/>
      <c r="G1944" s="9" t="n">
        <v>43.2</v>
      </c>
      <c r="H1944" s="9" t="n">
        <v>43.2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7" t="n"/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/>
      <c r="Y1944" s="13">
        <f>SUMPRODUCT(M1944:X1944,$M$2:$X$2)*$K1944*$L1944</f>
        <v/>
      </c>
      <c r="Z1944" s="14">
        <f>SUM(M1944:X1944)</f>
        <v/>
      </c>
      <c r="AA1944" s="14">
        <f>IFERROR(IF(UPPER($E1944)="L",SUMPRODUCT(M1944:X1944,$M$3:$X$3,$M$2:$X$2),SUMPRODUCT(M1944:X1944,$M$4:$X$4,$M$2:$X$2))/(Y1944/($K1944*$L1944)),"")</f>
        <v/>
      </c>
      <c r="AB1944" s="18" t="n"/>
    </row>
    <row r="1945">
      <c r="A1945" s="9" t="n">
        <v>815039</v>
      </c>
      <c r="B1945" s="9" t="inlineStr">
        <is>
          <t>Dustin Dickerson</t>
        </is>
      </c>
      <c r="C1945" s="9" t="inlineStr">
        <is>
          <t>KC</t>
        </is>
      </c>
      <c r="D1945" s="9" t="n">
        <v>25</v>
      </c>
      <c r="E1945" s="16" t="inlineStr">
        <is>
          <t>R</t>
        </is>
      </c>
      <c r="F1945" s="16" t="n"/>
      <c r="G1945" s="9" t="n">
        <v>40.61538461538462</v>
      </c>
      <c r="H1945" s="9" t="n">
        <v>40.61538461538462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7" t="n"/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/>
      <c r="Y1945" s="13">
        <f>SUMPRODUCT(M1945:X1945,$M$2:$X$2)*$K1945*$L1945</f>
        <v/>
      </c>
      <c r="Z1945" s="14">
        <f>SUM(M1945:X1945)</f>
        <v/>
      </c>
      <c r="AA1945" s="14">
        <f>IFERROR(IF(UPPER($E1945)="L",SUMPRODUCT(M1945:X1945,$M$3:$X$3,$M$2:$X$2),SUMPRODUCT(M1945:X1945,$M$4:$X$4,$M$2:$X$2))/(Y1945/($K1945*$L1945)),"")</f>
        <v/>
      </c>
      <c r="AB1945" s="18" t="n"/>
    </row>
    <row r="1946">
      <c r="A1946" s="9" t="n">
        <v>691411</v>
      </c>
      <c r="B1946" s="9" t="inlineStr">
        <is>
          <t>Luis Durango</t>
        </is>
      </c>
      <c r="C1946" s="9" t="inlineStr">
        <is>
          <t>NYY</t>
        </is>
      </c>
      <c r="D1946" s="9" t="n">
        <v>25</v>
      </c>
      <c r="E1946" s="16" t="inlineStr">
        <is>
          <t>L</t>
        </is>
      </c>
      <c r="F1946" s="16" t="n"/>
      <c r="G1946" s="9" t="n">
        <v>26.56410256410256</v>
      </c>
      <c r="H1946" s="9" t="n">
        <v>26.56410256410256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7" t="n"/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/>
      <c r="Y1946" s="13">
        <f>SUMPRODUCT(M1946:X1946,$M$2:$X$2)*$K1946*$L1946</f>
        <v/>
      </c>
      <c r="Z1946" s="14">
        <f>SUM(M1946:X1946)</f>
        <v/>
      </c>
      <c r="AA1946" s="14">
        <f>IFERROR(IF(UPPER($E1946)="L",SUMPRODUCT(M1946:X1946,$M$3:$X$3,$M$2:$X$2),SUMPRODUCT(M1946:X1946,$M$4:$X$4,$M$2:$X$2))/(Y1946/($K1946*$L1946)),"")</f>
        <v/>
      </c>
      <c r="AB1946" s="18" t="n"/>
    </row>
    <row r="1947">
      <c r="A1947" s="9" t="n">
        <v>808282</v>
      </c>
      <c r="B1947" s="9" t="inlineStr">
        <is>
          <t>Victor Cardoza</t>
        </is>
      </c>
      <c r="C1947" s="9" t="inlineStr">
        <is>
          <t>PHI</t>
        </is>
      </c>
      <c r="D1947" s="9" t="n">
        <v>25</v>
      </c>
      <c r="E1947" s="16" t="inlineStr">
        <is>
          <t>R</t>
        </is>
      </c>
      <c r="F1947" s="16" t="n"/>
      <c r="G1947" s="9" t="n">
        <v>26.95384615384616</v>
      </c>
      <c r="H1947" s="9" t="n">
        <v>26.95384615384616</v>
      </c>
      <c r="I1947" s="9" t="inlineStr">
        <is>
          <t>Depth (no MLB PA)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7" t="n"/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/>
      <c r="W1947" s="17" t="n"/>
      <c r="X1947" s="17" t="n"/>
      <c r="Y1947" s="13">
        <f>SUMPRODUCT(M1947:X1947,$M$2:$X$2)*$K1947*$L1947</f>
        <v/>
      </c>
      <c r="Z1947" s="14">
        <f>SUM(M1947:X1947)</f>
        <v/>
      </c>
      <c r="AA1947" s="14">
        <f>IFERROR(IF(UPPER($E1947)="L",SUMPRODUCT(M1947:X1947,$M$3:$X$3,$M$2:$X$2),SUMPRODUCT(M1947:X1947,$M$4:$X$4,$M$2:$X$2))/(Y1947/($K1947*$L1947)),"")</f>
        <v/>
      </c>
      <c r="AB1947" s="18" t="n"/>
    </row>
    <row r="1948">
      <c r="A1948" s="9" t="n">
        <v>608385</v>
      </c>
      <c r="B1948" s="9" t="inlineStr">
        <is>
          <t>Jesse Winker</t>
        </is>
      </c>
      <c r="C1948" s="9" t="inlineStr">
        <is>
          <t>NYM</t>
        </is>
      </c>
      <c r="D1948" s="9" t="n">
        <v>33</v>
      </c>
      <c r="E1948" s="16" t="inlineStr">
        <is>
          <t>L</t>
        </is>
      </c>
      <c r="F1948" s="16" t="n"/>
      <c r="G1948" s="9" t="n">
        <v>81</v>
      </c>
      <c r="H1948" s="9" t="n">
        <v>1333</v>
      </c>
      <c r="I1948" s="9" t="inlineStr">
        <is>
          <t>Bench Bat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7" t="n"/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/>
      <c r="Y1948" s="13">
        <f>SUMPRODUCT(M1948:X1948,$M$2:$X$2)*$K1948*$L1948</f>
        <v/>
      </c>
      <c r="Z1948" s="14">
        <f>SUM(M1948:X1948)</f>
        <v/>
      </c>
      <c r="AA1948" s="14">
        <f>IFERROR(IF(UPPER($E1948)="L",SUMPRODUCT(M1948:X1948,$M$3:$X$3,$M$2:$X$2),SUMPRODUCT(M1948:X1948,$M$4:$X$4,$M$2:$X$2))/(Y1948/($K1948*$L1948)),"")</f>
        <v/>
      </c>
      <c r="AB1948" s="18" t="n"/>
    </row>
    <row r="1949">
      <c r="A1949" s="9" t="n">
        <v>808159</v>
      </c>
      <c r="B1949" s="9" t="inlineStr">
        <is>
          <t>Jonathan Martinez</t>
        </is>
      </c>
      <c r="C1949" s="9" t="inlineStr">
        <is>
          <t>CLE</t>
        </is>
      </c>
      <c r="D1949" s="9" t="n">
        <v>25</v>
      </c>
      <c r="E1949" s="16" t="inlineStr">
        <is>
          <t>S</t>
        </is>
      </c>
      <c r="F1949" s="16" t="n"/>
      <c r="G1949" s="9" t="n">
        <v>30.64615384615384</v>
      </c>
      <c r="H1949" s="9" t="n">
        <v>30.64615384615384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7" t="n"/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/>
      <c r="Y1949" s="13">
        <f>SUMPRODUCT(M1949:X1949,$M$2:$X$2)*$K1949*$L1949</f>
        <v/>
      </c>
      <c r="Z1949" s="14">
        <f>SUM(M1949:X1949)</f>
        <v/>
      </c>
      <c r="AA1949" s="14">
        <f>IFERROR(IF(UPPER($E1949)="L",SUMPRODUCT(M1949:X1949,$M$3:$X$3,$M$2:$X$2),SUMPRODUCT(M1949:X1949,$M$4:$X$4,$M$2:$X$2))/(Y1949/($K1949*$L1949)),"")</f>
        <v/>
      </c>
      <c r="AB1949" s="18" t="n"/>
    </row>
    <row r="1950">
      <c r="A1950" s="9" t="n">
        <v>687210</v>
      </c>
      <c r="B1950" s="9" t="inlineStr">
        <is>
          <t>Nathan Martorella</t>
        </is>
      </c>
      <c r="C1950" s="9" t="inlineStr">
        <is>
          <t>MIA</t>
        </is>
      </c>
      <c r="D1950" s="9" t="n">
        <v>25</v>
      </c>
      <c r="E1950" s="16" t="inlineStr">
        <is>
          <t>L</t>
        </is>
      </c>
      <c r="F1950" s="16" t="n"/>
      <c r="G1950" s="9" t="n">
        <v>58.10256410256411</v>
      </c>
      <c r="H1950" s="9" t="n">
        <v>58.10256410256411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7" t="n"/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/>
      <c r="Y1950" s="13">
        <f>SUMPRODUCT(M1950:X1950,$M$2:$X$2)*$K1950*$L1950</f>
        <v/>
      </c>
      <c r="Z1950" s="14">
        <f>SUM(M1950:X1950)</f>
        <v/>
      </c>
      <c r="AA1950" s="14">
        <f>IFERROR(IF(UPPER($E1950)="L",SUMPRODUCT(M1950:X1950,$M$3:$X$3,$M$2:$X$2),SUMPRODUCT(M1950:X1950,$M$4:$X$4,$M$2:$X$2))/(Y1950/($K1950*$L1950)),"")</f>
        <v/>
      </c>
      <c r="AB1950" s="18" t="n"/>
    </row>
    <row r="1951">
      <c r="A1951" s="9" t="n">
        <v>821657</v>
      </c>
      <c r="B1951" s="9" t="inlineStr">
        <is>
          <t>Gabriel Rodriguez</t>
        </is>
      </c>
      <c r="C1951" s="9" t="inlineStr">
        <is>
          <t>CLE</t>
        </is>
      </c>
      <c r="D1951" s="9" t="n">
        <v>25</v>
      </c>
      <c r="E1951" s="16" t="inlineStr">
        <is>
          <t>L</t>
        </is>
      </c>
      <c r="F1951" s="16" t="n"/>
      <c r="G1951" s="9" t="n">
        <v>32.49230769230769</v>
      </c>
      <c r="H1951" s="9" t="n">
        <v>32.49230769230769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7" t="n"/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/>
      <c r="Y1951" s="13">
        <f>SUMPRODUCT(M1951:X1951,$M$2:$X$2)*$K1951*$L1951</f>
        <v/>
      </c>
      <c r="Z1951" s="14">
        <f>SUM(M1951:X1951)</f>
        <v/>
      </c>
      <c r="AA1951" s="14">
        <f>IFERROR(IF(UPPER($E1951)="L",SUMPRODUCT(M1951:X1951,$M$3:$X$3,$M$2:$X$2),SUMPRODUCT(M1951:X1951,$M$4:$X$4,$M$2:$X$2))/(Y1951/($K1951*$L1951)),"")</f>
        <v/>
      </c>
      <c r="AB1951" s="18" t="n"/>
    </row>
    <row r="1952">
      <c r="A1952" s="9" t="n">
        <v>692562</v>
      </c>
      <c r="B1952" s="9" t="inlineStr">
        <is>
          <t>Alexis Hernandez</t>
        </is>
      </c>
      <c r="C1952" s="9" t="inlineStr">
        <is>
          <t>TOR</t>
        </is>
      </c>
      <c r="D1952" s="9" t="n">
        <v>25</v>
      </c>
      <c r="E1952" s="16" t="inlineStr">
        <is>
          <t>R</t>
        </is>
      </c>
      <c r="F1952" s="16" t="n"/>
      <c r="G1952" s="9" t="n">
        <v>35.8974358974359</v>
      </c>
      <c r="H1952" s="9" t="n">
        <v>35.8974358974359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7" t="n"/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/>
      <c r="Y1952" s="13">
        <f>SUMPRODUCT(M1952:X1952,$M$2:$X$2)*$K1952*$L1952</f>
        <v/>
      </c>
      <c r="Z1952" s="14">
        <f>SUM(M1952:X1952)</f>
        <v/>
      </c>
      <c r="AA1952" s="14">
        <f>IFERROR(IF(UPPER($E1952)="L",SUMPRODUCT(M1952:X1952,$M$3:$X$3,$M$2:$X$2),SUMPRODUCT(M1952:X1952,$M$4:$X$4,$M$2:$X$2))/(Y1952/($K1952*$L1952)),"")</f>
        <v/>
      </c>
      <c r="AB1952" s="18" t="n"/>
    </row>
    <row r="1953">
      <c r="A1953" s="9" t="n">
        <v>573131</v>
      </c>
      <c r="B1953" s="9" t="inlineStr">
        <is>
          <t>Darin Ruf</t>
        </is>
      </c>
      <c r="C1953" s="9" t="inlineStr">
        <is>
          <t>MIL</t>
        </is>
      </c>
      <c r="D1953" s="9" t="n">
        <v>40</v>
      </c>
      <c r="E1953" s="16" t="inlineStr">
        <is>
          <t>R</t>
        </is>
      </c>
      <c r="F1953" s="16" t="n"/>
      <c r="G1953" s="9" t="n">
        <v>57</v>
      </c>
      <c r="H1953" s="9" t="n">
        <v>445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7" t="n"/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/>
      <c r="Y1953" s="13">
        <f>SUMPRODUCT(M1953:X1953,$M$2:$X$2)*$K1953*$L1953</f>
        <v/>
      </c>
      <c r="Z1953" s="14">
        <f>SUM(M1953:X1953)</f>
        <v/>
      </c>
      <c r="AA1953" s="14">
        <f>IFERROR(IF(UPPER($E1953)="L",SUMPRODUCT(M1953:X1953,$M$3:$X$3,$M$2:$X$2),SUMPRODUCT(M1953:X1953,$M$4:$X$4,$M$2:$X$2))/(Y1953/($K1953*$L1953)),"")</f>
        <v/>
      </c>
      <c r="AB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7" t="n"/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/>
      <c r="Y1954" s="13">
        <f>SUMPRODUCT(M1954:X1954,$M$2:$X$2)*$K1954*$L1954</f>
        <v/>
      </c>
      <c r="Z1954" s="14">
        <f>SUM(M1954:X1954)</f>
        <v/>
      </c>
      <c r="AA1954" s="14">
        <f>IFERROR(IF(UPPER($E1954)="L",SUMPRODUCT(M1954:X1954,$M$3:$X$3,$M$2:$X$2),SUMPRODUCT(M1954:X1954,$M$4:$X$4,$M$2:$X$2))/(Y1954/($K1954*$L1954)),"")</f>
        <v/>
      </c>
      <c r="AB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7" t="n"/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/>
      <c r="Y1955" s="13">
        <f>SUMPRODUCT(M1955:X1955,$M$2:$X$2)*$K1955*$L1955</f>
        <v/>
      </c>
      <c r="Z1955" s="14">
        <f>SUM(M1955:X1955)</f>
        <v/>
      </c>
      <c r="AA1955" s="14">
        <f>IFERROR(IF(UPPER($E1955)="L",SUMPRODUCT(M1955:X1955,$M$3:$X$3,$M$2:$X$2),SUMPRODUCT(M1955:X1955,$M$4:$X$4,$M$2:$X$2))/(Y1955/($K1955*$L1955)),"")</f>
        <v/>
      </c>
      <c r="AB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7" t="n"/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/>
      <c r="Y1956" s="13">
        <f>SUMPRODUCT(M1956:X1956,$M$2:$X$2)*$K1956*$L1956</f>
        <v/>
      </c>
      <c r="Z1956" s="14">
        <f>SUM(M1956:X1956)</f>
        <v/>
      </c>
      <c r="AA1956" s="14">
        <f>IFERROR(IF(UPPER($E1956)="L",SUMPRODUCT(M1956:X1956,$M$3:$X$3,$M$2:$X$2),SUMPRODUCT(M1956:X1956,$M$4:$X$4,$M$2:$X$2))/(Y1956/($K1956*$L1956)),"")</f>
        <v/>
      </c>
      <c r="AB1956" s="18" t="n"/>
    </row>
    <row r="1957">
      <c r="A1957" s="9" t="n">
        <v>808289</v>
      </c>
      <c r="B1957" s="9" t="inlineStr">
        <is>
          <t>Julio Zayas</t>
        </is>
      </c>
      <c r="C1957" s="9" t="inlineStr">
        <is>
          <t>NYM</t>
        </is>
      </c>
      <c r="D1957" s="9" t="n">
        <v>25</v>
      </c>
      <c r="E1957" s="16" t="inlineStr">
        <is>
          <t>R</t>
        </is>
      </c>
      <c r="F1957" s="16" t="n"/>
      <c r="G1957" s="9" t="n">
        <v>50.58461538461538</v>
      </c>
      <c r="H1957" s="9" t="n">
        <v>50.58461538461538</v>
      </c>
      <c r="I1957" s="9" t="inlineStr">
        <is>
          <t>Depth (no MLB PA)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7" t="n"/>
      <c r="N1957" s="17" t="n"/>
      <c r="O1957" s="17" t="n"/>
      <c r="P1957" s="17" t="n"/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3">
        <f>SUMPRODUCT(M1957:X1957,$M$2:$X$2)*$K1957*$L1957</f>
        <v/>
      </c>
      <c r="Z1957" s="14">
        <f>SUM(M1957:X1957)</f>
        <v/>
      </c>
      <c r="AA1957" s="14">
        <f>IFERROR(IF(UPPER($E1957)="L",SUMPRODUCT(M1957:X1957,$M$3:$X$3,$M$2:$X$2),SUMPRODUCT(M1957:X1957,$M$4:$X$4,$M$2:$X$2))/(Y1957/($K1957*$L1957)),"")</f>
        <v/>
      </c>
      <c r="AB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7" t="n"/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/>
      <c r="Y1958" s="13">
        <f>SUMPRODUCT(M1958:X1958,$M$2:$X$2)*$K1958*$L1958</f>
        <v/>
      </c>
      <c r="Z1958" s="14">
        <f>SUM(M1958:X1958)</f>
        <v/>
      </c>
      <c r="AA1958" s="14">
        <f>IFERROR(IF(UPPER($E1958)="L",SUMPRODUCT(M1958:X1958,$M$3:$X$3,$M$2:$X$2),SUMPRODUCT(M1958:X1958,$M$4:$X$4,$M$2:$X$2))/(Y1958/($K1958*$L1958)),"")</f>
        <v/>
      </c>
      <c r="AB1958" s="18" t="n"/>
    </row>
    <row r="1959">
      <c r="A1959" s="9" t="n">
        <v>687462</v>
      </c>
      <c r="B1959" s="9" t="inlineStr">
        <is>
          <t>Spencer Horwitz</t>
        </is>
      </c>
      <c r="C1959" s="9" t="inlineStr">
        <is>
          <t>PIT</t>
        </is>
      </c>
      <c r="D1959" s="9" t="n">
        <v>29</v>
      </c>
      <c r="E1959" s="16" t="inlineStr">
        <is>
          <t>L</t>
        </is>
      </c>
      <c r="F1959" s="16" t="n"/>
      <c r="G1959" s="9" t="n">
        <v>451</v>
      </c>
      <c r="H1959" s="9" t="n">
        <v>1287</v>
      </c>
      <c r="I1959" s="9" t="inlineStr">
        <is>
          <t>Full Time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7" t="n"/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/>
      <c r="Y1959" s="13">
        <f>SUMPRODUCT(M1959:X1959,$M$2:$X$2)*$K1959*$L1959</f>
        <v/>
      </c>
      <c r="Z1959" s="14">
        <f>SUM(M1959:X1959)</f>
        <v/>
      </c>
      <c r="AA1959" s="14">
        <f>IFERROR(IF(UPPER($E1959)="L",SUMPRODUCT(M1959:X1959,$M$3:$X$3,$M$2:$X$2),SUMPRODUCT(M1959:X1959,$M$4:$X$4,$M$2:$X$2))/(Y1959/($K1959*$L1959)),"")</f>
        <v/>
      </c>
      <c r="AB1959" s="18" t="n"/>
    </row>
    <row r="1960">
      <c r="A1960" s="9" t="n">
        <v>806401</v>
      </c>
      <c r="B1960" s="9" t="inlineStr">
        <is>
          <t>Dayson Croes</t>
        </is>
      </c>
      <c r="C1960" s="9" t="inlineStr">
        <is>
          <t>SF</t>
        </is>
      </c>
      <c r="D1960" s="9" t="n">
        <v>25</v>
      </c>
      <c r="E1960" s="16" t="inlineStr">
        <is>
          <t>L</t>
        </is>
      </c>
      <c r="F1960" s="16" t="n"/>
      <c r="G1960" s="9" t="n">
        <v>45.12820512820514</v>
      </c>
      <c r="H1960" s="9" t="n">
        <v>45.12820512820514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7" t="n"/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/>
      <c r="Y1960" s="13">
        <f>SUMPRODUCT(M1960:X1960,$M$2:$X$2)*$K1960*$L1960</f>
        <v/>
      </c>
      <c r="Z1960" s="14">
        <f>SUM(M1960:X1960)</f>
        <v/>
      </c>
      <c r="AA1960" s="14">
        <f>IFERROR(IF(UPPER($E1960)="L",SUMPRODUCT(M1960:X1960,$M$3:$X$3,$M$2:$X$2),SUMPRODUCT(M1960:X1960,$M$4:$X$4,$M$2:$X$2))/(Y1960/($K1960*$L1960)),"")</f>
        <v/>
      </c>
      <c r="AB1960" s="18" t="n"/>
    </row>
    <row r="1961">
      <c r="A1961" s="9" t="n">
        <v>800276</v>
      </c>
      <c r="B1961" s="9" t="inlineStr">
        <is>
          <t>Juan Villavicencio</t>
        </is>
      </c>
      <c r="C1961" s="9" t="inlineStr">
        <is>
          <t>PHI</t>
        </is>
      </c>
      <c r="D1961" s="9" t="n">
        <v>25</v>
      </c>
      <c r="E1961" s="16" t="inlineStr">
        <is>
          <t>L</t>
        </is>
      </c>
      <c r="F1961" s="16" t="n"/>
      <c r="G1961" s="9" t="n">
        <v>29.74358974358975</v>
      </c>
      <c r="H1961" s="9" t="n">
        <v>29.74358974358975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7" t="n"/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/>
      <c r="Y1961" s="13">
        <f>SUMPRODUCT(M1961:X1961,$M$2:$X$2)*$K1961*$L1961</f>
        <v/>
      </c>
      <c r="Z1961" s="14">
        <f>SUM(M1961:X1961)</f>
        <v/>
      </c>
      <c r="AA1961" s="14">
        <f>IFERROR(IF(UPPER($E1961)="L",SUMPRODUCT(M1961:X1961,$M$3:$X$3,$M$2:$X$2),SUMPRODUCT(M1961:X1961,$M$4:$X$4,$M$2:$X$2))/(Y1961/($K1961*$L1961)),"")</f>
        <v/>
      </c>
      <c r="AB1961" s="18" t="n"/>
    </row>
    <row r="1962">
      <c r="A1962" s="9" t="n">
        <v>700648</v>
      </c>
      <c r="B1962" s="9" t="inlineStr">
        <is>
          <t>Josue Gonzalez</t>
        </is>
      </c>
      <c r="C1962" s="9" t="inlineStr">
        <is>
          <t>NYY</t>
        </is>
      </c>
      <c r="D1962" s="9" t="n">
        <v>25</v>
      </c>
      <c r="E1962" s="16" t="inlineStr">
        <is>
          <t>R</t>
        </is>
      </c>
      <c r="F1962" s="16" t="n"/>
      <c r="G1962" s="9" t="n">
        <v>52.1025641025641</v>
      </c>
      <c r="H1962" s="9" t="n">
        <v>52.1025641025641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7" t="n"/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/>
      <c r="Y1962" s="13">
        <f>SUMPRODUCT(M1962:X1962,$M$2:$X$2)*$K1962*$L1962</f>
        <v/>
      </c>
      <c r="Z1962" s="14">
        <f>SUM(M1962:X1962)</f>
        <v/>
      </c>
      <c r="AA1962" s="14">
        <f>IFERROR(IF(UPPER($E1962)="L",SUMPRODUCT(M1962:X1962,$M$3:$X$3,$M$2:$X$2),SUMPRODUCT(M1962:X1962,$M$4:$X$4,$M$2:$X$2))/(Y1962/($K1962*$L1962)),"")</f>
        <v/>
      </c>
      <c r="AB1962" s="18" t="n"/>
    </row>
    <row r="1963">
      <c r="A1963" s="9" t="n">
        <v>701327</v>
      </c>
      <c r="B1963" s="9" t="inlineStr">
        <is>
          <t>Elijah Green</t>
        </is>
      </c>
      <c r="C1963" s="9" t="inlineStr">
        <is>
          <t>WSH</t>
        </is>
      </c>
      <c r="D1963" s="9" t="n">
        <v>25</v>
      </c>
      <c r="E1963" s="16" t="inlineStr">
        <is>
          <t>R</t>
        </is>
      </c>
      <c r="F1963" s="16" t="n"/>
      <c r="G1963" s="9" t="n">
        <v>42</v>
      </c>
      <c r="H1963" s="9" t="n">
        <v>42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7" t="n"/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/>
      <c r="Y1963" s="13">
        <f>SUMPRODUCT(M1963:X1963,$M$2:$X$2)*$K1963*$L1963</f>
        <v/>
      </c>
      <c r="Z1963" s="14">
        <f>SUM(M1963:X1963)</f>
        <v/>
      </c>
      <c r="AA1963" s="14">
        <f>IFERROR(IF(UPPER($E1963)="L",SUMPRODUCT(M1963:X1963,$M$3:$X$3,$M$2:$X$2),SUMPRODUCT(M1963:X1963,$M$4:$X$4,$M$2:$X$2))/(Y1963/($K1963*$L1963)),"")</f>
        <v/>
      </c>
      <c r="AB1963" s="18" t="n"/>
    </row>
    <row r="1964">
      <c r="A1964" s="9" t="n">
        <v>815104</v>
      </c>
      <c r="B1964" s="9" t="inlineStr">
        <is>
          <t>Graysen Tarlow</t>
        </is>
      </c>
      <c r="C1964" s="9" t="inlineStr">
        <is>
          <t>STL</t>
        </is>
      </c>
      <c r="D1964" s="9" t="n">
        <v>25</v>
      </c>
      <c r="E1964" s="16" t="inlineStr">
        <is>
          <t>R</t>
        </is>
      </c>
      <c r="F1964" s="16" t="n"/>
      <c r="G1964" s="9" t="n">
        <v>27.07692307692308</v>
      </c>
      <c r="H1964" s="9" t="n">
        <v>27.07692307692308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7" t="n"/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/>
      <c r="Y1964" s="13">
        <f>SUMPRODUCT(M1964:X1964,$M$2:$X$2)*$K1964*$L1964</f>
        <v/>
      </c>
      <c r="Z1964" s="14">
        <f>SUM(M1964:X1964)</f>
        <v/>
      </c>
      <c r="AA1964" s="14">
        <f>IFERROR(IF(UPPER($E1964)="L",SUMPRODUCT(M1964:X1964,$M$3:$X$3,$M$2:$X$2),SUMPRODUCT(M1964:X1964,$M$4:$X$4,$M$2:$X$2))/(Y1964/($K1964*$L1964)),"")</f>
        <v/>
      </c>
      <c r="AB1964" s="18" t="n"/>
    </row>
    <row r="1965">
      <c r="A1965" s="9" t="n">
        <v>663527</v>
      </c>
      <c r="B1965" s="9" t="inlineStr">
        <is>
          <t>Tyler Nevin</t>
        </is>
      </c>
      <c r="C1965" s="9" t="inlineStr">
        <is>
          <t>OAK</t>
        </is>
      </c>
      <c r="D1965" s="9" t="n">
        <v>30</v>
      </c>
      <c r="E1965" s="16" t="inlineStr">
        <is>
          <t>R</t>
        </is>
      </c>
      <c r="F1965" s="16" t="n"/>
      <c r="G1965" s="9" t="n">
        <v>278</v>
      </c>
      <c r="H1965" s="9" t="n">
        <v>573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7" t="n"/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/>
      <c r="Y1965" s="13">
        <f>SUMPRODUCT(M1965:X1965,$M$2:$X$2)*$K1965*$L1965</f>
        <v/>
      </c>
      <c r="Z1965" s="14">
        <f>SUM(M1965:X1965)</f>
        <v/>
      </c>
      <c r="AA1965" s="14">
        <f>IFERROR(IF(UPPER($E1965)="L",SUMPRODUCT(M1965:X1965,$M$3:$X$3,$M$2:$X$2),SUMPRODUCT(M1965:X1965,$M$4:$X$4,$M$2:$X$2))/(Y1965/($K1965*$L1965)),"")</f>
        <v/>
      </c>
      <c r="AB1965" s="18" t="n"/>
    </row>
    <row r="1966">
      <c r="A1966" s="9" t="n">
        <v>693459</v>
      </c>
      <c r="B1966" s="9" t="inlineStr">
        <is>
          <t>Kyler Fedko</t>
        </is>
      </c>
      <c r="C1966" s="9" t="inlineStr">
        <is>
          <t>MIN</t>
        </is>
      </c>
      <c r="D1966" s="9" t="n">
        <v>27</v>
      </c>
      <c r="E1966" s="16" t="inlineStr">
        <is>
          <t>R</t>
        </is>
      </c>
      <c r="F1966" s="16" t="n"/>
      <c r="G1966" s="9" t="n">
        <v>19</v>
      </c>
      <c r="H1966" s="9" t="n">
        <v>19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7" t="n"/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/>
      <c r="Y1966" s="13">
        <f>SUMPRODUCT(M1966:X1966,$M$2:$X$2)*$K1966*$L1966</f>
        <v/>
      </c>
      <c r="Z1966" s="14">
        <f>SUM(M1966:X1966)</f>
        <v/>
      </c>
      <c r="AA1966" s="14">
        <f>IFERROR(IF(UPPER($E1966)="L",SUMPRODUCT(M1966:X1966,$M$3:$X$3,$M$2:$X$2),SUMPRODUCT(M1966:X1966,$M$4:$X$4,$M$2:$X$2))/(Y1966/($K1966*$L1966)),"")</f>
        <v/>
      </c>
      <c r="AB1966" s="18" t="n"/>
    </row>
    <row r="1967">
      <c r="A1967" s="9" t="n">
        <v>683103</v>
      </c>
      <c r="B1967" s="9" t="inlineStr">
        <is>
          <t>Cade Doughty</t>
        </is>
      </c>
      <c r="C1967" s="9" t="inlineStr">
        <is>
          <t>TOR</t>
        </is>
      </c>
      <c r="D1967" s="9" t="n">
        <v>25</v>
      </c>
      <c r="E1967" s="16" t="inlineStr">
        <is>
          <t>R</t>
        </is>
      </c>
      <c r="F1967" s="16" t="n"/>
      <c r="G1967" s="9" t="n">
        <v>44.15384615384615</v>
      </c>
      <c r="H1967" s="9" t="n">
        <v>44.15384615384615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7" t="n"/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/>
      <c r="Y1967" s="13">
        <f>SUMPRODUCT(M1967:X1967,$M$2:$X$2)*$K1967*$L1967</f>
        <v/>
      </c>
      <c r="Z1967" s="14">
        <f>SUM(M1967:X1967)</f>
        <v/>
      </c>
      <c r="AA1967" s="14">
        <f>IFERROR(IF(UPPER($E1967)="L",SUMPRODUCT(M1967:X1967,$M$3:$X$3,$M$2:$X$2),SUMPRODUCT(M1967:X1967,$M$4:$X$4,$M$2:$X$2))/(Y1967/($K1967*$L1967)),"")</f>
        <v/>
      </c>
      <c r="AB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7" t="n"/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/>
      <c r="Y1968" s="13">
        <f>SUMPRODUCT(M1968:X1968,$M$2:$X$2)*$K1968*$L1968</f>
        <v/>
      </c>
      <c r="Z1968" s="14">
        <f>SUM(M1968:X1968)</f>
        <v/>
      </c>
      <c r="AA1968" s="14">
        <f>IFERROR(IF(UPPER($E1968)="L",SUMPRODUCT(M1968:X1968,$M$3:$X$3,$M$2:$X$2),SUMPRODUCT(M1968:X1968,$M$4:$X$4,$M$2:$X$2))/(Y1968/($K1968*$L1968)),"")</f>
        <v/>
      </c>
      <c r="AB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7" t="n"/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/>
      <c r="Y1969" s="13">
        <f>SUMPRODUCT(M1969:X1969,$M$2:$X$2)*$K1969*$L1969</f>
        <v/>
      </c>
      <c r="Z1969" s="14">
        <f>SUM(M1969:X1969)</f>
        <v/>
      </c>
      <c r="AA1969" s="14">
        <f>IFERROR(IF(UPPER($E1969)="L",SUMPRODUCT(M1969:X1969,$M$3:$X$3,$M$2:$X$2),SUMPRODUCT(M1969:X1969,$M$4:$X$4,$M$2:$X$2))/(Y1969/($K1969*$L1969)),"")</f>
        <v/>
      </c>
      <c r="AB1969" s="18" t="n"/>
    </row>
    <row r="1970">
      <c r="A1970" s="9" t="n">
        <v>800140</v>
      </c>
      <c r="B1970" s="9" t="inlineStr">
        <is>
          <t>Kendry Chirinos</t>
        </is>
      </c>
      <c r="C1970" s="9" t="inlineStr">
        <is>
          <t>TOR</t>
        </is>
      </c>
      <c r="D1970" s="9" t="n">
        <v>25</v>
      </c>
      <c r="E1970" s="16" t="inlineStr">
        <is>
          <t>R</t>
        </is>
      </c>
      <c r="F1970" s="16" t="n"/>
      <c r="G1970" s="9" t="n">
        <v>38.76923076923077</v>
      </c>
      <c r="H1970" s="9" t="n">
        <v>38.76923076923077</v>
      </c>
      <c r="I1970" s="9" t="inlineStr">
        <is>
          <t>Depth (no MLB PA)</t>
        </is>
      </c>
      <c r="J1970" s="16" t="inlineStr">
        <is>
          <t>Opening Day</t>
        </is>
      </c>
      <c r="K1970" s="11">
        <f>IFERROR(INDEX(Roles!$B$17:$B$20,MATCH(J1970,Roles!$A$17:$A$20,0)),1)</f>
        <v/>
      </c>
      <c r="L1970" s="17" t="n">
        <v>1</v>
      </c>
      <c r="M1970" s="17" t="n"/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/>
      <c r="Y1970" s="13">
        <f>SUMPRODUCT(M1970:X1970,$M$2:$X$2)*$K1970*$L1970</f>
        <v/>
      </c>
      <c r="Z1970" s="14">
        <f>SUM(M1970:X1970)</f>
        <v/>
      </c>
      <c r="AA1970" s="14">
        <f>IFERROR(IF(UPPER($E1970)="L",SUMPRODUCT(M1970:X1970,$M$3:$X$3,$M$2:$X$2),SUMPRODUCT(M1970:X1970,$M$4:$X$4,$M$2:$X$2))/(Y1970/($K1970*$L1970)),"")</f>
        <v/>
      </c>
      <c r="AB1970" s="18" t="n"/>
    </row>
    <row r="1971">
      <c r="A1971" s="9" t="n">
        <v>703160</v>
      </c>
      <c r="B1971" s="9" t="inlineStr">
        <is>
          <t>Yasser Mercedes</t>
        </is>
      </c>
      <c r="C1971" s="9" t="inlineStr">
        <is>
          <t>MIN</t>
        </is>
      </c>
      <c r="D1971" s="9" t="n">
        <v>25</v>
      </c>
      <c r="E1971" s="16" t="inlineStr">
        <is>
          <t>R</t>
        </is>
      </c>
      <c r="F1971" s="16" t="n"/>
      <c r="G1971" s="9" t="n">
        <v>78.76923076923077</v>
      </c>
      <c r="H1971" s="9" t="n">
        <v>78.76923076923077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7" t="n"/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/>
      <c r="Y1971" s="13">
        <f>SUMPRODUCT(M1971:X1971,$M$2:$X$2)*$K1971*$L1971</f>
        <v/>
      </c>
      <c r="Z1971" s="14">
        <f>SUM(M1971:X1971)</f>
        <v/>
      </c>
      <c r="AA1971" s="14">
        <f>IFERROR(IF(UPPER($E1971)="L",SUMPRODUCT(M1971:X1971,$M$3:$X$3,$M$2:$X$2),SUMPRODUCT(M1971:X1971,$M$4:$X$4,$M$2:$X$2))/(Y1971/($K1971*$L1971)),"")</f>
        <v/>
      </c>
      <c r="AB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7" t="n"/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/>
      <c r="Y1972" s="13">
        <f>SUMPRODUCT(M1972:X1972,$M$2:$X$2)*$K1972*$L1972</f>
        <v/>
      </c>
      <c r="Z1972" s="14">
        <f>SUM(M1972:X1972)</f>
        <v/>
      </c>
      <c r="AA1972" s="14">
        <f>IFERROR(IF(UPPER($E1972)="L",SUMPRODUCT(M1972:X1972,$M$3:$X$3,$M$2:$X$2),SUMPRODUCT(M1972:X1972,$M$4:$X$4,$M$2:$X$2))/(Y1972/($K1972*$L1972)),"")</f>
        <v/>
      </c>
      <c r="AB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7" t="n"/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/>
      <c r="Y1973" s="13">
        <f>SUMPRODUCT(M1973:X1973,$M$2:$X$2)*$K1973*$L1973</f>
        <v/>
      </c>
      <c r="Z1973" s="14">
        <f>SUM(M1973:X1973)</f>
        <v/>
      </c>
      <c r="AA1973" s="14">
        <f>IFERROR(IF(UPPER($E1973)="L",SUMPRODUCT(M1973:X1973,$M$3:$X$3,$M$2:$X$2),SUMPRODUCT(M1973:X1973,$M$4:$X$4,$M$2:$X$2))/(Y1973/($K1973*$L1973)),"")</f>
        <v/>
      </c>
      <c r="AB1973" s="18" t="n"/>
    </row>
    <row r="1974">
      <c r="A1974" s="9" t="n">
        <v>663845</v>
      </c>
      <c r="B1974" s="9" t="inlineStr">
        <is>
          <t>Alfonso Rivas III</t>
        </is>
      </c>
      <c r="C1974" s="9" t="inlineStr">
        <is>
          <t>PIT</t>
        </is>
      </c>
      <c r="D1974" s="9" t="n">
        <v>30</v>
      </c>
      <c r="E1974" s="16" t="inlineStr">
        <is>
          <t>L</t>
        </is>
      </c>
      <c r="F1974" s="16" t="n"/>
      <c r="G1974" s="9" t="n">
        <v>123</v>
      </c>
      <c r="H1974" s="9" t="n">
        <v>410</v>
      </c>
      <c r="I1974" s="9" t="inlineStr">
        <is>
          <t>Depth (no MLB PA)</t>
        </is>
      </c>
      <c r="J1974" s="16" t="inlineStr">
        <is>
          <t>Opening Day</t>
        </is>
      </c>
      <c r="K1974" s="11">
        <f>IFERROR(INDEX(Roles!$B$17:$B$20,MATCH(J1974,Roles!$A$17:$A$20,0)),1)</f>
        <v/>
      </c>
      <c r="L1974" s="17" t="n">
        <v>1</v>
      </c>
      <c r="M1974" s="17" t="n"/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/>
      <c r="Y1974" s="13">
        <f>SUMPRODUCT(M1974:X1974,$M$2:$X$2)*$K1974*$L1974</f>
        <v/>
      </c>
      <c r="Z1974" s="14">
        <f>SUM(M1974:X1974)</f>
        <v/>
      </c>
      <c r="AA1974" s="14">
        <f>IFERROR(IF(UPPER($E1974)="L",SUMPRODUCT(M1974:X1974,$M$3:$X$3,$M$2:$X$2),SUMPRODUCT(M1974:X1974,$M$4:$X$4,$M$2:$X$2))/(Y1974/($K1974*$L1974)),"")</f>
        <v/>
      </c>
      <c r="AB1974" s="18" t="n"/>
    </row>
    <row r="1975">
      <c r="A1975" s="9" t="n">
        <v>703563</v>
      </c>
      <c r="B1975" s="9" t="inlineStr">
        <is>
          <t>PJ Morlando</t>
        </is>
      </c>
      <c r="C1975" s="9" t="inlineStr">
        <is>
          <t>MIA</t>
        </is>
      </c>
      <c r="D1975" s="9" t="n">
        <v>25</v>
      </c>
      <c r="E1975" s="16" t="inlineStr">
        <is>
          <t>L</t>
        </is>
      </c>
      <c r="F1975" s="16" t="n"/>
      <c r="G1975" s="9" t="n">
        <v>46.03076923076923</v>
      </c>
      <c r="H1975" s="9" t="n">
        <v>46.03076923076923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7" t="n"/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/>
      <c r="Y1975" s="13">
        <f>SUMPRODUCT(M1975:X1975,$M$2:$X$2)*$K1975*$L1975</f>
        <v/>
      </c>
      <c r="Z1975" s="14">
        <f>SUM(M1975:X1975)</f>
        <v/>
      </c>
      <c r="AA1975" s="14">
        <f>IFERROR(IF(UPPER($E1975)="L",SUMPRODUCT(M1975:X1975,$M$3:$X$3,$M$2:$X$2),SUMPRODUCT(M1975:X1975,$M$4:$X$4,$M$2:$X$2))/(Y1975/($K1975*$L1975)),"")</f>
        <v/>
      </c>
      <c r="AB1975" s="18" t="n"/>
    </row>
    <row r="1976">
      <c r="A1976" s="9" t="n">
        <v>829037</v>
      </c>
      <c r="B1976" s="9" t="inlineStr">
        <is>
          <t>Kevin Alvarez</t>
        </is>
      </c>
      <c r="C1976" s="9" t="inlineStr">
        <is>
          <t>HOU</t>
        </is>
      </c>
      <c r="D1976" s="9" t="n">
        <v>25</v>
      </c>
      <c r="E1976" s="16" t="inlineStr">
        <is>
          <t>L</t>
        </is>
      </c>
      <c r="F1976" s="16" t="n"/>
      <c r="G1976" s="9" t="n">
        <v>53.04615384615384</v>
      </c>
      <c r="H1976" s="9" t="n">
        <v>53.04615384615384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7" t="n"/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/>
      <c r="Y1976" s="13">
        <f>SUMPRODUCT(M1976:X1976,$M$2:$X$2)*$K1976*$L1976</f>
        <v/>
      </c>
      <c r="Z1976" s="14">
        <f>SUM(M1976:X1976)</f>
        <v/>
      </c>
      <c r="AA1976" s="14">
        <f>IFERROR(IF(UPPER($E1976)="L",SUMPRODUCT(M1976:X1976,$M$3:$X$3,$M$2:$X$2),SUMPRODUCT(M1976:X1976,$M$4:$X$4,$M$2:$X$2))/(Y1976/($K1976*$L1976)),"")</f>
        <v/>
      </c>
      <c r="AB1976" s="18" t="n"/>
    </row>
    <row r="1977">
      <c r="A1977" s="9" t="n">
        <v>808903</v>
      </c>
      <c r="B1977" s="9" t="inlineStr">
        <is>
          <t>Emilio Barreras</t>
        </is>
      </c>
      <c r="C1977" s="9" t="inlineStr">
        <is>
          <t>MIA</t>
        </is>
      </c>
      <c r="D1977" s="9" t="n">
        <v>25</v>
      </c>
      <c r="E1977" s="16" t="inlineStr">
        <is>
          <t>L</t>
        </is>
      </c>
      <c r="F1977" s="16" t="n"/>
      <c r="G1977" s="9" t="n">
        <v>45.94871794871796</v>
      </c>
      <c r="H1977" s="9" t="n">
        <v>45.94871794871796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7" t="n"/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/>
      <c r="Y1977" s="13">
        <f>SUMPRODUCT(M1977:X1977,$M$2:$X$2)*$K1977*$L1977</f>
        <v/>
      </c>
      <c r="Z1977" s="14">
        <f>SUM(M1977:X1977)</f>
        <v/>
      </c>
      <c r="AA1977" s="14">
        <f>IFERROR(IF(UPPER($E1977)="L",SUMPRODUCT(M1977:X1977,$M$3:$X$3,$M$2:$X$2),SUMPRODUCT(M1977:X1977,$M$4:$X$4,$M$2:$X$2))/(Y1977/($K1977*$L1977)),"")</f>
        <v/>
      </c>
      <c r="AB1977" s="18" t="n"/>
    </row>
    <row r="1978">
      <c r="A1978" s="9" t="n">
        <v>821041</v>
      </c>
      <c r="B1978" s="9" t="inlineStr">
        <is>
          <t>Roldy Brito</t>
        </is>
      </c>
      <c r="C1978" s="9" t="inlineStr">
        <is>
          <t>COL</t>
        </is>
      </c>
      <c r="D1978" s="9" t="n">
        <v>25</v>
      </c>
      <c r="E1978" s="16" t="inlineStr">
        <is>
          <t>S</t>
        </is>
      </c>
      <c r="F1978" s="16" t="n"/>
      <c r="G1978" s="9" t="n">
        <v>35.69230769230769</v>
      </c>
      <c r="H1978" s="9" t="n">
        <v>35.69230769230769</v>
      </c>
      <c r="I1978" s="9" t="inlineStr">
        <is>
          <t>Depth (no MLB PA)</t>
        </is>
      </c>
      <c r="J1978" s="16" t="inlineStr">
        <is>
          <t>Opening Day</t>
        </is>
      </c>
      <c r="K1978" s="11">
        <f>IFERROR(INDEX(Roles!$B$17:$B$20,MATCH(J1978,Roles!$A$17:$A$20,0)),1)</f>
        <v/>
      </c>
      <c r="L1978" s="17" t="n">
        <v>1</v>
      </c>
      <c r="M1978" s="17" t="n"/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/>
      <c r="Y1978" s="13">
        <f>SUMPRODUCT(M1978:X1978,$M$2:$X$2)*$K1978*$L1978</f>
        <v/>
      </c>
      <c r="Z1978" s="14">
        <f>SUM(M1978:X1978)</f>
        <v/>
      </c>
      <c r="AA1978" s="14">
        <f>IFERROR(IF(UPPER($E1978)="L",SUMPRODUCT(M1978:X1978,$M$3:$X$3,$M$2:$X$2),SUMPRODUCT(M1978:X1978,$M$4:$X$4,$M$2:$X$2))/(Y1978/($K1978*$L1978)),"")</f>
        <v/>
      </c>
      <c r="AB1978" s="18" t="n"/>
    </row>
    <row r="1979">
      <c r="A1979" s="9" t="n">
        <v>701805</v>
      </c>
      <c r="B1979" s="9" t="inlineStr">
        <is>
          <t>Josh Caron</t>
        </is>
      </c>
      <c r="C1979" s="9" t="inlineStr">
        <is>
          <t>SEA</t>
        </is>
      </c>
      <c r="D1979" s="9" t="n">
        <v>25</v>
      </c>
      <c r="E1979" s="16" t="inlineStr">
        <is>
          <t>R</t>
        </is>
      </c>
      <c r="F1979" s="16" t="n"/>
      <c r="G1979" s="9" t="n">
        <v>53.12820512820512</v>
      </c>
      <c r="H1979" s="9" t="n">
        <v>53.12820512820512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7" t="n"/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/>
      <c r="Y1979" s="13">
        <f>SUMPRODUCT(M1979:X1979,$M$2:$X$2)*$K1979*$L1979</f>
        <v/>
      </c>
      <c r="Z1979" s="14">
        <f>SUM(M1979:X1979)</f>
        <v/>
      </c>
      <c r="AA1979" s="14">
        <f>IFERROR(IF(UPPER($E1979)="L",SUMPRODUCT(M1979:X1979,$M$3:$X$3,$M$2:$X$2),SUMPRODUCT(M1979:X1979,$M$4:$X$4,$M$2:$X$2))/(Y1979/($K1979*$L1979)),"")</f>
        <v/>
      </c>
      <c r="AB1979" s="18" t="n"/>
    </row>
    <row r="1980">
      <c r="A1980" s="9" t="n">
        <v>808223</v>
      </c>
      <c r="B1980" s="9" t="inlineStr">
        <is>
          <t>Javier Herrera</t>
        </is>
      </c>
      <c r="C1980" s="9" t="inlineStr">
        <is>
          <t>LAD</t>
        </is>
      </c>
      <c r="D1980" s="9" t="n">
        <v>25</v>
      </c>
      <c r="E1980" s="16" t="inlineStr">
        <is>
          <t>S</t>
        </is>
      </c>
      <c r="F1980" s="16" t="n"/>
      <c r="G1980" s="9" t="n">
        <v>33.10769230769231</v>
      </c>
      <c r="H1980" s="9" t="n">
        <v>33.10769230769231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7" t="n"/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/>
      <c r="Y1980" s="13">
        <f>SUMPRODUCT(M1980:X1980,$M$2:$X$2)*$K1980*$L1980</f>
        <v/>
      </c>
      <c r="Z1980" s="14">
        <f>SUM(M1980:X1980)</f>
        <v/>
      </c>
      <c r="AA1980" s="14">
        <f>IFERROR(IF(UPPER($E1980)="L",SUMPRODUCT(M1980:X1980,$M$3:$X$3,$M$2:$X$2),SUMPRODUCT(M1980:X1980,$M$4:$X$4,$M$2:$X$2))/(Y1980/($K1980*$L1980)),"")</f>
        <v/>
      </c>
      <c r="AB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n"/>
      <c r="G1981" s="9" t="n">
        <v>15</v>
      </c>
      <c r="H1981" s="9" t="n">
        <v>132</v>
      </c>
      <c r="I1981" s="9" t="inlineStr">
        <is>
          <t>Bench Bat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7" t="n"/>
      <c r="N1981" s="17" t="n"/>
      <c r="O1981" s="17" t="n"/>
      <c r="P1981" s="17" t="n"/>
      <c r="Q1981" s="17" t="n"/>
      <c r="R1981" s="17" t="n"/>
      <c r="S1981" s="17" t="n"/>
      <c r="T1981" s="17" t="n"/>
      <c r="U1981" s="17" t="n"/>
      <c r="V1981" s="17" t="n"/>
      <c r="W1981" s="17" t="n"/>
      <c r="X1981" s="17" t="n"/>
      <c r="Y1981" s="13">
        <f>SUMPRODUCT(M1981:X1981,$M$2:$X$2)*$K1981*$L1981</f>
        <v/>
      </c>
      <c r="Z1981" s="14">
        <f>SUM(M1981:X1981)</f>
        <v/>
      </c>
      <c r="AA1981" s="14">
        <f>IFERROR(IF(UPPER($E1981)="L",SUMPRODUCT(M1981:X1981,$M$3:$X$3,$M$2:$X$2),SUMPRODUCT(M1981:X1981,$M$4:$X$4,$M$2:$X$2))/(Y1981/($K1981*$L1981)),"")</f>
        <v/>
      </c>
      <c r="AB1981" s="18" t="n"/>
    </row>
    <row r="1982">
      <c r="A1982" s="9" t="n">
        <v>592663</v>
      </c>
      <c r="B1982" s="9" t="inlineStr">
        <is>
          <t>J.T. Realmuto</t>
        </is>
      </c>
      <c r="C1982" s="9" t="inlineStr">
        <is>
          <t>PHI</t>
        </is>
      </c>
      <c r="D1982" s="9" t="n">
        <v>36</v>
      </c>
      <c r="E1982" s="16" t="inlineStr">
        <is>
          <t>R</t>
        </is>
      </c>
      <c r="F1982" s="16" t="n"/>
      <c r="G1982" s="9" t="n">
        <v>467</v>
      </c>
      <c r="H1982" s="9" t="n">
        <v>2532</v>
      </c>
      <c r="I1982" s="9" t="inlineStr">
        <is>
          <t>Full Time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7" t="n"/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/>
      <c r="Y1982" s="13">
        <f>SUMPRODUCT(M1982:X1982,$M$2:$X$2)*$K1982*$L1982</f>
        <v/>
      </c>
      <c r="Z1982" s="14">
        <f>SUM(M1982:X1982)</f>
        <v/>
      </c>
      <c r="AA1982" s="14">
        <f>IFERROR(IF(UPPER($E1982)="L",SUMPRODUCT(M1982:X1982,$M$3:$X$3,$M$2:$X$2),SUMPRODUCT(M1982:X1982,$M$4:$X$4,$M$2:$X$2))/(Y1982/($K1982*$L1982)),"")</f>
        <v/>
      </c>
      <c r="AB1982" s="18" t="n"/>
    </row>
    <row r="1983">
      <c r="A1983" s="9" t="n">
        <v>802469</v>
      </c>
      <c r="B1983" s="9" t="inlineStr">
        <is>
          <t>Travis Honeyman</t>
        </is>
      </c>
      <c r="C1983" s="9" t="inlineStr">
        <is>
          <t>STL</t>
        </is>
      </c>
      <c r="D1983" s="9" t="n">
        <v>25</v>
      </c>
      <c r="E1983" s="16" t="inlineStr">
        <is>
          <t>R</t>
        </is>
      </c>
      <c r="F1983" s="16" t="n"/>
      <c r="G1983" s="9" t="n">
        <v>103.7435897435897</v>
      </c>
      <c r="H1983" s="9" t="n">
        <v>103.7435897435897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7" t="n"/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/>
      <c r="Y1983" s="13">
        <f>SUMPRODUCT(M1983:X1983,$M$2:$X$2)*$K1983*$L1983</f>
        <v/>
      </c>
      <c r="Z1983" s="14">
        <f>SUM(M1983:X1983)</f>
        <v/>
      </c>
      <c r="AA1983" s="14">
        <f>IFERROR(IF(UPPER($E1983)="L",SUMPRODUCT(M1983:X1983,$M$3:$X$3,$M$2:$X$2),SUMPRODUCT(M1983:X1983,$M$4:$X$4,$M$2:$X$2))/(Y1983/($K1983*$L1983)),"")</f>
        <v/>
      </c>
      <c r="AB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n"/>
      <c r="G1984" s="9" t="n">
        <v>423</v>
      </c>
      <c r="H1984" s="9" t="n">
        <v>1447</v>
      </c>
      <c r="I1984" s="9" t="inlineStr">
        <is>
          <t>Full Time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7" t="n"/>
      <c r="N1984" s="17" t="n"/>
      <c r="O1984" s="17" t="n"/>
      <c r="P1984" s="17" t="n"/>
      <c r="Q1984" s="17" t="n"/>
      <c r="R1984" s="17" t="n"/>
      <c r="S1984" s="17" t="n"/>
      <c r="T1984" s="17" t="n"/>
      <c r="U1984" s="17" t="n"/>
      <c r="V1984" s="17" t="n"/>
      <c r="W1984" s="17" t="n"/>
      <c r="X1984" s="17" t="n"/>
      <c r="Y1984" s="13">
        <f>SUMPRODUCT(M1984:X1984,$M$2:$X$2)*$K1984*$L1984</f>
        <v/>
      </c>
      <c r="Z1984" s="14">
        <f>SUM(M1984:X1984)</f>
        <v/>
      </c>
      <c r="AA1984" s="14">
        <f>IFERROR(IF(UPPER($E1984)="L",SUMPRODUCT(M1984:X1984,$M$3:$X$3,$M$2:$X$2),SUMPRODUCT(M1984:X1984,$M$4:$X$4,$M$2:$X$2))/(Y1984/($K1984*$L1984)),"")</f>
        <v/>
      </c>
      <c r="AB1984" s="18" t="n"/>
    </row>
    <row r="1985">
      <c r="A1985" s="9" t="n">
        <v>814172</v>
      </c>
      <c r="B1985" s="9" t="inlineStr">
        <is>
          <t>Chase Jaworsky</t>
        </is>
      </c>
      <c r="C1985" s="9" t="inlineStr">
        <is>
          <t>MIA</t>
        </is>
      </c>
      <c r="D1985" s="9" t="n">
        <v>25</v>
      </c>
      <c r="E1985" s="16" t="inlineStr">
        <is>
          <t>L</t>
        </is>
      </c>
      <c r="F1985" s="16" t="n"/>
      <c r="G1985" s="9" t="n">
        <v>54.15384615384616</v>
      </c>
      <c r="H1985" s="9" t="n">
        <v>54.15384615384616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7" t="n"/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/>
      <c r="Y1985" s="13">
        <f>SUMPRODUCT(M1985:X1985,$M$2:$X$2)*$K1985*$L1985</f>
        <v/>
      </c>
      <c r="Z1985" s="14">
        <f>SUM(M1985:X1985)</f>
        <v/>
      </c>
      <c r="AA1985" s="14">
        <f>IFERROR(IF(UPPER($E1985)="L",SUMPRODUCT(M1985:X1985,$M$3:$X$3,$M$2:$X$2),SUMPRODUCT(M1985:X1985,$M$4:$X$4,$M$2:$X$2))/(Y1985/($K1985*$L1985)),"")</f>
        <v/>
      </c>
      <c r="AB1985" s="18" t="n"/>
    </row>
    <row r="1986">
      <c r="A1986" s="9" t="n">
        <v>692591</v>
      </c>
      <c r="B1986" s="9" t="inlineStr">
        <is>
          <t>Luis Mendez</t>
        </is>
      </c>
      <c r="C1986" s="9" t="inlineStr">
        <is>
          <t>COL</t>
        </is>
      </c>
      <c r="D1986" s="9" t="n">
        <v>25</v>
      </c>
      <c r="E1986" s="16" t="inlineStr">
        <is>
          <t>L</t>
        </is>
      </c>
      <c r="F1986" s="16" t="n"/>
      <c r="G1986" s="9" t="n">
        <v>31.38461538461538</v>
      </c>
      <c r="H1986" s="9" t="n">
        <v>31.38461538461538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7" t="n"/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/>
      <c r="Y1986" s="13">
        <f>SUMPRODUCT(M1986:X1986,$M$2:$X$2)*$K1986*$L1986</f>
        <v/>
      </c>
      <c r="Z1986" s="14">
        <f>SUM(M1986:X1986)</f>
        <v/>
      </c>
      <c r="AA1986" s="14">
        <f>IFERROR(IF(UPPER($E1986)="L",SUMPRODUCT(M1986:X1986,$M$3:$X$3,$M$2:$X$2),SUMPRODUCT(M1986:X1986,$M$4:$X$4,$M$2:$X$2))/(Y1986/($K1986*$L1986)),"")</f>
        <v/>
      </c>
      <c r="AB1986" s="18" t="n"/>
    </row>
    <row r="1987">
      <c r="A1987" s="9" t="n">
        <v>800683</v>
      </c>
      <c r="B1987" s="9" t="inlineStr">
        <is>
          <t>Blake Rambusch</t>
        </is>
      </c>
      <c r="C1987" s="9" t="inlineStr">
        <is>
          <t>SEA</t>
        </is>
      </c>
      <c r="D1987" s="9" t="n">
        <v>25</v>
      </c>
      <c r="E1987" s="16" t="inlineStr">
        <is>
          <t>R</t>
        </is>
      </c>
      <c r="F1987" s="16" t="n"/>
      <c r="G1987" s="9" t="n">
        <v>45.12820512820514</v>
      </c>
      <c r="H1987" s="9" t="n">
        <v>45.12820512820514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7" t="n"/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/>
      <c r="Y1987" s="13">
        <f>SUMPRODUCT(M1987:X1987,$M$2:$X$2)*$K1987*$L1987</f>
        <v/>
      </c>
      <c r="Z1987" s="14">
        <f>SUM(M1987:X1987)</f>
        <v/>
      </c>
      <c r="AA1987" s="14">
        <f>IFERROR(IF(UPPER($E1987)="L",SUMPRODUCT(M1987:X1987,$M$3:$X$3,$M$2:$X$2),SUMPRODUCT(M1987:X1987,$M$4:$X$4,$M$2:$X$2))/(Y1987/($K1987*$L1987)),"")</f>
        <v/>
      </c>
      <c r="AB1987" s="18" t="n"/>
    </row>
    <row r="1988">
      <c r="A1988" s="9" t="n">
        <v>800492</v>
      </c>
      <c r="B1988" s="9" t="inlineStr">
        <is>
          <t>Roni Cabrera</t>
        </is>
      </c>
      <c r="C1988" s="9" t="inlineStr">
        <is>
          <t>KC</t>
        </is>
      </c>
      <c r="D1988" s="9" t="n">
        <v>25</v>
      </c>
      <c r="E1988" s="16" t="inlineStr">
        <is>
          <t>R</t>
        </is>
      </c>
      <c r="F1988" s="16" t="n"/>
      <c r="G1988" s="9" t="n">
        <v>46.4</v>
      </c>
      <c r="H1988" s="9" t="n">
        <v>46.4</v>
      </c>
      <c r="I1988" s="9" t="inlineStr">
        <is>
          <t>Depth (no MLB PA)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7" t="n"/>
      <c r="N1988" s="17" t="n"/>
      <c r="O1988" s="17" t="n"/>
      <c r="P1988" s="17" t="n"/>
      <c r="Q1988" s="17" t="n"/>
      <c r="R1988" s="17" t="n"/>
      <c r="S1988" s="17" t="n"/>
      <c r="T1988" s="17" t="n"/>
      <c r="U1988" s="17" t="n"/>
      <c r="V1988" s="17" t="n"/>
      <c r="W1988" s="17" t="n"/>
      <c r="X1988" s="17" t="n"/>
      <c r="Y1988" s="13">
        <f>SUMPRODUCT(M1988:X1988,$M$2:$X$2)*$K1988*$L1988</f>
        <v/>
      </c>
      <c r="Z1988" s="14">
        <f>SUM(M1988:X1988)</f>
        <v/>
      </c>
      <c r="AA1988" s="14">
        <f>IFERROR(IF(UPPER($E1988)="L",SUMPRODUCT(M1988:X1988,$M$3:$X$3,$M$2:$X$2),SUMPRODUCT(M1988:X1988,$M$4:$X$4,$M$2:$X$2))/(Y1988/($K1988*$L1988)),"")</f>
        <v/>
      </c>
      <c r="AB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7" t="n"/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/>
      <c r="Y1989" s="13">
        <f>SUMPRODUCT(M1989:X1989,$M$2:$X$2)*$K1989*$L1989</f>
        <v/>
      </c>
      <c r="Z1989" s="14">
        <f>SUM(M1989:X1989)</f>
        <v/>
      </c>
      <c r="AA1989" s="14">
        <f>IFERROR(IF(UPPER($E1989)="L",SUMPRODUCT(M1989:X1989,$M$3:$X$3,$M$2:$X$2),SUMPRODUCT(M1989:X1989,$M$4:$X$4,$M$2:$X$2))/(Y1989/($K1989*$L1989)),"")</f>
        <v/>
      </c>
      <c r="AB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7" t="n"/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/>
      <c r="Y1990" s="13">
        <f>SUMPRODUCT(M1990:X1990,$M$2:$X$2)*$K1990*$L1990</f>
        <v/>
      </c>
      <c r="Z1990" s="14">
        <f>SUM(M1990:X1990)</f>
        <v/>
      </c>
      <c r="AA1990" s="14">
        <f>IFERROR(IF(UPPER($E1990)="L",SUMPRODUCT(M1990:X1990,$M$3:$X$3,$M$2:$X$2),SUMPRODUCT(M1990:X1990,$M$4:$X$4,$M$2:$X$2))/(Y1990/($K1990*$L1990)),"")</f>
        <v/>
      </c>
      <c r="AB1990" s="18" t="n"/>
    </row>
    <row r="1991">
      <c r="A1991" s="9" t="n">
        <v>695048</v>
      </c>
      <c r="B1991" s="9" t="inlineStr">
        <is>
          <t>Garret Guillemette</t>
        </is>
      </c>
      <c r="C1991" s="9" t="inlineStr">
        <is>
          <t>HOU</t>
        </is>
      </c>
      <c r="D1991" s="9" t="n">
        <v>25</v>
      </c>
      <c r="E1991" s="16" t="inlineStr">
        <is>
          <t>R</t>
        </is>
      </c>
      <c r="F1991" s="16" t="n"/>
      <c r="G1991" s="9" t="n">
        <v>42.87179487179488</v>
      </c>
      <c r="H1991" s="9" t="n">
        <v>42.87179487179488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7" t="n"/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/>
      <c r="Y1991" s="13">
        <f>SUMPRODUCT(M1991:X1991,$M$2:$X$2)*$K1991*$L1991</f>
        <v/>
      </c>
      <c r="Z1991" s="14">
        <f>SUM(M1991:X1991)</f>
        <v/>
      </c>
      <c r="AA1991" s="14">
        <f>IFERROR(IF(UPPER($E1991)="L",SUMPRODUCT(M1991:X1991,$M$3:$X$3,$M$2:$X$2),SUMPRODUCT(M1991:X1991,$M$4:$X$4,$M$2:$X$2))/(Y1991/($K1991*$L1991)),"")</f>
        <v/>
      </c>
      <c r="AB1991" s="18" t="n"/>
    </row>
    <row r="1992">
      <c r="A1992" s="9" t="n">
        <v>700795</v>
      </c>
      <c r="B1992" s="9" t="inlineStr">
        <is>
          <t>Mathieu Vallee</t>
        </is>
      </c>
      <c r="C1992" s="9" t="inlineStr">
        <is>
          <t>TOR</t>
        </is>
      </c>
      <c r="D1992" s="9" t="n">
        <v>25</v>
      </c>
      <c r="E1992" s="16" t="inlineStr">
        <is>
          <t>L</t>
        </is>
      </c>
      <c r="F1992" s="16" t="n"/>
      <c r="G1992" s="9" t="n">
        <v>27.64102564102564</v>
      </c>
      <c r="H1992" s="9" t="n">
        <v>27.64102564102564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7" t="n"/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/>
      <c r="Y1992" s="13">
        <f>SUMPRODUCT(M1992:X1992,$M$2:$X$2)*$K1992*$L1992</f>
        <v/>
      </c>
      <c r="Z1992" s="14">
        <f>SUM(M1992:X1992)</f>
        <v/>
      </c>
      <c r="AA1992" s="14">
        <f>IFERROR(IF(UPPER($E1992)="L",SUMPRODUCT(M1992:X1992,$M$3:$X$3,$M$2:$X$2),SUMPRODUCT(M1992:X1992,$M$4:$X$4,$M$2:$X$2))/(Y1992/($K1992*$L1992)),"")</f>
        <v/>
      </c>
      <c r="AB1992" s="18" t="n"/>
    </row>
    <row r="1993">
      <c r="A1993" s="9" t="n">
        <v>666194</v>
      </c>
      <c r="B1993" s="9" t="inlineStr">
        <is>
          <t>Cooper Johnson</t>
        </is>
      </c>
      <c r="C1993" s="9" t="inlineStr">
        <is>
          <t>TEX</t>
        </is>
      </c>
      <c r="D1993" s="9" t="n">
        <v>25</v>
      </c>
      <c r="E1993" s="16" t="inlineStr">
        <is>
          <t>R</t>
        </is>
      </c>
      <c r="F1993" s="16" t="n"/>
      <c r="G1993" s="9" t="n">
        <v>194.0512820512821</v>
      </c>
      <c r="H1993" s="9" t="n">
        <v>194.0512820512821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7" t="n"/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/>
      <c r="Y1993" s="13">
        <f>SUMPRODUCT(M1993:X1993,$M$2:$X$2)*$K1993*$L1993</f>
        <v/>
      </c>
      <c r="Z1993" s="14">
        <f>SUM(M1993:X1993)</f>
        <v/>
      </c>
      <c r="AA1993" s="14">
        <f>IFERROR(IF(UPPER($E1993)="L",SUMPRODUCT(M1993:X1993,$M$3:$X$3,$M$2:$X$2),SUMPRODUCT(M1993:X1993,$M$4:$X$4,$M$2:$X$2))/(Y1993/($K1993*$L1993)),"")</f>
        <v/>
      </c>
      <c r="AB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n"/>
      <c r="G1994" s="9" t="n">
        <v>3</v>
      </c>
      <c r="H1994" s="9" t="n">
        <v>3</v>
      </c>
      <c r="I1994" s="9" t="inlineStr">
        <is>
          <t>Depth (no MLB PA)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7" t="n"/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/>
      <c r="W1994" s="17" t="n"/>
      <c r="X1994" s="17" t="n"/>
      <c r="Y1994" s="13">
        <f>SUMPRODUCT(M1994:X1994,$M$2:$X$2)*$K1994*$L1994</f>
        <v/>
      </c>
      <c r="Z1994" s="14">
        <f>SUM(M1994:X1994)</f>
        <v/>
      </c>
      <c r="AA1994" s="14">
        <f>IFERROR(IF(UPPER($E1994)="L",SUMPRODUCT(M1994:X1994,$M$3:$X$3,$M$2:$X$2),SUMPRODUCT(M1994:X1994,$M$4:$X$4,$M$2:$X$2))/(Y1994/($K1994*$L1994)),"")</f>
        <v/>
      </c>
      <c r="AB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7" t="n"/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/>
      <c r="Y1995" s="13">
        <f>SUMPRODUCT(M1995:X1995,$M$2:$X$2)*$K1995*$L1995</f>
        <v/>
      </c>
      <c r="Z1995" s="14">
        <f>SUM(M1995:X1995)</f>
        <v/>
      </c>
      <c r="AA1995" s="14">
        <f>IFERROR(IF(UPPER($E1995)="L",SUMPRODUCT(M1995:X1995,$M$3:$X$3,$M$2:$X$2),SUMPRODUCT(M1995:X1995,$M$4:$X$4,$M$2:$X$2))/(Y1995/($K1995*$L1995)),"")</f>
        <v/>
      </c>
      <c r="AB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n"/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7" t="n"/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/>
      <c r="Y1996" s="13">
        <f>SUMPRODUCT(M1996:X1996,$M$2:$X$2)*$K1996*$L1996</f>
        <v/>
      </c>
      <c r="Z1996" s="14">
        <f>SUM(M1996:X1996)</f>
        <v/>
      </c>
      <c r="AA1996" s="14">
        <f>IFERROR(IF(UPPER($E1996)="L",SUMPRODUCT(M1996:X1996,$M$3:$X$3,$M$2:$X$2),SUMPRODUCT(M1996:X1996,$M$4:$X$4,$M$2:$X$2))/(Y1996/($K1996*$L1996)),"")</f>
        <v/>
      </c>
      <c r="AB1996" s="18" t="n"/>
    </row>
    <row r="1997">
      <c r="A1997" s="9" t="n">
        <v>800449</v>
      </c>
      <c r="B1997" s="9" t="inlineStr">
        <is>
          <t>Thomas Sosa</t>
        </is>
      </c>
      <c r="C1997" s="9" t="inlineStr">
        <is>
          <t>BAL</t>
        </is>
      </c>
      <c r="D1997" s="9" t="n">
        <v>25</v>
      </c>
      <c r="E1997" s="16" t="inlineStr">
        <is>
          <t>L</t>
        </is>
      </c>
      <c r="F1997" s="16" t="n"/>
      <c r="G1997" s="9" t="n">
        <v>156.8717948717949</v>
      </c>
      <c r="H1997" s="9" t="n">
        <v>156.8717948717949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7" t="n"/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/>
      <c r="Y1997" s="13">
        <f>SUMPRODUCT(M1997:X1997,$M$2:$X$2)*$K1997*$L1997</f>
        <v/>
      </c>
      <c r="Z1997" s="14">
        <f>SUM(M1997:X1997)</f>
        <v/>
      </c>
      <c r="AA1997" s="14">
        <f>IFERROR(IF(UPPER($E1997)="L",SUMPRODUCT(M1997:X1997,$M$3:$X$3,$M$2:$X$2),SUMPRODUCT(M1997:X1997,$M$4:$X$4,$M$2:$X$2))/(Y1997/($K1997*$L1997)),"")</f>
        <v/>
      </c>
      <c r="AB1997" s="18" t="n"/>
    </row>
    <row r="1998">
      <c r="A1998" s="9" t="n">
        <v>805865</v>
      </c>
      <c r="B1998" s="9" t="inlineStr">
        <is>
          <t>Guy Lipscomb</t>
        </is>
      </c>
      <c r="C1998" s="9" t="inlineStr">
        <is>
          <t>CLE</t>
        </is>
      </c>
      <c r="D1998" s="9" t="n">
        <v>25</v>
      </c>
      <c r="E1998" s="16" t="inlineStr">
        <is>
          <t>L</t>
        </is>
      </c>
      <c r="F1998" s="16" t="n"/>
      <c r="G1998" s="9" t="n">
        <v>27.64102564102564</v>
      </c>
      <c r="H1998" s="9" t="n">
        <v>27.64102564102564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7" t="n"/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/>
      <c r="Y1998" s="13">
        <f>SUMPRODUCT(M1998:X1998,$M$2:$X$2)*$K1998*$L1998</f>
        <v/>
      </c>
      <c r="Z1998" s="14">
        <f>SUM(M1998:X1998)</f>
        <v/>
      </c>
      <c r="AA1998" s="14">
        <f>IFERROR(IF(UPPER($E1998)="L",SUMPRODUCT(M1998:X1998,$M$3:$X$3,$M$2:$X$2),SUMPRODUCT(M1998:X1998,$M$4:$X$4,$M$2:$X$2))/(Y1998/($K1998*$L1998)),"")</f>
        <v/>
      </c>
      <c r="AB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7" t="n"/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/>
      <c r="Y1999" s="13">
        <f>SUMPRODUCT(M1999:X1999,$M$2:$X$2)*$K1999*$L1999</f>
        <v/>
      </c>
      <c r="Z1999" s="14">
        <f>SUM(M1999:X1999)</f>
        <v/>
      </c>
      <c r="AA1999" s="14">
        <f>IFERROR(IF(UPPER($E1999)="L",SUMPRODUCT(M1999:X1999,$M$3:$X$3,$M$2:$X$2),SUMPRODUCT(M1999:X1999,$M$4:$X$4,$M$2:$X$2))/(Y1999/($K1999*$L1999)),"")</f>
        <v/>
      </c>
      <c r="AB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7" t="n"/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/>
      <c r="Y2000" s="13">
        <f>SUMPRODUCT(M2000:X2000,$M$2:$X$2)*$K2000*$L2000</f>
        <v/>
      </c>
      <c r="Z2000" s="14">
        <f>SUM(M2000:X2000)</f>
        <v/>
      </c>
      <c r="AA2000" s="14">
        <f>IFERROR(IF(UPPER($E2000)="L",SUMPRODUCT(M2000:X2000,$M$3:$X$3,$M$2:$X$2),SUMPRODUCT(M2000:X2000,$M$4:$X$4,$M$2:$X$2))/(Y2000/($K2000*$L2000)),"")</f>
        <v/>
      </c>
      <c r="AB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7" t="n"/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/>
      <c r="Y2001" s="13">
        <f>SUMPRODUCT(M2001:X2001,$M$2:$X$2)*$K2001*$L2001</f>
        <v/>
      </c>
      <c r="Z2001" s="14">
        <f>SUM(M2001:X2001)</f>
        <v/>
      </c>
      <c r="AA2001" s="14">
        <f>IFERROR(IF(UPPER($E2001)="L",SUMPRODUCT(M2001:X2001,$M$3:$X$3,$M$2:$X$2),SUMPRODUCT(M2001:X2001,$M$4:$X$4,$M$2:$X$2))/(Y2001/($K2001*$L2001)),"")</f>
        <v/>
      </c>
      <c r="AB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7" t="n"/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/>
      <c r="Y2002" s="13">
        <f>SUMPRODUCT(M2002:X2002,$M$2:$X$2)*$K2002*$L2002</f>
        <v/>
      </c>
      <c r="Z2002" s="14">
        <f>SUM(M2002:X2002)</f>
        <v/>
      </c>
      <c r="AA2002" s="14">
        <f>IFERROR(IF(UPPER($E2002)="L",SUMPRODUCT(M2002:X2002,$M$3:$X$3,$M$2:$X$2),SUMPRODUCT(M2002:X2002,$M$4:$X$4,$M$2:$X$2))/(Y2002/($K2002*$L2002)),"")</f>
        <v/>
      </c>
      <c r="AB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25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Depth (no MLB PA)</t>
        </is>
      </c>
      <c r="J2003" s="16" t="inlineStr">
        <is>
          <t>Opening Day</t>
        </is>
      </c>
      <c r="K2003" s="11">
        <f>IFERROR(INDEX(Roles!$B$17:$B$20,MATCH(J2003,Roles!$A$17:$A$20,0)),1)</f>
        <v/>
      </c>
      <c r="L2003" s="17" t="n">
        <v>1</v>
      </c>
      <c r="M2003" s="17" t="n"/>
      <c r="N2003" s="17" t="n"/>
      <c r="O2003" s="17" t="n"/>
      <c r="P2003" s="17" t="n"/>
      <c r="Q2003" s="17" t="n"/>
      <c r="R2003" s="17" t="n"/>
      <c r="S2003" s="17" t="n"/>
      <c r="T2003" s="17" t="n"/>
      <c r="U2003" s="17" t="n"/>
      <c r="V2003" s="17" t="n"/>
      <c r="W2003" s="17" t="n"/>
      <c r="X2003" s="17" t="n"/>
      <c r="Y2003" s="13">
        <f>SUMPRODUCT(M2003:X2003,$M$2:$X$2)*$K2003*$L2003</f>
        <v/>
      </c>
      <c r="Z2003" s="14">
        <f>SUM(M2003:X2003)</f>
        <v/>
      </c>
      <c r="AA2003" s="14">
        <f>IFERROR(IF(UPPER($E2003)="L",SUMPRODUCT(M2003:X2003,$M$3:$X$3,$M$2:$X$2),SUMPRODUCT(M2003:X2003,$M$4:$X$4,$M$2:$X$2))/(Y2003/($K2003*$L2003)),"")</f>
        <v/>
      </c>
      <c r="AB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7" t="n"/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/>
      <c r="Y2004" s="13">
        <f>SUMPRODUCT(M2004:X2004,$M$2:$X$2)*$K2004*$L2004</f>
        <v/>
      </c>
      <c r="Z2004" s="14">
        <f>SUM(M2004:X2004)</f>
        <v/>
      </c>
      <c r="AA2004" s="14">
        <f>IFERROR(IF(UPPER($E2004)="L",SUMPRODUCT(M2004:X2004,$M$3:$X$3,$M$2:$X$2),SUMPRODUCT(M2004:X2004,$M$4:$X$4,$M$2:$X$2))/(Y2004/($K2004*$L2004)),"")</f>
        <v/>
      </c>
      <c r="AB2004" s="18" t="n"/>
    </row>
    <row r="2005">
      <c r="A2005" s="9" t="n">
        <v>702435</v>
      </c>
      <c r="B2005" s="9" t="inlineStr">
        <is>
          <t>Jhosmmel Zue</t>
        </is>
      </c>
      <c r="C2005" s="9" t="inlineStr">
        <is>
          <t>KC</t>
        </is>
      </c>
      <c r="D2005" s="9" t="n">
        <v>25</v>
      </c>
      <c r="E2005" s="16" t="inlineStr">
        <is>
          <t>R</t>
        </is>
      </c>
      <c r="F2005" s="16" t="n"/>
      <c r="G2005" s="9" t="n">
        <v>33.84615384615385</v>
      </c>
      <c r="H2005" s="9" t="n">
        <v>33.84615384615385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7" t="n"/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/>
      <c r="Y2005" s="13">
        <f>SUMPRODUCT(M2005:X2005,$M$2:$X$2)*$K2005*$L2005</f>
        <v/>
      </c>
      <c r="Z2005" s="14">
        <f>SUM(M2005:X2005)</f>
        <v/>
      </c>
      <c r="AA2005" s="14">
        <f>IFERROR(IF(UPPER($E2005)="L",SUMPRODUCT(M2005:X2005,$M$3:$X$3,$M$2:$X$2),SUMPRODUCT(M2005:X2005,$M$4:$X$4,$M$2:$X$2))/(Y2005/($K2005*$L2005)),"")</f>
        <v/>
      </c>
      <c r="AB2005" s="18" t="n"/>
    </row>
    <row r="2006">
      <c r="A2006" s="9" t="n">
        <v>669413</v>
      </c>
      <c r="B2006" s="9" t="inlineStr">
        <is>
          <t>Frainyer Chavez</t>
        </is>
      </c>
      <c r="C2006" s="9" t="inlineStr">
        <is>
          <t>TEX</t>
        </is>
      </c>
      <c r="D2006" s="9" t="n">
        <v>25</v>
      </c>
      <c r="E2006" s="16" t="inlineStr">
        <is>
          <t>S</t>
        </is>
      </c>
      <c r="F2006" s="16" t="n"/>
      <c r="G2006" s="9" t="n">
        <v>28.20512820512821</v>
      </c>
      <c r="H2006" s="9" t="n">
        <v>28.20512820512821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7" t="n"/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/>
      <c r="Y2006" s="13">
        <f>SUMPRODUCT(M2006:X2006,$M$2:$X$2)*$K2006*$L2006</f>
        <v/>
      </c>
      <c r="Z2006" s="14">
        <f>SUM(M2006:X2006)</f>
        <v/>
      </c>
      <c r="AA2006" s="14">
        <f>IFERROR(IF(UPPER($E2006)="L",SUMPRODUCT(M2006:X2006,$M$3:$X$3,$M$2:$X$2),SUMPRODUCT(M2006:X2006,$M$4:$X$4,$M$2:$X$2))/(Y2006/($K2006*$L2006)),"")</f>
        <v/>
      </c>
      <c r="AB2006" s="18" t="n"/>
    </row>
    <row r="2007">
      <c r="A2007" s="9" t="n">
        <v>701548</v>
      </c>
      <c r="B2007" s="9" t="inlineStr">
        <is>
          <t>Ali Camarillo</t>
        </is>
      </c>
      <c r="C2007" s="9" t="inlineStr">
        <is>
          <t>OAK</t>
        </is>
      </c>
      <c r="D2007" s="9" t="n">
        <v>25</v>
      </c>
      <c r="E2007" s="16" t="inlineStr">
        <is>
          <t>R</t>
        </is>
      </c>
      <c r="F2007" s="16" t="n"/>
      <c r="G2007" s="9" t="n">
        <v>38.05128205128205</v>
      </c>
      <c r="H2007" s="9" t="n">
        <v>38.05128205128205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7" t="n"/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/>
      <c r="Y2007" s="13">
        <f>SUMPRODUCT(M2007:X2007,$M$2:$X$2)*$K2007*$L2007</f>
        <v/>
      </c>
      <c r="Z2007" s="14">
        <f>SUM(M2007:X2007)</f>
        <v/>
      </c>
      <c r="AA2007" s="14">
        <f>IFERROR(IF(UPPER($E2007)="L",SUMPRODUCT(M2007:X2007,$M$3:$X$3,$M$2:$X$2),SUMPRODUCT(M2007:X2007,$M$4:$X$4,$M$2:$X$2))/(Y2007/($K2007*$L2007)),"")</f>
        <v/>
      </c>
      <c r="AB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25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Depth (no MLB PA)</t>
        </is>
      </c>
      <c r="J2008" s="16" t="inlineStr">
        <is>
          <t>Opening Day</t>
        </is>
      </c>
      <c r="K2008" s="11">
        <f>IFERROR(INDEX(Roles!$B$17:$B$20,MATCH(J2008,Roles!$A$17:$A$20,0)),1)</f>
        <v/>
      </c>
      <c r="L2008" s="17" t="n">
        <v>1</v>
      </c>
      <c r="M2008" s="17" t="n"/>
      <c r="N2008" s="17" t="n"/>
      <c r="O2008" s="17" t="n"/>
      <c r="P2008" s="17" t="n"/>
      <c r="Q2008" s="17" t="n"/>
      <c r="R2008" s="17" t="n"/>
      <c r="S2008" s="17" t="n"/>
      <c r="T2008" s="17" t="n"/>
      <c r="U2008" s="17" t="n"/>
      <c r="V2008" s="17" t="n"/>
      <c r="W2008" s="17" t="n"/>
      <c r="X2008" s="17" t="n"/>
      <c r="Y2008" s="13">
        <f>SUMPRODUCT(M2008:X2008,$M$2:$X$2)*$K2008*$L2008</f>
        <v/>
      </c>
      <c r="Z2008" s="14">
        <f>SUM(M2008:X2008)</f>
        <v/>
      </c>
      <c r="AA2008" s="14">
        <f>IFERROR(IF(UPPER($E2008)="L",SUMPRODUCT(M2008:X2008,$M$3:$X$3,$M$2:$X$2),SUMPRODUCT(M2008:X2008,$M$4:$X$4,$M$2:$X$2))/(Y2008/($K2008*$L2008)),"")</f>
        <v/>
      </c>
      <c r="AB2008" s="18" t="n"/>
    </row>
    <row r="2009">
      <c r="A2009" s="9" t="n">
        <v>806611</v>
      </c>
      <c r="B2009" s="9" t="inlineStr">
        <is>
          <t>Jancel Villarroel</t>
        </is>
      </c>
      <c r="C2009" s="9" t="inlineStr">
        <is>
          <t>SF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47.38461538461538</v>
      </c>
      <c r="H2009" s="9" t="n">
        <v>47.38461538461538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7" t="n"/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/>
      <c r="Y2009" s="13">
        <f>SUMPRODUCT(M2009:X2009,$M$2:$X$2)*$K2009*$L2009</f>
        <v/>
      </c>
      <c r="Z2009" s="14">
        <f>SUM(M2009:X2009)</f>
        <v/>
      </c>
      <c r="AA2009" s="14">
        <f>IFERROR(IF(UPPER($E2009)="L",SUMPRODUCT(M2009:X2009,$M$3:$X$3,$M$2:$X$2),SUMPRODUCT(M2009:X2009,$M$4:$X$4,$M$2:$X$2))/(Y2009/($K2009*$L2009)),"")</f>
        <v/>
      </c>
      <c r="AB2009" s="18" t="n"/>
    </row>
    <row r="2010">
      <c r="A2010" s="9" t="n">
        <v>681047</v>
      </c>
      <c r="B2010" s="9" t="inlineStr">
        <is>
          <t>Christian Franklin</t>
        </is>
      </c>
      <c r="C2010" s="9" t="inlineStr">
        <is>
          <t>BAL</t>
        </is>
      </c>
      <c r="D2010" s="9" t="n">
        <v>27</v>
      </c>
      <c r="E2010" s="16" t="inlineStr">
        <is>
          <t>R</t>
        </is>
      </c>
      <c r="F2010" s="16" t="n"/>
      <c r="G2010" s="9" t="n">
        <v>59</v>
      </c>
      <c r="H2010" s="9" t="n">
        <v>59</v>
      </c>
      <c r="I2010" s="9" t="inlineStr">
        <is>
          <t>Bench Bat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7" t="n"/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/>
      <c r="Y2010" s="13">
        <f>SUMPRODUCT(M2010:X2010,$M$2:$X$2)*$K2010*$L2010</f>
        <v/>
      </c>
      <c r="Z2010" s="14">
        <f>SUM(M2010:X2010)</f>
        <v/>
      </c>
      <c r="AA2010" s="14">
        <f>IFERROR(IF(UPPER($E2010)="L",SUMPRODUCT(M2010:X2010,$M$3:$X$3,$M$2:$X$2),SUMPRODUCT(M2010:X2010,$M$4:$X$4,$M$2:$X$2))/(Y2010/($K2010*$L2010)),"")</f>
        <v/>
      </c>
      <c r="AB2010" s="18" t="n"/>
    </row>
    <row r="2011">
      <c r="A2011" s="9" t="n">
        <v>683494</v>
      </c>
      <c r="B2011" s="9" t="inlineStr">
        <is>
          <t>Euribiel Angeles</t>
        </is>
      </c>
      <c r="C2011" s="9" t="inlineStr">
        <is>
          <t>OAK</t>
        </is>
      </c>
      <c r="D2011" s="9" t="n">
        <v>25</v>
      </c>
      <c r="E2011" s="16" t="inlineStr">
        <is>
          <t>R</t>
        </is>
      </c>
      <c r="F2011" s="16" t="n"/>
      <c r="G2011" s="9" t="n">
        <v>47.38461538461539</v>
      </c>
      <c r="H2011" s="9" t="n">
        <v>47.38461538461539</v>
      </c>
      <c r="I2011" s="9" t="inlineStr">
        <is>
          <t>Depth (no MLB PA)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7" t="n"/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/>
      <c r="W2011" s="17" t="n"/>
      <c r="X2011" s="17" t="n"/>
      <c r="Y2011" s="13">
        <f>SUMPRODUCT(M2011:X2011,$M$2:$X$2)*$K2011*$L2011</f>
        <v/>
      </c>
      <c r="Z2011" s="14">
        <f>SUM(M2011:X2011)</f>
        <v/>
      </c>
      <c r="AA2011" s="14">
        <f>IFERROR(IF(UPPER($E2011)="L",SUMPRODUCT(M2011:X2011,$M$3:$X$3,$M$2:$X$2),SUMPRODUCT(M2011:X2011,$M$4:$X$4,$M$2:$X$2))/(Y2011/($K2011*$L2011)),"")</f>
        <v/>
      </c>
      <c r="AB2011" s="18" t="n"/>
    </row>
    <row r="2012">
      <c r="A2012" s="9" t="n">
        <v>800176</v>
      </c>
      <c r="B2012" s="9" t="inlineStr">
        <is>
          <t>Carlos Sanchez</t>
        </is>
      </c>
      <c r="C2012" s="9" t="inlineStr">
        <is>
          <t>CIN</t>
        </is>
      </c>
      <c r="D2012" s="9" t="n">
        <v>25</v>
      </c>
      <c r="E2012" s="16" t="inlineStr">
        <is>
          <t>L</t>
        </is>
      </c>
      <c r="F2012" s="16" t="n"/>
      <c r="G2012" s="9" t="n">
        <v>91.17948717948715</v>
      </c>
      <c r="H2012" s="9" t="n">
        <v>91.17948717948715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7" t="n"/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/>
      <c r="Y2012" s="13">
        <f>SUMPRODUCT(M2012:X2012,$M$2:$X$2)*$K2012*$L2012</f>
        <v/>
      </c>
      <c r="Z2012" s="14">
        <f>SUM(M2012:X2012)</f>
        <v/>
      </c>
      <c r="AA2012" s="14">
        <f>IFERROR(IF(UPPER($E2012)="L",SUMPRODUCT(M2012:X2012,$M$3:$X$3,$M$2:$X$2),SUMPRODUCT(M2012:X2012,$M$4:$X$4,$M$2:$X$2))/(Y2012/($K2012*$L2012)),"")</f>
        <v/>
      </c>
      <c r="AB2012" s="18" t="n"/>
    </row>
    <row r="2013">
      <c r="A2013" s="9" t="n">
        <v>814410</v>
      </c>
      <c r="B2013" s="9" t="inlineStr">
        <is>
          <t>Jacob Humphrey</t>
        </is>
      </c>
      <c r="C2013" s="9" t="inlineStr">
        <is>
          <t>COL</t>
        </is>
      </c>
      <c r="D2013" s="9" t="n">
        <v>25</v>
      </c>
      <c r="E2013" s="16" t="inlineStr">
        <is>
          <t>R</t>
        </is>
      </c>
      <c r="F2013" s="16" t="n"/>
      <c r="G2013" s="9" t="n">
        <v>28.35897435897436</v>
      </c>
      <c r="H2013" s="9" t="n">
        <v>28.35897435897436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7" t="n"/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/>
      <c r="Y2013" s="13">
        <f>SUMPRODUCT(M2013:X2013,$M$2:$X$2)*$K2013*$L2013</f>
        <v/>
      </c>
      <c r="Z2013" s="14">
        <f>SUM(M2013:X2013)</f>
        <v/>
      </c>
      <c r="AA2013" s="14">
        <f>IFERROR(IF(UPPER($E2013)="L",SUMPRODUCT(M2013:X2013,$M$3:$X$3,$M$2:$X$2),SUMPRODUCT(M2013:X2013,$M$4:$X$4,$M$2:$X$2))/(Y2013/($K2013*$L2013)),"")</f>
        <v/>
      </c>
      <c r="AB2013" s="18" t="n"/>
    </row>
    <row r="2014">
      <c r="A2014" s="9" t="n">
        <v>806961</v>
      </c>
      <c r="B2014" s="9" t="inlineStr">
        <is>
          <t>Derniche Valdez</t>
        </is>
      </c>
      <c r="C2014" s="9" t="inlineStr">
        <is>
          <t>CHC</t>
        </is>
      </c>
      <c r="D2014" s="9" t="n">
        <v>25</v>
      </c>
      <c r="E2014" s="16" t="inlineStr">
        <is>
          <t>R</t>
        </is>
      </c>
      <c r="F2014" s="16" t="n"/>
      <c r="G2014" s="9" t="n">
        <v>50.83076923076923</v>
      </c>
      <c r="H2014" s="9" t="n">
        <v>50.83076923076923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7" t="n"/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/>
      <c r="Y2014" s="13">
        <f>SUMPRODUCT(M2014:X2014,$M$2:$X$2)*$K2014*$L2014</f>
        <v/>
      </c>
      <c r="Z2014" s="14">
        <f>SUM(M2014:X2014)</f>
        <v/>
      </c>
      <c r="AA2014" s="14">
        <f>IFERROR(IF(UPPER($E2014)="L",SUMPRODUCT(M2014:X2014,$M$3:$X$3,$M$2:$X$2),SUMPRODUCT(M2014:X2014,$M$4:$X$4,$M$2:$X$2))/(Y2014/($K2014*$L2014)),"")</f>
        <v/>
      </c>
      <c r="AB2014" s="18" t="n"/>
    </row>
    <row r="2015">
      <c r="A2015" s="9" t="n">
        <v>807007</v>
      </c>
      <c r="B2015" s="9" t="inlineStr">
        <is>
          <t>Jeremy Rodriguez</t>
        </is>
      </c>
      <c r="C2015" s="9" t="inlineStr">
        <is>
          <t>NYM</t>
        </is>
      </c>
      <c r="D2015" s="9" t="n">
        <v>25</v>
      </c>
      <c r="E2015" s="16" t="inlineStr">
        <is>
          <t>L</t>
        </is>
      </c>
      <c r="F2015" s="16" t="n"/>
      <c r="G2015" s="9" t="n">
        <v>27.81538461538462</v>
      </c>
      <c r="H2015" s="9" t="n">
        <v>27.81538461538462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7" t="n"/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/>
      <c r="Y2015" s="13">
        <f>SUMPRODUCT(M2015:X2015,$M$2:$X$2)*$K2015*$L2015</f>
        <v/>
      </c>
      <c r="Z2015" s="14">
        <f>SUM(M2015:X2015)</f>
        <v/>
      </c>
      <c r="AA2015" s="14">
        <f>IFERROR(IF(UPPER($E2015)="L",SUMPRODUCT(M2015:X2015,$M$3:$X$3,$M$2:$X$2),SUMPRODUCT(M2015:X2015,$M$4:$X$4,$M$2:$X$2))/(Y2015/($K2015*$L2015)),"")</f>
        <v/>
      </c>
      <c r="AB2015" s="18" t="n"/>
    </row>
    <row r="2016">
      <c r="A2016" s="9" t="n">
        <v>807239</v>
      </c>
      <c r="B2016" s="9" t="inlineStr">
        <is>
          <t>Bernard Moon</t>
        </is>
      </c>
      <c r="C2016" s="9" t="inlineStr">
        <is>
          <t>CIN</t>
        </is>
      </c>
      <c r="D2016" s="9" t="n">
        <v>25</v>
      </c>
      <c r="E2016" s="16" t="inlineStr">
        <is>
          <t>R</t>
        </is>
      </c>
      <c r="F2016" s="16" t="n"/>
      <c r="G2016" s="9" t="n">
        <v>51.07692307692307</v>
      </c>
      <c r="H2016" s="9" t="n">
        <v>51.07692307692307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7" t="n"/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/>
      <c r="Y2016" s="13">
        <f>SUMPRODUCT(M2016:X2016,$M$2:$X$2)*$K2016*$L2016</f>
        <v/>
      </c>
      <c r="Z2016" s="14">
        <f>SUM(M2016:X2016)</f>
        <v/>
      </c>
      <c r="AA2016" s="14">
        <f>IFERROR(IF(UPPER($E2016)="L",SUMPRODUCT(M2016:X2016,$M$3:$X$3,$M$2:$X$2),SUMPRODUCT(M2016:X2016,$M$4:$X$4,$M$2:$X$2))/(Y2016/($K2016*$L2016)),"")</f>
        <v/>
      </c>
      <c r="AB2016" s="18" t="n"/>
    </row>
    <row r="2017">
      <c r="A2017" s="9" t="n">
        <v>680814</v>
      </c>
      <c r="B2017" s="9" t="inlineStr">
        <is>
          <t>Peyton Burdick</t>
        </is>
      </c>
      <c r="C2017" s="9" t="inlineStr">
        <is>
          <t>MIA</t>
        </is>
      </c>
      <c r="D2017" s="9" t="n">
        <v>30</v>
      </c>
      <c r="E2017" s="16" t="inlineStr">
        <is>
          <t>R</t>
        </is>
      </c>
      <c r="F2017" s="16" t="n"/>
      <c r="G2017" s="9" t="n">
        <v>37</v>
      </c>
      <c r="H2017" s="9" t="n">
        <v>139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7" t="n"/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/>
      <c r="Y2017" s="13">
        <f>SUMPRODUCT(M2017:X2017,$M$2:$X$2)*$K2017*$L2017</f>
        <v/>
      </c>
      <c r="Z2017" s="14">
        <f>SUM(M2017:X2017)</f>
        <v/>
      </c>
      <c r="AA2017" s="14">
        <f>IFERROR(IF(UPPER($E2017)="L",SUMPRODUCT(M2017:X2017,$M$3:$X$3,$M$2:$X$2),SUMPRODUCT(M2017:X2017,$M$4:$X$4,$M$2:$X$2))/(Y2017/($K2017*$L2017)),"")</f>
        <v/>
      </c>
      <c r="AB2017" s="18" t="n"/>
    </row>
    <row r="2018">
      <c r="A2018" s="9" t="n">
        <v>688449</v>
      </c>
      <c r="B2018" s="9" t="inlineStr">
        <is>
          <t>TT Bowens</t>
        </is>
      </c>
      <c r="C2018" s="9" t="inlineStr">
        <is>
          <t>NYM</t>
        </is>
      </c>
      <c r="D2018" s="9" t="n">
        <v>25</v>
      </c>
      <c r="E2018" s="16" t="inlineStr">
        <is>
          <t>R</t>
        </is>
      </c>
      <c r="F2018" s="16" t="n"/>
      <c r="G2018" s="9" t="n">
        <v>35.53846153846154</v>
      </c>
      <c r="H2018" s="9" t="n">
        <v>35.53846153846154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7" t="n"/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/>
      <c r="Y2018" s="13">
        <f>SUMPRODUCT(M2018:X2018,$M$2:$X$2)*$K2018*$L2018</f>
        <v/>
      </c>
      <c r="Z2018" s="14">
        <f>SUM(M2018:X2018)</f>
        <v/>
      </c>
      <c r="AA2018" s="14">
        <f>IFERROR(IF(UPPER($E2018)="L",SUMPRODUCT(M2018:X2018,$M$3:$X$3,$M$2:$X$2),SUMPRODUCT(M2018:X2018,$M$4:$X$4,$M$2:$X$2))/(Y2018/($K2018*$L2018)),"")</f>
        <v/>
      </c>
      <c r="AB2018" s="18" t="n"/>
    </row>
    <row r="2019">
      <c r="A2019" s="9" t="n">
        <v>807994</v>
      </c>
      <c r="B2019" s="9" t="inlineStr">
        <is>
          <t>Jeremy Ciriaco</t>
        </is>
      </c>
      <c r="C2019" s="9" t="inlineStr">
        <is>
          <t>COL</t>
        </is>
      </c>
      <c r="D2019" s="9" t="n">
        <v>25</v>
      </c>
      <c r="E2019" s="16" t="inlineStr">
        <is>
          <t>R</t>
        </is>
      </c>
      <c r="F2019" s="16" t="n"/>
      <c r="G2019" s="9" t="n">
        <v>32.12307692307692</v>
      </c>
      <c r="H2019" s="9" t="n">
        <v>32.12307692307692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7" t="n"/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/>
      <c r="Y2019" s="13">
        <f>SUMPRODUCT(M2019:X2019,$M$2:$X$2)*$K2019*$L2019</f>
        <v/>
      </c>
      <c r="Z2019" s="14">
        <f>SUM(M2019:X2019)</f>
        <v/>
      </c>
      <c r="AA2019" s="14">
        <f>IFERROR(IF(UPPER($E2019)="L",SUMPRODUCT(M2019:X2019,$M$3:$X$3,$M$2:$X$2),SUMPRODUCT(M2019:X2019,$M$4:$X$4,$M$2:$X$2))/(Y2019/($K2019*$L2019)),"")</f>
        <v/>
      </c>
      <c r="AB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7" t="n"/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/>
      <c r="Y2020" s="13">
        <f>SUMPRODUCT(M2020:X2020,$M$2:$X$2)*$K2020*$L2020</f>
        <v/>
      </c>
      <c r="Z2020" s="14">
        <f>SUM(M2020:X2020)</f>
        <v/>
      </c>
      <c r="AA2020" s="14">
        <f>IFERROR(IF(UPPER($E2020)="L",SUMPRODUCT(M2020:X2020,$M$3:$X$3,$M$2:$X$2),SUMPRODUCT(M2020:X2020,$M$4:$X$4,$M$2:$X$2))/(Y2020/($K2020*$L2020)),"")</f>
        <v/>
      </c>
      <c r="AB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7" t="n"/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/>
      <c r="Y2021" s="13">
        <f>SUMPRODUCT(M2021:X2021,$M$2:$X$2)*$K2021*$L2021</f>
        <v/>
      </c>
      <c r="Z2021" s="14">
        <f>SUM(M2021:X2021)</f>
        <v/>
      </c>
      <c r="AA2021" s="14">
        <f>IFERROR(IF(UPPER($E2021)="L",SUMPRODUCT(M2021:X2021,$M$3:$X$3,$M$2:$X$2),SUMPRODUCT(M2021:X2021,$M$4:$X$4,$M$2:$X$2))/(Y2021/($K2021*$L2021)),"")</f>
        <v/>
      </c>
      <c r="AB2021" s="18" t="n"/>
    </row>
    <row r="2022">
      <c r="A2022" s="9" t="n">
        <v>692150</v>
      </c>
      <c r="B2022" s="9" t="inlineStr">
        <is>
          <t>Émilien Pitre</t>
        </is>
      </c>
      <c r="C2022" s="9" t="inlineStr">
        <is>
          <t>NYM</t>
        </is>
      </c>
      <c r="D2022" s="9" t="n">
        <v>25</v>
      </c>
      <c r="E2022" s="16" t="inlineStr">
        <is>
          <t>L</t>
        </is>
      </c>
      <c r="F2022" s="16" t="n"/>
      <c r="G2022" s="9" t="n">
        <v>46.25641025641026</v>
      </c>
      <c r="H2022" s="9" t="n">
        <v>46.25641025641026</v>
      </c>
      <c r="I2022" s="9" t="inlineStr">
        <is>
          <t>Depth (no MLB PA)</t>
        </is>
      </c>
      <c r="J2022" s="16" t="inlineStr">
        <is>
          <t>Opening Day</t>
        </is>
      </c>
      <c r="K2022" s="11">
        <f>IFERROR(INDEX(Roles!$B$17:$B$20,MATCH(J2022,Roles!$A$17:$A$20,0)),1)</f>
        <v/>
      </c>
      <c r="L2022" s="17" t="n">
        <v>1</v>
      </c>
      <c r="M2022" s="17" t="n"/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/>
      <c r="Y2022" s="13">
        <f>SUMPRODUCT(M2022:X2022,$M$2:$X$2)*$K2022*$L2022</f>
        <v/>
      </c>
      <c r="Z2022" s="14">
        <f>SUM(M2022:X2022)</f>
        <v/>
      </c>
      <c r="AA2022" s="14">
        <f>IFERROR(IF(UPPER($E2022)="L",SUMPRODUCT(M2022:X2022,$M$3:$X$3,$M$2:$X$2),SUMPRODUCT(M2022:X2022,$M$4:$X$4,$M$2:$X$2))/(Y2022/($K2022*$L2022)),"")</f>
        <v/>
      </c>
      <c r="AB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7" t="n"/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/>
      <c r="Y2023" s="13">
        <f>SUMPRODUCT(M2023:X2023,$M$2:$X$2)*$K2023*$L2023</f>
        <v/>
      </c>
      <c r="Z2023" s="14">
        <f>SUM(M2023:X2023)</f>
        <v/>
      </c>
      <c r="AA2023" s="14">
        <f>IFERROR(IF(UPPER($E2023)="L",SUMPRODUCT(M2023:X2023,$M$3:$X$3,$M$2:$X$2),SUMPRODUCT(M2023:X2023,$M$4:$X$4,$M$2:$X$2))/(Y2023/($K2023*$L2023)),"")</f>
        <v/>
      </c>
      <c r="AB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25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Opening Day</t>
        </is>
      </c>
      <c r="K2024" s="11">
        <f>IFERROR(INDEX(Roles!$B$17:$B$20,MATCH(J2024,Roles!$A$17:$A$20,0)),1)</f>
        <v/>
      </c>
      <c r="L2024" s="17" t="n">
        <v>1</v>
      </c>
      <c r="M2024" s="17" t="n"/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/>
      <c r="Y2024" s="13">
        <f>SUMPRODUCT(M2024:X2024,$M$2:$X$2)*$K2024*$L2024</f>
        <v/>
      </c>
      <c r="Z2024" s="14">
        <f>SUM(M2024:X2024)</f>
        <v/>
      </c>
      <c r="AA2024" s="14">
        <f>IFERROR(IF(UPPER($E2024)="L",SUMPRODUCT(M2024:X2024,$M$3:$X$3,$M$2:$X$2),SUMPRODUCT(M2024:X2024,$M$4:$X$4,$M$2:$X$2))/(Y2024/($K2024*$L2024)),"")</f>
        <v/>
      </c>
      <c r="AB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7" t="n"/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/>
      <c r="Y2025" s="13">
        <f>SUMPRODUCT(M2025:X2025,$M$2:$X$2)*$K2025*$L2025</f>
        <v/>
      </c>
      <c r="Z2025" s="14">
        <f>SUM(M2025:X2025)</f>
        <v/>
      </c>
      <c r="AA2025" s="14">
        <f>IFERROR(IF(UPPER($E2025)="L",SUMPRODUCT(M2025:X2025,$M$3:$X$3,$M$2:$X$2),SUMPRODUCT(M2025:X2025,$M$4:$X$4,$M$2:$X$2))/(Y2025/($K2025*$L2025)),"")</f>
        <v/>
      </c>
      <c r="AB2025" s="18" t="n"/>
    </row>
    <row r="2026">
      <c r="A2026" s="9" t="n">
        <v>805168</v>
      </c>
      <c r="B2026" s="9" t="inlineStr">
        <is>
          <t>Alejandro Nuñez</t>
        </is>
      </c>
      <c r="C2026" s="9" t="inlineStr">
        <is>
          <t>HOU</t>
        </is>
      </c>
      <c r="D2026" s="9" t="n">
        <v>25</v>
      </c>
      <c r="E2026" s="16" t="inlineStr">
        <is>
          <t>L</t>
        </is>
      </c>
      <c r="F2026" s="16" t="n"/>
      <c r="G2026" s="9" t="n">
        <v>47.74358974358974</v>
      </c>
      <c r="H2026" s="9" t="n">
        <v>47.74358974358974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7" t="n"/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/>
      <c r="Y2026" s="13">
        <f>SUMPRODUCT(M2026:X2026,$M$2:$X$2)*$K2026*$L2026</f>
        <v/>
      </c>
      <c r="Z2026" s="14">
        <f>SUM(M2026:X2026)</f>
        <v/>
      </c>
      <c r="AA2026" s="14">
        <f>IFERROR(IF(UPPER($E2026)="L",SUMPRODUCT(M2026:X2026,$M$3:$X$3,$M$2:$X$2),SUMPRODUCT(M2026:X2026,$M$4:$X$4,$M$2:$X$2))/(Y2026/($K2026*$L2026)),"")</f>
        <v/>
      </c>
      <c r="AB2026" s="18" t="n"/>
    </row>
    <row r="2027">
      <c r="A2027" s="9" t="n">
        <v>702495</v>
      </c>
      <c r="B2027" s="9" t="inlineStr">
        <is>
          <t>Josh Tate</t>
        </is>
      </c>
      <c r="C2027" s="9" t="inlineStr">
        <is>
          <t>PIT</t>
        </is>
      </c>
      <c r="D2027" s="9" t="n">
        <v>25</v>
      </c>
      <c r="E2027" s="16" t="inlineStr">
        <is>
          <t>R</t>
        </is>
      </c>
      <c r="F2027" s="16" t="n"/>
      <c r="G2027" s="9" t="n">
        <v>46.56410256410257</v>
      </c>
      <c r="H2027" s="9" t="n">
        <v>46.56410256410257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7" t="n"/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/>
      <c r="Y2027" s="13">
        <f>SUMPRODUCT(M2027:X2027,$M$2:$X$2)*$K2027*$L2027</f>
        <v/>
      </c>
      <c r="Z2027" s="14">
        <f>SUM(M2027:X2027)</f>
        <v/>
      </c>
      <c r="AA2027" s="14">
        <f>IFERROR(IF(UPPER($E2027)="L",SUMPRODUCT(M2027:X2027,$M$3:$X$3,$M$2:$X$2),SUMPRODUCT(M2027:X2027,$M$4:$X$4,$M$2:$X$2))/(Y2027/($K2027*$L2027)),"")</f>
        <v/>
      </c>
      <c r="AB2027" s="18" t="n"/>
    </row>
    <row r="2028">
      <c r="A2028" s="9" t="n">
        <v>823759</v>
      </c>
      <c r="B2028" s="9" t="inlineStr">
        <is>
          <t>Eric Genther</t>
        </is>
      </c>
      <c r="C2028" s="9" t="inlineStr">
        <is>
          <t>NYY</t>
        </is>
      </c>
      <c r="D2028" s="9" t="n">
        <v>25</v>
      </c>
      <c r="E2028" s="16" t="inlineStr">
        <is>
          <t>L</t>
        </is>
      </c>
      <c r="F2028" s="16" t="n"/>
      <c r="G2028" s="9" t="n">
        <v>93.33333333333334</v>
      </c>
      <c r="H2028" s="9" t="n">
        <v>93.33333333333334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7" t="n"/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/>
      <c r="Y2028" s="13">
        <f>SUMPRODUCT(M2028:X2028,$M$2:$X$2)*$K2028*$L2028</f>
        <v/>
      </c>
      <c r="Z2028" s="14">
        <f>SUM(M2028:X2028)</f>
        <v/>
      </c>
      <c r="AA2028" s="14">
        <f>IFERROR(IF(UPPER($E2028)="L",SUMPRODUCT(M2028:X2028,$M$3:$X$3,$M$2:$X$2),SUMPRODUCT(M2028:X2028,$M$4:$X$4,$M$2:$X$2))/(Y2028/($K2028*$L2028)),"")</f>
        <v/>
      </c>
      <c r="AB2028" s="18" t="n"/>
    </row>
    <row r="2029">
      <c r="A2029" s="9" t="n">
        <v>811718</v>
      </c>
      <c r="B2029" s="9" t="inlineStr">
        <is>
          <t>Josh Wakefield</t>
        </is>
      </c>
      <c r="C2029" s="9" t="inlineStr">
        <is>
          <t>HOU</t>
        </is>
      </c>
      <c r="D2029" s="9" t="n">
        <v>25</v>
      </c>
      <c r="E2029" s="16" t="inlineStr">
        <is>
          <t>L</t>
        </is>
      </c>
      <c r="F2029" s="16" t="n"/>
      <c r="G2029" s="9" t="n">
        <v>38.03076923076923</v>
      </c>
      <c r="H2029" s="9" t="n">
        <v>38.03076923076923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7" t="n"/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/>
      <c r="Y2029" s="13">
        <f>SUMPRODUCT(M2029:X2029,$M$2:$X$2)*$K2029*$L2029</f>
        <v/>
      </c>
      <c r="Z2029" s="14">
        <f>SUM(M2029:X2029)</f>
        <v/>
      </c>
      <c r="AA2029" s="14">
        <f>IFERROR(IF(UPPER($E2029)="L",SUMPRODUCT(M2029:X2029,$M$3:$X$3,$M$2:$X$2),SUMPRODUCT(M2029:X2029,$M$4:$X$4,$M$2:$X$2))/(Y2029/($K2029*$L2029)),"")</f>
        <v/>
      </c>
      <c r="AB2029" s="18" t="n"/>
    </row>
    <row r="2030">
      <c r="A2030" s="9" t="n">
        <v>814696</v>
      </c>
      <c r="B2030" s="9" t="inlineStr">
        <is>
          <t>Jaron Elkins</t>
        </is>
      </c>
      <c r="C2030" s="9" t="inlineStr">
        <is>
          <t>LAD</t>
        </is>
      </c>
      <c r="D2030" s="9" t="n">
        <v>25</v>
      </c>
      <c r="E2030" s="16" t="inlineStr">
        <is>
          <t>R</t>
        </is>
      </c>
      <c r="F2030" s="16" t="n"/>
      <c r="G2030" s="9" t="n">
        <v>28.30769230769231</v>
      </c>
      <c r="H2030" s="9" t="n">
        <v>28.30769230769231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7" t="n"/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/>
      <c r="Y2030" s="13">
        <f>SUMPRODUCT(M2030:X2030,$M$2:$X$2)*$K2030*$L2030</f>
        <v/>
      </c>
      <c r="Z2030" s="14">
        <f>SUM(M2030:X2030)</f>
        <v/>
      </c>
      <c r="AA2030" s="14">
        <f>IFERROR(IF(UPPER($E2030)="L",SUMPRODUCT(M2030:X2030,$M$3:$X$3,$M$2:$X$2),SUMPRODUCT(M2030:X2030,$M$4:$X$4,$M$2:$X$2))/(Y2030/($K2030*$L2030)),"")</f>
        <v/>
      </c>
      <c r="AB2030" s="18" t="n"/>
    </row>
    <row r="2031">
      <c r="A2031" s="9" t="n">
        <v>621512</v>
      </c>
      <c r="B2031" s="9" t="inlineStr">
        <is>
          <t>Tomás Nido</t>
        </is>
      </c>
      <c r="C2031" s="9" t="inlineStr">
        <is>
          <t>DET</t>
        </is>
      </c>
      <c r="D2031" s="9" t="n">
        <v>33</v>
      </c>
      <c r="E2031" s="16" t="inlineStr">
        <is>
          <t>R</t>
        </is>
      </c>
      <c r="F2031" s="16" t="n"/>
      <c r="G2031" s="9" t="n">
        <v>37</v>
      </c>
      <c r="H2031" s="9" t="n">
        <v>551</v>
      </c>
      <c r="I2031" s="9" t="inlineStr">
        <is>
          <t>Bench Bat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7" t="n"/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/>
      <c r="Y2031" s="13">
        <f>SUMPRODUCT(M2031:X2031,$M$2:$X$2)*$K2031*$L2031</f>
        <v/>
      </c>
      <c r="Z2031" s="14">
        <f>SUM(M2031:X2031)</f>
        <v/>
      </c>
      <c r="AA2031" s="14">
        <f>IFERROR(IF(UPPER($E2031)="L",SUMPRODUCT(M2031:X2031,$M$3:$X$3,$M$2:$X$2),SUMPRODUCT(M2031:X2031,$M$4:$X$4,$M$2:$X$2))/(Y2031/($K2031*$L2031)),"")</f>
        <v/>
      </c>
      <c r="AB2031" s="18" t="n"/>
    </row>
    <row r="2032">
      <c r="A2032" s="9" t="n">
        <v>834404</v>
      </c>
      <c r="B2032" s="9" t="inlineStr">
        <is>
          <t>Jake Cook</t>
        </is>
      </c>
      <c r="C2032" s="9" t="inlineStr">
        <is>
          <t>TOR</t>
        </is>
      </c>
      <c r="D2032" s="9" t="n">
        <v>25</v>
      </c>
      <c r="E2032" s="16" t="inlineStr">
        <is>
          <t>L</t>
        </is>
      </c>
      <c r="F2032" s="16" t="n"/>
      <c r="G2032" s="9" t="n">
        <v>39.26153846153846</v>
      </c>
      <c r="H2032" s="9" t="n">
        <v>39.26153846153846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7" t="n"/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/>
      <c r="Y2032" s="13">
        <f>SUMPRODUCT(M2032:X2032,$M$2:$X$2)*$K2032*$L2032</f>
        <v/>
      </c>
      <c r="Z2032" s="14">
        <f>SUM(M2032:X2032)</f>
        <v/>
      </c>
      <c r="AA2032" s="14">
        <f>IFERROR(IF(UPPER($E2032)="L",SUMPRODUCT(M2032:X2032,$M$3:$X$3,$M$2:$X$2),SUMPRODUCT(M2032:X2032,$M$4:$X$4,$M$2:$X$2))/(Y2032/($K2032*$L2032)),"")</f>
        <v/>
      </c>
      <c r="AB2032" s="18" t="n"/>
    </row>
    <row r="2033">
      <c r="A2033" s="9" t="n">
        <v>808338</v>
      </c>
      <c r="B2033" s="9" t="inlineStr">
        <is>
          <t>Pedro Ibarguen</t>
        </is>
      </c>
      <c r="C2033" s="9" t="inlineStr">
        <is>
          <t>MIL</t>
        </is>
      </c>
      <c r="D2033" s="9" t="n">
        <v>25</v>
      </c>
      <c r="E2033" s="16" t="inlineStr">
        <is>
          <t>R</t>
        </is>
      </c>
      <c r="F2033" s="16" t="n"/>
      <c r="G2033" s="9" t="n">
        <v>39.99999999999999</v>
      </c>
      <c r="H2033" s="9" t="n">
        <v>39.99999999999999</v>
      </c>
      <c r="I2033" s="9" t="inlineStr">
        <is>
          <t>Depth (no MLB PA)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7" t="n"/>
      <c r="N2033" s="17" t="n"/>
      <c r="O2033" s="17" t="n"/>
      <c r="P2033" s="17" t="n"/>
      <c r="Q2033" s="17" t="n"/>
      <c r="R2033" s="17" t="n"/>
      <c r="S2033" s="17" t="n"/>
      <c r="T2033" s="17" t="n"/>
      <c r="U2033" s="17" t="n"/>
      <c r="V2033" s="17" t="n"/>
      <c r="W2033" s="17" t="n"/>
      <c r="X2033" s="17" t="n"/>
      <c r="Y2033" s="13">
        <f>SUMPRODUCT(M2033:X2033,$M$2:$X$2)*$K2033*$L2033</f>
        <v/>
      </c>
      <c r="Z2033" s="14">
        <f>SUM(M2033:X2033)</f>
        <v/>
      </c>
      <c r="AA2033" s="14">
        <f>IFERROR(IF(UPPER($E2033)="L",SUMPRODUCT(M2033:X2033,$M$3:$X$3,$M$2:$X$2),SUMPRODUCT(M2033:X2033,$M$4:$X$4,$M$2:$X$2))/(Y2033/($K2033*$L2033)),"")</f>
        <v/>
      </c>
      <c r="AB2033" s="18" t="n"/>
    </row>
    <row r="2034">
      <c r="A2034" s="9" t="n">
        <v>801464</v>
      </c>
      <c r="B2034" s="9" t="inlineStr">
        <is>
          <t>Andrew Pintar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199.1282051282052</v>
      </c>
      <c r="H2034" s="9" t="n">
        <v>199.1282051282052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7" t="n"/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/>
      <c r="Y2034" s="13">
        <f>SUMPRODUCT(M2034:X2034,$M$2:$X$2)*$K2034*$L2034</f>
        <v/>
      </c>
      <c r="Z2034" s="14">
        <f>SUM(M2034:X2034)</f>
        <v/>
      </c>
      <c r="AA2034" s="14">
        <f>IFERROR(IF(UPPER($E2034)="L",SUMPRODUCT(M2034:X2034,$M$3:$X$3,$M$2:$X$2),SUMPRODUCT(M2034:X2034,$M$4:$X$4,$M$2:$X$2))/(Y2034/($K2034*$L2034)),"")</f>
        <v/>
      </c>
      <c r="AB2034" s="18" t="n"/>
    </row>
    <row r="2035">
      <c r="A2035" s="9" t="n">
        <v>829854</v>
      </c>
      <c r="B2035" s="9" t="inlineStr">
        <is>
          <t>Luis Arana</t>
        </is>
      </c>
      <c r="C2035" s="9" t="inlineStr">
        <is>
          <t>MIA</t>
        </is>
      </c>
      <c r="D2035" s="9" t="n">
        <v>25</v>
      </c>
      <c r="E2035" s="16" t="inlineStr">
        <is>
          <t>R</t>
        </is>
      </c>
      <c r="F2035" s="16" t="n"/>
      <c r="G2035" s="9" t="n">
        <v>33.84615384615385</v>
      </c>
      <c r="H2035" s="9" t="n">
        <v>33.84615384615385</v>
      </c>
      <c r="I2035" s="9" t="inlineStr">
        <is>
          <t>Depth (no MLB PA)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7" t="n"/>
      <c r="N2035" s="17" t="n"/>
      <c r="O2035" s="17" t="n"/>
      <c r="P2035" s="17" t="n"/>
      <c r="Q2035" s="17" t="n"/>
      <c r="R2035" s="17" t="n"/>
      <c r="S2035" s="17" t="n"/>
      <c r="T2035" s="17" t="n"/>
      <c r="U2035" s="17" t="n"/>
      <c r="V2035" s="17" t="n"/>
      <c r="W2035" s="17" t="n"/>
      <c r="X2035" s="17" t="n"/>
      <c r="Y2035" s="13">
        <f>SUMPRODUCT(M2035:X2035,$M$2:$X$2)*$K2035*$L2035</f>
        <v/>
      </c>
      <c r="Z2035" s="14">
        <f>SUM(M2035:X2035)</f>
        <v/>
      </c>
      <c r="AA2035" s="14">
        <f>IFERROR(IF(UPPER($E2035)="L",SUMPRODUCT(M2035:X2035,$M$3:$X$3,$M$2:$X$2),SUMPRODUCT(M2035:X2035,$M$4:$X$4,$M$2:$X$2))/(Y2035/($K2035*$L2035)),"")</f>
        <v/>
      </c>
      <c r="AB2035" s="18" t="n"/>
    </row>
    <row r="2036">
      <c r="A2036" s="9" t="n">
        <v>596103</v>
      </c>
      <c r="B2036" s="9" t="inlineStr">
        <is>
          <t>Austin Slater</t>
        </is>
      </c>
      <c r="C2036" s="9" t="inlineStr">
        <is>
          <t>TB</t>
        </is>
      </c>
      <c r="D2036" s="9" t="n">
        <v>34</v>
      </c>
      <c r="E2036" s="16" t="inlineStr">
        <is>
          <t>R</t>
        </is>
      </c>
      <c r="F2036" s="16" t="n"/>
      <c r="G2036" s="9" t="n">
        <v>74</v>
      </c>
      <c r="H2036" s="9" t="n">
        <v>978</v>
      </c>
      <c r="I2036" s="9" t="inlineStr">
        <is>
          <t>Bench Bat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7" t="n"/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/>
      <c r="Y2036" s="13">
        <f>SUMPRODUCT(M2036:X2036,$M$2:$X$2)*$K2036*$L2036</f>
        <v/>
      </c>
      <c r="Z2036" s="14">
        <f>SUM(M2036:X2036)</f>
        <v/>
      </c>
      <c r="AA2036" s="14">
        <f>IFERROR(IF(UPPER($E2036)="L",SUMPRODUCT(M2036:X2036,$M$3:$X$3,$M$2:$X$2),SUMPRODUCT(M2036:X2036,$M$4:$X$4,$M$2:$X$2))/(Y2036/($K2036*$L2036)),"")</f>
        <v/>
      </c>
      <c r="AB2036" s="18" t="n"/>
    </row>
    <row r="2037">
      <c r="A2037" s="9" t="n">
        <v>815133</v>
      </c>
      <c r="B2037" s="9" t="inlineStr">
        <is>
          <t>Cameron Sisneros</t>
        </is>
      </c>
      <c r="C2037" s="9" t="inlineStr">
        <is>
          <t>HOU</t>
        </is>
      </c>
      <c r="D2037" s="9" t="n">
        <v>25</v>
      </c>
      <c r="E2037" s="16" t="inlineStr">
        <is>
          <t>L</t>
        </is>
      </c>
      <c r="F2037" s="16" t="n"/>
      <c r="G2037" s="9" t="n">
        <v>66.05128205128206</v>
      </c>
      <c r="H2037" s="9" t="n">
        <v>66.05128205128206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7" t="n"/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/>
      <c r="Y2037" s="13">
        <f>SUMPRODUCT(M2037:X2037,$M$2:$X$2)*$K2037*$L2037</f>
        <v/>
      </c>
      <c r="Z2037" s="14">
        <f>SUM(M2037:X2037)</f>
        <v/>
      </c>
      <c r="AA2037" s="14">
        <f>IFERROR(IF(UPPER($E2037)="L",SUMPRODUCT(M2037:X2037,$M$3:$X$3,$M$2:$X$2),SUMPRODUCT(M2037:X2037,$M$4:$X$4,$M$2:$X$2))/(Y2037/($K2037*$L2037)),"")</f>
        <v/>
      </c>
      <c r="AB2037" s="18" t="n"/>
    </row>
    <row r="2038">
      <c r="A2038" s="9" t="n">
        <v>815911</v>
      </c>
      <c r="B2038" s="9" t="inlineStr">
        <is>
          <t>Edgar Montero</t>
        </is>
      </c>
      <c r="C2038" s="9" t="inlineStr">
        <is>
          <t>OAK</t>
        </is>
      </c>
      <c r="D2038" s="9" t="n">
        <v>25</v>
      </c>
      <c r="E2038" s="16" t="inlineStr">
        <is>
          <t>S</t>
        </is>
      </c>
      <c r="F2038" s="16" t="n"/>
      <c r="G2038" s="9" t="n">
        <v>53.90769230769231</v>
      </c>
      <c r="H2038" s="9" t="n">
        <v>53.90769230769231</v>
      </c>
      <c r="I2038" s="9" t="inlineStr">
        <is>
          <t>Depth (no MLB PA)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7" t="n"/>
      <c r="N2038" s="17" t="n"/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3">
        <f>SUMPRODUCT(M2038:X2038,$M$2:$X$2)*$K2038*$L2038</f>
        <v/>
      </c>
      <c r="Z2038" s="14">
        <f>SUM(M2038:X2038)</f>
        <v/>
      </c>
      <c r="AA2038" s="14">
        <f>IFERROR(IF(UPPER($E2038)="L",SUMPRODUCT(M2038:X2038,$M$3:$X$3,$M$2:$X$2),SUMPRODUCT(M2038:X2038,$M$4:$X$4,$M$2:$X$2))/(Y2038/($K2038*$L2038)),"")</f>
        <v/>
      </c>
      <c r="AB2038" s="18" t="n"/>
    </row>
    <row r="2039">
      <c r="A2039" s="9" t="n">
        <v>663457</v>
      </c>
      <c r="B2039" s="9" t="inlineStr">
        <is>
          <t>Lars Nootbaar</t>
        </is>
      </c>
      <c r="C2039" s="9" t="inlineStr">
        <is>
          <t>ARI</t>
        </is>
      </c>
      <c r="D2039" s="9" t="n">
        <v>29</v>
      </c>
      <c r="E2039" s="16" t="inlineStr">
        <is>
          <t>L</t>
        </is>
      </c>
      <c r="F2039" s="16" t="n"/>
      <c r="G2039" s="9" t="n">
        <v>334</v>
      </c>
      <c r="H2039" s="9" t="n">
        <v>2172</v>
      </c>
      <c r="I2039" s="9" t="inlineStr">
        <is>
          <t>Full Time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7" t="n"/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/>
      <c r="Y2039" s="13">
        <f>SUMPRODUCT(M2039:X2039,$M$2:$X$2)*$K2039*$L2039</f>
        <v/>
      </c>
      <c r="Z2039" s="14">
        <f>SUM(M2039:X2039)</f>
        <v/>
      </c>
      <c r="AA2039" s="14">
        <f>IFERROR(IF(UPPER($E2039)="L",SUMPRODUCT(M2039:X2039,$M$3:$X$3,$M$2:$X$2),SUMPRODUCT(M2039:X2039,$M$4:$X$4,$M$2:$X$2))/(Y2039/($K2039*$L2039)),"")</f>
        <v/>
      </c>
      <c r="AB2039" s="18" t="n"/>
    </row>
    <row r="2040">
      <c r="A2040" s="9" t="n">
        <v>700164</v>
      </c>
      <c r="B2040" s="9" t="inlineStr">
        <is>
          <t>Bryant Betancourt</t>
        </is>
      </c>
      <c r="C2040" s="9" t="inlineStr">
        <is>
          <t>COL</t>
        </is>
      </c>
      <c r="D2040" s="9" t="n">
        <v>25</v>
      </c>
      <c r="E2040" s="16" t="inlineStr">
        <is>
          <t>L</t>
        </is>
      </c>
      <c r="F2040" s="16" t="n"/>
      <c r="G2040" s="9" t="n">
        <v>84.61538461538461</v>
      </c>
      <c r="H2040" s="9" t="n">
        <v>84.61538461538461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7" t="n"/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/>
      <c r="Y2040" s="13">
        <f>SUMPRODUCT(M2040:X2040,$M$2:$X$2)*$K2040*$L2040</f>
        <v/>
      </c>
      <c r="Z2040" s="14">
        <f>SUM(M2040:X2040)</f>
        <v/>
      </c>
      <c r="AA2040" s="14">
        <f>IFERROR(IF(UPPER($E2040)="L",SUMPRODUCT(M2040:X2040,$M$3:$X$3,$M$2:$X$2),SUMPRODUCT(M2040:X2040,$M$4:$X$4,$M$2:$X$2))/(Y2040/($K2040*$L2040)),"")</f>
        <v/>
      </c>
      <c r="AB2040" s="18" t="n"/>
    </row>
    <row r="2041">
      <c r="A2041" s="9" t="n">
        <v>702264</v>
      </c>
      <c r="B2041" s="9" t="inlineStr">
        <is>
          <t>Gavin Kilen</t>
        </is>
      </c>
      <c r="C2041" s="9" t="inlineStr">
        <is>
          <t>SF</t>
        </is>
      </c>
      <c r="D2041" s="9" t="n">
        <v>25</v>
      </c>
      <c r="E2041" s="16" t="inlineStr">
        <is>
          <t>L</t>
        </is>
      </c>
      <c r="F2041" s="16" t="n"/>
      <c r="G2041" s="9" t="n">
        <v>49.8974358974359</v>
      </c>
      <c r="H2041" s="9" t="n">
        <v>49.8974358974359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7" t="n"/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/>
      <c r="Y2041" s="13">
        <f>SUMPRODUCT(M2041:X2041,$M$2:$X$2)*$K2041*$L2041</f>
        <v/>
      </c>
      <c r="Z2041" s="14">
        <f>SUM(M2041:X2041)</f>
        <v/>
      </c>
      <c r="AA2041" s="14">
        <f>IFERROR(IF(UPPER($E2041)="L",SUMPRODUCT(M2041:X2041,$M$3:$X$3,$M$2:$X$2),SUMPRODUCT(M2041:X2041,$M$4:$X$4,$M$2:$X$2))/(Y2041/($K2041*$L2041)),"")</f>
        <v/>
      </c>
      <c r="AB2041" s="18" t="n"/>
    </row>
    <row r="2042">
      <c r="A2042" s="9" t="n">
        <v>681080</v>
      </c>
      <c r="B2042" s="9" t="inlineStr">
        <is>
          <t>Caleb Ricketts</t>
        </is>
      </c>
      <c r="C2042" s="9" t="inlineStr">
        <is>
          <t>PHI</t>
        </is>
      </c>
      <c r="D2042" s="9" t="n">
        <v>25</v>
      </c>
      <c r="E2042" s="16" t="inlineStr">
        <is>
          <t>L</t>
        </is>
      </c>
      <c r="F2042" s="16" t="n"/>
      <c r="G2042" s="9" t="n">
        <v>98.15384615384616</v>
      </c>
      <c r="H2042" s="9" t="n">
        <v>98.15384615384616</v>
      </c>
      <c r="I2042" s="9" t="inlineStr">
        <is>
          <t>Depth (no MLB PA)</t>
        </is>
      </c>
      <c r="J2042" s="16" t="inlineStr">
        <is>
          <t>Opening Day</t>
        </is>
      </c>
      <c r="K2042" s="11">
        <f>IFERROR(INDEX(Roles!$B$17:$B$20,MATCH(J2042,Roles!$A$17:$A$20,0)),1)</f>
        <v/>
      </c>
      <c r="L2042" s="17" t="n">
        <v>1</v>
      </c>
      <c r="M2042" s="17" t="n"/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/>
      <c r="Y2042" s="13">
        <f>SUMPRODUCT(M2042:X2042,$M$2:$X$2)*$K2042*$L2042</f>
        <v/>
      </c>
      <c r="Z2042" s="14">
        <f>SUM(M2042:X2042)</f>
        <v/>
      </c>
      <c r="AA2042" s="14">
        <f>IFERROR(IF(UPPER($E2042)="L",SUMPRODUCT(M2042:X2042,$M$3:$X$3,$M$2:$X$2),SUMPRODUCT(M2042:X2042,$M$4:$X$4,$M$2:$X$2))/(Y2042/($K2042*$L2042)),"")</f>
        <v/>
      </c>
      <c r="AB2042" s="18" t="n"/>
    </row>
    <row r="2043">
      <c r="A2043" s="9" t="n">
        <v>836168</v>
      </c>
      <c r="B2043" s="9" t="inlineStr">
        <is>
          <t>Andrews Opata</t>
        </is>
      </c>
      <c r="C2043" s="9" t="inlineStr">
        <is>
          <t>BOS</t>
        </is>
      </c>
      <c r="D2043" s="9" t="n">
        <v>25</v>
      </c>
      <c r="E2043" s="16" t="inlineStr">
        <is>
          <t>R</t>
        </is>
      </c>
      <c r="F2043" s="16" t="n"/>
      <c r="G2043" s="9" t="n">
        <v>53.41538461538462</v>
      </c>
      <c r="H2043" s="9" t="n">
        <v>53.41538461538462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7" t="n"/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/>
      <c r="Y2043" s="13">
        <f>SUMPRODUCT(M2043:X2043,$M$2:$X$2)*$K2043*$L2043</f>
        <v/>
      </c>
      <c r="Z2043" s="14">
        <f>SUM(M2043:X2043)</f>
        <v/>
      </c>
      <c r="AA2043" s="14">
        <f>IFERROR(IF(UPPER($E2043)="L",SUMPRODUCT(M2043:X2043,$M$3:$X$3,$M$2:$X$2),SUMPRODUCT(M2043:X2043,$M$4:$X$4,$M$2:$X$2))/(Y2043/($K2043*$L2043)),"")</f>
        <v/>
      </c>
      <c r="AB2043" s="18" t="n"/>
    </row>
    <row r="2044">
      <c r="A2044" s="9" t="n">
        <v>822743</v>
      </c>
      <c r="B2044" s="9" t="inlineStr">
        <is>
          <t>Tyriq Kemp</t>
        </is>
      </c>
      <c r="C2044" s="9" t="inlineStr">
        <is>
          <t>KC</t>
        </is>
      </c>
      <c r="D2044" s="9" t="n">
        <v>25</v>
      </c>
      <c r="E2044" s="16" t="inlineStr">
        <is>
          <t>L</t>
        </is>
      </c>
      <c r="F2044" s="16" t="n"/>
      <c r="G2044" s="9" t="n">
        <v>89.43589743589745</v>
      </c>
      <c r="H2044" s="9" t="n">
        <v>89.43589743589745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7" t="n"/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/>
      <c r="Y2044" s="13">
        <f>SUMPRODUCT(M2044:X2044,$M$2:$X$2)*$K2044*$L2044</f>
        <v/>
      </c>
      <c r="Z2044" s="14">
        <f>SUM(M2044:X2044)</f>
        <v/>
      </c>
      <c r="AA2044" s="14">
        <f>IFERROR(IF(UPPER($E2044)="L",SUMPRODUCT(M2044:X2044,$M$3:$X$3,$M$2:$X$2),SUMPRODUCT(M2044:X2044,$M$4:$X$4,$M$2:$X$2))/(Y2044/($K2044*$L2044)),"")</f>
        <v/>
      </c>
      <c r="AB2044" s="18" t="n"/>
    </row>
    <row r="2045">
      <c r="A2045" s="9" t="n">
        <v>701750</v>
      </c>
      <c r="B2045" s="9" t="inlineStr">
        <is>
          <t>Bennett Thompson</t>
        </is>
      </c>
      <c r="C2045" s="9" t="inlineStr">
        <is>
          <t>CLE</t>
        </is>
      </c>
      <c r="D2045" s="9" t="n">
        <v>25</v>
      </c>
      <c r="E2045" s="16" t="inlineStr">
        <is>
          <t>R</t>
        </is>
      </c>
      <c r="F2045" s="16" t="n"/>
      <c r="G2045" s="9" t="n">
        <v>77.17948717948718</v>
      </c>
      <c r="H2045" s="9" t="n">
        <v>77.17948717948718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7" t="n"/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/>
      <c r="Y2045" s="13">
        <f>SUMPRODUCT(M2045:X2045,$M$2:$X$2)*$K2045*$L2045</f>
        <v/>
      </c>
      <c r="Z2045" s="14">
        <f>SUM(M2045:X2045)</f>
        <v/>
      </c>
      <c r="AA2045" s="14">
        <f>IFERROR(IF(UPPER($E2045)="L",SUMPRODUCT(M2045:X2045,$M$3:$X$3,$M$2:$X$2),SUMPRODUCT(M2045:X2045,$M$4:$X$4,$M$2:$X$2))/(Y2045/($K2045*$L2045)),"")</f>
        <v/>
      </c>
      <c r="AB2045" s="18" t="n"/>
    </row>
    <row r="2046">
      <c r="A2046" s="9" t="n">
        <v>804558</v>
      </c>
      <c r="B2046" s="9" t="inlineStr">
        <is>
          <t>Raudi Rodriguez</t>
        </is>
      </c>
      <c r="C2046" s="9" t="inlineStr">
        <is>
          <t>LAA</t>
        </is>
      </c>
      <c r="D2046" s="9" t="n">
        <v>25</v>
      </c>
      <c r="E2046" s="16" t="inlineStr">
        <is>
          <t>R</t>
        </is>
      </c>
      <c r="F2046" s="16" t="n"/>
      <c r="G2046" s="9" t="n">
        <v>98.15384615384616</v>
      </c>
      <c r="H2046" s="9" t="n">
        <v>98.15384615384616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7" t="n"/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/>
      <c r="Y2046" s="13">
        <f>SUMPRODUCT(M2046:X2046,$M$2:$X$2)*$K2046*$L2046</f>
        <v/>
      </c>
      <c r="Z2046" s="14">
        <f>SUM(M2046:X2046)</f>
        <v/>
      </c>
      <c r="AA2046" s="14">
        <f>IFERROR(IF(UPPER($E2046)="L",SUMPRODUCT(M2046:X2046,$M$3:$X$3,$M$2:$X$2),SUMPRODUCT(M2046:X2046,$M$4:$X$4,$M$2:$X$2))/(Y2046/($K2046*$L2046)),"")</f>
        <v/>
      </c>
      <c r="AB2046" s="18" t="n"/>
    </row>
    <row r="2047">
      <c r="A2047" s="9" t="n">
        <v>692478</v>
      </c>
      <c r="B2047" s="9" t="inlineStr">
        <is>
          <t>Victor Arias</t>
        </is>
      </c>
      <c r="C2047" s="9" t="inlineStr">
        <is>
          <t>TOR</t>
        </is>
      </c>
      <c r="D2047" s="9" t="n">
        <v>25</v>
      </c>
      <c r="E2047" s="16" t="inlineStr">
        <is>
          <t>L</t>
        </is>
      </c>
      <c r="F2047" s="16" t="n"/>
      <c r="G2047" s="9" t="n">
        <v>124.9230769230769</v>
      </c>
      <c r="H2047" s="9" t="n">
        <v>124.9230769230769</v>
      </c>
      <c r="I2047" s="9" t="inlineStr">
        <is>
          <t>Depth (no MLB PA)</t>
        </is>
      </c>
      <c r="J2047" s="16" t="inlineStr">
        <is>
          <t>Opening Day</t>
        </is>
      </c>
      <c r="K2047" s="11">
        <f>IFERROR(INDEX(Roles!$B$17:$B$20,MATCH(J2047,Roles!$A$17:$A$20,0)),1)</f>
        <v/>
      </c>
      <c r="L2047" s="17" t="n">
        <v>1</v>
      </c>
      <c r="M2047" s="17" t="n"/>
      <c r="N2047" s="17" t="n"/>
      <c r="O2047" s="17" t="n"/>
      <c r="P2047" s="17" t="n"/>
      <c r="Q2047" s="17" t="n"/>
      <c r="R2047" s="17" t="n"/>
      <c r="S2047" s="17" t="n"/>
      <c r="T2047" s="17" t="n"/>
      <c r="U2047" s="17" t="n"/>
      <c r="V2047" s="17" t="n"/>
      <c r="W2047" s="17" t="n"/>
      <c r="X2047" s="17" t="n"/>
      <c r="Y2047" s="13">
        <f>SUMPRODUCT(M2047:X2047,$M$2:$X$2)*$K2047*$L2047</f>
        <v/>
      </c>
      <c r="Z2047" s="14">
        <f>SUM(M2047:X2047)</f>
        <v/>
      </c>
      <c r="AA2047" s="14">
        <f>IFERROR(IF(UPPER($E2047)="L",SUMPRODUCT(M2047:X2047,$M$3:$X$3,$M$2:$X$2),SUMPRODUCT(M2047:X2047,$M$4:$X$4,$M$2:$X$2))/(Y2047/($K2047*$L2047)),"")</f>
        <v/>
      </c>
      <c r="AB2047" s="18" t="n"/>
    </row>
    <row r="2048">
      <c r="A2048" s="9" t="n">
        <v>835614</v>
      </c>
      <c r="B2048" s="9" t="inlineStr">
        <is>
          <t>Brady O'Brien</t>
        </is>
      </c>
      <c r="C2048" s="9" t="inlineStr">
        <is>
          <t>SEA</t>
        </is>
      </c>
      <c r="D2048" s="9" t="n">
        <v>25</v>
      </c>
      <c r="E2048" s="16" t="inlineStr">
        <is>
          <t>R</t>
        </is>
      </c>
      <c r="F2048" s="16" t="n"/>
      <c r="G2048" s="9" t="n">
        <v>30.76923076923077</v>
      </c>
      <c r="H2048" s="9" t="n">
        <v>30.76923076923077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7" t="n"/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/>
      <c r="Y2048" s="13">
        <f>SUMPRODUCT(M2048:X2048,$M$2:$X$2)*$K2048*$L2048</f>
        <v/>
      </c>
      <c r="Z2048" s="14">
        <f>SUM(M2048:X2048)</f>
        <v/>
      </c>
      <c r="AA2048" s="14">
        <f>IFERROR(IF(UPPER($E2048)="L",SUMPRODUCT(M2048:X2048,$M$3:$X$3,$M$2:$X$2),SUMPRODUCT(M2048:X2048,$M$4:$X$4,$M$2:$X$2))/(Y2048/($K2048*$L2048)),"")</f>
        <v/>
      </c>
      <c r="AB2048" s="18" t="n"/>
    </row>
    <row r="2049">
      <c r="A2049" s="9" t="n">
        <v>453568</v>
      </c>
      <c r="B2049" s="9" t="inlineStr">
        <is>
          <t>Charlie Blackmon</t>
        </is>
      </c>
      <c r="C2049" s="9" t="inlineStr">
        <is>
          <t>COL</t>
        </is>
      </c>
      <c r="D2049" s="9" t="n">
        <v>40</v>
      </c>
      <c r="E2049" s="16" t="inlineStr">
        <is>
          <t>L</t>
        </is>
      </c>
      <c r="F2049" s="16" t="n"/>
      <c r="G2049" s="9" t="n">
        <v>499</v>
      </c>
      <c r="H2049" s="9" t="n">
        <v>1489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7" t="n"/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/>
      <c r="Y2049" s="13">
        <f>SUMPRODUCT(M2049:X2049,$M$2:$X$2)*$K2049*$L2049</f>
        <v/>
      </c>
      <c r="Z2049" s="14">
        <f>SUM(M2049:X2049)</f>
        <v/>
      </c>
      <c r="AA2049" s="14">
        <f>IFERROR(IF(UPPER($E2049)="L",SUMPRODUCT(M2049:X2049,$M$3:$X$3,$M$2:$X$2),SUMPRODUCT(M2049:X2049,$M$4:$X$4,$M$2:$X$2))/(Y2049/($K2049*$L2049)),"")</f>
        <v/>
      </c>
      <c r="AB2049" s="18" t="n"/>
    </row>
    <row r="2050">
      <c r="A2050" s="9" t="n">
        <v>701777</v>
      </c>
      <c r="B2050" s="9" t="inlineStr">
        <is>
          <t>Wilson Weber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54.15384615384616</v>
      </c>
      <c r="H2050" s="9" t="n">
        <v>54.15384615384616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7" t="n"/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/>
      <c r="Y2050" s="13">
        <f>SUMPRODUCT(M2050:X2050,$M$2:$X$2)*$K2050*$L2050</f>
        <v/>
      </c>
      <c r="Z2050" s="14">
        <f>SUM(M2050:X2050)</f>
        <v/>
      </c>
      <c r="AA2050" s="14">
        <f>IFERROR(IF(UPPER($E2050)="L",SUMPRODUCT(M2050:X2050,$M$3:$X$3,$M$2:$X$2),SUMPRODUCT(M2050:X2050,$M$4:$X$4,$M$2:$X$2))/(Y2050/($K2050*$L2050)),"")</f>
        <v/>
      </c>
      <c r="AB2050" s="18" t="n"/>
    </row>
    <row r="2051">
      <c r="A2051" s="9" t="n">
        <v>698929</v>
      </c>
      <c r="B2051" s="9" t="inlineStr">
        <is>
          <t>Jesus Hernandez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52.92307692307693</v>
      </c>
      <c r="H2051" s="9" t="n">
        <v>52.92307692307693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7" t="n"/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/>
      <c r="Y2051" s="13">
        <f>SUMPRODUCT(M2051:X2051,$M$2:$X$2)*$K2051*$L2051</f>
        <v/>
      </c>
      <c r="Z2051" s="14">
        <f>SUM(M2051:X2051)</f>
        <v/>
      </c>
      <c r="AA2051" s="14">
        <f>IFERROR(IF(UPPER($E2051)="L",SUMPRODUCT(M2051:X2051,$M$3:$X$3,$M$2:$X$2),SUMPRODUCT(M2051:X2051,$M$4:$X$4,$M$2:$X$2))/(Y2051/($K2051*$L2051)),"")</f>
        <v/>
      </c>
      <c r="AB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7" t="n"/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/>
      <c r="Y2052" s="13">
        <f>SUMPRODUCT(M2052:X2052,$M$2:$X$2)*$K2052*$L2052</f>
        <v/>
      </c>
      <c r="Z2052" s="14">
        <f>SUM(M2052:X2052)</f>
        <v/>
      </c>
      <c r="AA2052" s="14">
        <f>IFERROR(IF(UPPER($E2052)="L",SUMPRODUCT(M2052:X2052,$M$3:$X$3,$M$2:$X$2),SUMPRODUCT(M2052:X2052,$M$4:$X$4,$M$2:$X$2))/(Y2052/($K2052*$L2052)),"")</f>
        <v/>
      </c>
      <c r="AB2052" s="18" t="n"/>
    </row>
    <row r="2053">
      <c r="A2053" s="9" t="n">
        <v>807957</v>
      </c>
      <c r="B2053" s="9" t="inlineStr">
        <is>
          <t>Yassel Soler</t>
        </is>
      </c>
      <c r="C2053" s="9" t="inlineStr">
        <is>
          <t>ARI</t>
        </is>
      </c>
      <c r="D2053" s="9" t="n">
        <v>25</v>
      </c>
      <c r="E2053" s="16" t="inlineStr">
        <is>
          <t>R</t>
        </is>
      </c>
      <c r="F2053" s="16" t="n"/>
      <c r="G2053" s="9" t="n">
        <v>90.05128205128206</v>
      </c>
      <c r="H2053" s="9" t="n">
        <v>90.05128205128206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7" t="n"/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/>
      <c r="Y2053" s="13">
        <f>SUMPRODUCT(M2053:X2053,$M$2:$X$2)*$K2053*$L2053</f>
        <v/>
      </c>
      <c r="Z2053" s="14">
        <f>SUM(M2053:X2053)</f>
        <v/>
      </c>
      <c r="AA2053" s="14">
        <f>IFERROR(IF(UPPER($E2053)="L",SUMPRODUCT(M2053:X2053,$M$3:$X$3,$M$2:$X$2),SUMPRODUCT(M2053:X2053,$M$4:$X$4,$M$2:$X$2))/(Y2053/($K2053*$L2053)),"")</f>
        <v/>
      </c>
      <c r="AB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n"/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7" t="n"/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/>
      <c r="Y2054" s="13">
        <f>SUMPRODUCT(M2054:X2054,$M$2:$X$2)*$K2054*$L2054</f>
        <v/>
      </c>
      <c r="Z2054" s="14">
        <f>SUM(M2054:X2054)</f>
        <v/>
      </c>
      <c r="AA2054" s="14">
        <f>IFERROR(IF(UPPER($E2054)="L",SUMPRODUCT(M2054:X2054,$M$3:$X$3,$M$2:$X$2),SUMPRODUCT(M2054:X2054,$M$4:$X$4,$M$2:$X$2))/(Y2054/($K2054*$L2054)),"")</f>
        <v/>
      </c>
      <c r="AB2054" s="18" t="n"/>
    </row>
    <row r="2055">
      <c r="A2055" s="9" t="n">
        <v>699115</v>
      </c>
      <c r="B2055" s="9" t="inlineStr">
        <is>
          <t>Carlos Jorge</t>
        </is>
      </c>
      <c r="C2055" s="9" t="inlineStr">
        <is>
          <t>CIN</t>
        </is>
      </c>
      <c r="D2055" s="9" t="n">
        <v>23</v>
      </c>
      <c r="E2055" s="16" t="inlineStr">
        <is>
          <t>L</t>
        </is>
      </c>
      <c r="F2055" s="16" t="n"/>
      <c r="G2055" s="9" t="n">
        <v>50</v>
      </c>
      <c r="H2055" s="9" t="n">
        <v>50</v>
      </c>
      <c r="I2055" s="9" t="inlineStr">
        <is>
          <t>Bench Bat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7" t="n"/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/>
      <c r="Y2055" s="13">
        <f>SUMPRODUCT(M2055:X2055,$M$2:$X$2)*$K2055*$L2055</f>
        <v/>
      </c>
      <c r="Z2055" s="14">
        <f>SUM(M2055:X2055)</f>
        <v/>
      </c>
      <c r="AA2055" s="14">
        <f>IFERROR(IF(UPPER($E2055)="L",SUMPRODUCT(M2055:X2055,$M$3:$X$3,$M$2:$X$2),SUMPRODUCT(M2055:X2055,$M$4:$X$4,$M$2:$X$2))/(Y2055/($K2055*$L2055)),"")</f>
        <v/>
      </c>
      <c r="AB2055" s="18" t="n"/>
    </row>
    <row r="2056">
      <c r="A2056" s="9" t="n">
        <v>694478</v>
      </c>
      <c r="B2056" s="9" t="inlineStr">
        <is>
          <t>Michael Turner</t>
        </is>
      </c>
      <c r="C2056" s="9" t="inlineStr">
        <is>
          <t>CWS</t>
        </is>
      </c>
      <c r="D2056" s="9" t="n">
        <v>25</v>
      </c>
      <c r="E2056" s="16" t="inlineStr">
        <is>
          <t>L</t>
        </is>
      </c>
      <c r="F2056" s="16" t="n"/>
      <c r="G2056" s="9" t="n">
        <v>165.8461538461539</v>
      </c>
      <c r="H2056" s="9" t="n">
        <v>165.8461538461539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7" t="n"/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/>
      <c r="Y2056" s="13">
        <f>SUMPRODUCT(M2056:X2056,$M$2:$X$2)*$K2056*$L2056</f>
        <v/>
      </c>
      <c r="Z2056" s="14">
        <f>SUM(M2056:X2056)</f>
        <v/>
      </c>
      <c r="AA2056" s="14">
        <f>IFERROR(IF(UPPER($E2056)="L",SUMPRODUCT(M2056:X2056,$M$3:$X$3,$M$2:$X$2),SUMPRODUCT(M2056:X2056,$M$4:$X$4,$M$2:$X$2))/(Y2056/($K2056*$L2056)),"")</f>
        <v/>
      </c>
      <c r="AB2056" s="18" t="n"/>
    </row>
    <row r="2057">
      <c r="A2057" s="9" t="n">
        <v>686960</v>
      </c>
      <c r="B2057" s="9" t="inlineStr">
        <is>
          <t>Nate Baez</t>
        </is>
      </c>
      <c r="C2057" s="9" t="inlineStr">
        <is>
          <t>BOS</t>
        </is>
      </c>
      <c r="D2057" s="9" t="n">
        <v>25</v>
      </c>
      <c r="E2057" s="16" t="inlineStr">
        <is>
          <t>R</t>
        </is>
      </c>
      <c r="F2057" s="16" t="n"/>
      <c r="G2057" s="9" t="n">
        <v>30.46153846153846</v>
      </c>
      <c r="H2057" s="9" t="n">
        <v>30.46153846153846</v>
      </c>
      <c r="I2057" s="9" t="inlineStr">
        <is>
          <t>Depth (no MLB PA)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7" t="n"/>
      <c r="N2057" s="17" t="n"/>
      <c r="O2057" s="17" t="n"/>
      <c r="P2057" s="17" t="n"/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3">
        <f>SUMPRODUCT(M2057:X2057,$M$2:$X$2)*$K2057*$L2057</f>
        <v/>
      </c>
      <c r="Z2057" s="14">
        <f>SUM(M2057:X2057)</f>
        <v/>
      </c>
      <c r="AA2057" s="14">
        <f>IFERROR(IF(UPPER($E2057)="L",SUMPRODUCT(M2057:X2057,$M$3:$X$3,$M$2:$X$2),SUMPRODUCT(M2057:X2057,$M$4:$X$4,$M$2:$X$2))/(Y2057/($K2057*$L2057)),"")</f>
        <v/>
      </c>
      <c r="AB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7" t="n"/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/>
      <c r="Y2058" s="13">
        <f>SUMPRODUCT(M2058:X2058,$M$2:$X$2)*$K2058*$L2058</f>
        <v/>
      </c>
      <c r="Z2058" s="14">
        <f>SUM(M2058:X2058)</f>
        <v/>
      </c>
      <c r="AA2058" s="14">
        <f>IFERROR(IF(UPPER($E2058)="L",SUMPRODUCT(M2058:X2058,$M$3:$X$3,$M$2:$X$2),SUMPRODUCT(M2058:X2058,$M$4:$X$4,$M$2:$X$2))/(Y2058/($K2058*$L2058)),"")</f>
        <v/>
      </c>
      <c r="AB2058" s="18" t="n"/>
    </row>
    <row r="2059">
      <c r="A2059" s="9" t="n">
        <v>700341</v>
      </c>
      <c r="B2059" s="9" t="inlineStr">
        <is>
          <t>Kenny Castillo</t>
        </is>
      </c>
      <c r="C2059" s="9" t="inlineStr">
        <is>
          <t>ARI</t>
        </is>
      </c>
      <c r="D2059" s="9" t="n">
        <v>25</v>
      </c>
      <c r="E2059" s="16" t="inlineStr">
        <is>
          <t>R</t>
        </is>
      </c>
      <c r="F2059" s="16" t="n"/>
      <c r="G2059" s="9" t="n">
        <v>67.69230769230769</v>
      </c>
      <c r="H2059" s="9" t="n">
        <v>67.69230769230769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7" t="n"/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/>
      <c r="Y2059" s="13">
        <f>SUMPRODUCT(M2059:X2059,$M$2:$X$2)*$K2059*$L2059</f>
        <v/>
      </c>
      <c r="Z2059" s="14">
        <f>SUM(M2059:X2059)</f>
        <v/>
      </c>
      <c r="AA2059" s="14">
        <f>IFERROR(IF(UPPER($E2059)="L",SUMPRODUCT(M2059:X2059,$M$3:$X$3,$M$2:$X$2),SUMPRODUCT(M2059:X2059,$M$4:$X$4,$M$2:$X$2))/(Y2059/($K2059*$L2059)),"")</f>
        <v/>
      </c>
      <c r="AB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7" t="n"/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/>
      <c r="Y2060" s="13">
        <f>SUMPRODUCT(M2060:X2060,$M$2:$X$2)*$K2060*$L2060</f>
        <v/>
      </c>
      <c r="Z2060" s="14">
        <f>SUM(M2060:X2060)</f>
        <v/>
      </c>
      <c r="AA2060" s="14">
        <f>IFERROR(IF(UPPER($E2060)="L",SUMPRODUCT(M2060:X2060,$M$3:$X$3,$M$2:$X$2),SUMPRODUCT(M2060:X2060,$M$4:$X$4,$M$2:$X$2))/(Y2060/($K2060*$L2060)),"")</f>
        <v/>
      </c>
      <c r="AB2060" s="18" t="n"/>
    </row>
    <row r="2061">
      <c r="A2061" s="9" t="n">
        <v>823768</v>
      </c>
      <c r="B2061" s="9" t="inlineStr">
        <is>
          <t>Lorenzo Meola</t>
        </is>
      </c>
      <c r="C2061" s="9" t="inlineStr">
        <is>
          <t>SF</t>
        </is>
      </c>
      <c r="D2061" s="9" t="n">
        <v>25</v>
      </c>
      <c r="E2061" s="16" t="inlineStr">
        <is>
          <t>R</t>
        </is>
      </c>
      <c r="F2061" s="16" t="n"/>
      <c r="G2061" s="9" t="n">
        <v>64.98461538461538</v>
      </c>
      <c r="H2061" s="9" t="n">
        <v>64.98461538461538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7" t="n"/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/>
      <c r="Y2061" s="13">
        <f>SUMPRODUCT(M2061:X2061,$M$2:$X$2)*$K2061*$L2061</f>
        <v/>
      </c>
      <c r="Z2061" s="14">
        <f>SUM(M2061:X2061)</f>
        <v/>
      </c>
      <c r="AA2061" s="14">
        <f>IFERROR(IF(UPPER($E2061)="L",SUMPRODUCT(M2061:X2061,$M$3:$X$3,$M$2:$X$2),SUMPRODUCT(M2061:X2061,$M$4:$X$4,$M$2:$X$2))/(Y2061/($K2061*$L2061)),"")</f>
        <v/>
      </c>
      <c r="AB2061" s="18" t="n"/>
    </row>
    <row r="2062">
      <c r="A2062" s="9" t="n">
        <v>828335</v>
      </c>
      <c r="B2062" s="9" t="inlineStr">
        <is>
          <t>Titus Dumitru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172.3076923076923</v>
      </c>
      <c r="H2062" s="9" t="n">
        <v>172.3076923076923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7" t="n"/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/>
      <c r="Y2062" s="13">
        <f>SUMPRODUCT(M2062:X2062,$M$2:$X$2)*$K2062*$L2062</f>
        <v/>
      </c>
      <c r="Z2062" s="14">
        <f>SUM(M2062:X2062)</f>
        <v/>
      </c>
      <c r="AA2062" s="14">
        <f>IFERROR(IF(UPPER($E2062)="L",SUMPRODUCT(M2062:X2062,$M$3:$X$3,$M$2:$X$2),SUMPRODUCT(M2062:X2062,$M$4:$X$4,$M$2:$X$2))/(Y2062/($K2062*$L2062)),"")</f>
        <v/>
      </c>
      <c r="AB2062" s="18" t="n"/>
    </row>
    <row r="2063">
      <c r="A2063" s="9" t="n">
        <v>685313</v>
      </c>
      <c r="B2063" s="9" t="inlineStr">
        <is>
          <t>Elijah Dunham</t>
        </is>
      </c>
      <c r="C2063" s="9" t="inlineStr">
        <is>
          <t>LAA</t>
        </is>
      </c>
      <c r="D2063" s="9" t="n">
        <v>25</v>
      </c>
      <c r="E2063" s="16" t="inlineStr">
        <is>
          <t>L</t>
        </is>
      </c>
      <c r="F2063" s="16" t="n"/>
      <c r="G2063" s="9" t="n">
        <v>47.74358974358974</v>
      </c>
      <c r="H2063" s="9" t="n">
        <v>47.74358974358974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7" t="n"/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/>
      <c r="Y2063" s="13">
        <f>SUMPRODUCT(M2063:X2063,$M$2:$X$2)*$K2063*$L2063</f>
        <v/>
      </c>
      <c r="Z2063" s="14">
        <f>SUM(M2063:X2063)</f>
        <v/>
      </c>
      <c r="AA2063" s="14">
        <f>IFERROR(IF(UPPER($E2063)="L",SUMPRODUCT(M2063:X2063,$M$3:$X$3,$M$2:$X$2),SUMPRODUCT(M2063:X2063,$M$4:$X$4,$M$2:$X$2))/(Y2063/($K2063*$L2063)),"")</f>
        <v/>
      </c>
      <c r="AB2063" s="18" t="n"/>
    </row>
    <row r="2064">
      <c r="A2064" s="9" t="n">
        <v>815074</v>
      </c>
      <c r="B2064" s="9" t="inlineStr">
        <is>
          <t>Derek Berg</t>
        </is>
      </c>
      <c r="C2064" s="9" t="inlineStr">
        <is>
          <t>PIT</t>
        </is>
      </c>
      <c r="D2064" s="9" t="n">
        <v>25</v>
      </c>
      <c r="E2064" s="16" t="inlineStr">
        <is>
          <t>R</t>
        </is>
      </c>
      <c r="F2064" s="16" t="n"/>
      <c r="G2064" s="9" t="n">
        <v>78.41025641025642</v>
      </c>
      <c r="H2064" s="9" t="n">
        <v>78.41025641025642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7" t="n"/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/>
      <c r="Y2064" s="13">
        <f>SUMPRODUCT(M2064:X2064,$M$2:$X$2)*$K2064*$L2064</f>
        <v/>
      </c>
      <c r="Z2064" s="14">
        <f>SUM(M2064:X2064)</f>
        <v/>
      </c>
      <c r="AA2064" s="14">
        <f>IFERROR(IF(UPPER($E2064)="L",SUMPRODUCT(M2064:X2064,$M$3:$X$3,$M$2:$X$2),SUMPRODUCT(M2064:X2064,$M$4:$X$4,$M$2:$X$2))/(Y2064/($K2064*$L2064)),"")</f>
        <v/>
      </c>
      <c r="AB2064" s="18" t="n"/>
    </row>
    <row r="2065">
      <c r="A2065" s="9" t="n">
        <v>703200</v>
      </c>
      <c r="B2065" s="9" t="inlineStr">
        <is>
          <t>Yoffry Solano</t>
        </is>
      </c>
      <c r="C2065" s="9" t="inlineStr">
        <is>
          <t>MIA</t>
        </is>
      </c>
      <c r="D2065" s="9" t="n">
        <v>25</v>
      </c>
      <c r="E2065" s="16" t="inlineStr">
        <is>
          <t>S</t>
        </is>
      </c>
      <c r="F2065" s="16" t="n"/>
      <c r="G2065" s="9" t="n">
        <v>33.10769230769231</v>
      </c>
      <c r="H2065" s="9" t="n">
        <v>33.10769230769231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7" t="n"/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/>
      <c r="Y2065" s="13">
        <f>SUMPRODUCT(M2065:X2065,$M$2:$X$2)*$K2065*$L2065</f>
        <v/>
      </c>
      <c r="Z2065" s="14">
        <f>SUM(M2065:X2065)</f>
        <v/>
      </c>
      <c r="AA2065" s="14">
        <f>IFERROR(IF(UPPER($E2065)="L",SUMPRODUCT(M2065:X2065,$M$3:$X$3,$M$2:$X$2),SUMPRODUCT(M2065:X2065,$M$4:$X$4,$M$2:$X$2))/(Y2065/($K2065*$L2065)),"")</f>
        <v/>
      </c>
      <c r="AB2065" s="18" t="n"/>
    </row>
    <row r="2066">
      <c r="A2066" s="9" t="n">
        <v>808004</v>
      </c>
      <c r="B2066" s="9" t="inlineStr">
        <is>
          <t>Anielson Buten</t>
        </is>
      </c>
      <c r="C2066" s="9" t="inlineStr">
        <is>
          <t>CIN</t>
        </is>
      </c>
      <c r="D2066" s="9" t="n">
        <v>25</v>
      </c>
      <c r="E2066" s="16" t="inlineStr">
        <is>
          <t>R</t>
        </is>
      </c>
      <c r="F2066" s="16" t="n"/>
      <c r="G2066" s="9" t="n">
        <v>29.29230769230769</v>
      </c>
      <c r="H2066" s="9" t="n">
        <v>29.29230769230769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7" t="n"/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/>
      <c r="Y2066" s="13">
        <f>SUMPRODUCT(M2066:X2066,$M$2:$X$2)*$K2066*$L2066</f>
        <v/>
      </c>
      <c r="Z2066" s="14">
        <f>SUM(M2066:X2066)</f>
        <v/>
      </c>
      <c r="AA2066" s="14">
        <f>IFERROR(IF(UPPER($E2066)="L",SUMPRODUCT(M2066:X2066,$M$3:$X$3,$M$2:$X$2),SUMPRODUCT(M2066:X2066,$M$4:$X$4,$M$2:$X$2))/(Y2066/($K2066*$L2066)),"")</f>
        <v/>
      </c>
      <c r="AB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7" t="n"/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/>
      <c r="Y2067" s="13">
        <f>SUMPRODUCT(M2067:X2067,$M$2:$X$2)*$K2067*$L2067</f>
        <v/>
      </c>
      <c r="Z2067" s="14">
        <f>SUM(M2067:X2067)</f>
        <v/>
      </c>
      <c r="AA2067" s="14">
        <f>IFERROR(IF(UPPER($E2067)="L",SUMPRODUCT(M2067:X2067,$M$3:$X$3,$M$2:$X$2),SUMPRODUCT(M2067:X2067,$M$4:$X$4,$M$2:$X$2))/(Y2067/($K2067*$L2067)),"")</f>
        <v/>
      </c>
      <c r="AB2067" s="18" t="n"/>
    </row>
    <row r="2068">
      <c r="A2068" s="9" t="n">
        <v>692371</v>
      </c>
      <c r="B2068" s="9" t="inlineStr">
        <is>
          <t>Lizandro Espinoza</t>
        </is>
      </c>
      <c r="C2068" s="9" t="inlineStr">
        <is>
          <t>ATL</t>
        </is>
      </c>
      <c r="D2068" s="9" t="n">
        <v>25</v>
      </c>
      <c r="E2068" s="16" t="inlineStr">
        <is>
          <t>R</t>
        </is>
      </c>
      <c r="F2068" s="16" t="n"/>
      <c r="G2068" s="9" t="n">
        <v>63.74358974358975</v>
      </c>
      <c r="H2068" s="9" t="n">
        <v>63.74358974358975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7" t="n"/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/>
      <c r="Y2068" s="13">
        <f>SUMPRODUCT(M2068:X2068,$M$2:$X$2)*$K2068*$L2068</f>
        <v/>
      </c>
      <c r="Z2068" s="14">
        <f>SUM(M2068:X2068)</f>
        <v/>
      </c>
      <c r="AA2068" s="14">
        <f>IFERROR(IF(UPPER($E2068)="L",SUMPRODUCT(M2068:X2068,$M$3:$X$3,$M$2:$X$2),SUMPRODUCT(M2068:X2068,$M$4:$X$4,$M$2:$X$2))/(Y2068/($K2068*$L2068)),"")</f>
        <v/>
      </c>
      <c r="AB2068" s="18" t="n"/>
    </row>
    <row r="2069">
      <c r="A2069" s="9" t="n">
        <v>808516</v>
      </c>
      <c r="B2069" s="9" t="inlineStr">
        <is>
          <t>Andres Valor</t>
        </is>
      </c>
      <c r="C2069" s="9" t="inlineStr">
        <is>
          <t>MIA</t>
        </is>
      </c>
      <c r="D2069" s="9" t="n">
        <v>25</v>
      </c>
      <c r="E2069" s="16" t="inlineStr">
        <is>
          <t>R</t>
        </is>
      </c>
      <c r="F2069" s="16" t="n"/>
      <c r="G2069" s="9" t="n">
        <v>60.18461538461538</v>
      </c>
      <c r="H2069" s="9" t="n">
        <v>60.18461538461538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7" t="n"/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/>
      <c r="Y2069" s="13">
        <f>SUMPRODUCT(M2069:X2069,$M$2:$X$2)*$K2069*$L2069</f>
        <v/>
      </c>
      <c r="Z2069" s="14">
        <f>SUM(M2069:X2069)</f>
        <v/>
      </c>
      <c r="AA2069" s="14">
        <f>IFERROR(IF(UPPER($E2069)="L",SUMPRODUCT(M2069:X2069,$M$3:$X$3,$M$2:$X$2),SUMPRODUCT(M2069:X2069,$M$4:$X$4,$M$2:$X$2))/(Y2069/($K2069*$L2069)),"")</f>
        <v/>
      </c>
      <c r="AB2069" s="18" t="n"/>
    </row>
    <row r="2070">
      <c r="A2070" s="9" t="n">
        <v>803102</v>
      </c>
      <c r="B2070" s="9" t="inlineStr">
        <is>
          <t>Cooper McMurray</t>
        </is>
      </c>
      <c r="C2070" s="9" t="inlineStr">
        <is>
          <t>ATL</t>
        </is>
      </c>
      <c r="D2070" s="9" t="n">
        <v>25</v>
      </c>
      <c r="E2070" s="16" t="inlineStr">
        <is>
          <t>L</t>
        </is>
      </c>
      <c r="F2070" s="16" t="n"/>
      <c r="G2070" s="9" t="n">
        <v>53.41538461538462</v>
      </c>
      <c r="H2070" s="9" t="n">
        <v>53.41538461538462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7" t="n"/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/>
      <c r="Y2070" s="13">
        <f>SUMPRODUCT(M2070:X2070,$M$2:$X$2)*$K2070*$L2070</f>
        <v/>
      </c>
      <c r="Z2070" s="14">
        <f>SUM(M2070:X2070)</f>
        <v/>
      </c>
      <c r="AA2070" s="14">
        <f>IFERROR(IF(UPPER($E2070)="L",SUMPRODUCT(M2070:X2070,$M$3:$X$3,$M$2:$X$2),SUMPRODUCT(M2070:X2070,$M$4:$X$4,$M$2:$X$2))/(Y2070/($K2070*$L2070)),"")</f>
        <v/>
      </c>
      <c r="AB2070" s="18" t="n"/>
    </row>
    <row r="2071">
      <c r="A2071" s="9" t="n">
        <v>802544</v>
      </c>
      <c r="B2071" s="9" t="inlineStr">
        <is>
          <t>Brock Vradenburg</t>
        </is>
      </c>
      <c r="C2071" s="9" t="inlineStr">
        <is>
          <t>PHI</t>
        </is>
      </c>
      <c r="D2071" s="9" t="n">
        <v>25</v>
      </c>
      <c r="E2071" s="16" t="inlineStr">
        <is>
          <t>L</t>
        </is>
      </c>
      <c r="F2071" s="16" t="n"/>
      <c r="G2071" s="9" t="n">
        <v>33.43589743589744</v>
      </c>
      <c r="H2071" s="9" t="n">
        <v>33.43589743589744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7" t="n"/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/>
      <c r="Y2071" s="13">
        <f>SUMPRODUCT(M2071:X2071,$M$2:$X$2)*$K2071*$L2071</f>
        <v/>
      </c>
      <c r="Z2071" s="14">
        <f>SUM(M2071:X2071)</f>
        <v/>
      </c>
      <c r="AA2071" s="14">
        <f>IFERROR(IF(UPPER($E2071)="L",SUMPRODUCT(M2071:X2071,$M$3:$X$3,$M$2:$X$2),SUMPRODUCT(M2071:X2071,$M$4:$X$4,$M$2:$X$2))/(Y2071/($K2071*$L2071)),"")</f>
        <v/>
      </c>
      <c r="AB2071" s="18" t="n"/>
    </row>
    <row r="2072">
      <c r="A2072" s="9" t="n">
        <v>695289</v>
      </c>
      <c r="B2072" s="9" t="inlineStr">
        <is>
          <t>Dustin Crenshaw</t>
        </is>
      </c>
      <c r="C2072" s="9" t="inlineStr">
        <is>
          <t>SEA</t>
        </is>
      </c>
      <c r="D2072" s="9" t="n">
        <v>25</v>
      </c>
      <c r="E2072" s="16" t="inlineStr">
        <is>
          <t>L</t>
        </is>
      </c>
      <c r="F2072" s="16" t="n"/>
      <c r="G2072" s="9" t="n">
        <v>36.92307692307692</v>
      </c>
      <c r="H2072" s="9" t="n">
        <v>36.92307692307692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7" t="n"/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/>
      <c r="Y2072" s="13">
        <f>SUMPRODUCT(M2072:X2072,$M$2:$X$2)*$K2072*$L2072</f>
        <v/>
      </c>
      <c r="Z2072" s="14">
        <f>SUM(M2072:X2072)</f>
        <v/>
      </c>
      <c r="AA2072" s="14">
        <f>IFERROR(IF(UPPER($E2072)="L",SUMPRODUCT(M2072:X2072,$M$3:$X$3,$M$2:$X$2),SUMPRODUCT(M2072:X2072,$M$4:$X$4,$M$2:$X$2))/(Y2072/($K2072*$L2072)),"")</f>
        <v/>
      </c>
      <c r="AB2072" s="18" t="n"/>
    </row>
    <row r="2073">
      <c r="A2073" s="9" t="n">
        <v>701540</v>
      </c>
      <c r="B2073" s="9" t="inlineStr">
        <is>
          <t>J.R. Freethy</t>
        </is>
      </c>
      <c r="C2073" s="9" t="inlineStr">
        <is>
          <t>TOR</t>
        </is>
      </c>
      <c r="D2073" s="9" t="n">
        <v>25</v>
      </c>
      <c r="E2073" s="16" t="inlineStr">
        <is>
          <t>S</t>
        </is>
      </c>
      <c r="F2073" s="16" t="n"/>
      <c r="G2073" s="9" t="n">
        <v>40.20512820512821</v>
      </c>
      <c r="H2073" s="9" t="n">
        <v>40.20512820512821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7" t="n"/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/>
      <c r="Y2073" s="13">
        <f>SUMPRODUCT(M2073:X2073,$M$2:$X$2)*$K2073*$L2073</f>
        <v/>
      </c>
      <c r="Z2073" s="14">
        <f>SUM(M2073:X2073)</f>
        <v/>
      </c>
      <c r="AA2073" s="14">
        <f>IFERROR(IF(UPPER($E2073)="L",SUMPRODUCT(M2073:X2073,$M$3:$X$3,$M$2:$X$2),SUMPRODUCT(M2073:X2073,$M$4:$X$4,$M$2:$X$2))/(Y2073/($K2073*$L2073)),"")</f>
        <v/>
      </c>
      <c r="AB2073" s="18" t="n"/>
    </row>
    <row r="2074">
      <c r="A2074" s="9" t="n">
        <v>805260</v>
      </c>
      <c r="B2074" s="9" t="inlineStr">
        <is>
          <t>Ethan Hedges</t>
        </is>
      </c>
      <c r="C2074" s="9" t="inlineStr">
        <is>
          <t>COL</t>
        </is>
      </c>
      <c r="D2074" s="9" t="n">
        <v>25</v>
      </c>
      <c r="E2074" s="16" t="inlineStr">
        <is>
          <t>R</t>
        </is>
      </c>
      <c r="F2074" s="16" t="n"/>
      <c r="G2074" s="9" t="n">
        <v>103.1794871794872</v>
      </c>
      <c r="H2074" s="9" t="n">
        <v>103.1794871794872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7" t="n"/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/>
      <c r="Y2074" s="13">
        <f>SUMPRODUCT(M2074:X2074,$M$2:$X$2)*$K2074*$L2074</f>
        <v/>
      </c>
      <c r="Z2074" s="14">
        <f>SUM(M2074:X2074)</f>
        <v/>
      </c>
      <c r="AA2074" s="14">
        <f>IFERROR(IF(UPPER($E2074)="L",SUMPRODUCT(M2074:X2074,$M$3:$X$3,$M$2:$X$2),SUMPRODUCT(M2074:X2074,$M$4:$X$4,$M$2:$X$2))/(Y2074/($K2074*$L2074)),"")</f>
        <v/>
      </c>
      <c r="AB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7" t="n"/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/>
      <c r="Y2075" s="13">
        <f>SUMPRODUCT(M2075:X2075,$M$2:$X$2)*$K2075*$L2075</f>
        <v/>
      </c>
      <c r="Z2075" s="14">
        <f>SUM(M2075:X2075)</f>
        <v/>
      </c>
      <c r="AA2075" s="14">
        <f>IFERROR(IF(UPPER($E2075)="L",SUMPRODUCT(M2075:X2075,$M$3:$X$3,$M$2:$X$2),SUMPRODUCT(M2075:X2075,$M$4:$X$4,$M$2:$X$2))/(Y2075/($K2075*$L2075)),"")</f>
        <v/>
      </c>
      <c r="AB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7" t="n"/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/>
      <c r="Y2076" s="13">
        <f>SUMPRODUCT(M2076:X2076,$M$2:$X$2)*$K2076*$L2076</f>
        <v/>
      </c>
      <c r="Z2076" s="14">
        <f>SUM(M2076:X2076)</f>
        <v/>
      </c>
      <c r="AA2076" s="14">
        <f>IFERROR(IF(UPPER($E2076)="L",SUMPRODUCT(M2076:X2076,$M$3:$X$3,$M$2:$X$2),SUMPRODUCT(M2076:X2076,$M$4:$X$4,$M$2:$X$2))/(Y2076/($K2076*$L2076)),"")</f>
        <v/>
      </c>
      <c r="AB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7" t="n"/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/>
      <c r="Y2077" s="13">
        <f>SUMPRODUCT(M2077:X2077,$M$2:$X$2)*$K2077*$L2077</f>
        <v/>
      </c>
      <c r="Z2077" s="14">
        <f>SUM(M2077:X2077)</f>
        <v/>
      </c>
      <c r="AA2077" s="14">
        <f>IFERROR(IF(UPPER($E2077)="L",SUMPRODUCT(M2077:X2077,$M$3:$X$3,$M$2:$X$2),SUMPRODUCT(M2077:X2077,$M$4:$X$4,$M$2:$X$2))/(Y2077/($K2077*$L2077)),"")</f>
        <v/>
      </c>
      <c r="AB2077" s="18" t="n"/>
    </row>
    <row r="2078">
      <c r="A2078" s="9" t="n">
        <v>800182</v>
      </c>
      <c r="B2078" s="9" t="inlineStr">
        <is>
          <t>Bryan Andrade</t>
        </is>
      </c>
      <c r="C2078" s="9" t="inlineStr">
        <is>
          <t>OAK</t>
        </is>
      </c>
      <c r="D2078" s="9" t="n">
        <v>25</v>
      </c>
      <c r="E2078" s="16" t="inlineStr">
        <is>
          <t>R</t>
        </is>
      </c>
      <c r="F2078" s="16" t="n"/>
      <c r="G2078" s="9" t="n">
        <v>54.8923076923077</v>
      </c>
      <c r="H2078" s="9" t="n">
        <v>54.8923076923077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7" t="n"/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/>
      <c r="Y2078" s="13">
        <f>SUMPRODUCT(M2078:X2078,$M$2:$X$2)*$K2078*$L2078</f>
        <v/>
      </c>
      <c r="Z2078" s="14">
        <f>SUM(M2078:X2078)</f>
        <v/>
      </c>
      <c r="AA2078" s="14">
        <f>IFERROR(IF(UPPER($E2078)="L",SUMPRODUCT(M2078:X2078,$M$3:$X$3,$M$2:$X$2),SUMPRODUCT(M2078:X2078,$M$4:$X$4,$M$2:$X$2))/(Y2078/($K2078*$L2078)),"")</f>
        <v/>
      </c>
      <c r="AB2078" s="18" t="n"/>
    </row>
    <row r="2079">
      <c r="A2079" s="9" t="n">
        <v>835615</v>
      </c>
      <c r="B2079" s="9" t="inlineStr">
        <is>
          <t>Caleb Shpur</t>
        </is>
      </c>
      <c r="C2079" s="9" t="inlineStr">
        <is>
          <t>DET</t>
        </is>
      </c>
      <c r="D2079" s="9" t="n">
        <v>25</v>
      </c>
      <c r="E2079" s="16" t="inlineStr">
        <is>
          <t>R</t>
        </is>
      </c>
      <c r="F2079" s="16" t="n"/>
      <c r="G2079" s="9" t="n">
        <v>34.66666666666667</v>
      </c>
      <c r="H2079" s="9" t="n">
        <v>34.66666666666667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7" t="n"/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/>
      <c r="Y2079" s="13">
        <f>SUMPRODUCT(M2079:X2079,$M$2:$X$2)*$K2079*$L2079</f>
        <v/>
      </c>
      <c r="Z2079" s="14">
        <f>SUM(M2079:X2079)</f>
        <v/>
      </c>
      <c r="AA2079" s="14">
        <f>IFERROR(IF(UPPER($E2079)="L",SUMPRODUCT(M2079:X2079,$M$3:$X$3,$M$2:$X$2),SUMPRODUCT(M2079:X2079,$M$4:$X$4,$M$2:$X$2))/(Y2079/($K2079*$L2079)),"")</f>
        <v/>
      </c>
      <c r="AB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7" t="n"/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/>
      <c r="Y2080" s="13">
        <f>SUMPRODUCT(M2080:X2080,$M$2:$X$2)*$K2080*$L2080</f>
        <v/>
      </c>
      <c r="Z2080" s="14">
        <f>SUM(M2080:X2080)</f>
        <v/>
      </c>
      <c r="AA2080" s="14">
        <f>IFERROR(IF(UPPER($E2080)="L",SUMPRODUCT(M2080:X2080,$M$3:$X$3,$M$2:$X$2),SUMPRODUCT(M2080:X2080,$M$4:$X$4,$M$2:$X$2))/(Y2080/($K2080*$L2080)),"")</f>
        <v/>
      </c>
      <c r="AB2080" s="18" t="n"/>
    </row>
    <row r="2081">
      <c r="A2081" s="9" t="n">
        <v>668965</v>
      </c>
      <c r="B2081" s="9" t="inlineStr">
        <is>
          <t>Freddy Zamora</t>
        </is>
      </c>
      <c r="C2081" s="9" t="inlineStr">
        <is>
          <t>MIL</t>
        </is>
      </c>
      <c r="D2081" s="9" t="n">
        <v>25</v>
      </c>
      <c r="E2081" s="16" t="inlineStr">
        <is>
          <t>R</t>
        </is>
      </c>
      <c r="F2081" s="16" t="n"/>
      <c r="G2081" s="9" t="n">
        <v>81.79487179487181</v>
      </c>
      <c r="H2081" s="9" t="n">
        <v>81.79487179487181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7" t="n"/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/>
      <c r="Y2081" s="13">
        <f>SUMPRODUCT(M2081:X2081,$M$2:$X$2)*$K2081*$L2081</f>
        <v/>
      </c>
      <c r="Z2081" s="14">
        <f>SUM(M2081:X2081)</f>
        <v/>
      </c>
      <c r="AA2081" s="14">
        <f>IFERROR(IF(UPPER($E2081)="L",SUMPRODUCT(M2081:X2081,$M$3:$X$3,$M$2:$X$2),SUMPRODUCT(M2081:X2081,$M$4:$X$4,$M$2:$X$2))/(Y2081/($K2081*$L2081)),"")</f>
        <v/>
      </c>
      <c r="AB2081" s="18" t="n"/>
    </row>
    <row r="2082">
      <c r="A2082" s="9" t="n">
        <v>808571</v>
      </c>
      <c r="B2082" s="9" t="inlineStr">
        <is>
          <t>D'Angelo Ortiz</t>
        </is>
      </c>
      <c r="C2082" s="9" t="inlineStr">
        <is>
          <t>BOS</t>
        </is>
      </c>
      <c r="D2082" s="9" t="n">
        <v>25</v>
      </c>
      <c r="E2082" s="16" t="inlineStr">
        <is>
          <t>R</t>
        </is>
      </c>
      <c r="F2082" s="16" t="n"/>
      <c r="G2082" s="9" t="n">
        <v>34.58461538461539</v>
      </c>
      <c r="H2082" s="9" t="n">
        <v>34.58461538461539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7" t="n"/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/>
      <c r="Y2082" s="13">
        <f>SUMPRODUCT(M2082:X2082,$M$2:$X$2)*$K2082*$L2082</f>
        <v/>
      </c>
      <c r="Z2082" s="14">
        <f>SUM(M2082:X2082)</f>
        <v/>
      </c>
      <c r="AA2082" s="14">
        <f>IFERROR(IF(UPPER($E2082)="L",SUMPRODUCT(M2082:X2082,$M$3:$X$3,$M$2:$X$2),SUMPRODUCT(M2082:X2082,$M$4:$X$4,$M$2:$X$2))/(Y2082/($K2082*$L2082)),"")</f>
        <v/>
      </c>
      <c r="AB2082" s="18" t="n"/>
    </row>
    <row r="2083">
      <c r="A2083" s="9" t="n">
        <v>683546</v>
      </c>
      <c r="B2083" s="9" t="inlineStr">
        <is>
          <t>Albert Fabian</t>
        </is>
      </c>
      <c r="C2083" s="9" t="inlineStr">
        <is>
          <t>SD</t>
        </is>
      </c>
      <c r="D2083" s="9" t="n">
        <v>25</v>
      </c>
      <c r="E2083" s="16" t="inlineStr">
        <is>
          <t>L</t>
        </is>
      </c>
      <c r="F2083" s="16" t="n"/>
      <c r="G2083" s="9" t="n">
        <v>148.6153846153846</v>
      </c>
      <c r="H2083" s="9" t="n">
        <v>148.6153846153846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7" t="n"/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/>
      <c r="Y2083" s="13">
        <f>SUMPRODUCT(M2083:X2083,$M$2:$X$2)*$K2083*$L2083</f>
        <v/>
      </c>
      <c r="Z2083" s="14">
        <f>SUM(M2083:X2083)</f>
        <v/>
      </c>
      <c r="AA2083" s="14">
        <f>IFERROR(IF(UPPER($E2083)="L",SUMPRODUCT(M2083:X2083,$M$3:$X$3,$M$2:$X$2),SUMPRODUCT(M2083:X2083,$M$4:$X$4,$M$2:$X$2))/(Y2083/($K2083*$L2083)),"")</f>
        <v/>
      </c>
      <c r="AB2083" s="18" t="n"/>
    </row>
    <row r="2084">
      <c r="A2084" s="9" t="n">
        <v>702526</v>
      </c>
      <c r="B2084" s="9" t="inlineStr">
        <is>
          <t>Eric Snow</t>
        </is>
      </c>
      <c r="C2084" s="9" t="inlineStr">
        <is>
          <t>TOR</t>
        </is>
      </c>
      <c r="D2084" s="9" t="n">
        <v>25</v>
      </c>
      <c r="E2084" s="16" t="inlineStr">
        <is>
          <t>R</t>
        </is>
      </c>
      <c r="F2084" s="16" t="n"/>
      <c r="G2084" s="9" t="n">
        <v>41.64102564102564</v>
      </c>
      <c r="H2084" s="9" t="n">
        <v>41.64102564102564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7" t="n"/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/>
      <c r="Y2084" s="13">
        <f>SUMPRODUCT(M2084:X2084,$M$2:$X$2)*$K2084*$L2084</f>
        <v/>
      </c>
      <c r="Z2084" s="14">
        <f>SUM(M2084:X2084)</f>
        <v/>
      </c>
      <c r="AA2084" s="14">
        <f>IFERROR(IF(UPPER($E2084)="L",SUMPRODUCT(M2084:X2084,$M$3:$X$3,$M$2:$X$2),SUMPRODUCT(M2084:X2084,$M$4:$X$4,$M$2:$X$2))/(Y2084/($K2084*$L2084)),"")</f>
        <v/>
      </c>
      <c r="AB2084" s="18" t="n"/>
    </row>
    <row r="2085">
      <c r="A2085" s="9" t="n">
        <v>827672</v>
      </c>
      <c r="B2085" s="9" t="inlineStr">
        <is>
          <t>Jude Warwick</t>
        </is>
      </c>
      <c r="C2085" s="9" t="inlineStr">
        <is>
          <t>DET</t>
        </is>
      </c>
      <c r="D2085" s="9" t="n">
        <v>25</v>
      </c>
      <c r="E2085" s="16" t="inlineStr">
        <is>
          <t>L</t>
        </is>
      </c>
      <c r="F2085" s="16" t="n"/>
      <c r="G2085" s="9" t="n">
        <v>53.66153846153846</v>
      </c>
      <c r="H2085" s="9" t="n">
        <v>53.66153846153846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7" t="n"/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/>
      <c r="Y2085" s="13">
        <f>SUMPRODUCT(M2085:X2085,$M$2:$X$2)*$K2085*$L2085</f>
        <v/>
      </c>
      <c r="Z2085" s="14">
        <f>SUM(M2085:X2085)</f>
        <v/>
      </c>
      <c r="AA2085" s="14">
        <f>IFERROR(IF(UPPER($E2085)="L",SUMPRODUCT(M2085:X2085,$M$3:$X$3,$M$2:$X$2),SUMPRODUCT(M2085:X2085,$M$4:$X$4,$M$2:$X$2))/(Y2085/($K2085*$L2085)),"")</f>
        <v/>
      </c>
      <c r="AB2085" s="18" t="n"/>
    </row>
    <row r="2086">
      <c r="A2086" s="9" t="n">
        <v>815814</v>
      </c>
      <c r="B2086" s="9" t="inlineStr">
        <is>
          <t>Billy Carlson</t>
        </is>
      </c>
      <c r="C2086" s="9" t="inlineStr">
        <is>
          <t>CWS</t>
        </is>
      </c>
      <c r="D2086" s="9" t="n">
        <v>25</v>
      </c>
      <c r="E2086" s="16" t="inlineStr">
        <is>
          <t>R</t>
        </is>
      </c>
      <c r="F2086" s="16" t="n"/>
      <c r="G2086" s="9" t="n">
        <v>30.52307692307692</v>
      </c>
      <c r="H2086" s="9" t="n">
        <v>30.52307692307692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7" t="n"/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/>
      <c r="Y2086" s="13">
        <f>SUMPRODUCT(M2086:X2086,$M$2:$X$2)*$K2086*$L2086</f>
        <v/>
      </c>
      <c r="Z2086" s="14">
        <f>SUM(M2086:X2086)</f>
        <v/>
      </c>
      <c r="AA2086" s="14">
        <f>IFERROR(IF(UPPER($E2086)="L",SUMPRODUCT(M2086:X2086,$M$3:$X$3,$M$2:$X$2),SUMPRODUCT(M2086:X2086,$M$4:$X$4,$M$2:$X$2))/(Y2086/($K2086*$L2086)),"")</f>
        <v/>
      </c>
      <c r="AB2086" s="18" t="n"/>
    </row>
    <row r="2087">
      <c r="A2087" s="9" t="n">
        <v>681879</v>
      </c>
      <c r="B2087" s="9" t="inlineStr">
        <is>
          <t>Nick Lucky</t>
        </is>
      </c>
      <c r="C2087" s="9" t="inlineStr">
        <is>
          <t>NYM</t>
        </is>
      </c>
      <c r="D2087" s="9" t="n">
        <v>25</v>
      </c>
      <c r="E2087" s="16" t="inlineStr">
        <is>
          <t>L</t>
        </is>
      </c>
      <c r="F2087" s="16" t="n"/>
      <c r="G2087" s="9" t="n">
        <v>30.15384615384616</v>
      </c>
      <c r="H2087" s="9" t="n">
        <v>30.15384615384616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7" t="n"/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/>
      <c r="Y2087" s="13">
        <f>SUMPRODUCT(M2087:X2087,$M$2:$X$2)*$K2087*$L2087</f>
        <v/>
      </c>
      <c r="Z2087" s="14">
        <f>SUM(M2087:X2087)</f>
        <v/>
      </c>
      <c r="AA2087" s="14">
        <f>IFERROR(IF(UPPER($E2087)="L",SUMPRODUCT(M2087:X2087,$M$3:$X$3,$M$2:$X$2),SUMPRODUCT(M2087:X2087,$M$4:$X$4,$M$2:$X$2))/(Y2087/($K2087*$L2087)),"")</f>
        <v/>
      </c>
      <c r="AB2087" s="18" t="n"/>
    </row>
    <row r="2088">
      <c r="A2088" s="9" t="n">
        <v>691600</v>
      </c>
      <c r="B2088" s="9" t="inlineStr">
        <is>
          <t>Blayberg Diaz</t>
        </is>
      </c>
      <c r="C2088" s="9" t="inlineStr">
        <is>
          <t>MIL</t>
        </is>
      </c>
      <c r="D2088" s="9" t="n">
        <v>25</v>
      </c>
      <c r="E2088" s="16" t="inlineStr">
        <is>
          <t>R</t>
        </is>
      </c>
      <c r="F2088" s="16" t="n"/>
      <c r="G2088" s="9" t="n">
        <v>31.38461538461539</v>
      </c>
      <c r="H2088" s="9" t="n">
        <v>31.38461538461539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7" t="n"/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/>
      <c r="Y2088" s="13">
        <f>SUMPRODUCT(M2088:X2088,$M$2:$X$2)*$K2088*$L2088</f>
        <v/>
      </c>
      <c r="Z2088" s="14">
        <f>SUM(M2088:X2088)</f>
        <v/>
      </c>
      <c r="AA2088" s="14">
        <f>IFERROR(IF(UPPER($E2088)="L",SUMPRODUCT(M2088:X2088,$M$3:$X$3,$M$2:$X$2),SUMPRODUCT(M2088:X2088,$M$4:$X$4,$M$2:$X$2))/(Y2088/($K2088*$L2088)),"")</f>
        <v/>
      </c>
      <c r="AB2088" s="18" t="n"/>
    </row>
    <row r="2089">
      <c r="A2089" s="9" t="n">
        <v>702253</v>
      </c>
      <c r="B2089" s="9" t="inlineStr">
        <is>
          <t>Cam Collier</t>
        </is>
      </c>
      <c r="C2089" s="9" t="inlineStr">
        <is>
          <t>CIN</t>
        </is>
      </c>
      <c r="D2089" s="9" t="n">
        <v>25</v>
      </c>
      <c r="E2089" s="16" t="inlineStr">
        <is>
          <t>L</t>
        </is>
      </c>
      <c r="F2089" s="16" t="n"/>
      <c r="G2089" s="9" t="n">
        <v>201.7435897435897</v>
      </c>
      <c r="H2089" s="9" t="n">
        <v>201.7435897435897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7" t="n"/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/>
      <c r="Y2089" s="13">
        <f>SUMPRODUCT(M2089:X2089,$M$2:$X$2)*$K2089*$L2089</f>
        <v/>
      </c>
      <c r="Z2089" s="14">
        <f>SUM(M2089:X2089)</f>
        <v/>
      </c>
      <c r="AA2089" s="14">
        <f>IFERROR(IF(UPPER($E2089)="L",SUMPRODUCT(M2089:X2089,$M$3:$X$3,$M$2:$X$2),SUMPRODUCT(M2089:X2089,$M$4:$X$4,$M$2:$X$2))/(Y2089/($K2089*$L2089)),"")</f>
        <v/>
      </c>
      <c r="AB2089" s="18" t="n"/>
    </row>
    <row r="2090">
      <c r="A2090" s="9" t="n">
        <v>702906</v>
      </c>
      <c r="B2090" s="9" t="inlineStr">
        <is>
          <t>Wilfredo Lara</t>
        </is>
      </c>
      <c r="C2090" s="9" t="inlineStr">
        <is>
          <t>MIA</t>
        </is>
      </c>
      <c r="D2090" s="9" t="n">
        <v>25</v>
      </c>
      <c r="E2090" s="16" t="inlineStr">
        <is>
          <t>R</t>
        </is>
      </c>
      <c r="F2090" s="16" t="n"/>
      <c r="G2090" s="9" t="n">
        <v>57.64102564102565</v>
      </c>
      <c r="H2090" s="9" t="n">
        <v>57.64102564102565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7" t="n"/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/>
      <c r="Y2090" s="13">
        <f>SUMPRODUCT(M2090:X2090,$M$2:$X$2)*$K2090*$L2090</f>
        <v/>
      </c>
      <c r="Z2090" s="14">
        <f>SUM(M2090:X2090)</f>
        <v/>
      </c>
      <c r="AA2090" s="14">
        <f>IFERROR(IF(UPPER($E2090)="L",SUMPRODUCT(M2090:X2090,$M$3:$X$3,$M$2:$X$2),SUMPRODUCT(M2090:X2090,$M$4:$X$4,$M$2:$X$2))/(Y2090/($K2090*$L2090)),"")</f>
        <v/>
      </c>
      <c r="AB2090" s="18" t="n"/>
    </row>
    <row r="2091">
      <c r="A2091" s="9" t="n">
        <v>701653</v>
      </c>
      <c r="B2091" s="9" t="inlineStr">
        <is>
          <t>Mason Guerra</t>
        </is>
      </c>
      <c r="C2091" s="9" t="inlineStr">
        <is>
          <t>ATL</t>
        </is>
      </c>
      <c r="D2091" s="9" t="n">
        <v>25</v>
      </c>
      <c r="E2091" s="16" t="inlineStr">
        <is>
          <t>R</t>
        </is>
      </c>
      <c r="F2091" s="16" t="n"/>
      <c r="G2091" s="9" t="n">
        <v>80.20512820512822</v>
      </c>
      <c r="H2091" s="9" t="n">
        <v>80.20512820512822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7" t="n"/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/>
      <c r="Y2091" s="13">
        <f>SUMPRODUCT(M2091:X2091,$M$2:$X$2)*$K2091*$L2091</f>
        <v/>
      </c>
      <c r="Z2091" s="14">
        <f>SUM(M2091:X2091)</f>
        <v/>
      </c>
      <c r="AA2091" s="14">
        <f>IFERROR(IF(UPPER($E2091)="L",SUMPRODUCT(M2091:X2091,$M$3:$X$3,$M$2:$X$2),SUMPRODUCT(M2091:X2091,$M$4:$X$4,$M$2:$X$2))/(Y2091/($K2091*$L2091)),"")</f>
        <v/>
      </c>
      <c r="AB2091" s="18" t="n"/>
    </row>
    <row r="2092">
      <c r="A2092" s="9" t="n">
        <v>672275</v>
      </c>
      <c r="B2092" s="9" t="inlineStr">
        <is>
          <t>Patrick Bailey</t>
        </is>
      </c>
      <c r="C2092" s="9" t="inlineStr">
        <is>
          <t>CLE</t>
        </is>
      </c>
      <c r="D2092" s="9" t="n">
        <v>28</v>
      </c>
      <c r="E2092" s="16" t="inlineStr">
        <is>
          <t>S</t>
        </is>
      </c>
      <c r="F2092" s="16" t="n"/>
      <c r="G2092" s="9" t="n">
        <v>345</v>
      </c>
      <c r="H2092" s="9" t="n">
        <v>1598</v>
      </c>
      <c r="I2092" s="9" t="inlineStr">
        <is>
          <t>Full Time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7" t="n"/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/>
      <c r="Y2092" s="13">
        <f>SUMPRODUCT(M2092:X2092,$M$2:$X$2)*$K2092*$L2092</f>
        <v/>
      </c>
      <c r="Z2092" s="14">
        <f>SUM(M2092:X2092)</f>
        <v/>
      </c>
      <c r="AA2092" s="14">
        <f>IFERROR(IF(UPPER($E2092)="L",SUMPRODUCT(M2092:X2092,$M$3:$X$3,$M$2:$X$2),SUMPRODUCT(M2092:X2092,$M$4:$X$4,$M$2:$X$2))/(Y2092/($K2092*$L2092)),"")</f>
        <v/>
      </c>
      <c r="AB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7" t="n"/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/>
      <c r="Y2093" s="13">
        <f>SUMPRODUCT(M2093:X2093,$M$2:$X$2)*$K2093*$L2093</f>
        <v/>
      </c>
      <c r="Z2093" s="14">
        <f>SUM(M2093:X2093)</f>
        <v/>
      </c>
      <c r="AA2093" s="14">
        <f>IFERROR(IF(UPPER($E2093)="L",SUMPRODUCT(M2093:X2093,$M$3:$X$3,$M$2:$X$2),SUMPRODUCT(M2093:X2093,$M$4:$X$4,$M$2:$X$2))/(Y2093/($K2093*$L2093)),"")</f>
        <v/>
      </c>
      <c r="AB2093" s="18" t="n"/>
    </row>
    <row r="2094">
      <c r="A2094" s="9" t="n">
        <v>806978</v>
      </c>
      <c r="B2094" s="9" t="inlineStr">
        <is>
          <t>Robert Calaz</t>
        </is>
      </c>
      <c r="C2094" s="9" t="inlineStr">
        <is>
          <t>COL</t>
        </is>
      </c>
      <c r="D2094" s="9" t="n">
        <v>25</v>
      </c>
      <c r="E2094" s="16" t="inlineStr">
        <is>
          <t>R</t>
        </is>
      </c>
      <c r="F2094" s="16" t="n"/>
      <c r="G2094" s="9" t="n">
        <v>84.71794871794873</v>
      </c>
      <c r="H2094" s="9" t="n">
        <v>84.71794871794873</v>
      </c>
      <c r="I2094" s="9" t="inlineStr">
        <is>
          <t>Depth (no MLB PA)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7" t="n"/>
      <c r="N2094" s="17" t="n"/>
      <c r="O2094" s="17" t="n"/>
      <c r="P2094" s="17" t="n"/>
      <c r="Q2094" s="17" t="n"/>
      <c r="R2094" s="17" t="n"/>
      <c r="S2094" s="17" t="n"/>
      <c r="T2094" s="17" t="n"/>
      <c r="U2094" s="17" t="n"/>
      <c r="V2094" s="17" t="n"/>
      <c r="W2094" s="17" t="n"/>
      <c r="X2094" s="17" t="n"/>
      <c r="Y2094" s="13">
        <f>SUMPRODUCT(M2094:X2094,$M$2:$X$2)*$K2094*$L2094</f>
        <v/>
      </c>
      <c r="Z2094" s="14">
        <f>SUM(M2094:X2094)</f>
        <v/>
      </c>
      <c r="AA2094" s="14">
        <f>IFERROR(IF(UPPER($E2094)="L",SUMPRODUCT(M2094:X2094,$M$3:$X$3,$M$2:$X$2),SUMPRODUCT(M2094:X2094,$M$4:$X$4,$M$2:$X$2))/(Y2094/($K2094*$L2094)),"")</f>
        <v/>
      </c>
      <c r="AB2094" s="18" t="n"/>
    </row>
    <row r="2095">
      <c r="A2095" s="9" t="n">
        <v>703204</v>
      </c>
      <c r="B2095" s="9" t="inlineStr">
        <is>
          <t>Esmith Pineda</t>
        </is>
      </c>
      <c r="C2095" s="9" t="inlineStr">
        <is>
          <t>CIN</t>
        </is>
      </c>
      <c r="D2095" s="9" t="n">
        <v>25</v>
      </c>
      <c r="E2095" s="16" t="inlineStr">
        <is>
          <t>R</t>
        </is>
      </c>
      <c r="F2095" s="16" t="n"/>
      <c r="G2095" s="9" t="n">
        <v>43.69230769230769</v>
      </c>
      <c r="H2095" s="9" t="n">
        <v>43.69230769230769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7" t="n"/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/>
      <c r="Y2095" s="13">
        <f>SUMPRODUCT(M2095:X2095,$M$2:$X$2)*$K2095*$L2095</f>
        <v/>
      </c>
      <c r="Z2095" s="14">
        <f>SUM(M2095:X2095)</f>
        <v/>
      </c>
      <c r="AA2095" s="14">
        <f>IFERROR(IF(UPPER($E2095)="L",SUMPRODUCT(M2095:X2095,$M$3:$X$3,$M$2:$X$2),SUMPRODUCT(M2095:X2095,$M$4:$X$4,$M$2:$X$2))/(Y2095/($K2095*$L2095)),"")</f>
        <v/>
      </c>
      <c r="AB2095" s="18" t="n"/>
    </row>
    <row r="2096">
      <c r="A2096" s="9" t="n">
        <v>700939</v>
      </c>
      <c r="B2096" s="9" t="inlineStr">
        <is>
          <t>Bennett Lee</t>
        </is>
      </c>
      <c r="C2096" s="9" t="inlineStr">
        <is>
          <t>DET</t>
        </is>
      </c>
      <c r="D2096" s="9" t="n">
        <v>25</v>
      </c>
      <c r="E2096" s="16" t="inlineStr">
        <is>
          <t>R</t>
        </is>
      </c>
      <c r="F2096" s="16" t="n"/>
      <c r="G2096" s="9" t="n">
        <v>46.82051282051282</v>
      </c>
      <c r="H2096" s="9" t="n">
        <v>46.82051282051282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7" t="n"/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/>
      <c r="Y2096" s="13">
        <f>SUMPRODUCT(M2096:X2096,$M$2:$X$2)*$K2096*$L2096</f>
        <v/>
      </c>
      <c r="Z2096" s="14">
        <f>SUM(M2096:X2096)</f>
        <v/>
      </c>
      <c r="AA2096" s="14">
        <f>IFERROR(IF(UPPER($E2096)="L",SUMPRODUCT(M2096:X2096,$M$3:$X$3,$M$2:$X$2),SUMPRODUCT(M2096:X2096,$M$4:$X$4,$M$2:$X$2))/(Y2096/($K2096*$L2096)),"")</f>
        <v/>
      </c>
      <c r="AB2096" s="18" t="n"/>
    </row>
    <row r="2097">
      <c r="A2097" s="9" t="n">
        <v>571657</v>
      </c>
      <c r="B2097" s="9" t="inlineStr">
        <is>
          <t>Kyle Farmer</t>
        </is>
      </c>
      <c r="C2097" s="9" t="inlineStr">
        <is>
          <t>COL</t>
        </is>
      </c>
      <c r="D2097" s="9" t="n">
        <v>36</v>
      </c>
      <c r="E2097" s="16" t="inlineStr">
        <is>
          <t>R</t>
        </is>
      </c>
      <c r="F2097" s="16" t="n"/>
      <c r="G2097" s="9" t="n">
        <v>19</v>
      </c>
      <c r="H2097" s="9" t="n">
        <v>1513</v>
      </c>
      <c r="I2097" s="9" t="inlineStr">
        <is>
          <t>Utility OF / 4th OF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7" t="n"/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/>
      <c r="Y2097" s="13">
        <f>SUMPRODUCT(M2097:X2097,$M$2:$X$2)*$K2097*$L2097</f>
        <v/>
      </c>
      <c r="Z2097" s="14">
        <f>SUM(M2097:X2097)</f>
        <v/>
      </c>
      <c r="AA2097" s="14">
        <f>IFERROR(IF(UPPER($E2097)="L",SUMPRODUCT(M2097:X2097,$M$3:$X$3,$M$2:$X$2),SUMPRODUCT(M2097:X2097,$M$4:$X$4,$M$2:$X$2))/(Y2097/($K2097*$L2097)),"")</f>
        <v/>
      </c>
      <c r="AB2097" s="18" t="n"/>
    </row>
    <row r="2098">
      <c r="A2098" s="9" t="n">
        <v>806730</v>
      </c>
      <c r="B2098" s="9" t="inlineStr">
        <is>
          <t>Drew Davies</t>
        </is>
      </c>
      <c r="C2098" s="9" t="inlineStr">
        <is>
          <t>CIN</t>
        </is>
      </c>
      <c r="D2098" s="9" t="n">
        <v>25</v>
      </c>
      <c r="E2098" s="16" t="inlineStr">
        <is>
          <t>L</t>
        </is>
      </c>
      <c r="F2098" s="16" t="n"/>
      <c r="G2098" s="9" t="n">
        <v>47.38461538461538</v>
      </c>
      <c r="H2098" s="9" t="n">
        <v>47.38461538461538</v>
      </c>
      <c r="I2098" s="9" t="inlineStr">
        <is>
          <t>Depth (no MLB PA)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7" t="n"/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/>
      <c r="W2098" s="17" t="n"/>
      <c r="X2098" s="17" t="n"/>
      <c r="Y2098" s="13">
        <f>SUMPRODUCT(M2098:X2098,$M$2:$X$2)*$K2098*$L2098</f>
        <v/>
      </c>
      <c r="Z2098" s="14">
        <f>SUM(M2098:X2098)</f>
        <v/>
      </c>
      <c r="AA2098" s="14">
        <f>IFERROR(IF(UPPER($E2098)="L",SUMPRODUCT(M2098:X2098,$M$3:$X$3,$M$2:$X$2),SUMPRODUCT(M2098:X2098,$M$4:$X$4,$M$2:$X$2))/(Y2098/($K2098*$L2098)),"")</f>
        <v/>
      </c>
      <c r="AB2098" s="18" t="n"/>
    </row>
    <row r="2099">
      <c r="A2099" s="9" t="n">
        <v>690715</v>
      </c>
      <c r="B2099" s="9" t="inlineStr">
        <is>
          <t>Daunte Stuart</t>
        </is>
      </c>
      <c r="C2099" s="9" t="inlineStr">
        <is>
          <t>PHI</t>
        </is>
      </c>
      <c r="D2099" s="9" t="n">
        <v>25</v>
      </c>
      <c r="E2099" s="16" t="inlineStr">
        <is>
          <t>R</t>
        </is>
      </c>
      <c r="F2099" s="16" t="n"/>
      <c r="G2099" s="9" t="n">
        <v>45.94871794871796</v>
      </c>
      <c r="H2099" s="9" t="n">
        <v>45.94871794871796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7" t="n"/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/>
      <c r="Y2099" s="13">
        <f>SUMPRODUCT(M2099:X2099,$M$2:$X$2)*$K2099*$L2099</f>
        <v/>
      </c>
      <c r="Z2099" s="14">
        <f>SUM(M2099:X2099)</f>
        <v/>
      </c>
      <c r="AA2099" s="14">
        <f>IFERROR(IF(UPPER($E2099)="L",SUMPRODUCT(M2099:X2099,$M$3:$X$3,$M$2:$X$2),SUMPRODUCT(M2099:X2099,$M$4:$X$4,$M$2:$X$2))/(Y2099/($K2099*$L2099)),"")</f>
        <v/>
      </c>
      <c r="AB2099" s="18" t="n"/>
    </row>
    <row r="2100">
      <c r="A2100" s="9" t="n">
        <v>821112</v>
      </c>
      <c r="B2100" s="9" t="inlineStr">
        <is>
          <t>Anderson Fermin</t>
        </is>
      </c>
      <c r="C2100" s="9" t="inlineStr">
        <is>
          <t>BOS</t>
        </is>
      </c>
      <c r="D2100" s="9" t="n">
        <v>25</v>
      </c>
      <c r="E2100" s="16" t="inlineStr">
        <is>
          <t>S</t>
        </is>
      </c>
      <c r="F2100" s="16" t="n"/>
      <c r="G2100" s="9" t="n">
        <v>33.23076923076923</v>
      </c>
      <c r="H2100" s="9" t="n">
        <v>33.23076923076923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7" t="n"/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/>
      <c r="Y2100" s="13">
        <f>SUMPRODUCT(M2100:X2100,$M$2:$X$2)*$K2100*$L2100</f>
        <v/>
      </c>
      <c r="Z2100" s="14">
        <f>SUM(M2100:X2100)</f>
        <v/>
      </c>
      <c r="AA2100" s="14">
        <f>IFERROR(IF(UPPER($E2100)="L",SUMPRODUCT(M2100:X2100,$M$3:$X$3,$M$2:$X$2),SUMPRODUCT(M2100:X2100,$M$4:$X$4,$M$2:$X$2))/(Y2100/($K2100*$L2100)),"")</f>
        <v/>
      </c>
      <c r="AB2100" s="18" t="n"/>
    </row>
    <row r="2101">
      <c r="A2101" s="9" t="n">
        <v>800569</v>
      </c>
      <c r="B2101" s="9" t="inlineStr">
        <is>
          <t>Alberto Barriga</t>
        </is>
      </c>
      <c r="C2101" s="9" t="inlineStr">
        <is>
          <t>ARI</t>
        </is>
      </c>
      <c r="D2101" s="9" t="n">
        <v>25</v>
      </c>
      <c r="E2101" s="16" t="inlineStr">
        <is>
          <t>R</t>
        </is>
      </c>
      <c r="F2101" s="16" t="n"/>
      <c r="G2101" s="9" t="n">
        <v>80.76923076923076</v>
      </c>
      <c r="H2101" s="9" t="n">
        <v>80.76923076923076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7" t="n"/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/>
      <c r="Y2101" s="13">
        <f>SUMPRODUCT(M2101:X2101,$M$2:$X$2)*$K2101*$L2101</f>
        <v/>
      </c>
      <c r="Z2101" s="14">
        <f>SUM(M2101:X2101)</f>
        <v/>
      </c>
      <c r="AA2101" s="14">
        <f>IFERROR(IF(UPPER($E2101)="L",SUMPRODUCT(M2101:X2101,$M$3:$X$3,$M$2:$X$2),SUMPRODUCT(M2101:X2101,$M$4:$X$4,$M$2:$X$2))/(Y2101/($K2101*$L2101)),"")</f>
        <v/>
      </c>
      <c r="AB2101" s="18" t="n"/>
    </row>
    <row r="2102">
      <c r="A2102" s="9" t="n">
        <v>825646</v>
      </c>
      <c r="B2102" s="9" t="inlineStr">
        <is>
          <t>Juan Sanchez</t>
        </is>
      </c>
      <c r="C2102" s="9" t="inlineStr">
        <is>
          <t>TOR</t>
        </is>
      </c>
      <c r="D2102" s="9" t="n">
        <v>25</v>
      </c>
      <c r="E2102" s="16" t="inlineStr">
        <is>
          <t>R</t>
        </is>
      </c>
      <c r="F2102" s="16" t="n"/>
      <c r="G2102" s="9" t="n">
        <v>48</v>
      </c>
      <c r="H2102" s="9" t="n">
        <v>48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7" t="n"/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/>
      <c r="Y2102" s="13">
        <f>SUMPRODUCT(M2102:X2102,$M$2:$X$2)*$K2102*$L2102</f>
        <v/>
      </c>
      <c r="Z2102" s="14">
        <f>SUM(M2102:X2102)</f>
        <v/>
      </c>
      <c r="AA2102" s="14">
        <f>IFERROR(IF(UPPER($E2102)="L",SUMPRODUCT(M2102:X2102,$M$3:$X$3,$M$2:$X$2),SUMPRODUCT(M2102:X2102,$M$4:$X$4,$M$2:$X$2))/(Y2102/($K2102*$L2102)),"")</f>
        <v/>
      </c>
      <c r="AB2102" s="18" t="n"/>
    </row>
    <row r="2103">
      <c r="A2103" s="9" t="n">
        <v>692657</v>
      </c>
      <c r="B2103" s="9" t="inlineStr">
        <is>
          <t>Omar Alfonzo</t>
        </is>
      </c>
      <c r="C2103" s="9" t="inlineStr">
        <is>
          <t>NYY</t>
        </is>
      </c>
      <c r="D2103" s="9" t="n">
        <v>25</v>
      </c>
      <c r="E2103" s="16" t="inlineStr">
        <is>
          <t>L</t>
        </is>
      </c>
      <c r="F2103" s="16" t="n"/>
      <c r="G2103" s="9" t="n">
        <v>122.4102564102564</v>
      </c>
      <c r="H2103" s="9" t="n">
        <v>122.4102564102564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7" t="n"/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/>
      <c r="Y2103" s="13">
        <f>SUMPRODUCT(M2103:X2103,$M$2:$X$2)*$K2103*$L2103</f>
        <v/>
      </c>
      <c r="Z2103" s="14">
        <f>SUM(M2103:X2103)</f>
        <v/>
      </c>
      <c r="AA2103" s="14">
        <f>IFERROR(IF(UPPER($E2103)="L",SUMPRODUCT(M2103:X2103,$M$3:$X$3,$M$2:$X$2),SUMPRODUCT(M2103:X2103,$M$4:$X$4,$M$2:$X$2))/(Y2103/($K2103*$L2103)),"")</f>
        <v/>
      </c>
      <c r="AB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7" t="n"/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/>
      <c r="Y2104" s="13">
        <f>SUMPRODUCT(M2104:X2104,$M$2:$X$2)*$K2104*$L2104</f>
        <v/>
      </c>
      <c r="Z2104" s="14">
        <f>SUM(M2104:X2104)</f>
        <v/>
      </c>
      <c r="AA2104" s="14">
        <f>IFERROR(IF(UPPER($E2104)="L",SUMPRODUCT(M2104:X2104,$M$3:$X$3,$M$2:$X$2),SUMPRODUCT(M2104:X2104,$M$4:$X$4,$M$2:$X$2))/(Y2104/($K2104*$L2104)),"")</f>
        <v/>
      </c>
      <c r="AB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7" t="n"/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/>
      <c r="Y2105" s="13">
        <f>SUMPRODUCT(M2105:X2105,$M$2:$X$2)*$K2105*$L2105</f>
        <v/>
      </c>
      <c r="Z2105" s="14">
        <f>SUM(M2105:X2105)</f>
        <v/>
      </c>
      <c r="AA2105" s="14">
        <f>IFERROR(IF(UPPER($E2105)="L",SUMPRODUCT(M2105:X2105,$M$3:$X$3,$M$2:$X$2),SUMPRODUCT(M2105:X2105,$M$4:$X$4,$M$2:$X$2))/(Y2105/($K2105*$L2105)),"")</f>
        <v/>
      </c>
      <c r="AB2105" s="18" t="n"/>
    </row>
    <row r="2106">
      <c r="A2106" s="9" t="n">
        <v>701339</v>
      </c>
      <c r="B2106" s="9" t="inlineStr">
        <is>
          <t>Marek Houston</t>
        </is>
      </c>
      <c r="C2106" s="9" t="inlineStr">
        <is>
          <t>MIN</t>
        </is>
      </c>
      <c r="D2106" s="9" t="n">
        <v>25</v>
      </c>
      <c r="E2106" s="16" t="inlineStr">
        <is>
          <t>R</t>
        </is>
      </c>
      <c r="F2106" s="16" t="n"/>
      <c r="G2106" s="9" t="n">
        <v>99.7948717948718</v>
      </c>
      <c r="H2106" s="9" t="n">
        <v>99.7948717948718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7" t="n"/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/>
      <c r="Y2106" s="13">
        <f>SUMPRODUCT(M2106:X2106,$M$2:$X$2)*$K2106*$L2106</f>
        <v/>
      </c>
      <c r="Z2106" s="14">
        <f>SUM(M2106:X2106)</f>
        <v/>
      </c>
      <c r="AA2106" s="14">
        <f>IFERROR(IF(UPPER($E2106)="L",SUMPRODUCT(M2106:X2106,$M$3:$X$3,$M$2:$X$2),SUMPRODUCT(M2106:X2106,$M$4:$X$4,$M$2:$X$2))/(Y2106/($K2106*$L2106)),"")</f>
        <v/>
      </c>
      <c r="AB2106" s="18" t="n"/>
    </row>
    <row r="2107">
      <c r="A2107" s="9" t="n">
        <v>702463</v>
      </c>
      <c r="B2107" s="9" t="inlineStr">
        <is>
          <t>Aaron McKeithan</t>
        </is>
      </c>
      <c r="C2107" s="9" t="inlineStr">
        <is>
          <t>SEA</t>
        </is>
      </c>
      <c r="D2107" s="9" t="n">
        <v>25</v>
      </c>
      <c r="E2107" s="16" t="inlineStr">
        <is>
          <t>R</t>
        </is>
      </c>
      <c r="F2107" s="16" t="n"/>
      <c r="G2107" s="9" t="n">
        <v>41.64102564102564</v>
      </c>
      <c r="H2107" s="9" t="n">
        <v>41.64102564102564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7" t="n"/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/>
      <c r="Y2107" s="13">
        <f>SUMPRODUCT(M2107:X2107,$M$2:$X$2)*$K2107*$L2107</f>
        <v/>
      </c>
      <c r="Z2107" s="14">
        <f>SUM(M2107:X2107)</f>
        <v/>
      </c>
      <c r="AA2107" s="14">
        <f>IFERROR(IF(UPPER($E2107)="L",SUMPRODUCT(M2107:X2107,$M$3:$X$3,$M$2:$X$2),SUMPRODUCT(M2107:X2107,$M$4:$X$4,$M$2:$X$2))/(Y2107/($K2107*$L2107)),"")</f>
        <v/>
      </c>
      <c r="AB2107" s="18" t="n"/>
    </row>
    <row r="2108">
      <c r="A2108" s="9" t="n">
        <v>642086</v>
      </c>
      <c r="B2108" s="9" t="inlineStr">
        <is>
          <t>Dominic Smith</t>
        </is>
      </c>
      <c r="C2108" s="9" t="inlineStr">
        <is>
          <t>ATL</t>
        </is>
      </c>
      <c r="D2108" s="9" t="n">
        <v>32</v>
      </c>
      <c r="E2108" s="16" t="inlineStr">
        <is>
          <t>L</t>
        </is>
      </c>
      <c r="F2108" s="16" t="n"/>
      <c r="G2108" s="9" t="n">
        <v>300</v>
      </c>
      <c r="H2108" s="9" t="n">
        <v>1570</v>
      </c>
      <c r="I2108" s="9" t="inlineStr">
        <is>
          <t>Utility OF / 4th OF</t>
        </is>
      </c>
      <c r="J2108" s="16" t="inlineStr">
        <is>
          <t>Opening Day</t>
        </is>
      </c>
      <c r="K2108" s="11">
        <f>IFERROR(INDEX(Roles!$B$17:$B$20,MATCH(J2108,Roles!$A$17:$A$20,0)),1)</f>
        <v/>
      </c>
      <c r="L2108" s="17" t="n">
        <v>1</v>
      </c>
      <c r="M2108" s="17" t="n"/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/>
      <c r="Y2108" s="13">
        <f>SUMPRODUCT(M2108:X2108,$M$2:$X$2)*$K2108*$L2108</f>
        <v/>
      </c>
      <c r="Z2108" s="14">
        <f>SUM(M2108:X2108)</f>
        <v/>
      </c>
      <c r="AA2108" s="14">
        <f>IFERROR(IF(UPPER($E2108)="L",SUMPRODUCT(M2108:X2108,$M$3:$X$3,$M$2:$X$2),SUMPRODUCT(M2108:X2108,$M$4:$X$4,$M$2:$X$2))/(Y2108/($K2108*$L2108)),"")</f>
        <v/>
      </c>
      <c r="AB2108" s="18" t="n"/>
    </row>
    <row r="2109">
      <c r="A2109" s="9" t="n">
        <v>822624</v>
      </c>
      <c r="B2109" s="9" t="inlineStr">
        <is>
          <t>Kevin Fitzer</t>
        </is>
      </c>
      <c r="C2109" s="9" t="inlineStr">
        <is>
          <t>COL</t>
        </is>
      </c>
      <c r="D2109" s="9" t="n">
        <v>25</v>
      </c>
      <c r="E2109" s="16" t="inlineStr">
        <is>
          <t>R</t>
        </is>
      </c>
      <c r="F2109" s="16" t="n"/>
      <c r="G2109" s="9" t="n">
        <v>61.12820512820513</v>
      </c>
      <c r="H2109" s="9" t="n">
        <v>61.12820512820513</v>
      </c>
      <c r="I2109" s="9" t="inlineStr">
        <is>
          <t>Depth (no MLB PA)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7" t="n"/>
      <c r="N2109" s="17" t="n"/>
      <c r="O2109" s="17" t="n"/>
      <c r="P2109" s="17" t="n"/>
      <c r="Q2109" s="17" t="n"/>
      <c r="R2109" s="17" t="n"/>
      <c r="S2109" s="17" t="n"/>
      <c r="T2109" s="17" t="n"/>
      <c r="U2109" s="17" t="n"/>
      <c r="V2109" s="17" t="n"/>
      <c r="W2109" s="17" t="n"/>
      <c r="X2109" s="17" t="n"/>
      <c r="Y2109" s="13">
        <f>SUMPRODUCT(M2109:X2109,$M$2:$X$2)*$K2109*$L2109</f>
        <v/>
      </c>
      <c r="Z2109" s="14">
        <f>SUM(M2109:X2109)</f>
        <v/>
      </c>
      <c r="AA2109" s="14">
        <f>IFERROR(IF(UPPER($E2109)="L",SUMPRODUCT(M2109:X2109,$M$3:$X$3,$M$2:$X$2),SUMPRODUCT(M2109:X2109,$M$4:$X$4,$M$2:$X$2))/(Y2109/($K2109*$L2109)),"")</f>
        <v/>
      </c>
      <c r="AB2109" s="18" t="n"/>
    </row>
    <row r="2110">
      <c r="A2110" s="9" t="n">
        <v>821236</v>
      </c>
      <c r="B2110" s="9" t="inlineStr">
        <is>
          <t>Efren Teran</t>
        </is>
      </c>
      <c r="C2110" s="9" t="inlineStr">
        <is>
          <t>CWS</t>
        </is>
      </c>
      <c r="D2110" s="9" t="n">
        <v>25</v>
      </c>
      <c r="E2110" s="16" t="inlineStr">
        <is>
          <t>S</t>
        </is>
      </c>
      <c r="F2110" s="16" t="n"/>
      <c r="G2110" s="9" t="n">
        <v>33.23076923076923</v>
      </c>
      <c r="H2110" s="9" t="n">
        <v>33.23076923076923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7" t="n"/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/>
      <c r="Y2110" s="13">
        <f>SUMPRODUCT(M2110:X2110,$M$2:$X$2)*$K2110*$L2110</f>
        <v/>
      </c>
      <c r="Z2110" s="14">
        <f>SUM(M2110:X2110)</f>
        <v/>
      </c>
      <c r="AA2110" s="14">
        <f>IFERROR(IF(UPPER($E2110)="L",SUMPRODUCT(M2110:X2110,$M$3:$X$3,$M$2:$X$2),SUMPRODUCT(M2110:X2110,$M$4:$X$4,$M$2:$X$2))/(Y2110/($K2110*$L2110)),"")</f>
        <v/>
      </c>
      <c r="AB2110" s="18" t="n"/>
    </row>
    <row r="2111">
      <c r="A2111" s="9" t="n">
        <v>813844</v>
      </c>
      <c r="B2111" s="9" t="inlineStr">
        <is>
          <t>Will Bush</t>
        </is>
      </c>
      <c r="C2111" s="9" t="inlineStr">
        <is>
          <t>HOU</t>
        </is>
      </c>
      <c r="D2111" s="9" t="n">
        <v>25</v>
      </c>
      <c r="E2111" s="16" t="inlineStr">
        <is>
          <t>L</t>
        </is>
      </c>
      <c r="F2111" s="16" t="n"/>
      <c r="G2111" s="9" t="n">
        <v>149.6923076923077</v>
      </c>
      <c r="H2111" s="9" t="n">
        <v>149.6923076923077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7" t="n"/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/>
      <c r="Y2111" s="13">
        <f>SUMPRODUCT(M2111:X2111,$M$2:$X$2)*$K2111*$L2111</f>
        <v/>
      </c>
      <c r="Z2111" s="14">
        <f>SUM(M2111:X2111)</f>
        <v/>
      </c>
      <c r="AA2111" s="14">
        <f>IFERROR(IF(UPPER($E2111)="L",SUMPRODUCT(M2111:X2111,$M$3:$X$3,$M$2:$X$2),SUMPRODUCT(M2111:X2111,$M$4:$X$4,$M$2:$X$2))/(Y2111/($K2111*$L2111)),"")</f>
        <v/>
      </c>
      <c r="AB2111" s="18" t="n"/>
    </row>
    <row r="2112">
      <c r="A2112" s="9" t="n">
        <v>811716</v>
      </c>
      <c r="B2112" s="9" t="inlineStr">
        <is>
          <t>Landyn Vidourek</t>
        </is>
      </c>
      <c r="C2112" s="9" t="inlineStr">
        <is>
          <t>COL</t>
        </is>
      </c>
      <c r="D2112" s="9" t="n">
        <v>25</v>
      </c>
      <c r="E2112" s="16" t="inlineStr">
        <is>
          <t>L</t>
        </is>
      </c>
      <c r="F2112" s="16" t="n"/>
      <c r="G2112" s="9" t="n">
        <v>49.96923076923077</v>
      </c>
      <c r="H2112" s="9" t="n">
        <v>49.96923076923077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7" t="n"/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/>
      <c r="Y2112" s="13">
        <f>SUMPRODUCT(M2112:X2112,$M$2:$X$2)*$K2112*$L2112</f>
        <v/>
      </c>
      <c r="Z2112" s="14">
        <f>SUM(M2112:X2112)</f>
        <v/>
      </c>
      <c r="AA2112" s="14">
        <f>IFERROR(IF(UPPER($E2112)="L",SUMPRODUCT(M2112:X2112,$M$3:$X$3,$M$2:$X$2),SUMPRODUCT(M2112:X2112,$M$4:$X$4,$M$2:$X$2))/(Y2112/($K2112*$L2112)),"")</f>
        <v/>
      </c>
      <c r="AB2112" s="18" t="n"/>
    </row>
    <row r="2113">
      <c r="A2113" s="9" t="n">
        <v>808805</v>
      </c>
      <c r="B2113" s="9" t="inlineStr">
        <is>
          <t>Tyler Pettorini</t>
        </is>
      </c>
      <c r="C2113" s="9" t="inlineStr">
        <is>
          <t>PHI</t>
        </is>
      </c>
      <c r="D2113" s="9" t="n">
        <v>25</v>
      </c>
      <c r="E2113" s="16" t="inlineStr">
        <is>
          <t>L</t>
        </is>
      </c>
      <c r="F2113" s="16" t="n"/>
      <c r="G2113" s="9" t="n">
        <v>46.56410256410257</v>
      </c>
      <c r="H2113" s="9" t="n">
        <v>46.56410256410257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7" t="n"/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/>
      <c r="Y2113" s="13">
        <f>SUMPRODUCT(M2113:X2113,$M$2:$X$2)*$K2113*$L2113</f>
        <v/>
      </c>
      <c r="Z2113" s="14">
        <f>SUM(M2113:X2113)</f>
        <v/>
      </c>
      <c r="AA2113" s="14">
        <f>IFERROR(IF(UPPER($E2113)="L",SUMPRODUCT(M2113:X2113,$M$3:$X$3,$M$2:$X$2),SUMPRODUCT(M2113:X2113,$M$4:$X$4,$M$2:$X$2))/(Y2113/($K2113*$L2113)),"")</f>
        <v/>
      </c>
      <c r="AB2113" s="18" t="n"/>
    </row>
    <row r="2114">
      <c r="A2114" s="9" t="n">
        <v>688617</v>
      </c>
      <c r="B2114" s="9" t="inlineStr">
        <is>
          <t>Michael Snyder</t>
        </is>
      </c>
      <c r="C2114" s="9" t="inlineStr">
        <is>
          <t>MIA</t>
        </is>
      </c>
      <c r="D2114" s="9" t="n">
        <v>25</v>
      </c>
      <c r="E2114" s="16" t="inlineStr">
        <is>
          <t>R</t>
        </is>
      </c>
      <c r="F2114" s="16" t="n"/>
      <c r="G2114" s="9" t="n">
        <v>40.56410256410256</v>
      </c>
      <c r="H2114" s="9" t="n">
        <v>40.56410256410256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7" t="n"/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/>
      <c r="Y2114" s="13">
        <f>SUMPRODUCT(M2114:X2114,$M$2:$X$2)*$K2114*$L2114</f>
        <v/>
      </c>
      <c r="Z2114" s="14">
        <f>SUM(M2114:X2114)</f>
        <v/>
      </c>
      <c r="AA2114" s="14">
        <f>IFERROR(IF(UPPER($E2114)="L",SUMPRODUCT(M2114:X2114,$M$3:$X$3,$M$2:$X$2),SUMPRODUCT(M2114:X2114,$M$4:$X$4,$M$2:$X$2))/(Y2114/($K2114*$L2114)),"")</f>
        <v/>
      </c>
      <c r="AB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7" t="n"/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/>
      <c r="Y2115" s="13">
        <f>SUMPRODUCT(M2115:X2115,$M$2:$X$2)*$K2115*$L2115</f>
        <v/>
      </c>
      <c r="Z2115" s="14">
        <f>SUM(M2115:X2115)</f>
        <v/>
      </c>
      <c r="AA2115" s="14">
        <f>IFERROR(IF(UPPER($E2115)="L",SUMPRODUCT(M2115:X2115,$M$3:$X$3,$M$2:$X$2),SUMPRODUCT(M2115:X2115,$M$4:$X$4,$M$2:$X$2))/(Y2115/($K2115*$L2115)),"")</f>
        <v/>
      </c>
      <c r="AB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7" t="n"/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/>
      <c r="Y2116" s="13">
        <f>SUMPRODUCT(M2116:X2116,$M$2:$X$2)*$K2116*$L2116</f>
        <v/>
      </c>
      <c r="Z2116" s="14">
        <f>SUM(M2116:X2116)</f>
        <v/>
      </c>
      <c r="AA2116" s="14">
        <f>IFERROR(IF(UPPER($E2116)="L",SUMPRODUCT(M2116:X2116,$M$3:$X$3,$M$2:$X$2),SUMPRODUCT(M2116:X2116,$M$4:$X$4,$M$2:$X$2))/(Y2116/($K2116*$L2116)),"")</f>
        <v/>
      </c>
      <c r="AB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7" t="n"/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/>
      <c r="Y2117" s="13">
        <f>SUMPRODUCT(M2117:X2117,$M$2:$X$2)*$K2117*$L2117</f>
        <v/>
      </c>
      <c r="Z2117" s="14">
        <f>SUM(M2117:X2117)</f>
        <v/>
      </c>
      <c r="AA2117" s="14">
        <f>IFERROR(IF(UPPER($E2117)="L",SUMPRODUCT(M2117:X2117,$M$3:$X$3,$M$2:$X$2),SUMPRODUCT(M2117:X2117,$M$4:$X$4,$M$2:$X$2))/(Y2117/($K2117*$L2117)),"")</f>
        <v/>
      </c>
      <c r="AB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n"/>
      <c r="G2118" s="9" t="n">
        <v>91</v>
      </c>
      <c r="H2118" s="9" t="n">
        <v>91</v>
      </c>
      <c r="I2118" s="9" t="inlineStr">
        <is>
          <t>Bench Bat</t>
        </is>
      </c>
      <c r="J2118" s="16" t="inlineStr">
        <is>
          <t>Opening Day</t>
        </is>
      </c>
      <c r="K2118" s="11">
        <f>IFERROR(INDEX(Roles!$B$17:$B$20,MATCH(J2118,Roles!$A$17:$A$20,0)),1)</f>
        <v/>
      </c>
      <c r="L2118" s="17" t="n">
        <v>1</v>
      </c>
      <c r="M2118" s="17" t="n"/>
      <c r="N2118" s="17" t="n"/>
      <c r="O2118" s="17" t="n"/>
      <c r="P2118" s="17" t="n"/>
      <c r="Q2118" s="17" t="n"/>
      <c r="R2118" s="17" t="n"/>
      <c r="S2118" s="17" t="n"/>
      <c r="T2118" s="17" t="n"/>
      <c r="U2118" s="17" t="n"/>
      <c r="V2118" s="17" t="n"/>
      <c r="W2118" s="17" t="n"/>
      <c r="X2118" s="17" t="n"/>
      <c r="Y2118" s="13">
        <f>SUMPRODUCT(M2118:X2118,$M$2:$X$2)*$K2118*$L2118</f>
        <v/>
      </c>
      <c r="Z2118" s="14">
        <f>SUM(M2118:X2118)</f>
        <v/>
      </c>
      <c r="AA2118" s="14">
        <f>IFERROR(IF(UPPER($E2118)="L",SUMPRODUCT(M2118:X2118,$M$3:$X$3,$M$2:$X$2),SUMPRODUCT(M2118:X2118,$M$4:$X$4,$M$2:$X$2))/(Y2118/($K2118*$L2118)),"")</f>
        <v/>
      </c>
      <c r="AB2118" s="18" t="n"/>
    </row>
    <row r="2119">
      <c r="A2119" s="9" t="n">
        <v>673962</v>
      </c>
      <c r="B2119" s="9" t="inlineStr">
        <is>
          <t>Josh Jung</t>
        </is>
      </c>
      <c r="C2119" s="9" t="inlineStr">
        <is>
          <t>TEX</t>
        </is>
      </c>
      <c r="D2119" s="9" t="n">
        <v>29</v>
      </c>
      <c r="E2119" s="16" t="inlineStr">
        <is>
          <t>R</t>
        </is>
      </c>
      <c r="F2119" s="16" t="n"/>
      <c r="G2119" s="9" t="n">
        <v>444</v>
      </c>
      <c r="H2119" s="9" t="n">
        <v>1760</v>
      </c>
      <c r="I2119" s="9" t="inlineStr">
        <is>
          <t>Full Time</t>
        </is>
      </c>
      <c r="J2119" s="16" t="inlineStr">
        <is>
          <t>Opening Day</t>
        </is>
      </c>
      <c r="K2119" s="11">
        <f>IFERROR(INDEX(Roles!$B$17:$B$20,MATCH(J2119,Roles!$A$17:$A$20,0)),1)</f>
        <v/>
      </c>
      <c r="L2119" s="17" t="n">
        <v>1</v>
      </c>
      <c r="M2119" s="17" t="n"/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/>
      <c r="Y2119" s="13">
        <f>SUMPRODUCT(M2119:X2119,$M$2:$X$2)*$K2119*$L2119</f>
        <v/>
      </c>
      <c r="Z2119" s="14">
        <f>SUM(M2119:X2119)</f>
        <v/>
      </c>
      <c r="AA2119" s="14">
        <f>IFERROR(IF(UPPER($E2119)="L",SUMPRODUCT(M2119:X2119,$M$3:$X$3,$M$2:$X$2),SUMPRODUCT(M2119:X2119,$M$4:$X$4,$M$2:$X$2))/(Y2119/($K2119*$L2119)),"")</f>
        <v/>
      </c>
      <c r="AB2119" s="18" t="n"/>
    </row>
    <row r="2120">
      <c r="A2120" s="9" t="n">
        <v>669234</v>
      </c>
      <c r="B2120" s="9" t="inlineStr">
        <is>
          <t>Justyn-Henry Malloy</t>
        </is>
      </c>
      <c r="C2120" s="9" t="inlineStr">
        <is>
          <t>DET</t>
        </is>
      </c>
      <c r="D2120" s="9" t="n">
        <v>27</v>
      </c>
      <c r="E2120" s="16" t="inlineStr">
        <is>
          <t>R</t>
        </is>
      </c>
      <c r="F2120" s="16" t="n"/>
      <c r="G2120" s="9" t="n">
        <v>127</v>
      </c>
      <c r="H2120" s="9" t="n">
        <v>357</v>
      </c>
      <c r="I2120" s="9" t="inlineStr">
        <is>
          <t>Bench Bat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7" t="n"/>
      <c r="N2120" s="17" t="n"/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/>
      <c r="X2120" s="17" t="n"/>
      <c r="Y2120" s="13">
        <f>SUMPRODUCT(M2120:X2120,$M$2:$X$2)*$K2120*$L2120</f>
        <v/>
      </c>
      <c r="Z2120" s="14">
        <f>SUM(M2120:X2120)</f>
        <v/>
      </c>
      <c r="AA2120" s="14">
        <f>IFERROR(IF(UPPER($E2120)="L",SUMPRODUCT(M2120:X2120,$M$3:$X$3,$M$2:$X$2),SUMPRODUCT(M2120:X2120,$M$4:$X$4,$M$2:$X$2))/(Y2120/($K2120*$L2120)),"")</f>
        <v/>
      </c>
      <c r="AB2120" s="18" t="n"/>
    </row>
    <row r="2121">
      <c r="A2121" s="9" t="n">
        <v>815829</v>
      </c>
      <c r="B2121" s="9" t="inlineStr">
        <is>
          <t>Ryan Mitchell</t>
        </is>
      </c>
      <c r="C2121" s="9" t="inlineStr">
        <is>
          <t>STL</t>
        </is>
      </c>
      <c r="D2121" s="9" t="n">
        <v>25</v>
      </c>
      <c r="E2121" s="16" t="inlineStr">
        <is>
          <t>L</t>
        </is>
      </c>
      <c r="F2121" s="16" t="n"/>
      <c r="G2121" s="9" t="n">
        <v>59.81538461538461</v>
      </c>
      <c r="H2121" s="9" t="n">
        <v>59.81538461538461</v>
      </c>
      <c r="I2121" s="9" t="inlineStr">
        <is>
          <t>Depth (no MLB PA)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7" t="n"/>
      <c r="N2121" s="17" t="n"/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3">
        <f>SUMPRODUCT(M2121:X2121,$M$2:$X$2)*$K2121*$L2121</f>
        <v/>
      </c>
      <c r="Z2121" s="14">
        <f>SUM(M2121:X2121)</f>
        <v/>
      </c>
      <c r="AA2121" s="14">
        <f>IFERROR(IF(UPPER($E2121)="L",SUMPRODUCT(M2121:X2121,$M$3:$X$3,$M$2:$X$2),SUMPRODUCT(M2121:X2121,$M$4:$X$4,$M$2:$X$2))/(Y2121/($K2121*$L2121)),"")</f>
        <v/>
      </c>
      <c r="AB2121" s="18" t="n"/>
    </row>
    <row r="2122">
      <c r="A2122" s="9" t="n">
        <v>833458</v>
      </c>
      <c r="B2122" s="9" t="inlineStr">
        <is>
          <t>Justin Stransky</t>
        </is>
      </c>
      <c r="C2122" s="9" t="inlineStr">
        <is>
          <t>CHC</t>
        </is>
      </c>
      <c r="D2122" s="9" t="n">
        <v>25</v>
      </c>
      <c r="E2122" s="16" t="inlineStr">
        <is>
          <t>R</t>
        </is>
      </c>
      <c r="F2122" s="16" t="n"/>
      <c r="G2122" s="9" t="n">
        <v>61.53846153846154</v>
      </c>
      <c r="H2122" s="9" t="n">
        <v>61.53846153846154</v>
      </c>
      <c r="I2122" s="9" t="inlineStr">
        <is>
          <t>Depth (no MLB PA)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7" t="n"/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/>
      <c r="W2122" s="17" t="n"/>
      <c r="X2122" s="17" t="n"/>
      <c r="Y2122" s="13">
        <f>SUMPRODUCT(M2122:X2122,$M$2:$X$2)*$K2122*$L2122</f>
        <v/>
      </c>
      <c r="Z2122" s="14">
        <f>SUM(M2122:X2122)</f>
        <v/>
      </c>
      <c r="AA2122" s="14">
        <f>IFERROR(IF(UPPER($E2122)="L",SUMPRODUCT(M2122:X2122,$M$3:$X$3,$M$2:$X$2),SUMPRODUCT(M2122:X2122,$M$4:$X$4,$M$2:$X$2))/(Y2122/($K2122*$L2122)),"")</f>
        <v/>
      </c>
      <c r="AB2122" s="18" t="n"/>
    </row>
    <row r="2123">
      <c r="A2123" s="9" t="n">
        <v>663616</v>
      </c>
      <c r="B2123" s="9" t="inlineStr">
        <is>
          <t>Trevor Larnach</t>
        </is>
      </c>
      <c r="C2123" s="9" t="inlineStr">
        <is>
          <t>MIN</t>
        </is>
      </c>
      <c r="D2123" s="9" t="n">
        <v>30</v>
      </c>
      <c r="E2123" s="16" t="inlineStr">
        <is>
          <t>L</t>
        </is>
      </c>
      <c r="F2123" s="16" t="n"/>
      <c r="G2123" s="9" t="n">
        <v>433</v>
      </c>
      <c r="H2123" s="9" t="n">
        <v>1792</v>
      </c>
      <c r="I2123" s="9" t="inlineStr">
        <is>
          <t>Full Time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7" t="n"/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/>
      <c r="Y2123" s="13">
        <f>SUMPRODUCT(M2123:X2123,$M$2:$X$2)*$K2123*$L2123</f>
        <v/>
      </c>
      <c r="Z2123" s="14">
        <f>SUM(M2123:X2123)</f>
        <v/>
      </c>
      <c r="AA2123" s="14">
        <f>IFERROR(IF(UPPER($E2123)="L",SUMPRODUCT(M2123:X2123,$M$3:$X$3,$M$2:$X$2),SUMPRODUCT(M2123:X2123,$M$4:$X$4,$M$2:$X$2))/(Y2123/($K2123*$L2123)),"")</f>
        <v/>
      </c>
      <c r="AB2123" s="18" t="n"/>
    </row>
    <row r="2124">
      <c r="A2124" s="9" t="n">
        <v>813429</v>
      </c>
      <c r="B2124" s="9" t="inlineStr">
        <is>
          <t>Lucas Ramirez</t>
        </is>
      </c>
      <c r="C2124" s="9" t="inlineStr">
        <is>
          <t>LAA</t>
        </is>
      </c>
      <c r="D2124" s="9" t="n">
        <v>25</v>
      </c>
      <c r="E2124" s="16" t="inlineStr">
        <is>
          <t>L</t>
        </is>
      </c>
      <c r="F2124" s="16" t="n"/>
      <c r="G2124" s="9" t="n">
        <v>52.06153846153846</v>
      </c>
      <c r="H2124" s="9" t="n">
        <v>52.06153846153846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7" t="n"/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/>
      <c r="Y2124" s="13">
        <f>SUMPRODUCT(M2124:X2124,$M$2:$X$2)*$K2124*$L2124</f>
        <v/>
      </c>
      <c r="Z2124" s="14">
        <f>SUM(M2124:X2124)</f>
        <v/>
      </c>
      <c r="AA2124" s="14">
        <f>IFERROR(IF(UPPER($E2124)="L",SUMPRODUCT(M2124:X2124,$M$3:$X$3,$M$2:$X$2),SUMPRODUCT(M2124:X2124,$M$4:$X$4,$M$2:$X$2))/(Y2124/($K2124*$L2124)),"")</f>
        <v/>
      </c>
      <c r="AB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n"/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7" t="n"/>
      <c r="N2125" s="17" t="n"/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3">
        <f>SUMPRODUCT(M2125:X2125,$M$2:$X$2)*$K2125*$L2125</f>
        <v/>
      </c>
      <c r="Z2125" s="14">
        <f>SUM(M2125:X2125)</f>
        <v/>
      </c>
      <c r="AA2125" s="14">
        <f>IFERROR(IF(UPPER($E2125)="L",SUMPRODUCT(M2125:X2125,$M$3:$X$3,$M$2:$X$2),SUMPRODUCT(M2125:X2125,$M$4:$X$4,$M$2:$X$2))/(Y2125/($K2125*$L2125)),"")</f>
        <v/>
      </c>
      <c r="AB2125" s="18" t="n"/>
    </row>
    <row r="2126">
      <c r="A2126" s="9" t="n">
        <v>814154</v>
      </c>
      <c r="B2126" s="9" t="inlineStr">
        <is>
          <t>Scott Bandura</t>
        </is>
      </c>
      <c r="C2126" s="9" t="inlineStr">
        <is>
          <t>SF</t>
        </is>
      </c>
      <c r="D2126" s="9" t="n">
        <v>25</v>
      </c>
      <c r="E2126" s="16" t="inlineStr">
        <is>
          <t>L</t>
        </is>
      </c>
      <c r="F2126" s="16" t="n"/>
      <c r="G2126" s="9" t="n">
        <v>30</v>
      </c>
      <c r="H2126" s="9" t="n">
        <v>30</v>
      </c>
      <c r="I2126" s="9" t="inlineStr">
        <is>
          <t>Bench Bat</t>
        </is>
      </c>
      <c r="J2126" s="16" t="inlineStr">
        <is>
          <t>Opening Day</t>
        </is>
      </c>
      <c r="K2126" s="11">
        <f>IFERROR(INDEX(Roles!$B$17:$B$20,MATCH(J2126,Roles!$A$17:$A$20,0)),1)</f>
        <v/>
      </c>
      <c r="L2126" s="17" t="n">
        <v>1</v>
      </c>
      <c r="M2126" s="17" t="n"/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/>
      <c r="Y2126" s="13">
        <f>SUMPRODUCT(M2126:X2126,$M$2:$X$2)*$K2126*$L2126</f>
        <v/>
      </c>
      <c r="Z2126" s="14">
        <f>SUM(M2126:X2126)</f>
        <v/>
      </c>
      <c r="AA2126" s="14">
        <f>IFERROR(IF(UPPER($E2126)="L",SUMPRODUCT(M2126:X2126,$M$3:$X$3,$M$2:$X$2),SUMPRODUCT(M2126:X2126,$M$4:$X$4,$M$2:$X$2))/(Y2126/($K2126*$L2126)),"")</f>
        <v/>
      </c>
      <c r="AB2126" s="18" t="n"/>
    </row>
    <row r="2127">
      <c r="A2127" s="9" t="n">
        <v>686531</v>
      </c>
      <c r="B2127" s="9" t="inlineStr">
        <is>
          <t>Andre Lipcius</t>
        </is>
      </c>
      <c r="C2127" s="9" t="inlineStr">
        <is>
          <t>DET</t>
        </is>
      </c>
      <c r="D2127" s="9" t="n">
        <v>29</v>
      </c>
      <c r="E2127" s="16" t="inlineStr">
        <is>
          <t>R</t>
        </is>
      </c>
      <c r="F2127" s="16" t="n"/>
      <c r="G2127" s="9" t="n">
        <v>38</v>
      </c>
      <c r="H2127" s="9" t="n">
        <v>38</v>
      </c>
      <c r="I2127" s="9" t="inlineStr">
        <is>
          <t>Depth (no MLB PA)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7" t="n"/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/>
      <c r="W2127" s="17" t="n"/>
      <c r="X2127" s="17" t="n"/>
      <c r="Y2127" s="13">
        <f>SUMPRODUCT(M2127:X2127,$M$2:$X$2)*$K2127*$L2127</f>
        <v/>
      </c>
      <c r="Z2127" s="14">
        <f>SUM(M2127:X2127)</f>
        <v/>
      </c>
      <c r="AA2127" s="14">
        <f>IFERROR(IF(UPPER($E2127)="L",SUMPRODUCT(M2127:X2127,$M$3:$X$3,$M$2:$X$2),SUMPRODUCT(M2127:X2127,$M$4:$X$4,$M$2:$X$2))/(Y2127/($K2127*$L2127)),"")</f>
        <v/>
      </c>
      <c r="AB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7" t="n"/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/>
      <c r="Y2128" s="13">
        <f>SUMPRODUCT(M2128:X2128,$M$2:$X$2)*$K2128*$L2128</f>
        <v/>
      </c>
      <c r="Z2128" s="14">
        <f>SUM(M2128:X2128)</f>
        <v/>
      </c>
      <c r="AA2128" s="14">
        <f>IFERROR(IF(UPPER($E2128)="L",SUMPRODUCT(M2128:X2128,$M$3:$X$3,$M$2:$X$2),SUMPRODUCT(M2128:X2128,$M$4:$X$4,$M$2:$X$2))/(Y2128/($K2128*$L2128)),"")</f>
        <v/>
      </c>
      <c r="AB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25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Opening Day</t>
        </is>
      </c>
      <c r="K2129" s="11">
        <f>IFERROR(INDEX(Roles!$B$17:$B$20,MATCH(J2129,Roles!$A$17:$A$20,0)),1)</f>
        <v/>
      </c>
      <c r="L2129" s="17" t="n">
        <v>1</v>
      </c>
      <c r="M2129" s="17" t="n"/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/>
      <c r="Y2129" s="13">
        <f>SUMPRODUCT(M2129:X2129,$M$2:$X$2)*$K2129*$L2129</f>
        <v/>
      </c>
      <c r="Z2129" s="14">
        <f>SUM(M2129:X2129)</f>
        <v/>
      </c>
      <c r="AA2129" s="14">
        <f>IFERROR(IF(UPPER($E2129)="L",SUMPRODUCT(M2129:X2129,$M$3:$X$3,$M$2:$X$2),SUMPRODUCT(M2129:X2129,$M$4:$X$4,$M$2:$X$2))/(Y2129/($K2129*$L2129)),"")</f>
        <v/>
      </c>
      <c r="AB2129" s="18" t="n"/>
    </row>
    <row r="2130">
      <c r="A2130" s="9" t="n">
        <v>815889</v>
      </c>
      <c r="B2130" s="9" t="inlineStr">
        <is>
          <t>Paulino Santana</t>
        </is>
      </c>
      <c r="C2130" s="9" t="inlineStr">
        <is>
          <t>TEX</t>
        </is>
      </c>
      <c r="D2130" s="9" t="n">
        <v>25</v>
      </c>
      <c r="E2130" s="16" t="inlineStr">
        <is>
          <t>R</t>
        </is>
      </c>
      <c r="F2130" s="16" t="n"/>
      <c r="G2130" s="9" t="n">
        <v>67.56923076923077</v>
      </c>
      <c r="H2130" s="9" t="n">
        <v>67.56923076923077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7" t="n"/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/>
      <c r="Y2130" s="13">
        <f>SUMPRODUCT(M2130:X2130,$M$2:$X$2)*$K2130*$L2130</f>
        <v/>
      </c>
      <c r="Z2130" s="14">
        <f>SUM(M2130:X2130)</f>
        <v/>
      </c>
      <c r="AA2130" s="14">
        <f>IFERROR(IF(UPPER($E2130)="L",SUMPRODUCT(M2130:X2130,$M$3:$X$3,$M$2:$X$2),SUMPRODUCT(M2130:X2130,$M$4:$X$4,$M$2:$X$2))/(Y2130/($K2130*$L2130)),"")</f>
        <v/>
      </c>
      <c r="AB2130" s="18" t="n"/>
    </row>
    <row r="2131">
      <c r="A2131" s="9" t="n">
        <v>811764</v>
      </c>
      <c r="B2131" s="9" t="inlineStr">
        <is>
          <t>Cody Miller</t>
        </is>
      </c>
      <c r="C2131" s="9" t="inlineStr">
        <is>
          <t>ATL</t>
        </is>
      </c>
      <c r="D2131" s="9" t="n">
        <v>25</v>
      </c>
      <c r="E2131" s="16" t="inlineStr">
        <is>
          <t>R</t>
        </is>
      </c>
      <c r="F2131" s="16" t="n"/>
      <c r="G2131" s="9" t="n">
        <v>68.1025641025641</v>
      </c>
      <c r="H2131" s="9" t="n">
        <v>68.1025641025641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7" t="n"/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/>
      <c r="Y2131" s="13">
        <f>SUMPRODUCT(M2131:X2131,$M$2:$X$2)*$K2131*$L2131</f>
        <v/>
      </c>
      <c r="Z2131" s="14">
        <f>SUM(M2131:X2131)</f>
        <v/>
      </c>
      <c r="AA2131" s="14">
        <f>IFERROR(IF(UPPER($E2131)="L",SUMPRODUCT(M2131:X2131,$M$3:$X$3,$M$2:$X$2),SUMPRODUCT(M2131:X2131,$M$4:$X$4,$M$2:$X$2))/(Y2131/($K2131*$L2131)),"")</f>
        <v/>
      </c>
      <c r="AB2131" s="18" t="n"/>
    </row>
    <row r="2132">
      <c r="A2132" s="9" t="n">
        <v>668776</v>
      </c>
      <c r="B2132" s="9" t="inlineStr">
        <is>
          <t>Devin Ortiz</t>
        </is>
      </c>
      <c r="C2132" s="9" t="inlineStr">
        <is>
          <t>WSH</t>
        </is>
      </c>
      <c r="D2132" s="9" t="n">
        <v>25</v>
      </c>
      <c r="E2132" s="16" t="inlineStr">
        <is>
          <t>R</t>
        </is>
      </c>
      <c r="F2132" s="16" t="n"/>
      <c r="G2132" s="9" t="n">
        <v>80.05128205128204</v>
      </c>
      <c r="H2132" s="9" t="n">
        <v>80.05128205128204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7" t="n"/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/>
      <c r="Y2132" s="13">
        <f>SUMPRODUCT(M2132:X2132,$M$2:$X$2)*$K2132*$L2132</f>
        <v/>
      </c>
      <c r="Z2132" s="14">
        <f>SUM(M2132:X2132)</f>
        <v/>
      </c>
      <c r="AA2132" s="14">
        <f>IFERROR(IF(UPPER($E2132)="L",SUMPRODUCT(M2132:X2132,$M$3:$X$3,$M$2:$X$2),SUMPRODUCT(M2132:X2132,$M$4:$X$4,$M$2:$X$2))/(Y2132/($K2132*$L2132)),"")</f>
        <v/>
      </c>
      <c r="AB2132" s="18" t="n"/>
    </row>
    <row r="2133">
      <c r="A2133" s="9" t="n">
        <v>506702</v>
      </c>
      <c r="B2133" s="9" t="inlineStr">
        <is>
          <t>Sandy León</t>
        </is>
      </c>
      <c r="C2133" s="9" t="inlineStr">
        <is>
          <t>ATL</t>
        </is>
      </c>
      <c r="D2133" s="9" t="n">
        <v>38</v>
      </c>
      <c r="E2133" s="16" t="inlineStr">
        <is>
          <t>S</t>
        </is>
      </c>
      <c r="F2133" s="16" t="n"/>
      <c r="G2133" s="9" t="n">
        <v>44</v>
      </c>
      <c r="H2133" s="9" t="n">
        <v>186</v>
      </c>
      <c r="I2133" s="9" t="inlineStr">
        <is>
          <t>Bench Bat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7" t="n"/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/>
      <c r="Y2133" s="13">
        <f>SUMPRODUCT(M2133:X2133,$M$2:$X$2)*$K2133*$L2133</f>
        <v/>
      </c>
      <c r="Z2133" s="14">
        <f>SUM(M2133:X2133)</f>
        <v/>
      </c>
      <c r="AA2133" s="14">
        <f>IFERROR(IF(UPPER($E2133)="L",SUMPRODUCT(M2133:X2133,$M$3:$X$3,$M$2:$X$2),SUMPRODUCT(M2133:X2133,$M$4:$X$4,$M$2:$X$2))/(Y2133/($K2133*$L2133)),"")</f>
        <v/>
      </c>
      <c r="AB2133" s="18" t="n"/>
    </row>
    <row r="2134">
      <c r="A2134" s="9" t="n">
        <v>809633</v>
      </c>
      <c r="B2134" s="9" t="inlineStr">
        <is>
          <t>Michael Dattalo</t>
        </is>
      </c>
      <c r="C2134" s="9" t="inlineStr">
        <is>
          <t>STL</t>
        </is>
      </c>
      <c r="D2134" s="9" t="n">
        <v>25</v>
      </c>
      <c r="E2134" s="16" t="inlineStr">
        <is>
          <t>R</t>
        </is>
      </c>
      <c r="F2134" s="16" t="n"/>
      <c r="G2134" s="9" t="n">
        <v>38.76923076923077</v>
      </c>
      <c r="H2134" s="9" t="n">
        <v>38.76923076923077</v>
      </c>
      <c r="I2134" s="9" t="inlineStr">
        <is>
          <t>Depth (no MLB PA)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7" t="n"/>
      <c r="N2134" s="17" t="n"/>
      <c r="O2134" s="17" t="n"/>
      <c r="P2134" s="17" t="n"/>
      <c r="Q2134" s="17" t="n"/>
      <c r="R2134" s="17" t="n"/>
      <c r="S2134" s="17" t="n"/>
      <c r="T2134" s="17" t="n"/>
      <c r="U2134" s="17" t="n"/>
      <c r="V2134" s="17" t="n"/>
      <c r="W2134" s="17" t="n"/>
      <c r="X2134" s="17" t="n"/>
      <c r="Y2134" s="13">
        <f>SUMPRODUCT(M2134:X2134,$M$2:$X$2)*$K2134*$L2134</f>
        <v/>
      </c>
      <c r="Z2134" s="14">
        <f>SUM(M2134:X2134)</f>
        <v/>
      </c>
      <c r="AA2134" s="14">
        <f>IFERROR(IF(UPPER($E2134)="L",SUMPRODUCT(M2134:X2134,$M$3:$X$3,$M$2:$X$2),SUMPRODUCT(M2134:X2134,$M$4:$X$4,$M$2:$X$2))/(Y2134/($K2134*$L2134)),"")</f>
        <v/>
      </c>
      <c r="AB2134" s="18" t="n"/>
    </row>
    <row r="2135">
      <c r="A2135" s="9" t="n">
        <v>666182</v>
      </c>
      <c r="B2135" s="9" t="inlineStr">
        <is>
          <t>Bo Bichette</t>
        </is>
      </c>
      <c r="C2135" s="9" t="inlineStr">
        <is>
          <t>NYM</t>
        </is>
      </c>
      <c r="D2135" s="9" t="n">
        <v>29</v>
      </c>
      <c r="E2135" s="16" t="inlineStr">
        <is>
          <t>R</t>
        </is>
      </c>
      <c r="F2135" s="16" t="n"/>
      <c r="G2135" s="9" t="n">
        <v>696</v>
      </c>
      <c r="H2135" s="9" t="n">
        <v>2958</v>
      </c>
      <c r="I2135" s="9" t="inlineStr">
        <is>
          <t>Full Time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7" t="n"/>
      <c r="N2135" s="17" t="n"/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3">
        <f>SUMPRODUCT(M2135:X2135,$M$2:$X$2)*$K2135*$L2135</f>
        <v/>
      </c>
      <c r="Z2135" s="14">
        <f>SUM(M2135:X2135)</f>
        <v/>
      </c>
      <c r="AA2135" s="14">
        <f>IFERROR(IF(UPPER($E2135)="L",SUMPRODUCT(M2135:X2135,$M$3:$X$3,$M$2:$X$2),SUMPRODUCT(M2135:X2135,$M$4:$X$4,$M$2:$X$2))/(Y2135/($K2135*$L2135)),"")</f>
        <v/>
      </c>
      <c r="AB2135" s="18" t="n"/>
    </row>
    <row r="2136">
      <c r="A2136" s="9" t="n">
        <v>815654</v>
      </c>
      <c r="B2136" s="9" t="inlineStr">
        <is>
          <t>Eli Lovich</t>
        </is>
      </c>
      <c r="C2136" s="9" t="inlineStr">
        <is>
          <t>CHC</t>
        </is>
      </c>
      <c r="D2136" s="9" t="n">
        <v>25</v>
      </c>
      <c r="E2136" s="16" t="inlineStr">
        <is>
          <t>L</t>
        </is>
      </c>
      <c r="F2136" s="16" t="n"/>
      <c r="G2136" s="9" t="n">
        <v>51.93846153846154</v>
      </c>
      <c r="H2136" s="9" t="n">
        <v>51.93846153846154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7" t="n"/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/>
      <c r="Y2136" s="13">
        <f>SUMPRODUCT(M2136:X2136,$M$2:$X$2)*$K2136*$L2136</f>
        <v/>
      </c>
      <c r="Z2136" s="14">
        <f>SUM(M2136:X2136)</f>
        <v/>
      </c>
      <c r="AA2136" s="14">
        <f>IFERROR(IF(UPPER($E2136)="L",SUMPRODUCT(M2136:X2136,$M$3:$X$3,$M$2:$X$2),SUMPRODUCT(M2136:X2136,$M$4:$X$4,$M$2:$X$2))/(Y2136/($K2136*$L2136)),"")</f>
        <v/>
      </c>
      <c r="AB2136" s="18" t="n"/>
    </row>
    <row r="2137">
      <c r="A2137" s="9" t="n">
        <v>828237</v>
      </c>
      <c r="B2137" s="9" t="inlineStr">
        <is>
          <t>Cooper Flemming</t>
        </is>
      </c>
      <c r="C2137" s="9" t="inlineStr">
        <is>
          <t>TB</t>
        </is>
      </c>
      <c r="D2137" s="9" t="n">
        <v>25</v>
      </c>
      <c r="E2137" s="16" t="inlineStr">
        <is>
          <t>L</t>
        </is>
      </c>
      <c r="F2137" s="16" t="n"/>
      <c r="G2137" s="9" t="n">
        <v>61.29230769230769</v>
      </c>
      <c r="H2137" s="9" t="n">
        <v>61.29230769230769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7" t="n"/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/>
      <c r="Y2137" s="13">
        <f>SUMPRODUCT(M2137:X2137,$M$2:$X$2)*$K2137*$L2137</f>
        <v/>
      </c>
      <c r="Z2137" s="14">
        <f>SUM(M2137:X2137)</f>
        <v/>
      </c>
      <c r="AA2137" s="14">
        <f>IFERROR(IF(UPPER($E2137)="L",SUMPRODUCT(M2137:X2137,$M$3:$X$3,$M$2:$X$2),SUMPRODUCT(M2137:X2137,$M$4:$X$4,$M$2:$X$2))/(Y2137/($K2137*$L2137)),"")</f>
        <v/>
      </c>
      <c r="AB2137" s="18" t="n"/>
    </row>
    <row r="2138">
      <c r="A2138" s="9" t="n">
        <v>815894</v>
      </c>
      <c r="B2138" s="9" t="inlineStr">
        <is>
          <t>Jorge Quintana</t>
        </is>
      </c>
      <c r="C2138" s="9" t="inlineStr">
        <is>
          <t>SD</t>
        </is>
      </c>
      <c r="D2138" s="9" t="n">
        <v>25</v>
      </c>
      <c r="E2138" s="16" t="inlineStr">
        <is>
          <t>S</t>
        </is>
      </c>
      <c r="F2138" s="16" t="n"/>
      <c r="G2138" s="9" t="n">
        <v>53.29230769230769</v>
      </c>
      <c r="H2138" s="9" t="n">
        <v>53.29230769230769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7" t="n"/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/>
      <c r="Y2138" s="13">
        <f>SUMPRODUCT(M2138:X2138,$M$2:$X$2)*$K2138*$L2138</f>
        <v/>
      </c>
      <c r="Z2138" s="14">
        <f>SUM(M2138:X2138)</f>
        <v/>
      </c>
      <c r="AA2138" s="14">
        <f>IFERROR(IF(UPPER($E2138)="L",SUMPRODUCT(M2138:X2138,$M$3:$X$3,$M$2:$X$2),SUMPRODUCT(M2138:X2138,$M$4:$X$4,$M$2:$X$2))/(Y2138/($K2138*$L2138)),"")</f>
        <v/>
      </c>
      <c r="AB2138" s="18" t="n"/>
    </row>
    <row r="2139">
      <c r="A2139" s="9" t="n">
        <v>665120</v>
      </c>
      <c r="B2139" s="9" t="inlineStr">
        <is>
          <t>Jared Walsh</t>
        </is>
      </c>
      <c r="C2139" s="9" t="inlineStr">
        <is>
          <t>TEX</t>
        </is>
      </c>
      <c r="D2139" s="9" t="n">
        <v>33</v>
      </c>
      <c r="E2139" s="16" t="inlineStr">
        <is>
          <t>L</t>
        </is>
      </c>
      <c r="F2139" s="16" t="n"/>
      <c r="G2139" s="9" t="n">
        <v>60</v>
      </c>
      <c r="H2139" s="9" t="n">
        <v>630</v>
      </c>
      <c r="I2139" s="9" t="inlineStr">
        <is>
          <t>Depth (no MLB PA)</t>
        </is>
      </c>
      <c r="J2139" s="16" t="inlineStr">
        <is>
          <t>Opening Day</t>
        </is>
      </c>
      <c r="K2139" s="11">
        <f>IFERROR(INDEX(Roles!$B$17:$B$20,MATCH(J2139,Roles!$A$17:$A$20,0)),1)</f>
        <v/>
      </c>
      <c r="L2139" s="17" t="n">
        <v>1</v>
      </c>
      <c r="M2139" s="17" t="n"/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/>
      <c r="Y2139" s="13">
        <f>SUMPRODUCT(M2139:X2139,$M$2:$X$2)*$K2139*$L2139</f>
        <v/>
      </c>
      <c r="Z2139" s="14">
        <f>SUM(M2139:X2139)</f>
        <v/>
      </c>
      <c r="AA2139" s="14">
        <f>IFERROR(IF(UPPER($E2139)="L",SUMPRODUCT(M2139:X2139,$M$3:$X$3,$M$2:$X$2),SUMPRODUCT(M2139:X2139,$M$4:$X$4,$M$2:$X$2))/(Y2139/($K2139*$L2139)),"")</f>
        <v/>
      </c>
      <c r="AB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7" t="n"/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/>
      <c r="Y2140" s="13">
        <f>SUMPRODUCT(M2140:X2140,$M$2:$X$2)*$K2140*$L2140</f>
        <v/>
      </c>
      <c r="Z2140" s="14">
        <f>SUM(M2140:X2140)</f>
        <v/>
      </c>
      <c r="AA2140" s="14">
        <f>IFERROR(IF(UPPER($E2140)="L",SUMPRODUCT(M2140:X2140,$M$3:$X$3,$M$2:$X$2),SUMPRODUCT(M2140:X2140,$M$4:$X$4,$M$2:$X$2))/(Y2140/($K2140*$L2140)),"")</f>
        <v/>
      </c>
      <c r="AB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7" t="n"/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/>
      <c r="Y2141" s="13">
        <f>SUMPRODUCT(M2141:X2141,$M$2:$X$2)*$K2141*$L2141</f>
        <v/>
      </c>
      <c r="Z2141" s="14">
        <f>SUM(M2141:X2141)</f>
        <v/>
      </c>
      <c r="AA2141" s="14">
        <f>IFERROR(IF(UPPER($E2141)="L",SUMPRODUCT(M2141:X2141,$M$3:$X$3,$M$2:$X$2),SUMPRODUCT(M2141:X2141,$M$4:$X$4,$M$2:$X$2))/(Y2141/($K2141*$L2141)),"")</f>
        <v/>
      </c>
      <c r="AB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7" t="n"/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/>
      <c r="Y2142" s="13">
        <f>SUMPRODUCT(M2142:X2142,$M$2:$X$2)*$K2142*$L2142</f>
        <v/>
      </c>
      <c r="Z2142" s="14">
        <f>SUM(M2142:X2142)</f>
        <v/>
      </c>
      <c r="AA2142" s="14">
        <f>IFERROR(IF(UPPER($E2142)="L",SUMPRODUCT(M2142:X2142,$M$3:$X$3,$M$2:$X$2),SUMPRODUCT(M2142:X2142,$M$4:$X$4,$M$2:$X$2))/(Y2142/($K2142*$L2142)),"")</f>
        <v/>
      </c>
      <c r="AB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7" t="n"/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/>
      <c r="Y2143" s="13">
        <f>SUMPRODUCT(M2143:X2143,$M$2:$X$2)*$K2143*$L2143</f>
        <v/>
      </c>
      <c r="Z2143" s="14">
        <f>SUM(M2143:X2143)</f>
        <v/>
      </c>
      <c r="AA2143" s="14">
        <f>IFERROR(IF(UPPER($E2143)="L",SUMPRODUCT(M2143:X2143,$M$3:$X$3,$M$2:$X$2),SUMPRODUCT(M2143:X2143,$M$4:$X$4,$M$2:$X$2))/(Y2143/($K2143*$L2143)),"")</f>
        <v/>
      </c>
      <c r="AB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7" t="n"/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/>
      <c r="Y2144" s="13">
        <f>SUMPRODUCT(M2144:X2144,$M$2:$X$2)*$K2144*$L2144</f>
        <v/>
      </c>
      <c r="Z2144" s="14">
        <f>SUM(M2144:X2144)</f>
        <v/>
      </c>
      <c r="AA2144" s="14">
        <f>IFERROR(IF(UPPER($E2144)="L",SUMPRODUCT(M2144:X2144,$M$3:$X$3,$M$2:$X$2),SUMPRODUCT(M2144:X2144,$M$4:$X$4,$M$2:$X$2))/(Y2144/($K2144*$L2144)),"")</f>
        <v/>
      </c>
      <c r="AB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25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Opening Day</t>
        </is>
      </c>
      <c r="K2145" s="11">
        <f>IFERROR(INDEX(Roles!$B$17:$B$20,MATCH(J2145,Roles!$A$17:$A$20,0)),1)</f>
        <v/>
      </c>
      <c r="L2145" s="17" t="n">
        <v>1</v>
      </c>
      <c r="M2145" s="17" t="n"/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/>
      <c r="Y2145" s="13">
        <f>SUMPRODUCT(M2145:X2145,$M$2:$X$2)*$K2145*$L2145</f>
        <v/>
      </c>
      <c r="Z2145" s="14">
        <f>SUM(M2145:X2145)</f>
        <v/>
      </c>
      <c r="AA2145" s="14">
        <f>IFERROR(IF(UPPER($E2145)="L",SUMPRODUCT(M2145:X2145,$M$3:$X$3,$M$2:$X$2),SUMPRODUCT(M2145:X2145,$M$4:$X$4,$M$2:$X$2))/(Y2145/($K2145*$L2145)),"")</f>
        <v/>
      </c>
      <c r="AB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25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Opening Day</t>
        </is>
      </c>
      <c r="K2146" s="11">
        <f>IFERROR(INDEX(Roles!$B$17:$B$20,MATCH(J2146,Roles!$A$17:$A$20,0)),1)</f>
        <v/>
      </c>
      <c r="L2146" s="17" t="n">
        <v>1</v>
      </c>
      <c r="M2146" s="17" t="n"/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/>
      <c r="Y2146" s="13">
        <f>SUMPRODUCT(M2146:X2146,$M$2:$X$2)*$K2146*$L2146</f>
        <v/>
      </c>
      <c r="Z2146" s="14">
        <f>SUM(M2146:X2146)</f>
        <v/>
      </c>
      <c r="AA2146" s="14">
        <f>IFERROR(IF(UPPER($E2146)="L",SUMPRODUCT(M2146:X2146,$M$3:$X$3,$M$2:$X$2),SUMPRODUCT(M2146:X2146,$M$4:$X$4,$M$2:$X$2))/(Y2146/($K2146*$L2146)),"")</f>
        <v/>
      </c>
      <c r="AB2146" s="18" t="n"/>
    </row>
    <row r="2147">
      <c r="A2147" s="9" t="n">
        <v>694541</v>
      </c>
      <c r="B2147" s="9" t="inlineStr">
        <is>
          <t>Alan Espinal</t>
        </is>
      </c>
      <c r="C2147" s="9" t="inlineStr">
        <is>
          <t>COL</t>
        </is>
      </c>
      <c r="D2147" s="9" t="n">
        <v>25</v>
      </c>
      <c r="E2147" s="16" t="inlineStr">
        <is>
          <t>R</t>
        </is>
      </c>
      <c r="F2147" s="16" t="n"/>
      <c r="G2147" s="9" t="n">
        <v>68.71794871794872</v>
      </c>
      <c r="H2147" s="9" t="n">
        <v>68.71794871794872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7" t="n"/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/>
      <c r="Y2147" s="13">
        <f>SUMPRODUCT(M2147:X2147,$M$2:$X$2)*$K2147*$L2147</f>
        <v/>
      </c>
      <c r="Z2147" s="14">
        <f>SUM(M2147:X2147)</f>
        <v/>
      </c>
      <c r="AA2147" s="14">
        <f>IFERROR(IF(UPPER($E2147)="L",SUMPRODUCT(M2147:X2147,$M$3:$X$3,$M$2:$X$2),SUMPRODUCT(M2147:X2147,$M$4:$X$4,$M$2:$X$2))/(Y2147/($K2147*$L2147)),"")</f>
        <v/>
      </c>
      <c r="AB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7" t="n"/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/>
      <c r="Y2148" s="13">
        <f>SUMPRODUCT(M2148:X2148,$M$2:$X$2)*$K2148*$L2148</f>
        <v/>
      </c>
      <c r="Z2148" s="14">
        <f>SUM(M2148:X2148)</f>
        <v/>
      </c>
      <c r="AA2148" s="14">
        <f>IFERROR(IF(UPPER($E2148)="L",SUMPRODUCT(M2148:X2148,$M$3:$X$3,$M$2:$X$2),SUMPRODUCT(M2148:X2148,$M$4:$X$4,$M$2:$X$2))/(Y2148/($K2148*$L2148)),"")</f>
        <v/>
      </c>
      <c r="AB2148" s="18" t="n"/>
    </row>
    <row r="2149">
      <c r="A2149" s="9" t="n">
        <v>703201</v>
      </c>
      <c r="B2149" s="9" t="inlineStr">
        <is>
          <t>Henry Ramos</t>
        </is>
      </c>
      <c r="C2149" s="9" t="inlineStr">
        <is>
          <t>KC</t>
        </is>
      </c>
      <c r="D2149" s="9" t="n">
        <v>25</v>
      </c>
      <c r="E2149" s="16" t="inlineStr">
        <is>
          <t>L</t>
        </is>
      </c>
      <c r="F2149" s="16" t="n"/>
      <c r="G2149" s="9" t="n">
        <v>51.32307692307692</v>
      </c>
      <c r="H2149" s="9" t="n">
        <v>51.32307692307692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7" t="n"/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/>
      <c r="Y2149" s="13">
        <f>SUMPRODUCT(M2149:X2149,$M$2:$X$2)*$K2149*$L2149</f>
        <v/>
      </c>
      <c r="Z2149" s="14">
        <f>SUM(M2149:X2149)</f>
        <v/>
      </c>
      <c r="AA2149" s="14">
        <f>IFERROR(IF(UPPER($E2149)="L",SUMPRODUCT(M2149:X2149,$M$3:$X$3,$M$2:$X$2),SUMPRODUCT(M2149:X2149,$M$4:$X$4,$M$2:$X$2))/(Y2149/($K2149*$L2149)),"")</f>
        <v/>
      </c>
      <c r="AB2149" s="18" t="n"/>
    </row>
    <row r="2150">
      <c r="A2150" s="9" t="n">
        <v>684222</v>
      </c>
      <c r="B2150" s="9" t="inlineStr">
        <is>
          <t>Jorge Burgos</t>
        </is>
      </c>
      <c r="C2150" s="9" t="inlineStr">
        <is>
          <t>TOR</t>
        </is>
      </c>
      <c r="D2150" s="9" t="n">
        <v>25</v>
      </c>
      <c r="E2150" s="16" t="inlineStr">
        <is>
          <t>L</t>
        </is>
      </c>
      <c r="F2150" s="16" t="n"/>
      <c r="G2150" s="9" t="n">
        <v>103.3846153846154</v>
      </c>
      <c r="H2150" s="9" t="n">
        <v>103.3846153846154</v>
      </c>
      <c r="I2150" s="9" t="inlineStr">
        <is>
          <t>Depth (no MLB PA)</t>
        </is>
      </c>
      <c r="J2150" s="16" t="inlineStr">
        <is>
          <t>Opening Day</t>
        </is>
      </c>
      <c r="K2150" s="11">
        <f>IFERROR(INDEX(Roles!$B$17:$B$20,MATCH(J2150,Roles!$A$17:$A$20,0)),1)</f>
        <v/>
      </c>
      <c r="L2150" s="17" t="n">
        <v>1</v>
      </c>
      <c r="M2150" s="17" t="n"/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/>
      <c r="Y2150" s="13">
        <f>SUMPRODUCT(M2150:X2150,$M$2:$X$2)*$K2150*$L2150</f>
        <v/>
      </c>
      <c r="Z2150" s="14">
        <f>SUM(M2150:X2150)</f>
        <v/>
      </c>
      <c r="AA2150" s="14">
        <f>IFERROR(IF(UPPER($E2150)="L",SUMPRODUCT(M2150:X2150,$M$3:$X$3,$M$2:$X$2),SUMPRODUCT(M2150:X2150,$M$4:$X$4,$M$2:$X$2))/(Y2150/($K2150*$L2150)),"")</f>
        <v/>
      </c>
      <c r="AB2150" s="18" t="n"/>
    </row>
    <row r="2151">
      <c r="A2151" s="9" t="n">
        <v>702629</v>
      </c>
      <c r="B2151" s="9" t="inlineStr">
        <is>
          <t>Gage Harrelson</t>
        </is>
      </c>
      <c r="C2151" s="9" t="inlineStr">
        <is>
          <t>LAA</t>
        </is>
      </c>
      <c r="D2151" s="9" t="n">
        <v>25</v>
      </c>
      <c r="E2151" s="16" t="inlineStr">
        <is>
          <t>L</t>
        </is>
      </c>
      <c r="F2151" s="16" t="n"/>
      <c r="G2151" s="9" t="n">
        <v>45.74358974358975</v>
      </c>
      <c r="H2151" s="9" t="n">
        <v>45.74358974358975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7" t="n"/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/>
      <c r="Y2151" s="13">
        <f>SUMPRODUCT(M2151:X2151,$M$2:$X$2)*$K2151*$L2151</f>
        <v/>
      </c>
      <c r="Z2151" s="14">
        <f>SUM(M2151:X2151)</f>
        <v/>
      </c>
      <c r="AA2151" s="14">
        <f>IFERROR(IF(UPPER($E2151)="L",SUMPRODUCT(M2151:X2151,$M$3:$X$3,$M$2:$X$2),SUMPRODUCT(M2151:X2151,$M$4:$X$4,$M$2:$X$2))/(Y2151/($K2151*$L2151)),"")</f>
        <v/>
      </c>
      <c r="AB2151" s="18" t="n"/>
    </row>
    <row r="2152">
      <c r="A2152" s="9" t="n">
        <v>692238</v>
      </c>
      <c r="B2152" s="9" t="inlineStr">
        <is>
          <t>Parks Harber</t>
        </is>
      </c>
      <c r="C2152" s="9" t="inlineStr">
        <is>
          <t>SF</t>
        </is>
      </c>
      <c r="D2152" s="9" t="n">
        <v>25</v>
      </c>
      <c r="E2152" s="16" t="inlineStr">
        <is>
          <t>R</t>
        </is>
      </c>
      <c r="F2152" s="16" t="n"/>
      <c r="G2152" s="9" t="n">
        <v>137.6410256410256</v>
      </c>
      <c r="H2152" s="9" t="n">
        <v>137.6410256410256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7" t="n"/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/>
      <c r="Y2152" s="13">
        <f>SUMPRODUCT(M2152:X2152,$M$2:$X$2)*$K2152*$L2152</f>
        <v/>
      </c>
      <c r="Z2152" s="14">
        <f>SUM(M2152:X2152)</f>
        <v/>
      </c>
      <c r="AA2152" s="14">
        <f>IFERROR(IF(UPPER($E2152)="L",SUMPRODUCT(M2152:X2152,$M$3:$X$3,$M$2:$X$2),SUMPRODUCT(M2152:X2152,$M$4:$X$4,$M$2:$X$2))/(Y2152/($K2152*$L2152)),"")</f>
        <v/>
      </c>
      <c r="AB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25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Opening Day</t>
        </is>
      </c>
      <c r="K2153" s="11">
        <f>IFERROR(INDEX(Roles!$B$17:$B$20,MATCH(J2153,Roles!$A$17:$A$20,0)),1)</f>
        <v/>
      </c>
      <c r="L2153" s="17" t="n">
        <v>1</v>
      </c>
      <c r="M2153" s="17" t="n"/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/>
      <c r="Y2153" s="13">
        <f>SUMPRODUCT(M2153:X2153,$M$2:$X$2)*$K2153*$L2153</f>
        <v/>
      </c>
      <c r="Z2153" s="14">
        <f>SUM(M2153:X2153)</f>
        <v/>
      </c>
      <c r="AA2153" s="14">
        <f>IFERROR(IF(UPPER($E2153)="L",SUMPRODUCT(M2153:X2153,$M$3:$X$3,$M$2:$X$2),SUMPRODUCT(M2153:X2153,$M$4:$X$4,$M$2:$X$2))/(Y2153/($K2153*$L2153)),"")</f>
        <v/>
      </c>
      <c r="AB2153" s="18" t="n"/>
    </row>
    <row r="2154">
      <c r="A2154" s="9" t="n">
        <v>807713</v>
      </c>
      <c r="B2154" s="9" t="inlineStr">
        <is>
          <t>Matt Shaw</t>
        </is>
      </c>
      <c r="C2154" s="9" t="inlineStr">
        <is>
          <t>CHC</t>
        </is>
      </c>
      <c r="D2154" s="9" t="n">
        <v>25</v>
      </c>
      <c r="E2154" s="16" t="inlineStr">
        <is>
          <t>R</t>
        </is>
      </c>
      <c r="F2154" s="16" t="n"/>
      <c r="G2154" s="9" t="n">
        <v>202</v>
      </c>
      <c r="H2154" s="9" t="n">
        <v>639</v>
      </c>
      <c r="I2154" s="9" t="inlineStr">
        <is>
          <t>Full Time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7" t="n"/>
      <c r="N2154" s="17" t="n"/>
      <c r="O2154" s="17" t="n"/>
      <c r="P2154" s="17" t="n"/>
      <c r="Q2154" s="17" t="n"/>
      <c r="R2154" s="17" t="n"/>
      <c r="S2154" s="17" t="n"/>
      <c r="T2154" s="17" t="n"/>
      <c r="U2154" s="17" t="n"/>
      <c r="V2154" s="17" t="n"/>
      <c r="W2154" s="17" t="n"/>
      <c r="X2154" s="17" t="n"/>
      <c r="Y2154" s="13">
        <f>SUMPRODUCT(M2154:X2154,$M$2:$X$2)*$K2154*$L2154</f>
        <v/>
      </c>
      <c r="Z2154" s="14">
        <f>SUM(M2154:X2154)</f>
        <v/>
      </c>
      <c r="AA2154" s="14">
        <f>IFERROR(IF(UPPER($E2154)="L",SUMPRODUCT(M2154:X2154,$M$3:$X$3,$M$2:$X$2),SUMPRODUCT(M2154:X2154,$M$4:$X$4,$M$2:$X$2))/(Y2154/($K2154*$L2154)),"")</f>
        <v/>
      </c>
      <c r="AB2154" s="18" t="n"/>
    </row>
    <row r="2155">
      <c r="A2155" s="9" t="n">
        <v>691708</v>
      </c>
      <c r="B2155" s="9" t="inlineStr">
        <is>
          <t>Junior Tilien</t>
        </is>
      </c>
      <c r="C2155" s="9" t="inlineStr">
        <is>
          <t>DET</t>
        </is>
      </c>
      <c r="D2155" s="9" t="n">
        <v>25</v>
      </c>
      <c r="E2155" s="16" t="inlineStr">
        <is>
          <t>R</t>
        </is>
      </c>
      <c r="F2155" s="16" t="n"/>
      <c r="G2155" s="9" t="n">
        <v>39.17948717948718</v>
      </c>
      <c r="H2155" s="9" t="n">
        <v>39.17948717948718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7" t="n"/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/>
      <c r="Y2155" s="13">
        <f>SUMPRODUCT(M2155:X2155,$M$2:$X$2)*$K2155*$L2155</f>
        <v/>
      </c>
      <c r="Z2155" s="14">
        <f>SUM(M2155:X2155)</f>
        <v/>
      </c>
      <c r="AA2155" s="14">
        <f>IFERROR(IF(UPPER($E2155)="L",SUMPRODUCT(M2155:X2155,$M$3:$X$3,$M$2:$X$2),SUMPRODUCT(M2155:X2155,$M$4:$X$4,$M$2:$X$2))/(Y2155/($K2155*$L2155)),"")</f>
        <v/>
      </c>
      <c r="AB2155" s="18" t="n"/>
    </row>
    <row r="2156">
      <c r="A2156" s="9" t="n">
        <v>802397</v>
      </c>
      <c r="B2156" s="9" t="inlineStr">
        <is>
          <t>Angel Arredondo</t>
        </is>
      </c>
      <c r="C2156" s="9" t="inlineStr">
        <is>
          <t>LAA</t>
        </is>
      </c>
      <c r="D2156" s="9" t="n">
        <v>25</v>
      </c>
      <c r="E2156" s="16" t="inlineStr">
        <is>
          <t>R</t>
        </is>
      </c>
      <c r="F2156" s="16" t="n"/>
      <c r="G2156" s="9" t="n">
        <v>56.36923076923078</v>
      </c>
      <c r="H2156" s="9" t="n">
        <v>56.36923076923078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7" t="n"/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/>
      <c r="Y2156" s="13">
        <f>SUMPRODUCT(M2156:X2156,$M$2:$X$2)*$K2156*$L2156</f>
        <v/>
      </c>
      <c r="Z2156" s="14">
        <f>SUM(M2156:X2156)</f>
        <v/>
      </c>
      <c r="AA2156" s="14">
        <f>IFERROR(IF(UPPER($E2156)="L",SUMPRODUCT(M2156:X2156,$M$3:$X$3,$M$2:$X$2),SUMPRODUCT(M2156:X2156,$M$4:$X$4,$M$2:$X$2))/(Y2156/($K2156*$L2156)),"")</f>
        <v/>
      </c>
      <c r="AB2156" s="18" t="n"/>
    </row>
    <row r="2157">
      <c r="A2157" s="9" t="n">
        <v>814297</v>
      </c>
      <c r="B2157" s="9" t="inlineStr">
        <is>
          <t>Edgleen Perez</t>
        </is>
      </c>
      <c r="C2157" s="9" t="inlineStr">
        <is>
          <t>PIT</t>
        </is>
      </c>
      <c r="D2157" s="9" t="n">
        <v>25</v>
      </c>
      <c r="E2157" s="16" t="inlineStr">
        <is>
          <t>R</t>
        </is>
      </c>
      <c r="F2157" s="16" t="n"/>
      <c r="G2157" s="9" t="n">
        <v>40.36923076923077</v>
      </c>
      <c r="H2157" s="9" t="n">
        <v>40.36923076923077</v>
      </c>
      <c r="I2157" s="9" t="inlineStr">
        <is>
          <t>Depth (no MLB PA)</t>
        </is>
      </c>
      <c r="J2157" s="16" t="inlineStr">
        <is>
          <t>Opening Day</t>
        </is>
      </c>
      <c r="K2157" s="11">
        <f>IFERROR(INDEX(Roles!$B$17:$B$20,MATCH(J2157,Roles!$A$17:$A$20,0)),1)</f>
        <v/>
      </c>
      <c r="L2157" s="17" t="n">
        <v>1</v>
      </c>
      <c r="M2157" s="17" t="n"/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/>
      <c r="Y2157" s="13">
        <f>SUMPRODUCT(M2157:X2157,$M$2:$X$2)*$K2157*$L2157</f>
        <v/>
      </c>
      <c r="Z2157" s="14">
        <f>SUM(M2157:X2157)</f>
        <v/>
      </c>
      <c r="AA2157" s="14">
        <f>IFERROR(IF(UPPER($E2157)="L",SUMPRODUCT(M2157:X2157,$M$3:$X$3,$M$2:$X$2),SUMPRODUCT(M2157:X2157,$M$4:$X$4,$M$2:$X$2))/(Y2157/($K2157*$L2157)),"")</f>
        <v/>
      </c>
      <c r="AB2157" s="18" t="n"/>
    </row>
    <row r="2158">
      <c r="A2158" s="9" t="n">
        <v>821136</v>
      </c>
      <c r="B2158" s="9" t="inlineStr">
        <is>
          <t>Handelfry Encarnacion</t>
        </is>
      </c>
      <c r="C2158" s="9" t="inlineStr">
        <is>
          <t>MIL</t>
        </is>
      </c>
      <c r="D2158" s="9" t="n">
        <v>25</v>
      </c>
      <c r="E2158" s="16" t="inlineStr">
        <is>
          <t>L</t>
        </is>
      </c>
      <c r="F2158" s="16" t="n"/>
      <c r="G2158" s="9" t="n">
        <v>63.75384615384615</v>
      </c>
      <c r="H2158" s="9" t="n">
        <v>63.75384615384615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7" t="n"/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/>
      <c r="Y2158" s="13">
        <f>SUMPRODUCT(M2158:X2158,$M$2:$X$2)*$K2158*$L2158</f>
        <v/>
      </c>
      <c r="Z2158" s="14">
        <f>SUM(M2158:X2158)</f>
        <v/>
      </c>
      <c r="AA2158" s="14">
        <f>IFERROR(IF(UPPER($E2158)="L",SUMPRODUCT(M2158:X2158,$M$3:$X$3,$M$2:$X$2),SUMPRODUCT(M2158:X2158,$M$4:$X$4,$M$2:$X$2))/(Y2158/($K2158*$L2158)),"")</f>
        <v/>
      </c>
      <c r="AB2158" s="18" t="n"/>
    </row>
    <row r="2159">
      <c r="A2159" s="9" t="n">
        <v>808768</v>
      </c>
      <c r="B2159" s="9" t="inlineStr">
        <is>
          <t>Ben McLaughlin</t>
        </is>
      </c>
      <c r="C2159" s="9" t="inlineStr">
        <is>
          <t>ARI</t>
        </is>
      </c>
      <c r="D2159" s="9" t="n">
        <v>25</v>
      </c>
      <c r="E2159" s="16" t="inlineStr">
        <is>
          <t>L</t>
        </is>
      </c>
      <c r="F2159" s="16" t="n"/>
      <c r="G2159" s="9" t="n">
        <v>187.3846153846154</v>
      </c>
      <c r="H2159" s="9" t="n">
        <v>187.3846153846154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7" t="n"/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/>
      <c r="Y2159" s="13">
        <f>SUMPRODUCT(M2159:X2159,$M$2:$X$2)*$K2159*$L2159</f>
        <v/>
      </c>
      <c r="Z2159" s="14">
        <f>SUM(M2159:X2159)</f>
        <v/>
      </c>
      <c r="AA2159" s="14">
        <f>IFERROR(IF(UPPER($E2159)="L",SUMPRODUCT(M2159:X2159,$M$3:$X$3,$M$2:$X$2),SUMPRODUCT(M2159:X2159,$M$4:$X$4,$M$2:$X$2))/(Y2159/($K2159*$L2159)),"")</f>
        <v/>
      </c>
      <c r="AB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25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Depth (no MLB PA)</t>
        </is>
      </c>
      <c r="J2160" s="16" t="inlineStr">
        <is>
          <t>Opening Day</t>
        </is>
      </c>
      <c r="K2160" s="11">
        <f>IFERROR(INDEX(Roles!$B$17:$B$20,MATCH(J2160,Roles!$A$17:$A$20,0)),1)</f>
        <v/>
      </c>
      <c r="L2160" s="17" t="n">
        <v>1</v>
      </c>
      <c r="M2160" s="17" t="n"/>
      <c r="N2160" s="17" t="n"/>
      <c r="O2160" s="17" t="n"/>
      <c r="P2160" s="17" t="n"/>
      <c r="Q2160" s="17" t="n"/>
      <c r="R2160" s="17" t="n"/>
      <c r="S2160" s="17" t="n"/>
      <c r="T2160" s="17" t="n"/>
      <c r="U2160" s="17" t="n"/>
      <c r="V2160" s="17" t="n"/>
      <c r="W2160" s="17" t="n"/>
      <c r="X2160" s="17" t="n"/>
      <c r="Y2160" s="13">
        <f>SUMPRODUCT(M2160:X2160,$M$2:$X$2)*$K2160*$L2160</f>
        <v/>
      </c>
      <c r="Z2160" s="14">
        <f>SUM(M2160:X2160)</f>
        <v/>
      </c>
      <c r="AA2160" s="14">
        <f>IFERROR(IF(UPPER($E2160)="L",SUMPRODUCT(M2160:X2160,$M$3:$X$3,$M$2:$X$2),SUMPRODUCT(M2160:X2160,$M$4:$X$4,$M$2:$X$2))/(Y2160/($K2160*$L2160)),"")</f>
        <v/>
      </c>
      <c r="AB2160" s="18" t="n"/>
    </row>
    <row r="2161">
      <c r="A2161" s="9" t="n">
        <v>695493</v>
      </c>
      <c r="B2161" s="9" t="inlineStr">
        <is>
          <t>Teo Banks</t>
        </is>
      </c>
      <c r="C2161" s="9" t="inlineStr">
        <is>
          <t>WSH</t>
        </is>
      </c>
      <c r="D2161" s="9" t="n">
        <v>25</v>
      </c>
      <c r="E2161" s="16" t="inlineStr">
        <is>
          <t>R</t>
        </is>
      </c>
      <c r="F2161" s="16" t="n"/>
      <c r="G2161" s="9" t="n">
        <v>62.35897435897436</v>
      </c>
      <c r="H2161" s="9" t="n">
        <v>62.35897435897436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7" t="n"/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/>
      <c r="Y2161" s="13">
        <f>SUMPRODUCT(M2161:X2161,$M$2:$X$2)*$K2161*$L2161</f>
        <v/>
      </c>
      <c r="Z2161" s="14">
        <f>SUM(M2161:X2161)</f>
        <v/>
      </c>
      <c r="AA2161" s="14">
        <f>IFERROR(IF(UPPER($E2161)="L",SUMPRODUCT(M2161:X2161,$M$3:$X$3,$M$2:$X$2),SUMPRODUCT(M2161:X2161,$M$4:$X$4,$M$2:$X$2))/(Y2161/($K2161*$L2161)),"")</f>
        <v/>
      </c>
      <c r="AB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7" t="n"/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/>
      <c r="Y2162" s="13">
        <f>SUMPRODUCT(M2162:X2162,$M$2:$X$2)*$K2162*$L2162</f>
        <v/>
      </c>
      <c r="Z2162" s="14">
        <f>SUM(M2162:X2162)</f>
        <v/>
      </c>
      <c r="AA2162" s="14">
        <f>IFERROR(IF(UPPER($E2162)="L",SUMPRODUCT(M2162:X2162,$M$3:$X$3,$M$2:$X$2),SUMPRODUCT(M2162:X2162,$M$4:$X$4,$M$2:$X$2))/(Y2162/($K2162*$L2162)),"")</f>
        <v/>
      </c>
      <c r="AB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n"/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7" t="n"/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/>
      <c r="Y2163" s="13">
        <f>SUMPRODUCT(M2163:X2163,$M$2:$X$2)*$K2163*$L2163</f>
        <v/>
      </c>
      <c r="Z2163" s="14">
        <f>SUM(M2163:X2163)</f>
        <v/>
      </c>
      <c r="AA2163" s="14">
        <f>IFERROR(IF(UPPER($E2163)="L",SUMPRODUCT(M2163:X2163,$M$3:$X$3,$M$2:$X$2),SUMPRODUCT(M2163:X2163,$M$4:$X$4,$M$2:$X$2))/(Y2163/($K2163*$L2163)),"")</f>
        <v/>
      </c>
      <c r="AB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7" t="n"/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/>
      <c r="Y2164" s="13">
        <f>SUMPRODUCT(M2164:X2164,$M$2:$X$2)*$K2164*$L2164</f>
        <v/>
      </c>
      <c r="Z2164" s="14">
        <f>SUM(M2164:X2164)</f>
        <v/>
      </c>
      <c r="AA2164" s="14">
        <f>IFERROR(IF(UPPER($E2164)="L",SUMPRODUCT(M2164:X2164,$M$3:$X$3,$M$2:$X$2),SUMPRODUCT(M2164:X2164,$M$4:$X$4,$M$2:$X$2))/(Y2164/($K2164*$L2164)),"")</f>
        <v/>
      </c>
      <c r="AB2164" s="18" t="n"/>
    </row>
    <row r="2165">
      <c r="A2165" s="9" t="n">
        <v>444482</v>
      </c>
      <c r="B2165" s="9" t="inlineStr">
        <is>
          <t>David Peralta</t>
        </is>
      </c>
      <c r="C2165" s="9" t="inlineStr">
        <is>
          <t>SD</t>
        </is>
      </c>
      <c r="D2165" s="9" t="n">
        <v>39</v>
      </c>
      <c r="E2165" s="16" t="inlineStr">
        <is>
          <t>L</t>
        </is>
      </c>
      <c r="F2165" s="16" t="n"/>
      <c r="G2165" s="9" t="n">
        <v>260</v>
      </c>
      <c r="H2165" s="9" t="n">
        <v>1172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7" t="n"/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/>
      <c r="Y2165" s="13">
        <f>SUMPRODUCT(M2165:X2165,$M$2:$X$2)*$K2165*$L2165</f>
        <v/>
      </c>
      <c r="Z2165" s="14">
        <f>SUM(M2165:X2165)</f>
        <v/>
      </c>
      <c r="AA2165" s="14">
        <f>IFERROR(IF(UPPER($E2165)="L",SUMPRODUCT(M2165:X2165,$M$3:$X$3,$M$2:$X$2),SUMPRODUCT(M2165:X2165,$M$4:$X$4,$M$2:$X$2))/(Y2165/($K2165*$L2165)),"")</f>
        <v/>
      </c>
      <c r="AB2165" s="18" t="n"/>
    </row>
    <row r="2166">
      <c r="A2166" s="9" t="n">
        <v>815147</v>
      </c>
      <c r="B2166" s="9" t="inlineStr">
        <is>
          <t>Wilson Rodriguez</t>
        </is>
      </c>
      <c r="C2166" s="9" t="inlineStr">
        <is>
          <t>NYY</t>
        </is>
      </c>
      <c r="D2166" s="9" t="n">
        <v>25</v>
      </c>
      <c r="E2166" s="16" t="inlineStr">
        <is>
          <t>L</t>
        </is>
      </c>
      <c r="F2166" s="16" t="n"/>
      <c r="G2166" s="9" t="n">
        <v>72</v>
      </c>
      <c r="H2166" s="9" t="n">
        <v>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7" t="n"/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/>
      <c r="Y2166" s="13">
        <f>SUMPRODUCT(M2166:X2166,$M$2:$X$2)*$K2166*$L2166</f>
        <v/>
      </c>
      <c r="Z2166" s="14">
        <f>SUM(M2166:X2166)</f>
        <v/>
      </c>
      <c r="AA2166" s="14">
        <f>IFERROR(IF(UPPER($E2166)="L",SUMPRODUCT(M2166:X2166,$M$3:$X$3,$M$2:$X$2),SUMPRODUCT(M2166:X2166,$M$4:$X$4,$M$2:$X$2))/(Y2166/($K2166*$L2166)),"")</f>
        <v/>
      </c>
      <c r="AB2166" s="18" t="n"/>
    </row>
    <row r="2167">
      <c r="A2167" s="9" t="n">
        <v>675430</v>
      </c>
      <c r="B2167" s="9" t="inlineStr">
        <is>
          <t>CJ Rodriguez</t>
        </is>
      </c>
      <c r="C2167" s="9" t="inlineStr">
        <is>
          <t>OAK</t>
        </is>
      </c>
      <c r="D2167" s="9" t="n">
        <v>25</v>
      </c>
      <c r="E2167" s="16" t="inlineStr">
        <is>
          <t>R</t>
        </is>
      </c>
      <c r="F2167" s="16" t="n"/>
      <c r="G2167" s="9" t="n">
        <v>35.8974358974359</v>
      </c>
      <c r="H2167" s="9" t="n">
        <v>35.8974358974359</v>
      </c>
      <c r="I2167" s="9" t="inlineStr">
        <is>
          <t>Depth (no MLB PA)</t>
        </is>
      </c>
      <c r="J2167" s="16" t="inlineStr">
        <is>
          <t>Opening Day</t>
        </is>
      </c>
      <c r="K2167" s="11">
        <f>IFERROR(INDEX(Roles!$B$17:$B$20,MATCH(J2167,Roles!$A$17:$A$20,0)),1)</f>
        <v/>
      </c>
      <c r="L2167" s="17" t="n">
        <v>1</v>
      </c>
      <c r="M2167" s="17" t="n"/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/>
      <c r="Y2167" s="13">
        <f>SUMPRODUCT(M2167:X2167,$M$2:$X$2)*$K2167*$L2167</f>
        <v/>
      </c>
      <c r="Z2167" s="14">
        <f>SUM(M2167:X2167)</f>
        <v/>
      </c>
      <c r="AA2167" s="14">
        <f>IFERROR(IF(UPPER($E2167)="L",SUMPRODUCT(M2167:X2167,$M$3:$X$3,$M$2:$X$2),SUMPRODUCT(M2167:X2167,$M$4:$X$4,$M$2:$X$2))/(Y2167/($K2167*$L2167)),"")</f>
        <v/>
      </c>
      <c r="AB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7" t="n"/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/>
      <c r="Y2168" s="13">
        <f>SUMPRODUCT(M2168:X2168,$M$2:$X$2)*$K2168*$L2168</f>
        <v/>
      </c>
      <c r="Z2168" s="14">
        <f>SUM(M2168:X2168)</f>
        <v/>
      </c>
      <c r="AA2168" s="14">
        <f>IFERROR(IF(UPPER($E2168)="L",SUMPRODUCT(M2168:X2168,$M$3:$X$3,$M$2:$X$2),SUMPRODUCT(M2168:X2168,$M$4:$X$4,$M$2:$X$2))/(Y2168/($K2168*$L2168)),"")</f>
        <v/>
      </c>
      <c r="AB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7" t="n"/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/>
      <c r="Y2169" s="13">
        <f>SUMPRODUCT(M2169:X2169,$M$2:$X$2)*$K2169*$L2169</f>
        <v/>
      </c>
      <c r="Z2169" s="14">
        <f>SUM(M2169:X2169)</f>
        <v/>
      </c>
      <c r="AA2169" s="14">
        <f>IFERROR(IF(UPPER($E2169)="L",SUMPRODUCT(M2169:X2169,$M$3:$X$3,$M$2:$X$2),SUMPRODUCT(M2169:X2169,$M$4:$X$4,$M$2:$X$2))/(Y2169/($K2169*$L2169)),"")</f>
        <v/>
      </c>
      <c r="AB2169" s="18" t="n"/>
    </row>
    <row r="2170">
      <c r="A2170" s="9" t="n">
        <v>687529</v>
      </c>
      <c r="B2170" s="9" t="inlineStr">
        <is>
          <t>Grant McCray</t>
        </is>
      </c>
      <c r="C2170" s="9" t="inlineStr">
        <is>
          <t>SF</t>
        </is>
      </c>
      <c r="D2170" s="9" t="n">
        <v>26</v>
      </c>
      <c r="E2170" s="16" t="inlineStr">
        <is>
          <t>L</t>
        </is>
      </c>
      <c r="F2170" s="16" t="n"/>
      <c r="G2170" s="9" t="n">
        <v>91</v>
      </c>
      <c r="H2170" s="9" t="n">
        <v>247</v>
      </c>
      <c r="I2170" s="9" t="inlineStr">
        <is>
          <t>Bench Bat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7" t="n"/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/>
      <c r="Y2170" s="13">
        <f>SUMPRODUCT(M2170:X2170,$M$2:$X$2)*$K2170*$L2170</f>
        <v/>
      </c>
      <c r="Z2170" s="14">
        <f>SUM(M2170:X2170)</f>
        <v/>
      </c>
      <c r="AA2170" s="14">
        <f>IFERROR(IF(UPPER($E2170)="L",SUMPRODUCT(M2170:X2170,$M$3:$X$3,$M$2:$X$2),SUMPRODUCT(M2170:X2170,$M$4:$X$4,$M$2:$X$2))/(Y2170/($K2170*$L2170)),"")</f>
        <v/>
      </c>
      <c r="AB2170" s="18" t="n"/>
    </row>
    <row r="2171">
      <c r="A2171" s="9" t="n">
        <v>694749</v>
      </c>
      <c r="B2171" s="9" t="inlineStr">
        <is>
          <t>Dylan Campbell</t>
        </is>
      </c>
      <c r="C2171" s="9" t="inlineStr">
        <is>
          <t>CWS</t>
        </is>
      </c>
      <c r="D2171" s="9" t="n">
        <v>25</v>
      </c>
      <c r="E2171" s="16" t="inlineStr">
        <is>
          <t>R</t>
        </is>
      </c>
      <c r="F2171" s="16" t="n"/>
      <c r="G2171" s="9" t="n">
        <v>190.6153846153846</v>
      </c>
      <c r="H2171" s="9" t="n">
        <v>190.6153846153846</v>
      </c>
      <c r="I2171" s="9" t="inlineStr">
        <is>
          <t>Depth (no MLB PA)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7" t="n"/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/>
      <c r="W2171" s="17" t="n"/>
      <c r="X2171" s="17" t="n"/>
      <c r="Y2171" s="13">
        <f>SUMPRODUCT(M2171:X2171,$M$2:$X$2)*$K2171*$L2171</f>
        <v/>
      </c>
      <c r="Z2171" s="14">
        <f>SUM(M2171:X2171)</f>
        <v/>
      </c>
      <c r="AA2171" s="14">
        <f>IFERROR(IF(UPPER($E2171)="L",SUMPRODUCT(M2171:X2171,$M$3:$X$3,$M$2:$X$2),SUMPRODUCT(M2171:X2171,$M$4:$X$4,$M$2:$X$2))/(Y2171/($K2171*$L2171)),"")</f>
        <v/>
      </c>
      <c r="AB2171" s="18" t="n"/>
    </row>
    <row r="2172">
      <c r="A2172" s="9" t="n">
        <v>800285</v>
      </c>
      <c r="B2172" s="9" t="inlineStr">
        <is>
          <t>Enmanuel Tejeda</t>
        </is>
      </c>
      <c r="C2172" s="9" t="inlineStr">
        <is>
          <t>NYY</t>
        </is>
      </c>
      <c r="D2172" s="9" t="n">
        <v>25</v>
      </c>
      <c r="E2172" s="16" t="inlineStr">
        <is>
          <t>R</t>
        </is>
      </c>
      <c r="F2172" s="16" t="n"/>
      <c r="G2172" s="9" t="n">
        <v>69.12820512820512</v>
      </c>
      <c r="H2172" s="9" t="n">
        <v>69.12820512820512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7" t="n"/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/>
      <c r="Y2172" s="13">
        <f>SUMPRODUCT(M2172:X2172,$M$2:$X$2)*$K2172*$L2172</f>
        <v/>
      </c>
      <c r="Z2172" s="14">
        <f>SUM(M2172:X2172)</f>
        <v/>
      </c>
      <c r="AA2172" s="14">
        <f>IFERROR(IF(UPPER($E2172)="L",SUMPRODUCT(M2172:X2172,$M$3:$X$3,$M$2:$X$2),SUMPRODUCT(M2172:X2172,$M$4:$X$4,$M$2:$X$2))/(Y2172/($K2172*$L2172)),"")</f>
        <v/>
      </c>
      <c r="AB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7" t="n"/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/>
      <c r="Y2173" s="13">
        <f>SUMPRODUCT(M2173:X2173,$M$2:$X$2)*$K2173*$L2173</f>
        <v/>
      </c>
      <c r="Z2173" s="14">
        <f>SUM(M2173:X2173)</f>
        <v/>
      </c>
      <c r="AA2173" s="14">
        <f>IFERROR(IF(UPPER($E2173)="L",SUMPRODUCT(M2173:X2173,$M$3:$X$3,$M$2:$X$2),SUMPRODUCT(M2173:X2173,$M$4:$X$4,$M$2:$X$2))/(Y2173/($K2173*$L2173)),"")</f>
        <v/>
      </c>
      <c r="AB2173" s="18" t="n"/>
    </row>
    <row r="2174">
      <c r="A2174" s="9" t="n">
        <v>687714</v>
      </c>
      <c r="B2174" s="9" t="inlineStr">
        <is>
          <t>Jackson Cluff</t>
        </is>
      </c>
      <c r="C2174" s="9" t="inlineStr">
        <is>
          <t>CHC</t>
        </is>
      </c>
      <c r="D2174" s="9" t="n">
        <v>25</v>
      </c>
      <c r="E2174" s="16" t="inlineStr">
        <is>
          <t>L</t>
        </is>
      </c>
      <c r="F2174" s="16" t="n"/>
      <c r="G2174" s="9" t="n">
        <v>152.3076923076923</v>
      </c>
      <c r="H2174" s="9" t="n">
        <v>152.3076923076923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7" t="n"/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/>
      <c r="Y2174" s="13">
        <f>SUMPRODUCT(M2174:X2174,$M$2:$X$2)*$K2174*$L2174</f>
        <v/>
      </c>
      <c r="Z2174" s="14">
        <f>SUM(M2174:X2174)</f>
        <v/>
      </c>
      <c r="AA2174" s="14">
        <f>IFERROR(IF(UPPER($E2174)="L",SUMPRODUCT(M2174:X2174,$M$3:$X$3,$M$2:$X$2),SUMPRODUCT(M2174:X2174,$M$4:$X$4,$M$2:$X$2))/(Y2174/($K2174*$L2174)),"")</f>
        <v/>
      </c>
      <c r="AB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7" t="n"/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/>
      <c r="Y2175" s="13">
        <f>SUMPRODUCT(M2175:X2175,$M$2:$X$2)*$K2175*$L2175</f>
        <v/>
      </c>
      <c r="Z2175" s="14">
        <f>SUM(M2175:X2175)</f>
        <v/>
      </c>
      <c r="AA2175" s="14">
        <f>IFERROR(IF(UPPER($E2175)="L",SUMPRODUCT(M2175:X2175,$M$3:$X$3,$M$2:$X$2),SUMPRODUCT(M2175:X2175,$M$4:$X$4,$M$2:$X$2))/(Y2175/($K2175*$L2175)),"")</f>
        <v/>
      </c>
      <c r="AB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7" t="n"/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/>
      <c r="Y2176" s="13">
        <f>SUMPRODUCT(M2176:X2176,$M$2:$X$2)*$K2176*$L2176</f>
        <v/>
      </c>
      <c r="Z2176" s="14">
        <f>SUM(M2176:X2176)</f>
        <v/>
      </c>
      <c r="AA2176" s="14">
        <f>IFERROR(IF(UPPER($E2176)="L",SUMPRODUCT(M2176:X2176,$M$3:$X$3,$M$2:$X$2),SUMPRODUCT(M2176:X2176,$M$4:$X$4,$M$2:$X$2))/(Y2176/($K2176*$L2176)),"")</f>
        <v/>
      </c>
      <c r="AB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7" t="n"/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/>
      <c r="Y2177" s="13">
        <f>SUMPRODUCT(M2177:X2177,$M$2:$X$2)*$K2177*$L2177</f>
        <v/>
      </c>
      <c r="Z2177" s="14">
        <f>SUM(M2177:X2177)</f>
        <v/>
      </c>
      <c r="AA2177" s="14">
        <f>IFERROR(IF(UPPER($E2177)="L",SUMPRODUCT(M2177:X2177,$M$3:$X$3,$M$2:$X$2),SUMPRODUCT(M2177:X2177,$M$4:$X$4,$M$2:$X$2))/(Y2177/($K2177*$L2177)),"")</f>
        <v/>
      </c>
      <c r="AB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7" t="n"/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/>
      <c r="Y2178" s="13">
        <f>SUMPRODUCT(M2178:X2178,$M$2:$X$2)*$K2178*$L2178</f>
        <v/>
      </c>
      <c r="Z2178" s="14">
        <f>SUM(M2178:X2178)</f>
        <v/>
      </c>
      <c r="AA2178" s="14">
        <f>IFERROR(IF(UPPER($E2178)="L",SUMPRODUCT(M2178:X2178,$M$3:$X$3,$M$2:$X$2),SUMPRODUCT(M2178:X2178,$M$4:$X$4,$M$2:$X$2))/(Y2178/($K2178*$L2178)),"")</f>
        <v/>
      </c>
      <c r="AB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25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Depth (no MLB PA)</t>
        </is>
      </c>
      <c r="J2179" s="16" t="inlineStr">
        <is>
          <t>Opening Day</t>
        </is>
      </c>
      <c r="K2179" s="11">
        <f>IFERROR(INDEX(Roles!$B$17:$B$20,MATCH(J2179,Roles!$A$17:$A$20,0)),1)</f>
        <v/>
      </c>
      <c r="L2179" s="17" t="n">
        <v>1</v>
      </c>
      <c r="M2179" s="17" t="n"/>
      <c r="N2179" s="17" t="n"/>
      <c r="O2179" s="17" t="n"/>
      <c r="P2179" s="17" t="n"/>
      <c r="Q2179" s="17" t="n"/>
      <c r="R2179" s="17" t="n"/>
      <c r="S2179" s="17" t="n"/>
      <c r="T2179" s="17" t="n"/>
      <c r="U2179" s="17" t="n"/>
      <c r="V2179" s="17" t="n"/>
      <c r="W2179" s="17" t="n"/>
      <c r="X2179" s="17" t="n"/>
      <c r="Y2179" s="13">
        <f>SUMPRODUCT(M2179:X2179,$M$2:$X$2)*$K2179*$L2179</f>
        <v/>
      </c>
      <c r="Z2179" s="14">
        <f>SUM(M2179:X2179)</f>
        <v/>
      </c>
      <c r="AA2179" s="14">
        <f>IFERROR(IF(UPPER($E2179)="L",SUMPRODUCT(M2179:X2179,$M$3:$X$3,$M$2:$X$2),SUMPRODUCT(M2179:X2179,$M$4:$X$4,$M$2:$X$2))/(Y2179/($K2179*$L2179)),"")</f>
        <v/>
      </c>
      <c r="AB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7" t="n"/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/>
      <c r="Y2180" s="13">
        <f>SUMPRODUCT(M2180:X2180,$M$2:$X$2)*$K2180*$L2180</f>
        <v/>
      </c>
      <c r="Z2180" s="14">
        <f>SUM(M2180:X2180)</f>
        <v/>
      </c>
      <c r="AA2180" s="14">
        <f>IFERROR(IF(UPPER($E2180)="L",SUMPRODUCT(M2180:X2180,$M$3:$X$3,$M$2:$X$2),SUMPRODUCT(M2180:X2180,$M$4:$X$4,$M$2:$X$2))/(Y2180/($K2180*$L2180)),"")</f>
        <v/>
      </c>
      <c r="AB2180" s="18" t="n"/>
    </row>
    <row r="2181">
      <c r="A2181" s="9" t="n">
        <v>678225</v>
      </c>
      <c r="B2181" s="9" t="inlineStr">
        <is>
          <t>Jihwan Bae</t>
        </is>
      </c>
      <c r="C2181" s="9" t="inlineStr">
        <is>
          <t>PIT</t>
        </is>
      </c>
      <c r="D2181" s="9" t="n">
        <v>27</v>
      </c>
      <c r="E2181" s="16" t="inlineStr">
        <is>
          <t>L</t>
        </is>
      </c>
      <c r="F2181" s="16" t="n"/>
      <c r="G2181" s="9" t="n">
        <v>4</v>
      </c>
      <c r="H2181" s="9" t="n">
        <v>518</v>
      </c>
      <c r="I2181" s="9" t="inlineStr">
        <is>
          <t>Bench Bat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7" t="n"/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/>
      <c r="Y2181" s="13">
        <f>SUMPRODUCT(M2181:X2181,$M$2:$X$2)*$K2181*$L2181</f>
        <v/>
      </c>
      <c r="Z2181" s="14">
        <f>SUM(M2181:X2181)</f>
        <v/>
      </c>
      <c r="AA2181" s="14">
        <f>IFERROR(IF(UPPER($E2181)="L",SUMPRODUCT(M2181:X2181,$M$3:$X$3,$M$2:$X$2),SUMPRODUCT(M2181:X2181,$M$4:$X$4,$M$2:$X$2))/(Y2181/($K2181*$L2181)),"")</f>
        <v/>
      </c>
      <c r="AB2181" s="18" t="n"/>
    </row>
    <row r="2182">
      <c r="A2182" s="9" t="n">
        <v>808696</v>
      </c>
      <c r="B2182" s="9" t="inlineStr">
        <is>
          <t>Stiven Flores</t>
        </is>
      </c>
      <c r="C2182" s="9" t="inlineStr">
        <is>
          <t>CWS</t>
        </is>
      </c>
      <c r="D2182" s="9" t="n">
        <v>25</v>
      </c>
      <c r="E2182" s="16" t="inlineStr">
        <is>
          <t>R</t>
        </is>
      </c>
      <c r="F2182" s="16" t="n"/>
      <c r="G2182" s="9" t="n">
        <v>46.15384615384615</v>
      </c>
      <c r="H2182" s="9" t="n">
        <v>46.15384615384615</v>
      </c>
      <c r="I2182" s="9" t="inlineStr">
        <is>
          <t>Depth (no MLB PA)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7" t="n"/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/>
      <c r="W2182" s="17" t="n"/>
      <c r="X2182" s="17" t="n"/>
      <c r="Y2182" s="13">
        <f>SUMPRODUCT(M2182:X2182,$M$2:$X$2)*$K2182*$L2182</f>
        <v/>
      </c>
      <c r="Z2182" s="14">
        <f>SUM(M2182:X2182)</f>
        <v/>
      </c>
      <c r="AA2182" s="14">
        <f>IFERROR(IF(UPPER($E2182)="L",SUMPRODUCT(M2182:X2182,$M$3:$X$3,$M$2:$X$2),SUMPRODUCT(M2182:X2182,$M$4:$X$4,$M$2:$X$2))/(Y2182/($K2182*$L2182)),"")</f>
        <v/>
      </c>
      <c r="AB2182" s="18" t="n"/>
    </row>
    <row r="2183">
      <c r="A2183" s="9" t="n">
        <v>800257</v>
      </c>
      <c r="B2183" s="9" t="inlineStr">
        <is>
          <t>Yonatan Henriquez</t>
        </is>
      </c>
      <c r="C2183" s="9" t="inlineStr">
        <is>
          <t>NYM</t>
        </is>
      </c>
      <c r="D2183" s="9" t="n">
        <v>25</v>
      </c>
      <c r="E2183" s="16" t="inlineStr">
        <is>
          <t>S</t>
        </is>
      </c>
      <c r="F2183" s="16" t="n"/>
      <c r="G2183" s="9" t="n">
        <v>87.58974358974359</v>
      </c>
      <c r="H2183" s="9" t="n">
        <v>87.58974358974359</v>
      </c>
      <c r="I2183" s="9" t="inlineStr">
        <is>
          <t>Depth (no MLB PA)</t>
        </is>
      </c>
      <c r="J2183" s="16" t="inlineStr">
        <is>
          <t>Opening Day</t>
        </is>
      </c>
      <c r="K2183" s="11">
        <f>IFERROR(INDEX(Roles!$B$17:$B$20,MATCH(J2183,Roles!$A$17:$A$20,0)),1)</f>
        <v/>
      </c>
      <c r="L2183" s="17" t="n">
        <v>1</v>
      </c>
      <c r="M2183" s="17" t="n"/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/>
      <c r="Y2183" s="13">
        <f>SUMPRODUCT(M2183:X2183,$M$2:$X$2)*$K2183*$L2183</f>
        <v/>
      </c>
      <c r="Z2183" s="14">
        <f>SUM(M2183:X2183)</f>
        <v/>
      </c>
      <c r="AA2183" s="14">
        <f>IFERROR(IF(UPPER($E2183)="L",SUMPRODUCT(M2183:X2183,$M$3:$X$3,$M$2:$X$2),SUMPRODUCT(M2183:X2183,$M$4:$X$4,$M$2:$X$2))/(Y2183/($K2183*$L2183)),"")</f>
        <v/>
      </c>
      <c r="AB2183" s="18" t="n"/>
    </row>
    <row r="2184">
      <c r="A2184" s="9" t="n">
        <v>827281</v>
      </c>
      <c r="B2184" s="9" t="inlineStr">
        <is>
          <t>Carlos Renzullo</t>
        </is>
      </c>
      <c r="C2184" s="9" t="inlineStr">
        <is>
          <t>COL</t>
        </is>
      </c>
      <c r="D2184" s="9" t="n">
        <v>25</v>
      </c>
      <c r="E2184" s="16" t="inlineStr">
        <is>
          <t>S</t>
        </is>
      </c>
      <c r="F2184" s="16" t="n"/>
      <c r="G2184" s="9" t="n">
        <v>42.33846153846154</v>
      </c>
      <c r="H2184" s="9" t="n">
        <v>42.33846153846154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7" t="n"/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/>
      <c r="Y2184" s="13">
        <f>SUMPRODUCT(M2184:X2184,$M$2:$X$2)*$K2184*$L2184</f>
        <v/>
      </c>
      <c r="Z2184" s="14">
        <f>SUM(M2184:X2184)</f>
        <v/>
      </c>
      <c r="AA2184" s="14">
        <f>IFERROR(IF(UPPER($E2184)="L",SUMPRODUCT(M2184:X2184,$M$3:$X$3,$M$2:$X$2),SUMPRODUCT(M2184:X2184,$M$4:$X$4,$M$2:$X$2))/(Y2184/($K2184*$L2184)),"")</f>
        <v/>
      </c>
      <c r="AB2184" s="18" t="n"/>
    </row>
    <row r="2185">
      <c r="A2185" s="9" t="n">
        <v>826723</v>
      </c>
      <c r="B2185" s="9" t="inlineStr">
        <is>
          <t>Ronny Cruz</t>
        </is>
      </c>
      <c r="C2185" s="9" t="inlineStr">
        <is>
          <t>WSH</t>
        </is>
      </c>
      <c r="D2185" s="9" t="n">
        <v>25</v>
      </c>
      <c r="E2185" s="16" t="inlineStr">
        <is>
          <t>R</t>
        </is>
      </c>
      <c r="F2185" s="16" t="n"/>
      <c r="G2185" s="9" t="n">
        <v>92.71794871794872</v>
      </c>
      <c r="H2185" s="9" t="n">
        <v>92.71794871794872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7" t="n"/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/>
      <c r="Y2185" s="13">
        <f>SUMPRODUCT(M2185:X2185,$M$2:$X$2)*$K2185*$L2185</f>
        <v/>
      </c>
      <c r="Z2185" s="14">
        <f>SUM(M2185:X2185)</f>
        <v/>
      </c>
      <c r="AA2185" s="14">
        <f>IFERROR(IF(UPPER($E2185)="L",SUMPRODUCT(M2185:X2185,$M$3:$X$3,$M$2:$X$2),SUMPRODUCT(M2185:X2185,$M$4:$X$4,$M$2:$X$2))/(Y2185/($K2185*$L2185)),"")</f>
        <v/>
      </c>
      <c r="AB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7" t="n"/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/>
      <c r="Y2186" s="13">
        <f>SUMPRODUCT(M2186:X2186,$M$2:$X$2)*$K2186*$L2186</f>
        <v/>
      </c>
      <c r="Z2186" s="14">
        <f>SUM(M2186:X2186)</f>
        <v/>
      </c>
      <c r="AA2186" s="14">
        <f>IFERROR(IF(UPPER($E2186)="L",SUMPRODUCT(M2186:X2186,$M$3:$X$3,$M$2:$X$2),SUMPRODUCT(M2186:X2186,$M$4:$X$4,$M$2:$X$2))/(Y2186/($K2186*$L2186)),"")</f>
        <v/>
      </c>
      <c r="AB2186" s="18" t="n"/>
    </row>
    <row r="2187">
      <c r="A2187" s="9" t="n">
        <v>663796</v>
      </c>
      <c r="B2187" s="9" t="inlineStr">
        <is>
          <t>Coco Montes</t>
        </is>
      </c>
      <c r="C2187" s="9" t="inlineStr">
        <is>
          <t>COL</t>
        </is>
      </c>
      <c r="D2187" s="9" t="n">
        <v>30</v>
      </c>
      <c r="E2187" s="16" t="inlineStr">
        <is>
          <t>R</t>
        </is>
      </c>
      <c r="F2187" s="16" t="n"/>
      <c r="G2187" s="9" t="n">
        <v>10</v>
      </c>
      <c r="H2187" s="9" t="n">
        <v>51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7" t="n"/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/>
      <c r="Y2187" s="13">
        <f>SUMPRODUCT(M2187:X2187,$M$2:$X$2)*$K2187*$L2187</f>
        <v/>
      </c>
      <c r="Z2187" s="14">
        <f>SUM(M2187:X2187)</f>
        <v/>
      </c>
      <c r="AA2187" s="14">
        <f>IFERROR(IF(UPPER($E2187)="L",SUMPRODUCT(M2187:X2187,$M$3:$X$3,$M$2:$X$2),SUMPRODUCT(M2187:X2187,$M$4:$X$4,$M$2:$X$2))/(Y2187/($K2187*$L2187)),"")</f>
        <v/>
      </c>
      <c r="AB2187" s="18" t="n"/>
    </row>
    <row r="2188">
      <c r="A2188" s="9" t="n">
        <v>694211</v>
      </c>
      <c r="B2188" s="9" t="inlineStr">
        <is>
          <t>Manuel Pena</t>
        </is>
      </c>
      <c r="C2188" s="9" t="inlineStr">
        <is>
          <t>ARI</t>
        </is>
      </c>
      <c r="D2188" s="9" t="n">
        <v>25</v>
      </c>
      <c r="E2188" s="16" t="inlineStr">
        <is>
          <t>L</t>
        </is>
      </c>
      <c r="F2188" s="16" t="n"/>
      <c r="G2188" s="9" t="n">
        <v>125.2307692307692</v>
      </c>
      <c r="H2188" s="9" t="n">
        <v>125.2307692307692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7" t="n"/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/>
      <c r="Y2188" s="13">
        <f>SUMPRODUCT(M2188:X2188,$M$2:$X$2)*$K2188*$L2188</f>
        <v/>
      </c>
      <c r="Z2188" s="14">
        <f>SUM(M2188:X2188)</f>
        <v/>
      </c>
      <c r="AA2188" s="14">
        <f>IFERROR(IF(UPPER($E2188)="L",SUMPRODUCT(M2188:X2188,$M$3:$X$3,$M$2:$X$2),SUMPRODUCT(M2188:X2188,$M$4:$X$4,$M$2:$X$2))/(Y2188/($K2188*$L2188)),"")</f>
        <v/>
      </c>
      <c r="AB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n"/>
      <c r="G2189" s="9" t="n">
        <v>171</v>
      </c>
      <c r="H2189" s="9" t="n">
        <v>1015</v>
      </c>
      <c r="I2189" s="9" t="inlineStr">
        <is>
          <t>Bench Bat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7" t="n"/>
      <c r="N2189" s="17" t="n"/>
      <c r="O2189" s="17" t="n"/>
      <c r="P2189" s="17" t="n"/>
      <c r="Q2189" s="17" t="n"/>
      <c r="R2189" s="17" t="n"/>
      <c r="S2189" s="17" t="n"/>
      <c r="T2189" s="17" t="n"/>
      <c r="U2189" s="17" t="n"/>
      <c r="V2189" s="17" t="n"/>
      <c r="W2189" s="17" t="n"/>
      <c r="X2189" s="17" t="n"/>
      <c r="Y2189" s="13">
        <f>SUMPRODUCT(M2189:X2189,$M$2:$X$2)*$K2189*$L2189</f>
        <v/>
      </c>
      <c r="Z2189" s="14">
        <f>SUM(M2189:X2189)</f>
        <v/>
      </c>
      <c r="AA2189" s="14">
        <f>IFERROR(IF(UPPER($E2189)="L",SUMPRODUCT(M2189:X2189,$M$3:$X$3,$M$2:$X$2),SUMPRODUCT(M2189:X2189,$M$4:$X$4,$M$2:$X$2))/(Y2189/($K2189*$L2189)),"")</f>
        <v/>
      </c>
      <c r="AB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7" t="n"/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/>
      <c r="Y2190" s="13">
        <f>SUMPRODUCT(M2190:X2190,$M$2:$X$2)*$K2190*$L2190</f>
        <v/>
      </c>
      <c r="Z2190" s="14">
        <f>SUM(M2190:X2190)</f>
        <v/>
      </c>
      <c r="AA2190" s="14">
        <f>IFERROR(IF(UPPER($E2190)="L",SUMPRODUCT(M2190:X2190,$M$3:$X$3,$M$2:$X$2),SUMPRODUCT(M2190:X2190,$M$4:$X$4,$M$2:$X$2))/(Y2190/($K2190*$L2190)),"")</f>
        <v/>
      </c>
      <c r="AB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7" t="n"/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/>
      <c r="Y2191" s="13">
        <f>SUMPRODUCT(M2191:X2191,$M$2:$X$2)*$K2191*$L2191</f>
        <v/>
      </c>
      <c r="Z2191" s="14">
        <f>SUM(M2191:X2191)</f>
        <v/>
      </c>
      <c r="AA2191" s="14">
        <f>IFERROR(IF(UPPER($E2191)="L",SUMPRODUCT(M2191:X2191,$M$3:$X$3,$M$2:$X$2),SUMPRODUCT(M2191:X2191,$M$4:$X$4,$M$2:$X$2))/(Y2191/($K2191*$L2191)),"")</f>
        <v/>
      </c>
      <c r="AB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n"/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7" t="n"/>
      <c r="N2192" s="17" t="n"/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3">
        <f>SUMPRODUCT(M2192:X2192,$M$2:$X$2)*$K2192*$L2192</f>
        <v/>
      </c>
      <c r="Z2192" s="14">
        <f>SUM(M2192:X2192)</f>
        <v/>
      </c>
      <c r="AA2192" s="14">
        <f>IFERROR(IF(UPPER($E2192)="L",SUMPRODUCT(M2192:X2192,$M$3:$X$3,$M$2:$X$2),SUMPRODUCT(M2192:X2192,$M$4:$X$4,$M$2:$X$2))/(Y2192/($K2192*$L2192)),"")</f>
        <v/>
      </c>
      <c r="AB2192" s="18" t="n"/>
    </row>
    <row r="2193">
      <c r="A2193" s="9" t="n">
        <v>813851</v>
      </c>
      <c r="B2193" s="9" t="inlineStr">
        <is>
          <t>Colton Becker</t>
        </is>
      </c>
      <c r="C2193" s="9" t="inlineStr">
        <is>
          <t>KC</t>
        </is>
      </c>
      <c r="D2193" s="9" t="n">
        <v>25</v>
      </c>
      <c r="E2193" s="16" t="inlineStr">
        <is>
          <t>R</t>
        </is>
      </c>
      <c r="F2193" s="16" t="n"/>
      <c r="G2193" s="9" t="n">
        <v>36.10256410256411</v>
      </c>
      <c r="H2193" s="9" t="n">
        <v>36.10256410256411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7" t="n"/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/>
      <c r="Y2193" s="13">
        <f>SUMPRODUCT(M2193:X2193,$M$2:$X$2)*$K2193*$L2193</f>
        <v/>
      </c>
      <c r="Z2193" s="14">
        <f>SUM(M2193:X2193)</f>
        <v/>
      </c>
      <c r="AA2193" s="14">
        <f>IFERROR(IF(UPPER($E2193)="L",SUMPRODUCT(M2193:X2193,$M$3:$X$3,$M$2:$X$2),SUMPRODUCT(M2193:X2193,$M$4:$X$4,$M$2:$X$2))/(Y2193/($K2193*$L2193)),"")</f>
        <v/>
      </c>
      <c r="AB2193" s="18" t="n"/>
    </row>
    <row r="2194">
      <c r="A2194" s="9" t="n">
        <v>700840</v>
      </c>
      <c r="B2194" s="9" t="inlineStr">
        <is>
          <t>Christian Olivo</t>
        </is>
      </c>
      <c r="C2194" s="9" t="inlineStr">
        <is>
          <t>CHC</t>
        </is>
      </c>
      <c r="D2194" s="9" t="n">
        <v>25</v>
      </c>
      <c r="E2194" s="16" t="inlineStr">
        <is>
          <t>R</t>
        </is>
      </c>
      <c r="F2194" s="16" t="n"/>
      <c r="G2194" s="9" t="n">
        <v>60.71794871794872</v>
      </c>
      <c r="H2194" s="9" t="n">
        <v>60.71794871794872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7" t="n"/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/>
      <c r="Y2194" s="13">
        <f>SUMPRODUCT(M2194:X2194,$M$2:$X$2)*$K2194*$L2194</f>
        <v/>
      </c>
      <c r="Z2194" s="14">
        <f>SUM(M2194:X2194)</f>
        <v/>
      </c>
      <c r="AA2194" s="14">
        <f>IFERROR(IF(UPPER($E2194)="L",SUMPRODUCT(M2194:X2194,$M$3:$X$3,$M$2:$X$2),SUMPRODUCT(M2194:X2194,$M$4:$X$4,$M$2:$X$2))/(Y2194/($K2194*$L2194)),"")</f>
        <v/>
      </c>
      <c r="AB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7" t="n"/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/>
      <c r="Y2195" s="13">
        <f>SUMPRODUCT(M2195:X2195,$M$2:$X$2)*$K2195*$L2195</f>
        <v/>
      </c>
      <c r="Z2195" s="14">
        <f>SUM(M2195:X2195)</f>
        <v/>
      </c>
      <c r="AA2195" s="14">
        <f>IFERROR(IF(UPPER($E2195)="L",SUMPRODUCT(M2195:X2195,$M$3:$X$3,$M$2:$X$2),SUMPRODUCT(M2195:X2195,$M$4:$X$4,$M$2:$X$2))/(Y2195/($K2195*$L2195)),"")</f>
        <v/>
      </c>
      <c r="AB2195" s="18" t="n"/>
    </row>
    <row r="2196">
      <c r="A2196" s="9" t="n">
        <v>687192</v>
      </c>
      <c r="B2196" s="9" t="inlineStr">
        <is>
          <t>Cade Hunter</t>
        </is>
      </c>
      <c r="C2196" s="9" t="inlineStr">
        <is>
          <t>CIN</t>
        </is>
      </c>
      <c r="D2196" s="9" t="n">
        <v>25</v>
      </c>
      <c r="E2196" s="16" t="inlineStr">
        <is>
          <t>L</t>
        </is>
      </c>
      <c r="F2196" s="16" t="n"/>
      <c r="G2196" s="9" t="n">
        <v>110.9230769230769</v>
      </c>
      <c r="H2196" s="9" t="n">
        <v>110.9230769230769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7" t="n"/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/>
      <c r="Y2196" s="13">
        <f>SUMPRODUCT(M2196:X2196,$M$2:$X$2)*$K2196*$L2196</f>
        <v/>
      </c>
      <c r="Z2196" s="14">
        <f>SUM(M2196:X2196)</f>
        <v/>
      </c>
      <c r="AA2196" s="14">
        <f>IFERROR(IF(UPPER($E2196)="L",SUMPRODUCT(M2196:X2196,$M$3:$X$3,$M$2:$X$2),SUMPRODUCT(M2196:X2196,$M$4:$X$4,$M$2:$X$2))/(Y2196/($K2196*$L2196)),"")</f>
        <v/>
      </c>
      <c r="AB2196" s="18" t="n"/>
    </row>
    <row r="2197">
      <c r="A2197" s="9" t="n">
        <v>815902</v>
      </c>
      <c r="B2197" s="9" t="inlineStr">
        <is>
          <t>Yandel Ricardo</t>
        </is>
      </c>
      <c r="C2197" s="9" t="inlineStr">
        <is>
          <t>KC</t>
        </is>
      </c>
      <c r="D2197" s="9" t="n">
        <v>25</v>
      </c>
      <c r="E2197" s="16" t="inlineStr">
        <is>
          <t>S</t>
        </is>
      </c>
      <c r="F2197" s="16" t="n"/>
      <c r="G2197" s="9" t="n">
        <v>54.40000000000001</v>
      </c>
      <c r="H2197" s="9" t="n">
        <v>54.40000000000001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7" t="n"/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/>
      <c r="Y2197" s="13">
        <f>SUMPRODUCT(M2197:X2197,$M$2:$X$2)*$K2197*$L2197</f>
        <v/>
      </c>
      <c r="Z2197" s="14">
        <f>SUM(M2197:X2197)</f>
        <v/>
      </c>
      <c r="AA2197" s="14">
        <f>IFERROR(IF(UPPER($E2197)="L",SUMPRODUCT(M2197:X2197,$M$3:$X$3,$M$2:$X$2),SUMPRODUCT(M2197:X2197,$M$4:$X$4,$M$2:$X$2))/(Y2197/($K2197*$L2197)),"")</f>
        <v/>
      </c>
      <c r="AB2197" s="18" t="n"/>
    </row>
    <row r="2198">
      <c r="A2198" s="9" t="n">
        <v>802018</v>
      </c>
      <c r="B2198" s="9" t="inlineStr">
        <is>
          <t>Ryan Burrowes</t>
        </is>
      </c>
      <c r="C2198" s="9" t="inlineStr">
        <is>
          <t>CWS</t>
        </is>
      </c>
      <c r="D2198" s="9" t="n">
        <v>25</v>
      </c>
      <c r="E2198" s="16" t="inlineStr">
        <is>
          <t>R</t>
        </is>
      </c>
      <c r="F2198" s="16" t="n"/>
      <c r="G2198" s="9" t="n">
        <v>56.35897435897435</v>
      </c>
      <c r="H2198" s="9" t="n">
        <v>56.35897435897435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7" t="n"/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/>
      <c r="Y2198" s="13">
        <f>SUMPRODUCT(M2198:X2198,$M$2:$X$2)*$K2198*$L2198</f>
        <v/>
      </c>
      <c r="Z2198" s="14">
        <f>SUM(M2198:X2198)</f>
        <v/>
      </c>
      <c r="AA2198" s="14">
        <f>IFERROR(IF(UPPER($E2198)="L",SUMPRODUCT(M2198:X2198,$M$3:$X$3,$M$2:$X$2),SUMPRODUCT(M2198:X2198,$M$4:$X$4,$M$2:$X$2))/(Y2198/($K2198*$L2198)),"")</f>
        <v/>
      </c>
      <c r="AB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n"/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7" t="n"/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/>
      <c r="W2199" s="17" t="n"/>
      <c r="X2199" s="17" t="n"/>
      <c r="Y2199" s="13">
        <f>SUMPRODUCT(M2199:X2199,$M$2:$X$2)*$K2199*$L2199</f>
        <v/>
      </c>
      <c r="Z2199" s="14">
        <f>SUM(M2199:X2199)</f>
        <v/>
      </c>
      <c r="AA2199" s="14">
        <f>IFERROR(IF(UPPER($E2199)="L",SUMPRODUCT(M2199:X2199,$M$3:$X$3,$M$2:$X$2),SUMPRODUCT(M2199:X2199,$M$4:$X$4,$M$2:$X$2))/(Y2199/($K2199*$L2199)),"")</f>
        <v/>
      </c>
      <c r="AB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7" t="n"/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/>
      <c r="Y2200" s="13">
        <f>SUMPRODUCT(M2200:X2200,$M$2:$X$2)*$K2200*$L2200</f>
        <v/>
      </c>
      <c r="Z2200" s="14">
        <f>SUM(M2200:X2200)</f>
        <v/>
      </c>
      <c r="AA2200" s="14">
        <f>IFERROR(IF(UPPER($E2200)="L",SUMPRODUCT(M2200:X2200,$M$3:$X$3,$M$2:$X$2),SUMPRODUCT(M2200:X2200,$M$4:$X$4,$M$2:$X$2))/(Y2200/($K2200*$L2200)),"")</f>
        <v/>
      </c>
      <c r="AB2200" s="18" t="n"/>
    </row>
    <row r="2201">
      <c r="A2201" s="9" t="n">
        <v>800193</v>
      </c>
      <c r="B2201" s="9" t="inlineStr">
        <is>
          <t>Kelvin Hidalgo</t>
        </is>
      </c>
      <c r="C2201" s="9" t="inlineStr">
        <is>
          <t>COL</t>
        </is>
      </c>
      <c r="D2201" s="9" t="n">
        <v>25</v>
      </c>
      <c r="E2201" s="16" t="inlineStr">
        <is>
          <t>R</t>
        </is>
      </c>
      <c r="F2201" s="16" t="n"/>
      <c r="G2201" s="9" t="n">
        <v>92.71794871794872</v>
      </c>
      <c r="H2201" s="9" t="n">
        <v>92.71794871794872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7" t="n"/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/>
      <c r="Y2201" s="13">
        <f>SUMPRODUCT(M2201:X2201,$M$2:$X$2)*$K2201*$L2201</f>
        <v/>
      </c>
      <c r="Z2201" s="14">
        <f>SUM(M2201:X2201)</f>
        <v/>
      </c>
      <c r="AA2201" s="14">
        <f>IFERROR(IF(UPPER($E2201)="L",SUMPRODUCT(M2201:X2201,$M$3:$X$3,$M$2:$X$2),SUMPRODUCT(M2201:X2201,$M$4:$X$4,$M$2:$X$2))/(Y2201/($K2201*$L2201)),"")</f>
        <v/>
      </c>
      <c r="AB2201" s="18" t="n"/>
    </row>
    <row r="2202">
      <c r="A2202" s="9" t="n">
        <v>691938</v>
      </c>
      <c r="B2202" s="9" t="inlineStr">
        <is>
          <t>Willy Vasquez</t>
        </is>
      </c>
      <c r="C2202" s="9" t="inlineStr">
        <is>
          <t>BAL</t>
        </is>
      </c>
      <c r="D2202" s="9" t="n">
        <v>25</v>
      </c>
      <c r="E2202" s="16" t="inlineStr">
        <is>
          <t>R</t>
        </is>
      </c>
      <c r="F2202" s="16" t="n"/>
      <c r="G2202" s="9" t="n">
        <v>85.74358974358975</v>
      </c>
      <c r="H2202" s="9" t="n">
        <v>85.74358974358975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7" t="n"/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/>
      <c r="Y2202" s="13">
        <f>SUMPRODUCT(M2202:X2202,$M$2:$X$2)*$K2202*$L2202</f>
        <v/>
      </c>
      <c r="Z2202" s="14">
        <f>SUM(M2202:X2202)</f>
        <v/>
      </c>
      <c r="AA2202" s="14">
        <f>IFERROR(IF(UPPER($E2202)="L",SUMPRODUCT(M2202:X2202,$M$3:$X$3,$M$2:$X$2),SUMPRODUCT(M2202:X2202,$M$4:$X$4,$M$2:$X$2))/(Y2202/($K2202*$L2202)),"")</f>
        <v/>
      </c>
      <c r="AB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7" t="n"/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/>
      <c r="Y2203" s="13">
        <f>SUMPRODUCT(M2203:X2203,$M$2:$X$2)*$K2203*$L2203</f>
        <v/>
      </c>
      <c r="Z2203" s="14">
        <f>SUM(M2203:X2203)</f>
        <v/>
      </c>
      <c r="AA2203" s="14">
        <f>IFERROR(IF(UPPER($E2203)="L",SUMPRODUCT(M2203:X2203,$M$3:$X$3,$M$2:$X$2),SUMPRODUCT(M2203:X2203,$M$4:$X$4,$M$2:$X$2))/(Y2203/($K2203*$L2203)),"")</f>
        <v/>
      </c>
      <c r="AB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n"/>
      <c r="G2204" s="9" t="n">
        <v>41</v>
      </c>
      <c r="H2204" s="9" t="n">
        <v>712</v>
      </c>
      <c r="I2204" s="9" t="inlineStr">
        <is>
          <t>Bench Bat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7" t="n"/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/>
      <c r="W2204" s="17" t="n"/>
      <c r="X2204" s="17" t="n"/>
      <c r="Y2204" s="13">
        <f>SUMPRODUCT(M2204:X2204,$M$2:$X$2)*$K2204*$L2204</f>
        <v/>
      </c>
      <c r="Z2204" s="14">
        <f>SUM(M2204:X2204)</f>
        <v/>
      </c>
      <c r="AA2204" s="14">
        <f>IFERROR(IF(UPPER($E2204)="L",SUMPRODUCT(M2204:X2204,$M$3:$X$3,$M$2:$X$2),SUMPRODUCT(M2204:X2204,$M$4:$X$4,$M$2:$X$2))/(Y2204/($K2204*$L2204)),"")</f>
        <v/>
      </c>
      <c r="AB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n"/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7" t="n"/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/>
      <c r="Y2205" s="13">
        <f>SUMPRODUCT(M2205:X2205,$M$2:$X$2)*$K2205*$L2205</f>
        <v/>
      </c>
      <c r="Z2205" s="14">
        <f>SUM(M2205:X2205)</f>
        <v/>
      </c>
      <c r="AA2205" s="14">
        <f>IFERROR(IF(UPPER($E2205)="L",SUMPRODUCT(M2205:X2205,$M$3:$X$3,$M$2:$X$2),SUMPRODUCT(M2205:X2205,$M$4:$X$4,$M$2:$X$2))/(Y2205/($K2205*$L2205)),"")</f>
        <v/>
      </c>
      <c r="AB2205" s="18" t="n"/>
    </row>
    <row r="2206">
      <c r="A2206" s="9" t="n">
        <v>676038</v>
      </c>
      <c r="B2206" s="9" t="inlineStr">
        <is>
          <t>Skyler Messinger</t>
        </is>
      </c>
      <c r="C2206" s="9" t="inlineStr">
        <is>
          <t>COL</t>
        </is>
      </c>
      <c r="D2206" s="9" t="n">
        <v>25</v>
      </c>
      <c r="E2206" s="16" t="inlineStr">
        <is>
          <t>R</t>
        </is>
      </c>
      <c r="F2206" s="16" t="n"/>
      <c r="G2206" s="9" t="n">
        <v>36.25641025641026</v>
      </c>
      <c r="H2206" s="9" t="n">
        <v>36.25641025641026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7" t="n"/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/>
      <c r="Y2206" s="13">
        <f>SUMPRODUCT(M2206:X2206,$M$2:$X$2)*$K2206*$L2206</f>
        <v/>
      </c>
      <c r="Z2206" s="14">
        <f>SUM(M2206:X2206)</f>
        <v/>
      </c>
      <c r="AA2206" s="14">
        <f>IFERROR(IF(UPPER($E2206)="L",SUMPRODUCT(M2206:X2206,$M$3:$X$3,$M$2:$X$2),SUMPRODUCT(M2206:X2206,$M$4:$X$4,$M$2:$X$2))/(Y2206/($K2206*$L2206)),"")</f>
        <v/>
      </c>
      <c r="AB2206" s="18" t="n"/>
    </row>
    <row r="2207">
      <c r="A2207" s="9" t="n">
        <v>821149</v>
      </c>
      <c r="B2207" s="9" t="inlineStr">
        <is>
          <t>Frederi Montero</t>
        </is>
      </c>
      <c r="C2207" s="9" t="inlineStr">
        <is>
          <t>MIL</t>
        </is>
      </c>
      <c r="D2207" s="9" t="n">
        <v>25</v>
      </c>
      <c r="E2207" s="16" t="inlineStr">
        <is>
          <t>L</t>
        </is>
      </c>
      <c r="F2207" s="16" t="n"/>
      <c r="G2207" s="9" t="n">
        <v>55.26153846153846</v>
      </c>
      <c r="H2207" s="9" t="n">
        <v>55.26153846153846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7" t="n"/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/>
      <c r="Y2207" s="13">
        <f>SUMPRODUCT(M2207:X2207,$M$2:$X$2)*$K2207*$L2207</f>
        <v/>
      </c>
      <c r="Z2207" s="14">
        <f>SUM(M2207:X2207)</f>
        <v/>
      </c>
      <c r="AA2207" s="14">
        <f>IFERROR(IF(UPPER($E2207)="L",SUMPRODUCT(M2207:X2207,$M$3:$X$3,$M$2:$X$2),SUMPRODUCT(M2207:X2207,$M$4:$X$4,$M$2:$X$2))/(Y2207/($K2207*$L2207)),"")</f>
        <v/>
      </c>
      <c r="AB2207" s="18" t="n"/>
    </row>
    <row r="2208">
      <c r="A2208" s="9" t="n">
        <v>686766</v>
      </c>
      <c r="B2208" s="9" t="inlineStr">
        <is>
          <t>William Simoneit</t>
        </is>
      </c>
      <c r="C2208" s="9" t="inlineStr">
        <is>
          <t>TOR</t>
        </is>
      </c>
      <c r="D2208" s="9" t="n">
        <v>25</v>
      </c>
      <c r="E2208" s="16" t="inlineStr">
        <is>
          <t>R</t>
        </is>
      </c>
      <c r="F2208" s="16" t="n"/>
      <c r="G2208" s="9" t="n">
        <v>104.9230769230769</v>
      </c>
      <c r="H2208" s="9" t="n">
        <v>104.9230769230769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7" t="n"/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/>
      <c r="Y2208" s="13">
        <f>SUMPRODUCT(M2208:X2208,$M$2:$X$2)*$K2208*$L2208</f>
        <v/>
      </c>
      <c r="Z2208" s="14">
        <f>SUM(M2208:X2208)</f>
        <v/>
      </c>
      <c r="AA2208" s="14">
        <f>IFERROR(IF(UPPER($E2208)="L",SUMPRODUCT(M2208:X2208,$M$3:$X$3,$M$2:$X$2),SUMPRODUCT(M2208:X2208,$M$4:$X$4,$M$2:$X$2))/(Y2208/($K2208*$L2208)),"")</f>
        <v/>
      </c>
      <c r="AB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7" t="n"/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/>
      <c r="Y2209" s="13">
        <f>SUMPRODUCT(M2209:X2209,$M$2:$X$2)*$K2209*$L2209</f>
        <v/>
      </c>
      <c r="Z2209" s="14">
        <f>SUM(M2209:X2209)</f>
        <v/>
      </c>
      <c r="AA2209" s="14">
        <f>IFERROR(IF(UPPER($E2209)="L",SUMPRODUCT(M2209:X2209,$M$3:$X$3,$M$2:$X$2),SUMPRODUCT(M2209:X2209,$M$4:$X$4,$M$2:$X$2))/(Y2209/($K2209*$L2209)),"")</f>
        <v/>
      </c>
      <c r="AB2209" s="18" t="n"/>
    </row>
    <row r="2210">
      <c r="A2210" s="9" t="n">
        <v>665966</v>
      </c>
      <c r="B2210" s="9" t="inlineStr">
        <is>
          <t>Carlos Narváez</t>
        </is>
      </c>
      <c r="C2210" s="9" t="inlineStr">
        <is>
          <t>BAL</t>
        </is>
      </c>
      <c r="D2210" s="9" t="n">
        <v>28</v>
      </c>
      <c r="E2210" s="16" t="inlineStr">
        <is>
          <t>R</t>
        </is>
      </c>
      <c r="F2210" s="16" t="n"/>
      <c r="G2210" s="9" t="n">
        <v>285</v>
      </c>
      <c r="H2210" s="9" t="n">
        <v>746</v>
      </c>
      <c r="I2210" s="9" t="inlineStr">
        <is>
          <t>Full Time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7" t="n"/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/>
      <c r="Y2210" s="13">
        <f>SUMPRODUCT(M2210:X2210,$M$2:$X$2)*$K2210*$L2210</f>
        <v/>
      </c>
      <c r="Z2210" s="14">
        <f>SUM(M2210:X2210)</f>
        <v/>
      </c>
      <c r="AA2210" s="14">
        <f>IFERROR(IF(UPPER($E2210)="L",SUMPRODUCT(M2210:X2210,$M$3:$X$3,$M$2:$X$2),SUMPRODUCT(M2210:X2210,$M$4:$X$4,$M$2:$X$2))/(Y2210/($K2210*$L2210)),"")</f>
        <v/>
      </c>
      <c r="AB2210" s="18" t="n"/>
    </row>
    <row r="2211">
      <c r="A2211" s="9" t="n">
        <v>596129</v>
      </c>
      <c r="B2211" s="9" t="inlineStr">
        <is>
          <t>Daniel Vogelbach</t>
        </is>
      </c>
      <c r="C2211" s="9" t="inlineStr">
        <is>
          <t>TOR</t>
        </is>
      </c>
      <c r="D2211" s="9" t="n">
        <v>34</v>
      </c>
      <c r="E2211" s="16" t="inlineStr">
        <is>
          <t>L</t>
        </is>
      </c>
      <c r="F2211" s="16" t="n"/>
      <c r="G2211" s="9" t="n">
        <v>79</v>
      </c>
      <c r="H2211" s="9" t="n">
        <v>859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7" t="n"/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/>
      <c r="Y2211" s="13">
        <f>SUMPRODUCT(M2211:X2211,$M$2:$X$2)*$K2211*$L2211</f>
        <v/>
      </c>
      <c r="Z2211" s="14">
        <f>SUM(M2211:X2211)</f>
        <v/>
      </c>
      <c r="AA2211" s="14">
        <f>IFERROR(IF(UPPER($E2211)="L",SUMPRODUCT(M2211:X2211,$M$3:$X$3,$M$2:$X$2),SUMPRODUCT(M2211:X2211,$M$4:$X$4,$M$2:$X$2))/(Y2211/($K2211*$L2211)),"")</f>
        <v/>
      </c>
      <c r="AB2211" s="18" t="n"/>
    </row>
    <row r="2212">
      <c r="A2212" s="9" t="n">
        <v>681123</v>
      </c>
      <c r="B2212" s="9" t="inlineStr">
        <is>
          <t>Luca Tresh</t>
        </is>
      </c>
      <c r="C2212" s="9" t="inlineStr">
        <is>
          <t>KC</t>
        </is>
      </c>
      <c r="D2212" s="9" t="n">
        <v>25</v>
      </c>
      <c r="E2212" s="16" t="inlineStr">
        <is>
          <t>R</t>
        </is>
      </c>
      <c r="F2212" s="16" t="n"/>
      <c r="G2212" s="9" t="n">
        <v>212.6666666666667</v>
      </c>
      <c r="H2212" s="9" t="n">
        <v>212.6666666666667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7" t="n"/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/>
      <c r="Y2212" s="13">
        <f>SUMPRODUCT(M2212:X2212,$M$2:$X$2)*$K2212*$L2212</f>
        <v/>
      </c>
      <c r="Z2212" s="14">
        <f>SUM(M2212:X2212)</f>
        <v/>
      </c>
      <c r="AA2212" s="14">
        <f>IFERROR(IF(UPPER($E2212)="L",SUMPRODUCT(M2212:X2212,$M$3:$X$3,$M$2:$X$2),SUMPRODUCT(M2212:X2212,$M$4:$X$4,$M$2:$X$2))/(Y2212/($K2212*$L2212)),"")</f>
        <v/>
      </c>
      <c r="AB2212" s="18" t="n"/>
    </row>
    <row r="2213">
      <c r="A2213" s="9" t="n">
        <v>674976</v>
      </c>
      <c r="B2213" s="9" t="inlineStr">
        <is>
          <t>Griffin Lockwood-Powell</t>
        </is>
      </c>
      <c r="C2213" s="9" t="inlineStr">
        <is>
          <t>LAD</t>
        </is>
      </c>
      <c r="D2213" s="9" t="n">
        <v>25</v>
      </c>
      <c r="E2213" s="16" t="inlineStr">
        <is>
          <t>R</t>
        </is>
      </c>
      <c r="F2213" s="16" t="n"/>
      <c r="G2213" s="9" t="n">
        <v>56.97435897435898</v>
      </c>
      <c r="H2213" s="9" t="n">
        <v>56.97435897435898</v>
      </c>
      <c r="I2213" s="9" t="inlineStr">
        <is>
          <t>Depth (no MLB PA)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7" t="n"/>
      <c r="N2213" s="17" t="n"/>
      <c r="O2213" s="17" t="n"/>
      <c r="P2213" s="17" t="n"/>
      <c r="Q2213" s="17" t="n"/>
      <c r="R2213" s="17" t="n"/>
      <c r="S2213" s="17" t="n"/>
      <c r="T2213" s="17" t="n"/>
      <c r="U2213" s="17" t="n"/>
      <c r="V2213" s="17" t="n"/>
      <c r="W2213" s="17" t="n"/>
      <c r="X2213" s="17" t="n"/>
      <c r="Y2213" s="13">
        <f>SUMPRODUCT(M2213:X2213,$M$2:$X$2)*$K2213*$L2213</f>
        <v/>
      </c>
      <c r="Z2213" s="14">
        <f>SUM(M2213:X2213)</f>
        <v/>
      </c>
      <c r="AA2213" s="14">
        <f>IFERROR(IF(UPPER($E2213)="L",SUMPRODUCT(M2213:X2213,$M$3:$X$3,$M$2:$X$2),SUMPRODUCT(M2213:X2213,$M$4:$X$4,$M$2:$X$2))/(Y2213/($K2213*$L2213)),"")</f>
        <v/>
      </c>
      <c r="AB2213" s="18" t="n"/>
    </row>
    <row r="2214">
      <c r="A2214" s="9" t="n">
        <v>701305</v>
      </c>
      <c r="B2214" s="9" t="inlineStr">
        <is>
          <t>Zach Dezenzo</t>
        </is>
      </c>
      <c r="C2214" s="9" t="inlineStr">
        <is>
          <t>HOU</t>
        </is>
      </c>
      <c r="D2214" s="9" t="n">
        <v>27</v>
      </c>
      <c r="E2214" s="16" t="inlineStr">
        <is>
          <t>R</t>
        </is>
      </c>
      <c r="F2214" s="16" t="n"/>
      <c r="G2214" s="9" t="n">
        <v>82</v>
      </c>
      <c r="H2214" s="9" t="n">
        <v>256</v>
      </c>
      <c r="I2214" s="9" t="inlineStr">
        <is>
          <t>Bench Bat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7" t="n"/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/>
      <c r="Y2214" s="13">
        <f>SUMPRODUCT(M2214:X2214,$M$2:$X$2)*$K2214*$L2214</f>
        <v/>
      </c>
      <c r="Z2214" s="14">
        <f>SUM(M2214:X2214)</f>
        <v/>
      </c>
      <c r="AA2214" s="14">
        <f>IFERROR(IF(UPPER($E2214)="L",SUMPRODUCT(M2214:X2214,$M$3:$X$3,$M$2:$X$2),SUMPRODUCT(M2214:X2214,$M$4:$X$4,$M$2:$X$2))/(Y2214/($K2214*$L2214)),"")</f>
        <v/>
      </c>
      <c r="AB2214" s="18" t="n"/>
    </row>
    <row r="2215">
      <c r="A2215" s="9" t="n">
        <v>821765</v>
      </c>
      <c r="B2215" s="9" t="inlineStr">
        <is>
          <t>Jesus Pinto</t>
        </is>
      </c>
      <c r="C2215" s="9" t="inlineStr">
        <is>
          <t>DET</t>
        </is>
      </c>
      <c r="D2215" s="9" t="n">
        <v>25</v>
      </c>
      <c r="E2215" s="16" t="inlineStr">
        <is>
          <t>R</t>
        </is>
      </c>
      <c r="F2215" s="16" t="n"/>
      <c r="G2215" s="9" t="n">
        <v>53.04615384615384</v>
      </c>
      <c r="H2215" s="9" t="n">
        <v>53.04615384615384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7" t="n"/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/>
      <c r="Y2215" s="13">
        <f>SUMPRODUCT(M2215:X2215,$M$2:$X$2)*$K2215*$L2215</f>
        <v/>
      </c>
      <c r="Z2215" s="14">
        <f>SUM(M2215:X2215)</f>
        <v/>
      </c>
      <c r="AA2215" s="14">
        <f>IFERROR(IF(UPPER($E2215)="L",SUMPRODUCT(M2215:X2215,$M$3:$X$3,$M$2:$X$2),SUMPRODUCT(M2215:X2215,$M$4:$X$4,$M$2:$X$2))/(Y2215/($K2215*$L2215)),"")</f>
        <v/>
      </c>
      <c r="AB2215" s="18" t="n"/>
    </row>
    <row r="2216">
      <c r="A2216" s="9" t="n">
        <v>805782</v>
      </c>
      <c r="B2216" s="9" t="inlineStr">
        <is>
          <t>Ryan Lasko</t>
        </is>
      </c>
      <c r="C2216" s="9" t="inlineStr">
        <is>
          <t>OAK</t>
        </is>
      </c>
      <c r="D2216" s="9" t="n">
        <v>25</v>
      </c>
      <c r="E2216" s="16" t="inlineStr">
        <is>
          <t>R</t>
        </is>
      </c>
      <c r="F2216" s="16" t="n"/>
      <c r="G2216" s="9" t="n">
        <v>95.48717948717947</v>
      </c>
      <c r="H2216" s="9" t="n">
        <v>95.48717948717947</v>
      </c>
      <c r="I2216" s="9" t="inlineStr">
        <is>
          <t>Depth (no MLB PA)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7" t="n"/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/>
      <c r="W2216" s="17" t="n"/>
      <c r="X2216" s="17" t="n"/>
      <c r="Y2216" s="13">
        <f>SUMPRODUCT(M2216:X2216,$M$2:$X$2)*$K2216*$L2216</f>
        <v/>
      </c>
      <c r="Z2216" s="14">
        <f>SUM(M2216:X2216)</f>
        <v/>
      </c>
      <c r="AA2216" s="14">
        <f>IFERROR(IF(UPPER($E2216)="L",SUMPRODUCT(M2216:X2216,$M$3:$X$3,$M$2:$X$2),SUMPRODUCT(M2216:X2216,$M$4:$X$4,$M$2:$X$2))/(Y2216/($K2216*$L2216)),"")</f>
        <v/>
      </c>
      <c r="AB2216" s="18" t="n"/>
    </row>
    <row r="2217">
      <c r="A2217" s="9" t="n">
        <v>800712</v>
      </c>
      <c r="B2217" s="9" t="inlineStr">
        <is>
          <t>Wallace Clark</t>
        </is>
      </c>
      <c r="C2217" s="9" t="inlineStr">
        <is>
          <t>ARI</t>
        </is>
      </c>
      <c r="D2217" s="9" t="n">
        <v>25</v>
      </c>
      <c r="E2217" s="16" t="inlineStr">
        <is>
          <t>S</t>
        </is>
      </c>
      <c r="F2217" s="16" t="n"/>
      <c r="G2217" s="9" t="n">
        <v>65.84615384615385</v>
      </c>
      <c r="H2217" s="9" t="n">
        <v>65.84615384615385</v>
      </c>
      <c r="I2217" s="9" t="inlineStr">
        <is>
          <t>Depth (no MLB PA)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7" t="n"/>
      <c r="N2217" s="17" t="n"/>
      <c r="O2217" s="17" t="n"/>
      <c r="P2217" s="17" t="n"/>
      <c r="Q2217" s="17" t="n"/>
      <c r="R2217" s="17" t="n"/>
      <c r="S2217" s="17" t="n"/>
      <c r="T2217" s="17" t="n"/>
      <c r="U2217" s="17" t="n"/>
      <c r="V2217" s="17" t="n"/>
      <c r="W2217" s="17" t="n"/>
      <c r="X2217" s="17" t="n"/>
      <c r="Y2217" s="13">
        <f>SUMPRODUCT(M2217:X2217,$M$2:$X$2)*$K2217*$L2217</f>
        <v/>
      </c>
      <c r="Z2217" s="14">
        <f>SUM(M2217:X2217)</f>
        <v/>
      </c>
      <c r="AA2217" s="14">
        <f>IFERROR(IF(UPPER($E2217)="L",SUMPRODUCT(M2217:X2217,$M$3:$X$3,$M$2:$X$2),SUMPRODUCT(M2217:X2217,$M$4:$X$4,$M$2:$X$2))/(Y2217/($K2217*$L2217)),"")</f>
        <v/>
      </c>
      <c r="AB2217" s="18" t="n"/>
    </row>
    <row r="2218">
      <c r="A2218" s="9" t="n">
        <v>672386</v>
      </c>
      <c r="B2218" s="9" t="inlineStr">
        <is>
          <t>Alejandro Kirk</t>
        </is>
      </c>
      <c r="C2218" s="9" t="inlineStr">
        <is>
          <t>TOR</t>
        </is>
      </c>
      <c r="D2218" s="9" t="n">
        <v>28</v>
      </c>
      <c r="E2218" s="16" t="inlineStr">
        <is>
          <t>R</t>
        </is>
      </c>
      <c r="F2218" s="16" t="n"/>
      <c r="G2218" s="9" t="n">
        <v>313</v>
      </c>
      <c r="H2218" s="9" t="n">
        <v>2168</v>
      </c>
      <c r="I2218" s="9" t="inlineStr">
        <is>
          <t>Full Time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7" t="n"/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/>
      <c r="Y2218" s="13">
        <f>SUMPRODUCT(M2218:X2218,$M$2:$X$2)*$K2218*$L2218</f>
        <v/>
      </c>
      <c r="Z2218" s="14">
        <f>SUM(M2218:X2218)</f>
        <v/>
      </c>
      <c r="AA2218" s="14">
        <f>IFERROR(IF(UPPER($E2218)="L",SUMPRODUCT(M2218:X2218,$M$3:$X$3,$M$2:$X$2),SUMPRODUCT(M2218:X2218,$M$4:$X$4,$M$2:$X$2))/(Y2218/($K2218*$L2218)),"")</f>
        <v/>
      </c>
      <c r="AB2218" s="18" t="n"/>
    </row>
    <row r="2219">
      <c r="A2219" s="9" t="n">
        <v>802504</v>
      </c>
      <c r="B2219" s="9" t="inlineStr">
        <is>
          <t>Myles Naylor</t>
        </is>
      </c>
      <c r="C2219" s="9" t="inlineStr">
        <is>
          <t>OAK</t>
        </is>
      </c>
      <c r="D2219" s="9" t="n">
        <v>25</v>
      </c>
      <c r="E2219" s="16" t="inlineStr">
        <is>
          <t>R</t>
        </is>
      </c>
      <c r="F2219" s="16" t="n"/>
      <c r="G2219" s="9" t="n">
        <v>62.76923076923077</v>
      </c>
      <c r="H2219" s="9" t="n">
        <v>62.76923076923077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7" t="n"/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/>
      <c r="Y2219" s="13">
        <f>SUMPRODUCT(M2219:X2219,$M$2:$X$2)*$K2219*$L2219</f>
        <v/>
      </c>
      <c r="Z2219" s="14">
        <f>SUM(M2219:X2219)</f>
        <v/>
      </c>
      <c r="AA2219" s="14">
        <f>IFERROR(IF(UPPER($E2219)="L",SUMPRODUCT(M2219:X2219,$M$3:$X$3,$M$2:$X$2),SUMPRODUCT(M2219:X2219,$M$4:$X$4,$M$2:$X$2))/(Y2219/($K2219*$L2219)),"")</f>
        <v/>
      </c>
      <c r="AB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25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Depth (no MLB PA)</t>
        </is>
      </c>
      <c r="J2220" s="16" t="inlineStr">
        <is>
          <t>Opening Day</t>
        </is>
      </c>
      <c r="K2220" s="11">
        <f>IFERROR(INDEX(Roles!$B$17:$B$20,MATCH(J2220,Roles!$A$17:$A$20,0)),1)</f>
        <v/>
      </c>
      <c r="L2220" s="17" t="n">
        <v>1</v>
      </c>
      <c r="M2220" s="17" t="n"/>
      <c r="N2220" s="17" t="n"/>
      <c r="O2220" s="17" t="n"/>
      <c r="P2220" s="17" t="n"/>
      <c r="Q2220" s="17" t="n"/>
      <c r="R2220" s="17" t="n"/>
      <c r="S2220" s="17" t="n"/>
      <c r="T2220" s="17" t="n"/>
      <c r="U2220" s="17" t="n"/>
      <c r="V2220" s="17" t="n"/>
      <c r="W2220" s="17" t="n"/>
      <c r="X2220" s="17" t="n"/>
      <c r="Y2220" s="13">
        <f>SUMPRODUCT(M2220:X2220,$M$2:$X$2)*$K2220*$L2220</f>
        <v/>
      </c>
      <c r="Z2220" s="14">
        <f>SUM(M2220:X2220)</f>
        <v/>
      </c>
      <c r="AA2220" s="14">
        <f>IFERROR(IF(UPPER($E2220)="L",SUMPRODUCT(M2220:X2220,$M$3:$X$3,$M$2:$X$2),SUMPRODUCT(M2220:X2220,$M$4:$X$4,$M$2:$X$2))/(Y2220/($K2220*$L2220)),"")</f>
        <v/>
      </c>
      <c r="AB2220" s="18" t="n"/>
    </row>
    <row r="2221">
      <c r="A2221" s="9" t="n">
        <v>807267</v>
      </c>
      <c r="B2221" s="9" t="inlineStr">
        <is>
          <t>JD Dix</t>
        </is>
      </c>
      <c r="C2221" s="9" t="inlineStr">
        <is>
          <t>ARI</t>
        </is>
      </c>
      <c r="D2221" s="9" t="n">
        <v>25</v>
      </c>
      <c r="E2221" s="16" t="inlineStr">
        <is>
          <t>S</t>
        </is>
      </c>
      <c r="F2221" s="16" t="n"/>
      <c r="G2221" s="9" t="n">
        <v>51.07692307692308</v>
      </c>
      <c r="H2221" s="9" t="n">
        <v>51.07692307692308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7" t="n"/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/>
      <c r="Y2221" s="13">
        <f>SUMPRODUCT(M2221:X2221,$M$2:$X$2)*$K2221*$L2221</f>
        <v/>
      </c>
      <c r="Z2221" s="14">
        <f>SUM(M2221:X2221)</f>
        <v/>
      </c>
      <c r="AA2221" s="14">
        <f>IFERROR(IF(UPPER($E2221)="L",SUMPRODUCT(M2221:X2221,$M$3:$X$3,$M$2:$X$2),SUMPRODUCT(M2221:X2221,$M$4:$X$4,$M$2:$X$2))/(Y2221/($K2221*$L2221)),"")</f>
        <v/>
      </c>
      <c r="AB2221" s="18" t="n"/>
    </row>
    <row r="2222">
      <c r="A2222" s="9" t="n">
        <v>657051</v>
      </c>
      <c r="B2222" s="9" t="inlineStr">
        <is>
          <t>Nicholas Torres</t>
        </is>
      </c>
      <c r="C2222" s="9" t="inlineStr">
        <is>
          <t>NYY</t>
        </is>
      </c>
      <c r="D2222" s="9" t="n">
        <v>25</v>
      </c>
      <c r="E2222" s="16" t="inlineStr">
        <is>
          <t>R</t>
        </is>
      </c>
      <c r="F2222" s="16" t="n"/>
      <c r="G2222" s="9" t="n">
        <v>57.43589743589744</v>
      </c>
      <c r="H2222" s="9" t="n">
        <v>57.43589743589744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7" t="n"/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/>
      <c r="Y2222" s="13">
        <f>SUMPRODUCT(M2222:X2222,$M$2:$X$2)*$K2222*$L2222</f>
        <v/>
      </c>
      <c r="Z2222" s="14">
        <f>SUM(M2222:X2222)</f>
        <v/>
      </c>
      <c r="AA2222" s="14">
        <f>IFERROR(IF(UPPER($E2222)="L",SUMPRODUCT(M2222:X2222,$M$3:$X$3,$M$2:$X$2),SUMPRODUCT(M2222:X2222,$M$4:$X$4,$M$2:$X$2))/(Y2222/($K2222*$L2222)),"")</f>
        <v/>
      </c>
      <c r="AB2222" s="18" t="n"/>
    </row>
    <row r="2223">
      <c r="A2223" s="9" t="n">
        <v>692633</v>
      </c>
      <c r="B2223" s="9" t="inlineStr">
        <is>
          <t>Manuel Palencia</t>
        </is>
      </c>
      <c r="C2223" s="9" t="inlineStr">
        <is>
          <t>NYY</t>
        </is>
      </c>
      <c r="D2223" s="9" t="n">
        <v>25</v>
      </c>
      <c r="E2223" s="16" t="inlineStr">
        <is>
          <t>R</t>
        </is>
      </c>
      <c r="F2223" s="16" t="n"/>
      <c r="G2223" s="9" t="n">
        <v>112</v>
      </c>
      <c r="H2223" s="9" t="n">
        <v>112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7" t="n"/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/>
      <c r="Y2223" s="13">
        <f>SUMPRODUCT(M2223:X2223,$M$2:$X$2)*$K2223*$L2223</f>
        <v/>
      </c>
      <c r="Z2223" s="14">
        <f>SUM(M2223:X2223)</f>
        <v/>
      </c>
      <c r="AA2223" s="14">
        <f>IFERROR(IF(UPPER($E2223)="L",SUMPRODUCT(M2223:X2223,$M$3:$X$3,$M$2:$X$2),SUMPRODUCT(M2223:X2223,$M$4:$X$4,$M$2:$X$2))/(Y2223/($K2223*$L2223)),"")</f>
        <v/>
      </c>
      <c r="AB2223" s="18" t="n"/>
    </row>
    <row r="2224">
      <c r="A2224" s="9" t="n">
        <v>691561</v>
      </c>
      <c r="B2224" s="9" t="inlineStr">
        <is>
          <t>Jose Meza</t>
        </is>
      </c>
      <c r="C2224" s="9" t="inlineStr">
        <is>
          <t>LAD</t>
        </is>
      </c>
      <c r="D2224" s="9" t="n">
        <v>25</v>
      </c>
      <c r="E2224" s="16" t="inlineStr">
        <is>
          <t>R</t>
        </is>
      </c>
      <c r="F2224" s="16" t="n"/>
      <c r="G2224" s="9" t="n">
        <v>84.92307692307693</v>
      </c>
      <c r="H2224" s="9" t="n">
        <v>84.92307692307693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7" t="n"/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/>
      <c r="Y2224" s="13">
        <f>SUMPRODUCT(M2224:X2224,$M$2:$X$2)*$K2224*$L2224</f>
        <v/>
      </c>
      <c r="Z2224" s="14">
        <f>SUM(M2224:X2224)</f>
        <v/>
      </c>
      <c r="AA2224" s="14">
        <f>IFERROR(IF(UPPER($E2224)="L",SUMPRODUCT(M2224:X2224,$M$3:$X$3,$M$2:$X$2),SUMPRODUCT(M2224:X2224,$M$4:$X$4,$M$2:$X$2))/(Y2224/($K2224*$L2224)),"")</f>
        <v/>
      </c>
      <c r="AB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7" t="n"/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/>
      <c r="Y2225" s="13">
        <f>SUMPRODUCT(M2225:X2225,$M$2:$X$2)*$K2225*$L2225</f>
        <v/>
      </c>
      <c r="Z2225" s="14">
        <f>SUM(M2225:X2225)</f>
        <v/>
      </c>
      <c r="AA2225" s="14">
        <f>IFERROR(IF(UPPER($E2225)="L",SUMPRODUCT(M2225:X2225,$M$3:$X$3,$M$2:$X$2),SUMPRODUCT(M2225:X2225,$M$4:$X$4,$M$2:$X$2))/(Y2225/($K2225*$L2225)),"")</f>
        <v/>
      </c>
      <c r="AB2225" s="18" t="n"/>
    </row>
    <row r="2226">
      <c r="A2226" s="9" t="n">
        <v>815665</v>
      </c>
      <c r="B2226" s="9" t="inlineStr">
        <is>
          <t>Brendan Tunink</t>
        </is>
      </c>
      <c r="C2226" s="9" t="inlineStr">
        <is>
          <t>LAD</t>
        </is>
      </c>
      <c r="D2226" s="9" t="n">
        <v>25</v>
      </c>
      <c r="E2226" s="16" t="inlineStr">
        <is>
          <t>L</t>
        </is>
      </c>
      <c r="F2226" s="16" t="n"/>
      <c r="G2226" s="9" t="n">
        <v>42.46153846153846</v>
      </c>
      <c r="H2226" s="9" t="n">
        <v>42.46153846153846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7" t="n"/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/>
      <c r="Y2226" s="13">
        <f>SUMPRODUCT(M2226:X2226,$M$2:$X$2)*$K2226*$L2226</f>
        <v/>
      </c>
      <c r="Z2226" s="14">
        <f>SUM(M2226:X2226)</f>
        <v/>
      </c>
      <c r="AA2226" s="14">
        <f>IFERROR(IF(UPPER($E2226)="L",SUMPRODUCT(M2226:X2226,$M$3:$X$3,$M$2:$X$2),SUMPRODUCT(M2226:X2226,$M$4:$X$4,$M$2:$X$2))/(Y2226/($K2226*$L2226)),"")</f>
        <v/>
      </c>
      <c r="AB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7" t="n"/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/>
      <c r="Y2227" s="13">
        <f>SUMPRODUCT(M2227:X2227,$M$2:$X$2)*$K2227*$L2227</f>
        <v/>
      </c>
      <c r="Z2227" s="14">
        <f>SUM(M2227:X2227)</f>
        <v/>
      </c>
      <c r="AA2227" s="14">
        <f>IFERROR(IF(UPPER($E2227)="L",SUMPRODUCT(M2227:X2227,$M$3:$X$3,$M$2:$X$2),SUMPRODUCT(M2227:X2227,$M$4:$X$4,$M$2:$X$2))/(Y2227/($K2227*$L2227)),"")</f>
        <v/>
      </c>
      <c r="AB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n"/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7" t="n"/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/>
      <c r="W2228" s="17" t="n"/>
      <c r="X2228" s="17" t="n"/>
      <c r="Y2228" s="13">
        <f>SUMPRODUCT(M2228:X2228,$M$2:$X$2)*$K2228*$L2228</f>
        <v/>
      </c>
      <c r="Z2228" s="14">
        <f>SUM(M2228:X2228)</f>
        <v/>
      </c>
      <c r="AA2228" s="14">
        <f>IFERROR(IF(UPPER($E2228)="L",SUMPRODUCT(M2228:X2228,$M$3:$X$3,$M$2:$X$2),SUMPRODUCT(M2228:X2228,$M$4:$X$4,$M$2:$X$2))/(Y2228/($K2228*$L2228)),"")</f>
        <v/>
      </c>
      <c r="AB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7" t="n"/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/>
      <c r="Y2229" s="13">
        <f>SUMPRODUCT(M2229:X2229,$M$2:$X$2)*$K2229*$L2229</f>
        <v/>
      </c>
      <c r="Z2229" s="14">
        <f>SUM(M2229:X2229)</f>
        <v/>
      </c>
      <c r="AA2229" s="14">
        <f>IFERROR(IF(UPPER($E2229)="L",SUMPRODUCT(M2229:X2229,$M$3:$X$3,$M$2:$X$2),SUMPRODUCT(M2229:X2229,$M$4:$X$4,$M$2:$X$2))/(Y2229/($K2229*$L2229)),"")</f>
        <v/>
      </c>
      <c r="AB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7" t="n"/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/>
      <c r="Y2230" s="13">
        <f>SUMPRODUCT(M2230:X2230,$M$2:$X$2)*$K2230*$L2230</f>
        <v/>
      </c>
      <c r="Z2230" s="14">
        <f>SUM(M2230:X2230)</f>
        <v/>
      </c>
      <c r="AA2230" s="14">
        <f>IFERROR(IF(UPPER($E2230)="L",SUMPRODUCT(M2230:X2230,$M$3:$X$3,$M$2:$X$2),SUMPRODUCT(M2230:X2230,$M$4:$X$4,$M$2:$X$2))/(Y2230/($K2230*$L2230)),"")</f>
        <v/>
      </c>
      <c r="AB2230" s="18" t="n"/>
    </row>
    <row r="2231">
      <c r="A2231" s="9" t="n">
        <v>825269</v>
      </c>
      <c r="B2231" s="9" t="inlineStr">
        <is>
          <t>Jose Verdugo</t>
        </is>
      </c>
      <c r="C2231" s="9" t="inlineStr">
        <is>
          <t>SD</t>
        </is>
      </c>
      <c r="D2231" s="9" t="n">
        <v>25</v>
      </c>
      <c r="E2231" s="16" t="inlineStr">
        <is>
          <t>R</t>
        </is>
      </c>
      <c r="F2231" s="16" t="n"/>
      <c r="G2231" s="9" t="n">
        <v>50.21538461538461</v>
      </c>
      <c r="H2231" s="9" t="n">
        <v>50.21538461538461</v>
      </c>
      <c r="I2231" s="9" t="inlineStr">
        <is>
          <t>Depth (no MLB PA)</t>
        </is>
      </c>
      <c r="J2231" s="16" t="inlineStr">
        <is>
          <t>Opening Day</t>
        </is>
      </c>
      <c r="K2231" s="11">
        <f>IFERROR(INDEX(Roles!$B$17:$B$20,MATCH(J2231,Roles!$A$17:$A$20,0)),1)</f>
        <v/>
      </c>
      <c r="L2231" s="17" t="n">
        <v>1</v>
      </c>
      <c r="M2231" s="17" t="n"/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/>
      <c r="Y2231" s="13">
        <f>SUMPRODUCT(M2231:X2231,$M$2:$X$2)*$K2231*$L2231</f>
        <v/>
      </c>
      <c r="Z2231" s="14">
        <f>SUM(M2231:X2231)</f>
        <v/>
      </c>
      <c r="AA2231" s="14">
        <f>IFERROR(IF(UPPER($E2231)="L",SUMPRODUCT(M2231:X2231,$M$3:$X$3,$M$2:$X$2),SUMPRODUCT(M2231:X2231,$M$4:$X$4,$M$2:$X$2))/(Y2231/($K2231*$L2231)),"")</f>
        <v/>
      </c>
      <c r="AB2231" s="18" t="n"/>
    </row>
    <row r="2232">
      <c r="A2232" s="9" t="n">
        <v>702518</v>
      </c>
      <c r="B2232" s="9" t="inlineStr">
        <is>
          <t>Jett Williams</t>
        </is>
      </c>
      <c r="C2232" s="9" t="inlineStr">
        <is>
          <t>MIL</t>
        </is>
      </c>
      <c r="D2232" s="9" t="n">
        <v>25</v>
      </c>
      <c r="E2232" s="16" t="inlineStr">
        <is>
          <t>R</t>
        </is>
      </c>
      <c r="F2232" s="16" t="n"/>
      <c r="G2232" s="9" t="n">
        <v>198.5641025641026</v>
      </c>
      <c r="H2232" s="9" t="n">
        <v>198.5641025641026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7" t="n"/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/>
      <c r="Y2232" s="13">
        <f>SUMPRODUCT(M2232:X2232,$M$2:$X$2)*$K2232*$L2232</f>
        <v/>
      </c>
      <c r="Z2232" s="14">
        <f>SUM(M2232:X2232)</f>
        <v/>
      </c>
      <c r="AA2232" s="14">
        <f>IFERROR(IF(UPPER($E2232)="L",SUMPRODUCT(M2232:X2232,$M$3:$X$3,$M$2:$X$2),SUMPRODUCT(M2232:X2232,$M$4:$X$4,$M$2:$X$2))/(Y2232/($K2232*$L2232)),"")</f>
        <v/>
      </c>
      <c r="AB2232" s="18" t="n"/>
    </row>
    <row r="2233">
      <c r="A2233" s="9" t="n">
        <v>683679</v>
      </c>
      <c r="B2233" s="9" t="inlineStr">
        <is>
          <t>Jesus Rodriguez</t>
        </is>
      </c>
      <c r="C2233" s="9" t="inlineStr">
        <is>
          <t>SF</t>
        </is>
      </c>
      <c r="D2233" s="9" t="n">
        <v>25</v>
      </c>
      <c r="E2233" s="16" t="inlineStr">
        <is>
          <t>R</t>
        </is>
      </c>
      <c r="F2233" s="16" t="n"/>
      <c r="G2233" s="9" t="n">
        <v>58</v>
      </c>
      <c r="H2233" s="9" t="n">
        <v>58</v>
      </c>
      <c r="I2233" s="9" t="inlineStr">
        <is>
          <t>Bench Bat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7" t="n"/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/>
      <c r="Y2233" s="13">
        <f>SUMPRODUCT(M2233:X2233,$M$2:$X$2)*$K2233*$L2233</f>
        <v/>
      </c>
      <c r="Z2233" s="14">
        <f>SUM(M2233:X2233)</f>
        <v/>
      </c>
      <c r="AA2233" s="14">
        <f>IFERROR(IF(UPPER($E2233)="L",SUMPRODUCT(M2233:X2233,$M$3:$X$3,$M$2:$X$2),SUMPRODUCT(M2233:X2233,$M$4:$X$4,$M$2:$X$2))/(Y2233/($K2233*$L2233)),"")</f>
        <v/>
      </c>
      <c r="AB2233" s="18" t="n"/>
    </row>
    <row r="2234">
      <c r="A2234" s="9" t="n">
        <v>686541</v>
      </c>
      <c r="B2234" s="9" t="inlineStr">
        <is>
          <t>Drew Compton</t>
        </is>
      </c>
      <c r="C2234" s="9" t="inlineStr">
        <is>
          <t>ATL</t>
        </is>
      </c>
      <c r="D2234" s="9" t="n">
        <v>25</v>
      </c>
      <c r="E2234" s="16" t="inlineStr">
        <is>
          <t>S</t>
        </is>
      </c>
      <c r="F2234" s="16" t="n"/>
      <c r="G2234" s="9" t="n">
        <v>80.05128205128204</v>
      </c>
      <c r="H2234" s="9" t="n">
        <v>80.05128205128204</v>
      </c>
      <c r="I2234" s="9" t="inlineStr">
        <is>
          <t>Depth (no MLB PA)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7" t="n"/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/>
      <c r="X2234" s="17" t="n"/>
      <c r="Y2234" s="13">
        <f>SUMPRODUCT(M2234:X2234,$M$2:$X$2)*$K2234*$L2234</f>
        <v/>
      </c>
      <c r="Z2234" s="14">
        <f>SUM(M2234:X2234)</f>
        <v/>
      </c>
      <c r="AA2234" s="14">
        <f>IFERROR(IF(UPPER($E2234)="L",SUMPRODUCT(M2234:X2234,$M$3:$X$3,$M$2:$X$2),SUMPRODUCT(M2234:X2234,$M$4:$X$4,$M$2:$X$2))/(Y2234/($K2234*$L2234)),"")</f>
        <v/>
      </c>
      <c r="AB2234" s="18" t="n"/>
    </row>
    <row r="2235">
      <c r="A2235" s="9" t="n">
        <v>678545</v>
      </c>
      <c r="B2235" s="9" t="inlineStr">
        <is>
          <t>Osleivis Basabe</t>
        </is>
      </c>
      <c r="C2235" s="9" t="inlineStr">
        <is>
          <t>SF</t>
        </is>
      </c>
      <c r="D2235" s="9" t="n">
        <v>26</v>
      </c>
      <c r="E2235" s="16" t="inlineStr">
        <is>
          <t>R</t>
        </is>
      </c>
      <c r="F2235" s="16" t="n"/>
      <c r="G2235" s="9" t="n">
        <v>143</v>
      </c>
      <c r="H2235" s="9" t="n">
        <v>237</v>
      </c>
      <c r="I2235" s="9" t="inlineStr">
        <is>
          <t>Bench Bat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7" t="n"/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/>
      <c r="Y2235" s="13">
        <f>SUMPRODUCT(M2235:X2235,$M$2:$X$2)*$K2235*$L2235</f>
        <v/>
      </c>
      <c r="Z2235" s="14">
        <f>SUM(M2235:X2235)</f>
        <v/>
      </c>
      <c r="AA2235" s="14">
        <f>IFERROR(IF(UPPER($E2235)="L",SUMPRODUCT(M2235:X2235,$M$3:$X$3,$M$2:$X$2),SUMPRODUCT(M2235:X2235,$M$4:$X$4,$M$2:$X$2))/(Y2235/($K2235*$L2235)),"")</f>
        <v/>
      </c>
      <c r="AB2235" s="18" t="n"/>
    </row>
    <row r="2236">
      <c r="A2236" s="9" t="n">
        <v>827628</v>
      </c>
      <c r="B2236" s="9" t="inlineStr">
        <is>
          <t>Garrett Howe</t>
        </is>
      </c>
      <c r="C2236" s="9" t="inlineStr">
        <is>
          <t>CLE</t>
        </is>
      </c>
      <c r="D2236" s="9" t="n">
        <v>25</v>
      </c>
      <c r="E2236" s="16" t="inlineStr">
        <is>
          <t>L</t>
        </is>
      </c>
      <c r="F2236" s="16" t="n"/>
      <c r="G2236" s="9" t="n">
        <v>51.4871794871795</v>
      </c>
      <c r="H2236" s="9" t="n">
        <v>51.4871794871795</v>
      </c>
      <c r="I2236" s="9" t="inlineStr">
        <is>
          <t>Depth (no MLB PA)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7" t="n"/>
      <c r="N2236" s="17" t="n"/>
      <c r="O2236" s="17" t="n"/>
      <c r="P2236" s="17" t="n"/>
      <c r="Q2236" s="17" t="n"/>
      <c r="R2236" s="17" t="n"/>
      <c r="S2236" s="17" t="n"/>
      <c r="T2236" s="17" t="n"/>
      <c r="U2236" s="17" t="n"/>
      <c r="V2236" s="17" t="n"/>
      <c r="W2236" s="17" t="n"/>
      <c r="X2236" s="17" t="n"/>
      <c r="Y2236" s="13">
        <f>SUMPRODUCT(M2236:X2236,$M$2:$X$2)*$K2236*$L2236</f>
        <v/>
      </c>
      <c r="Z2236" s="14">
        <f>SUM(M2236:X2236)</f>
        <v/>
      </c>
      <c r="AA2236" s="14">
        <f>IFERROR(IF(UPPER($E2236)="L",SUMPRODUCT(M2236:X2236,$M$3:$X$3,$M$2:$X$2),SUMPRODUCT(M2236:X2236,$M$4:$X$4,$M$2:$X$2))/(Y2236/($K2236*$L2236)),"")</f>
        <v/>
      </c>
      <c r="AB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7" t="n"/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/>
      <c r="Y2237" s="13">
        <f>SUMPRODUCT(M2237:X2237,$M$2:$X$2)*$K2237*$L2237</f>
        <v/>
      </c>
      <c r="Z2237" s="14">
        <f>SUM(M2237:X2237)</f>
        <v/>
      </c>
      <c r="AA2237" s="14">
        <f>IFERROR(IF(UPPER($E2237)="L",SUMPRODUCT(M2237:X2237,$M$3:$X$3,$M$2:$X$2),SUMPRODUCT(M2237:X2237,$M$4:$X$4,$M$2:$X$2))/(Y2237/($K2237*$L2237)),"")</f>
        <v/>
      </c>
      <c r="AB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25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Opening Day</t>
        </is>
      </c>
      <c r="K2238" s="11">
        <f>IFERROR(INDEX(Roles!$B$17:$B$20,MATCH(J2238,Roles!$A$17:$A$20,0)),1)</f>
        <v/>
      </c>
      <c r="L2238" s="17" t="n">
        <v>1</v>
      </c>
      <c r="M2238" s="17" t="n"/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/>
      <c r="Y2238" s="13">
        <f>SUMPRODUCT(M2238:X2238,$M$2:$X$2)*$K2238*$L2238</f>
        <v/>
      </c>
      <c r="Z2238" s="14">
        <f>SUM(M2238:X2238)</f>
        <v/>
      </c>
      <c r="AA2238" s="14">
        <f>IFERROR(IF(UPPER($E2238)="L",SUMPRODUCT(M2238:X2238,$M$3:$X$3,$M$2:$X$2),SUMPRODUCT(M2238:X2238,$M$4:$X$4,$M$2:$X$2))/(Y2238/($K2238*$L2238)),"")</f>
        <v/>
      </c>
      <c r="AB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25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Opening Day</t>
        </is>
      </c>
      <c r="K2239" s="11">
        <f>IFERROR(INDEX(Roles!$B$17:$B$20,MATCH(J2239,Roles!$A$17:$A$20,0)),1)</f>
        <v/>
      </c>
      <c r="L2239" s="17" t="n">
        <v>1</v>
      </c>
      <c r="M2239" s="17" t="n"/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/>
      <c r="Y2239" s="13">
        <f>SUMPRODUCT(M2239:X2239,$M$2:$X$2)*$K2239*$L2239</f>
        <v/>
      </c>
      <c r="Z2239" s="14">
        <f>SUM(M2239:X2239)</f>
        <v/>
      </c>
      <c r="AA2239" s="14">
        <f>IFERROR(IF(UPPER($E2239)="L",SUMPRODUCT(M2239:X2239,$M$3:$X$3,$M$2:$X$2),SUMPRODUCT(M2239:X2239,$M$4:$X$4,$M$2:$X$2))/(Y2239/($K2239*$L2239)),"")</f>
        <v/>
      </c>
      <c r="AB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7" t="n"/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/>
      <c r="Y2240" s="13">
        <f>SUMPRODUCT(M2240:X2240,$M$2:$X$2)*$K2240*$L2240</f>
        <v/>
      </c>
      <c r="Z2240" s="14">
        <f>SUM(M2240:X2240)</f>
        <v/>
      </c>
      <c r="AA2240" s="14">
        <f>IFERROR(IF(UPPER($E2240)="L",SUMPRODUCT(M2240:X2240,$M$3:$X$3,$M$2:$X$2),SUMPRODUCT(M2240:X2240,$M$4:$X$4,$M$2:$X$2))/(Y2240/($K2240*$L2240)),"")</f>
        <v/>
      </c>
      <c r="AB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7" t="n"/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/>
      <c r="Y2241" s="13">
        <f>SUMPRODUCT(M2241:X2241,$M$2:$X$2)*$K2241*$L2241</f>
        <v/>
      </c>
      <c r="Z2241" s="14">
        <f>SUM(M2241:X2241)</f>
        <v/>
      </c>
      <c r="AA2241" s="14">
        <f>IFERROR(IF(UPPER($E2241)="L",SUMPRODUCT(M2241:X2241,$M$3:$X$3,$M$2:$X$2),SUMPRODUCT(M2241:X2241,$M$4:$X$4,$M$2:$X$2))/(Y2241/($K2241*$L2241)),"")</f>
        <v/>
      </c>
      <c r="AB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n"/>
      <c r="G2242" s="9" t="n">
        <v>59</v>
      </c>
      <c r="H2242" s="9" t="n">
        <v>1147</v>
      </c>
      <c r="I2242" s="9" t="inlineStr">
        <is>
          <t>Utility OF / 4th OF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7" t="n"/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/>
      <c r="W2242" s="17" t="n"/>
      <c r="X2242" s="17" t="n"/>
      <c r="Y2242" s="13">
        <f>SUMPRODUCT(M2242:X2242,$M$2:$X$2)*$K2242*$L2242</f>
        <v/>
      </c>
      <c r="Z2242" s="14">
        <f>SUM(M2242:X2242)</f>
        <v/>
      </c>
      <c r="AA2242" s="14">
        <f>IFERROR(IF(UPPER($E2242)="L",SUMPRODUCT(M2242:X2242,$M$3:$X$3,$M$2:$X$2),SUMPRODUCT(M2242:X2242,$M$4:$X$4,$M$2:$X$2))/(Y2242/($K2242*$L2242)),"")</f>
        <v/>
      </c>
      <c r="AB2242" s="18" t="n"/>
    </row>
    <row r="2243">
      <c r="A2243" s="9" t="n">
        <v>703153</v>
      </c>
      <c r="B2243" s="9" t="inlineStr">
        <is>
          <t>Samuel Munoz</t>
        </is>
      </c>
      <c r="C2243" s="9" t="inlineStr">
        <is>
          <t>LAD</t>
        </is>
      </c>
      <c r="D2243" s="9" t="n">
        <v>25</v>
      </c>
      <c r="E2243" s="16" t="inlineStr">
        <is>
          <t>L</t>
        </is>
      </c>
      <c r="F2243" s="16" t="n"/>
      <c r="G2243" s="9" t="n">
        <v>74.05128205128206</v>
      </c>
      <c r="H2243" s="9" t="n">
        <v>74.05128205128206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7" t="n"/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/>
      <c r="Y2243" s="13">
        <f>SUMPRODUCT(M2243:X2243,$M$2:$X$2)*$K2243*$L2243</f>
        <v/>
      </c>
      <c r="Z2243" s="14">
        <f>SUM(M2243:X2243)</f>
        <v/>
      </c>
      <c r="AA2243" s="14">
        <f>IFERROR(IF(UPPER($E2243)="L",SUMPRODUCT(M2243:X2243,$M$3:$X$3,$M$2:$X$2),SUMPRODUCT(M2243:X2243,$M$4:$X$4,$M$2:$X$2))/(Y2243/($K2243*$L2243)),"")</f>
        <v/>
      </c>
      <c r="AB2243" s="18" t="n"/>
    </row>
    <row r="2244">
      <c r="A2244" s="9" t="n">
        <v>694410</v>
      </c>
      <c r="B2244" s="9" t="inlineStr">
        <is>
          <t>LuJames Groover</t>
        </is>
      </c>
      <c r="C2244" s="9" t="inlineStr">
        <is>
          <t>ARI</t>
        </is>
      </c>
      <c r="D2244" s="9" t="n">
        <v>25</v>
      </c>
      <c r="E2244" s="16" t="inlineStr">
        <is>
          <t>R</t>
        </is>
      </c>
      <c r="F2244" s="16" t="n"/>
      <c r="G2244" s="9" t="n">
        <v>54</v>
      </c>
      <c r="H2244" s="9" t="n">
        <v>54</v>
      </c>
      <c r="I2244" s="9" t="inlineStr">
        <is>
          <t>Bench Bat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7" t="n"/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/>
      <c r="Y2244" s="13">
        <f>SUMPRODUCT(M2244:X2244,$M$2:$X$2)*$K2244*$L2244</f>
        <v/>
      </c>
      <c r="Z2244" s="14">
        <f>SUM(M2244:X2244)</f>
        <v/>
      </c>
      <c r="AA2244" s="14">
        <f>IFERROR(IF(UPPER($E2244)="L",SUMPRODUCT(M2244:X2244,$M$3:$X$3,$M$2:$X$2),SUMPRODUCT(M2244:X2244,$M$4:$X$4,$M$2:$X$2))/(Y2244/($K2244*$L2244)),"")</f>
        <v/>
      </c>
      <c r="AB2244" s="18" t="n"/>
    </row>
    <row r="2245">
      <c r="A2245" s="9" t="n">
        <v>694222</v>
      </c>
      <c r="B2245" s="9" t="inlineStr">
        <is>
          <t>Ambioris Tavarez</t>
        </is>
      </c>
      <c r="C2245" s="9" t="inlineStr">
        <is>
          <t>ATL</t>
        </is>
      </c>
      <c r="D2245" s="9" t="n">
        <v>25</v>
      </c>
      <c r="E2245" s="16" t="inlineStr">
        <is>
          <t>R</t>
        </is>
      </c>
      <c r="F2245" s="16" t="n"/>
      <c r="G2245" s="9" t="n">
        <v>103.025641025641</v>
      </c>
      <c r="H2245" s="9" t="n">
        <v>103.025641025641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7" t="n"/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/>
      <c r="Y2245" s="13">
        <f>SUMPRODUCT(M2245:X2245,$M$2:$X$2)*$K2245*$L2245</f>
        <v/>
      </c>
      <c r="Z2245" s="14">
        <f>SUM(M2245:X2245)</f>
        <v/>
      </c>
      <c r="AA2245" s="14">
        <f>IFERROR(IF(UPPER($E2245)="L",SUMPRODUCT(M2245:X2245,$M$3:$X$3,$M$2:$X$2),SUMPRODUCT(M2245:X2245,$M$4:$X$4,$M$2:$X$2))/(Y2245/($K2245*$L2245)),"")</f>
        <v/>
      </c>
      <c r="AB2245" s="18" t="n"/>
    </row>
    <row r="2246">
      <c r="A2246" s="9" t="n">
        <v>679754</v>
      </c>
      <c r="B2246" s="9" t="inlineStr">
        <is>
          <t>Alberto Rodriguez</t>
        </is>
      </c>
      <c r="C2246" s="9" t="inlineStr">
        <is>
          <t>KC</t>
        </is>
      </c>
      <c r="D2246" s="9" t="n">
        <v>25</v>
      </c>
      <c r="E2246" s="16" t="inlineStr">
        <is>
          <t>L</t>
        </is>
      </c>
      <c r="F2246" s="16" t="n"/>
      <c r="G2246" s="9" t="n">
        <v>67.12820512820512</v>
      </c>
      <c r="H2246" s="9" t="n">
        <v>67.12820512820512</v>
      </c>
      <c r="I2246" s="9" t="inlineStr">
        <is>
          <t>Depth (no MLB PA)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7" t="n"/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/>
      <c r="W2246" s="17" t="n"/>
      <c r="X2246" s="17" t="n"/>
      <c r="Y2246" s="13">
        <f>SUMPRODUCT(M2246:X2246,$M$2:$X$2)*$K2246*$L2246</f>
        <v/>
      </c>
      <c r="Z2246" s="14">
        <f>SUM(M2246:X2246)</f>
        <v/>
      </c>
      <c r="AA2246" s="14">
        <f>IFERROR(IF(UPPER($E2246)="L",SUMPRODUCT(M2246:X2246,$M$3:$X$3,$M$2:$X$2),SUMPRODUCT(M2246:X2246,$M$4:$X$4,$M$2:$X$2))/(Y2246/($K2246*$L2246)),"")</f>
        <v/>
      </c>
      <c r="AB2246" s="18" t="n"/>
    </row>
    <row r="2247">
      <c r="A2247" s="9" t="n">
        <v>669003</v>
      </c>
      <c r="B2247" s="9" t="inlineStr">
        <is>
          <t>Garrett Mitchell</t>
        </is>
      </c>
      <c r="C2247" s="9" t="inlineStr">
        <is>
          <t>MIL</t>
        </is>
      </c>
      <c r="D2247" s="9" t="n">
        <v>28</v>
      </c>
      <c r="E2247" s="16" t="inlineStr">
        <is>
          <t>L</t>
        </is>
      </c>
      <c r="F2247" s="16" t="n"/>
      <c r="G2247" s="9" t="n">
        <v>531</v>
      </c>
      <c r="H2247" s="9" t="n">
        <v>974</v>
      </c>
      <c r="I2247" s="9" t="inlineStr">
        <is>
          <t>Full Time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7" t="n"/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/>
      <c r="Y2247" s="13">
        <f>SUMPRODUCT(M2247:X2247,$M$2:$X$2)*$K2247*$L2247</f>
        <v/>
      </c>
      <c r="Z2247" s="14">
        <f>SUM(M2247:X2247)</f>
        <v/>
      </c>
      <c r="AA2247" s="14">
        <f>IFERROR(IF(UPPER($E2247)="L",SUMPRODUCT(M2247:X2247,$M$3:$X$3,$M$2:$X$2),SUMPRODUCT(M2247:X2247,$M$4:$X$4,$M$2:$X$2))/(Y2247/($K2247*$L2247)),"")</f>
        <v/>
      </c>
      <c r="AB2247" s="18" t="n"/>
    </row>
    <row r="2248">
      <c r="A2248" s="9" t="n">
        <v>800206</v>
      </c>
      <c r="B2248" s="9" t="inlineStr">
        <is>
          <t>Yerald Nin</t>
        </is>
      </c>
      <c r="C2248" s="9" t="inlineStr">
        <is>
          <t>ARI</t>
        </is>
      </c>
      <c r="D2248" s="9" t="n">
        <v>25</v>
      </c>
      <c r="E2248" s="16" t="inlineStr">
        <is>
          <t>L</t>
        </is>
      </c>
      <c r="F2248" s="16" t="n"/>
      <c r="G2248" s="9" t="n">
        <v>54.15384615384616</v>
      </c>
      <c r="H2248" s="9" t="n">
        <v>54.15384615384616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7" t="n"/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/>
      <c r="Y2248" s="13">
        <f>SUMPRODUCT(M2248:X2248,$M$2:$X$2)*$K2248*$L2248</f>
        <v/>
      </c>
      <c r="Z2248" s="14">
        <f>SUM(M2248:X2248)</f>
        <v/>
      </c>
      <c r="AA2248" s="14">
        <f>IFERROR(IF(UPPER($E2248)="L",SUMPRODUCT(M2248:X2248,$M$3:$X$3,$M$2:$X$2),SUMPRODUCT(M2248:X2248,$M$4:$X$4,$M$2:$X$2))/(Y2248/($K2248*$L2248)),"")</f>
        <v/>
      </c>
      <c r="AB2248" s="18" t="n"/>
    </row>
    <row r="2249">
      <c r="A2249" s="9" t="n">
        <v>828589</v>
      </c>
      <c r="B2249" s="9" t="inlineStr">
        <is>
          <t>Max Durrington</t>
        </is>
      </c>
      <c r="C2249" s="9" t="inlineStr">
        <is>
          <t>OAK</t>
        </is>
      </c>
      <c r="D2249" s="9" t="n">
        <v>25</v>
      </c>
      <c r="E2249" s="16" t="inlineStr">
        <is>
          <t>L</t>
        </is>
      </c>
      <c r="F2249" s="16" t="n"/>
      <c r="G2249" s="9" t="n">
        <v>49.6</v>
      </c>
      <c r="H2249" s="9" t="n">
        <v>49.6</v>
      </c>
      <c r="I2249" s="9" t="inlineStr">
        <is>
          <t>Depth (no MLB PA)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7" t="n"/>
      <c r="N2249" s="17" t="n"/>
      <c r="O2249" s="17" t="n"/>
      <c r="P2249" s="17" t="n"/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3">
        <f>SUMPRODUCT(M2249:X2249,$M$2:$X$2)*$K2249*$L2249</f>
        <v/>
      </c>
      <c r="Z2249" s="14">
        <f>SUM(M2249:X2249)</f>
        <v/>
      </c>
      <c r="AA2249" s="14">
        <f>IFERROR(IF(UPPER($E2249)="L",SUMPRODUCT(M2249:X2249,$M$3:$X$3,$M$2:$X$2),SUMPRODUCT(M2249:X2249,$M$4:$X$4,$M$2:$X$2))/(Y2249/($K2249*$L2249)),"")</f>
        <v/>
      </c>
      <c r="AB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7" t="n"/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/>
      <c r="Y2250" s="13">
        <f>SUMPRODUCT(M2250:X2250,$M$2:$X$2)*$K2250*$L2250</f>
        <v/>
      </c>
      <c r="Z2250" s="14">
        <f>SUM(M2250:X2250)</f>
        <v/>
      </c>
      <c r="AA2250" s="14">
        <f>IFERROR(IF(UPPER($E2250)="L",SUMPRODUCT(M2250:X2250,$M$3:$X$3,$M$2:$X$2),SUMPRODUCT(M2250:X2250,$M$4:$X$4,$M$2:$X$2))/(Y2250/($K2250*$L2250)),"")</f>
        <v/>
      </c>
      <c r="AB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7" t="n"/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/>
      <c r="Y2251" s="13">
        <f>SUMPRODUCT(M2251:X2251,$M$2:$X$2)*$K2251*$L2251</f>
        <v/>
      </c>
      <c r="Z2251" s="14">
        <f>SUM(M2251:X2251)</f>
        <v/>
      </c>
      <c r="AA2251" s="14">
        <f>IFERROR(IF(UPPER($E2251)="L",SUMPRODUCT(M2251:X2251,$M$3:$X$3,$M$2:$X$2),SUMPRODUCT(M2251:X2251,$M$4:$X$4,$M$2:$X$2))/(Y2251/($K2251*$L2251)),"")</f>
        <v/>
      </c>
      <c r="AB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7" t="n"/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/>
      <c r="Y2252" s="13">
        <f>SUMPRODUCT(M2252:X2252,$M$2:$X$2)*$K2252*$L2252</f>
        <v/>
      </c>
      <c r="Z2252" s="14">
        <f>SUM(M2252:X2252)</f>
        <v/>
      </c>
      <c r="AA2252" s="14">
        <f>IFERROR(IF(UPPER($E2252)="L",SUMPRODUCT(M2252:X2252,$M$3:$X$3,$M$2:$X$2),SUMPRODUCT(M2252:X2252,$M$4:$X$4,$M$2:$X$2))/(Y2252/($K2252*$L2252)),"")</f>
        <v/>
      </c>
      <c r="AB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7" t="n"/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/>
      <c r="Y2253" s="13">
        <f>SUMPRODUCT(M2253:X2253,$M$2:$X$2)*$K2253*$L2253</f>
        <v/>
      </c>
      <c r="Z2253" s="14">
        <f>SUM(M2253:X2253)</f>
        <v/>
      </c>
      <c r="AA2253" s="14">
        <f>IFERROR(IF(UPPER($E2253)="L",SUMPRODUCT(M2253:X2253,$M$3:$X$3,$M$2:$X$2),SUMPRODUCT(M2253:X2253,$M$4:$X$4,$M$2:$X$2))/(Y2253/($K2253*$L2253)),"")</f>
        <v/>
      </c>
      <c r="AB2253" s="18" t="n"/>
    </row>
    <row r="2254">
      <c r="A2254" s="9" t="n">
        <v>805319</v>
      </c>
      <c r="B2254" s="9" t="inlineStr">
        <is>
          <t>Dervy Ventura</t>
        </is>
      </c>
      <c r="C2254" s="9" t="inlineStr">
        <is>
          <t>SEA</t>
        </is>
      </c>
      <c r="D2254" s="9" t="n">
        <v>25</v>
      </c>
      <c r="E2254" s="16" t="inlineStr">
        <is>
          <t>S</t>
        </is>
      </c>
      <c r="F2254" s="16" t="n"/>
      <c r="G2254" s="9" t="n">
        <v>55.50769230769231</v>
      </c>
      <c r="H2254" s="9" t="n">
        <v>55.50769230769231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7" t="n"/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/>
      <c r="Y2254" s="13">
        <f>SUMPRODUCT(M2254:X2254,$M$2:$X$2)*$K2254*$L2254</f>
        <v/>
      </c>
      <c r="Z2254" s="14">
        <f>SUM(M2254:X2254)</f>
        <v/>
      </c>
      <c r="AA2254" s="14">
        <f>IFERROR(IF(UPPER($E2254)="L",SUMPRODUCT(M2254:X2254,$M$3:$X$3,$M$2:$X$2),SUMPRODUCT(M2254:X2254,$M$4:$X$4,$M$2:$X$2))/(Y2254/($K2254*$L2254)),"")</f>
        <v/>
      </c>
      <c r="AB2254" s="18" t="n"/>
    </row>
    <row r="2255">
      <c r="A2255" s="9" t="n">
        <v>693819</v>
      </c>
      <c r="B2255" s="9" t="inlineStr">
        <is>
          <t>Kyle Nevin</t>
        </is>
      </c>
      <c r="C2255" s="9" t="inlineStr">
        <is>
          <t>LAD</t>
        </is>
      </c>
      <c r="D2255" s="9" t="n">
        <v>25</v>
      </c>
      <c r="E2255" s="16" t="inlineStr">
        <is>
          <t>R</t>
        </is>
      </c>
      <c r="F2255" s="16" t="n"/>
      <c r="G2255" s="9" t="n">
        <v>101.5897435897436</v>
      </c>
      <c r="H2255" s="9" t="n">
        <v>101.5897435897436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7" t="n"/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/>
      <c r="Y2255" s="13">
        <f>SUMPRODUCT(M2255:X2255,$M$2:$X$2)*$K2255*$L2255</f>
        <v/>
      </c>
      <c r="Z2255" s="14">
        <f>SUM(M2255:X2255)</f>
        <v/>
      </c>
      <c r="AA2255" s="14">
        <f>IFERROR(IF(UPPER($E2255)="L",SUMPRODUCT(M2255:X2255,$M$3:$X$3,$M$2:$X$2),SUMPRODUCT(M2255:X2255,$M$4:$X$4,$M$2:$X$2))/(Y2255/($K2255*$L2255)),"")</f>
        <v/>
      </c>
      <c r="AB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7" t="n"/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/>
      <c r="Y2256" s="13">
        <f>SUMPRODUCT(M2256:X2256,$M$2:$X$2)*$K2256*$L2256</f>
        <v/>
      </c>
      <c r="Z2256" s="14">
        <f>SUM(M2256:X2256)</f>
        <v/>
      </c>
      <c r="AA2256" s="14">
        <f>IFERROR(IF(UPPER($E2256)="L",SUMPRODUCT(M2256:X2256,$M$3:$X$3,$M$2:$X$2),SUMPRODUCT(M2256:X2256,$M$4:$X$4,$M$2:$X$2))/(Y2256/($K2256*$L2256)),"")</f>
        <v/>
      </c>
      <c r="AB2256" s="18" t="n"/>
    </row>
    <row r="2257">
      <c r="A2257" s="9" t="n">
        <v>695078</v>
      </c>
      <c r="B2257" s="9" t="inlineStr">
        <is>
          <t>Jean Walters</t>
        </is>
      </c>
      <c r="C2257" s="9" t="inlineStr">
        <is>
          <t>ARI</t>
        </is>
      </c>
      <c r="D2257" s="9" t="n">
        <v>25</v>
      </c>
      <c r="E2257" s="16" t="inlineStr">
        <is>
          <t>S</t>
        </is>
      </c>
      <c r="F2257" s="16" t="n"/>
      <c r="G2257" s="9" t="n">
        <v>59.7948717948718</v>
      </c>
      <c r="H2257" s="9" t="n">
        <v>59.7948717948718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7" t="n"/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/>
      <c r="Y2257" s="13">
        <f>SUMPRODUCT(M2257:X2257,$M$2:$X$2)*$K2257*$L2257</f>
        <v/>
      </c>
      <c r="Z2257" s="14">
        <f>SUM(M2257:X2257)</f>
        <v/>
      </c>
      <c r="AA2257" s="14">
        <f>IFERROR(IF(UPPER($E2257)="L",SUMPRODUCT(M2257:X2257,$M$3:$X$3,$M$2:$X$2),SUMPRODUCT(M2257:X2257,$M$4:$X$4,$M$2:$X$2))/(Y2257/($K2257*$L2257)),"")</f>
        <v/>
      </c>
      <c r="AB2257" s="18" t="n"/>
    </row>
    <row r="2258">
      <c r="A2258" s="9" t="n">
        <v>691797</v>
      </c>
      <c r="B2258" s="9" t="inlineStr">
        <is>
          <t>Ryan Spikes</t>
        </is>
      </c>
      <c r="C2258" s="9" t="inlineStr">
        <is>
          <t>TB</t>
        </is>
      </c>
      <c r="D2258" s="9" t="n">
        <v>25</v>
      </c>
      <c r="E2258" s="16" t="inlineStr">
        <is>
          <t>R</t>
        </is>
      </c>
      <c r="F2258" s="16" t="n"/>
      <c r="G2258" s="9" t="n">
        <v>106.6153846153846</v>
      </c>
      <c r="H2258" s="9" t="n">
        <v>106.6153846153846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7" t="n"/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/>
      <c r="Y2258" s="13">
        <f>SUMPRODUCT(M2258:X2258,$M$2:$X$2)*$K2258*$L2258</f>
        <v/>
      </c>
      <c r="Z2258" s="14">
        <f>SUM(M2258:X2258)</f>
        <v/>
      </c>
      <c r="AA2258" s="14">
        <f>IFERROR(IF(UPPER($E2258)="L",SUMPRODUCT(M2258:X2258,$M$3:$X$3,$M$2:$X$2),SUMPRODUCT(M2258:X2258,$M$4:$X$4,$M$2:$X$2))/(Y2258/($K2258*$L2258)),"")</f>
        <v/>
      </c>
      <c r="AB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7" t="n"/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/>
      <c r="Y2259" s="13">
        <f>SUMPRODUCT(M2259:X2259,$M$2:$X$2)*$K2259*$L2259</f>
        <v/>
      </c>
      <c r="Z2259" s="14">
        <f>SUM(M2259:X2259)</f>
        <v/>
      </c>
      <c r="AA2259" s="14">
        <f>IFERROR(IF(UPPER($E2259)="L",SUMPRODUCT(M2259:X2259,$M$3:$X$3,$M$2:$X$2),SUMPRODUCT(M2259:X2259,$M$4:$X$4,$M$2:$X$2))/(Y2259/($K2259*$L2259)),"")</f>
        <v/>
      </c>
      <c r="AB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n"/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7" t="n"/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/>
      <c r="W2260" s="17" t="n"/>
      <c r="X2260" s="17" t="n"/>
      <c r="Y2260" s="13">
        <f>SUMPRODUCT(M2260:X2260,$M$2:$X$2)*$K2260*$L2260</f>
        <v/>
      </c>
      <c r="Z2260" s="14">
        <f>SUM(M2260:X2260)</f>
        <v/>
      </c>
      <c r="AA2260" s="14">
        <f>IFERROR(IF(UPPER($E2260)="L",SUMPRODUCT(M2260:X2260,$M$3:$X$3,$M$2:$X$2),SUMPRODUCT(M2260:X2260,$M$4:$X$4,$M$2:$X$2))/(Y2260/($K2260*$L2260)),"")</f>
        <v/>
      </c>
      <c r="AB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n"/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7" t="n"/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/>
      <c r="Y2261" s="13">
        <f>SUMPRODUCT(M2261:X2261,$M$2:$X$2)*$K2261*$L2261</f>
        <v/>
      </c>
      <c r="Z2261" s="14">
        <f>SUM(M2261:X2261)</f>
        <v/>
      </c>
      <c r="AA2261" s="14">
        <f>IFERROR(IF(UPPER($E2261)="L",SUMPRODUCT(M2261:X2261,$M$3:$X$3,$M$2:$X$2),SUMPRODUCT(M2261:X2261,$M$4:$X$4,$M$2:$X$2))/(Y2261/($K2261*$L2261)),"")</f>
        <v/>
      </c>
      <c r="AB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7" t="n"/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/>
      <c r="Y2262" s="13">
        <f>SUMPRODUCT(M2262:X2262,$M$2:$X$2)*$K2262*$L2262</f>
        <v/>
      </c>
      <c r="Z2262" s="14">
        <f>SUM(M2262:X2262)</f>
        <v/>
      </c>
      <c r="AA2262" s="14">
        <f>IFERROR(IF(UPPER($E2262)="L",SUMPRODUCT(M2262:X2262,$M$3:$X$3,$M$2:$X$2),SUMPRODUCT(M2262:X2262,$M$4:$X$4,$M$2:$X$2))/(Y2262/($K2262*$L2262)),"")</f>
        <v/>
      </c>
      <c r="AB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n"/>
      <c r="G2263" s="9" t="n">
        <v>223</v>
      </c>
      <c r="H2263" s="9" t="n">
        <v>1795</v>
      </c>
      <c r="I2263" s="9" t="inlineStr">
        <is>
          <t>Full Time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7" t="n"/>
      <c r="N2263" s="17" t="n"/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3">
        <f>SUMPRODUCT(M2263:X2263,$M$2:$X$2)*$K2263*$L2263</f>
        <v/>
      </c>
      <c r="Z2263" s="14">
        <f>SUM(M2263:X2263)</f>
        <v/>
      </c>
      <c r="AA2263" s="14">
        <f>IFERROR(IF(UPPER($E2263)="L",SUMPRODUCT(M2263:X2263,$M$3:$X$3,$M$2:$X$2),SUMPRODUCT(M2263:X2263,$M$4:$X$4,$M$2:$X$2))/(Y2263/($K2263*$L2263)),"")</f>
        <v/>
      </c>
      <c r="AB2263" s="18" t="n"/>
    </row>
    <row r="2264">
      <c r="A2264" s="9" t="n">
        <v>647378</v>
      </c>
      <c r="B2264" s="9" t="inlineStr">
        <is>
          <t>Andy Yerzy</t>
        </is>
      </c>
      <c r="C2264" s="9" t="inlineStr">
        <is>
          <t>STL</t>
        </is>
      </c>
      <c r="D2264" s="9" t="n">
        <v>25</v>
      </c>
      <c r="E2264" s="16" t="inlineStr">
        <is>
          <t>L</t>
        </is>
      </c>
      <c r="F2264" s="16" t="n"/>
      <c r="G2264" s="9" t="n">
        <v>75.02564102564104</v>
      </c>
      <c r="H2264" s="9" t="n">
        <v>75.02564102564104</v>
      </c>
      <c r="I2264" s="9" t="inlineStr">
        <is>
          <t>Depth (no MLB PA)</t>
        </is>
      </c>
      <c r="J2264" s="16" t="inlineStr">
        <is>
          <t>Opening Day</t>
        </is>
      </c>
      <c r="K2264" s="11">
        <f>IFERROR(INDEX(Roles!$B$17:$B$20,MATCH(J2264,Roles!$A$17:$A$20,0)),1)</f>
        <v/>
      </c>
      <c r="L2264" s="17" t="n">
        <v>1</v>
      </c>
      <c r="M2264" s="17" t="n"/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/>
      <c r="Y2264" s="13">
        <f>SUMPRODUCT(M2264:X2264,$M$2:$X$2)*$K2264*$L2264</f>
        <v/>
      </c>
      <c r="Z2264" s="14">
        <f>SUM(M2264:X2264)</f>
        <v/>
      </c>
      <c r="AA2264" s="14">
        <f>IFERROR(IF(UPPER($E2264)="L",SUMPRODUCT(M2264:X2264,$M$3:$X$3,$M$2:$X$2),SUMPRODUCT(M2264:X2264,$M$4:$X$4,$M$2:$X$2))/(Y2264/($K2264*$L2264)),"")</f>
        <v/>
      </c>
      <c r="AB2264" s="18" t="n"/>
    </row>
    <row r="2265">
      <c r="A2265" s="9" t="n">
        <v>802117</v>
      </c>
      <c r="B2265" s="9" t="inlineStr">
        <is>
          <t>Patrick Clohisy</t>
        </is>
      </c>
      <c r="C2265" s="9" t="inlineStr">
        <is>
          <t>ATL</t>
        </is>
      </c>
      <c r="D2265" s="9" t="n">
        <v>25</v>
      </c>
      <c r="E2265" s="16" t="inlineStr">
        <is>
          <t>L</t>
        </is>
      </c>
      <c r="F2265" s="16" t="n"/>
      <c r="G2265" s="9" t="n">
        <v>94.7692307692308</v>
      </c>
      <c r="H2265" s="9" t="n">
        <v>94.7692307692308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7" t="n"/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/>
      <c r="Y2265" s="13">
        <f>SUMPRODUCT(M2265:X2265,$M$2:$X$2)*$K2265*$L2265</f>
        <v/>
      </c>
      <c r="Z2265" s="14">
        <f>SUM(M2265:X2265)</f>
        <v/>
      </c>
      <c r="AA2265" s="14">
        <f>IFERROR(IF(UPPER($E2265)="L",SUMPRODUCT(M2265:X2265,$M$3:$X$3,$M$2:$X$2),SUMPRODUCT(M2265:X2265,$M$4:$X$4,$M$2:$X$2))/(Y2265/($K2265*$L2265)),"")</f>
        <v/>
      </c>
      <c r="AB2265" s="18" t="n"/>
    </row>
    <row r="2266">
      <c r="A2266" s="9" t="n">
        <v>821599</v>
      </c>
      <c r="B2266" s="9" t="inlineStr">
        <is>
          <t>Daniel Flames</t>
        </is>
      </c>
      <c r="C2266" s="9" t="inlineStr">
        <is>
          <t>TEX</t>
        </is>
      </c>
      <c r="D2266" s="9" t="n">
        <v>25</v>
      </c>
      <c r="E2266" s="16" t="inlineStr">
        <is>
          <t>S</t>
        </is>
      </c>
      <c r="F2266" s="16" t="n"/>
      <c r="G2266" s="9" t="n">
        <v>42.95384615384615</v>
      </c>
      <c r="H2266" s="9" t="n">
        <v>42.95384615384615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7" t="n"/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/>
      <c r="Y2266" s="13">
        <f>SUMPRODUCT(M2266:X2266,$M$2:$X$2)*$K2266*$L2266</f>
        <v/>
      </c>
      <c r="Z2266" s="14">
        <f>SUM(M2266:X2266)</f>
        <v/>
      </c>
      <c r="AA2266" s="14">
        <f>IFERROR(IF(UPPER($E2266)="L",SUMPRODUCT(M2266:X2266,$M$3:$X$3,$M$2:$X$2),SUMPRODUCT(M2266:X2266,$M$4:$X$4,$M$2:$X$2))/(Y2266/($K2266*$L2266)),"")</f>
        <v/>
      </c>
      <c r="AB2266" s="18" t="n"/>
    </row>
    <row r="2267">
      <c r="A2267" s="9" t="n">
        <v>692405</v>
      </c>
      <c r="B2267" s="9" t="inlineStr">
        <is>
          <t>Jeremy Rivas</t>
        </is>
      </c>
      <c r="C2267" s="9" t="inlineStr">
        <is>
          <t>STL</t>
        </is>
      </c>
      <c r="D2267" s="9" t="n">
        <v>25</v>
      </c>
      <c r="E2267" s="16" t="inlineStr">
        <is>
          <t>R</t>
        </is>
      </c>
      <c r="F2267" s="16" t="n"/>
      <c r="G2267" s="9" t="n">
        <v>57.53846153846154</v>
      </c>
      <c r="H2267" s="9" t="n">
        <v>57.53846153846154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7" t="n"/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/>
      <c r="Y2267" s="13">
        <f>SUMPRODUCT(M2267:X2267,$M$2:$X$2)*$K2267*$L2267</f>
        <v/>
      </c>
      <c r="Z2267" s="14">
        <f>SUM(M2267:X2267)</f>
        <v/>
      </c>
      <c r="AA2267" s="14">
        <f>IFERROR(IF(UPPER($E2267)="L",SUMPRODUCT(M2267:X2267,$M$3:$X$3,$M$2:$X$2),SUMPRODUCT(M2267:X2267,$M$4:$X$4,$M$2:$X$2))/(Y2267/($K2267*$L2267)),"")</f>
        <v/>
      </c>
      <c r="AB2267" s="18" t="n"/>
    </row>
    <row r="2268">
      <c r="A2268" s="9" t="n">
        <v>689878</v>
      </c>
      <c r="B2268" s="9" t="inlineStr">
        <is>
          <t>Colin Burgess</t>
        </is>
      </c>
      <c r="C2268" s="9" t="inlineStr">
        <is>
          <t>ATL</t>
        </is>
      </c>
      <c r="D2268" s="9" t="n">
        <v>25</v>
      </c>
      <c r="E2268" s="16" t="inlineStr">
        <is>
          <t>R</t>
        </is>
      </c>
      <c r="F2268" s="16" t="n"/>
      <c r="G2268" s="9" t="n">
        <v>55.38461538461539</v>
      </c>
      <c r="H2268" s="9" t="n">
        <v>55.38461538461539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7" t="n"/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/>
      <c r="Y2268" s="13">
        <f>SUMPRODUCT(M2268:X2268,$M$2:$X$2)*$K2268*$L2268</f>
        <v/>
      </c>
      <c r="Z2268" s="14">
        <f>SUM(M2268:X2268)</f>
        <v/>
      </c>
      <c r="AA2268" s="14">
        <f>IFERROR(IF(UPPER($E2268)="L",SUMPRODUCT(M2268:X2268,$M$3:$X$3,$M$2:$X$2),SUMPRODUCT(M2268:X2268,$M$4:$X$4,$M$2:$X$2))/(Y2268/($K2268*$L2268)),"")</f>
        <v/>
      </c>
      <c r="AB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n"/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7" t="n"/>
      <c r="N2269" s="17" t="n"/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3">
        <f>SUMPRODUCT(M2269:X2269,$M$2:$X$2)*$K2269*$L2269</f>
        <v/>
      </c>
      <c r="Z2269" s="14">
        <f>SUM(M2269:X2269)</f>
        <v/>
      </c>
      <c r="AA2269" s="14">
        <f>IFERROR(IF(UPPER($E2269)="L",SUMPRODUCT(M2269:X2269,$M$3:$X$3,$M$2:$X$2),SUMPRODUCT(M2269:X2269,$M$4:$X$4,$M$2:$X$2))/(Y2269/($K2269*$L2269)),"")</f>
        <v/>
      </c>
      <c r="AB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7" t="n"/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/>
      <c r="Y2270" s="13">
        <f>SUMPRODUCT(M2270:X2270,$M$2:$X$2)*$K2270*$L2270</f>
        <v/>
      </c>
      <c r="Z2270" s="14">
        <f>SUM(M2270:X2270)</f>
        <v/>
      </c>
      <c r="AA2270" s="14">
        <f>IFERROR(IF(UPPER($E2270)="L",SUMPRODUCT(M2270:X2270,$M$3:$X$3,$M$2:$X$2),SUMPRODUCT(M2270:X2270,$M$4:$X$4,$M$2:$X$2))/(Y2270/($K2270*$L2270)),"")</f>
        <v/>
      </c>
      <c r="AB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n"/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7" t="n"/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/>
      <c r="W2271" s="17" t="n"/>
      <c r="X2271" s="17" t="n"/>
      <c r="Y2271" s="13">
        <f>SUMPRODUCT(M2271:X2271,$M$2:$X$2)*$K2271*$L2271</f>
        <v/>
      </c>
      <c r="Z2271" s="14">
        <f>SUM(M2271:X2271)</f>
        <v/>
      </c>
      <c r="AA2271" s="14">
        <f>IFERROR(IF(UPPER($E2271)="L",SUMPRODUCT(M2271:X2271,$M$3:$X$3,$M$2:$X$2),SUMPRODUCT(M2271:X2271,$M$4:$X$4,$M$2:$X$2))/(Y2271/($K2271*$L2271)),"")</f>
        <v/>
      </c>
      <c r="AB2271" s="18" t="n"/>
    </row>
    <row r="2272">
      <c r="A2272" s="9" t="n">
        <v>685744</v>
      </c>
      <c r="B2272" s="9" t="inlineStr">
        <is>
          <t>Kenedy Corona</t>
        </is>
      </c>
      <c r="C2272" s="9" t="inlineStr">
        <is>
          <t>HOU</t>
        </is>
      </c>
      <c r="D2272" s="9" t="n">
        <v>27</v>
      </c>
      <c r="E2272" s="16" t="inlineStr">
        <is>
          <t>R</t>
        </is>
      </c>
      <c r="F2272" s="16" t="n"/>
      <c r="G2272" s="9" t="n">
        <v>4</v>
      </c>
      <c r="H2272" s="9" t="n">
        <v>4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7" t="n"/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/>
      <c r="Y2272" s="13">
        <f>SUMPRODUCT(M2272:X2272,$M$2:$X$2)*$K2272*$L2272</f>
        <v/>
      </c>
      <c r="Z2272" s="14">
        <f>SUM(M2272:X2272)</f>
        <v/>
      </c>
      <c r="AA2272" s="14">
        <f>IFERROR(IF(UPPER($E2272)="L",SUMPRODUCT(M2272:X2272,$M$3:$X$3,$M$2:$X$2),SUMPRODUCT(M2272:X2272,$M$4:$X$4,$M$2:$X$2))/(Y2272/($K2272*$L2272)),"")</f>
        <v/>
      </c>
      <c r="AB2272" s="18" t="n"/>
    </row>
    <row r="2273">
      <c r="A2273" s="9" t="n">
        <v>692416</v>
      </c>
      <c r="B2273" s="9" t="inlineStr">
        <is>
          <t>Christian Cerda</t>
        </is>
      </c>
      <c r="C2273" s="9" t="inlineStr">
        <is>
          <t>ARI</t>
        </is>
      </c>
      <c r="D2273" s="9" t="n">
        <v>25</v>
      </c>
      <c r="E2273" s="16" t="inlineStr">
        <is>
          <t>R</t>
        </is>
      </c>
      <c r="F2273" s="16" t="n"/>
      <c r="G2273" s="9" t="n">
        <v>131.4358974358975</v>
      </c>
      <c r="H2273" s="9" t="n">
        <v>131.4358974358975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7" t="n"/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/>
      <c r="Y2273" s="13">
        <f>SUMPRODUCT(M2273:X2273,$M$2:$X$2)*$K2273*$L2273</f>
        <v/>
      </c>
      <c r="Z2273" s="14">
        <f>SUM(M2273:X2273)</f>
        <v/>
      </c>
      <c r="AA2273" s="14">
        <f>IFERROR(IF(UPPER($E2273)="L",SUMPRODUCT(M2273:X2273,$M$3:$X$3,$M$2:$X$2),SUMPRODUCT(M2273:X2273,$M$4:$X$4,$M$2:$X$2))/(Y2273/($K2273*$L2273)),"")</f>
        <v/>
      </c>
      <c r="AB2273" s="18" t="n"/>
    </row>
    <row r="2274">
      <c r="A2274" s="9" t="n">
        <v>675085</v>
      </c>
      <c r="B2274" s="9" t="inlineStr">
        <is>
          <t>Jonathon Long</t>
        </is>
      </c>
      <c r="C2274" s="9" t="inlineStr">
        <is>
          <t>MIA</t>
        </is>
      </c>
      <c r="D2274" s="9" t="n">
        <v>25</v>
      </c>
      <c r="E2274" s="16" t="inlineStr">
        <is>
          <t>R</t>
        </is>
      </c>
      <c r="F2274" s="16" t="n"/>
      <c r="G2274" s="9" t="n">
        <v>331.1282051282052</v>
      </c>
      <c r="H2274" s="9" t="n">
        <v>331.1282051282052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7" t="n"/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/>
      <c r="Y2274" s="13">
        <f>SUMPRODUCT(M2274:X2274,$M$2:$X$2)*$K2274*$L2274</f>
        <v/>
      </c>
      <c r="Z2274" s="14">
        <f>SUM(M2274:X2274)</f>
        <v/>
      </c>
      <c r="AA2274" s="14">
        <f>IFERROR(IF(UPPER($E2274)="L",SUMPRODUCT(M2274:X2274,$M$3:$X$3,$M$2:$X$2),SUMPRODUCT(M2274:X2274,$M$4:$X$4,$M$2:$X$2))/(Y2274/($K2274*$L2274)),"")</f>
        <v/>
      </c>
      <c r="AB2274" s="18" t="n"/>
    </row>
    <row r="2275">
      <c r="A2275" s="9" t="n">
        <v>691267</v>
      </c>
      <c r="B2275" s="9" t="inlineStr">
        <is>
          <t>Alex Ramírez</t>
        </is>
      </c>
      <c r="C2275" s="9" t="inlineStr">
        <is>
          <t>CHC</t>
        </is>
      </c>
      <c r="D2275" s="9" t="n">
        <v>25</v>
      </c>
      <c r="E2275" s="16" t="inlineStr">
        <is>
          <t>R</t>
        </is>
      </c>
      <c r="F2275" s="16" t="n"/>
      <c r="G2275" s="9" t="n">
        <v>198.5128205128205</v>
      </c>
      <c r="H2275" s="9" t="n">
        <v>198.5128205128205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7" t="n"/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/>
      <c r="Y2275" s="13">
        <f>SUMPRODUCT(M2275:X2275,$M$2:$X$2)*$K2275*$L2275</f>
        <v/>
      </c>
      <c r="Z2275" s="14">
        <f>SUM(M2275:X2275)</f>
        <v/>
      </c>
      <c r="AA2275" s="14">
        <f>IFERROR(IF(UPPER($E2275)="L",SUMPRODUCT(M2275:X2275,$M$3:$X$3,$M$2:$X$2),SUMPRODUCT(M2275:X2275,$M$4:$X$4,$M$2:$X$2))/(Y2275/($K2275*$L2275)),"")</f>
        <v/>
      </c>
      <c r="AB2275" s="18" t="n"/>
    </row>
    <row r="2276">
      <c r="A2276" s="9" t="n">
        <v>809944</v>
      </c>
      <c r="B2276" s="9" t="inlineStr">
        <is>
          <t>Elijah Hainline</t>
        </is>
      </c>
      <c r="C2276" s="9" t="inlineStr">
        <is>
          <t>LAD</t>
        </is>
      </c>
      <c r="D2276" s="9" t="n">
        <v>25</v>
      </c>
      <c r="E2276" s="16" t="inlineStr">
        <is>
          <t>R</t>
        </is>
      </c>
      <c r="F2276" s="16" t="n"/>
      <c r="G2276" s="9" t="n">
        <v>166.5641025641026</v>
      </c>
      <c r="H2276" s="9" t="n">
        <v>166.5641025641026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7" t="n"/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/>
      <c r="Y2276" s="13">
        <f>SUMPRODUCT(M2276:X2276,$M$2:$X$2)*$K2276*$L2276</f>
        <v/>
      </c>
      <c r="Z2276" s="14">
        <f>SUM(M2276:X2276)</f>
        <v/>
      </c>
      <c r="AA2276" s="14">
        <f>IFERROR(IF(UPPER($E2276)="L",SUMPRODUCT(M2276:X2276,$M$3:$X$3,$M$2:$X$2),SUMPRODUCT(M2276:X2276,$M$4:$X$4,$M$2:$X$2))/(Y2276/($K2276*$L2276)),"")</f>
        <v/>
      </c>
      <c r="AB2276" s="18" t="n"/>
    </row>
    <row r="2277">
      <c r="A2277" s="9" t="n">
        <v>691437</v>
      </c>
      <c r="B2277" s="9" t="inlineStr">
        <is>
          <t>Adrian Pinto</t>
        </is>
      </c>
      <c r="C2277" s="9" t="inlineStr">
        <is>
          <t>TOR</t>
        </is>
      </c>
      <c r="D2277" s="9" t="n">
        <v>25</v>
      </c>
      <c r="E2277" s="16" t="inlineStr">
        <is>
          <t>R</t>
        </is>
      </c>
      <c r="F2277" s="16" t="n"/>
      <c r="G2277" s="9" t="n">
        <v>62.82051282051282</v>
      </c>
      <c r="H2277" s="9" t="n">
        <v>62.82051282051282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7" t="n"/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/>
      <c r="Y2277" s="13">
        <f>SUMPRODUCT(M2277:X2277,$M$2:$X$2)*$K2277*$L2277</f>
        <v/>
      </c>
      <c r="Z2277" s="14">
        <f>SUM(M2277:X2277)</f>
        <v/>
      </c>
      <c r="AA2277" s="14">
        <f>IFERROR(IF(UPPER($E2277)="L",SUMPRODUCT(M2277:X2277,$M$3:$X$3,$M$2:$X$2),SUMPRODUCT(M2277:X2277,$M$4:$X$4,$M$2:$X$2))/(Y2277/($K2277*$L2277)),"")</f>
        <v/>
      </c>
      <c r="AB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7" t="n"/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/>
      <c r="Y2278" s="13">
        <f>SUMPRODUCT(M2278:X2278,$M$2:$X$2)*$K2278*$L2278</f>
        <v/>
      </c>
      <c r="Z2278" s="14">
        <f>SUM(M2278:X2278)</f>
        <v/>
      </c>
      <c r="AA2278" s="14">
        <f>IFERROR(IF(UPPER($E2278)="L",SUMPRODUCT(M2278:X2278,$M$3:$X$3,$M$2:$X$2),SUMPRODUCT(M2278:X2278,$M$4:$X$4,$M$2:$X$2))/(Y2278/($K2278*$L2278)),"")</f>
        <v/>
      </c>
      <c r="AB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7" t="n"/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/>
      <c r="Y2279" s="13">
        <f>SUMPRODUCT(M2279:X2279,$M$2:$X$2)*$K2279*$L2279</f>
        <v/>
      </c>
      <c r="Z2279" s="14">
        <f>SUM(M2279:X2279)</f>
        <v/>
      </c>
      <c r="AA2279" s="14">
        <f>IFERROR(IF(UPPER($E2279)="L",SUMPRODUCT(M2279:X2279,$M$3:$X$3,$M$2:$X$2),SUMPRODUCT(M2279:X2279,$M$4:$X$4,$M$2:$X$2))/(Y2279/($K2279*$L2279)),"")</f>
        <v/>
      </c>
      <c r="AB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7" t="n"/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/>
      <c r="Y2280" s="13">
        <f>SUMPRODUCT(M2280:X2280,$M$2:$X$2)*$K2280*$L2280</f>
        <v/>
      </c>
      <c r="Z2280" s="14">
        <f>SUM(M2280:X2280)</f>
        <v/>
      </c>
      <c r="AA2280" s="14">
        <f>IFERROR(IF(UPPER($E2280)="L",SUMPRODUCT(M2280:X2280,$M$3:$X$3,$M$2:$X$2),SUMPRODUCT(M2280:X2280,$M$4:$X$4,$M$2:$X$2))/(Y2280/($K2280*$L2280)),"")</f>
        <v/>
      </c>
      <c r="AB2280" s="18" t="n"/>
    </row>
    <row r="2281">
      <c r="A2281" s="9" t="n">
        <v>694673</v>
      </c>
      <c r="B2281" s="9" t="inlineStr">
        <is>
          <t>Abimelec Ortiz</t>
        </is>
      </c>
      <c r="C2281" s="9" t="inlineStr">
        <is>
          <t>WSH</t>
        </is>
      </c>
      <c r="D2281" s="9" t="n">
        <v>25</v>
      </c>
      <c r="E2281" s="16" t="inlineStr">
        <is>
          <t>L</t>
        </is>
      </c>
      <c r="F2281" s="16" t="n"/>
      <c r="G2281" s="9" t="n">
        <v>136</v>
      </c>
      <c r="H2281" s="9" t="n">
        <v>136</v>
      </c>
      <c r="I2281" s="9" t="inlineStr">
        <is>
          <t>Bench Bat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7" t="n"/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/>
      <c r="Y2281" s="13">
        <f>SUMPRODUCT(M2281:X2281,$M$2:$X$2)*$K2281*$L2281</f>
        <v/>
      </c>
      <c r="Z2281" s="14">
        <f>SUM(M2281:X2281)</f>
        <v/>
      </c>
      <c r="AA2281" s="14">
        <f>IFERROR(IF(UPPER($E2281)="L",SUMPRODUCT(M2281:X2281,$M$3:$X$3,$M$2:$X$2),SUMPRODUCT(M2281:X2281,$M$4:$X$4,$M$2:$X$2))/(Y2281/($K2281*$L2281)),"")</f>
        <v/>
      </c>
      <c r="AB2281" s="18" t="n"/>
    </row>
    <row r="2282">
      <c r="A2282" s="9" t="n">
        <v>670869</v>
      </c>
      <c r="B2282" s="9" t="inlineStr">
        <is>
          <t>Livan Soto</t>
        </is>
      </c>
      <c r="C2282" s="9" t="inlineStr">
        <is>
          <t>LAA</t>
        </is>
      </c>
      <c r="D2282" s="9" t="n">
        <v>27</v>
      </c>
      <c r="E2282" s="16" t="inlineStr">
        <is>
          <t>L</t>
        </is>
      </c>
      <c r="F2282" s="16" t="n"/>
      <c r="G2282" s="9" t="n">
        <v>16</v>
      </c>
      <c r="H2282" s="9" t="n">
        <v>87</v>
      </c>
      <c r="I2282" s="9" t="inlineStr">
        <is>
          <t>Depth (no MLB PA)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7" t="n"/>
      <c r="N2282" s="17" t="n"/>
      <c r="O2282" s="17" t="n"/>
      <c r="P2282" s="17" t="n"/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3">
        <f>SUMPRODUCT(M2282:X2282,$M$2:$X$2)*$K2282*$L2282</f>
        <v/>
      </c>
      <c r="Z2282" s="14">
        <f>SUM(M2282:X2282)</f>
        <v/>
      </c>
      <c r="AA2282" s="14">
        <f>IFERROR(IF(UPPER($E2282)="L",SUMPRODUCT(M2282:X2282,$M$3:$X$3,$M$2:$X$2),SUMPRODUCT(M2282:X2282,$M$4:$X$4,$M$2:$X$2))/(Y2282/($K2282*$L2282)),"")</f>
        <v/>
      </c>
      <c r="AB2282" s="18" t="n"/>
    </row>
    <row r="2283">
      <c r="A2283" s="9" t="n">
        <v>806993</v>
      </c>
      <c r="B2283" s="9" t="inlineStr">
        <is>
          <t>German Ramirez</t>
        </is>
      </c>
      <c r="C2283" s="9" t="inlineStr">
        <is>
          <t>HOU</t>
        </is>
      </c>
      <c r="D2283" s="9" t="n">
        <v>25</v>
      </c>
      <c r="E2283" s="16" t="inlineStr">
        <is>
          <t>R</t>
        </is>
      </c>
      <c r="F2283" s="16" t="n"/>
      <c r="G2283" s="9" t="n">
        <v>44.8</v>
      </c>
      <c r="H2283" s="9" t="n">
        <v>44.8</v>
      </c>
      <c r="I2283" s="9" t="inlineStr">
        <is>
          <t>Depth (no MLB PA)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7" t="n"/>
      <c r="N2283" s="17" t="n"/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3">
        <f>SUMPRODUCT(M2283:X2283,$M$2:$X$2)*$K2283*$L2283</f>
        <v/>
      </c>
      <c r="Z2283" s="14">
        <f>SUM(M2283:X2283)</f>
        <v/>
      </c>
      <c r="AA2283" s="14">
        <f>IFERROR(IF(UPPER($E2283)="L",SUMPRODUCT(M2283:X2283,$M$3:$X$3,$M$2:$X$2),SUMPRODUCT(M2283:X2283,$M$4:$X$4,$M$2:$X$2))/(Y2283/($K2283*$L2283)),"")</f>
        <v/>
      </c>
      <c r="AB2283" s="18" t="n"/>
    </row>
    <row r="2284">
      <c r="A2284" s="9" t="n">
        <v>687543</v>
      </c>
      <c r="B2284" s="9" t="inlineStr">
        <is>
          <t>Andrew Jenkins</t>
        </is>
      </c>
      <c r="C2284" s="9" t="inlineStr">
        <is>
          <t>DET</t>
        </is>
      </c>
      <c r="D2284" s="9" t="n">
        <v>25</v>
      </c>
      <c r="E2284" s="16" t="inlineStr">
        <is>
          <t>R</t>
        </is>
      </c>
      <c r="F2284" s="16" t="n"/>
      <c r="G2284" s="9" t="n">
        <v>154</v>
      </c>
      <c r="H2284" s="9" t="n">
        <v>154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7" t="n"/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/>
      <c r="Y2284" s="13">
        <f>SUMPRODUCT(M2284:X2284,$M$2:$X$2)*$K2284*$L2284</f>
        <v/>
      </c>
      <c r="Z2284" s="14">
        <f>SUM(M2284:X2284)</f>
        <v/>
      </c>
      <c r="AA2284" s="14">
        <f>IFERROR(IF(UPPER($E2284)="L",SUMPRODUCT(M2284:X2284,$M$3:$X$3,$M$2:$X$2),SUMPRODUCT(M2284:X2284,$M$4:$X$4,$M$2:$X$2))/(Y2284/($K2284*$L2284)),"")</f>
        <v/>
      </c>
      <c r="AB2284" s="18" t="n"/>
    </row>
    <row r="2285">
      <c r="A2285" s="9" t="n">
        <v>607208</v>
      </c>
      <c r="B2285" s="9" t="inlineStr">
        <is>
          <t>Trea Turner</t>
        </is>
      </c>
      <c r="C2285" s="9" t="inlineStr">
        <is>
          <t>PHI</t>
        </is>
      </c>
      <c r="D2285" s="9" t="n">
        <v>34</v>
      </c>
      <c r="E2285" s="16" t="inlineStr">
        <is>
          <t>R</t>
        </is>
      </c>
      <c r="F2285" s="16" t="n"/>
      <c r="G2285" s="9" t="n">
        <v>700</v>
      </c>
      <c r="H2285" s="9" t="n">
        <v>3277</v>
      </c>
      <c r="I2285" s="9" t="inlineStr">
        <is>
          <t>Full Time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7" t="n"/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/>
      <c r="Y2285" s="13">
        <f>SUMPRODUCT(M2285:X2285,$M$2:$X$2)*$K2285*$L2285</f>
        <v/>
      </c>
      <c r="Z2285" s="14">
        <f>SUM(M2285:X2285)</f>
        <v/>
      </c>
      <c r="AA2285" s="14">
        <f>IFERROR(IF(UPPER($E2285)="L",SUMPRODUCT(M2285:X2285,$M$3:$X$3,$M$2:$X$2),SUMPRODUCT(M2285:X2285,$M$4:$X$4,$M$2:$X$2))/(Y2285/($K2285*$L2285)),"")</f>
        <v/>
      </c>
      <c r="AB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7" t="n"/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/>
      <c r="Y2286" s="13">
        <f>SUMPRODUCT(M2286:X2286,$M$2:$X$2)*$K2286*$L2286</f>
        <v/>
      </c>
      <c r="Z2286" s="14">
        <f>SUM(M2286:X2286)</f>
        <v/>
      </c>
      <c r="AA2286" s="14">
        <f>IFERROR(IF(UPPER($E2286)="L",SUMPRODUCT(M2286:X2286,$M$3:$X$3,$M$2:$X$2),SUMPRODUCT(M2286:X2286,$M$4:$X$4,$M$2:$X$2))/(Y2286/($K2286*$L2286)),"")</f>
        <v/>
      </c>
      <c r="AB2286" s="18" t="n"/>
    </row>
    <row r="2287">
      <c r="A2287" s="9" t="n">
        <v>694848</v>
      </c>
      <c r="B2287" s="9" t="inlineStr">
        <is>
          <t>Sam Brown</t>
        </is>
      </c>
      <c r="C2287" s="9" t="inlineStr">
        <is>
          <t>WSH</t>
        </is>
      </c>
      <c r="D2287" s="9" t="n">
        <v>25</v>
      </c>
      <c r="E2287" s="16" t="inlineStr">
        <is>
          <t>L</t>
        </is>
      </c>
      <c r="F2287" s="16" t="n"/>
      <c r="G2287" s="9" t="n">
        <v>131.3846153846154</v>
      </c>
      <c r="H2287" s="9" t="n">
        <v>131.3846153846154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7" t="n"/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/>
      <c r="Y2287" s="13">
        <f>SUMPRODUCT(M2287:X2287,$M$2:$X$2)*$K2287*$L2287</f>
        <v/>
      </c>
      <c r="Z2287" s="14">
        <f>SUM(M2287:X2287)</f>
        <v/>
      </c>
      <c r="AA2287" s="14">
        <f>IFERROR(IF(UPPER($E2287)="L",SUMPRODUCT(M2287:X2287,$M$3:$X$3,$M$2:$X$2),SUMPRODUCT(M2287:X2287,$M$4:$X$4,$M$2:$X$2))/(Y2287/($K2287*$L2287)),"")</f>
        <v/>
      </c>
      <c r="AB2287" s="18" t="n"/>
    </row>
    <row r="2288">
      <c r="A2288" s="9" t="n">
        <v>814955</v>
      </c>
      <c r="B2288" s="9" t="inlineStr">
        <is>
          <t>Matthew Ferrara</t>
        </is>
      </c>
      <c r="C2288" s="9" t="inlineStr">
        <is>
          <t>PHI</t>
        </is>
      </c>
      <c r="D2288" s="9" t="n">
        <v>25</v>
      </c>
      <c r="E2288" s="16" t="inlineStr">
        <is>
          <t>R</t>
        </is>
      </c>
      <c r="F2288" s="16" t="n"/>
      <c r="G2288" s="9" t="n">
        <v>57.10769230769231</v>
      </c>
      <c r="H2288" s="9" t="n">
        <v>57.10769230769231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7" t="n"/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/>
      <c r="Y2288" s="13">
        <f>SUMPRODUCT(M2288:X2288,$M$2:$X$2)*$K2288*$L2288</f>
        <v/>
      </c>
      <c r="Z2288" s="14">
        <f>SUM(M2288:X2288)</f>
        <v/>
      </c>
      <c r="AA2288" s="14">
        <f>IFERROR(IF(UPPER($E2288)="L",SUMPRODUCT(M2288:X2288,$M$3:$X$3,$M$2:$X$2),SUMPRODUCT(M2288:X2288,$M$4:$X$4,$M$2:$X$2))/(Y2288/($K2288*$L2288)),"")</f>
        <v/>
      </c>
      <c r="AB2288" s="18" t="n"/>
    </row>
    <row r="2289">
      <c r="A2289" s="9" t="n">
        <v>806124</v>
      </c>
      <c r="B2289" s="9" t="inlineStr">
        <is>
          <t>Colin Houck</t>
        </is>
      </c>
      <c r="C2289" s="9" t="inlineStr">
        <is>
          <t>NYM</t>
        </is>
      </c>
      <c r="D2289" s="9" t="n">
        <v>25</v>
      </c>
      <c r="E2289" s="16" t="inlineStr">
        <is>
          <t>R</t>
        </is>
      </c>
      <c r="F2289" s="16" t="n"/>
      <c r="G2289" s="9" t="n">
        <v>80.61538461538463</v>
      </c>
      <c r="H2289" s="9" t="n">
        <v>80.61538461538463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7" t="n"/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/>
      <c r="Y2289" s="13">
        <f>SUMPRODUCT(M2289:X2289,$M$2:$X$2)*$K2289*$L2289</f>
        <v/>
      </c>
      <c r="Z2289" s="14">
        <f>SUM(M2289:X2289)</f>
        <v/>
      </c>
      <c r="AA2289" s="14">
        <f>IFERROR(IF(UPPER($E2289)="L",SUMPRODUCT(M2289:X2289,$M$3:$X$3,$M$2:$X$2),SUMPRODUCT(M2289:X2289,$M$4:$X$4,$M$2:$X$2))/(Y2289/($K2289*$L2289)),"")</f>
        <v/>
      </c>
      <c r="AB2289" s="18" t="n"/>
    </row>
    <row r="2290">
      <c r="A2290" s="9" t="n">
        <v>667240</v>
      </c>
      <c r="B2290" s="9" t="inlineStr">
        <is>
          <t>Jason Matthews</t>
        </is>
      </c>
      <c r="C2290" s="9" t="inlineStr">
        <is>
          <t>CWS</t>
        </is>
      </c>
      <c r="D2290" s="9" t="n">
        <v>25</v>
      </c>
      <c r="E2290" s="16" t="inlineStr">
        <is>
          <t>R</t>
        </is>
      </c>
      <c r="F2290" s="16" t="n"/>
      <c r="G2290" s="9" t="n">
        <v>92.51282051282053</v>
      </c>
      <c r="H2290" s="9" t="n">
        <v>92.51282051282053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7" t="n"/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/>
      <c r="Y2290" s="13">
        <f>SUMPRODUCT(M2290:X2290,$M$2:$X$2)*$K2290*$L2290</f>
        <v/>
      </c>
      <c r="Z2290" s="14">
        <f>SUM(M2290:X2290)</f>
        <v/>
      </c>
      <c r="AA2290" s="14">
        <f>IFERROR(IF(UPPER($E2290)="L",SUMPRODUCT(M2290:X2290,$M$3:$X$3,$M$2:$X$2),SUMPRODUCT(M2290:X2290,$M$4:$X$4,$M$2:$X$2))/(Y2290/($K2290*$L2290)),"")</f>
        <v/>
      </c>
      <c r="AB2290" s="18" t="n"/>
    </row>
    <row r="2291">
      <c r="A2291" s="9" t="n">
        <v>657193</v>
      </c>
      <c r="B2291" s="9" t="inlineStr">
        <is>
          <t>Eddy Alvarez</t>
        </is>
      </c>
      <c r="C2291" s="9" t="inlineStr">
        <is>
          <t>LAD</t>
        </is>
      </c>
      <c r="D2291" s="9" t="n">
        <v>37</v>
      </c>
      <c r="E2291" s="16" t="inlineStr">
        <is>
          <t>L</t>
        </is>
      </c>
      <c r="F2291" s="16" t="n"/>
      <c r="G2291" s="9" t="n">
        <v>11</v>
      </c>
      <c r="H2291" s="9" t="n">
        <v>38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7" t="n"/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/>
      <c r="Y2291" s="13">
        <f>SUMPRODUCT(M2291:X2291,$M$2:$X$2)*$K2291*$L2291</f>
        <v/>
      </c>
      <c r="Z2291" s="14">
        <f>SUM(M2291:X2291)</f>
        <v/>
      </c>
      <c r="AA2291" s="14">
        <f>IFERROR(IF(UPPER($E2291)="L",SUMPRODUCT(M2291:X2291,$M$3:$X$3,$M$2:$X$2),SUMPRODUCT(M2291:X2291,$M$4:$X$4,$M$2:$X$2))/(Y2291/($K2291*$L2291)),"")</f>
        <v/>
      </c>
      <c r="AB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7" t="n"/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/>
      <c r="Y2292" s="13">
        <f>SUMPRODUCT(M2292:X2292,$M$2:$X$2)*$K2292*$L2292</f>
        <v/>
      </c>
      <c r="Z2292" s="14">
        <f>SUM(M2292:X2292)</f>
        <v/>
      </c>
      <c r="AA2292" s="14">
        <f>IFERROR(IF(UPPER($E2292)="L",SUMPRODUCT(M2292:X2292,$M$3:$X$3,$M$2:$X$2),SUMPRODUCT(M2292:X2292,$M$4:$X$4,$M$2:$X$2))/(Y2292/($K2292*$L2292)),"")</f>
        <v/>
      </c>
      <c r="AB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7" t="n"/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/>
      <c r="Y2293" s="13">
        <f>SUMPRODUCT(M2293:X2293,$M$2:$X$2)*$K2293*$L2293</f>
        <v/>
      </c>
      <c r="Z2293" s="14">
        <f>SUM(M2293:X2293)</f>
        <v/>
      </c>
      <c r="AA2293" s="14">
        <f>IFERROR(IF(UPPER($E2293)="L",SUMPRODUCT(M2293:X2293,$M$3:$X$3,$M$2:$X$2),SUMPRODUCT(M2293:X2293,$M$4:$X$4,$M$2:$X$2))/(Y2293/($K2293*$L2293)),"")</f>
        <v/>
      </c>
      <c r="AB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7" t="n"/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/>
      <c r="Y2294" s="13">
        <f>SUMPRODUCT(M2294:X2294,$M$2:$X$2)*$K2294*$L2294</f>
        <v/>
      </c>
      <c r="Z2294" s="14">
        <f>SUM(M2294:X2294)</f>
        <v/>
      </c>
      <c r="AA2294" s="14">
        <f>IFERROR(IF(UPPER($E2294)="L",SUMPRODUCT(M2294:X2294,$M$3:$X$3,$M$2:$X$2),SUMPRODUCT(M2294:X2294,$M$4:$X$4,$M$2:$X$2))/(Y2294/($K2294*$L2294)),"")</f>
        <v/>
      </c>
      <c r="AB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7" t="n"/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/>
      <c r="Y2295" s="13">
        <f>SUMPRODUCT(M2295:X2295,$M$2:$X$2)*$K2295*$L2295</f>
        <v/>
      </c>
      <c r="Z2295" s="14">
        <f>SUM(M2295:X2295)</f>
        <v/>
      </c>
      <c r="AA2295" s="14">
        <f>IFERROR(IF(UPPER($E2295)="L",SUMPRODUCT(M2295:X2295,$M$3:$X$3,$M$2:$X$2),SUMPRODUCT(M2295:X2295,$M$4:$X$4,$M$2:$X$2))/(Y2295/($K2295*$L2295)),"")</f>
        <v/>
      </c>
      <c r="AB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n"/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7" t="n"/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/>
      <c r="Y2296" s="13">
        <f>SUMPRODUCT(M2296:X2296,$M$2:$X$2)*$K2296*$L2296</f>
        <v/>
      </c>
      <c r="Z2296" s="14">
        <f>SUM(M2296:X2296)</f>
        <v/>
      </c>
      <c r="AA2296" s="14">
        <f>IFERROR(IF(UPPER($E2296)="L",SUMPRODUCT(M2296:X2296,$M$3:$X$3,$M$2:$X$2),SUMPRODUCT(M2296:X2296,$M$4:$X$4,$M$2:$X$2))/(Y2296/($K2296*$L2296)),"")</f>
        <v/>
      </c>
      <c r="AB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25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Opening Day</t>
        </is>
      </c>
      <c r="K2297" s="11">
        <f>IFERROR(INDEX(Roles!$B$17:$B$20,MATCH(J2297,Roles!$A$17:$A$20,0)),1)</f>
        <v/>
      </c>
      <c r="L2297" s="17" t="n">
        <v>1</v>
      </c>
      <c r="M2297" s="17" t="n"/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/>
      <c r="Y2297" s="13">
        <f>SUMPRODUCT(M2297:X2297,$M$2:$X$2)*$K2297*$L2297</f>
        <v/>
      </c>
      <c r="Z2297" s="14">
        <f>SUM(M2297:X2297)</f>
        <v/>
      </c>
      <c r="AA2297" s="14">
        <f>IFERROR(IF(UPPER($E2297)="L",SUMPRODUCT(M2297:X2297,$M$3:$X$3,$M$2:$X$2),SUMPRODUCT(M2297:X2297,$M$4:$X$4,$M$2:$X$2))/(Y2297/($K2297*$L2297)),"")</f>
        <v/>
      </c>
      <c r="AB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7" t="n"/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/>
      <c r="Y2298" s="13">
        <f>SUMPRODUCT(M2298:X2298,$M$2:$X$2)*$K2298*$L2298</f>
        <v/>
      </c>
      <c r="Z2298" s="14">
        <f>SUM(M2298:X2298)</f>
        <v/>
      </c>
      <c r="AA2298" s="14">
        <f>IFERROR(IF(UPPER($E2298)="L",SUMPRODUCT(M2298:X2298,$M$3:$X$3,$M$2:$X$2),SUMPRODUCT(M2298:X2298,$M$4:$X$4,$M$2:$X$2))/(Y2298/($K2298*$L2298)),"")</f>
        <v/>
      </c>
      <c r="AB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7" t="n"/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/>
      <c r="Y2299" s="13">
        <f>SUMPRODUCT(M2299:X2299,$M$2:$X$2)*$K2299*$L2299</f>
        <v/>
      </c>
      <c r="Z2299" s="14">
        <f>SUM(M2299:X2299)</f>
        <v/>
      </c>
      <c r="AA2299" s="14">
        <f>IFERROR(IF(UPPER($E2299)="L",SUMPRODUCT(M2299:X2299,$M$3:$X$3,$M$2:$X$2),SUMPRODUCT(M2299:X2299,$M$4:$X$4,$M$2:$X$2))/(Y2299/($K2299*$L2299)),"")</f>
        <v/>
      </c>
      <c r="AB2299" s="18" t="n"/>
    </row>
    <row r="2300">
      <c r="A2300" s="9" t="n">
        <v>828473</v>
      </c>
      <c r="B2300" s="9" t="inlineStr">
        <is>
          <t>Zach Evans</t>
        </is>
      </c>
      <c r="C2300" s="9" t="inlineStr">
        <is>
          <t>SD</t>
        </is>
      </c>
      <c r="D2300" s="9" t="n">
        <v>25</v>
      </c>
      <c r="E2300" s="16" t="inlineStr">
        <is>
          <t>R</t>
        </is>
      </c>
      <c r="F2300" s="16" t="n"/>
      <c r="G2300" s="9" t="n">
        <v>60.1025641025641</v>
      </c>
      <c r="H2300" s="9" t="n">
        <v>60.1025641025641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7" t="n"/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/>
      <c r="Y2300" s="13">
        <f>SUMPRODUCT(M2300:X2300,$M$2:$X$2)*$K2300*$L2300</f>
        <v/>
      </c>
      <c r="Z2300" s="14">
        <f>SUM(M2300:X2300)</f>
        <v/>
      </c>
      <c r="AA2300" s="14">
        <f>IFERROR(IF(UPPER($E2300)="L",SUMPRODUCT(M2300:X2300,$M$3:$X$3,$M$2:$X$2),SUMPRODUCT(M2300:X2300,$M$4:$X$4,$M$2:$X$2))/(Y2300/($K2300*$L2300)),"")</f>
        <v/>
      </c>
      <c r="AB2300" s="18" t="n"/>
    </row>
    <row r="2301">
      <c r="A2301" s="9" t="n">
        <v>694183</v>
      </c>
      <c r="B2301" s="9" t="inlineStr">
        <is>
          <t>Cristian Hernández</t>
        </is>
      </c>
      <c r="C2301" s="9" t="inlineStr">
        <is>
          <t>MIA</t>
        </is>
      </c>
      <c r="D2301" s="9" t="n">
        <v>25</v>
      </c>
      <c r="E2301" s="16" t="inlineStr">
        <is>
          <t>R</t>
        </is>
      </c>
      <c r="F2301" s="16" t="n"/>
      <c r="G2301" s="9" t="n">
        <v>173.3846153846154</v>
      </c>
      <c r="H2301" s="9" t="n">
        <v>173.3846153846154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7" t="n"/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/>
      <c r="Y2301" s="13">
        <f>SUMPRODUCT(M2301:X2301,$M$2:$X$2)*$K2301*$L2301</f>
        <v/>
      </c>
      <c r="Z2301" s="14">
        <f>SUM(M2301:X2301)</f>
        <v/>
      </c>
      <c r="AA2301" s="14">
        <f>IFERROR(IF(UPPER($E2301)="L",SUMPRODUCT(M2301:X2301,$M$3:$X$3,$M$2:$X$2),SUMPRODUCT(M2301:X2301,$M$4:$X$4,$M$2:$X$2))/(Y2301/($K2301*$L2301)),"")</f>
        <v/>
      </c>
      <c r="AB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7" t="n"/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/>
      <c r="Y2302" s="13">
        <f>SUMPRODUCT(M2302:X2302,$M$2:$X$2)*$K2302*$L2302</f>
        <v/>
      </c>
      <c r="Z2302" s="14">
        <f>SUM(M2302:X2302)</f>
        <v/>
      </c>
      <c r="AA2302" s="14">
        <f>IFERROR(IF(UPPER($E2302)="L",SUMPRODUCT(M2302:X2302,$M$3:$X$3,$M$2:$X$2),SUMPRODUCT(M2302:X2302,$M$4:$X$4,$M$2:$X$2))/(Y2302/($K2302*$L2302)),"")</f>
        <v/>
      </c>
      <c r="AB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n"/>
      <c r="G2303" s="9" t="n">
        <v>276</v>
      </c>
      <c r="H2303" s="9" t="n">
        <v>1193</v>
      </c>
      <c r="I2303" s="9" t="inlineStr">
        <is>
          <t>Utility OF / 4th OF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7" t="n"/>
      <c r="N2303" s="17" t="n"/>
      <c r="O2303" s="17" t="n"/>
      <c r="P2303" s="17" t="n"/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3">
        <f>SUMPRODUCT(M2303:X2303,$M$2:$X$2)*$K2303*$L2303</f>
        <v/>
      </c>
      <c r="Z2303" s="14">
        <f>SUM(M2303:X2303)</f>
        <v/>
      </c>
      <c r="AA2303" s="14">
        <f>IFERROR(IF(UPPER($E2303)="L",SUMPRODUCT(M2303:X2303,$M$3:$X$3,$M$2:$X$2),SUMPRODUCT(M2303:X2303,$M$4:$X$4,$M$2:$X$2))/(Y2303/($K2303*$L2303)),"")</f>
        <v/>
      </c>
      <c r="AB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7" t="n"/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/>
      <c r="Y2304" s="13">
        <f>SUMPRODUCT(M2304:X2304,$M$2:$X$2)*$K2304*$L2304</f>
        <v/>
      </c>
      <c r="Z2304" s="14">
        <f>SUM(M2304:X2304)</f>
        <v/>
      </c>
      <c r="AA2304" s="14">
        <f>IFERROR(IF(UPPER($E2304)="L",SUMPRODUCT(M2304:X2304,$M$3:$X$3,$M$2:$X$2),SUMPRODUCT(M2304:X2304,$M$4:$X$4,$M$2:$X$2))/(Y2304/($K2304*$L2304)),"")</f>
        <v/>
      </c>
      <c r="AB2304" s="18" t="n"/>
    </row>
    <row r="2305">
      <c r="A2305" s="9" t="n">
        <v>815299</v>
      </c>
      <c r="B2305" s="9" t="inlineStr">
        <is>
          <t>Will Verdung</t>
        </is>
      </c>
      <c r="C2305" s="9" t="inlineStr">
        <is>
          <t>ATL</t>
        </is>
      </c>
      <c r="D2305" s="9" t="n">
        <v>25</v>
      </c>
      <c r="E2305" s="16" t="inlineStr">
        <is>
          <t>R</t>
        </is>
      </c>
      <c r="F2305" s="16" t="n"/>
      <c r="G2305" s="9" t="n">
        <v>64.97435897435896</v>
      </c>
      <c r="H2305" s="9" t="n">
        <v>64.97435897435896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7" t="n"/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/>
      <c r="Y2305" s="13">
        <f>SUMPRODUCT(M2305:X2305,$M$2:$X$2)*$K2305*$L2305</f>
        <v/>
      </c>
      <c r="Z2305" s="14">
        <f>SUM(M2305:X2305)</f>
        <v/>
      </c>
      <c r="AA2305" s="14">
        <f>IFERROR(IF(UPPER($E2305)="L",SUMPRODUCT(M2305:X2305,$M$3:$X$3,$M$2:$X$2),SUMPRODUCT(M2305:X2305,$M$4:$X$4,$M$2:$X$2))/(Y2305/($K2305*$L2305)),"")</f>
        <v/>
      </c>
      <c r="AB2305" s="18" t="n"/>
    </row>
    <row r="2306">
      <c r="A2306" s="9" t="n">
        <v>701906</v>
      </c>
      <c r="B2306" s="9" t="inlineStr">
        <is>
          <t>Trevor Cohen</t>
        </is>
      </c>
      <c r="C2306" s="9" t="inlineStr">
        <is>
          <t>SF</t>
        </is>
      </c>
      <c r="D2306" s="9" t="n">
        <v>25</v>
      </c>
      <c r="E2306" s="16" t="inlineStr">
        <is>
          <t>L</t>
        </is>
      </c>
      <c r="F2306" s="16" t="n"/>
      <c r="G2306" s="9" t="n">
        <v>81.48717948717947</v>
      </c>
      <c r="H2306" s="9" t="n">
        <v>81.48717948717947</v>
      </c>
      <c r="I2306" s="9" t="inlineStr">
        <is>
          <t>Depth (no MLB PA)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7" t="n"/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/>
      <c r="W2306" s="17" t="n"/>
      <c r="X2306" s="17" t="n"/>
      <c r="Y2306" s="13">
        <f>SUMPRODUCT(M2306:X2306,$M$2:$X$2)*$K2306*$L2306</f>
        <v/>
      </c>
      <c r="Z2306" s="14">
        <f>SUM(M2306:X2306)</f>
        <v/>
      </c>
      <c r="AA2306" s="14">
        <f>IFERROR(IF(UPPER($E2306)="L",SUMPRODUCT(M2306:X2306,$M$3:$X$3,$M$2:$X$2),SUMPRODUCT(M2306:X2306,$M$4:$X$4,$M$2:$X$2))/(Y2306/($K2306*$L2306)),"")</f>
        <v/>
      </c>
      <c r="AB2306" s="18" t="n"/>
    </row>
    <row r="2307">
      <c r="A2307" s="9" t="n">
        <v>571912</v>
      </c>
      <c r="B2307" s="9" t="inlineStr">
        <is>
          <t>Luke Maile</t>
        </is>
      </c>
      <c r="C2307" s="9" t="inlineStr">
        <is>
          <t>KC</t>
        </is>
      </c>
      <c r="D2307" s="9" t="n">
        <v>36</v>
      </c>
      <c r="E2307" s="16" t="inlineStr">
        <is>
          <t>R</t>
        </is>
      </c>
      <c r="F2307" s="16" t="n"/>
      <c r="G2307" s="9" t="n">
        <v>48</v>
      </c>
      <c r="H2307" s="9" t="n">
        <v>661</v>
      </c>
      <c r="I2307" s="9" t="inlineStr">
        <is>
          <t>Bench Bat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7" t="n"/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/>
      <c r="Y2307" s="13">
        <f>SUMPRODUCT(M2307:X2307,$M$2:$X$2)*$K2307*$L2307</f>
        <v/>
      </c>
      <c r="Z2307" s="14">
        <f>SUM(M2307:X2307)</f>
        <v/>
      </c>
      <c r="AA2307" s="14">
        <f>IFERROR(IF(UPPER($E2307)="L",SUMPRODUCT(M2307:X2307,$M$3:$X$3,$M$2:$X$2),SUMPRODUCT(M2307:X2307,$M$4:$X$4,$M$2:$X$2))/(Y2307/($K2307*$L2307)),"")</f>
        <v/>
      </c>
      <c r="AB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7" t="n"/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/>
      <c r="Y2308" s="13">
        <f>SUMPRODUCT(M2308:X2308,$M$2:$X$2)*$K2308*$L2308</f>
        <v/>
      </c>
      <c r="Z2308" s="14">
        <f>SUM(M2308:X2308)</f>
        <v/>
      </c>
      <c r="AA2308" s="14">
        <f>IFERROR(IF(UPPER($E2308)="L",SUMPRODUCT(M2308:X2308,$M$3:$X$3,$M$2:$X$2),SUMPRODUCT(M2308:X2308,$M$4:$X$4,$M$2:$X$2))/(Y2308/($K2308*$L2308)),"")</f>
        <v/>
      </c>
      <c r="AB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25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Opening Day</t>
        </is>
      </c>
      <c r="K2309" s="11">
        <f>IFERROR(INDEX(Roles!$B$17:$B$20,MATCH(J2309,Roles!$A$17:$A$20,0)),1)</f>
        <v/>
      </c>
      <c r="L2309" s="17" t="n">
        <v>1</v>
      </c>
      <c r="M2309" s="17" t="n"/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/>
      <c r="Y2309" s="13">
        <f>SUMPRODUCT(M2309:X2309,$M$2:$X$2)*$K2309*$L2309</f>
        <v/>
      </c>
      <c r="Z2309" s="14">
        <f>SUM(M2309:X2309)</f>
        <v/>
      </c>
      <c r="AA2309" s="14">
        <f>IFERROR(IF(UPPER($E2309)="L",SUMPRODUCT(M2309:X2309,$M$3:$X$3,$M$2:$X$2),SUMPRODUCT(M2309:X2309,$M$4:$X$4,$M$2:$X$2))/(Y2309/($K2309*$L2309)),"")</f>
        <v/>
      </c>
      <c r="AB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n"/>
      <c r="G2310" s="9" t="n">
        <v>326</v>
      </c>
      <c r="H2310" s="9" t="n">
        <v>445</v>
      </c>
      <c r="I2310" s="9" t="inlineStr">
        <is>
          <t>Utility OF / 4th OF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7" t="n"/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/>
      <c r="W2310" s="17" t="n"/>
      <c r="X2310" s="17" t="n"/>
      <c r="Y2310" s="13">
        <f>SUMPRODUCT(M2310:X2310,$M$2:$X$2)*$K2310*$L2310</f>
        <v/>
      </c>
      <c r="Z2310" s="14">
        <f>SUM(M2310:X2310)</f>
        <v/>
      </c>
      <c r="AA2310" s="14">
        <f>IFERROR(IF(UPPER($E2310)="L",SUMPRODUCT(M2310:X2310,$M$3:$X$3,$M$2:$X$2),SUMPRODUCT(M2310:X2310,$M$4:$X$4,$M$2:$X$2))/(Y2310/($K2310*$L2310)),"")</f>
        <v/>
      </c>
      <c r="AB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25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Opening Day</t>
        </is>
      </c>
      <c r="K2311" s="11">
        <f>IFERROR(INDEX(Roles!$B$17:$B$20,MATCH(J2311,Roles!$A$17:$A$20,0)),1)</f>
        <v/>
      </c>
      <c r="L2311" s="17" t="n">
        <v>1</v>
      </c>
      <c r="M2311" s="17" t="n"/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/>
      <c r="Y2311" s="13">
        <f>SUMPRODUCT(M2311:X2311,$M$2:$X$2)*$K2311*$L2311</f>
        <v/>
      </c>
      <c r="Z2311" s="14">
        <f>SUM(M2311:X2311)</f>
        <v/>
      </c>
      <c r="AA2311" s="14">
        <f>IFERROR(IF(UPPER($E2311)="L",SUMPRODUCT(M2311:X2311,$M$3:$X$3,$M$2:$X$2),SUMPRODUCT(M2311:X2311,$M$4:$X$4,$M$2:$X$2))/(Y2311/($K2311*$L2311)),"")</f>
        <v/>
      </c>
      <c r="AB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7" t="n"/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/>
      <c r="Y2312" s="13">
        <f>SUMPRODUCT(M2312:X2312,$M$2:$X$2)*$K2312*$L2312</f>
        <v/>
      </c>
      <c r="Z2312" s="14">
        <f>SUM(M2312:X2312)</f>
        <v/>
      </c>
      <c r="AA2312" s="14">
        <f>IFERROR(IF(UPPER($E2312)="L",SUMPRODUCT(M2312:X2312,$M$3:$X$3,$M$2:$X$2),SUMPRODUCT(M2312:X2312,$M$4:$X$4,$M$2:$X$2))/(Y2312/($K2312*$L2312)),"")</f>
        <v/>
      </c>
      <c r="AB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7" t="n"/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/>
      <c r="Y2313" s="13">
        <f>SUMPRODUCT(M2313:X2313,$M$2:$X$2)*$K2313*$L2313</f>
        <v/>
      </c>
      <c r="Z2313" s="14">
        <f>SUM(M2313:X2313)</f>
        <v/>
      </c>
      <c r="AA2313" s="14">
        <f>IFERROR(IF(UPPER($E2313)="L",SUMPRODUCT(M2313:X2313,$M$3:$X$3,$M$2:$X$2),SUMPRODUCT(M2313:X2313,$M$4:$X$4,$M$2:$X$2))/(Y2313/($K2313*$L2313)),"")</f>
        <v/>
      </c>
      <c r="AB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n"/>
      <c r="G2314" s="9" t="n">
        <v>517</v>
      </c>
      <c r="H2314" s="9" t="n">
        <v>517</v>
      </c>
      <c r="I2314" s="9" t="inlineStr">
        <is>
          <t>Full Time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7" t="n"/>
      <c r="N2314" s="17" t="n"/>
      <c r="O2314" s="17" t="n"/>
      <c r="P2314" s="17" t="n"/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3">
        <f>SUMPRODUCT(M2314:X2314,$M$2:$X$2)*$K2314*$L2314</f>
        <v/>
      </c>
      <c r="Z2314" s="14">
        <f>SUM(M2314:X2314)</f>
        <v/>
      </c>
      <c r="AA2314" s="14">
        <f>IFERROR(IF(UPPER($E2314)="L",SUMPRODUCT(M2314:X2314,$M$3:$X$3,$M$2:$X$2),SUMPRODUCT(M2314:X2314,$M$4:$X$4,$M$2:$X$2))/(Y2314/($K2314*$L2314)),"")</f>
        <v/>
      </c>
      <c r="AB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n"/>
      <c r="G2315" s="9" t="n">
        <v>21</v>
      </c>
      <c r="H2315" s="9" t="n">
        <v>21</v>
      </c>
      <c r="I2315" s="9" t="inlineStr">
        <is>
          <t>Depth (no MLB PA)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7" t="n"/>
      <c r="N2315" s="17" t="n"/>
      <c r="O2315" s="17" t="n"/>
      <c r="P2315" s="17" t="n"/>
      <c r="Q2315" s="17" t="n"/>
      <c r="R2315" s="17" t="n"/>
      <c r="S2315" s="17" t="n"/>
      <c r="T2315" s="17" t="n"/>
      <c r="U2315" s="17" t="n"/>
      <c r="V2315" s="17" t="n"/>
      <c r="W2315" s="17" t="n"/>
      <c r="X2315" s="17" t="n"/>
      <c r="Y2315" s="13">
        <f>SUMPRODUCT(M2315:X2315,$M$2:$X$2)*$K2315*$L2315</f>
        <v/>
      </c>
      <c r="Z2315" s="14">
        <f>SUM(M2315:X2315)</f>
        <v/>
      </c>
      <c r="AA2315" s="14">
        <f>IFERROR(IF(UPPER($E2315)="L",SUMPRODUCT(M2315:X2315,$M$3:$X$3,$M$2:$X$2),SUMPRODUCT(M2315:X2315,$M$4:$X$4,$M$2:$X$2))/(Y2315/($K2315*$L2315)),"")</f>
        <v/>
      </c>
      <c r="AB2315" s="18" t="n"/>
    </row>
    <row r="2316">
      <c r="A2316" s="9" t="n">
        <v>805590</v>
      </c>
      <c r="B2316" s="9" t="inlineStr">
        <is>
          <t>Dylan Palmer</t>
        </is>
      </c>
      <c r="C2316" s="9" t="inlineStr">
        <is>
          <t>PIT</t>
        </is>
      </c>
      <c r="D2316" s="9" t="n">
        <v>25</v>
      </c>
      <c r="E2316" s="16" t="inlineStr">
        <is>
          <t>L</t>
        </is>
      </c>
      <c r="F2316" s="16" t="n"/>
      <c r="G2316" s="9" t="n">
        <v>47.7948717948718</v>
      </c>
      <c r="H2316" s="9" t="n">
        <v>47.7948717948718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7" t="n"/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/>
      <c r="Y2316" s="13">
        <f>SUMPRODUCT(M2316:X2316,$M$2:$X$2)*$K2316*$L2316</f>
        <v/>
      </c>
      <c r="Z2316" s="14">
        <f>SUM(M2316:X2316)</f>
        <v/>
      </c>
      <c r="AA2316" s="14">
        <f>IFERROR(IF(UPPER($E2316)="L",SUMPRODUCT(M2316:X2316,$M$3:$X$3,$M$2:$X$2),SUMPRODUCT(M2316:X2316,$M$4:$X$4,$M$2:$X$2))/(Y2316/($K2316*$L2316)),"")</f>
        <v/>
      </c>
      <c r="AB2316" s="18" t="n"/>
    </row>
    <row r="2317">
      <c r="A2317" s="9" t="n">
        <v>801561</v>
      </c>
      <c r="B2317" s="9" t="inlineStr">
        <is>
          <t>Matt Halbach</t>
        </is>
      </c>
      <c r="C2317" s="9" t="inlineStr">
        <is>
          <t>CHC</t>
        </is>
      </c>
      <c r="D2317" s="9" t="n">
        <v>25</v>
      </c>
      <c r="E2317" s="16" t="inlineStr">
        <is>
          <t>R</t>
        </is>
      </c>
      <c r="F2317" s="16" t="n"/>
      <c r="G2317" s="9" t="n">
        <v>96.20512820512822</v>
      </c>
      <c r="H2317" s="9" t="n">
        <v>96.20512820512822</v>
      </c>
      <c r="I2317" s="9" t="inlineStr">
        <is>
          <t>Depth (no MLB PA)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7" t="n"/>
      <c r="N2317" s="17" t="n"/>
      <c r="O2317" s="17" t="n"/>
      <c r="P2317" s="17" t="n"/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3">
        <f>SUMPRODUCT(M2317:X2317,$M$2:$X$2)*$K2317*$L2317</f>
        <v/>
      </c>
      <c r="Z2317" s="14">
        <f>SUM(M2317:X2317)</f>
        <v/>
      </c>
      <c r="AA2317" s="14">
        <f>IFERROR(IF(UPPER($E2317)="L",SUMPRODUCT(M2317:X2317,$M$3:$X$3,$M$2:$X$2),SUMPRODUCT(M2317:X2317,$M$4:$X$4,$M$2:$X$2))/(Y2317/($K2317*$L2317)),"")</f>
        <v/>
      </c>
      <c r="AB2317" s="18" t="n"/>
    </row>
    <row r="2318">
      <c r="A2318" s="9" t="n">
        <v>687551</v>
      </c>
      <c r="B2318" s="9" t="inlineStr">
        <is>
          <t>Drew Gilbert</t>
        </is>
      </c>
      <c r="C2318" s="9" t="inlineStr">
        <is>
          <t>SF</t>
        </is>
      </c>
      <c r="D2318" s="9" t="n">
        <v>26</v>
      </c>
      <c r="E2318" s="16" t="inlineStr">
        <is>
          <t>L</t>
        </is>
      </c>
      <c r="F2318" s="16" t="n"/>
      <c r="G2318" s="9" t="n">
        <v>393</v>
      </c>
      <c r="H2318" s="9" t="n">
        <v>502</v>
      </c>
      <c r="I2318" s="9" t="inlineStr">
        <is>
          <t>Utility OF / 4th OF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7" t="n"/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/>
      <c r="Y2318" s="13">
        <f>SUMPRODUCT(M2318:X2318,$M$2:$X$2)*$K2318*$L2318</f>
        <v/>
      </c>
      <c r="Z2318" s="14">
        <f>SUM(M2318:X2318)</f>
        <v/>
      </c>
      <c r="AA2318" s="14">
        <f>IFERROR(IF(UPPER($E2318)="L",SUMPRODUCT(M2318:X2318,$M$3:$X$3,$M$2:$X$2),SUMPRODUCT(M2318:X2318,$M$4:$X$4,$M$2:$X$2))/(Y2318/($K2318*$L2318)),"")</f>
        <v/>
      </c>
      <c r="AB2318" s="18" t="n"/>
    </row>
    <row r="2319">
      <c r="A2319" s="9" t="n">
        <v>666165</v>
      </c>
      <c r="B2319" s="9" t="inlineStr">
        <is>
          <t>Blake Sabol</t>
        </is>
      </c>
      <c r="C2319" s="9" t="inlineStr">
        <is>
          <t>SF</t>
        </is>
      </c>
      <c r="D2319" s="9" t="n">
        <v>29</v>
      </c>
      <c r="E2319" s="16" t="inlineStr">
        <is>
          <t>L</t>
        </is>
      </c>
      <c r="F2319" s="16" t="n"/>
      <c r="G2319" s="9" t="n">
        <v>18</v>
      </c>
      <c r="H2319" s="9" t="n">
        <v>400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7" t="n"/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/>
      <c r="Y2319" s="13">
        <f>SUMPRODUCT(M2319:X2319,$M$2:$X$2)*$K2319*$L2319</f>
        <v/>
      </c>
      <c r="Z2319" s="14">
        <f>SUM(M2319:X2319)</f>
        <v/>
      </c>
      <c r="AA2319" s="14">
        <f>IFERROR(IF(UPPER($E2319)="L",SUMPRODUCT(M2319:X2319,$M$3:$X$3,$M$2:$X$2),SUMPRODUCT(M2319:X2319,$M$4:$X$4,$M$2:$X$2))/(Y2319/($K2319*$L2319)),"")</f>
        <v/>
      </c>
      <c r="AB2319" s="18" t="n"/>
    </row>
    <row r="2320">
      <c r="A2320" s="9" t="n">
        <v>806005</v>
      </c>
      <c r="B2320" s="9" t="inlineStr">
        <is>
          <t>Ryan McCarty</t>
        </is>
      </c>
      <c r="C2320" s="9" t="inlineStr">
        <is>
          <t>TOR</t>
        </is>
      </c>
      <c r="D2320" s="9" t="n">
        <v>25</v>
      </c>
      <c r="E2320" s="16" t="inlineStr">
        <is>
          <t>R</t>
        </is>
      </c>
      <c r="F2320" s="16" t="n"/>
      <c r="G2320" s="9" t="n">
        <v>45.6923076923077</v>
      </c>
      <c r="H2320" s="9" t="n">
        <v>45.6923076923077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7" t="n"/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/>
      <c r="Y2320" s="13">
        <f>SUMPRODUCT(M2320:X2320,$M$2:$X$2)*$K2320*$L2320</f>
        <v/>
      </c>
      <c r="Z2320" s="14">
        <f>SUM(M2320:X2320)</f>
        <v/>
      </c>
      <c r="AA2320" s="14">
        <f>IFERROR(IF(UPPER($E2320)="L",SUMPRODUCT(M2320:X2320,$M$3:$X$3,$M$2:$X$2),SUMPRODUCT(M2320:X2320,$M$4:$X$4,$M$2:$X$2))/(Y2320/($K2320*$L2320)),"")</f>
        <v/>
      </c>
      <c r="AB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25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Opening Day</t>
        </is>
      </c>
      <c r="K2321" s="11">
        <f>IFERROR(INDEX(Roles!$B$17:$B$20,MATCH(J2321,Roles!$A$17:$A$20,0)),1)</f>
        <v/>
      </c>
      <c r="L2321" s="17" t="n">
        <v>1</v>
      </c>
      <c r="M2321" s="17" t="n"/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/>
      <c r="Y2321" s="13">
        <f>SUMPRODUCT(M2321:X2321,$M$2:$X$2)*$K2321*$L2321</f>
        <v/>
      </c>
      <c r="Z2321" s="14">
        <f>SUM(M2321:X2321)</f>
        <v/>
      </c>
      <c r="AA2321" s="14">
        <f>IFERROR(IF(UPPER($E2321)="L",SUMPRODUCT(M2321:X2321,$M$3:$X$3,$M$2:$X$2),SUMPRODUCT(M2321:X2321,$M$4:$X$4,$M$2:$X$2))/(Y2321/($K2321*$L2321)),"")</f>
        <v/>
      </c>
      <c r="AB2321" s="18" t="n"/>
    </row>
    <row r="2322">
      <c r="A2322" s="9" t="n">
        <v>694304</v>
      </c>
      <c r="B2322" s="9" t="inlineStr">
        <is>
          <t>Cole Fontenelle</t>
        </is>
      </c>
      <c r="C2322" s="9" t="inlineStr">
        <is>
          <t>LAA</t>
        </is>
      </c>
      <c r="D2322" s="9" t="n">
        <v>25</v>
      </c>
      <c r="E2322" s="16" t="inlineStr">
        <is>
          <t>S</t>
        </is>
      </c>
      <c r="F2322" s="16" t="n"/>
      <c r="G2322" s="9" t="n">
        <v>102.3076923076923</v>
      </c>
      <c r="H2322" s="9" t="n">
        <v>102.3076923076923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7" t="n"/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/>
      <c r="Y2322" s="13">
        <f>SUMPRODUCT(M2322:X2322,$M$2:$X$2)*$K2322*$L2322</f>
        <v/>
      </c>
      <c r="Z2322" s="14">
        <f>SUM(M2322:X2322)</f>
        <v/>
      </c>
      <c r="AA2322" s="14">
        <f>IFERROR(IF(UPPER($E2322)="L",SUMPRODUCT(M2322:X2322,$M$3:$X$3,$M$2:$X$2),SUMPRODUCT(M2322:X2322,$M$4:$X$4,$M$2:$X$2))/(Y2322/($K2322*$L2322)),"")</f>
        <v/>
      </c>
      <c r="AB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7" t="n"/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/>
      <c r="Y2323" s="13">
        <f>SUMPRODUCT(M2323:X2323,$M$2:$X$2)*$K2323*$L2323</f>
        <v/>
      </c>
      <c r="Z2323" s="14">
        <f>SUM(M2323:X2323)</f>
        <v/>
      </c>
      <c r="AA2323" s="14">
        <f>IFERROR(IF(UPPER($E2323)="L",SUMPRODUCT(M2323:X2323,$M$3:$X$3,$M$2:$X$2),SUMPRODUCT(M2323:X2323,$M$4:$X$4,$M$2:$X$2))/(Y2323/($K2323*$L2323)),"")</f>
        <v/>
      </c>
      <c r="AB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7" t="n"/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/>
      <c r="Y2324" s="13">
        <f>SUMPRODUCT(M2324:X2324,$M$2:$X$2)*$K2324*$L2324</f>
        <v/>
      </c>
      <c r="Z2324" s="14">
        <f>SUM(M2324:X2324)</f>
        <v/>
      </c>
      <c r="AA2324" s="14">
        <f>IFERROR(IF(UPPER($E2324)="L",SUMPRODUCT(M2324:X2324,$M$3:$X$3,$M$2:$X$2),SUMPRODUCT(M2324:X2324,$M$4:$X$4,$M$2:$X$2))/(Y2324/($K2324*$L2324)),"")</f>
        <v/>
      </c>
      <c r="AB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7" t="n"/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/>
      <c r="Y2325" s="13">
        <f>SUMPRODUCT(M2325:X2325,$M$2:$X$2)*$K2325*$L2325</f>
        <v/>
      </c>
      <c r="Z2325" s="14">
        <f>SUM(M2325:X2325)</f>
        <v/>
      </c>
      <c r="AA2325" s="14">
        <f>IFERROR(IF(UPPER($E2325)="L",SUMPRODUCT(M2325:X2325,$M$3:$X$3,$M$2:$X$2),SUMPRODUCT(M2325:X2325,$M$4:$X$4,$M$2:$X$2))/(Y2325/($K2325*$L2325)),"")</f>
        <v/>
      </c>
      <c r="AB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7" t="n"/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/>
      <c r="Y2326" s="13">
        <f>SUMPRODUCT(M2326:X2326,$M$2:$X$2)*$K2326*$L2326</f>
        <v/>
      </c>
      <c r="Z2326" s="14">
        <f>SUM(M2326:X2326)</f>
        <v/>
      </c>
      <c r="AA2326" s="14">
        <f>IFERROR(IF(UPPER($E2326)="L",SUMPRODUCT(M2326:X2326,$M$3:$X$3,$M$2:$X$2),SUMPRODUCT(M2326:X2326,$M$4:$X$4,$M$2:$X$2))/(Y2326/($K2326*$L2326)),"")</f>
        <v/>
      </c>
      <c r="AB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7" t="n"/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/>
      <c r="Y2327" s="13">
        <f>SUMPRODUCT(M2327:X2327,$M$2:$X$2)*$K2327*$L2327</f>
        <v/>
      </c>
      <c r="Z2327" s="14">
        <f>SUM(M2327:X2327)</f>
        <v/>
      </c>
      <c r="AA2327" s="14">
        <f>IFERROR(IF(UPPER($E2327)="L",SUMPRODUCT(M2327:X2327,$M$3:$X$3,$M$2:$X$2),SUMPRODUCT(M2327:X2327,$M$4:$X$4,$M$2:$X$2))/(Y2327/($K2327*$L2327)),"")</f>
        <v/>
      </c>
      <c r="AB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25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Depth (no MLB PA)</t>
        </is>
      </c>
      <c r="J2328" s="16" t="inlineStr">
        <is>
          <t>Opening Day</t>
        </is>
      </c>
      <c r="K2328" s="11">
        <f>IFERROR(INDEX(Roles!$B$17:$B$20,MATCH(J2328,Roles!$A$17:$A$20,0)),1)</f>
        <v/>
      </c>
      <c r="L2328" s="17" t="n">
        <v>1</v>
      </c>
      <c r="M2328" s="17" t="n"/>
      <c r="N2328" s="17" t="n"/>
      <c r="O2328" s="17" t="n"/>
      <c r="P2328" s="17" t="n"/>
      <c r="Q2328" s="17" t="n"/>
      <c r="R2328" s="17" t="n"/>
      <c r="S2328" s="17" t="n"/>
      <c r="T2328" s="17" t="n"/>
      <c r="U2328" s="17" t="n"/>
      <c r="V2328" s="17" t="n"/>
      <c r="W2328" s="17" t="n"/>
      <c r="X2328" s="17" t="n"/>
      <c r="Y2328" s="13">
        <f>SUMPRODUCT(M2328:X2328,$M$2:$X$2)*$K2328*$L2328</f>
        <v/>
      </c>
      <c r="Z2328" s="14">
        <f>SUM(M2328:X2328)</f>
        <v/>
      </c>
      <c r="AA2328" s="14">
        <f>IFERROR(IF(UPPER($E2328)="L",SUMPRODUCT(M2328:X2328,$M$3:$X$3,$M$2:$X$2),SUMPRODUCT(M2328:X2328,$M$4:$X$4,$M$2:$X$2))/(Y2328/($K2328*$L2328)),"")</f>
        <v/>
      </c>
      <c r="AB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n"/>
      <c r="G2329" s="9" t="n">
        <v>399</v>
      </c>
      <c r="H2329" s="9" t="n">
        <v>988</v>
      </c>
      <c r="I2329" s="9" t="inlineStr">
        <is>
          <t>Utility OF / 4th OF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7" t="n"/>
      <c r="N2329" s="17" t="n"/>
      <c r="O2329" s="17" t="n"/>
      <c r="P2329" s="17" t="n"/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3">
        <f>SUMPRODUCT(M2329:X2329,$M$2:$X$2)*$K2329*$L2329</f>
        <v/>
      </c>
      <c r="Z2329" s="14">
        <f>SUM(M2329:X2329)</f>
        <v/>
      </c>
      <c r="AA2329" s="14">
        <f>IFERROR(IF(UPPER($E2329)="L",SUMPRODUCT(M2329:X2329,$M$3:$X$3,$M$2:$X$2),SUMPRODUCT(M2329:X2329,$M$4:$X$4,$M$2:$X$2))/(Y2329/($K2329*$L2329)),"")</f>
        <v/>
      </c>
      <c r="AB2329" s="18" t="n"/>
    </row>
    <row r="2330">
      <c r="A2330" s="9" t="n">
        <v>828489</v>
      </c>
      <c r="B2330" s="9" t="inlineStr">
        <is>
          <t>Andy Polanco</t>
        </is>
      </c>
      <c r="C2330" s="9" t="inlineStr">
        <is>
          <t>SF</t>
        </is>
      </c>
      <c r="D2330" s="9" t="n">
        <v>25</v>
      </c>
      <c r="E2330" s="16" t="inlineStr">
        <is>
          <t>R</t>
        </is>
      </c>
      <c r="F2330" s="16" t="n"/>
      <c r="G2330" s="9" t="n">
        <v>47.13846153846153</v>
      </c>
      <c r="H2330" s="9" t="n">
        <v>47.13846153846153</v>
      </c>
      <c r="I2330" s="9" t="inlineStr">
        <is>
          <t>Depth (no MLB PA)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7" t="n"/>
      <c r="N2330" s="17" t="n"/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3">
        <f>SUMPRODUCT(M2330:X2330,$M$2:$X$2)*$K2330*$L2330</f>
        <v/>
      </c>
      <c r="Z2330" s="14">
        <f>SUM(M2330:X2330)</f>
        <v/>
      </c>
      <c r="AA2330" s="14">
        <f>IFERROR(IF(UPPER($E2330)="L",SUMPRODUCT(M2330:X2330,$M$3:$X$3,$M$2:$X$2),SUMPRODUCT(M2330:X2330,$M$4:$X$4,$M$2:$X$2))/(Y2330/($K2330*$L2330)),"")</f>
        <v/>
      </c>
      <c r="AB2330" s="18" t="n"/>
    </row>
    <row r="2331">
      <c r="A2331" s="9" t="n">
        <v>663697</v>
      </c>
      <c r="B2331" s="9" t="inlineStr">
        <is>
          <t>Jonathan India</t>
        </is>
      </c>
      <c r="C2331" s="9" t="inlineStr">
        <is>
          <t>KC</t>
        </is>
      </c>
      <c r="D2331" s="9" t="n">
        <v>30</v>
      </c>
      <c r="E2331" s="16" t="inlineStr">
        <is>
          <t>R</t>
        </is>
      </c>
      <c r="F2331" s="16" t="n"/>
      <c r="G2331" s="9" t="n">
        <v>58</v>
      </c>
      <c r="H2331" s="9" t="n">
        <v>2222</v>
      </c>
      <c r="I2331" s="9" t="inlineStr">
        <is>
          <t>Full Time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7" t="n"/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/>
      <c r="Y2331" s="13">
        <f>SUMPRODUCT(M2331:X2331,$M$2:$X$2)*$K2331*$L2331</f>
        <v/>
      </c>
      <c r="Z2331" s="14">
        <f>SUM(M2331:X2331)</f>
        <v/>
      </c>
      <c r="AA2331" s="14">
        <f>IFERROR(IF(UPPER($E2331)="L",SUMPRODUCT(M2331:X2331,$M$3:$X$3,$M$2:$X$2),SUMPRODUCT(M2331:X2331,$M$4:$X$4,$M$2:$X$2))/(Y2331/($K2331*$L2331)),"")</f>
        <v/>
      </c>
      <c r="AB2331" s="18" t="n"/>
    </row>
    <row r="2332">
      <c r="A2332" s="9" t="n">
        <v>701481</v>
      </c>
      <c r="B2332" s="9" t="inlineStr">
        <is>
          <t>Ryan Campos</t>
        </is>
      </c>
      <c r="C2332" s="9" t="inlineStr">
        <is>
          <t>STL</t>
        </is>
      </c>
      <c r="D2332" s="9" t="n">
        <v>25</v>
      </c>
      <c r="E2332" s="16" t="inlineStr">
        <is>
          <t>L</t>
        </is>
      </c>
      <c r="F2332" s="16" t="n"/>
      <c r="G2332" s="9" t="n">
        <v>166.2051282051282</v>
      </c>
      <c r="H2332" s="9" t="n">
        <v>166.2051282051282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7" t="n"/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/>
      <c r="Y2332" s="13">
        <f>SUMPRODUCT(M2332:X2332,$M$2:$X$2)*$K2332*$L2332</f>
        <v/>
      </c>
      <c r="Z2332" s="14">
        <f>SUM(M2332:X2332)</f>
        <v/>
      </c>
      <c r="AA2332" s="14">
        <f>IFERROR(IF(UPPER($E2332)="L",SUMPRODUCT(M2332:X2332,$M$3:$X$3,$M$2:$X$2),SUMPRODUCT(M2332:X2332,$M$4:$X$4,$M$2:$X$2))/(Y2332/($K2332*$L2332)),"")</f>
        <v/>
      </c>
      <c r="AB2332" s="18" t="n"/>
    </row>
    <row r="2333">
      <c r="A2333" s="9" t="n">
        <v>690448</v>
      </c>
      <c r="B2333" s="9" t="inlineStr">
        <is>
          <t>Mike Jarvis</t>
        </is>
      </c>
      <c r="C2333" s="9" t="inlineStr">
        <is>
          <t>PIT</t>
        </is>
      </c>
      <c r="D2333" s="9" t="n">
        <v>25</v>
      </c>
      <c r="E2333" s="16" t="inlineStr">
        <is>
          <t>R</t>
        </is>
      </c>
      <c r="F2333" s="16" t="n"/>
      <c r="G2333" s="9" t="n">
        <v>62.05128205128206</v>
      </c>
      <c r="H2333" s="9" t="n">
        <v>62.05128205128206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7" t="n"/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/>
      <c r="Y2333" s="13">
        <f>SUMPRODUCT(M2333:X2333,$M$2:$X$2)*$K2333*$L2333</f>
        <v/>
      </c>
      <c r="Z2333" s="14">
        <f>SUM(M2333:X2333)</f>
        <v/>
      </c>
      <c r="AA2333" s="14">
        <f>IFERROR(IF(UPPER($E2333)="L",SUMPRODUCT(M2333:X2333,$M$3:$X$3,$M$2:$X$2),SUMPRODUCT(M2333:X2333,$M$4:$X$4,$M$2:$X$2))/(Y2333/($K2333*$L2333)),"")</f>
        <v/>
      </c>
      <c r="AB2333" s="18" t="n"/>
    </row>
    <row r="2334">
      <c r="A2334" s="9" t="n">
        <v>695462</v>
      </c>
      <c r="B2334" s="9" t="inlineStr">
        <is>
          <t>Cal Conley</t>
        </is>
      </c>
      <c r="C2334" s="9" t="inlineStr">
        <is>
          <t>ATL</t>
        </is>
      </c>
      <c r="D2334" s="9" t="n">
        <v>25</v>
      </c>
      <c r="E2334" s="16" t="inlineStr">
        <is>
          <t>S</t>
        </is>
      </c>
      <c r="F2334" s="16" t="n"/>
      <c r="G2334" s="9" t="n">
        <v>120.7179487179487</v>
      </c>
      <c r="H2334" s="9" t="n">
        <v>120.7179487179487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7" t="n"/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/>
      <c r="Y2334" s="13">
        <f>SUMPRODUCT(M2334:X2334,$M$2:$X$2)*$K2334*$L2334</f>
        <v/>
      </c>
      <c r="Z2334" s="14">
        <f>SUM(M2334:X2334)</f>
        <v/>
      </c>
      <c r="AA2334" s="14">
        <f>IFERROR(IF(UPPER($E2334)="L",SUMPRODUCT(M2334:X2334,$M$3:$X$3,$M$2:$X$2),SUMPRODUCT(M2334:X2334,$M$4:$X$4,$M$2:$X$2))/(Y2334/($K2334*$L2334)),"")</f>
        <v/>
      </c>
      <c r="AB2334" s="18" t="n"/>
    </row>
    <row r="2335">
      <c r="A2335" s="9" t="n">
        <v>694815</v>
      </c>
      <c r="B2335" s="9" t="inlineStr">
        <is>
          <t>Jack Hurley</t>
        </is>
      </c>
      <c r="C2335" s="9" t="inlineStr">
        <is>
          <t>ARI</t>
        </is>
      </c>
      <c r="D2335" s="9" t="n">
        <v>25</v>
      </c>
      <c r="E2335" s="16" t="inlineStr">
        <is>
          <t>L</t>
        </is>
      </c>
      <c r="F2335" s="16" t="n"/>
      <c r="G2335" s="9" t="n">
        <v>65.43589743589745</v>
      </c>
      <c r="H2335" s="9" t="n">
        <v>65.43589743589745</v>
      </c>
      <c r="I2335" s="9" t="inlineStr">
        <is>
          <t>Depth (no MLB PA)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7" t="n"/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/>
      <c r="W2335" s="17" t="n"/>
      <c r="X2335" s="17" t="n"/>
      <c r="Y2335" s="13">
        <f>SUMPRODUCT(M2335:X2335,$M$2:$X$2)*$K2335*$L2335</f>
        <v/>
      </c>
      <c r="Z2335" s="14">
        <f>SUM(M2335:X2335)</f>
        <v/>
      </c>
      <c r="AA2335" s="14">
        <f>IFERROR(IF(UPPER($E2335)="L",SUMPRODUCT(M2335:X2335,$M$3:$X$3,$M$2:$X$2),SUMPRODUCT(M2335:X2335,$M$4:$X$4,$M$2:$X$2))/(Y2335/($K2335*$L2335)),"")</f>
        <v/>
      </c>
      <c r="AB2335" s="18" t="n"/>
    </row>
    <row r="2336">
      <c r="A2336" s="9" t="n">
        <v>656484</v>
      </c>
      <c r="B2336" s="9" t="inlineStr">
        <is>
          <t>Tristan Gray</t>
        </is>
      </c>
      <c r="C2336" s="9" t="inlineStr">
        <is>
          <t>MIN</t>
        </is>
      </c>
      <c r="D2336" s="9" t="n">
        <v>31</v>
      </c>
      <c r="E2336" s="16" t="inlineStr">
        <is>
          <t>L</t>
        </is>
      </c>
      <c r="F2336" s="16" t="n"/>
      <c r="G2336" s="9" t="n">
        <v>188</v>
      </c>
      <c r="H2336" s="9" t="n">
        <v>310</v>
      </c>
      <c r="I2336" s="9" t="inlineStr">
        <is>
          <t>Bench Bat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7" t="n"/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/>
      <c r="Y2336" s="13">
        <f>SUMPRODUCT(M2336:X2336,$M$2:$X$2)*$K2336*$L2336</f>
        <v/>
      </c>
      <c r="Z2336" s="14">
        <f>SUM(M2336:X2336)</f>
        <v/>
      </c>
      <c r="AA2336" s="14">
        <f>IFERROR(IF(UPPER($E2336)="L",SUMPRODUCT(M2336:X2336,$M$3:$X$3,$M$2:$X$2),SUMPRODUCT(M2336:X2336,$M$4:$X$4,$M$2:$X$2))/(Y2336/($K2336*$L2336)),"")</f>
        <v/>
      </c>
      <c r="AB2336" s="18" t="n"/>
    </row>
    <row r="2337">
      <c r="A2337" s="9" t="n">
        <v>676480</v>
      </c>
      <c r="B2337" s="9" t="inlineStr">
        <is>
          <t>José Barrero</t>
        </is>
      </c>
      <c r="C2337" s="9" t="inlineStr">
        <is>
          <t>STL</t>
        </is>
      </c>
      <c r="D2337" s="9" t="n">
        <v>29</v>
      </c>
      <c r="E2337" s="16" t="inlineStr">
        <is>
          <t>R</t>
        </is>
      </c>
      <c r="F2337" s="16" t="n"/>
      <c r="G2337" s="9" t="n">
        <v>6</v>
      </c>
      <c r="H2337" s="9" t="n">
        <v>360</v>
      </c>
      <c r="I2337" s="9" t="inlineStr">
        <is>
          <t>Bench Bat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7" t="n"/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/>
      <c r="Y2337" s="13">
        <f>SUMPRODUCT(M2337:X2337,$M$2:$X$2)*$K2337*$L2337</f>
        <v/>
      </c>
      <c r="Z2337" s="14">
        <f>SUM(M2337:X2337)</f>
        <v/>
      </c>
      <c r="AA2337" s="14">
        <f>IFERROR(IF(UPPER($E2337)="L",SUMPRODUCT(M2337:X2337,$M$3:$X$3,$M$2:$X$2),SUMPRODUCT(M2337:X2337,$M$4:$X$4,$M$2:$X$2))/(Y2337/($K2337*$L2337)),"")</f>
        <v/>
      </c>
      <c r="AB2337" s="18" t="n"/>
    </row>
    <row r="2338">
      <c r="A2338" s="9" t="n">
        <v>695069</v>
      </c>
      <c r="B2338" s="9" t="inlineStr">
        <is>
          <t>Keith Jones II</t>
        </is>
      </c>
      <c r="C2338" s="9" t="inlineStr">
        <is>
          <t>TEX</t>
        </is>
      </c>
      <c r="D2338" s="9" t="n">
        <v>25</v>
      </c>
      <c r="E2338" s="16" t="inlineStr">
        <is>
          <t>L</t>
        </is>
      </c>
      <c r="F2338" s="16" t="n"/>
      <c r="G2338" s="9" t="n">
        <v>144.6666666666667</v>
      </c>
      <c r="H2338" s="9" t="n">
        <v>144.6666666666667</v>
      </c>
      <c r="I2338" s="9" t="inlineStr">
        <is>
          <t>Depth (no MLB PA)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7" t="n"/>
      <c r="N2338" s="17" t="n"/>
      <c r="O2338" s="17" t="n"/>
      <c r="P2338" s="17" t="n"/>
      <c r="Q2338" s="17" t="n"/>
      <c r="R2338" s="17" t="n"/>
      <c r="S2338" s="17" t="n"/>
      <c r="T2338" s="17" t="n"/>
      <c r="U2338" s="17" t="n"/>
      <c r="V2338" s="17" t="n"/>
      <c r="W2338" s="17" t="n"/>
      <c r="X2338" s="17" t="n"/>
      <c r="Y2338" s="13">
        <f>SUMPRODUCT(M2338:X2338,$M$2:$X$2)*$K2338*$L2338</f>
        <v/>
      </c>
      <c r="Z2338" s="14">
        <f>SUM(M2338:X2338)</f>
        <v/>
      </c>
      <c r="AA2338" s="14">
        <f>IFERROR(IF(UPPER($E2338)="L",SUMPRODUCT(M2338:X2338,$M$3:$X$3,$M$2:$X$2),SUMPRODUCT(M2338:X2338,$M$4:$X$4,$M$2:$X$2))/(Y2338/($K2338*$L2338)),"")</f>
        <v/>
      </c>
      <c r="AB2338" s="18" t="n"/>
    </row>
    <row r="2339">
      <c r="A2339" s="9" t="n">
        <v>815734</v>
      </c>
      <c r="B2339" s="9" t="inlineStr">
        <is>
          <t>Dylan Jasso</t>
        </is>
      </c>
      <c r="C2339" s="9" t="inlineStr">
        <is>
          <t>MIA</t>
        </is>
      </c>
      <c r="D2339" s="9" t="n">
        <v>25</v>
      </c>
      <c r="E2339" s="16" t="inlineStr">
        <is>
          <t>R</t>
        </is>
      </c>
      <c r="F2339" s="16" t="n"/>
      <c r="G2339" s="9" t="n">
        <v>86.87179487179486</v>
      </c>
      <c r="H2339" s="9" t="n">
        <v>86.87179487179486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7" t="n"/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/>
      <c r="Y2339" s="13">
        <f>SUMPRODUCT(M2339:X2339,$M$2:$X$2)*$K2339*$L2339</f>
        <v/>
      </c>
      <c r="Z2339" s="14">
        <f>SUM(M2339:X2339)</f>
        <v/>
      </c>
      <c r="AA2339" s="14">
        <f>IFERROR(IF(UPPER($E2339)="L",SUMPRODUCT(M2339:X2339,$M$3:$X$3,$M$2:$X$2),SUMPRODUCT(M2339:X2339,$M$4:$X$4,$M$2:$X$2))/(Y2339/($K2339*$L2339)),"")</f>
        <v/>
      </c>
      <c r="AB2339" s="18" t="n"/>
    </row>
    <row r="2340">
      <c r="A2340" s="9" t="n">
        <v>702550</v>
      </c>
      <c r="B2340" s="9" t="inlineStr">
        <is>
          <t>Chandler Pollard</t>
        </is>
      </c>
      <c r="C2340" s="9" t="inlineStr">
        <is>
          <t>TEX</t>
        </is>
      </c>
      <c r="D2340" s="9" t="n">
        <v>25</v>
      </c>
      <c r="E2340" s="16" t="inlineStr">
        <is>
          <t>R</t>
        </is>
      </c>
      <c r="F2340" s="16" t="n"/>
      <c r="G2340" s="9" t="n">
        <v>59.89743589743591</v>
      </c>
      <c r="H2340" s="9" t="n">
        <v>59.89743589743591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7" t="n"/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/>
      <c r="Y2340" s="13">
        <f>SUMPRODUCT(M2340:X2340,$M$2:$X$2)*$K2340*$L2340</f>
        <v/>
      </c>
      <c r="Z2340" s="14">
        <f>SUM(M2340:X2340)</f>
        <v/>
      </c>
      <c r="AA2340" s="14">
        <f>IFERROR(IF(UPPER($E2340)="L",SUMPRODUCT(M2340:X2340,$M$3:$X$3,$M$2:$X$2),SUMPRODUCT(M2340:X2340,$M$4:$X$4,$M$2:$X$2))/(Y2340/($K2340*$L2340)),"")</f>
        <v/>
      </c>
      <c r="AB2340" s="18" t="n"/>
    </row>
    <row r="2341">
      <c r="A2341" s="9" t="n">
        <v>686780</v>
      </c>
      <c r="B2341" s="9" t="inlineStr">
        <is>
          <t>Pedro Pagés</t>
        </is>
      </c>
      <c r="C2341" s="9" t="inlineStr">
        <is>
          <t>STL</t>
        </is>
      </c>
      <c r="D2341" s="9" t="n">
        <v>28</v>
      </c>
      <c r="E2341" s="16" t="inlineStr">
        <is>
          <t>R</t>
        </is>
      </c>
      <c r="F2341" s="16" t="n"/>
      <c r="G2341" s="9" t="n">
        <v>211</v>
      </c>
      <c r="H2341" s="9" t="n">
        <v>818</v>
      </c>
      <c r="I2341" s="9" t="inlineStr">
        <is>
          <t>Utility OF / 4th OF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7" t="n"/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/>
      <c r="Y2341" s="13">
        <f>SUMPRODUCT(M2341:X2341,$M$2:$X$2)*$K2341*$L2341</f>
        <v/>
      </c>
      <c r="Z2341" s="14">
        <f>SUM(M2341:X2341)</f>
        <v/>
      </c>
      <c r="AA2341" s="14">
        <f>IFERROR(IF(UPPER($E2341)="L",SUMPRODUCT(M2341:X2341,$M$3:$X$3,$M$2:$X$2),SUMPRODUCT(M2341:X2341,$M$4:$X$4,$M$2:$X$2))/(Y2341/($K2341*$L2341)),"")</f>
        <v/>
      </c>
      <c r="AB2341" s="18" t="n"/>
    </row>
    <row r="2342">
      <c r="A2342" s="9" t="n">
        <v>699157</v>
      </c>
      <c r="B2342" s="9" t="inlineStr">
        <is>
          <t>Ahbram Liendo</t>
        </is>
      </c>
      <c r="C2342" s="9" t="inlineStr">
        <is>
          <t>BOS</t>
        </is>
      </c>
      <c r="D2342" s="9" t="n">
        <v>25</v>
      </c>
      <c r="E2342" s="16" t="inlineStr">
        <is>
          <t>R</t>
        </is>
      </c>
      <c r="F2342" s="16" t="n"/>
      <c r="G2342" s="9" t="n">
        <v>123.4871794871795</v>
      </c>
      <c r="H2342" s="9" t="n">
        <v>123.4871794871795</v>
      </c>
      <c r="I2342" s="9" t="inlineStr">
        <is>
          <t>Depth (no MLB PA)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7" t="n"/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/>
      <c r="W2342" s="17" t="n"/>
      <c r="X2342" s="17" t="n"/>
      <c r="Y2342" s="13">
        <f>SUMPRODUCT(M2342:X2342,$M$2:$X$2)*$K2342*$L2342</f>
        <v/>
      </c>
      <c r="Z2342" s="14">
        <f>SUM(M2342:X2342)</f>
        <v/>
      </c>
      <c r="AA2342" s="14">
        <f>IFERROR(IF(UPPER($E2342)="L",SUMPRODUCT(M2342:X2342,$M$3:$X$3,$M$2:$X$2),SUMPRODUCT(M2342:X2342,$M$4:$X$4,$M$2:$X$2))/(Y2342/($K2342*$L2342)),"")</f>
        <v/>
      </c>
      <c r="AB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7" t="n"/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/>
      <c r="Y2343" s="13">
        <f>SUMPRODUCT(M2343:X2343,$M$2:$X$2)*$K2343*$L2343</f>
        <v/>
      </c>
      <c r="Z2343" s="14">
        <f>SUM(M2343:X2343)</f>
        <v/>
      </c>
      <c r="AA2343" s="14">
        <f>IFERROR(IF(UPPER($E2343)="L",SUMPRODUCT(M2343:X2343,$M$3:$X$3,$M$2:$X$2),SUMPRODUCT(M2343:X2343,$M$4:$X$4,$M$2:$X$2))/(Y2343/($K2343*$L2343)),"")</f>
        <v/>
      </c>
      <c r="AB2343" s="18" t="n"/>
    </row>
    <row r="2344">
      <c r="A2344" s="9" t="n">
        <v>814408</v>
      </c>
      <c r="B2344" s="9" t="inlineStr">
        <is>
          <t>Jackson Hornung</t>
        </is>
      </c>
      <c r="C2344" s="9" t="inlineStr">
        <is>
          <t>TOR</t>
        </is>
      </c>
      <c r="D2344" s="9" t="n">
        <v>25</v>
      </c>
      <c r="E2344" s="16" t="inlineStr">
        <is>
          <t>R</t>
        </is>
      </c>
      <c r="F2344" s="16" t="n"/>
      <c r="G2344" s="9" t="n">
        <v>86.15384615384615</v>
      </c>
      <c r="H2344" s="9" t="n">
        <v>86.15384615384615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7" t="n"/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/>
      <c r="Y2344" s="13">
        <f>SUMPRODUCT(M2344:X2344,$M$2:$X$2)*$K2344*$L2344</f>
        <v/>
      </c>
      <c r="Z2344" s="14">
        <f>SUM(M2344:X2344)</f>
        <v/>
      </c>
      <c r="AA2344" s="14">
        <f>IFERROR(IF(UPPER($E2344)="L",SUMPRODUCT(M2344:X2344,$M$3:$X$3,$M$2:$X$2),SUMPRODUCT(M2344:X2344,$M$4:$X$4,$M$2:$X$2))/(Y2344/($K2344*$L2344)),"")</f>
        <v/>
      </c>
      <c r="AB2344" s="18" t="n"/>
    </row>
    <row r="2345">
      <c r="A2345" s="9" t="n">
        <v>696142</v>
      </c>
      <c r="B2345" s="9" t="inlineStr">
        <is>
          <t>Will Taylor</t>
        </is>
      </c>
      <c r="C2345" s="9" t="inlineStr">
        <is>
          <t>PIT</t>
        </is>
      </c>
      <c r="D2345" s="9" t="n">
        <v>25</v>
      </c>
      <c r="E2345" s="16" t="inlineStr">
        <is>
          <t>R</t>
        </is>
      </c>
      <c r="F2345" s="16" t="n"/>
      <c r="G2345" s="9" t="n">
        <v>157.2307692307692</v>
      </c>
      <c r="H2345" s="9" t="n">
        <v>157.2307692307692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7" t="n"/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/>
      <c r="Y2345" s="13">
        <f>SUMPRODUCT(M2345:X2345,$M$2:$X$2)*$K2345*$L2345</f>
        <v/>
      </c>
      <c r="Z2345" s="14">
        <f>SUM(M2345:X2345)</f>
        <v/>
      </c>
      <c r="AA2345" s="14">
        <f>IFERROR(IF(UPPER($E2345)="L",SUMPRODUCT(M2345:X2345,$M$3:$X$3,$M$2:$X$2),SUMPRODUCT(M2345:X2345,$M$4:$X$4,$M$2:$X$2))/(Y2345/($K2345*$L2345)),"")</f>
        <v/>
      </c>
      <c r="AB2345" s="18" t="n"/>
    </row>
    <row r="2346">
      <c r="A2346" s="9" t="n">
        <v>822501</v>
      </c>
      <c r="B2346" s="9" t="inlineStr">
        <is>
          <t>Jon Jon Gazdar</t>
        </is>
      </c>
      <c r="C2346" s="9" t="inlineStr">
        <is>
          <t>STL</t>
        </is>
      </c>
      <c r="D2346" s="9" t="n">
        <v>25</v>
      </c>
      <c r="E2346" s="16" t="inlineStr">
        <is>
          <t>R</t>
        </is>
      </c>
      <c r="F2346" s="16" t="n"/>
      <c r="G2346" s="9" t="n">
        <v>135.3333333333333</v>
      </c>
      <c r="H2346" s="9" t="n">
        <v>135.3333333333333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7" t="n"/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/>
      <c r="Y2346" s="13">
        <f>SUMPRODUCT(M2346:X2346,$M$2:$X$2)*$K2346*$L2346</f>
        <v/>
      </c>
      <c r="Z2346" s="14">
        <f>SUM(M2346:X2346)</f>
        <v/>
      </c>
      <c r="AA2346" s="14">
        <f>IFERROR(IF(UPPER($E2346)="L",SUMPRODUCT(M2346:X2346,$M$3:$X$3,$M$2:$X$2),SUMPRODUCT(M2346:X2346,$M$4:$X$4,$M$2:$X$2))/(Y2346/($K2346*$L2346)),"")</f>
        <v/>
      </c>
      <c r="AB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7" t="n"/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/>
      <c r="Y2347" s="13">
        <f>SUMPRODUCT(M2347:X2347,$M$2:$X$2)*$K2347*$L2347</f>
        <v/>
      </c>
      <c r="Z2347" s="14">
        <f>SUM(M2347:X2347)</f>
        <v/>
      </c>
      <c r="AA2347" s="14">
        <f>IFERROR(IF(UPPER($E2347)="L",SUMPRODUCT(M2347:X2347,$M$3:$X$3,$M$2:$X$2),SUMPRODUCT(M2347:X2347,$M$4:$X$4,$M$2:$X$2))/(Y2347/($K2347*$L2347)),"")</f>
        <v/>
      </c>
      <c r="AB2347" s="18" t="n"/>
    </row>
    <row r="2348">
      <c r="A2348" s="9" t="n">
        <v>474832</v>
      </c>
      <c r="B2348" s="9" t="inlineStr">
        <is>
          <t>Brandon Belt</t>
        </is>
      </c>
      <c r="C2348" s="9" t="inlineStr">
        <is>
          <t>TOR</t>
        </is>
      </c>
      <c r="D2348" s="9" t="n">
        <v>39</v>
      </c>
      <c r="E2348" s="16" t="inlineStr">
        <is>
          <t>L</t>
        </is>
      </c>
      <c r="F2348" s="16" t="n"/>
      <c r="G2348" s="9" t="n">
        <v>404</v>
      </c>
      <c r="H2348" s="9" t="n">
        <v>702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7" t="n"/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/>
      <c r="Y2348" s="13">
        <f>SUMPRODUCT(M2348:X2348,$M$2:$X$2)*$K2348*$L2348</f>
        <v/>
      </c>
      <c r="Z2348" s="14">
        <f>SUM(M2348:X2348)</f>
        <v/>
      </c>
      <c r="AA2348" s="14">
        <f>IFERROR(IF(UPPER($E2348)="L",SUMPRODUCT(M2348:X2348,$M$3:$X$3,$M$2:$X$2),SUMPRODUCT(M2348:X2348,$M$4:$X$4,$M$2:$X$2))/(Y2348/($K2348*$L2348)),"")</f>
        <v/>
      </c>
      <c r="AB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7" t="n"/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/>
      <c r="Y2349" s="13">
        <f>SUMPRODUCT(M2349:X2349,$M$2:$X$2)*$K2349*$L2349</f>
        <v/>
      </c>
      <c r="Z2349" s="14">
        <f>SUM(M2349:X2349)</f>
        <v/>
      </c>
      <c r="AA2349" s="14">
        <f>IFERROR(IF(UPPER($E2349)="L",SUMPRODUCT(M2349:X2349,$M$3:$X$3,$M$2:$X$2),SUMPRODUCT(M2349:X2349,$M$4:$X$4,$M$2:$X$2))/(Y2349/($K2349*$L2349)),"")</f>
        <v/>
      </c>
      <c r="AB2349" s="18" t="n"/>
    </row>
    <row r="2350">
      <c r="A2350" s="9" t="n">
        <v>803745</v>
      </c>
      <c r="B2350" s="9" t="inlineStr">
        <is>
          <t>Adrian Santana</t>
        </is>
      </c>
      <c r="C2350" s="9" t="inlineStr">
        <is>
          <t>MIA</t>
        </is>
      </c>
      <c r="D2350" s="9" t="n">
        <v>25</v>
      </c>
      <c r="E2350" s="16" t="inlineStr">
        <is>
          <t>S</t>
        </is>
      </c>
      <c r="F2350" s="16" t="n"/>
      <c r="G2350" s="9" t="n">
        <v>50.25641025641026</v>
      </c>
      <c r="H2350" s="9" t="n">
        <v>50.25641025641026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7" t="n"/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/>
      <c r="Y2350" s="13">
        <f>SUMPRODUCT(M2350:X2350,$M$2:$X$2)*$K2350*$L2350</f>
        <v/>
      </c>
      <c r="Z2350" s="14">
        <f>SUM(M2350:X2350)</f>
        <v/>
      </c>
      <c r="AA2350" s="14">
        <f>IFERROR(IF(UPPER($E2350)="L",SUMPRODUCT(M2350:X2350,$M$3:$X$3,$M$2:$X$2),SUMPRODUCT(M2350:X2350,$M$4:$X$4,$M$2:$X$2))/(Y2350/($K2350*$L2350)),"")</f>
        <v/>
      </c>
      <c r="AB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7" t="n"/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/>
      <c r="Y2351" s="13">
        <f>SUMPRODUCT(M2351:X2351,$M$2:$X$2)*$K2351*$L2351</f>
        <v/>
      </c>
      <c r="Z2351" s="14">
        <f>SUM(M2351:X2351)</f>
        <v/>
      </c>
      <c r="AA2351" s="14">
        <f>IFERROR(IF(UPPER($E2351)="L",SUMPRODUCT(M2351:X2351,$M$3:$X$3,$M$2:$X$2),SUMPRODUCT(M2351:X2351,$M$4:$X$4,$M$2:$X$2))/(Y2351/($K2351*$L2351)),"")</f>
        <v/>
      </c>
      <c r="AB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n"/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7" t="n"/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/>
      <c r="Y2352" s="13">
        <f>SUMPRODUCT(M2352:X2352,$M$2:$X$2)*$K2352*$L2352</f>
        <v/>
      </c>
      <c r="Z2352" s="14">
        <f>SUM(M2352:X2352)</f>
        <v/>
      </c>
      <c r="AA2352" s="14">
        <f>IFERROR(IF(UPPER($E2352)="L",SUMPRODUCT(M2352:X2352,$M$3:$X$3,$M$2:$X$2),SUMPRODUCT(M2352:X2352,$M$4:$X$4,$M$2:$X$2))/(Y2352/($K2352*$L2352)),"")</f>
        <v/>
      </c>
      <c r="AB2352" s="18" t="n"/>
    </row>
    <row r="2353">
      <c r="A2353" s="9" t="n">
        <v>690985</v>
      </c>
      <c r="B2353" s="9" t="inlineStr">
        <is>
          <t>Colby Halter</t>
        </is>
      </c>
      <c r="C2353" s="9" t="inlineStr">
        <is>
          <t>OAK</t>
        </is>
      </c>
      <c r="D2353" s="9" t="n">
        <v>25</v>
      </c>
      <c r="E2353" s="16" t="inlineStr">
        <is>
          <t>L</t>
        </is>
      </c>
      <c r="F2353" s="16" t="n"/>
      <c r="G2353" s="9" t="n">
        <v>116.2051282051282</v>
      </c>
      <c r="H2353" s="9" t="n">
        <v>116.2051282051282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7" t="n"/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/>
      <c r="Y2353" s="13">
        <f>SUMPRODUCT(M2353:X2353,$M$2:$X$2)*$K2353*$L2353</f>
        <v/>
      </c>
      <c r="Z2353" s="14">
        <f>SUM(M2353:X2353)</f>
        <v/>
      </c>
      <c r="AA2353" s="14">
        <f>IFERROR(IF(UPPER($E2353)="L",SUMPRODUCT(M2353:X2353,$M$3:$X$3,$M$2:$X$2),SUMPRODUCT(M2353:X2353,$M$4:$X$4,$M$2:$X$2))/(Y2353/($K2353*$L2353)),"")</f>
        <v/>
      </c>
      <c r="AB2353" s="18" t="n"/>
    </row>
    <row r="2354">
      <c r="A2354" s="9" t="n">
        <v>808037</v>
      </c>
      <c r="B2354" s="9" t="inlineStr">
        <is>
          <t>Juan Hernandez</t>
        </is>
      </c>
      <c r="C2354" s="9" t="inlineStr">
        <is>
          <t>DET</t>
        </is>
      </c>
      <c r="D2354" s="9" t="n">
        <v>25</v>
      </c>
      <c r="E2354" s="16" t="inlineStr">
        <is>
          <t>L</t>
        </is>
      </c>
      <c r="F2354" s="16" t="n"/>
      <c r="G2354" s="9" t="n">
        <v>60.1025641025641</v>
      </c>
      <c r="H2354" s="9" t="n">
        <v>60.1025641025641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7" t="n"/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/>
      <c r="Y2354" s="13">
        <f>SUMPRODUCT(M2354:X2354,$M$2:$X$2)*$K2354*$L2354</f>
        <v/>
      </c>
      <c r="Z2354" s="14">
        <f>SUM(M2354:X2354)</f>
        <v/>
      </c>
      <c r="AA2354" s="14">
        <f>IFERROR(IF(UPPER($E2354)="L",SUMPRODUCT(M2354:X2354,$M$3:$X$3,$M$2:$X$2),SUMPRODUCT(M2354:X2354,$M$4:$X$4,$M$2:$X$2))/(Y2354/($K2354*$L2354)),"")</f>
        <v/>
      </c>
      <c r="AB2354" s="18" t="n"/>
    </row>
    <row r="2355">
      <c r="A2355" s="9" t="n">
        <v>808090</v>
      </c>
      <c r="B2355" s="9" t="inlineStr">
        <is>
          <t>José Mejía</t>
        </is>
      </c>
      <c r="C2355" s="9" t="inlineStr">
        <is>
          <t>ARI</t>
        </is>
      </c>
      <c r="D2355" s="9" t="n">
        <v>25</v>
      </c>
      <c r="E2355" s="16" t="inlineStr">
        <is>
          <t>R</t>
        </is>
      </c>
      <c r="F2355" s="16" t="n"/>
      <c r="G2355" s="9" t="n">
        <v>68.92307692307693</v>
      </c>
      <c r="H2355" s="9" t="n">
        <v>68.92307692307693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7" t="n"/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/>
      <c r="Y2355" s="13">
        <f>SUMPRODUCT(M2355:X2355,$M$2:$X$2)*$K2355*$L2355</f>
        <v/>
      </c>
      <c r="Z2355" s="14">
        <f>SUM(M2355:X2355)</f>
        <v/>
      </c>
      <c r="AA2355" s="14">
        <f>IFERROR(IF(UPPER($E2355)="L",SUMPRODUCT(M2355:X2355,$M$3:$X$3,$M$2:$X$2),SUMPRODUCT(M2355:X2355,$M$4:$X$4,$M$2:$X$2))/(Y2355/($K2355*$L2355)),"")</f>
        <v/>
      </c>
      <c r="AB2355" s="18" t="n"/>
    </row>
    <row r="2356">
      <c r="A2356" s="9" t="n">
        <v>814504</v>
      </c>
      <c r="B2356" s="9" t="inlineStr">
        <is>
          <t>Dylan Fien</t>
        </is>
      </c>
      <c r="C2356" s="9" t="inlineStr">
        <is>
          <t>OAK</t>
        </is>
      </c>
      <c r="D2356" s="9" t="n">
        <v>25</v>
      </c>
      <c r="E2356" s="16" t="inlineStr">
        <is>
          <t>S</t>
        </is>
      </c>
      <c r="F2356" s="16" t="n"/>
      <c r="G2356" s="9" t="n">
        <v>61.94871794871795</v>
      </c>
      <c r="H2356" s="9" t="n">
        <v>61.94871794871795</v>
      </c>
      <c r="I2356" s="9" t="inlineStr">
        <is>
          <t>Depth (no MLB PA)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7" t="n"/>
      <c r="N2356" s="17" t="n"/>
      <c r="O2356" s="17" t="n"/>
      <c r="P2356" s="17" t="n"/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3">
        <f>SUMPRODUCT(M2356:X2356,$M$2:$X$2)*$K2356*$L2356</f>
        <v/>
      </c>
      <c r="Z2356" s="14">
        <f>SUM(M2356:X2356)</f>
        <v/>
      </c>
      <c r="AA2356" s="14">
        <f>IFERROR(IF(UPPER($E2356)="L",SUMPRODUCT(M2356:X2356,$M$3:$X$3,$M$2:$X$2),SUMPRODUCT(M2356:X2356,$M$4:$X$4,$M$2:$X$2))/(Y2356/($K2356*$L2356)),"")</f>
        <v/>
      </c>
      <c r="AB2356" s="18" t="n"/>
    </row>
    <row r="2357">
      <c r="A2357" s="9" t="n">
        <v>691781</v>
      </c>
      <c r="B2357" s="9" t="inlineStr">
        <is>
          <t>Brady House</t>
        </is>
      </c>
      <c r="C2357" s="9" t="inlineStr">
        <is>
          <t>WSH</t>
        </is>
      </c>
      <c r="D2357" s="9" t="n">
        <v>24</v>
      </c>
      <c r="E2357" s="16" t="inlineStr">
        <is>
          <t>R</t>
        </is>
      </c>
      <c r="F2357" s="16" t="n"/>
      <c r="G2357" s="9" t="n">
        <v>355</v>
      </c>
      <c r="H2357" s="9" t="n">
        <v>629</v>
      </c>
      <c r="I2357" s="9" t="inlineStr">
        <is>
          <t>Utility OF / 4th OF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7" t="n"/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/>
      <c r="Y2357" s="13">
        <f>SUMPRODUCT(M2357:X2357,$M$2:$X$2)*$K2357*$L2357</f>
        <v/>
      </c>
      <c r="Z2357" s="14">
        <f>SUM(M2357:X2357)</f>
        <v/>
      </c>
      <c r="AA2357" s="14">
        <f>IFERROR(IF(UPPER($E2357)="L",SUMPRODUCT(M2357:X2357,$M$3:$X$3,$M$2:$X$2),SUMPRODUCT(M2357:X2357,$M$4:$X$4,$M$2:$X$2))/(Y2357/($K2357*$L2357)),"")</f>
        <v/>
      </c>
      <c r="AB2357" s="18" t="n"/>
    </row>
    <row r="2358">
      <c r="A2358" s="9" t="n">
        <v>811780</v>
      </c>
      <c r="B2358" s="9" t="inlineStr">
        <is>
          <t>Joel Dragoo</t>
        </is>
      </c>
      <c r="C2358" s="9" t="inlineStr">
        <is>
          <t>PHI</t>
        </is>
      </c>
      <c r="D2358" s="9" t="n">
        <v>25</v>
      </c>
      <c r="E2358" s="16" t="inlineStr">
        <is>
          <t>R</t>
        </is>
      </c>
      <c r="F2358" s="16" t="n"/>
      <c r="G2358" s="9" t="n">
        <v>54.56410256410257</v>
      </c>
      <c r="H2358" s="9" t="n">
        <v>54.56410256410257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7" t="n"/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/>
      <c r="Y2358" s="13">
        <f>SUMPRODUCT(M2358:X2358,$M$2:$X$2)*$K2358*$L2358</f>
        <v/>
      </c>
      <c r="Z2358" s="14">
        <f>SUM(M2358:X2358)</f>
        <v/>
      </c>
      <c r="AA2358" s="14">
        <f>IFERROR(IF(UPPER($E2358)="L",SUMPRODUCT(M2358:X2358,$M$3:$X$3,$M$2:$X$2),SUMPRODUCT(M2358:X2358,$M$4:$X$4,$M$2:$X$2))/(Y2358/($K2358*$L2358)),"")</f>
        <v/>
      </c>
      <c r="AB2358" s="18" t="n"/>
    </row>
    <row r="2359">
      <c r="A2359" s="9" t="n">
        <v>687093</v>
      </c>
      <c r="B2359" s="9" t="inlineStr">
        <is>
          <t>Vaughn Grissom</t>
        </is>
      </c>
      <c r="C2359" s="9" t="inlineStr">
        <is>
          <t>LAA</t>
        </is>
      </c>
      <c r="D2359" s="9" t="n">
        <v>26</v>
      </c>
      <c r="E2359" s="16" t="inlineStr">
        <is>
          <t>R</t>
        </is>
      </c>
      <c r="F2359" s="16" t="n"/>
      <c r="G2359" s="9" t="n">
        <v>474</v>
      </c>
      <c r="H2359" s="9" t="n">
        <v>824</v>
      </c>
      <c r="I2359" s="9" t="inlineStr">
        <is>
          <t>Full Time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7" t="n"/>
      <c r="N2359" s="17" t="n"/>
      <c r="O2359" s="17" t="n"/>
      <c r="P2359" s="17" t="n"/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3">
        <f>SUMPRODUCT(M2359:X2359,$M$2:$X$2)*$K2359*$L2359</f>
        <v/>
      </c>
      <c r="Z2359" s="14">
        <f>SUM(M2359:X2359)</f>
        <v/>
      </c>
      <c r="AA2359" s="14">
        <f>IFERROR(IF(UPPER($E2359)="L",SUMPRODUCT(M2359:X2359,$M$3:$X$3,$M$2:$X$2),SUMPRODUCT(M2359:X2359,$M$4:$X$4,$M$2:$X$2))/(Y2359/($K2359*$L2359)),"")</f>
        <v/>
      </c>
      <c r="AB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7" t="n"/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/>
      <c r="Y2360" s="13">
        <f>SUMPRODUCT(M2360:X2360,$M$2:$X$2)*$K2360*$L2360</f>
        <v/>
      </c>
      <c r="Z2360" s="14">
        <f>SUM(M2360:X2360)</f>
        <v/>
      </c>
      <c r="AA2360" s="14">
        <f>IFERROR(IF(UPPER($E2360)="L",SUMPRODUCT(M2360:X2360,$M$3:$X$3,$M$2:$X$2),SUMPRODUCT(M2360:X2360,$M$4:$X$4,$M$2:$X$2))/(Y2360/($K2360*$L2360)),"")</f>
        <v/>
      </c>
      <c r="AB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7" t="n"/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/>
      <c r="Y2361" s="13">
        <f>SUMPRODUCT(M2361:X2361,$M$2:$X$2)*$K2361*$L2361</f>
        <v/>
      </c>
      <c r="Z2361" s="14">
        <f>SUM(M2361:X2361)</f>
        <v/>
      </c>
      <c r="AA2361" s="14">
        <f>IFERROR(IF(UPPER($E2361)="L",SUMPRODUCT(M2361:X2361,$M$3:$X$3,$M$2:$X$2),SUMPRODUCT(M2361:X2361,$M$4:$X$4,$M$2:$X$2))/(Y2361/($K2361*$L2361)),"")</f>
        <v/>
      </c>
      <c r="AB2361" s="18" t="n"/>
    </row>
    <row r="2362">
      <c r="A2362" s="9" t="n">
        <v>701783</v>
      </c>
      <c r="B2362" s="9" t="inlineStr">
        <is>
          <t>Cole Messina</t>
        </is>
      </c>
      <c r="C2362" s="9" t="inlineStr">
        <is>
          <t>COL</t>
        </is>
      </c>
      <c r="D2362" s="9" t="n">
        <v>25</v>
      </c>
      <c r="E2362" s="16" t="inlineStr">
        <is>
          <t>R</t>
        </is>
      </c>
      <c r="F2362" s="16" t="n"/>
      <c r="G2362" s="9" t="n">
        <v>127.7948717948718</v>
      </c>
      <c r="H2362" s="9" t="n">
        <v>127.7948717948718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7" t="n"/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/>
      <c r="Y2362" s="13">
        <f>SUMPRODUCT(M2362:X2362,$M$2:$X$2)*$K2362*$L2362</f>
        <v/>
      </c>
      <c r="Z2362" s="14">
        <f>SUM(M2362:X2362)</f>
        <v/>
      </c>
      <c r="AA2362" s="14">
        <f>IFERROR(IF(UPPER($E2362)="L",SUMPRODUCT(M2362:X2362,$M$3:$X$3,$M$2:$X$2),SUMPRODUCT(M2362:X2362,$M$4:$X$4,$M$2:$X$2))/(Y2362/($K2362*$L2362)),"")</f>
        <v/>
      </c>
      <c r="AB2362" s="18" t="n"/>
    </row>
    <row r="2363">
      <c r="A2363" s="9" t="n">
        <v>694425</v>
      </c>
      <c r="B2363" s="9" t="inlineStr">
        <is>
          <t>Justice Bigbie</t>
        </is>
      </c>
      <c r="C2363" s="9" t="inlineStr">
        <is>
          <t>DET</t>
        </is>
      </c>
      <c r="D2363" s="9" t="n">
        <v>25</v>
      </c>
      <c r="E2363" s="16" t="inlineStr">
        <is>
          <t>R</t>
        </is>
      </c>
      <c r="F2363" s="16" t="n"/>
      <c r="G2363" s="9" t="n">
        <v>72.20512820512822</v>
      </c>
      <c r="H2363" s="9" t="n">
        <v>72.20512820512822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7" t="n"/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/>
      <c r="Y2363" s="13">
        <f>SUMPRODUCT(M2363:X2363,$M$2:$X$2)*$K2363*$L2363</f>
        <v/>
      </c>
      <c r="Z2363" s="14">
        <f>SUM(M2363:X2363)</f>
        <v/>
      </c>
      <c r="AA2363" s="14">
        <f>IFERROR(IF(UPPER($E2363)="L",SUMPRODUCT(M2363:X2363,$M$3:$X$3,$M$2:$X$2),SUMPRODUCT(M2363:X2363,$M$4:$X$4,$M$2:$X$2))/(Y2363/($K2363*$L2363)),"")</f>
        <v/>
      </c>
      <c r="AB2363" s="18" t="n"/>
    </row>
    <row r="2364">
      <c r="A2364" s="9" t="n">
        <v>695481</v>
      </c>
      <c r="B2364" s="9" t="inlineStr">
        <is>
          <t>Jay Allen II</t>
        </is>
      </c>
      <c r="C2364" s="9" t="inlineStr">
        <is>
          <t>CIN</t>
        </is>
      </c>
      <c r="D2364" s="9" t="n">
        <v>25</v>
      </c>
      <c r="E2364" s="16" t="inlineStr">
        <is>
          <t>R</t>
        </is>
      </c>
      <c r="F2364" s="16" t="n"/>
      <c r="G2364" s="9" t="n">
        <v>46.82051282051282</v>
      </c>
      <c r="H2364" s="9" t="n">
        <v>46.82051282051282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7" t="n"/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/>
      <c r="Y2364" s="13">
        <f>SUMPRODUCT(M2364:X2364,$M$2:$X$2)*$K2364*$L2364</f>
        <v/>
      </c>
      <c r="Z2364" s="14">
        <f>SUM(M2364:X2364)</f>
        <v/>
      </c>
      <c r="AA2364" s="14">
        <f>IFERROR(IF(UPPER($E2364)="L",SUMPRODUCT(M2364:X2364,$M$3:$X$3,$M$2:$X$2),SUMPRODUCT(M2364:X2364,$M$4:$X$4,$M$2:$X$2))/(Y2364/($K2364*$L2364)),"")</f>
        <v/>
      </c>
      <c r="AB2364" s="18" t="n"/>
    </row>
    <row r="2365">
      <c r="A2365" s="9" t="n">
        <v>641779</v>
      </c>
      <c r="B2365" s="9" t="inlineStr">
        <is>
          <t>Charles Leblanc</t>
        </is>
      </c>
      <c r="C2365" s="9" t="inlineStr">
        <is>
          <t>LAA</t>
        </is>
      </c>
      <c r="D2365" s="9" t="n">
        <v>31</v>
      </c>
      <c r="E2365" s="16" t="inlineStr">
        <is>
          <t>R</t>
        </is>
      </c>
      <c r="F2365" s="16" t="n"/>
      <c r="G2365" s="9" t="n">
        <v>28</v>
      </c>
      <c r="H2365" s="9" t="n">
        <v>197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7" t="n"/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/>
      <c r="Y2365" s="13">
        <f>SUMPRODUCT(M2365:X2365,$M$2:$X$2)*$K2365*$L2365</f>
        <v/>
      </c>
      <c r="Z2365" s="14">
        <f>SUM(M2365:X2365)</f>
        <v/>
      </c>
      <c r="AA2365" s="14">
        <f>IFERROR(IF(UPPER($E2365)="L",SUMPRODUCT(M2365:X2365,$M$3:$X$3,$M$2:$X$2),SUMPRODUCT(M2365:X2365,$M$4:$X$4,$M$2:$X$2))/(Y2365/($K2365*$L2365)),"")</f>
        <v/>
      </c>
      <c r="AB2365" s="18" t="n"/>
    </row>
    <row r="2366">
      <c r="A2366" s="9" t="n">
        <v>696264</v>
      </c>
      <c r="B2366" s="9" t="inlineStr">
        <is>
          <t>Tyler Whitaker</t>
        </is>
      </c>
      <c r="C2366" s="9" t="inlineStr">
        <is>
          <t>HOU</t>
        </is>
      </c>
      <c r="D2366" s="9" t="n">
        <v>25</v>
      </c>
      <c r="E2366" s="16" t="inlineStr">
        <is>
          <t>R</t>
        </is>
      </c>
      <c r="F2366" s="16" t="n"/>
      <c r="G2366" s="9" t="n">
        <v>147.5384615384615</v>
      </c>
      <c r="H2366" s="9" t="n">
        <v>147.5384615384615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7" t="n"/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/>
      <c r="Y2366" s="13">
        <f>SUMPRODUCT(M2366:X2366,$M$2:$X$2)*$K2366*$L2366</f>
        <v/>
      </c>
      <c r="Z2366" s="14">
        <f>SUM(M2366:X2366)</f>
        <v/>
      </c>
      <c r="AA2366" s="14">
        <f>IFERROR(IF(UPPER($E2366)="L",SUMPRODUCT(M2366:X2366,$M$3:$X$3,$M$2:$X$2),SUMPRODUCT(M2366:X2366,$M$4:$X$4,$M$2:$X$2))/(Y2366/($K2366*$L2366)),"")</f>
        <v/>
      </c>
      <c r="AB2366" s="18" t="n"/>
    </row>
    <row r="2367">
      <c r="A2367" s="9" t="n">
        <v>691728</v>
      </c>
      <c r="B2367" s="9" t="inlineStr">
        <is>
          <t>Zac Veen</t>
        </is>
      </c>
      <c r="C2367" s="9" t="inlineStr">
        <is>
          <t>COL</t>
        </is>
      </c>
      <c r="D2367" s="9" t="n">
        <v>25</v>
      </c>
      <c r="E2367" s="16" t="inlineStr">
        <is>
          <t>L</t>
        </is>
      </c>
      <c r="F2367" s="16" t="n"/>
      <c r="G2367" s="9" t="n">
        <v>79</v>
      </c>
      <c r="H2367" s="9" t="n">
        <v>116</v>
      </c>
      <c r="I2367" s="9" t="inlineStr">
        <is>
          <t>Bench Bat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7" t="n"/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/>
      <c r="Y2367" s="13">
        <f>SUMPRODUCT(M2367:X2367,$M$2:$X$2)*$K2367*$L2367</f>
        <v/>
      </c>
      <c r="Z2367" s="14">
        <f>SUM(M2367:X2367)</f>
        <v/>
      </c>
      <c r="AA2367" s="14">
        <f>IFERROR(IF(UPPER($E2367)="L",SUMPRODUCT(M2367:X2367,$M$3:$X$3,$M$2:$X$2),SUMPRODUCT(M2367:X2367,$M$4:$X$4,$M$2:$X$2))/(Y2367/($K2367*$L2367)),"")</f>
        <v/>
      </c>
      <c r="AB2367" s="18" t="n"/>
    </row>
    <row r="2368">
      <c r="A2368" s="9" t="n">
        <v>800419</v>
      </c>
      <c r="B2368" s="9" t="inlineStr">
        <is>
          <t>Jeral Perez</t>
        </is>
      </c>
      <c r="C2368" s="9" t="inlineStr">
        <is>
          <t>CWS</t>
        </is>
      </c>
      <c r="D2368" s="9" t="n">
        <v>25</v>
      </c>
      <c r="E2368" s="16" t="inlineStr">
        <is>
          <t>R</t>
        </is>
      </c>
      <c r="F2368" s="16" t="n"/>
      <c r="G2368" s="9" t="n">
        <v>87.94871794871796</v>
      </c>
      <c r="H2368" s="9" t="n">
        <v>87.94871794871796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7" t="n"/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/>
      <c r="Y2368" s="13">
        <f>SUMPRODUCT(M2368:X2368,$M$2:$X$2)*$K2368*$L2368</f>
        <v/>
      </c>
      <c r="Z2368" s="14">
        <f>SUM(M2368:X2368)</f>
        <v/>
      </c>
      <c r="AA2368" s="14">
        <f>IFERROR(IF(UPPER($E2368)="L",SUMPRODUCT(M2368:X2368,$M$3:$X$3,$M$2:$X$2),SUMPRODUCT(M2368:X2368,$M$4:$X$4,$M$2:$X$2))/(Y2368/($K2368*$L2368)),"")</f>
        <v/>
      </c>
      <c r="AB2368" s="18" t="n"/>
    </row>
    <row r="2369">
      <c r="A2369" s="9" t="n">
        <v>669256</v>
      </c>
      <c r="B2369" s="9" t="inlineStr">
        <is>
          <t>Nick Solak</t>
        </is>
      </c>
      <c r="C2369" s="9" t="inlineStr">
        <is>
          <t>TEX</t>
        </is>
      </c>
      <c r="D2369" s="9" t="n">
        <v>32</v>
      </c>
      <c r="E2369" s="16" t="inlineStr">
        <is>
          <t>R</t>
        </is>
      </c>
      <c r="F2369" s="16" t="n"/>
      <c r="G2369" s="9" t="n">
        <v>10</v>
      </c>
      <c r="H2369" s="9" t="n">
        <v>116</v>
      </c>
      <c r="I2369" s="9" t="inlineStr">
        <is>
          <t>Depth (no MLB PA)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7" t="n"/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/>
      <c r="W2369" s="17" t="n"/>
      <c r="X2369" s="17" t="n"/>
      <c r="Y2369" s="13">
        <f>SUMPRODUCT(M2369:X2369,$M$2:$X$2)*$K2369*$L2369</f>
        <v/>
      </c>
      <c r="Z2369" s="14">
        <f>SUM(M2369:X2369)</f>
        <v/>
      </c>
      <c r="AA2369" s="14">
        <f>IFERROR(IF(UPPER($E2369)="L",SUMPRODUCT(M2369:X2369,$M$3:$X$3,$M$2:$X$2),SUMPRODUCT(M2369:X2369,$M$4:$X$4,$M$2:$X$2))/(Y2369/($K2369*$L2369)),"")</f>
        <v/>
      </c>
      <c r="AB2369" s="18" t="n"/>
    </row>
    <row r="2370">
      <c r="A2370" s="9" t="n">
        <v>663662</v>
      </c>
      <c r="B2370" s="9" t="inlineStr">
        <is>
          <t>Daz Cameron</t>
        </is>
      </c>
      <c r="C2370" s="9" t="inlineStr">
        <is>
          <t>TOR</t>
        </is>
      </c>
      <c r="D2370" s="9" t="n">
        <v>30</v>
      </c>
      <c r="E2370" s="16" t="inlineStr">
        <is>
          <t>R</t>
        </is>
      </c>
      <c r="F2370" s="16" t="n"/>
      <c r="G2370" s="9" t="n">
        <v>25</v>
      </c>
      <c r="H2370" s="9" t="n">
        <v>323</v>
      </c>
      <c r="I2370" s="9" t="inlineStr">
        <is>
          <t>Bench Bat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7" t="n"/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/>
      <c r="Y2370" s="13">
        <f>SUMPRODUCT(M2370:X2370,$M$2:$X$2)*$K2370*$L2370</f>
        <v/>
      </c>
      <c r="Z2370" s="14">
        <f>SUM(M2370:X2370)</f>
        <v/>
      </c>
      <c r="AA2370" s="14">
        <f>IFERROR(IF(UPPER($E2370)="L",SUMPRODUCT(M2370:X2370,$M$3:$X$3,$M$2:$X$2),SUMPRODUCT(M2370:X2370,$M$4:$X$4,$M$2:$X$2))/(Y2370/($K2370*$L2370)),"")</f>
        <v/>
      </c>
      <c r="AB2370" s="18" t="n"/>
    </row>
    <row r="2371">
      <c r="A2371" s="9" t="n">
        <v>814442</v>
      </c>
      <c r="B2371" s="9" t="inlineStr">
        <is>
          <t>Ivan Brethowr</t>
        </is>
      </c>
      <c r="C2371" s="9" t="inlineStr">
        <is>
          <t>PIT</t>
        </is>
      </c>
      <c r="D2371" s="9" t="n">
        <v>25</v>
      </c>
      <c r="E2371" s="16" t="inlineStr">
        <is>
          <t>R</t>
        </is>
      </c>
      <c r="F2371" s="16" t="n"/>
      <c r="G2371" s="9" t="n">
        <v>76.1025641025641</v>
      </c>
      <c r="H2371" s="9" t="n">
        <v>76.1025641025641</v>
      </c>
      <c r="I2371" s="9" t="inlineStr">
        <is>
          <t>Depth (no MLB PA)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7" t="n"/>
      <c r="N2371" s="17" t="n"/>
      <c r="O2371" s="17" t="n"/>
      <c r="P2371" s="17" t="n"/>
      <c r="Q2371" s="17" t="n"/>
      <c r="R2371" s="17" t="n"/>
      <c r="S2371" s="17" t="n"/>
      <c r="T2371" s="17" t="n"/>
      <c r="U2371" s="17" t="n"/>
      <c r="V2371" s="17" t="n"/>
      <c r="W2371" s="17" t="n"/>
      <c r="X2371" s="17" t="n"/>
      <c r="Y2371" s="13">
        <f>SUMPRODUCT(M2371:X2371,$M$2:$X$2)*$K2371*$L2371</f>
        <v/>
      </c>
      <c r="Z2371" s="14">
        <f>SUM(M2371:X2371)</f>
        <v/>
      </c>
      <c r="AA2371" s="14">
        <f>IFERROR(IF(UPPER($E2371)="L",SUMPRODUCT(M2371:X2371,$M$3:$X$3,$M$2:$X$2),SUMPRODUCT(M2371:X2371,$M$4:$X$4,$M$2:$X$2))/(Y2371/($K2371*$L2371)),"")</f>
        <v/>
      </c>
      <c r="AB2371" s="18" t="n"/>
    </row>
    <row r="2372">
      <c r="A2372" s="9" t="n">
        <v>800393</v>
      </c>
      <c r="B2372" s="9" t="inlineStr">
        <is>
          <t>Yeremy Cabrera</t>
        </is>
      </c>
      <c r="C2372" s="9" t="inlineStr">
        <is>
          <t>WSH</t>
        </is>
      </c>
      <c r="D2372" s="9" t="n">
        <v>25</v>
      </c>
      <c r="E2372" s="16" t="inlineStr">
        <is>
          <t>L</t>
        </is>
      </c>
      <c r="F2372" s="16" t="n"/>
      <c r="G2372" s="9" t="n">
        <v>73.02564102564104</v>
      </c>
      <c r="H2372" s="9" t="n">
        <v>73.02564102564104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7" t="n"/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/>
      <c r="Y2372" s="13">
        <f>SUMPRODUCT(M2372:X2372,$M$2:$X$2)*$K2372*$L2372</f>
        <v/>
      </c>
      <c r="Z2372" s="14">
        <f>SUM(M2372:X2372)</f>
        <v/>
      </c>
      <c r="AA2372" s="14">
        <f>IFERROR(IF(UPPER($E2372)="L",SUMPRODUCT(M2372:X2372,$M$3:$X$3,$M$2:$X$2),SUMPRODUCT(M2372:X2372,$M$4:$X$4,$M$2:$X$2))/(Y2372/($K2372*$L2372)),"")</f>
        <v/>
      </c>
      <c r="AB2372" s="18" t="n"/>
    </row>
    <row r="2373">
      <c r="A2373" s="9" t="n">
        <v>640459</v>
      </c>
      <c r="B2373" s="9" t="inlineStr">
        <is>
          <t>Brian Navarreto</t>
        </is>
      </c>
      <c r="C2373" s="9" t="inlineStr">
        <is>
          <t>MIA</t>
        </is>
      </c>
      <c r="D2373" s="9" t="n">
        <v>32</v>
      </c>
      <c r="E2373" s="16" t="inlineStr">
        <is>
          <t>R</t>
        </is>
      </c>
      <c r="F2373" s="16" t="n"/>
      <c r="G2373" s="9" t="n">
        <v>61</v>
      </c>
      <c r="H2373" s="9" t="n">
        <v>76</v>
      </c>
      <c r="I2373" s="9" t="inlineStr">
        <is>
          <t>Bench Bat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7" t="n"/>
      <c r="N2373" s="17" t="n"/>
      <c r="O2373" s="17" t="n"/>
      <c r="P2373" s="17" t="n"/>
      <c r="Q2373" s="17" t="n"/>
      <c r="R2373" s="17" t="n"/>
      <c r="S2373" s="17" t="n"/>
      <c r="T2373" s="17" t="n"/>
      <c r="U2373" s="17" t="n"/>
      <c r="V2373" s="17" t="n"/>
      <c r="W2373" s="17" t="n"/>
      <c r="X2373" s="17" t="n"/>
      <c r="Y2373" s="13">
        <f>SUMPRODUCT(M2373:X2373,$M$2:$X$2)*$K2373*$L2373</f>
        <v/>
      </c>
      <c r="Z2373" s="14">
        <f>SUM(M2373:X2373)</f>
        <v/>
      </c>
      <c r="AA2373" s="14">
        <f>IFERROR(IF(UPPER($E2373)="L",SUMPRODUCT(M2373:X2373,$M$3:$X$3,$M$2:$X$2),SUMPRODUCT(M2373:X2373,$M$4:$X$4,$M$2:$X$2))/(Y2373/($K2373*$L2373)),"")</f>
        <v/>
      </c>
      <c r="AB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7" t="n"/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/>
      <c r="Y2374" s="13">
        <f>SUMPRODUCT(M2374:X2374,$M$2:$X$2)*$K2374*$L2374</f>
        <v/>
      </c>
      <c r="Z2374" s="14">
        <f>SUM(M2374:X2374)</f>
        <v/>
      </c>
      <c r="AA2374" s="14">
        <f>IFERROR(IF(UPPER($E2374)="L",SUMPRODUCT(M2374:X2374,$M$3:$X$3,$M$2:$X$2),SUMPRODUCT(M2374:X2374,$M$4:$X$4,$M$2:$X$2))/(Y2374/($K2374*$L2374)),"")</f>
        <v/>
      </c>
      <c r="AB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7" t="n"/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/>
      <c r="Y2375" s="13">
        <f>SUMPRODUCT(M2375:X2375,$M$2:$X$2)*$K2375*$L2375</f>
        <v/>
      </c>
      <c r="Z2375" s="14">
        <f>SUM(M2375:X2375)</f>
        <v/>
      </c>
      <c r="AA2375" s="14">
        <f>IFERROR(IF(UPPER($E2375)="L",SUMPRODUCT(M2375:X2375,$M$3:$X$3,$M$2:$X$2),SUMPRODUCT(M2375:X2375,$M$4:$X$4,$M$2:$X$2))/(Y2375/($K2375*$L2375)),"")</f>
        <v/>
      </c>
      <c r="AB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7" t="n"/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/>
      <c r="Y2376" s="13">
        <f>SUMPRODUCT(M2376:X2376,$M$2:$X$2)*$K2376*$L2376</f>
        <v/>
      </c>
      <c r="Z2376" s="14">
        <f>SUM(M2376:X2376)</f>
        <v/>
      </c>
      <c r="AA2376" s="14">
        <f>IFERROR(IF(UPPER($E2376)="L",SUMPRODUCT(M2376:X2376,$M$3:$X$3,$M$2:$X$2),SUMPRODUCT(M2376:X2376,$M$4:$X$4,$M$2:$X$2))/(Y2376/($K2376*$L2376)),"")</f>
        <v/>
      </c>
      <c r="AB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7" t="n"/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/>
      <c r="Y2377" s="13">
        <f>SUMPRODUCT(M2377:X2377,$M$2:$X$2)*$K2377*$L2377</f>
        <v/>
      </c>
      <c r="Z2377" s="14">
        <f>SUM(M2377:X2377)</f>
        <v/>
      </c>
      <c r="AA2377" s="14">
        <f>IFERROR(IF(UPPER($E2377)="L",SUMPRODUCT(M2377:X2377,$M$3:$X$3,$M$2:$X$2),SUMPRODUCT(M2377:X2377,$M$4:$X$4,$M$2:$X$2))/(Y2377/($K2377*$L2377)),"")</f>
        <v/>
      </c>
      <c r="AB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7" t="n"/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/>
      <c r="Y2378" s="13">
        <f>SUMPRODUCT(M2378:X2378,$M$2:$X$2)*$K2378*$L2378</f>
        <v/>
      </c>
      <c r="Z2378" s="14">
        <f>SUM(M2378:X2378)</f>
        <v/>
      </c>
      <c r="AA2378" s="14">
        <f>IFERROR(IF(UPPER($E2378)="L",SUMPRODUCT(M2378:X2378,$M$3:$X$3,$M$2:$X$2),SUMPRODUCT(M2378:X2378,$M$4:$X$4,$M$2:$X$2))/(Y2378/($K2378*$L2378)),"")</f>
        <v/>
      </c>
      <c r="AB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7" t="n"/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/>
      <c r="Y2379" s="13">
        <f>SUMPRODUCT(M2379:X2379,$M$2:$X$2)*$K2379*$L2379</f>
        <v/>
      </c>
      <c r="Z2379" s="14">
        <f>SUM(M2379:X2379)</f>
        <v/>
      </c>
      <c r="AA2379" s="14">
        <f>IFERROR(IF(UPPER($E2379)="L",SUMPRODUCT(M2379:X2379,$M$3:$X$3,$M$2:$X$2),SUMPRODUCT(M2379:X2379,$M$4:$X$4,$M$2:$X$2))/(Y2379/($K2379*$L2379)),"")</f>
        <v/>
      </c>
      <c r="AB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n"/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7" t="n"/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/>
      <c r="Y2380" s="13">
        <f>SUMPRODUCT(M2380:X2380,$M$2:$X$2)*$K2380*$L2380</f>
        <v/>
      </c>
      <c r="Z2380" s="14">
        <f>SUM(M2380:X2380)</f>
        <v/>
      </c>
      <c r="AA2380" s="14">
        <f>IFERROR(IF(UPPER($E2380)="L",SUMPRODUCT(M2380:X2380,$M$3:$X$3,$M$2:$X$2),SUMPRODUCT(M2380:X2380,$M$4:$X$4,$M$2:$X$2))/(Y2380/($K2380*$L2380)),"")</f>
        <v/>
      </c>
      <c r="AB2380" s="18" t="n"/>
    </row>
    <row r="2381">
      <c r="A2381" s="9" t="n">
        <v>687597</v>
      </c>
      <c r="B2381" s="9" t="inlineStr">
        <is>
          <t>Jordan Beck</t>
        </is>
      </c>
      <c r="C2381" s="9" t="inlineStr">
        <is>
          <t>COL</t>
        </is>
      </c>
      <c r="D2381" s="9" t="n">
        <v>26</v>
      </c>
      <c r="E2381" s="16" t="inlineStr">
        <is>
          <t>R</t>
        </is>
      </c>
      <c r="F2381" s="16" t="n"/>
      <c r="G2381" s="9" t="n">
        <v>180</v>
      </c>
      <c r="H2381" s="9" t="n">
        <v>952</v>
      </c>
      <c r="I2381" s="9" t="inlineStr">
        <is>
          <t>Full Time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7" t="n"/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/>
      <c r="Y2381" s="13">
        <f>SUMPRODUCT(M2381:X2381,$M$2:$X$2)*$K2381*$L2381</f>
        <v/>
      </c>
      <c r="Z2381" s="14">
        <f>SUM(M2381:X2381)</f>
        <v/>
      </c>
      <c r="AA2381" s="14">
        <f>IFERROR(IF(UPPER($E2381)="L",SUMPRODUCT(M2381:X2381,$M$3:$X$3,$M$2:$X$2),SUMPRODUCT(M2381:X2381,$M$4:$X$4,$M$2:$X$2))/(Y2381/($K2381*$L2381)),"")</f>
        <v/>
      </c>
      <c r="AB2381" s="18" t="n"/>
    </row>
    <row r="2382">
      <c r="A2382" s="9" t="n">
        <v>800332</v>
      </c>
      <c r="B2382" s="9" t="inlineStr">
        <is>
          <t>Victor Rodrigues</t>
        </is>
      </c>
      <c r="C2382" s="9" t="inlineStr">
        <is>
          <t>LAD</t>
        </is>
      </c>
      <c r="D2382" s="9" t="n">
        <v>25</v>
      </c>
      <c r="E2382" s="16" t="inlineStr">
        <is>
          <t>R</t>
        </is>
      </c>
      <c r="F2382" s="16" t="n"/>
      <c r="G2382" s="9" t="n">
        <v>61.74358974358975</v>
      </c>
      <c r="H2382" s="9" t="n">
        <v>61.74358974358975</v>
      </c>
      <c r="I2382" s="9" t="inlineStr">
        <is>
          <t>Depth (no MLB PA)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7" t="n"/>
      <c r="N2382" s="17" t="n"/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3">
        <f>SUMPRODUCT(M2382:X2382,$M$2:$X$2)*$K2382*$L2382</f>
        <v/>
      </c>
      <c r="Z2382" s="14">
        <f>SUM(M2382:X2382)</f>
        <v/>
      </c>
      <c r="AA2382" s="14">
        <f>IFERROR(IF(UPPER($E2382)="L",SUMPRODUCT(M2382:X2382,$M$3:$X$3,$M$2:$X$2),SUMPRODUCT(M2382:X2382,$M$4:$X$4,$M$2:$X$2))/(Y2382/($K2382*$L2382)),"")</f>
        <v/>
      </c>
      <c r="AB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7" t="n"/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/>
      <c r="Y2383" s="13">
        <f>SUMPRODUCT(M2383:X2383,$M$2:$X$2)*$K2383*$L2383</f>
        <v/>
      </c>
      <c r="Z2383" s="14">
        <f>SUM(M2383:X2383)</f>
        <v/>
      </c>
      <c r="AA2383" s="14">
        <f>IFERROR(IF(UPPER($E2383)="L",SUMPRODUCT(M2383:X2383,$M$3:$X$3,$M$2:$X$2),SUMPRODUCT(M2383:X2383,$M$4:$X$4,$M$2:$X$2))/(Y2383/($K2383*$L2383)),"")</f>
        <v/>
      </c>
      <c r="AB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7" t="n"/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/>
      <c r="Y2384" s="13">
        <f>SUMPRODUCT(M2384:X2384,$M$2:$X$2)*$K2384*$L2384</f>
        <v/>
      </c>
      <c r="Z2384" s="14">
        <f>SUM(M2384:X2384)</f>
        <v/>
      </c>
      <c r="AA2384" s="14">
        <f>IFERROR(IF(UPPER($E2384)="L",SUMPRODUCT(M2384:X2384,$M$3:$X$3,$M$2:$X$2),SUMPRODUCT(M2384:X2384,$M$4:$X$4,$M$2:$X$2))/(Y2384/($K2384*$L2384)),"")</f>
        <v/>
      </c>
      <c r="AB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7" t="n"/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/>
      <c r="Y2385" s="13">
        <f>SUMPRODUCT(M2385:X2385,$M$2:$X$2)*$K2385*$L2385</f>
        <v/>
      </c>
      <c r="Z2385" s="14">
        <f>SUM(M2385:X2385)</f>
        <v/>
      </c>
      <c r="AA2385" s="14">
        <f>IFERROR(IF(UPPER($E2385)="L",SUMPRODUCT(M2385:X2385,$M$3:$X$3,$M$2:$X$2),SUMPRODUCT(M2385:X2385,$M$4:$X$4,$M$2:$X$2))/(Y2385/($K2385*$L2385)),"")</f>
        <v/>
      </c>
      <c r="AB2385" s="18" t="n"/>
    </row>
    <row r="2386">
      <c r="A2386" s="9" t="n">
        <v>679788</v>
      </c>
      <c r="B2386" s="9" t="inlineStr">
        <is>
          <t>Jack Rogers</t>
        </is>
      </c>
      <c r="C2386" s="9" t="inlineStr">
        <is>
          <t>WSH</t>
        </is>
      </c>
      <c r="D2386" s="9" t="n">
        <v>25</v>
      </c>
      <c r="E2386" s="16" t="inlineStr">
        <is>
          <t>L</t>
        </is>
      </c>
      <c r="F2386" s="16" t="n"/>
      <c r="G2386" s="9" t="n">
        <v>47.74358974358974</v>
      </c>
      <c r="H2386" s="9" t="n">
        <v>47.74358974358974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7" t="n"/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/>
      <c r="Y2386" s="13">
        <f>SUMPRODUCT(M2386:X2386,$M$2:$X$2)*$K2386*$L2386</f>
        <v/>
      </c>
      <c r="Z2386" s="14">
        <f>SUM(M2386:X2386)</f>
        <v/>
      </c>
      <c r="AA2386" s="14">
        <f>IFERROR(IF(UPPER($E2386)="L",SUMPRODUCT(M2386:X2386,$M$3:$X$3,$M$2:$X$2),SUMPRODUCT(M2386:X2386,$M$4:$X$4,$M$2:$X$2))/(Y2386/($K2386*$L2386)),"")</f>
        <v/>
      </c>
      <c r="AB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n"/>
      <c r="G2387" s="9" t="n">
        <v>331</v>
      </c>
      <c r="H2387" s="9" t="n">
        <v>2019</v>
      </c>
      <c r="I2387" s="9" t="inlineStr">
        <is>
          <t>Utility OF / 4th OF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7" t="n"/>
      <c r="N2387" s="17" t="n"/>
      <c r="O2387" s="17" t="n"/>
      <c r="P2387" s="17" t="n"/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3">
        <f>SUMPRODUCT(M2387:X2387,$M$2:$X$2)*$K2387*$L2387</f>
        <v/>
      </c>
      <c r="Z2387" s="14">
        <f>SUM(M2387:X2387)</f>
        <v/>
      </c>
      <c r="AA2387" s="14">
        <f>IFERROR(IF(UPPER($E2387)="L",SUMPRODUCT(M2387:X2387,$M$3:$X$3,$M$2:$X$2),SUMPRODUCT(M2387:X2387,$M$4:$X$4,$M$2:$X$2))/(Y2387/($K2387*$L2387)),"")</f>
        <v/>
      </c>
      <c r="AB2387" s="18" t="n"/>
    </row>
    <row r="2388">
      <c r="A2388" s="9" t="n">
        <v>814299</v>
      </c>
      <c r="B2388" s="9" t="inlineStr">
        <is>
          <t>Pascanel Ferreras</t>
        </is>
      </c>
      <c r="C2388" s="9" t="inlineStr">
        <is>
          <t>HOU</t>
        </is>
      </c>
      <c r="D2388" s="9" t="n">
        <v>25</v>
      </c>
      <c r="E2388" s="16" t="inlineStr">
        <is>
          <t>R</t>
        </is>
      </c>
      <c r="F2388" s="16" t="n"/>
      <c r="G2388" s="9" t="n">
        <v>164.7179487179487</v>
      </c>
      <c r="H2388" s="9" t="n">
        <v>164.7179487179487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7" t="n"/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/>
      <c r="Y2388" s="13">
        <f>SUMPRODUCT(M2388:X2388,$M$2:$X$2)*$K2388*$L2388</f>
        <v/>
      </c>
      <c r="Z2388" s="14">
        <f>SUM(M2388:X2388)</f>
        <v/>
      </c>
      <c r="AA2388" s="14">
        <f>IFERROR(IF(UPPER($E2388)="L",SUMPRODUCT(M2388:X2388,$M$3:$X$3,$M$2:$X$2),SUMPRODUCT(M2388:X2388,$M$4:$X$4,$M$2:$X$2))/(Y2388/($K2388*$L2388)),"")</f>
        <v/>
      </c>
      <c r="AB2388" s="18" t="n"/>
    </row>
    <row r="2389">
      <c r="A2389" s="9" t="n">
        <v>687071</v>
      </c>
      <c r="B2389" s="9" t="inlineStr">
        <is>
          <t>Shane Sasaki</t>
        </is>
      </c>
      <c r="C2389" s="9" t="inlineStr">
        <is>
          <t>CIN</t>
        </is>
      </c>
      <c r="D2389" s="9" t="n">
        <v>25</v>
      </c>
      <c r="E2389" s="16" t="inlineStr">
        <is>
          <t>R</t>
        </is>
      </c>
      <c r="F2389" s="16" t="n"/>
      <c r="G2389" s="9" t="n">
        <v>69.64102564102564</v>
      </c>
      <c r="H2389" s="9" t="n">
        <v>69.64102564102564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7" t="n"/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/>
      <c r="Y2389" s="13">
        <f>SUMPRODUCT(M2389:X2389,$M$2:$X$2)*$K2389*$L2389</f>
        <v/>
      </c>
      <c r="Z2389" s="14">
        <f>SUM(M2389:X2389)</f>
        <v/>
      </c>
      <c r="AA2389" s="14">
        <f>IFERROR(IF(UPPER($E2389)="L",SUMPRODUCT(M2389:X2389,$M$3:$X$3,$M$2:$X$2),SUMPRODUCT(M2389:X2389,$M$4:$X$4,$M$2:$X$2))/(Y2389/($K2389*$L2389)),"")</f>
        <v/>
      </c>
      <c r="AB2389" s="18" t="n"/>
    </row>
    <row r="2390">
      <c r="A2390" s="9" t="n">
        <v>692222</v>
      </c>
      <c r="B2390" s="9" t="inlineStr">
        <is>
          <t>Jose Izarra</t>
        </is>
      </c>
      <c r="C2390" s="9" t="inlineStr">
        <is>
          <t>LAD</t>
        </is>
      </c>
      <c r="D2390" s="9" t="n">
        <v>25</v>
      </c>
      <c r="E2390" s="16" t="inlineStr">
        <is>
          <t>R</t>
        </is>
      </c>
      <c r="F2390" s="16" t="n"/>
      <c r="G2390" s="9" t="n">
        <v>62.46153846153845</v>
      </c>
      <c r="H2390" s="9" t="n">
        <v>62.46153846153845</v>
      </c>
      <c r="I2390" s="9" t="inlineStr">
        <is>
          <t>Depth (no MLB PA)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7" t="n"/>
      <c r="N2390" s="17" t="n"/>
      <c r="O2390" s="17" t="n"/>
      <c r="P2390" s="17" t="n"/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3">
        <f>SUMPRODUCT(M2390:X2390,$M$2:$X$2)*$K2390*$L2390</f>
        <v/>
      </c>
      <c r="Z2390" s="14">
        <f>SUM(M2390:X2390)</f>
        <v/>
      </c>
      <c r="AA2390" s="14">
        <f>IFERROR(IF(UPPER($E2390)="L",SUMPRODUCT(M2390:X2390,$M$3:$X$3,$M$2:$X$2),SUMPRODUCT(M2390:X2390,$M$4:$X$4,$M$2:$X$2))/(Y2390/($K2390*$L2390)),"")</f>
        <v/>
      </c>
      <c r="AB2390" s="18" t="n"/>
    </row>
    <row r="2391">
      <c r="A2391" s="9" t="n">
        <v>669701</v>
      </c>
      <c r="B2391" s="9" t="inlineStr">
        <is>
          <t>Josh Smith</t>
        </is>
      </c>
      <c r="C2391" s="9" t="inlineStr">
        <is>
          <t>TOR</t>
        </is>
      </c>
      <c r="D2391" s="9" t="n">
        <v>29</v>
      </c>
      <c r="E2391" s="16" t="inlineStr">
        <is>
          <t>L</t>
        </is>
      </c>
      <c r="F2391" s="16" t="n"/>
      <c r="G2391" s="9" t="n">
        <v>243</v>
      </c>
      <c r="H2391" s="9" t="n">
        <v>1883</v>
      </c>
      <c r="I2391" s="9" t="inlineStr">
        <is>
          <t>Full Time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7" t="n"/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/>
      <c r="Y2391" s="13">
        <f>SUMPRODUCT(M2391:X2391,$M$2:$X$2)*$K2391*$L2391</f>
        <v/>
      </c>
      <c r="Z2391" s="14">
        <f>SUM(M2391:X2391)</f>
        <v/>
      </c>
      <c r="AA2391" s="14">
        <f>IFERROR(IF(UPPER($E2391)="L",SUMPRODUCT(M2391:X2391,$M$3:$X$3,$M$2:$X$2),SUMPRODUCT(M2391:X2391,$M$4:$X$4,$M$2:$X$2))/(Y2391/($K2391*$L2391)),"")</f>
        <v/>
      </c>
      <c r="AB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n"/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7" t="n"/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/>
      <c r="Y2392" s="13">
        <f>SUMPRODUCT(M2392:X2392,$M$2:$X$2)*$K2392*$L2392</f>
        <v/>
      </c>
      <c r="Z2392" s="14">
        <f>SUM(M2392:X2392)</f>
        <v/>
      </c>
      <c r="AA2392" s="14">
        <f>IFERROR(IF(UPPER($E2392)="L",SUMPRODUCT(M2392:X2392,$M$3:$X$3,$M$2:$X$2),SUMPRODUCT(M2392:X2392,$M$4:$X$4,$M$2:$X$2))/(Y2392/($K2392*$L2392)),"")</f>
        <v/>
      </c>
      <c r="AB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7" t="n"/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/>
      <c r="Y2393" s="13">
        <f>SUMPRODUCT(M2393:X2393,$M$2:$X$2)*$K2393*$L2393</f>
        <v/>
      </c>
      <c r="Z2393" s="14">
        <f>SUM(M2393:X2393)</f>
        <v/>
      </c>
      <c r="AA2393" s="14">
        <f>IFERROR(IF(UPPER($E2393)="L",SUMPRODUCT(M2393:X2393,$M$3:$X$3,$M$2:$X$2),SUMPRODUCT(M2393:X2393,$M$4:$X$4,$M$2:$X$2))/(Y2393/($K2393*$L2393)),"")</f>
        <v/>
      </c>
      <c r="AB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7" t="n"/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/>
      <c r="Y2394" s="13">
        <f>SUMPRODUCT(M2394:X2394,$M$2:$X$2)*$K2394*$L2394</f>
        <v/>
      </c>
      <c r="Z2394" s="14">
        <f>SUM(M2394:X2394)</f>
        <v/>
      </c>
      <c r="AA2394" s="14">
        <f>IFERROR(IF(UPPER($E2394)="L",SUMPRODUCT(M2394:X2394,$M$3:$X$3,$M$2:$X$2),SUMPRODUCT(M2394:X2394,$M$4:$X$4,$M$2:$X$2))/(Y2394/($K2394*$L2394)),"")</f>
        <v/>
      </c>
      <c r="AB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7" t="n"/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/>
      <c r="Y2395" s="13">
        <f>SUMPRODUCT(M2395:X2395,$M$2:$X$2)*$K2395*$L2395</f>
        <v/>
      </c>
      <c r="Z2395" s="14">
        <f>SUM(M2395:X2395)</f>
        <v/>
      </c>
      <c r="AA2395" s="14">
        <f>IFERROR(IF(UPPER($E2395)="L",SUMPRODUCT(M2395:X2395,$M$3:$X$3,$M$2:$X$2),SUMPRODUCT(M2395:X2395,$M$4:$X$4,$M$2:$X$2))/(Y2395/($K2395*$L2395)),"")</f>
        <v/>
      </c>
      <c r="AB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n"/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7" t="n"/>
      <c r="N2396" s="17" t="n"/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3">
        <f>SUMPRODUCT(M2396:X2396,$M$2:$X$2)*$K2396*$L2396</f>
        <v/>
      </c>
      <c r="Z2396" s="14">
        <f>SUM(M2396:X2396)</f>
        <v/>
      </c>
      <c r="AA2396" s="14">
        <f>IFERROR(IF(UPPER($E2396)="L",SUMPRODUCT(M2396:X2396,$M$3:$X$3,$M$2:$X$2),SUMPRODUCT(M2396:X2396,$M$4:$X$4,$M$2:$X$2))/(Y2396/($K2396*$L2396)),"")</f>
        <v/>
      </c>
      <c r="AB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7" t="n"/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/>
      <c r="Y2397" s="13">
        <f>SUMPRODUCT(M2397:X2397,$M$2:$X$2)*$K2397*$L2397</f>
        <v/>
      </c>
      <c r="Z2397" s="14">
        <f>SUM(M2397:X2397)</f>
        <v/>
      </c>
      <c r="AA2397" s="14">
        <f>IFERROR(IF(UPPER($E2397)="L",SUMPRODUCT(M2397:X2397,$M$3:$X$3,$M$2:$X$2),SUMPRODUCT(M2397:X2397,$M$4:$X$4,$M$2:$X$2))/(Y2397/($K2397*$L2397)),"")</f>
        <v/>
      </c>
      <c r="AB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7" t="n"/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/>
      <c r="Y2398" s="13">
        <f>SUMPRODUCT(M2398:X2398,$M$2:$X$2)*$K2398*$L2398</f>
        <v/>
      </c>
      <c r="Z2398" s="14">
        <f>SUM(M2398:X2398)</f>
        <v/>
      </c>
      <c r="AA2398" s="14">
        <f>IFERROR(IF(UPPER($E2398)="L",SUMPRODUCT(M2398:X2398,$M$3:$X$3,$M$2:$X$2),SUMPRODUCT(M2398:X2398,$M$4:$X$4,$M$2:$X$2))/(Y2398/($K2398*$L2398)),"")</f>
        <v/>
      </c>
      <c r="AB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25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Depth (no MLB PA)</t>
        </is>
      </c>
      <c r="J2399" s="16" t="inlineStr">
        <is>
          <t>Opening Day</t>
        </is>
      </c>
      <c r="K2399" s="11">
        <f>IFERROR(INDEX(Roles!$B$17:$B$20,MATCH(J2399,Roles!$A$17:$A$20,0)),1)</f>
        <v/>
      </c>
      <c r="L2399" s="17" t="n">
        <v>1</v>
      </c>
      <c r="M2399" s="17" t="n"/>
      <c r="N2399" s="17" t="n"/>
      <c r="O2399" s="17" t="n"/>
      <c r="P2399" s="17" t="n"/>
      <c r="Q2399" s="17" t="n"/>
      <c r="R2399" s="17" t="n"/>
      <c r="S2399" s="17" t="n"/>
      <c r="T2399" s="17" t="n"/>
      <c r="U2399" s="17" t="n"/>
      <c r="V2399" s="17" t="n"/>
      <c r="W2399" s="17" t="n"/>
      <c r="X2399" s="17" t="n"/>
      <c r="Y2399" s="13">
        <f>SUMPRODUCT(M2399:X2399,$M$2:$X$2)*$K2399*$L2399</f>
        <v/>
      </c>
      <c r="Z2399" s="14">
        <f>SUM(M2399:X2399)</f>
        <v/>
      </c>
      <c r="AA2399" s="14">
        <f>IFERROR(IF(UPPER($E2399)="L",SUMPRODUCT(M2399:X2399,$M$3:$X$3,$M$2:$X$2),SUMPRODUCT(M2399:X2399,$M$4:$X$4,$M$2:$X$2))/(Y2399/($K2399*$L2399)),"")</f>
        <v/>
      </c>
      <c r="AB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7" t="n"/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/>
      <c r="Y2400" s="13">
        <f>SUMPRODUCT(M2400:X2400,$M$2:$X$2)*$K2400*$L2400</f>
        <v/>
      </c>
      <c r="Z2400" s="14">
        <f>SUM(M2400:X2400)</f>
        <v/>
      </c>
      <c r="AA2400" s="14">
        <f>IFERROR(IF(UPPER($E2400)="L",SUMPRODUCT(M2400:X2400,$M$3:$X$3,$M$2:$X$2),SUMPRODUCT(M2400:X2400,$M$4:$X$4,$M$2:$X$2))/(Y2400/($K2400*$L2400)),"")</f>
        <v/>
      </c>
      <c r="AB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7" t="n"/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/>
      <c r="Y2401" s="13">
        <f>SUMPRODUCT(M2401:X2401,$M$2:$X$2)*$K2401*$L2401</f>
        <v/>
      </c>
      <c r="Z2401" s="14">
        <f>SUM(M2401:X2401)</f>
        <v/>
      </c>
      <c r="AA2401" s="14">
        <f>IFERROR(IF(UPPER($E2401)="L",SUMPRODUCT(M2401:X2401,$M$3:$X$3,$M$2:$X$2),SUMPRODUCT(M2401:X2401,$M$4:$X$4,$M$2:$X$2))/(Y2401/($K2401*$L2401)),"")</f>
        <v/>
      </c>
      <c r="AB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n"/>
      <c r="G2402" s="9" t="n">
        <v>52</v>
      </c>
      <c r="H2402" s="9" t="n">
        <v>640</v>
      </c>
      <c r="I2402" s="9" t="inlineStr">
        <is>
          <t>Full Time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7" t="n"/>
      <c r="N2402" s="17" t="n"/>
      <c r="O2402" s="17" t="n"/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3">
        <f>SUMPRODUCT(M2402:X2402,$M$2:$X$2)*$K2402*$L2402</f>
        <v/>
      </c>
      <c r="Z2402" s="14">
        <f>SUM(M2402:X2402)</f>
        <v/>
      </c>
      <c r="AA2402" s="14">
        <f>IFERROR(IF(UPPER($E2402)="L",SUMPRODUCT(M2402:X2402,$M$3:$X$3,$M$2:$X$2),SUMPRODUCT(M2402:X2402,$M$4:$X$4,$M$2:$X$2))/(Y2402/($K2402*$L2402)),"")</f>
        <v/>
      </c>
      <c r="AB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7" t="n"/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/>
      <c r="Y2403" s="13">
        <f>SUMPRODUCT(M2403:X2403,$M$2:$X$2)*$K2403*$L2403</f>
        <v/>
      </c>
      <c r="Z2403" s="14">
        <f>SUM(M2403:X2403)</f>
        <v/>
      </c>
      <c r="AA2403" s="14">
        <f>IFERROR(IF(UPPER($E2403)="L",SUMPRODUCT(M2403:X2403,$M$3:$X$3,$M$2:$X$2),SUMPRODUCT(M2403:X2403,$M$4:$X$4,$M$2:$X$2))/(Y2403/($K2403*$L2403)),"")</f>
        <v/>
      </c>
      <c r="AB2403" s="18" t="n"/>
    </row>
    <row r="2404">
      <c r="A2404" s="9" t="n">
        <v>670232</v>
      </c>
      <c r="B2404" s="9" t="inlineStr">
        <is>
          <t>Ramón Rodríguez</t>
        </is>
      </c>
      <c r="C2404" s="9" t="inlineStr">
        <is>
          <t>MIL</t>
        </is>
      </c>
      <c r="D2404" s="9" t="n">
        <v>25</v>
      </c>
      <c r="E2404" s="16" t="inlineStr">
        <is>
          <t>R</t>
        </is>
      </c>
      <c r="F2404" s="16" t="n"/>
      <c r="G2404" s="9" t="n">
        <v>117.8974358974359</v>
      </c>
      <c r="H2404" s="9" t="n">
        <v>117.8974358974359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7" t="n"/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/>
      <c r="Y2404" s="13">
        <f>SUMPRODUCT(M2404:X2404,$M$2:$X$2)*$K2404*$L2404</f>
        <v/>
      </c>
      <c r="Z2404" s="14">
        <f>SUM(M2404:X2404)</f>
        <v/>
      </c>
      <c r="AA2404" s="14">
        <f>IFERROR(IF(UPPER($E2404)="L",SUMPRODUCT(M2404:X2404,$M$3:$X$3,$M$2:$X$2),SUMPRODUCT(M2404:X2404,$M$4:$X$4,$M$2:$X$2))/(Y2404/($K2404*$L2404)),"")</f>
        <v/>
      </c>
      <c r="AB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n"/>
      <c r="G2405" s="9" t="n">
        <v>221</v>
      </c>
      <c r="H2405" s="9" t="n">
        <v>1395</v>
      </c>
      <c r="I2405" s="9" t="inlineStr">
        <is>
          <t>Bench Bat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7" t="n"/>
      <c r="N2405" s="17" t="n"/>
      <c r="O2405" s="17" t="n"/>
      <c r="P2405" s="17" t="n"/>
      <c r="Q2405" s="17" t="n"/>
      <c r="R2405" s="17" t="n"/>
      <c r="S2405" s="17" t="n"/>
      <c r="T2405" s="17" t="n"/>
      <c r="U2405" s="17" t="n"/>
      <c r="V2405" s="17" t="n"/>
      <c r="W2405" s="17" t="n"/>
      <c r="X2405" s="17" t="n"/>
      <c r="Y2405" s="13">
        <f>SUMPRODUCT(M2405:X2405,$M$2:$X$2)*$K2405*$L2405</f>
        <v/>
      </c>
      <c r="Z2405" s="14">
        <f>SUM(M2405:X2405)</f>
        <v/>
      </c>
      <c r="AA2405" s="14">
        <f>IFERROR(IF(UPPER($E2405)="L",SUMPRODUCT(M2405:X2405,$M$3:$X$3,$M$2:$X$2),SUMPRODUCT(M2405:X2405,$M$4:$X$4,$M$2:$X$2))/(Y2405/($K2405*$L2405)),"")</f>
        <v/>
      </c>
      <c r="AB2405" s="18" t="n"/>
    </row>
    <row r="2406">
      <c r="A2406" s="9" t="n">
        <v>690991</v>
      </c>
      <c r="B2406" s="9" t="inlineStr">
        <is>
          <t>Mac Horvath</t>
        </is>
      </c>
      <c r="C2406" s="9" t="inlineStr">
        <is>
          <t>TB</t>
        </is>
      </c>
      <c r="D2406" s="9" t="n">
        <v>25</v>
      </c>
      <c r="E2406" s="16" t="inlineStr">
        <is>
          <t>R</t>
        </is>
      </c>
      <c r="F2406" s="16" t="n"/>
      <c r="G2406" s="9" t="n">
        <v>180.2051282051282</v>
      </c>
      <c r="H2406" s="9" t="n">
        <v>180.2051282051282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7" t="n"/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/>
      <c r="Y2406" s="13">
        <f>SUMPRODUCT(M2406:X2406,$M$2:$X$2)*$K2406*$L2406</f>
        <v/>
      </c>
      <c r="Z2406" s="14">
        <f>SUM(M2406:X2406)</f>
        <v/>
      </c>
      <c r="AA2406" s="14">
        <f>IFERROR(IF(UPPER($E2406)="L",SUMPRODUCT(M2406:X2406,$M$3:$X$3,$M$2:$X$2),SUMPRODUCT(M2406:X2406,$M$4:$X$4,$M$2:$X$2))/(Y2406/($K2406*$L2406)),"")</f>
        <v/>
      </c>
      <c r="AB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n"/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7" t="n"/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/>
      <c r="W2407" s="17" t="n"/>
      <c r="X2407" s="17" t="n"/>
      <c r="Y2407" s="13">
        <f>SUMPRODUCT(M2407:X2407,$M$2:$X$2)*$K2407*$L2407</f>
        <v/>
      </c>
      <c r="Z2407" s="14">
        <f>SUM(M2407:X2407)</f>
        <v/>
      </c>
      <c r="AA2407" s="14">
        <f>IFERROR(IF(UPPER($E2407)="L",SUMPRODUCT(M2407:X2407,$M$3:$X$3,$M$2:$X$2),SUMPRODUCT(M2407:X2407,$M$4:$X$4,$M$2:$X$2))/(Y2407/($K2407*$L2407)),"")</f>
        <v/>
      </c>
      <c r="AB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n"/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7" t="n"/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/>
      <c r="W2408" s="17" t="n"/>
      <c r="X2408" s="17" t="n"/>
      <c r="Y2408" s="13">
        <f>SUMPRODUCT(M2408:X2408,$M$2:$X$2)*$K2408*$L2408</f>
        <v/>
      </c>
      <c r="Z2408" s="14">
        <f>SUM(M2408:X2408)</f>
        <v/>
      </c>
      <c r="AA2408" s="14">
        <f>IFERROR(IF(UPPER($E2408)="L",SUMPRODUCT(M2408:X2408,$M$3:$X$3,$M$2:$X$2),SUMPRODUCT(M2408:X2408,$M$4:$X$4,$M$2:$X$2))/(Y2408/($K2408*$L2408)),"")</f>
        <v/>
      </c>
      <c r="AB2408" s="18" t="n"/>
    </row>
    <row r="2409">
      <c r="A2409" s="9" t="n">
        <v>624431</v>
      </c>
      <c r="B2409" s="9" t="inlineStr">
        <is>
          <t>Jose Trevino</t>
        </is>
      </c>
      <c r="C2409" s="9" t="inlineStr">
        <is>
          <t>CIN</t>
        </is>
      </c>
      <c r="D2409" s="9" t="n">
        <v>34</v>
      </c>
      <c r="E2409" s="16" t="inlineStr">
        <is>
          <t>R</t>
        </is>
      </c>
      <c r="F2409" s="16" t="n"/>
      <c r="G2409" s="9" t="n">
        <v>156</v>
      </c>
      <c r="H2409" s="9" t="n">
        <v>1213</v>
      </c>
      <c r="I2409" s="9" t="inlineStr">
        <is>
          <t>Utility OF / 4th OF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7" t="n"/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/>
      <c r="Y2409" s="13">
        <f>SUMPRODUCT(M2409:X2409,$M$2:$X$2)*$K2409*$L2409</f>
        <v/>
      </c>
      <c r="Z2409" s="14">
        <f>SUM(M2409:X2409)</f>
        <v/>
      </c>
      <c r="AA2409" s="14">
        <f>IFERROR(IF(UPPER($E2409)="L",SUMPRODUCT(M2409:X2409,$M$3:$X$3,$M$2:$X$2),SUMPRODUCT(M2409:X2409,$M$4:$X$4,$M$2:$X$2))/(Y2409/($K2409*$L2409)),"")</f>
        <v/>
      </c>
      <c r="AB2409" s="18" t="n"/>
    </row>
    <row r="2410">
      <c r="A2410" s="9" t="n">
        <v>686810</v>
      </c>
      <c r="B2410" s="9" t="inlineStr">
        <is>
          <t>Brennan Milone</t>
        </is>
      </c>
      <c r="C2410" s="9" t="inlineStr">
        <is>
          <t>OAK</t>
        </is>
      </c>
      <c r="D2410" s="9" t="n">
        <v>25</v>
      </c>
      <c r="E2410" s="16" t="inlineStr">
        <is>
          <t>R</t>
        </is>
      </c>
      <c r="F2410" s="16" t="n"/>
      <c r="G2410" s="9" t="n">
        <v>142.8717948717949</v>
      </c>
      <c r="H2410" s="9" t="n">
        <v>142.8717948717949</v>
      </c>
      <c r="I2410" s="9" t="inlineStr">
        <is>
          <t>Depth (no MLB PA)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7" t="n"/>
      <c r="N2410" s="17" t="n"/>
      <c r="O2410" s="17" t="n"/>
      <c r="P2410" s="17" t="n"/>
      <c r="Q2410" s="17" t="n"/>
      <c r="R2410" s="17" t="n"/>
      <c r="S2410" s="17" t="n"/>
      <c r="T2410" s="17" t="n"/>
      <c r="U2410" s="17" t="n"/>
      <c r="V2410" s="17" t="n"/>
      <c r="W2410" s="17" t="n"/>
      <c r="X2410" s="17" t="n"/>
      <c r="Y2410" s="13">
        <f>SUMPRODUCT(M2410:X2410,$M$2:$X$2)*$K2410*$L2410</f>
        <v/>
      </c>
      <c r="Z2410" s="14">
        <f>SUM(M2410:X2410)</f>
        <v/>
      </c>
      <c r="AA2410" s="14">
        <f>IFERROR(IF(UPPER($E2410)="L",SUMPRODUCT(M2410:X2410,$M$3:$X$3,$M$2:$X$2),SUMPRODUCT(M2410:X2410,$M$4:$X$4,$M$2:$X$2))/(Y2410/($K2410*$L2410)),"")</f>
        <v/>
      </c>
      <c r="AB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n"/>
      <c r="G2411" s="9" t="n">
        <v>281</v>
      </c>
      <c r="H2411" s="9" t="n">
        <v>890</v>
      </c>
      <c r="I2411" s="9" t="inlineStr">
        <is>
          <t>Utility OF / 4th OF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7" t="n"/>
      <c r="N2411" s="17" t="n"/>
      <c r="O2411" s="17" t="n"/>
      <c r="P2411" s="17" t="n"/>
      <c r="Q2411" s="17" t="n"/>
      <c r="R2411" s="17" t="n"/>
      <c r="S2411" s="17" t="n"/>
      <c r="T2411" s="17" t="n"/>
      <c r="U2411" s="17" t="n"/>
      <c r="V2411" s="17" t="n"/>
      <c r="W2411" s="17" t="n"/>
      <c r="X2411" s="17" t="n"/>
      <c r="Y2411" s="13">
        <f>SUMPRODUCT(M2411:X2411,$M$2:$X$2)*$K2411*$L2411</f>
        <v/>
      </c>
      <c r="Z2411" s="14">
        <f>SUM(M2411:X2411)</f>
        <v/>
      </c>
      <c r="AA2411" s="14">
        <f>IFERROR(IF(UPPER($E2411)="L",SUMPRODUCT(M2411:X2411,$M$3:$X$3,$M$2:$X$2),SUMPRODUCT(M2411:X2411,$M$4:$X$4,$M$2:$X$2))/(Y2411/($K2411*$L2411)),"")</f>
        <v/>
      </c>
      <c r="AB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7" t="n"/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/>
      <c r="Y2412" s="13">
        <f>SUMPRODUCT(M2412:X2412,$M$2:$X$2)*$K2412*$L2412</f>
        <v/>
      </c>
      <c r="Z2412" s="14">
        <f>SUM(M2412:X2412)</f>
        <v/>
      </c>
      <c r="AA2412" s="14">
        <f>IFERROR(IF(UPPER($E2412)="L",SUMPRODUCT(M2412:X2412,$M$3:$X$3,$M$2:$X$2),SUMPRODUCT(M2412:X2412,$M$4:$X$4,$M$2:$X$2))/(Y2412/($K2412*$L2412)),"")</f>
        <v/>
      </c>
      <c r="AB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7" t="n"/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/>
      <c r="Y2413" s="13">
        <f>SUMPRODUCT(M2413:X2413,$M$2:$X$2)*$K2413*$L2413</f>
        <v/>
      </c>
      <c r="Z2413" s="14">
        <f>SUM(M2413:X2413)</f>
        <v/>
      </c>
      <c r="AA2413" s="14">
        <f>IFERROR(IF(UPPER($E2413)="L",SUMPRODUCT(M2413:X2413,$M$3:$X$3,$M$2:$X$2),SUMPRODUCT(M2413:X2413,$M$4:$X$4,$M$2:$X$2))/(Y2413/($K2413*$L2413)),"")</f>
        <v/>
      </c>
      <c r="AB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7" t="n"/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/>
      <c r="Y2414" s="13">
        <f>SUMPRODUCT(M2414:X2414,$M$2:$X$2)*$K2414*$L2414</f>
        <v/>
      </c>
      <c r="Z2414" s="14">
        <f>SUM(M2414:X2414)</f>
        <v/>
      </c>
      <c r="AA2414" s="14">
        <f>IFERROR(IF(UPPER($E2414)="L",SUMPRODUCT(M2414:X2414,$M$3:$X$3,$M$2:$X$2),SUMPRODUCT(M2414:X2414,$M$4:$X$4,$M$2:$X$2))/(Y2414/($K2414*$L2414)),"")</f>
        <v/>
      </c>
      <c r="AB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7" t="n"/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/>
      <c r="Y2415" s="13">
        <f>SUMPRODUCT(M2415:X2415,$M$2:$X$2)*$K2415*$L2415</f>
        <v/>
      </c>
      <c r="Z2415" s="14">
        <f>SUM(M2415:X2415)</f>
        <v/>
      </c>
      <c r="AA2415" s="14">
        <f>IFERROR(IF(UPPER($E2415)="L",SUMPRODUCT(M2415:X2415,$M$3:$X$3,$M$2:$X$2),SUMPRODUCT(M2415:X2415,$M$4:$X$4,$M$2:$X$2))/(Y2415/($K2415*$L2415)),"")</f>
        <v/>
      </c>
      <c r="AB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7" t="n"/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/>
      <c r="Y2416" s="13">
        <f>SUMPRODUCT(M2416:X2416,$M$2:$X$2)*$K2416*$L2416</f>
        <v/>
      </c>
      <c r="Z2416" s="14">
        <f>SUM(M2416:X2416)</f>
        <v/>
      </c>
      <c r="AA2416" s="14">
        <f>IFERROR(IF(UPPER($E2416)="L",SUMPRODUCT(M2416:X2416,$M$3:$X$3,$M$2:$X$2),SUMPRODUCT(M2416:X2416,$M$4:$X$4,$M$2:$X$2))/(Y2416/($K2416*$L2416)),"")</f>
        <v/>
      </c>
      <c r="AB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7" t="n"/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/>
      <c r="Y2417" s="13">
        <f>SUMPRODUCT(M2417:X2417,$M$2:$X$2)*$K2417*$L2417</f>
        <v/>
      </c>
      <c r="Z2417" s="14">
        <f>SUM(M2417:X2417)</f>
        <v/>
      </c>
      <c r="AA2417" s="14">
        <f>IFERROR(IF(UPPER($E2417)="L",SUMPRODUCT(M2417:X2417,$M$3:$X$3,$M$2:$X$2),SUMPRODUCT(M2417:X2417,$M$4:$X$4,$M$2:$X$2))/(Y2417/($K2417*$L2417)),"")</f>
        <v/>
      </c>
      <c r="AB2417" s="18" t="n"/>
    </row>
    <row r="2418">
      <c r="A2418" s="9" t="n">
        <v>700032</v>
      </c>
      <c r="B2418" s="9" t="inlineStr">
        <is>
          <t>Victor Labrada</t>
        </is>
      </c>
      <c r="C2418" s="9" t="inlineStr">
        <is>
          <t>SEA</t>
        </is>
      </c>
      <c r="D2418" s="9" t="n">
        <v>25</v>
      </c>
      <c r="E2418" s="16" t="inlineStr">
        <is>
          <t>L</t>
        </is>
      </c>
      <c r="F2418" s="16" t="n"/>
      <c r="G2418" s="9" t="n">
        <v>269.0769230769231</v>
      </c>
      <c r="H2418" s="9" t="n">
        <v>269.0769230769231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7" t="n"/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/>
      <c r="Y2418" s="13">
        <f>SUMPRODUCT(M2418:X2418,$M$2:$X$2)*$K2418*$L2418</f>
        <v/>
      </c>
      <c r="Z2418" s="14">
        <f>SUM(M2418:X2418)</f>
        <v/>
      </c>
      <c r="AA2418" s="14">
        <f>IFERROR(IF(UPPER($E2418)="L",SUMPRODUCT(M2418:X2418,$M$3:$X$3,$M$2:$X$2),SUMPRODUCT(M2418:X2418,$M$4:$X$4,$M$2:$X$2))/(Y2418/($K2418*$L2418)),"")</f>
        <v/>
      </c>
      <c r="AB2418" s="18" t="n"/>
    </row>
    <row r="2419">
      <c r="A2419" s="9" t="n">
        <v>822966</v>
      </c>
      <c r="B2419" s="9" t="inlineStr">
        <is>
          <t>John Taylor</t>
        </is>
      </c>
      <c r="C2419" s="9" t="inlineStr">
        <is>
          <t>TEX</t>
        </is>
      </c>
      <c r="D2419" s="9" t="n">
        <v>25</v>
      </c>
      <c r="E2419" s="16" t="inlineStr">
        <is>
          <t>L</t>
        </is>
      </c>
      <c r="F2419" s="16" t="n"/>
      <c r="G2419" s="9" t="n">
        <v>207.0256410256411</v>
      </c>
      <c r="H2419" s="9" t="n">
        <v>207.0256410256411</v>
      </c>
      <c r="I2419" s="9" t="inlineStr">
        <is>
          <t>Depth (no MLB PA)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7" t="n"/>
      <c r="N2419" s="17" t="n"/>
      <c r="O2419" s="17" t="n"/>
      <c r="P2419" s="17" t="n"/>
      <c r="Q2419" s="17" t="n"/>
      <c r="R2419" s="17" t="n"/>
      <c r="S2419" s="17" t="n"/>
      <c r="T2419" s="17" t="n"/>
      <c r="U2419" s="17" t="n"/>
      <c r="V2419" s="17" t="n"/>
      <c r="W2419" s="17" t="n"/>
      <c r="X2419" s="17" t="n"/>
      <c r="Y2419" s="13">
        <f>SUMPRODUCT(M2419:X2419,$M$2:$X$2)*$K2419*$L2419</f>
        <v/>
      </c>
      <c r="Z2419" s="14">
        <f>SUM(M2419:X2419)</f>
        <v/>
      </c>
      <c r="AA2419" s="14">
        <f>IFERROR(IF(UPPER($E2419)="L",SUMPRODUCT(M2419:X2419,$M$3:$X$3,$M$2:$X$2),SUMPRODUCT(M2419:X2419,$M$4:$X$4,$M$2:$X$2))/(Y2419/($K2419*$L2419)),"")</f>
        <v/>
      </c>
      <c r="AB2419" s="18" t="n"/>
    </row>
    <row r="2420">
      <c r="A2420" s="9" t="n">
        <v>689414</v>
      </c>
      <c r="B2420" s="9" t="inlineStr">
        <is>
          <t>Liam Hicks</t>
        </is>
      </c>
      <c r="C2420" s="9" t="inlineStr">
        <is>
          <t>TB</t>
        </is>
      </c>
      <c r="D2420" s="9" t="n">
        <v>28</v>
      </c>
      <c r="E2420" s="16" t="inlineStr">
        <is>
          <t>L</t>
        </is>
      </c>
      <c r="F2420" s="16" t="n"/>
      <c r="G2420" s="9" t="n">
        <v>554</v>
      </c>
      <c r="H2420" s="9" t="n">
        <v>944</v>
      </c>
      <c r="I2420" s="9" t="inlineStr">
        <is>
          <t>Full Time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7" t="n"/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/>
      <c r="Y2420" s="13">
        <f>SUMPRODUCT(M2420:X2420,$M$2:$X$2)*$K2420*$L2420</f>
        <v/>
      </c>
      <c r="Z2420" s="14">
        <f>SUM(M2420:X2420)</f>
        <v/>
      </c>
      <c r="AA2420" s="14">
        <f>IFERROR(IF(UPPER($E2420)="L",SUMPRODUCT(M2420:X2420,$M$3:$X$3,$M$2:$X$2),SUMPRODUCT(M2420:X2420,$M$4:$X$4,$M$2:$X$2))/(Y2420/($K2420*$L2420)),"")</f>
        <v/>
      </c>
      <c r="AB2420" s="18" t="n"/>
    </row>
    <row r="2421">
      <c r="A2421" s="9" t="n">
        <v>804614</v>
      </c>
      <c r="B2421" s="9" t="inlineStr">
        <is>
          <t>Marco Vargas</t>
        </is>
      </c>
      <c r="C2421" s="9" t="inlineStr">
        <is>
          <t>NYM</t>
        </is>
      </c>
      <c r="D2421" s="9" t="n">
        <v>25</v>
      </c>
      <c r="E2421" s="16" t="inlineStr">
        <is>
          <t>L</t>
        </is>
      </c>
      <c r="F2421" s="16" t="n"/>
      <c r="G2421" s="9" t="n">
        <v>84.71794871794872</v>
      </c>
      <c r="H2421" s="9" t="n">
        <v>84.71794871794872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7" t="n"/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/>
      <c r="Y2421" s="13">
        <f>SUMPRODUCT(M2421:X2421,$M$2:$X$2)*$K2421*$L2421</f>
        <v/>
      </c>
      <c r="Z2421" s="14">
        <f>SUM(M2421:X2421)</f>
        <v/>
      </c>
      <c r="AA2421" s="14">
        <f>IFERROR(IF(UPPER($E2421)="L",SUMPRODUCT(M2421:X2421,$M$3:$X$3,$M$2:$X$2),SUMPRODUCT(M2421:X2421,$M$4:$X$4,$M$2:$X$2))/(Y2421/($K2421*$L2421)),"")</f>
        <v/>
      </c>
      <c r="AB2421" s="18" t="n"/>
    </row>
    <row r="2422">
      <c r="A2422" s="9" t="n">
        <v>679881</v>
      </c>
      <c r="B2422" s="9" t="inlineStr">
        <is>
          <t>J.P. Martínez</t>
        </is>
      </c>
      <c r="C2422" s="9" t="inlineStr">
        <is>
          <t>TEX</t>
        </is>
      </c>
      <c r="D2422" s="9" t="n">
        <v>31</v>
      </c>
      <c r="E2422" s="16" t="inlineStr">
        <is>
          <t>L</t>
        </is>
      </c>
      <c r="F2422" s="16" t="n"/>
      <c r="G2422" s="9" t="n">
        <v>10</v>
      </c>
      <c r="H2422" s="9" t="n">
        <v>54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7" t="n"/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/>
      <c r="Y2422" s="13">
        <f>SUMPRODUCT(M2422:X2422,$M$2:$X$2)*$K2422*$L2422</f>
        <v/>
      </c>
      <c r="Z2422" s="14">
        <f>SUM(M2422:X2422)</f>
        <v/>
      </c>
      <c r="AA2422" s="14">
        <f>IFERROR(IF(UPPER($E2422)="L",SUMPRODUCT(M2422:X2422,$M$3:$X$3,$M$2:$X$2),SUMPRODUCT(M2422:X2422,$M$4:$X$4,$M$2:$X$2))/(Y2422/($K2422*$L2422)),"")</f>
        <v/>
      </c>
      <c r="AB2422" s="18" t="n"/>
    </row>
    <row r="2423">
      <c r="A2423" s="9" t="n">
        <v>691285</v>
      </c>
      <c r="B2423" s="9" t="inlineStr">
        <is>
          <t>Junior Franco</t>
        </is>
      </c>
      <c r="C2423" s="9" t="inlineStr">
        <is>
          <t>ARI</t>
        </is>
      </c>
      <c r="D2423" s="9" t="n">
        <v>25</v>
      </c>
      <c r="E2423" s="16" t="inlineStr">
        <is>
          <t>L</t>
        </is>
      </c>
      <c r="F2423" s="16" t="n"/>
      <c r="G2423" s="9" t="n">
        <v>130.6666666666667</v>
      </c>
      <c r="H2423" s="9" t="n">
        <v>130.6666666666667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7" t="n"/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/>
      <c r="Y2423" s="13">
        <f>SUMPRODUCT(M2423:X2423,$M$2:$X$2)*$K2423*$L2423</f>
        <v/>
      </c>
      <c r="Z2423" s="14">
        <f>SUM(M2423:X2423)</f>
        <v/>
      </c>
      <c r="AA2423" s="14">
        <f>IFERROR(IF(UPPER($E2423)="L",SUMPRODUCT(M2423:X2423,$M$3:$X$3,$M$2:$X$2),SUMPRODUCT(M2423:X2423,$M$4:$X$4,$M$2:$X$2))/(Y2423/($K2423*$L2423)),"")</f>
        <v/>
      </c>
      <c r="AB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n"/>
      <c r="G2424" s="9" t="n">
        <v>40</v>
      </c>
      <c r="H2424" s="9" t="n">
        <v>530</v>
      </c>
      <c r="I2424" s="9" t="inlineStr">
        <is>
          <t>Bench Bat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7" t="n"/>
      <c r="N2424" s="17" t="n"/>
      <c r="O2424" s="17" t="n"/>
      <c r="P2424" s="17" t="n"/>
      <c r="Q2424" s="17" t="n"/>
      <c r="R2424" s="17" t="n"/>
      <c r="S2424" s="17" t="n"/>
      <c r="T2424" s="17" t="n"/>
      <c r="U2424" s="17" t="n"/>
      <c r="V2424" s="17" t="n"/>
      <c r="W2424" s="17" t="n"/>
      <c r="X2424" s="17" t="n"/>
      <c r="Y2424" s="13">
        <f>SUMPRODUCT(M2424:X2424,$M$2:$X$2)*$K2424*$L2424</f>
        <v/>
      </c>
      <c r="Z2424" s="14">
        <f>SUM(M2424:X2424)</f>
        <v/>
      </c>
      <c r="AA2424" s="14">
        <f>IFERROR(IF(UPPER($E2424)="L",SUMPRODUCT(M2424:X2424,$M$3:$X$3,$M$2:$X$2),SUMPRODUCT(M2424:X2424,$M$4:$X$4,$M$2:$X$2))/(Y2424/($K2424*$L2424)),"")</f>
        <v/>
      </c>
      <c r="AB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7" t="n"/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/>
      <c r="Y2425" s="13">
        <f>SUMPRODUCT(M2425:X2425,$M$2:$X$2)*$K2425*$L2425</f>
        <v/>
      </c>
      <c r="Z2425" s="14">
        <f>SUM(M2425:X2425)</f>
        <v/>
      </c>
      <c r="AA2425" s="14">
        <f>IFERROR(IF(UPPER($E2425)="L",SUMPRODUCT(M2425:X2425,$M$3:$X$3,$M$2:$X$2),SUMPRODUCT(M2425:X2425,$M$4:$X$4,$M$2:$X$2))/(Y2425/($K2425*$L2425)),"")</f>
        <v/>
      </c>
      <c r="AB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25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Opening Day</t>
        </is>
      </c>
      <c r="K2426" s="11">
        <f>IFERROR(INDEX(Roles!$B$17:$B$20,MATCH(J2426,Roles!$A$17:$A$20,0)),1)</f>
        <v/>
      </c>
      <c r="L2426" s="17" t="n">
        <v>1</v>
      </c>
      <c r="M2426" s="17" t="n"/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/>
      <c r="Y2426" s="13">
        <f>SUMPRODUCT(M2426:X2426,$M$2:$X$2)*$K2426*$L2426</f>
        <v/>
      </c>
      <c r="Z2426" s="14">
        <f>SUM(M2426:X2426)</f>
        <v/>
      </c>
      <c r="AA2426" s="14">
        <f>IFERROR(IF(UPPER($E2426)="L",SUMPRODUCT(M2426:X2426,$M$3:$X$3,$M$2:$X$2),SUMPRODUCT(M2426:X2426,$M$4:$X$4,$M$2:$X$2))/(Y2426/($K2426*$L2426)),"")</f>
        <v/>
      </c>
      <c r="AB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n"/>
      <c r="G2427" s="9" t="n">
        <v>284</v>
      </c>
      <c r="H2427" s="9" t="n">
        <v>1021</v>
      </c>
      <c r="I2427" s="9" t="inlineStr">
        <is>
          <t>Utility OF / 4th OF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7" t="n"/>
      <c r="N2427" s="17" t="n"/>
      <c r="O2427" s="17" t="n"/>
      <c r="P2427" s="17" t="n"/>
      <c r="Q2427" s="17" t="n"/>
      <c r="R2427" s="17" t="n"/>
      <c r="S2427" s="17" t="n"/>
      <c r="T2427" s="17" t="n"/>
      <c r="U2427" s="17" t="n"/>
      <c r="V2427" s="17" t="n"/>
      <c r="W2427" s="17" t="n"/>
      <c r="X2427" s="17" t="n"/>
      <c r="Y2427" s="13">
        <f>SUMPRODUCT(M2427:X2427,$M$2:$X$2)*$K2427*$L2427</f>
        <v/>
      </c>
      <c r="Z2427" s="14">
        <f>SUM(M2427:X2427)</f>
        <v/>
      </c>
      <c r="AA2427" s="14">
        <f>IFERROR(IF(UPPER($E2427)="L",SUMPRODUCT(M2427:X2427,$M$3:$X$3,$M$2:$X$2),SUMPRODUCT(M2427:X2427,$M$4:$X$4,$M$2:$X$2))/(Y2427/($K2427*$L2427)),"")</f>
        <v/>
      </c>
      <c r="AB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7" t="n"/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/>
      <c r="Y2428" s="13">
        <f>SUMPRODUCT(M2428:X2428,$M$2:$X$2)*$K2428*$L2428</f>
        <v/>
      </c>
      <c r="Z2428" s="14">
        <f>SUM(M2428:X2428)</f>
        <v/>
      </c>
      <c r="AA2428" s="14">
        <f>IFERROR(IF(UPPER($E2428)="L",SUMPRODUCT(M2428:X2428,$M$3:$X$3,$M$2:$X$2),SUMPRODUCT(M2428:X2428,$M$4:$X$4,$M$2:$X$2))/(Y2428/($K2428*$L2428)),"")</f>
        <v/>
      </c>
      <c r="AB2428" s="18" t="n"/>
    </row>
    <row r="2429">
      <c r="A2429" s="9" t="n">
        <v>813880</v>
      </c>
      <c r="B2429" s="9" t="inlineStr">
        <is>
          <t>Devin Saltiban</t>
        </is>
      </c>
      <c r="C2429" s="9" t="inlineStr">
        <is>
          <t>PHI</t>
        </is>
      </c>
      <c r="D2429" s="9" t="n">
        <v>25</v>
      </c>
      <c r="E2429" s="16" t="inlineStr">
        <is>
          <t>R</t>
        </is>
      </c>
      <c r="F2429" s="16" t="n"/>
      <c r="G2429" s="9" t="n">
        <v>92.1025641025641</v>
      </c>
      <c r="H2429" s="9" t="n">
        <v>92.1025641025641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7" t="n"/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/>
      <c r="Y2429" s="13">
        <f>SUMPRODUCT(M2429:X2429,$M$2:$X$2)*$K2429*$L2429</f>
        <v/>
      </c>
      <c r="Z2429" s="14">
        <f>SUM(M2429:X2429)</f>
        <v/>
      </c>
      <c r="AA2429" s="14">
        <f>IFERROR(IF(UPPER($E2429)="L",SUMPRODUCT(M2429:X2429,$M$3:$X$3,$M$2:$X$2),SUMPRODUCT(M2429:X2429,$M$4:$X$4,$M$2:$X$2))/(Y2429/($K2429*$L2429)),"")</f>
        <v/>
      </c>
      <c r="AB2429" s="18" t="n"/>
    </row>
    <row r="2430">
      <c r="A2430" s="9" t="n">
        <v>686793</v>
      </c>
      <c r="B2430" s="9" t="inlineStr">
        <is>
          <t>J.T. Arruda</t>
        </is>
      </c>
      <c r="C2430" s="9" t="inlineStr">
        <is>
          <t>TB</t>
        </is>
      </c>
      <c r="D2430" s="9" t="n">
        <v>25</v>
      </c>
      <c r="E2430" s="16" t="inlineStr">
        <is>
          <t>S</t>
        </is>
      </c>
      <c r="F2430" s="16" t="n"/>
      <c r="G2430" s="9" t="n">
        <v>117.3846153846154</v>
      </c>
      <c r="H2430" s="9" t="n">
        <v>117.3846153846154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7" t="n"/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/>
      <c r="Y2430" s="13">
        <f>SUMPRODUCT(M2430:X2430,$M$2:$X$2)*$K2430*$L2430</f>
        <v/>
      </c>
      <c r="Z2430" s="14">
        <f>SUM(M2430:X2430)</f>
        <v/>
      </c>
      <c r="AA2430" s="14">
        <f>IFERROR(IF(UPPER($E2430)="L",SUMPRODUCT(M2430:X2430,$M$3:$X$3,$M$2:$X$2),SUMPRODUCT(M2430:X2430,$M$4:$X$4,$M$2:$X$2))/(Y2430/($K2430*$L2430)),"")</f>
        <v/>
      </c>
      <c r="AB2430" s="18" t="n"/>
    </row>
    <row r="2431">
      <c r="A2431" s="9" t="n">
        <v>809143</v>
      </c>
      <c r="B2431" s="9" t="inlineStr">
        <is>
          <t>Kyle Walker</t>
        </is>
      </c>
      <c r="C2431" s="9" t="inlineStr">
        <is>
          <t>HOU</t>
        </is>
      </c>
      <c r="D2431" s="9" t="n">
        <v>25</v>
      </c>
      <c r="E2431" s="16" t="inlineStr">
        <is>
          <t>R</t>
        </is>
      </c>
      <c r="F2431" s="16" t="n"/>
      <c r="G2431" s="9" t="n">
        <v>84.30769230769232</v>
      </c>
      <c r="H2431" s="9" t="n">
        <v>84.30769230769232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7" t="n"/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/>
      <c r="Y2431" s="13">
        <f>SUMPRODUCT(M2431:X2431,$M$2:$X$2)*$K2431*$L2431</f>
        <v/>
      </c>
      <c r="Z2431" s="14">
        <f>SUM(M2431:X2431)</f>
        <v/>
      </c>
      <c r="AA2431" s="14">
        <f>IFERROR(IF(UPPER($E2431)="L",SUMPRODUCT(M2431:X2431,$M$3:$X$3,$M$2:$X$2),SUMPRODUCT(M2431:X2431,$M$4:$X$4,$M$2:$X$2))/(Y2431/($K2431*$L2431)),"")</f>
        <v/>
      </c>
      <c r="AB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7" t="n"/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/>
      <c r="Y2432" s="13">
        <f>SUMPRODUCT(M2432:X2432,$M$2:$X$2)*$K2432*$L2432</f>
        <v/>
      </c>
      <c r="Z2432" s="14">
        <f>SUM(M2432:X2432)</f>
        <v/>
      </c>
      <c r="AA2432" s="14">
        <f>IFERROR(IF(UPPER($E2432)="L",SUMPRODUCT(M2432:X2432,$M$3:$X$3,$M$2:$X$2),SUMPRODUCT(M2432:X2432,$M$4:$X$4,$M$2:$X$2))/(Y2432/($K2432*$L2432)),"")</f>
        <v/>
      </c>
      <c r="AB2432" s="18" t="n"/>
    </row>
    <row r="2433">
      <c r="A2433" s="9" t="n">
        <v>664068</v>
      </c>
      <c r="B2433" s="9" t="inlineStr">
        <is>
          <t>Scott Kingery</t>
        </is>
      </c>
      <c r="C2433" s="9" t="inlineStr">
        <is>
          <t>LAA</t>
        </is>
      </c>
      <c r="D2433" s="9" t="n">
        <v>33</v>
      </c>
      <c r="E2433" s="16" t="inlineStr">
        <is>
          <t>R</t>
        </is>
      </c>
      <c r="F2433" s="16" t="n"/>
      <c r="G2433" s="9" t="n">
        <v>4</v>
      </c>
      <c r="H2433" s="9" t="n">
        <v>33</v>
      </c>
      <c r="I2433" s="9" t="inlineStr">
        <is>
          <t>Bench Bat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7" t="n"/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/>
      <c r="Y2433" s="13">
        <f>SUMPRODUCT(M2433:X2433,$M$2:$X$2)*$K2433*$L2433</f>
        <v/>
      </c>
      <c r="Z2433" s="14">
        <f>SUM(M2433:X2433)</f>
        <v/>
      </c>
      <c r="AA2433" s="14">
        <f>IFERROR(IF(UPPER($E2433)="L",SUMPRODUCT(M2433:X2433,$M$3:$X$3,$M$2:$X$2),SUMPRODUCT(M2433:X2433,$M$4:$X$4,$M$2:$X$2))/(Y2433/($K2433*$L2433)),"")</f>
        <v/>
      </c>
      <c r="AB2433" s="18" t="n"/>
    </row>
    <row r="2434">
      <c r="A2434" s="9" t="n">
        <v>811289</v>
      </c>
      <c r="B2434" s="9" t="inlineStr">
        <is>
          <t>Spencer Nivens</t>
        </is>
      </c>
      <c r="C2434" s="9" t="inlineStr">
        <is>
          <t>KC</t>
        </is>
      </c>
      <c r="D2434" s="9" t="n">
        <v>25</v>
      </c>
      <c r="E2434" s="16" t="inlineStr">
        <is>
          <t>L</t>
        </is>
      </c>
      <c r="F2434" s="16" t="n"/>
      <c r="G2434" s="9" t="n">
        <v>158.3076923076923</v>
      </c>
      <c r="H2434" s="9" t="n">
        <v>158.3076923076923</v>
      </c>
      <c r="I2434" s="9" t="inlineStr">
        <is>
          <t>Depth (no MLB PA)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7" t="n"/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/>
      <c r="W2434" s="17" t="n"/>
      <c r="X2434" s="17" t="n"/>
      <c r="Y2434" s="13">
        <f>SUMPRODUCT(M2434:X2434,$M$2:$X$2)*$K2434*$L2434</f>
        <v/>
      </c>
      <c r="Z2434" s="14">
        <f>SUM(M2434:X2434)</f>
        <v/>
      </c>
      <c r="AA2434" s="14">
        <f>IFERROR(IF(UPPER($E2434)="L",SUMPRODUCT(M2434:X2434,$M$3:$X$3,$M$2:$X$2),SUMPRODUCT(M2434:X2434,$M$4:$X$4,$M$2:$X$2))/(Y2434/($K2434*$L2434)),"")</f>
        <v/>
      </c>
      <c r="AB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n"/>
      <c r="G2435" s="9" t="n">
        <v>241</v>
      </c>
      <c r="H2435" s="9" t="n">
        <v>241</v>
      </c>
      <c r="I2435" s="9" t="inlineStr">
        <is>
          <t>Utility OF / 4th OF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7" t="n"/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/>
      <c r="W2435" s="17" t="n"/>
      <c r="X2435" s="17" t="n"/>
      <c r="Y2435" s="13">
        <f>SUMPRODUCT(M2435:X2435,$M$2:$X$2)*$K2435*$L2435</f>
        <v/>
      </c>
      <c r="Z2435" s="14">
        <f>SUM(M2435:X2435)</f>
        <v/>
      </c>
      <c r="AA2435" s="14">
        <f>IFERROR(IF(UPPER($E2435)="L",SUMPRODUCT(M2435:X2435,$M$3:$X$3,$M$2:$X$2),SUMPRODUCT(M2435:X2435,$M$4:$X$4,$M$2:$X$2))/(Y2435/($K2435*$L2435)),"")</f>
        <v/>
      </c>
      <c r="AB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25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Depth (no MLB PA)</t>
        </is>
      </c>
      <c r="J2436" s="16" t="inlineStr">
        <is>
          <t>Opening Day</t>
        </is>
      </c>
      <c r="K2436" s="11">
        <f>IFERROR(INDEX(Roles!$B$17:$B$20,MATCH(J2436,Roles!$A$17:$A$20,0)),1)</f>
        <v/>
      </c>
      <c r="L2436" s="17" t="n">
        <v>1</v>
      </c>
      <c r="M2436" s="17" t="n"/>
      <c r="N2436" s="17" t="n"/>
      <c r="O2436" s="17" t="n"/>
      <c r="P2436" s="17" t="n"/>
      <c r="Q2436" s="17" t="n"/>
      <c r="R2436" s="17" t="n"/>
      <c r="S2436" s="17" t="n"/>
      <c r="T2436" s="17" t="n"/>
      <c r="U2436" s="17" t="n"/>
      <c r="V2436" s="17" t="n"/>
      <c r="W2436" s="17" t="n"/>
      <c r="X2436" s="17" t="n"/>
      <c r="Y2436" s="13">
        <f>SUMPRODUCT(M2436:X2436,$M$2:$X$2)*$K2436*$L2436</f>
        <v/>
      </c>
      <c r="Z2436" s="14">
        <f>SUM(M2436:X2436)</f>
        <v/>
      </c>
      <c r="AA2436" s="14">
        <f>IFERROR(IF(UPPER($E2436)="L",SUMPRODUCT(M2436:X2436,$M$3:$X$3,$M$2:$X$2),SUMPRODUCT(M2436:X2436,$M$4:$X$4,$M$2:$X$2))/(Y2436/($K2436*$L2436)),"")</f>
        <v/>
      </c>
      <c r="AB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7" t="n"/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/>
      <c r="Y2437" s="13">
        <f>SUMPRODUCT(M2437:X2437,$M$2:$X$2)*$K2437*$L2437</f>
        <v/>
      </c>
      <c r="Z2437" s="14">
        <f>SUM(M2437:X2437)</f>
        <v/>
      </c>
      <c r="AA2437" s="14">
        <f>IFERROR(IF(UPPER($E2437)="L",SUMPRODUCT(M2437:X2437,$M$3:$X$3,$M$2:$X$2),SUMPRODUCT(M2437:X2437,$M$4:$X$4,$M$2:$X$2))/(Y2437/($K2437*$L2437)),"")</f>
        <v/>
      </c>
      <c r="AB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7" t="n"/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/>
      <c r="Y2438" s="13">
        <f>SUMPRODUCT(M2438:X2438,$M$2:$X$2)*$K2438*$L2438</f>
        <v/>
      </c>
      <c r="Z2438" s="14">
        <f>SUM(M2438:X2438)</f>
        <v/>
      </c>
      <c r="AA2438" s="14">
        <f>IFERROR(IF(UPPER($E2438)="L",SUMPRODUCT(M2438:X2438,$M$3:$X$3,$M$2:$X$2),SUMPRODUCT(M2438:X2438,$M$4:$X$4,$M$2:$X$2))/(Y2438/($K2438*$L2438)),"")</f>
        <v/>
      </c>
      <c r="AB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n"/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7" t="n"/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/>
      <c r="Y2439" s="13">
        <f>SUMPRODUCT(M2439:X2439,$M$2:$X$2)*$K2439*$L2439</f>
        <v/>
      </c>
      <c r="Z2439" s="14">
        <f>SUM(M2439:X2439)</f>
        <v/>
      </c>
      <c r="AA2439" s="14">
        <f>IFERROR(IF(UPPER($E2439)="L",SUMPRODUCT(M2439:X2439,$M$3:$X$3,$M$2:$X$2),SUMPRODUCT(M2439:X2439,$M$4:$X$4,$M$2:$X$2))/(Y2439/($K2439*$L2439)),"")</f>
        <v/>
      </c>
      <c r="AB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25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Opening Day</t>
        </is>
      </c>
      <c r="K2440" s="11">
        <f>IFERROR(INDEX(Roles!$B$17:$B$20,MATCH(J2440,Roles!$A$17:$A$20,0)),1)</f>
        <v/>
      </c>
      <c r="L2440" s="17" t="n">
        <v>1</v>
      </c>
      <c r="M2440" s="17" t="n"/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/>
      <c r="Y2440" s="13">
        <f>SUMPRODUCT(M2440:X2440,$M$2:$X$2)*$K2440*$L2440</f>
        <v/>
      </c>
      <c r="Z2440" s="14">
        <f>SUM(M2440:X2440)</f>
        <v/>
      </c>
      <c r="AA2440" s="14">
        <f>IFERROR(IF(UPPER($E2440)="L",SUMPRODUCT(M2440:X2440,$M$3:$X$3,$M$2:$X$2),SUMPRODUCT(M2440:X2440,$M$4:$X$4,$M$2:$X$2))/(Y2440/($K2440*$L2440)),"")</f>
        <v/>
      </c>
      <c r="AB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7" t="n"/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/>
      <c r="Y2441" s="13">
        <f>SUMPRODUCT(M2441:X2441,$M$2:$X$2)*$K2441*$L2441</f>
        <v/>
      </c>
      <c r="Z2441" s="14">
        <f>SUM(M2441:X2441)</f>
        <v/>
      </c>
      <c r="AA2441" s="14">
        <f>IFERROR(IF(UPPER($E2441)="L",SUMPRODUCT(M2441:X2441,$M$3:$X$3,$M$2:$X$2),SUMPRODUCT(M2441:X2441,$M$4:$X$4,$M$2:$X$2))/(Y2441/($K2441*$L2441)),"")</f>
        <v/>
      </c>
      <c r="AB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n"/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7" t="n"/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/>
      <c r="Y2442" s="13">
        <f>SUMPRODUCT(M2442:X2442,$M$2:$X$2)*$K2442*$L2442</f>
        <v/>
      </c>
      <c r="Z2442" s="14">
        <f>SUM(M2442:X2442)</f>
        <v/>
      </c>
      <c r="AA2442" s="14">
        <f>IFERROR(IF(UPPER($E2442)="L",SUMPRODUCT(M2442:X2442,$M$3:$X$3,$M$2:$X$2),SUMPRODUCT(M2442:X2442,$M$4:$X$4,$M$2:$X$2))/(Y2442/($K2442*$L2442)),"")</f>
        <v/>
      </c>
      <c r="AB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7" t="n"/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/>
      <c r="Y2443" s="13">
        <f>SUMPRODUCT(M2443:X2443,$M$2:$X$2)*$K2443*$L2443</f>
        <v/>
      </c>
      <c r="Z2443" s="14">
        <f>SUM(M2443:X2443)</f>
        <v/>
      </c>
      <c r="AA2443" s="14">
        <f>IFERROR(IF(UPPER($E2443)="L",SUMPRODUCT(M2443:X2443,$M$3:$X$3,$M$2:$X$2),SUMPRODUCT(M2443:X2443,$M$4:$X$4,$M$2:$X$2))/(Y2443/($K2443*$L2443)),"")</f>
        <v/>
      </c>
      <c r="AB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n"/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7" t="n"/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/>
      <c r="Y2444" s="13">
        <f>SUMPRODUCT(M2444:X2444,$M$2:$X$2)*$K2444*$L2444</f>
        <v/>
      </c>
      <c r="Z2444" s="14">
        <f>SUM(M2444:X2444)</f>
        <v/>
      </c>
      <c r="AA2444" s="14">
        <f>IFERROR(IF(UPPER($E2444)="L",SUMPRODUCT(M2444:X2444,$M$3:$X$3,$M$2:$X$2),SUMPRODUCT(M2444:X2444,$M$4:$X$4,$M$2:$X$2))/(Y2444/($K2444*$L2444)),"")</f>
        <v/>
      </c>
      <c r="AB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n"/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7" t="n"/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/>
      <c r="W2445" s="17" t="n"/>
      <c r="X2445" s="17" t="n"/>
      <c r="Y2445" s="13">
        <f>SUMPRODUCT(M2445:X2445,$M$2:$X$2)*$K2445*$L2445</f>
        <v/>
      </c>
      <c r="Z2445" s="14">
        <f>SUM(M2445:X2445)</f>
        <v/>
      </c>
      <c r="AA2445" s="14">
        <f>IFERROR(IF(UPPER($E2445)="L",SUMPRODUCT(M2445:X2445,$M$3:$X$3,$M$2:$X$2),SUMPRODUCT(M2445:X2445,$M$4:$X$4,$M$2:$X$2))/(Y2445/($K2445*$L2445)),"")</f>
        <v/>
      </c>
      <c r="AB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n"/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7" t="n"/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/>
      <c r="Y2446" s="13">
        <f>SUMPRODUCT(M2446:X2446,$M$2:$X$2)*$K2446*$L2446</f>
        <v/>
      </c>
      <c r="Z2446" s="14">
        <f>SUM(M2446:X2446)</f>
        <v/>
      </c>
      <c r="AA2446" s="14">
        <f>IFERROR(IF(UPPER($E2446)="L",SUMPRODUCT(M2446:X2446,$M$3:$X$3,$M$2:$X$2),SUMPRODUCT(M2446:X2446,$M$4:$X$4,$M$2:$X$2))/(Y2446/($K2446*$L2446)),"")</f>
        <v/>
      </c>
      <c r="AB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7" t="n"/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/>
      <c r="Y2447" s="13">
        <f>SUMPRODUCT(M2447:X2447,$M$2:$X$2)*$K2447*$L2447</f>
        <v/>
      </c>
      <c r="Z2447" s="14">
        <f>SUM(M2447:X2447)</f>
        <v/>
      </c>
      <c r="AA2447" s="14">
        <f>IFERROR(IF(UPPER($E2447)="L",SUMPRODUCT(M2447:X2447,$M$3:$X$3,$M$2:$X$2),SUMPRODUCT(M2447:X2447,$M$4:$X$4,$M$2:$X$2))/(Y2447/($K2447*$L2447)),"")</f>
        <v/>
      </c>
      <c r="AB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n"/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7" t="n"/>
      <c r="N2448" s="17" t="n"/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3">
        <f>SUMPRODUCT(M2448:X2448,$M$2:$X$2)*$K2448*$L2448</f>
        <v/>
      </c>
      <c r="Z2448" s="14">
        <f>SUM(M2448:X2448)</f>
        <v/>
      </c>
      <c r="AA2448" s="14">
        <f>IFERROR(IF(UPPER($E2448)="L",SUMPRODUCT(M2448:X2448,$M$3:$X$3,$M$2:$X$2),SUMPRODUCT(M2448:X2448,$M$4:$X$4,$M$2:$X$2))/(Y2448/($K2448*$L2448)),"")</f>
        <v/>
      </c>
      <c r="AB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7" t="n"/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/>
      <c r="Y2449" s="13">
        <f>SUMPRODUCT(M2449:X2449,$M$2:$X$2)*$K2449*$L2449</f>
        <v/>
      </c>
      <c r="Z2449" s="14">
        <f>SUM(M2449:X2449)</f>
        <v/>
      </c>
      <c r="AA2449" s="14">
        <f>IFERROR(IF(UPPER($E2449)="L",SUMPRODUCT(M2449:X2449,$M$3:$X$3,$M$2:$X$2),SUMPRODUCT(M2449:X2449,$M$4:$X$4,$M$2:$X$2))/(Y2449/($K2449*$L2449)),"")</f>
        <v/>
      </c>
      <c r="AB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7" t="n"/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/>
      <c r="Y2450" s="13">
        <f>SUMPRODUCT(M2450:X2450,$M$2:$X$2)*$K2450*$L2450</f>
        <v/>
      </c>
      <c r="Z2450" s="14">
        <f>SUM(M2450:X2450)</f>
        <v/>
      </c>
      <c r="AA2450" s="14">
        <f>IFERROR(IF(UPPER($E2450)="L",SUMPRODUCT(M2450:X2450,$M$3:$X$3,$M$2:$X$2),SUMPRODUCT(M2450:X2450,$M$4:$X$4,$M$2:$X$2))/(Y2450/($K2450*$L2450)),"")</f>
        <v/>
      </c>
      <c r="AB2450" s="18" t="n"/>
    </row>
    <row r="2451">
      <c r="A2451" s="9" t="n">
        <v>681962</v>
      </c>
      <c r="B2451" s="9" t="inlineStr">
        <is>
          <t>Vinny Capra</t>
        </is>
      </c>
      <c r="C2451" s="9" t="inlineStr">
        <is>
          <t>CWS</t>
        </is>
      </c>
      <c r="D2451" s="9" t="n">
        <v>30</v>
      </c>
      <c r="E2451" s="16" t="inlineStr">
        <is>
          <t>R</t>
        </is>
      </c>
      <c r="F2451" s="16" t="n"/>
      <c r="G2451" s="9" t="n">
        <v>105</v>
      </c>
      <c r="H2451" s="9" t="n">
        <v>142</v>
      </c>
      <c r="I2451" s="9" t="inlineStr">
        <is>
          <t>Bench Bat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7" t="n"/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/>
      <c r="Y2451" s="13">
        <f>SUMPRODUCT(M2451:X2451,$M$2:$X$2)*$K2451*$L2451</f>
        <v/>
      </c>
      <c r="Z2451" s="14">
        <f>SUM(M2451:X2451)</f>
        <v/>
      </c>
      <c r="AA2451" s="14">
        <f>IFERROR(IF(UPPER($E2451)="L",SUMPRODUCT(M2451:X2451,$M$3:$X$3,$M$2:$X$2),SUMPRODUCT(M2451:X2451,$M$4:$X$4,$M$2:$X$2))/(Y2451/($K2451*$L2451)),"")</f>
        <v/>
      </c>
      <c r="AB2451" s="18" t="n"/>
    </row>
    <row r="2452">
      <c r="A2452" s="9" t="n">
        <v>802959</v>
      </c>
      <c r="B2452" s="9" t="inlineStr">
        <is>
          <t>Max Holy</t>
        </is>
      </c>
      <c r="C2452" s="9" t="inlineStr">
        <is>
          <t>HOU</t>
        </is>
      </c>
      <c r="D2452" s="9" t="n">
        <v>25</v>
      </c>
      <c r="E2452" s="16" t="inlineStr">
        <is>
          <t>R</t>
        </is>
      </c>
      <c r="F2452" s="16" t="n"/>
      <c r="G2452" s="9" t="n">
        <v>129.2307692307692</v>
      </c>
      <c r="H2452" s="9" t="n">
        <v>129.2307692307692</v>
      </c>
      <c r="I2452" s="9" t="inlineStr">
        <is>
          <t>Depth (no MLB PA)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7" t="n"/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/>
      <c r="W2452" s="17" t="n"/>
      <c r="X2452" s="17" t="n"/>
      <c r="Y2452" s="13">
        <f>SUMPRODUCT(M2452:X2452,$M$2:$X$2)*$K2452*$L2452</f>
        <v/>
      </c>
      <c r="Z2452" s="14">
        <f>SUM(M2452:X2452)</f>
        <v/>
      </c>
      <c r="AA2452" s="14">
        <f>IFERROR(IF(UPPER($E2452)="L",SUMPRODUCT(M2452:X2452,$M$3:$X$3,$M$2:$X$2),SUMPRODUCT(M2452:X2452,$M$4:$X$4,$M$2:$X$2))/(Y2452/($K2452*$L2452)),"")</f>
        <v/>
      </c>
      <c r="AB2452" s="18" t="n"/>
    </row>
    <row r="2453">
      <c r="A2453" s="9" t="n">
        <v>666198</v>
      </c>
      <c r="B2453" s="9" t="inlineStr">
        <is>
          <t>Carter Kieboom</t>
        </is>
      </c>
      <c r="C2453" s="9" t="inlineStr">
        <is>
          <t>WSH</t>
        </is>
      </c>
      <c r="D2453" s="9" t="n">
        <v>29</v>
      </c>
      <c r="E2453" s="16" t="inlineStr">
        <is>
          <t>R</t>
        </is>
      </c>
      <c r="F2453" s="16" t="n"/>
      <c r="G2453" s="9" t="n">
        <v>8</v>
      </c>
      <c r="H2453" s="9" t="n">
        <v>102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7" t="n"/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/>
      <c r="Y2453" s="13">
        <f>SUMPRODUCT(M2453:X2453,$M$2:$X$2)*$K2453*$L2453</f>
        <v/>
      </c>
      <c r="Z2453" s="14">
        <f>SUM(M2453:X2453)</f>
        <v/>
      </c>
      <c r="AA2453" s="14">
        <f>IFERROR(IF(UPPER($E2453)="L",SUMPRODUCT(M2453:X2453,$M$3:$X$3,$M$2:$X$2),SUMPRODUCT(M2453:X2453,$M$4:$X$4,$M$2:$X$2))/(Y2453/($K2453*$L2453)),"")</f>
        <v/>
      </c>
      <c r="AB2453" s="18" t="n"/>
    </row>
    <row r="2454">
      <c r="A2454" s="9" t="n">
        <v>690474</v>
      </c>
      <c r="B2454" s="9" t="inlineStr">
        <is>
          <t>Tommy Sacco Jr.</t>
        </is>
      </c>
      <c r="C2454" s="9" t="inlineStr">
        <is>
          <t>HOU</t>
        </is>
      </c>
      <c r="D2454" s="9" t="n">
        <v>25</v>
      </c>
      <c r="E2454" s="16" t="inlineStr">
        <is>
          <t>S</t>
        </is>
      </c>
      <c r="F2454" s="16" t="n"/>
      <c r="G2454" s="9" t="n">
        <v>97.02564102564104</v>
      </c>
      <c r="H2454" s="9" t="n">
        <v>97.02564102564104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7" t="n"/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/>
      <c r="Y2454" s="13">
        <f>SUMPRODUCT(M2454:X2454,$M$2:$X$2)*$K2454*$L2454</f>
        <v/>
      </c>
      <c r="Z2454" s="14">
        <f>SUM(M2454:X2454)</f>
        <v/>
      </c>
      <c r="AA2454" s="14">
        <f>IFERROR(IF(UPPER($E2454)="L",SUMPRODUCT(M2454:X2454,$M$3:$X$3,$M$2:$X$2),SUMPRODUCT(M2454:X2454,$M$4:$X$4,$M$2:$X$2))/(Y2454/($K2454*$L2454)),"")</f>
        <v/>
      </c>
      <c r="AB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n"/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7" t="n"/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/>
      <c r="W2455" s="17" t="n"/>
      <c r="X2455" s="17" t="n"/>
      <c r="Y2455" s="13">
        <f>SUMPRODUCT(M2455:X2455,$M$2:$X$2)*$K2455*$L2455</f>
        <v/>
      </c>
      <c r="Z2455" s="14">
        <f>SUM(M2455:X2455)</f>
        <v/>
      </c>
      <c r="AA2455" s="14">
        <f>IFERROR(IF(UPPER($E2455)="L",SUMPRODUCT(M2455:X2455,$M$3:$X$3,$M$2:$X$2),SUMPRODUCT(M2455:X2455,$M$4:$X$4,$M$2:$X$2))/(Y2455/($K2455*$L2455)),"")</f>
        <v/>
      </c>
      <c r="AB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7" t="n"/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/>
      <c r="Y2456" s="13">
        <f>SUMPRODUCT(M2456:X2456,$M$2:$X$2)*$K2456*$L2456</f>
        <v/>
      </c>
      <c r="Z2456" s="14">
        <f>SUM(M2456:X2456)</f>
        <v/>
      </c>
      <c r="AA2456" s="14">
        <f>IFERROR(IF(UPPER($E2456)="L",SUMPRODUCT(M2456:X2456,$M$3:$X$3,$M$2:$X$2),SUMPRODUCT(M2456:X2456,$M$4:$X$4,$M$2:$X$2))/(Y2456/($K2456*$L2456)),"")</f>
        <v/>
      </c>
      <c r="AB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n"/>
      <c r="G2457" s="9" t="n">
        <v>168</v>
      </c>
      <c r="H2457" s="9" t="n">
        <v>1713</v>
      </c>
      <c r="I2457" s="9" t="inlineStr">
        <is>
          <t>Utility OF / 4th OF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7" t="n"/>
      <c r="N2457" s="17" t="n"/>
      <c r="O2457" s="17" t="n"/>
      <c r="P2457" s="17" t="n"/>
      <c r="Q2457" s="17" t="n"/>
      <c r="R2457" s="17" t="n"/>
      <c r="S2457" s="17" t="n"/>
      <c r="T2457" s="17" t="n"/>
      <c r="U2457" s="17" t="n"/>
      <c r="V2457" s="17" t="n"/>
      <c r="W2457" s="17" t="n"/>
      <c r="X2457" s="17" t="n"/>
      <c r="Y2457" s="13">
        <f>SUMPRODUCT(M2457:X2457,$M$2:$X$2)*$K2457*$L2457</f>
        <v/>
      </c>
      <c r="Z2457" s="14">
        <f>SUM(M2457:X2457)</f>
        <v/>
      </c>
      <c r="AA2457" s="14">
        <f>IFERROR(IF(UPPER($E2457)="L",SUMPRODUCT(M2457:X2457,$M$3:$X$3,$M$2:$X$2),SUMPRODUCT(M2457:X2457,$M$4:$X$4,$M$2:$X$2))/(Y2457/($K2457*$L2457)),"")</f>
        <v/>
      </c>
      <c r="AB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7" t="n"/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/>
      <c r="Y2458" s="13">
        <f>SUMPRODUCT(M2458:X2458,$M$2:$X$2)*$K2458*$L2458</f>
        <v/>
      </c>
      <c r="Z2458" s="14">
        <f>SUM(M2458:X2458)</f>
        <v/>
      </c>
      <c r="AA2458" s="14">
        <f>IFERROR(IF(UPPER($E2458)="L",SUMPRODUCT(M2458:X2458,$M$3:$X$3,$M$2:$X$2),SUMPRODUCT(M2458:X2458,$M$4:$X$4,$M$2:$X$2))/(Y2458/($K2458*$L2458)),"")</f>
        <v/>
      </c>
      <c r="AB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7" t="n"/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/>
      <c r="Y2459" s="13">
        <f>SUMPRODUCT(M2459:X2459,$M$2:$X$2)*$K2459*$L2459</f>
        <v/>
      </c>
      <c r="Z2459" s="14">
        <f>SUM(M2459:X2459)</f>
        <v/>
      </c>
      <c r="AA2459" s="14">
        <f>IFERROR(IF(UPPER($E2459)="L",SUMPRODUCT(M2459:X2459,$M$3:$X$3,$M$2:$X$2),SUMPRODUCT(M2459:X2459,$M$4:$X$4,$M$2:$X$2))/(Y2459/($K2459*$L2459)),"")</f>
        <v/>
      </c>
      <c r="AB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7" t="n"/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/>
      <c r="Y2460" s="13">
        <f>SUMPRODUCT(M2460:X2460,$M$2:$X$2)*$K2460*$L2460</f>
        <v/>
      </c>
      <c r="Z2460" s="14">
        <f>SUM(M2460:X2460)</f>
        <v/>
      </c>
      <c r="AA2460" s="14">
        <f>IFERROR(IF(UPPER($E2460)="L",SUMPRODUCT(M2460:X2460,$M$3:$X$3,$M$2:$X$2),SUMPRODUCT(M2460:X2460,$M$4:$X$4,$M$2:$X$2))/(Y2460/($K2460*$L2460)),"")</f>
        <v/>
      </c>
      <c r="AB2460" s="18" t="n"/>
    </row>
    <row r="2461">
      <c r="A2461" s="9" t="n">
        <v>802355</v>
      </c>
      <c r="B2461" s="9" t="inlineStr">
        <is>
          <t>Tanner Schobel</t>
        </is>
      </c>
      <c r="C2461" s="9" t="inlineStr">
        <is>
          <t>MIN</t>
        </is>
      </c>
      <c r="D2461" s="9" t="n">
        <v>25</v>
      </c>
      <c r="E2461" s="16" t="inlineStr">
        <is>
          <t>R</t>
        </is>
      </c>
      <c r="F2461" s="16" t="n"/>
      <c r="G2461" s="9" t="n">
        <v>203.0769230769231</v>
      </c>
      <c r="H2461" s="9" t="n">
        <v>203.0769230769231</v>
      </c>
      <c r="I2461" s="9" t="inlineStr">
        <is>
          <t>Depth (no MLB PA)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7" t="n"/>
      <c r="N2461" s="17" t="n"/>
      <c r="O2461" s="17" t="n"/>
      <c r="P2461" s="17" t="n"/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3">
        <f>SUMPRODUCT(M2461:X2461,$M$2:$X$2)*$K2461*$L2461</f>
        <v/>
      </c>
      <c r="Z2461" s="14">
        <f>SUM(M2461:X2461)</f>
        <v/>
      </c>
      <c r="AA2461" s="14">
        <f>IFERROR(IF(UPPER($E2461)="L",SUMPRODUCT(M2461:X2461,$M$3:$X$3,$M$2:$X$2),SUMPRODUCT(M2461:X2461,$M$4:$X$4,$M$2:$X$2))/(Y2461/($K2461*$L2461)),"")</f>
        <v/>
      </c>
      <c r="AB2461" s="18" t="n"/>
    </row>
    <row r="2462">
      <c r="A2462" s="9" t="n">
        <v>694497</v>
      </c>
      <c r="B2462" s="9" t="inlineStr">
        <is>
          <t>Evan Carter</t>
        </is>
      </c>
      <c r="C2462" s="9" t="inlineStr">
        <is>
          <t>TEX</t>
        </is>
      </c>
      <c r="D2462" s="9" t="n">
        <v>24</v>
      </c>
      <c r="E2462" s="16" t="inlineStr">
        <is>
          <t>L</t>
        </is>
      </c>
      <c r="F2462" s="16" t="n"/>
      <c r="G2462" s="9" t="n">
        <v>455</v>
      </c>
      <c r="H2462" s="9" t="n">
        <v>912</v>
      </c>
      <c r="I2462" s="9" t="inlineStr">
        <is>
          <t>Full Time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7" t="n"/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/>
      <c r="Y2462" s="13">
        <f>SUMPRODUCT(M2462:X2462,$M$2:$X$2)*$K2462*$L2462</f>
        <v/>
      </c>
      <c r="Z2462" s="14">
        <f>SUM(M2462:X2462)</f>
        <v/>
      </c>
      <c r="AA2462" s="14">
        <f>IFERROR(IF(UPPER($E2462)="L",SUMPRODUCT(M2462:X2462,$M$3:$X$3,$M$2:$X$2),SUMPRODUCT(M2462:X2462,$M$4:$X$4,$M$2:$X$2))/(Y2462/($K2462*$L2462)),"")</f>
        <v/>
      </c>
      <c r="AB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n"/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7" t="n"/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/>
      <c r="W2463" s="17" t="n"/>
      <c r="X2463" s="17" t="n"/>
      <c r="Y2463" s="13">
        <f>SUMPRODUCT(M2463:X2463,$M$2:$X$2)*$K2463*$L2463</f>
        <v/>
      </c>
      <c r="Z2463" s="14">
        <f>SUM(M2463:X2463)</f>
        <v/>
      </c>
      <c r="AA2463" s="14">
        <f>IFERROR(IF(UPPER($E2463)="L",SUMPRODUCT(M2463:X2463,$M$3:$X$3,$M$2:$X$2),SUMPRODUCT(M2463:X2463,$M$4:$X$4,$M$2:$X$2))/(Y2463/($K2463*$L2463)),"")</f>
        <v/>
      </c>
      <c r="AB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n"/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7" t="n"/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/>
      <c r="Y2464" s="13">
        <f>SUMPRODUCT(M2464:X2464,$M$2:$X$2)*$K2464*$L2464</f>
        <v/>
      </c>
      <c r="Z2464" s="14">
        <f>SUM(M2464:X2464)</f>
        <v/>
      </c>
      <c r="AA2464" s="14">
        <f>IFERROR(IF(UPPER($E2464)="L",SUMPRODUCT(M2464:X2464,$M$3:$X$3,$M$2:$X$2),SUMPRODUCT(M2464:X2464,$M$4:$X$4,$M$2:$X$2))/(Y2464/($K2464*$L2464)),"")</f>
        <v/>
      </c>
      <c r="AB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7" t="n"/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/>
      <c r="Y2465" s="13">
        <f>SUMPRODUCT(M2465:X2465,$M$2:$X$2)*$K2465*$L2465</f>
        <v/>
      </c>
      <c r="Z2465" s="14">
        <f>SUM(M2465:X2465)</f>
        <v/>
      </c>
      <c r="AA2465" s="14">
        <f>IFERROR(IF(UPPER($E2465)="L",SUMPRODUCT(M2465:X2465,$M$3:$X$3,$M$2:$X$2),SUMPRODUCT(M2465:X2465,$M$4:$X$4,$M$2:$X$2))/(Y2465/($K2465*$L2465)),"")</f>
        <v/>
      </c>
      <c r="AB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7" t="n"/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/>
      <c r="Y2466" s="13">
        <f>SUMPRODUCT(M2466:X2466,$M$2:$X$2)*$K2466*$L2466</f>
        <v/>
      </c>
      <c r="Z2466" s="14">
        <f>SUM(M2466:X2466)</f>
        <v/>
      </c>
      <c r="AA2466" s="14">
        <f>IFERROR(IF(UPPER($E2466)="L",SUMPRODUCT(M2466:X2466,$M$3:$X$3,$M$2:$X$2),SUMPRODUCT(M2466:X2466,$M$4:$X$4,$M$2:$X$2))/(Y2466/($K2466*$L2466)),"")</f>
        <v/>
      </c>
      <c r="AB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n"/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7" t="n"/>
      <c r="N2467" s="17" t="n"/>
      <c r="O2467" s="17" t="n"/>
      <c r="P2467" s="17" t="n"/>
      <c r="Q2467" s="17" t="n"/>
      <c r="R2467" s="17" t="n"/>
      <c r="S2467" s="17" t="n"/>
      <c r="T2467" s="17" t="n"/>
      <c r="U2467" s="17" t="n"/>
      <c r="V2467" s="17" t="n"/>
      <c r="W2467" s="17" t="n"/>
      <c r="X2467" s="17" t="n"/>
      <c r="Y2467" s="13">
        <f>SUMPRODUCT(M2467:X2467,$M$2:$X$2)*$K2467*$L2467</f>
        <v/>
      </c>
      <c r="Z2467" s="14">
        <f>SUM(M2467:X2467)</f>
        <v/>
      </c>
      <c r="AA2467" s="14">
        <f>IFERROR(IF(UPPER($E2467)="L",SUMPRODUCT(M2467:X2467,$M$3:$X$3,$M$2:$X$2),SUMPRODUCT(M2467:X2467,$M$4:$X$4,$M$2:$X$2))/(Y2467/($K2467*$L2467)),"")</f>
        <v/>
      </c>
      <c r="AB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7" t="n"/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/>
      <c r="Y2468" s="13">
        <f>SUMPRODUCT(M2468:X2468,$M$2:$X$2)*$K2468*$L2468</f>
        <v/>
      </c>
      <c r="Z2468" s="14">
        <f>SUM(M2468:X2468)</f>
        <v/>
      </c>
      <c r="AA2468" s="14">
        <f>IFERROR(IF(UPPER($E2468)="L",SUMPRODUCT(M2468:X2468,$M$3:$X$3,$M$2:$X$2),SUMPRODUCT(M2468:X2468,$M$4:$X$4,$M$2:$X$2))/(Y2468/($K2468*$L2468)),"")</f>
        <v/>
      </c>
      <c r="AB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7" t="n"/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/>
      <c r="Y2469" s="13">
        <f>SUMPRODUCT(M2469:X2469,$M$2:$X$2)*$K2469*$L2469</f>
        <v/>
      </c>
      <c r="Z2469" s="14">
        <f>SUM(M2469:X2469)</f>
        <v/>
      </c>
      <c r="AA2469" s="14">
        <f>IFERROR(IF(UPPER($E2469)="L",SUMPRODUCT(M2469:X2469,$M$3:$X$3,$M$2:$X$2),SUMPRODUCT(M2469:X2469,$M$4:$X$4,$M$2:$X$2))/(Y2469/($K2469*$L2469)),"")</f>
        <v/>
      </c>
      <c r="AB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7" t="n"/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/>
      <c r="Y2470" s="13">
        <f>SUMPRODUCT(M2470:X2470,$M$2:$X$2)*$K2470*$L2470</f>
        <v/>
      </c>
      <c r="Z2470" s="14">
        <f>SUM(M2470:X2470)</f>
        <v/>
      </c>
      <c r="AA2470" s="14">
        <f>IFERROR(IF(UPPER($E2470)="L",SUMPRODUCT(M2470:X2470,$M$3:$X$3,$M$2:$X$2),SUMPRODUCT(M2470:X2470,$M$4:$X$4,$M$2:$X$2))/(Y2470/($K2470*$L2470)),"")</f>
        <v/>
      </c>
      <c r="AB2470" s="18" t="n"/>
    </row>
    <row r="2471">
      <c r="A2471" s="9" t="n">
        <v>800050</v>
      </c>
      <c r="B2471" s="9" t="inlineStr">
        <is>
          <t>Chase DeLauter</t>
        </is>
      </c>
      <c r="C2471" s="9" t="inlineStr">
        <is>
          <t>CLE</t>
        </is>
      </c>
      <c r="D2471" s="9" t="n">
        <v>25</v>
      </c>
      <c r="E2471" s="16" t="inlineStr">
        <is>
          <t>L</t>
        </is>
      </c>
      <c r="F2471" s="16" t="n"/>
      <c r="G2471" s="9" t="n">
        <v>559</v>
      </c>
      <c r="H2471" s="9" t="n">
        <v>559</v>
      </c>
      <c r="I2471" s="9" t="inlineStr">
        <is>
          <t>Full Time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7" t="n"/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/>
      <c r="Y2471" s="13">
        <f>SUMPRODUCT(M2471:X2471,$M$2:$X$2)*$K2471*$L2471</f>
        <v/>
      </c>
      <c r="Z2471" s="14">
        <f>SUM(M2471:X2471)</f>
        <v/>
      </c>
      <c r="AA2471" s="14">
        <f>IFERROR(IF(UPPER($E2471)="L",SUMPRODUCT(M2471:X2471,$M$3:$X$3,$M$2:$X$2),SUMPRODUCT(M2471:X2471,$M$4:$X$4,$M$2:$X$2))/(Y2471/($K2471*$L2471)),"")</f>
        <v/>
      </c>
      <c r="AB2471" s="18" t="n"/>
    </row>
    <row r="2472">
      <c r="A2472" s="9" t="n">
        <v>805956</v>
      </c>
      <c r="B2472" s="9" t="inlineStr">
        <is>
          <t>Kai Roberts</t>
        </is>
      </c>
      <c r="C2472" s="9" t="inlineStr">
        <is>
          <t>SD</t>
        </is>
      </c>
      <c r="D2472" s="9" t="n">
        <v>25</v>
      </c>
      <c r="E2472" s="16" t="inlineStr">
        <is>
          <t>L</t>
        </is>
      </c>
      <c r="F2472" s="16" t="n"/>
      <c r="G2472" s="9" t="n">
        <v>112</v>
      </c>
      <c r="H2472" s="9" t="n">
        <v>112</v>
      </c>
      <c r="I2472" s="9" t="inlineStr">
        <is>
          <t>Depth (no MLB PA)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7" t="n"/>
      <c r="N2472" s="17" t="n"/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3">
        <f>SUMPRODUCT(M2472:X2472,$M$2:$X$2)*$K2472*$L2472</f>
        <v/>
      </c>
      <c r="Z2472" s="14">
        <f>SUM(M2472:X2472)</f>
        <v/>
      </c>
      <c r="AA2472" s="14">
        <f>IFERROR(IF(UPPER($E2472)="L",SUMPRODUCT(M2472:X2472,$M$3:$X$3,$M$2:$X$2),SUMPRODUCT(M2472:X2472,$M$4:$X$4,$M$2:$X$2))/(Y2472/($K2472*$L2472)),"")</f>
        <v/>
      </c>
      <c r="AB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7" t="n"/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/>
      <c r="Y2473" s="13">
        <f>SUMPRODUCT(M2473:X2473,$M$2:$X$2)*$K2473*$L2473</f>
        <v/>
      </c>
      <c r="Z2473" s="14">
        <f>SUM(M2473:X2473)</f>
        <v/>
      </c>
      <c r="AA2473" s="14">
        <f>IFERROR(IF(UPPER($E2473)="L",SUMPRODUCT(M2473:X2473,$M$3:$X$3,$M$2:$X$2),SUMPRODUCT(M2473:X2473,$M$4:$X$4,$M$2:$X$2))/(Y2473/($K2473*$L2473)),"")</f>
        <v/>
      </c>
      <c r="AB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7" t="n"/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/>
      <c r="Y2474" s="13">
        <f>SUMPRODUCT(M2474:X2474,$M$2:$X$2)*$K2474*$L2474</f>
        <v/>
      </c>
      <c r="Z2474" s="14">
        <f>SUM(M2474:X2474)</f>
        <v/>
      </c>
      <c r="AA2474" s="14">
        <f>IFERROR(IF(UPPER($E2474)="L",SUMPRODUCT(M2474:X2474,$M$3:$X$3,$M$2:$X$2),SUMPRODUCT(M2474:X2474,$M$4:$X$4,$M$2:$X$2))/(Y2474/($K2474*$L2474)),"")</f>
        <v/>
      </c>
      <c r="AB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7" t="n"/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/>
      <c r="Y2475" s="13">
        <f>SUMPRODUCT(M2475:X2475,$M$2:$X$2)*$K2475*$L2475</f>
        <v/>
      </c>
      <c r="Z2475" s="14">
        <f>SUM(M2475:X2475)</f>
        <v/>
      </c>
      <c r="AA2475" s="14">
        <f>IFERROR(IF(UPPER($E2475)="L",SUMPRODUCT(M2475:X2475,$M$3:$X$3,$M$2:$X$2),SUMPRODUCT(M2475:X2475,$M$4:$X$4,$M$2:$X$2))/(Y2475/($K2475*$L2475)),"")</f>
        <v/>
      </c>
      <c r="AB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7" t="n"/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/>
      <c r="Y2476" s="13">
        <f>SUMPRODUCT(M2476:X2476,$M$2:$X$2)*$K2476*$L2476</f>
        <v/>
      </c>
      <c r="Z2476" s="14">
        <f>SUM(M2476:X2476)</f>
        <v/>
      </c>
      <c r="AA2476" s="14">
        <f>IFERROR(IF(UPPER($E2476)="L",SUMPRODUCT(M2476:X2476,$M$3:$X$3,$M$2:$X$2),SUMPRODUCT(M2476:X2476,$M$4:$X$4,$M$2:$X$2))/(Y2476/($K2476*$L2476)),"")</f>
        <v/>
      </c>
      <c r="AB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7" t="n"/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/>
      <c r="Y2477" s="13">
        <f>SUMPRODUCT(M2477:X2477,$M$2:$X$2)*$K2477*$L2477</f>
        <v/>
      </c>
      <c r="Z2477" s="14">
        <f>SUM(M2477:X2477)</f>
        <v/>
      </c>
      <c r="AA2477" s="14">
        <f>IFERROR(IF(UPPER($E2477)="L",SUMPRODUCT(M2477:X2477,$M$3:$X$3,$M$2:$X$2),SUMPRODUCT(M2477:X2477,$M$4:$X$4,$M$2:$X$2))/(Y2477/($K2477*$L2477)),"")</f>
        <v/>
      </c>
      <c r="AB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7" t="n"/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/>
      <c r="Y2478" s="13">
        <f>SUMPRODUCT(M2478:X2478,$M$2:$X$2)*$K2478*$L2478</f>
        <v/>
      </c>
      <c r="Z2478" s="14">
        <f>SUM(M2478:X2478)</f>
        <v/>
      </c>
      <c r="AA2478" s="14">
        <f>IFERROR(IF(UPPER($E2478)="L",SUMPRODUCT(M2478:X2478,$M$3:$X$3,$M$2:$X$2),SUMPRODUCT(M2478:X2478,$M$4:$X$4,$M$2:$X$2))/(Y2478/($K2478*$L2478)),"")</f>
        <v/>
      </c>
      <c r="AB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7" t="n"/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/>
      <c r="Y2479" s="13">
        <f>SUMPRODUCT(M2479:X2479,$M$2:$X$2)*$K2479*$L2479</f>
        <v/>
      </c>
      <c r="Z2479" s="14">
        <f>SUM(M2479:X2479)</f>
        <v/>
      </c>
      <c r="AA2479" s="14">
        <f>IFERROR(IF(UPPER($E2479)="L",SUMPRODUCT(M2479:X2479,$M$3:$X$3,$M$2:$X$2),SUMPRODUCT(M2479:X2479,$M$4:$X$4,$M$2:$X$2))/(Y2479/($K2479*$L2479)),"")</f>
        <v/>
      </c>
      <c r="AB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7" t="n"/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/>
      <c r="Y2480" s="13">
        <f>SUMPRODUCT(M2480:X2480,$M$2:$X$2)*$K2480*$L2480</f>
        <v/>
      </c>
      <c r="Z2480" s="14">
        <f>SUM(M2480:X2480)</f>
        <v/>
      </c>
      <c r="AA2480" s="14">
        <f>IFERROR(IF(UPPER($E2480)="L",SUMPRODUCT(M2480:X2480,$M$3:$X$3,$M$2:$X$2),SUMPRODUCT(M2480:X2480,$M$4:$X$4,$M$2:$X$2))/(Y2480/($K2480*$L2480)),"")</f>
        <v/>
      </c>
      <c r="AB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7" t="n"/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/>
      <c r="Y2481" s="13">
        <f>SUMPRODUCT(M2481:X2481,$M$2:$X$2)*$K2481*$L2481</f>
        <v/>
      </c>
      <c r="Z2481" s="14">
        <f>SUM(M2481:X2481)</f>
        <v/>
      </c>
      <c r="AA2481" s="14">
        <f>IFERROR(IF(UPPER($E2481)="L",SUMPRODUCT(M2481:X2481,$M$3:$X$3,$M$2:$X$2),SUMPRODUCT(M2481:X2481,$M$4:$X$4,$M$2:$X$2))/(Y2481/($K2481*$L2481)),"")</f>
        <v/>
      </c>
      <c r="AB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n"/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7" t="n"/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/>
      <c r="Y2482" s="13">
        <f>SUMPRODUCT(M2482:X2482,$M$2:$X$2)*$K2482*$L2482</f>
        <v/>
      </c>
      <c r="Z2482" s="14">
        <f>SUM(M2482:X2482)</f>
        <v/>
      </c>
      <c r="AA2482" s="14">
        <f>IFERROR(IF(UPPER($E2482)="L",SUMPRODUCT(M2482:X2482,$M$3:$X$3,$M$2:$X$2),SUMPRODUCT(M2482:X2482,$M$4:$X$4,$M$2:$X$2))/(Y2482/($K2482*$L2482)),"")</f>
        <v/>
      </c>
      <c r="AB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n"/>
      <c r="G2483" s="9" t="n">
        <v>370</v>
      </c>
      <c r="H2483" s="9" t="n">
        <v>894</v>
      </c>
      <c r="I2483" s="9" t="inlineStr">
        <is>
          <t>Utility OF / 4th OF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7" t="n"/>
      <c r="N2483" s="17" t="n"/>
      <c r="O2483" s="17" t="n"/>
      <c r="P2483" s="17" t="n"/>
      <c r="Q2483" s="17" t="n"/>
      <c r="R2483" s="17" t="n"/>
      <c r="S2483" s="17" t="n"/>
      <c r="T2483" s="17" t="n"/>
      <c r="U2483" s="17" t="n"/>
      <c r="V2483" s="17" t="n"/>
      <c r="W2483" s="17" t="n"/>
      <c r="X2483" s="17" t="n"/>
      <c r="Y2483" s="13">
        <f>SUMPRODUCT(M2483:X2483,$M$2:$X$2)*$K2483*$L2483</f>
        <v/>
      </c>
      <c r="Z2483" s="14">
        <f>SUM(M2483:X2483)</f>
        <v/>
      </c>
      <c r="AA2483" s="14">
        <f>IFERROR(IF(UPPER($E2483)="L",SUMPRODUCT(M2483:X2483,$M$3:$X$3,$M$2:$X$2),SUMPRODUCT(M2483:X2483,$M$4:$X$4,$M$2:$X$2))/(Y2483/($K2483*$L2483)),"")</f>
        <v/>
      </c>
      <c r="AB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7" t="n"/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/>
      <c r="Y2484" s="13">
        <f>SUMPRODUCT(M2484:X2484,$M$2:$X$2)*$K2484*$L2484</f>
        <v/>
      </c>
      <c r="Z2484" s="14">
        <f>SUM(M2484:X2484)</f>
        <v/>
      </c>
      <c r="AA2484" s="14">
        <f>IFERROR(IF(UPPER($E2484)="L",SUMPRODUCT(M2484:X2484,$M$3:$X$3,$M$2:$X$2),SUMPRODUCT(M2484:X2484,$M$4:$X$4,$M$2:$X$2))/(Y2484/($K2484*$L2484)),"")</f>
        <v/>
      </c>
      <c r="AB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7" t="n"/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/>
      <c r="Y2485" s="13">
        <f>SUMPRODUCT(M2485:X2485,$M$2:$X$2)*$K2485*$L2485</f>
        <v/>
      </c>
      <c r="Z2485" s="14">
        <f>SUM(M2485:X2485)</f>
        <v/>
      </c>
      <c r="AA2485" s="14">
        <f>IFERROR(IF(UPPER($E2485)="L",SUMPRODUCT(M2485:X2485,$M$3:$X$3,$M$2:$X$2),SUMPRODUCT(M2485:X2485,$M$4:$X$4,$M$2:$X$2))/(Y2485/($K2485*$L2485)),"")</f>
        <v/>
      </c>
      <c r="AB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7" t="n"/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/>
      <c r="Y2486" s="13">
        <f>SUMPRODUCT(M2486:X2486,$M$2:$X$2)*$K2486*$L2486</f>
        <v/>
      </c>
      <c r="Z2486" s="14">
        <f>SUM(M2486:X2486)</f>
        <v/>
      </c>
      <c r="AA2486" s="14">
        <f>IFERROR(IF(UPPER($E2486)="L",SUMPRODUCT(M2486:X2486,$M$3:$X$3,$M$2:$X$2),SUMPRODUCT(M2486:X2486,$M$4:$X$4,$M$2:$X$2))/(Y2486/($K2486*$L2486)),"")</f>
        <v/>
      </c>
      <c r="AB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7" t="n"/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/>
      <c r="Y2487" s="13">
        <f>SUMPRODUCT(M2487:X2487,$M$2:$X$2)*$K2487*$L2487</f>
        <v/>
      </c>
      <c r="Z2487" s="14">
        <f>SUM(M2487:X2487)</f>
        <v/>
      </c>
      <c r="AA2487" s="14">
        <f>IFERROR(IF(UPPER($E2487)="L",SUMPRODUCT(M2487:X2487,$M$3:$X$3,$M$2:$X$2),SUMPRODUCT(M2487:X2487,$M$4:$X$4,$M$2:$X$2))/(Y2487/($K2487*$L2487)),"")</f>
        <v/>
      </c>
      <c r="AB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n"/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7" t="n"/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/>
      <c r="W2488" s="17" t="n"/>
      <c r="X2488" s="17" t="n"/>
      <c r="Y2488" s="13">
        <f>SUMPRODUCT(M2488:X2488,$M$2:$X$2)*$K2488*$L2488</f>
        <v/>
      </c>
      <c r="Z2488" s="14">
        <f>SUM(M2488:X2488)</f>
        <v/>
      </c>
      <c r="AA2488" s="14">
        <f>IFERROR(IF(UPPER($E2488)="L",SUMPRODUCT(M2488:X2488,$M$3:$X$3,$M$2:$X$2),SUMPRODUCT(M2488:X2488,$M$4:$X$4,$M$2:$X$2))/(Y2488/($K2488*$L2488)),"")</f>
        <v/>
      </c>
      <c r="AB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7" t="n"/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/>
      <c r="Y2489" s="13">
        <f>SUMPRODUCT(M2489:X2489,$M$2:$X$2)*$K2489*$L2489</f>
        <v/>
      </c>
      <c r="Z2489" s="14">
        <f>SUM(M2489:X2489)</f>
        <v/>
      </c>
      <c r="AA2489" s="14">
        <f>IFERROR(IF(UPPER($E2489)="L",SUMPRODUCT(M2489:X2489,$M$3:$X$3,$M$2:$X$2),SUMPRODUCT(M2489:X2489,$M$4:$X$4,$M$2:$X$2))/(Y2489/($K2489*$L2489)),"")</f>
        <v/>
      </c>
      <c r="AB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7" t="n"/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/>
      <c r="Y2490" s="13">
        <f>SUMPRODUCT(M2490:X2490,$M$2:$X$2)*$K2490*$L2490</f>
        <v/>
      </c>
      <c r="Z2490" s="14">
        <f>SUM(M2490:X2490)</f>
        <v/>
      </c>
      <c r="AA2490" s="14">
        <f>IFERROR(IF(UPPER($E2490)="L",SUMPRODUCT(M2490:X2490,$M$3:$X$3,$M$2:$X$2),SUMPRODUCT(M2490:X2490,$M$4:$X$4,$M$2:$X$2))/(Y2490/($K2490*$L2490)),"")</f>
        <v/>
      </c>
      <c r="AB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n"/>
      <c r="G2491" s="9" t="n">
        <v>347</v>
      </c>
      <c r="H2491" s="9" t="n">
        <v>939</v>
      </c>
      <c r="I2491" s="9" t="inlineStr">
        <is>
          <t>Utility OF / 4th OF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7" t="n"/>
      <c r="N2491" s="17" t="n"/>
      <c r="O2491" s="17" t="n"/>
      <c r="P2491" s="17" t="n"/>
      <c r="Q2491" s="17" t="n"/>
      <c r="R2491" s="17" t="n"/>
      <c r="S2491" s="17" t="n"/>
      <c r="T2491" s="17" t="n"/>
      <c r="U2491" s="17" t="n"/>
      <c r="V2491" s="17" t="n"/>
      <c r="W2491" s="17" t="n"/>
      <c r="X2491" s="17" t="n"/>
      <c r="Y2491" s="13">
        <f>SUMPRODUCT(M2491:X2491,$M$2:$X$2)*$K2491*$L2491</f>
        <v/>
      </c>
      <c r="Z2491" s="14">
        <f>SUM(M2491:X2491)</f>
        <v/>
      </c>
      <c r="AA2491" s="14">
        <f>IFERROR(IF(UPPER($E2491)="L",SUMPRODUCT(M2491:X2491,$M$3:$X$3,$M$2:$X$2),SUMPRODUCT(M2491:X2491,$M$4:$X$4,$M$2:$X$2))/(Y2491/($K2491*$L2491)),"")</f>
        <v/>
      </c>
      <c r="AB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n"/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7" t="n"/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/>
      <c r="W2492" s="17" t="n"/>
      <c r="X2492" s="17" t="n"/>
      <c r="Y2492" s="13">
        <f>SUMPRODUCT(M2492:X2492,$M$2:$X$2)*$K2492*$L2492</f>
        <v/>
      </c>
      <c r="Z2492" s="14">
        <f>SUM(M2492:X2492)</f>
        <v/>
      </c>
      <c r="AA2492" s="14">
        <f>IFERROR(IF(UPPER($E2492)="L",SUMPRODUCT(M2492:X2492,$M$3:$X$3,$M$2:$X$2),SUMPRODUCT(M2492:X2492,$M$4:$X$4,$M$2:$X$2))/(Y2492/($K2492*$L2492)),"")</f>
        <v/>
      </c>
      <c r="AB2492" s="18" t="n"/>
    </row>
    <row r="2493">
      <c r="A2493" s="9" t="n">
        <v>670276</v>
      </c>
      <c r="B2493" s="9" t="inlineStr">
        <is>
          <t>Cal Stevenson</t>
        </is>
      </c>
      <c r="C2493" s="9" t="inlineStr">
        <is>
          <t>PHI</t>
        </is>
      </c>
      <c r="D2493" s="9" t="n">
        <v>30</v>
      </c>
      <c r="E2493" s="16" t="inlineStr">
        <is>
          <t>L</t>
        </is>
      </c>
      <c r="F2493" s="16" t="n"/>
      <c r="G2493" s="9" t="n">
        <v>8</v>
      </c>
      <c r="H2493" s="9" t="n">
        <v>118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7" t="n"/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/>
      <c r="Y2493" s="13">
        <f>SUMPRODUCT(M2493:X2493,$M$2:$X$2)*$K2493*$L2493</f>
        <v/>
      </c>
      <c r="Z2493" s="14">
        <f>SUM(M2493:X2493)</f>
        <v/>
      </c>
      <c r="AA2493" s="14">
        <f>IFERROR(IF(UPPER($E2493)="L",SUMPRODUCT(M2493:X2493,$M$3:$X$3,$M$2:$X$2),SUMPRODUCT(M2493:X2493,$M$4:$X$4,$M$2:$X$2))/(Y2493/($K2493*$L2493)),"")</f>
        <v/>
      </c>
      <c r="AB2493" s="18" t="n"/>
    </row>
    <row r="2494">
      <c r="A2494" s="9" t="n">
        <v>823153</v>
      </c>
      <c r="B2494" s="9" t="inlineStr">
        <is>
          <t>Matt King</t>
        </is>
      </c>
      <c r="C2494" s="9" t="inlineStr">
        <is>
          <t>PIT</t>
        </is>
      </c>
      <c r="D2494" s="9" t="n">
        <v>25</v>
      </c>
      <c r="E2494" s="16" t="inlineStr">
        <is>
          <t>R</t>
        </is>
      </c>
      <c r="F2494" s="16" t="n"/>
      <c r="G2494" s="9" t="n">
        <v>73.94871794871796</v>
      </c>
      <c r="H2494" s="9" t="n">
        <v>73.94871794871796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7" t="n"/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/>
      <c r="Y2494" s="13">
        <f>SUMPRODUCT(M2494:X2494,$M$2:$X$2)*$K2494*$L2494</f>
        <v/>
      </c>
      <c r="Z2494" s="14">
        <f>SUM(M2494:X2494)</f>
        <v/>
      </c>
      <c r="AA2494" s="14">
        <f>IFERROR(IF(UPPER($E2494)="L",SUMPRODUCT(M2494:X2494,$M$3:$X$3,$M$2:$X$2),SUMPRODUCT(M2494:X2494,$M$4:$X$4,$M$2:$X$2))/(Y2494/($K2494*$L2494)),"")</f>
        <v/>
      </c>
      <c r="AB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25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Opening Day</t>
        </is>
      </c>
      <c r="K2495" s="11">
        <f>IFERROR(INDEX(Roles!$B$17:$B$20,MATCH(J2495,Roles!$A$17:$A$20,0)),1)</f>
        <v/>
      </c>
      <c r="L2495" s="17" t="n">
        <v>1</v>
      </c>
      <c r="M2495" s="17" t="n"/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/>
      <c r="Y2495" s="13">
        <f>SUMPRODUCT(M2495:X2495,$M$2:$X$2)*$K2495*$L2495</f>
        <v/>
      </c>
      <c r="Z2495" s="14">
        <f>SUM(M2495:X2495)</f>
        <v/>
      </c>
      <c r="AA2495" s="14">
        <f>IFERROR(IF(UPPER($E2495)="L",SUMPRODUCT(M2495:X2495,$M$3:$X$3,$M$2:$X$2),SUMPRODUCT(M2495:X2495,$M$4:$X$4,$M$2:$X$2))/(Y2495/($K2495*$L2495)),"")</f>
        <v/>
      </c>
      <c r="AB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n"/>
      <c r="G2496" s="9" t="n">
        <v>263</v>
      </c>
      <c r="H2496" s="9" t="n">
        <v>263</v>
      </c>
      <c r="I2496" s="9" t="inlineStr">
        <is>
          <t>Utility OF / 4th OF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7" t="n"/>
      <c r="N2496" s="17" t="n"/>
      <c r="O2496" s="17" t="n"/>
      <c r="P2496" s="17" t="n"/>
      <c r="Q2496" s="17" t="n"/>
      <c r="R2496" s="17" t="n"/>
      <c r="S2496" s="17" t="n"/>
      <c r="T2496" s="17" t="n"/>
      <c r="U2496" s="17" t="n"/>
      <c r="V2496" s="17" t="n"/>
      <c r="W2496" s="17" t="n"/>
      <c r="X2496" s="17" t="n"/>
      <c r="Y2496" s="13">
        <f>SUMPRODUCT(M2496:X2496,$M$2:$X$2)*$K2496*$L2496</f>
        <v/>
      </c>
      <c r="Z2496" s="14">
        <f>SUM(M2496:X2496)</f>
        <v/>
      </c>
      <c r="AA2496" s="14">
        <f>IFERROR(IF(UPPER($E2496)="L",SUMPRODUCT(M2496:X2496,$M$3:$X$3,$M$2:$X$2),SUMPRODUCT(M2496:X2496,$M$4:$X$4,$M$2:$X$2))/(Y2496/($K2496*$L2496)),"")</f>
        <v/>
      </c>
      <c r="AB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7" t="n"/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/>
      <c r="Y2497" s="13">
        <f>SUMPRODUCT(M2497:X2497,$M$2:$X$2)*$K2497*$L2497</f>
        <v/>
      </c>
      <c r="Z2497" s="14">
        <f>SUM(M2497:X2497)</f>
        <v/>
      </c>
      <c r="AA2497" s="14">
        <f>IFERROR(IF(UPPER($E2497)="L",SUMPRODUCT(M2497:X2497,$M$3:$X$3,$M$2:$X$2),SUMPRODUCT(M2497:X2497,$M$4:$X$4,$M$2:$X$2))/(Y2497/($K2497*$L2497)),"")</f>
        <v/>
      </c>
      <c r="AB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n"/>
      <c r="G2498" s="9" t="n">
        <v>22</v>
      </c>
      <c r="H2498" s="9" t="n">
        <v>22</v>
      </c>
      <c r="I2498" s="9" t="inlineStr">
        <is>
          <t>Depth (no MLB PA)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7" t="n"/>
      <c r="N2498" s="17" t="n"/>
      <c r="O2498" s="17" t="n"/>
      <c r="P2498" s="17" t="n"/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3">
        <f>SUMPRODUCT(M2498:X2498,$M$2:$X$2)*$K2498*$L2498</f>
        <v/>
      </c>
      <c r="Z2498" s="14">
        <f>SUM(M2498:X2498)</f>
        <v/>
      </c>
      <c r="AA2498" s="14">
        <f>IFERROR(IF(UPPER($E2498)="L",SUMPRODUCT(M2498:X2498,$M$3:$X$3,$M$2:$X$2),SUMPRODUCT(M2498:X2498,$M$4:$X$4,$M$2:$X$2))/(Y2498/($K2498*$L2498)),"")</f>
        <v/>
      </c>
      <c r="AB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n"/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7" t="n"/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/>
      <c r="Y2499" s="13">
        <f>SUMPRODUCT(M2499:X2499,$M$2:$X$2)*$K2499*$L2499</f>
        <v/>
      </c>
      <c r="Z2499" s="14">
        <f>SUM(M2499:X2499)</f>
        <v/>
      </c>
      <c r="AA2499" s="14">
        <f>IFERROR(IF(UPPER($E2499)="L",SUMPRODUCT(M2499:X2499,$M$3:$X$3,$M$2:$X$2),SUMPRODUCT(M2499:X2499,$M$4:$X$4,$M$2:$X$2))/(Y2499/($K2499*$L2499)),"")</f>
        <v/>
      </c>
      <c r="AB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7" t="n"/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/>
      <c r="Y2500" s="13">
        <f>SUMPRODUCT(M2500:X2500,$M$2:$X$2)*$K2500*$L2500</f>
        <v/>
      </c>
      <c r="Z2500" s="14">
        <f>SUM(M2500:X2500)</f>
        <v/>
      </c>
      <c r="AA2500" s="14">
        <f>IFERROR(IF(UPPER($E2500)="L",SUMPRODUCT(M2500:X2500,$M$3:$X$3,$M$2:$X$2),SUMPRODUCT(M2500:X2500,$M$4:$X$4,$M$2:$X$2))/(Y2500/($K2500*$L2500)),"")</f>
        <v/>
      </c>
      <c r="AB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7" t="n"/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/>
      <c r="Y2501" s="13">
        <f>SUMPRODUCT(M2501:X2501,$M$2:$X$2)*$K2501*$L2501</f>
        <v/>
      </c>
      <c r="Z2501" s="14">
        <f>SUM(M2501:X2501)</f>
        <v/>
      </c>
      <c r="AA2501" s="14">
        <f>IFERROR(IF(UPPER($E2501)="L",SUMPRODUCT(M2501:X2501,$M$3:$X$3,$M$2:$X$2),SUMPRODUCT(M2501:X2501,$M$4:$X$4,$M$2:$X$2))/(Y2501/($K2501*$L2501)),"")</f>
        <v/>
      </c>
      <c r="AB2501" s="18" t="n"/>
    </row>
    <row r="2502">
      <c r="A2502" s="9" t="n">
        <v>595978</v>
      </c>
      <c r="B2502" s="9" t="inlineStr">
        <is>
          <t>Austin Hedges</t>
        </is>
      </c>
      <c r="C2502" s="9" t="inlineStr">
        <is>
          <t>CLE</t>
        </is>
      </c>
      <c r="D2502" s="9" t="n">
        <v>34</v>
      </c>
      <c r="E2502" s="16" t="inlineStr">
        <is>
          <t>R</t>
        </is>
      </c>
      <c r="F2502" s="16" t="n"/>
      <c r="G2502" s="9" t="n">
        <v>247</v>
      </c>
      <c r="H2502" s="9" t="n">
        <v>1123</v>
      </c>
      <c r="I2502" s="9" t="inlineStr">
        <is>
          <t>Utility OF / 4th OF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7" t="n"/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/>
      <c r="W2502" s="17" t="n"/>
      <c r="X2502" s="17" t="n"/>
      <c r="Y2502" s="13">
        <f>SUMPRODUCT(M2502:X2502,$M$2:$X$2)*$K2502*$L2502</f>
        <v/>
      </c>
      <c r="Z2502" s="14">
        <f>SUM(M2502:X2502)</f>
        <v/>
      </c>
      <c r="AA2502" s="14">
        <f>IFERROR(IF(UPPER($E2502)="L",SUMPRODUCT(M2502:X2502,$M$3:$X$3,$M$2:$X$2),SUMPRODUCT(M2502:X2502,$M$4:$X$4,$M$2:$X$2))/(Y2502/($K2502*$L2502)),"")</f>
        <v/>
      </c>
      <c r="AB2502" s="18" t="n"/>
    </row>
    <row r="2503">
      <c r="A2503" s="9" t="n">
        <v>682988</v>
      </c>
      <c r="B2503" s="9" t="inlineStr">
        <is>
          <t>Tyler Locklear</t>
        </is>
      </c>
      <c r="C2503" s="9" t="inlineStr">
        <is>
          <t>ARI</t>
        </is>
      </c>
      <c r="D2503" s="9" t="n">
        <v>26</v>
      </c>
      <c r="E2503" s="16" t="inlineStr">
        <is>
          <t>R</t>
        </is>
      </c>
      <c r="F2503" s="16" t="n"/>
      <c r="G2503" s="9" t="n">
        <v>42</v>
      </c>
      <c r="H2503" s="9" t="n">
        <v>207</v>
      </c>
      <c r="I2503" s="9" t="inlineStr">
        <is>
          <t>Bench Bat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7" t="n"/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/>
      <c r="Y2503" s="13">
        <f>SUMPRODUCT(M2503:X2503,$M$2:$X$2)*$K2503*$L2503</f>
        <v/>
      </c>
      <c r="Z2503" s="14">
        <f>SUM(M2503:X2503)</f>
        <v/>
      </c>
      <c r="AA2503" s="14">
        <f>IFERROR(IF(UPPER($E2503)="L",SUMPRODUCT(M2503:X2503,$M$3:$X$3,$M$2:$X$2),SUMPRODUCT(M2503:X2503,$M$4:$X$4,$M$2:$X$2))/(Y2503/($K2503*$L2503)),"")</f>
        <v/>
      </c>
      <c r="AB2503" s="18" t="n"/>
    </row>
    <row r="2504">
      <c r="A2504" s="9" t="n">
        <v>813666</v>
      </c>
      <c r="B2504" s="9" t="inlineStr">
        <is>
          <t>Ariel Armas</t>
        </is>
      </c>
      <c r="C2504" s="9" t="inlineStr">
        <is>
          <t>CHC</t>
        </is>
      </c>
      <c r="D2504" s="9" t="n">
        <v>25</v>
      </c>
      <c r="E2504" s="16" t="inlineStr">
        <is>
          <t>R</t>
        </is>
      </c>
      <c r="F2504" s="16" t="n"/>
      <c r="G2504" s="9" t="n">
        <v>152.5641025641026</v>
      </c>
      <c r="H2504" s="9" t="n">
        <v>152.5641025641026</v>
      </c>
      <c r="I2504" s="9" t="inlineStr">
        <is>
          <t>Depth (no MLB PA)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7" t="n"/>
      <c r="N2504" s="17" t="n"/>
      <c r="O2504" s="17" t="n"/>
      <c r="P2504" s="17" t="n"/>
      <c r="Q2504" s="17" t="n"/>
      <c r="R2504" s="17" t="n"/>
      <c r="S2504" s="17" t="n"/>
      <c r="T2504" s="17" t="n"/>
      <c r="U2504" s="17" t="n"/>
      <c r="V2504" s="17" t="n"/>
      <c r="W2504" s="17" t="n"/>
      <c r="X2504" s="17" t="n"/>
      <c r="Y2504" s="13">
        <f>SUMPRODUCT(M2504:X2504,$M$2:$X$2)*$K2504*$L2504</f>
        <v/>
      </c>
      <c r="Z2504" s="14">
        <f>SUM(M2504:X2504)</f>
        <v/>
      </c>
      <c r="AA2504" s="14">
        <f>IFERROR(IF(UPPER($E2504)="L",SUMPRODUCT(M2504:X2504,$M$3:$X$3,$M$2:$X$2),SUMPRODUCT(M2504:X2504,$M$4:$X$4,$M$2:$X$2))/(Y2504/($K2504*$L2504)),"")</f>
        <v/>
      </c>
      <c r="AB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7" t="n"/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/>
      <c r="Y2505" s="13">
        <f>SUMPRODUCT(M2505:X2505,$M$2:$X$2)*$K2505*$L2505</f>
        <v/>
      </c>
      <c r="Z2505" s="14">
        <f>SUM(M2505:X2505)</f>
        <v/>
      </c>
      <c r="AA2505" s="14">
        <f>IFERROR(IF(UPPER($E2505)="L",SUMPRODUCT(M2505:X2505,$M$3:$X$3,$M$2:$X$2),SUMPRODUCT(M2505:X2505,$M$4:$X$4,$M$2:$X$2))/(Y2505/($K2505*$L2505)),"")</f>
        <v/>
      </c>
      <c r="AB2505" s="18" t="n"/>
    </row>
    <row r="2506">
      <c r="A2506" s="9" t="n">
        <v>621545</v>
      </c>
      <c r="B2506" s="9" t="inlineStr">
        <is>
          <t>Zach Remillard</t>
        </is>
      </c>
      <c r="C2506" s="9" t="inlineStr">
        <is>
          <t>CWS</t>
        </is>
      </c>
      <c r="D2506" s="9" t="n">
        <v>33</v>
      </c>
      <c r="E2506" s="16" t="inlineStr">
        <is>
          <t>R</t>
        </is>
      </c>
      <c r="F2506" s="16" t="n"/>
      <c r="G2506" s="9" t="n">
        <v>39</v>
      </c>
      <c r="H2506" s="9" t="n">
        <v>199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7" t="n"/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/>
      <c r="Y2506" s="13">
        <f>SUMPRODUCT(M2506:X2506,$M$2:$X$2)*$K2506*$L2506</f>
        <v/>
      </c>
      <c r="Z2506" s="14">
        <f>SUM(M2506:X2506)</f>
        <v/>
      </c>
      <c r="AA2506" s="14">
        <f>IFERROR(IF(UPPER($E2506)="L",SUMPRODUCT(M2506:X2506,$M$3:$X$3,$M$2:$X$2),SUMPRODUCT(M2506:X2506,$M$4:$X$4,$M$2:$X$2))/(Y2506/($K2506*$L2506)),"")</f>
        <v/>
      </c>
      <c r="AB2506" s="18" t="n"/>
    </row>
    <row r="2507">
      <c r="A2507" s="9" t="n">
        <v>800510</v>
      </c>
      <c r="B2507" s="9" t="inlineStr">
        <is>
          <t>Samuel Gil</t>
        </is>
      </c>
      <c r="C2507" s="9" t="inlineStr">
        <is>
          <t>DET</t>
        </is>
      </c>
      <c r="D2507" s="9" t="n">
        <v>25</v>
      </c>
      <c r="E2507" s="16" t="inlineStr">
        <is>
          <t>R</t>
        </is>
      </c>
      <c r="F2507" s="16" t="n"/>
      <c r="G2507" s="9" t="n">
        <v>82.66666666666667</v>
      </c>
      <c r="H2507" s="9" t="n">
        <v>82.66666666666667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7" t="n"/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/>
      <c r="Y2507" s="13">
        <f>SUMPRODUCT(M2507:X2507,$M$2:$X$2)*$K2507*$L2507</f>
        <v/>
      </c>
      <c r="Z2507" s="14">
        <f>SUM(M2507:X2507)</f>
        <v/>
      </c>
      <c r="AA2507" s="14">
        <f>IFERROR(IF(UPPER($E2507)="L",SUMPRODUCT(M2507:X2507,$M$3:$X$3,$M$2:$X$2),SUMPRODUCT(M2507:X2507,$M$4:$X$4,$M$2:$X$2))/(Y2507/($K2507*$L2507)),"")</f>
        <v/>
      </c>
      <c r="AB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7" t="n"/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/>
      <c r="Y2508" s="13">
        <f>SUMPRODUCT(M2508:X2508,$M$2:$X$2)*$K2508*$L2508</f>
        <v/>
      </c>
      <c r="Z2508" s="14">
        <f>SUM(M2508:X2508)</f>
        <v/>
      </c>
      <c r="AA2508" s="14">
        <f>IFERROR(IF(UPPER($E2508)="L",SUMPRODUCT(M2508:X2508,$M$3:$X$3,$M$2:$X$2),SUMPRODUCT(M2508:X2508,$M$4:$X$4,$M$2:$X$2))/(Y2508/($K2508*$L2508)),"")</f>
        <v/>
      </c>
      <c r="AB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7" t="n"/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/>
      <c r="Y2509" s="13">
        <f>SUMPRODUCT(M2509:X2509,$M$2:$X$2)*$K2509*$L2509</f>
        <v/>
      </c>
      <c r="Z2509" s="14">
        <f>SUM(M2509:X2509)</f>
        <v/>
      </c>
      <c r="AA2509" s="14">
        <f>IFERROR(IF(UPPER($E2509)="L",SUMPRODUCT(M2509:X2509,$M$3:$X$3,$M$2:$X$2),SUMPRODUCT(M2509:X2509,$M$4:$X$4,$M$2:$X$2))/(Y2509/($K2509*$L2509)),"")</f>
        <v/>
      </c>
      <c r="AB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n"/>
      <c r="G2510" s="9" t="n">
        <v>39</v>
      </c>
      <c r="H2510" s="9" t="n">
        <v>695</v>
      </c>
      <c r="I2510" s="9" t="inlineStr">
        <is>
          <t>Bench Bat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7" t="n"/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/>
      <c r="W2510" s="17" t="n"/>
      <c r="X2510" s="17" t="n"/>
      <c r="Y2510" s="13">
        <f>SUMPRODUCT(M2510:X2510,$M$2:$X$2)*$K2510*$L2510</f>
        <v/>
      </c>
      <c r="Z2510" s="14">
        <f>SUM(M2510:X2510)</f>
        <v/>
      </c>
      <c r="AA2510" s="14">
        <f>IFERROR(IF(UPPER($E2510)="L",SUMPRODUCT(M2510:X2510,$M$3:$X$3,$M$2:$X$2),SUMPRODUCT(M2510:X2510,$M$4:$X$4,$M$2:$X$2))/(Y2510/($K2510*$L2510)),"")</f>
        <v/>
      </c>
      <c r="AB2510" s="18" t="n"/>
    </row>
    <row r="2511">
      <c r="A2511" s="9" t="n">
        <v>694876</v>
      </c>
      <c r="B2511" s="9" t="inlineStr">
        <is>
          <t>Cooper Ingle</t>
        </is>
      </c>
      <c r="C2511" s="9" t="inlineStr">
        <is>
          <t>CLE</t>
        </is>
      </c>
      <c r="D2511" s="9" t="n">
        <v>25</v>
      </c>
      <c r="E2511" s="16" t="inlineStr">
        <is>
          <t>L</t>
        </is>
      </c>
      <c r="F2511" s="16" t="n"/>
      <c r="G2511" s="9" t="n">
        <v>24</v>
      </c>
      <c r="H2511" s="9" t="n">
        <v>24</v>
      </c>
      <c r="I2511" s="9" t="inlineStr">
        <is>
          <t>Depth (no MLB PA)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7" t="n"/>
      <c r="N2511" s="17" t="n"/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3">
        <f>SUMPRODUCT(M2511:X2511,$M$2:$X$2)*$K2511*$L2511</f>
        <v/>
      </c>
      <c r="Z2511" s="14">
        <f>SUM(M2511:X2511)</f>
        <v/>
      </c>
      <c r="AA2511" s="14">
        <f>IFERROR(IF(UPPER($E2511)="L",SUMPRODUCT(M2511:X2511,$M$3:$X$3,$M$2:$X$2),SUMPRODUCT(M2511:X2511,$M$4:$X$4,$M$2:$X$2))/(Y2511/($K2511*$L2511)),"")</f>
        <v/>
      </c>
      <c r="AB2511" s="18" t="n"/>
    </row>
    <row r="2512">
      <c r="A2512" s="9" t="n">
        <v>664058</v>
      </c>
      <c r="B2512" s="9" t="inlineStr">
        <is>
          <t>David Fletcher</t>
        </is>
      </c>
      <c r="C2512" s="9" t="inlineStr">
        <is>
          <t>LAA</t>
        </is>
      </c>
      <c r="D2512" s="9" t="n">
        <v>33</v>
      </c>
      <c r="E2512" s="16" t="inlineStr">
        <is>
          <t>R</t>
        </is>
      </c>
      <c r="F2512" s="16" t="n"/>
      <c r="G2512" s="9" t="n">
        <v>9</v>
      </c>
      <c r="H2512" s="9" t="n">
        <v>334</v>
      </c>
      <c r="I2512" s="9" t="inlineStr">
        <is>
          <t>Depth (no MLB PA)</t>
        </is>
      </c>
      <c r="J2512" s="16" t="inlineStr">
        <is>
          <t>Opening Day</t>
        </is>
      </c>
      <c r="K2512" s="11">
        <f>IFERROR(INDEX(Roles!$B$17:$B$20,MATCH(J2512,Roles!$A$17:$A$20,0)),1)</f>
        <v/>
      </c>
      <c r="L2512" s="17" t="n">
        <v>1</v>
      </c>
      <c r="M2512" s="17" t="n"/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/>
      <c r="Y2512" s="13">
        <f>SUMPRODUCT(M2512:X2512,$M$2:$X$2)*$K2512*$L2512</f>
        <v/>
      </c>
      <c r="Z2512" s="14">
        <f>SUM(M2512:X2512)</f>
        <v/>
      </c>
      <c r="AA2512" s="14">
        <f>IFERROR(IF(UPPER($E2512)="L",SUMPRODUCT(M2512:X2512,$M$3:$X$3,$M$2:$X$2),SUMPRODUCT(M2512:X2512,$M$4:$X$4,$M$2:$X$2))/(Y2512/($K2512*$L2512)),"")</f>
        <v/>
      </c>
      <c r="AB2512" s="18" t="n"/>
    </row>
    <row r="2513">
      <c r="A2513" s="9" t="n">
        <v>672640</v>
      </c>
      <c r="B2513" s="9" t="inlineStr">
        <is>
          <t>Otto Lopez</t>
        </is>
      </c>
      <c r="C2513" s="9" t="inlineStr">
        <is>
          <t>MIA</t>
        </is>
      </c>
      <c r="D2513" s="9" t="n">
        <v>28</v>
      </c>
      <c r="E2513" s="16" t="inlineStr">
        <is>
          <t>R</t>
        </is>
      </c>
      <c r="F2513" s="16" t="n"/>
      <c r="G2513" s="9" t="n">
        <v>687</v>
      </c>
      <c r="H2513" s="9" t="n">
        <v>1725</v>
      </c>
      <c r="I2513" s="9" t="inlineStr">
        <is>
          <t>Full Time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7" t="n"/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/>
      <c r="Y2513" s="13">
        <f>SUMPRODUCT(M2513:X2513,$M$2:$X$2)*$K2513*$L2513</f>
        <v/>
      </c>
      <c r="Z2513" s="14">
        <f>SUM(M2513:X2513)</f>
        <v/>
      </c>
      <c r="AA2513" s="14">
        <f>IFERROR(IF(UPPER($E2513)="L",SUMPRODUCT(M2513:X2513,$M$3:$X$3,$M$2:$X$2),SUMPRODUCT(M2513:X2513,$M$4:$X$4,$M$2:$X$2))/(Y2513/($K2513*$L2513)),"")</f>
        <v/>
      </c>
      <c r="AB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7" t="n"/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/>
      <c r="Y2514" s="13">
        <f>SUMPRODUCT(M2514:X2514,$M$2:$X$2)*$K2514*$L2514</f>
        <v/>
      </c>
      <c r="Z2514" s="14">
        <f>SUM(M2514:X2514)</f>
        <v/>
      </c>
      <c r="AA2514" s="14">
        <f>IFERROR(IF(UPPER($E2514)="L",SUMPRODUCT(M2514:X2514,$M$3:$X$3,$M$2:$X$2),SUMPRODUCT(M2514:X2514,$M$4:$X$4,$M$2:$X$2))/(Y2514/($K2514*$L2514)),"")</f>
        <v/>
      </c>
      <c r="AB2514" s="18" t="n"/>
    </row>
    <row r="2515">
      <c r="A2515" s="9" t="n">
        <v>669288</v>
      </c>
      <c r="B2515" s="9" t="inlineStr">
        <is>
          <t>Daniel Johnson</t>
        </is>
      </c>
      <c r="C2515" s="9" t="inlineStr">
        <is>
          <t>BAL</t>
        </is>
      </c>
      <c r="D2515" s="9" t="n">
        <v>31</v>
      </c>
      <c r="E2515" s="16" t="inlineStr">
        <is>
          <t>L</t>
        </is>
      </c>
      <c r="F2515" s="16" t="n"/>
      <c r="G2515" s="9" t="n">
        <v>17</v>
      </c>
      <c r="H2515" s="9" t="n">
        <v>75</v>
      </c>
      <c r="I2515" s="9" t="inlineStr">
        <is>
          <t>Bench Bat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7" t="n"/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/>
      <c r="Y2515" s="13">
        <f>SUMPRODUCT(M2515:X2515,$M$2:$X$2)*$K2515*$L2515</f>
        <v/>
      </c>
      <c r="Z2515" s="14">
        <f>SUM(M2515:X2515)</f>
        <v/>
      </c>
      <c r="AA2515" s="14">
        <f>IFERROR(IF(UPPER($E2515)="L",SUMPRODUCT(M2515:X2515,$M$3:$X$3,$M$2:$X$2),SUMPRODUCT(M2515:X2515,$M$4:$X$4,$M$2:$X$2))/(Y2515/($K2515*$L2515)),"")</f>
        <v/>
      </c>
      <c r="AB2515" s="18" t="n"/>
    </row>
    <row r="2516">
      <c r="A2516" s="9" t="n">
        <v>681098</v>
      </c>
      <c r="B2516" s="9" t="inlineStr">
        <is>
          <t>Bill Knight</t>
        </is>
      </c>
      <c r="C2516" s="9" t="inlineStr">
        <is>
          <t>SEA</t>
        </is>
      </c>
      <c r="D2516" s="9" t="n">
        <v>25</v>
      </c>
      <c r="E2516" s="16" t="inlineStr">
        <is>
          <t>R</t>
        </is>
      </c>
      <c r="F2516" s="16" t="n"/>
      <c r="G2516" s="9" t="n">
        <v>110.2051282051282</v>
      </c>
      <c r="H2516" s="9" t="n">
        <v>110.2051282051282</v>
      </c>
      <c r="I2516" s="9" t="inlineStr">
        <is>
          <t>Depth (no MLB PA)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7" t="n"/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/>
      <c r="W2516" s="17" t="n"/>
      <c r="X2516" s="17" t="n"/>
      <c r="Y2516" s="13">
        <f>SUMPRODUCT(M2516:X2516,$M$2:$X$2)*$K2516*$L2516</f>
        <v/>
      </c>
      <c r="Z2516" s="14">
        <f>SUM(M2516:X2516)</f>
        <v/>
      </c>
      <c r="AA2516" s="14">
        <f>IFERROR(IF(UPPER($E2516)="L",SUMPRODUCT(M2516:X2516,$M$3:$X$3,$M$2:$X$2),SUMPRODUCT(M2516:X2516,$M$4:$X$4,$M$2:$X$2))/(Y2516/($K2516*$L2516)),"")</f>
        <v/>
      </c>
      <c r="AB2516" s="18" t="n"/>
    </row>
    <row r="2517">
      <c r="A2517" s="9" t="n">
        <v>623205</v>
      </c>
      <c r="B2517" s="9" t="inlineStr">
        <is>
          <t>Andrew Velazquez</t>
        </is>
      </c>
      <c r="C2517" s="9" t="inlineStr">
        <is>
          <t>LAA</t>
        </is>
      </c>
      <c r="D2517" s="9" t="n">
        <v>32</v>
      </c>
      <c r="E2517" s="16" t="inlineStr">
        <is>
          <t>S</t>
        </is>
      </c>
      <c r="F2517" s="16" t="n"/>
      <c r="G2517" s="9" t="n">
        <v>15</v>
      </c>
      <c r="H2517" s="9" t="n">
        <v>458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7" t="n"/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/>
      <c r="Y2517" s="13">
        <f>SUMPRODUCT(M2517:X2517,$M$2:$X$2)*$K2517*$L2517</f>
        <v/>
      </c>
      <c r="Z2517" s="14">
        <f>SUM(M2517:X2517)</f>
        <v/>
      </c>
      <c r="AA2517" s="14">
        <f>IFERROR(IF(UPPER($E2517)="L",SUMPRODUCT(M2517:X2517,$M$3:$X$3,$M$2:$X$2),SUMPRODUCT(M2517:X2517,$M$4:$X$4,$M$2:$X$2))/(Y2517/($K2517*$L2517)),"")</f>
        <v/>
      </c>
      <c r="AB2517" s="18" t="n"/>
    </row>
    <row r="2518">
      <c r="A2518" s="9" t="n">
        <v>572761</v>
      </c>
      <c r="B2518" s="9" t="inlineStr">
        <is>
          <t>Matt Carpenter</t>
        </is>
      </c>
      <c r="C2518" s="9" t="inlineStr">
        <is>
          <t>STL</t>
        </is>
      </c>
      <c r="D2518" s="9" t="n">
        <v>41</v>
      </c>
      <c r="E2518" s="16" t="inlineStr">
        <is>
          <t>L</t>
        </is>
      </c>
      <c r="F2518" s="16" t="n"/>
      <c r="G2518" s="9" t="n">
        <v>157</v>
      </c>
      <c r="H2518" s="9" t="n">
        <v>548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7" t="n"/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/>
      <c r="Y2518" s="13">
        <f>SUMPRODUCT(M2518:X2518,$M$2:$X$2)*$K2518*$L2518</f>
        <v/>
      </c>
      <c r="Z2518" s="14">
        <f>SUM(M2518:X2518)</f>
        <v/>
      </c>
      <c r="AA2518" s="14">
        <f>IFERROR(IF(UPPER($E2518)="L",SUMPRODUCT(M2518:X2518,$M$3:$X$3,$M$2:$X$2),SUMPRODUCT(M2518:X2518,$M$4:$X$4,$M$2:$X$2))/(Y2518/($K2518*$L2518)),"")</f>
        <v/>
      </c>
      <c r="AB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7" t="n"/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/>
      <c r="Y2519" s="13">
        <f>SUMPRODUCT(M2519:X2519,$M$2:$X$2)*$K2519*$L2519</f>
        <v/>
      </c>
      <c r="Z2519" s="14">
        <f>SUM(M2519:X2519)</f>
        <v/>
      </c>
      <c r="AA2519" s="14">
        <f>IFERROR(IF(UPPER($E2519)="L",SUMPRODUCT(M2519:X2519,$M$3:$X$3,$M$2:$X$2),SUMPRODUCT(M2519:X2519,$M$4:$X$4,$M$2:$X$2))/(Y2519/($K2519*$L2519)),"")</f>
        <v/>
      </c>
      <c r="AB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7" t="n"/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/>
      <c r="Y2520" s="13">
        <f>SUMPRODUCT(M2520:X2520,$M$2:$X$2)*$K2520*$L2520</f>
        <v/>
      </c>
      <c r="Z2520" s="14">
        <f>SUM(M2520:X2520)</f>
        <v/>
      </c>
      <c r="AA2520" s="14">
        <f>IFERROR(IF(UPPER($E2520)="L",SUMPRODUCT(M2520:X2520,$M$3:$X$3,$M$2:$X$2),SUMPRODUCT(M2520:X2520,$M$4:$X$4,$M$2:$X$2))/(Y2520/($K2520*$L2520)),"")</f>
        <v/>
      </c>
      <c r="AB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7" t="n"/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/>
      <c r="Y2521" s="13">
        <f>SUMPRODUCT(M2521:X2521,$M$2:$X$2)*$K2521*$L2521</f>
        <v/>
      </c>
      <c r="Z2521" s="14">
        <f>SUM(M2521:X2521)</f>
        <v/>
      </c>
      <c r="AA2521" s="14">
        <f>IFERROR(IF(UPPER($E2521)="L",SUMPRODUCT(M2521:X2521,$M$3:$X$3,$M$2:$X$2),SUMPRODUCT(M2521:X2521,$M$4:$X$4,$M$2:$X$2))/(Y2521/($K2521*$L2521)),"")</f>
        <v/>
      </c>
      <c r="AB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n"/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7" t="n"/>
      <c r="N2522" s="17" t="n"/>
      <c r="O2522" s="17" t="n"/>
      <c r="P2522" s="17" t="n"/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3">
        <f>SUMPRODUCT(M2522:X2522,$M$2:$X$2)*$K2522*$L2522</f>
        <v/>
      </c>
      <c r="Z2522" s="14">
        <f>SUM(M2522:X2522)</f>
        <v/>
      </c>
      <c r="AA2522" s="14">
        <f>IFERROR(IF(UPPER($E2522)="L",SUMPRODUCT(M2522:X2522,$M$3:$X$3,$M$2:$X$2),SUMPRODUCT(M2522:X2522,$M$4:$X$4,$M$2:$X$2))/(Y2522/($K2522*$L2522)),"")</f>
        <v/>
      </c>
      <c r="AB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7" t="n"/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/>
      <c r="Y2523" s="13">
        <f>SUMPRODUCT(M2523:X2523,$M$2:$X$2)*$K2523*$L2523</f>
        <v/>
      </c>
      <c r="Z2523" s="14">
        <f>SUM(M2523:X2523)</f>
        <v/>
      </c>
      <c r="AA2523" s="14">
        <f>IFERROR(IF(UPPER($E2523)="L",SUMPRODUCT(M2523:X2523,$M$3:$X$3,$M$2:$X$2),SUMPRODUCT(M2523:X2523,$M$4:$X$4,$M$2:$X$2))/(Y2523/($K2523*$L2523)),"")</f>
        <v/>
      </c>
      <c r="AB2523" s="18" t="n"/>
    </row>
    <row r="2524">
      <c r="A2524" s="9" t="n">
        <v>699043</v>
      </c>
      <c r="B2524" s="9" t="inlineStr">
        <is>
          <t>Yamal Encarnacion</t>
        </is>
      </c>
      <c r="C2524" s="9" t="inlineStr">
        <is>
          <t>HOU</t>
        </is>
      </c>
      <c r="D2524" s="9" t="n">
        <v>25</v>
      </c>
      <c r="E2524" s="16" t="inlineStr">
        <is>
          <t>S</t>
        </is>
      </c>
      <c r="F2524" s="16" t="n"/>
      <c r="G2524" s="9" t="n">
        <v>138.5641025641026</v>
      </c>
      <c r="H2524" s="9" t="n">
        <v>138.5641025641026</v>
      </c>
      <c r="I2524" s="9" t="inlineStr">
        <is>
          <t>Depth (no MLB PA)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7" t="n"/>
      <c r="N2524" s="17" t="n"/>
      <c r="O2524" s="17" t="n"/>
      <c r="P2524" s="17" t="n"/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3">
        <f>SUMPRODUCT(M2524:X2524,$M$2:$X$2)*$K2524*$L2524</f>
        <v/>
      </c>
      <c r="Z2524" s="14">
        <f>SUM(M2524:X2524)</f>
        <v/>
      </c>
      <c r="AA2524" s="14">
        <f>IFERROR(IF(UPPER($E2524)="L",SUMPRODUCT(M2524:X2524,$M$3:$X$3,$M$2:$X$2),SUMPRODUCT(M2524:X2524,$M$4:$X$4,$M$2:$X$2))/(Y2524/($K2524*$L2524)),"")</f>
        <v/>
      </c>
      <c r="AB2524" s="18" t="n"/>
    </row>
    <row r="2525">
      <c r="A2525" s="9" t="n">
        <v>677008</v>
      </c>
      <c r="B2525" s="9" t="inlineStr">
        <is>
          <t>Heston Kjerstad</t>
        </is>
      </c>
      <c r="C2525" s="9" t="inlineStr">
        <is>
          <t>BAL</t>
        </is>
      </c>
      <c r="D2525" s="9" t="n">
        <v>28</v>
      </c>
      <c r="E2525" s="16" t="inlineStr">
        <is>
          <t>L</t>
        </is>
      </c>
      <c r="F2525" s="16" t="n"/>
      <c r="G2525" s="9" t="n">
        <v>19</v>
      </c>
      <c r="H2525" s="9" t="n">
        <v>333</v>
      </c>
      <c r="I2525" s="9" t="inlineStr">
        <is>
          <t>Bench Bat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7" t="n"/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/>
      <c r="Y2525" s="13">
        <f>SUMPRODUCT(M2525:X2525,$M$2:$X$2)*$K2525*$L2525</f>
        <v/>
      </c>
      <c r="Z2525" s="14">
        <f>SUM(M2525:X2525)</f>
        <v/>
      </c>
      <c r="AA2525" s="14">
        <f>IFERROR(IF(UPPER($E2525)="L",SUMPRODUCT(M2525:X2525,$M$3:$X$3,$M$2:$X$2),SUMPRODUCT(M2525:X2525,$M$4:$X$4,$M$2:$X$2))/(Y2525/($K2525*$L2525)),"")</f>
        <v/>
      </c>
      <c r="AB2525" s="18" t="n"/>
    </row>
    <row r="2526">
      <c r="A2526" s="9" t="n">
        <v>677587</v>
      </c>
      <c r="B2526" s="9" t="inlineStr">
        <is>
          <t>Brayan Rocchio</t>
        </is>
      </c>
      <c r="C2526" s="9" t="inlineStr">
        <is>
          <t>CLE</t>
        </is>
      </c>
      <c r="D2526" s="9" t="n">
        <v>26</v>
      </c>
      <c r="E2526" s="16" t="inlineStr">
        <is>
          <t>S</t>
        </is>
      </c>
      <c r="F2526" s="16" t="n"/>
      <c r="G2526" s="9" t="n">
        <v>592</v>
      </c>
      <c r="H2526" s="9" t="n">
        <v>1503</v>
      </c>
      <c r="I2526" s="9" t="inlineStr">
        <is>
          <t>Full Time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7" t="n"/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/>
      <c r="W2526" s="17" t="n"/>
      <c r="X2526" s="17" t="n"/>
      <c r="Y2526" s="13">
        <f>SUMPRODUCT(M2526:X2526,$M$2:$X$2)*$K2526*$L2526</f>
        <v/>
      </c>
      <c r="Z2526" s="14">
        <f>SUM(M2526:X2526)</f>
        <v/>
      </c>
      <c r="AA2526" s="14">
        <f>IFERROR(IF(UPPER($E2526)="L",SUMPRODUCT(M2526:X2526,$M$3:$X$3,$M$2:$X$2),SUMPRODUCT(M2526:X2526,$M$4:$X$4,$M$2:$X$2))/(Y2526/($K2526*$L2526)),"")</f>
        <v/>
      </c>
      <c r="AB2526" s="18" t="n"/>
    </row>
    <row r="2527">
      <c r="A2527" s="9" t="n">
        <v>685332</v>
      </c>
      <c r="B2527" s="9" t="inlineStr">
        <is>
          <t>Carlos Mendoza</t>
        </is>
      </c>
      <c r="C2527" s="9" t="inlineStr">
        <is>
          <t>TOR</t>
        </is>
      </c>
      <c r="D2527" s="9" t="n">
        <v>25</v>
      </c>
      <c r="E2527" s="16" t="inlineStr">
        <is>
          <t>L</t>
        </is>
      </c>
      <c r="F2527" s="16" t="n"/>
      <c r="G2527" s="9" t="n">
        <v>223.948717948718</v>
      </c>
      <c r="H2527" s="9" t="n">
        <v>223.948717948718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7" t="n"/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/>
      <c r="Y2527" s="13">
        <f>SUMPRODUCT(M2527:X2527,$M$2:$X$2)*$K2527*$L2527</f>
        <v/>
      </c>
      <c r="Z2527" s="14">
        <f>SUM(M2527:X2527)</f>
        <v/>
      </c>
      <c r="AA2527" s="14">
        <f>IFERROR(IF(UPPER($E2527)="L",SUMPRODUCT(M2527:X2527,$M$3:$X$3,$M$2:$X$2),SUMPRODUCT(M2527:X2527,$M$4:$X$4,$M$2:$X$2))/(Y2527/($K2527*$L2527)),"")</f>
        <v/>
      </c>
      <c r="AB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n"/>
      <c r="G2528" s="9" t="n">
        <v>420</v>
      </c>
      <c r="H2528" s="9" t="n">
        <v>2957</v>
      </c>
      <c r="I2528" s="9" t="inlineStr">
        <is>
          <t>Full Time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7" t="n"/>
      <c r="N2528" s="17" t="n"/>
      <c r="O2528" s="17" t="n"/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3">
        <f>SUMPRODUCT(M2528:X2528,$M$2:$X$2)*$K2528*$L2528</f>
        <v/>
      </c>
      <c r="Z2528" s="14">
        <f>SUM(M2528:X2528)</f>
        <v/>
      </c>
      <c r="AA2528" s="14">
        <f>IFERROR(IF(UPPER($E2528)="L",SUMPRODUCT(M2528:X2528,$M$3:$X$3,$M$2:$X$2),SUMPRODUCT(M2528:X2528,$M$4:$X$4,$M$2:$X$2))/(Y2528/($K2528*$L2528)),"")</f>
        <v/>
      </c>
      <c r="AB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n"/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7" t="n"/>
      <c r="N2529" s="17" t="n"/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3">
        <f>SUMPRODUCT(M2529:X2529,$M$2:$X$2)*$K2529*$L2529</f>
        <v/>
      </c>
      <c r="Z2529" s="14">
        <f>SUM(M2529:X2529)</f>
        <v/>
      </c>
      <c r="AA2529" s="14">
        <f>IFERROR(IF(UPPER($E2529)="L",SUMPRODUCT(M2529:X2529,$M$3:$X$3,$M$2:$X$2),SUMPRODUCT(M2529:X2529,$M$4:$X$4,$M$2:$X$2))/(Y2529/($K2529*$L2529)),"")</f>
        <v/>
      </c>
      <c r="AB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n"/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7" t="n"/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/>
      <c r="Y2530" s="13">
        <f>SUMPRODUCT(M2530:X2530,$M$2:$X$2)*$K2530*$L2530</f>
        <v/>
      </c>
      <c r="Z2530" s="14">
        <f>SUM(M2530:X2530)</f>
        <v/>
      </c>
      <c r="AA2530" s="14">
        <f>IFERROR(IF(UPPER($E2530)="L",SUMPRODUCT(M2530:X2530,$M$3:$X$3,$M$2:$X$2),SUMPRODUCT(M2530:X2530,$M$4:$X$4,$M$2:$X$2))/(Y2530/($K2530*$L2530)),"")</f>
        <v/>
      </c>
      <c r="AB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7" t="n"/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/>
      <c r="Y2531" s="13">
        <f>SUMPRODUCT(M2531:X2531,$M$2:$X$2)*$K2531*$L2531</f>
        <v/>
      </c>
      <c r="Z2531" s="14">
        <f>SUM(M2531:X2531)</f>
        <v/>
      </c>
      <c r="AA2531" s="14">
        <f>IFERROR(IF(UPPER($E2531)="L",SUMPRODUCT(M2531:X2531,$M$3:$X$3,$M$2:$X$2),SUMPRODUCT(M2531:X2531,$M$4:$X$4,$M$2:$X$2))/(Y2531/($K2531*$L2531)),"")</f>
        <v/>
      </c>
      <c r="AB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n"/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7" t="n"/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/>
      <c r="Y2532" s="13">
        <f>SUMPRODUCT(M2532:X2532,$M$2:$X$2)*$K2532*$L2532</f>
        <v/>
      </c>
      <c r="Z2532" s="14">
        <f>SUM(M2532:X2532)</f>
        <v/>
      </c>
      <c r="AA2532" s="14">
        <f>IFERROR(IF(UPPER($E2532)="L",SUMPRODUCT(M2532:X2532,$M$3:$X$3,$M$2:$X$2),SUMPRODUCT(M2532:X2532,$M$4:$X$4,$M$2:$X$2))/(Y2532/($K2532*$L2532)),"")</f>
        <v/>
      </c>
      <c r="AB2532" s="18" t="n"/>
    </row>
    <row r="2533">
      <c r="A2533" s="9" t="n">
        <v>692348</v>
      </c>
      <c r="B2533" s="9" t="inlineStr">
        <is>
          <t>Aeverson Arteaga</t>
        </is>
      </c>
      <c r="C2533" s="9" t="inlineStr">
        <is>
          <t>SF</t>
        </is>
      </c>
      <c r="D2533" s="9" t="n">
        <v>25</v>
      </c>
      <c r="E2533" s="16" t="inlineStr">
        <is>
          <t>R</t>
        </is>
      </c>
      <c r="F2533" s="16" t="n"/>
      <c r="G2533" s="9" t="n">
        <v>163.5897435897436</v>
      </c>
      <c r="H2533" s="9" t="n">
        <v>163.5897435897436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7" t="n"/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/>
      <c r="Y2533" s="13">
        <f>SUMPRODUCT(M2533:X2533,$M$2:$X$2)*$K2533*$L2533</f>
        <v/>
      </c>
      <c r="Z2533" s="14">
        <f>SUM(M2533:X2533)</f>
        <v/>
      </c>
      <c r="AA2533" s="14">
        <f>IFERROR(IF(UPPER($E2533)="L",SUMPRODUCT(M2533:X2533,$M$3:$X$3,$M$2:$X$2),SUMPRODUCT(M2533:X2533,$M$4:$X$4,$M$2:$X$2))/(Y2533/($K2533*$L2533)),"")</f>
        <v/>
      </c>
      <c r="AB2533" s="18" t="n"/>
    </row>
    <row r="2534">
      <c r="A2534" s="9" t="n">
        <v>836058</v>
      </c>
      <c r="B2534" s="9" t="inlineStr">
        <is>
          <t>Ely Brown</t>
        </is>
      </c>
      <c r="C2534" s="9" t="inlineStr">
        <is>
          <t>CWS</t>
        </is>
      </c>
      <c r="D2534" s="9" t="n">
        <v>25</v>
      </c>
      <c r="E2534" s="16" t="inlineStr">
        <is>
          <t>L</t>
        </is>
      </c>
      <c r="F2534" s="16" t="n"/>
      <c r="G2534" s="9" t="n">
        <v>106.8717948717949</v>
      </c>
      <c r="H2534" s="9" t="n">
        <v>106.8717948717949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7" t="n"/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/>
      <c r="Y2534" s="13">
        <f>SUMPRODUCT(M2534:X2534,$M$2:$X$2)*$K2534*$L2534</f>
        <v/>
      </c>
      <c r="Z2534" s="14">
        <f>SUM(M2534:X2534)</f>
        <v/>
      </c>
      <c r="AA2534" s="14">
        <f>IFERROR(IF(UPPER($E2534)="L",SUMPRODUCT(M2534:X2534,$M$3:$X$3,$M$2:$X$2),SUMPRODUCT(M2534:X2534,$M$4:$X$4,$M$2:$X$2))/(Y2534/($K2534*$L2534)),"")</f>
        <v/>
      </c>
      <c r="AB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n"/>
      <c r="G2535" s="9" t="n">
        <v>189</v>
      </c>
      <c r="H2535" s="9" t="n">
        <v>189</v>
      </c>
      <c r="I2535" s="9" t="inlineStr">
        <is>
          <t>Bench Bat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7" t="n"/>
      <c r="N2535" s="17" t="n"/>
      <c r="O2535" s="17" t="n"/>
      <c r="P2535" s="17" t="n"/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3">
        <f>SUMPRODUCT(M2535:X2535,$M$2:$X$2)*$K2535*$L2535</f>
        <v/>
      </c>
      <c r="Z2535" s="14">
        <f>SUM(M2535:X2535)</f>
        <v/>
      </c>
      <c r="AA2535" s="14">
        <f>IFERROR(IF(UPPER($E2535)="L",SUMPRODUCT(M2535:X2535,$M$3:$X$3,$M$2:$X$2),SUMPRODUCT(M2535:X2535,$M$4:$X$4,$M$2:$X$2))/(Y2535/($K2535*$L2535)),"")</f>
        <v/>
      </c>
      <c r="AB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n"/>
      <c r="G2536" s="9" t="n">
        <v>146</v>
      </c>
      <c r="H2536" s="9" t="n">
        <v>1559</v>
      </c>
      <c r="I2536" s="9" t="inlineStr">
        <is>
          <t>Utility OF / 4th OF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7" t="n"/>
      <c r="N2536" s="17" t="n"/>
      <c r="O2536" s="17" t="n"/>
      <c r="P2536" s="17" t="n"/>
      <c r="Q2536" s="17" t="n"/>
      <c r="R2536" s="17" t="n"/>
      <c r="S2536" s="17" t="n"/>
      <c r="T2536" s="17" t="n"/>
      <c r="U2536" s="17" t="n"/>
      <c r="V2536" s="17" t="n"/>
      <c r="W2536" s="17" t="n"/>
      <c r="X2536" s="17" t="n"/>
      <c r="Y2536" s="13">
        <f>SUMPRODUCT(M2536:X2536,$M$2:$X$2)*$K2536*$L2536</f>
        <v/>
      </c>
      <c r="Z2536" s="14">
        <f>SUM(M2536:X2536)</f>
        <v/>
      </c>
      <c r="AA2536" s="14">
        <f>IFERROR(IF(UPPER($E2536)="L",SUMPRODUCT(M2536:X2536,$M$3:$X$3,$M$2:$X$2),SUMPRODUCT(M2536:X2536,$M$4:$X$4,$M$2:$X$2))/(Y2536/($K2536*$L2536)),"")</f>
        <v/>
      </c>
      <c r="AB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7" t="n"/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/>
      <c r="Y2537" s="13">
        <f>SUMPRODUCT(M2537:X2537,$M$2:$X$2)*$K2537*$L2537</f>
        <v/>
      </c>
      <c r="Z2537" s="14">
        <f>SUM(M2537:X2537)</f>
        <v/>
      </c>
      <c r="AA2537" s="14">
        <f>IFERROR(IF(UPPER($E2537)="L",SUMPRODUCT(M2537:X2537,$M$3:$X$3,$M$2:$X$2),SUMPRODUCT(M2537:X2537,$M$4:$X$4,$M$2:$X$2))/(Y2537/($K2537*$L2537)),"")</f>
        <v/>
      </c>
      <c r="AB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n"/>
      <c r="G2538" s="9" t="n">
        <v>456</v>
      </c>
      <c r="H2538" s="9" t="n">
        <v>1589</v>
      </c>
      <c r="I2538" s="9" t="inlineStr">
        <is>
          <t>Full Time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7" t="n"/>
      <c r="N2538" s="17" t="n"/>
      <c r="O2538" s="17" t="n"/>
      <c r="P2538" s="17" t="n"/>
      <c r="Q2538" s="17" t="n"/>
      <c r="R2538" s="17" t="n"/>
      <c r="S2538" s="17" t="n"/>
      <c r="T2538" s="17" t="n"/>
      <c r="U2538" s="17" t="n"/>
      <c r="V2538" s="17" t="n"/>
      <c r="W2538" s="17" t="n"/>
      <c r="X2538" s="17" t="n"/>
      <c r="Y2538" s="13">
        <f>SUMPRODUCT(M2538:X2538,$M$2:$X$2)*$K2538*$L2538</f>
        <v/>
      </c>
      <c r="Z2538" s="14">
        <f>SUM(M2538:X2538)</f>
        <v/>
      </c>
      <c r="AA2538" s="14">
        <f>IFERROR(IF(UPPER($E2538)="L",SUMPRODUCT(M2538:X2538,$M$3:$X$3,$M$2:$X$2),SUMPRODUCT(M2538:X2538,$M$4:$X$4,$M$2:$X$2))/(Y2538/($K2538*$L2538)),"")</f>
        <v/>
      </c>
      <c r="AB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n"/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7" t="n"/>
      <c r="N2539" s="17" t="n"/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3">
        <f>SUMPRODUCT(M2539:X2539,$M$2:$X$2)*$K2539*$L2539</f>
        <v/>
      </c>
      <c r="Z2539" s="14">
        <f>SUM(M2539:X2539)</f>
        <v/>
      </c>
      <c r="AA2539" s="14">
        <f>IFERROR(IF(UPPER($E2539)="L",SUMPRODUCT(M2539:X2539,$M$3:$X$3,$M$2:$X$2),SUMPRODUCT(M2539:X2539,$M$4:$X$4,$M$2:$X$2))/(Y2539/($K2539*$L2539)),"")</f>
        <v/>
      </c>
      <c r="AB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n"/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7" t="n"/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/>
      <c r="Y2540" s="13">
        <f>SUMPRODUCT(M2540:X2540,$M$2:$X$2)*$K2540*$L2540</f>
        <v/>
      </c>
      <c r="Z2540" s="14">
        <f>SUM(M2540:X2540)</f>
        <v/>
      </c>
      <c r="AA2540" s="14">
        <f>IFERROR(IF(UPPER($E2540)="L",SUMPRODUCT(M2540:X2540,$M$3:$X$3,$M$2:$X$2),SUMPRODUCT(M2540:X2540,$M$4:$X$4,$M$2:$X$2))/(Y2540/($K2540*$L2540)),"")</f>
        <v/>
      </c>
      <c r="AB2540" s="18" t="n"/>
    </row>
    <row r="2541">
      <c r="A2541" s="9" t="n">
        <v>813841</v>
      </c>
      <c r="B2541" s="9" t="inlineStr">
        <is>
          <t>Jonah Cox</t>
        </is>
      </c>
      <c r="C2541" s="9" t="inlineStr">
        <is>
          <t>SF</t>
        </is>
      </c>
      <c r="D2541" s="9" t="n">
        <v>25</v>
      </c>
      <c r="E2541" s="16" t="inlineStr">
        <is>
          <t>R</t>
        </is>
      </c>
      <c r="F2541" s="16" t="n"/>
      <c r="G2541" s="9" t="n">
        <v>169</v>
      </c>
      <c r="H2541" s="9" t="n">
        <v>169</v>
      </c>
      <c r="I2541" s="9" t="inlineStr">
        <is>
          <t>Bench Bat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7" t="n"/>
      <c r="N2541" s="17" t="n"/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3">
        <f>SUMPRODUCT(M2541:X2541,$M$2:$X$2)*$K2541*$L2541</f>
        <v/>
      </c>
      <c r="Z2541" s="14">
        <f>SUM(M2541:X2541)</f>
        <v/>
      </c>
      <c r="AA2541" s="14">
        <f>IFERROR(IF(UPPER($E2541)="L",SUMPRODUCT(M2541:X2541,$M$3:$X$3,$M$2:$X$2),SUMPRODUCT(M2541:X2541,$M$4:$X$4,$M$2:$X$2))/(Y2541/($K2541*$L2541)),"")</f>
        <v/>
      </c>
      <c r="AB2541" s="18" t="n"/>
    </row>
    <row r="2542">
      <c r="A2542" s="9" t="n">
        <v>664761</v>
      </c>
      <c r="B2542" s="9" t="inlineStr">
        <is>
          <t>Alec Bohm</t>
        </is>
      </c>
      <c r="C2542" s="9" t="inlineStr">
        <is>
          <t>PHI</t>
        </is>
      </c>
      <c r="D2542" s="9" t="n">
        <v>30</v>
      </c>
      <c r="E2542" s="16" t="inlineStr">
        <is>
          <t>R</t>
        </is>
      </c>
      <c r="F2542" s="16" t="n"/>
      <c r="G2542" s="9" t="n">
        <v>629</v>
      </c>
      <c r="H2542" s="9" t="n">
        <v>2981</v>
      </c>
      <c r="I2542" s="9" t="inlineStr">
        <is>
          <t>Full Time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7" t="n"/>
      <c r="N2542" s="17" t="n"/>
      <c r="O2542" s="17" t="n"/>
      <c r="P2542" s="17" t="n"/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3">
        <f>SUMPRODUCT(M2542:X2542,$M$2:$X$2)*$K2542*$L2542</f>
        <v/>
      </c>
      <c r="Z2542" s="14">
        <f>SUM(M2542:X2542)</f>
        <v/>
      </c>
      <c r="AA2542" s="14">
        <f>IFERROR(IF(UPPER($E2542)="L",SUMPRODUCT(M2542:X2542,$M$3:$X$3,$M$2:$X$2),SUMPRODUCT(M2542:X2542,$M$4:$X$4,$M$2:$X$2))/(Y2542/($K2542*$L2542)),"")</f>
        <v/>
      </c>
      <c r="AB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7" t="n"/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/>
      <c r="Y2543" s="13">
        <f>SUMPRODUCT(M2543:X2543,$M$2:$X$2)*$K2543*$L2543</f>
        <v/>
      </c>
      <c r="Z2543" s="14">
        <f>SUM(M2543:X2543)</f>
        <v/>
      </c>
      <c r="AA2543" s="14">
        <f>IFERROR(IF(UPPER($E2543)="L",SUMPRODUCT(M2543:X2543,$M$3:$X$3,$M$2:$X$2),SUMPRODUCT(M2543:X2543,$M$4:$X$4,$M$2:$X$2))/(Y2543/($K2543*$L2543)),"")</f>
        <v/>
      </c>
      <c r="AB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n"/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7" t="n"/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/>
      <c r="W2544" s="17" t="n"/>
      <c r="X2544" s="17" t="n"/>
      <c r="Y2544" s="13">
        <f>SUMPRODUCT(M2544:X2544,$M$2:$X$2)*$K2544*$L2544</f>
        <v/>
      </c>
      <c r="Z2544" s="14">
        <f>SUM(M2544:X2544)</f>
        <v/>
      </c>
      <c r="AA2544" s="14">
        <f>IFERROR(IF(UPPER($E2544)="L",SUMPRODUCT(M2544:X2544,$M$3:$X$3,$M$2:$X$2),SUMPRODUCT(M2544:X2544,$M$4:$X$4,$M$2:$X$2))/(Y2544/($K2544*$L2544)),"")</f>
        <v/>
      </c>
      <c r="AB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n"/>
      <c r="G2545" s="9" t="n">
        <v>6</v>
      </c>
      <c r="H2545" s="9" t="n">
        <v>6</v>
      </c>
      <c r="I2545" s="9" t="inlineStr">
        <is>
          <t>Depth (no MLB PA)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7" t="n"/>
      <c r="N2545" s="17" t="n"/>
      <c r="O2545" s="17" t="n"/>
      <c r="P2545" s="17" t="n"/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3">
        <f>SUMPRODUCT(M2545:X2545,$M$2:$X$2)*$K2545*$L2545</f>
        <v/>
      </c>
      <c r="Z2545" s="14">
        <f>SUM(M2545:X2545)</f>
        <v/>
      </c>
      <c r="AA2545" s="14">
        <f>IFERROR(IF(UPPER($E2545)="L",SUMPRODUCT(M2545:X2545,$M$3:$X$3,$M$2:$X$2),SUMPRODUCT(M2545:X2545,$M$4:$X$4,$M$2:$X$2))/(Y2545/($K2545*$L2545)),"")</f>
        <v/>
      </c>
      <c r="AB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n"/>
      <c r="G2546" s="9" t="n">
        <v>289</v>
      </c>
      <c r="H2546" s="9" t="n">
        <v>740</v>
      </c>
      <c r="I2546" s="9" t="inlineStr">
        <is>
          <t>Utility OF / 4th OF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7" t="n"/>
      <c r="N2546" s="17" t="n"/>
      <c r="O2546" s="17" t="n"/>
      <c r="P2546" s="17" t="n"/>
      <c r="Q2546" s="17" t="n"/>
      <c r="R2546" s="17" t="n"/>
      <c r="S2546" s="17" t="n"/>
      <c r="T2546" s="17" t="n"/>
      <c r="U2546" s="17" t="n"/>
      <c r="V2546" s="17" t="n"/>
      <c r="W2546" s="17" t="n"/>
      <c r="X2546" s="17" t="n"/>
      <c r="Y2546" s="13">
        <f>SUMPRODUCT(M2546:X2546,$M$2:$X$2)*$K2546*$L2546</f>
        <v/>
      </c>
      <c r="Z2546" s="14">
        <f>SUM(M2546:X2546)</f>
        <v/>
      </c>
      <c r="AA2546" s="14">
        <f>IFERROR(IF(UPPER($E2546)="L",SUMPRODUCT(M2546:X2546,$M$3:$X$3,$M$2:$X$2),SUMPRODUCT(M2546:X2546,$M$4:$X$4,$M$2:$X$2))/(Y2546/($K2546*$L2546)),"")</f>
        <v/>
      </c>
      <c r="AB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n"/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7" t="n"/>
      <c r="N2547" s="17" t="n"/>
      <c r="O2547" s="17" t="n"/>
      <c r="P2547" s="17" t="n"/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3">
        <f>SUMPRODUCT(M2547:X2547,$M$2:$X$2)*$K2547*$L2547</f>
        <v/>
      </c>
      <c r="Z2547" s="14">
        <f>SUM(M2547:X2547)</f>
        <v/>
      </c>
      <c r="AA2547" s="14">
        <f>IFERROR(IF(UPPER($E2547)="L",SUMPRODUCT(M2547:X2547,$M$3:$X$3,$M$2:$X$2),SUMPRODUCT(M2547:X2547,$M$4:$X$4,$M$2:$X$2))/(Y2547/($K2547*$L2547)),"")</f>
        <v/>
      </c>
      <c r="AB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7" t="n"/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/>
      <c r="Y2548" s="13">
        <f>SUMPRODUCT(M2548:X2548,$M$2:$X$2)*$K2548*$L2548</f>
        <v/>
      </c>
      <c r="Z2548" s="14">
        <f>SUM(M2548:X2548)</f>
        <v/>
      </c>
      <c r="AA2548" s="14">
        <f>IFERROR(IF(UPPER($E2548)="L",SUMPRODUCT(M2548:X2548,$M$3:$X$3,$M$2:$X$2),SUMPRODUCT(M2548:X2548,$M$4:$X$4,$M$2:$X$2))/(Y2548/($K2548*$L2548)),"")</f>
        <v/>
      </c>
      <c r="AB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n"/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7" t="n"/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/>
      <c r="W2549" s="17" t="n"/>
      <c r="X2549" s="17" t="n"/>
      <c r="Y2549" s="13">
        <f>SUMPRODUCT(M2549:X2549,$M$2:$X$2)*$K2549*$L2549</f>
        <v/>
      </c>
      <c r="Z2549" s="14">
        <f>SUM(M2549:X2549)</f>
        <v/>
      </c>
      <c r="AA2549" s="14">
        <f>IFERROR(IF(UPPER($E2549)="L",SUMPRODUCT(M2549:X2549,$M$3:$X$3,$M$2:$X$2),SUMPRODUCT(M2549:X2549,$M$4:$X$4,$M$2:$X$2))/(Y2549/($K2549*$L2549)),"")</f>
        <v/>
      </c>
      <c r="AB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n"/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7" t="n"/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/>
      <c r="W2550" s="17" t="n"/>
      <c r="X2550" s="17" t="n"/>
      <c r="Y2550" s="13">
        <f>SUMPRODUCT(M2550:X2550,$M$2:$X$2)*$K2550*$L2550</f>
        <v/>
      </c>
      <c r="Z2550" s="14">
        <f>SUM(M2550:X2550)</f>
        <v/>
      </c>
      <c r="AA2550" s="14">
        <f>IFERROR(IF(UPPER($E2550)="L",SUMPRODUCT(M2550:X2550,$M$3:$X$3,$M$2:$X$2),SUMPRODUCT(M2550:X2550,$M$4:$X$4,$M$2:$X$2))/(Y2550/($K2550*$L2550)),"")</f>
        <v/>
      </c>
      <c r="AB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7" t="n"/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/>
      <c r="Y2551" s="13">
        <f>SUMPRODUCT(M2551:X2551,$M$2:$X$2)*$K2551*$L2551</f>
        <v/>
      </c>
      <c r="Z2551" s="14">
        <f>SUM(M2551:X2551)</f>
        <v/>
      </c>
      <c r="AA2551" s="14">
        <f>IFERROR(IF(UPPER($E2551)="L",SUMPRODUCT(M2551:X2551,$M$3:$X$3,$M$2:$X$2),SUMPRODUCT(M2551:X2551,$M$4:$X$4,$M$2:$X$2))/(Y2551/($K2551*$L2551)),"")</f>
        <v/>
      </c>
      <c r="AB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n"/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7" t="n"/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/>
      <c r="W2552" s="17" t="n"/>
      <c r="X2552" s="17" t="n"/>
      <c r="Y2552" s="13">
        <f>SUMPRODUCT(M2552:X2552,$M$2:$X$2)*$K2552*$L2552</f>
        <v/>
      </c>
      <c r="Z2552" s="14">
        <f>SUM(M2552:X2552)</f>
        <v/>
      </c>
      <c r="AA2552" s="14">
        <f>IFERROR(IF(UPPER($E2552)="L",SUMPRODUCT(M2552:X2552,$M$3:$X$3,$M$2:$X$2),SUMPRODUCT(M2552:X2552,$M$4:$X$4,$M$2:$X$2))/(Y2552/($K2552*$L2552)),"")</f>
        <v/>
      </c>
      <c r="AB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7" t="n"/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/>
      <c r="Y2553" s="13">
        <f>SUMPRODUCT(M2553:X2553,$M$2:$X$2)*$K2553*$L2553</f>
        <v/>
      </c>
      <c r="Z2553" s="14">
        <f>SUM(M2553:X2553)</f>
        <v/>
      </c>
      <c r="AA2553" s="14">
        <f>IFERROR(IF(UPPER($E2553)="L",SUMPRODUCT(M2553:X2553,$M$3:$X$3,$M$2:$X$2),SUMPRODUCT(M2553:X2553,$M$4:$X$4,$M$2:$X$2))/(Y2553/($K2553*$L2553)),"")</f>
        <v/>
      </c>
      <c r="AB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7" t="n"/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/>
      <c r="Y2554" s="13">
        <f>SUMPRODUCT(M2554:X2554,$M$2:$X$2)*$K2554*$L2554</f>
        <v/>
      </c>
      <c r="Z2554" s="14">
        <f>SUM(M2554:X2554)</f>
        <v/>
      </c>
      <c r="AA2554" s="14">
        <f>IFERROR(IF(UPPER($E2554)="L",SUMPRODUCT(M2554:X2554,$M$3:$X$3,$M$2:$X$2),SUMPRODUCT(M2554:X2554,$M$4:$X$4,$M$2:$X$2))/(Y2554/($K2554*$L2554)),"")</f>
        <v/>
      </c>
      <c r="AB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n"/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7" t="n"/>
      <c r="N2555" s="17" t="n"/>
      <c r="O2555" s="17" t="n"/>
      <c r="P2555" s="17" t="n"/>
      <c r="Q2555" s="17" t="n"/>
      <c r="R2555" s="17" t="n"/>
      <c r="S2555" s="17" t="n"/>
      <c r="T2555" s="17" t="n"/>
      <c r="U2555" s="17" t="n"/>
      <c r="V2555" s="17" t="n"/>
      <c r="W2555" s="17" t="n"/>
      <c r="X2555" s="17" t="n"/>
      <c r="Y2555" s="13">
        <f>SUMPRODUCT(M2555:X2555,$M$2:$X$2)*$K2555*$L2555</f>
        <v/>
      </c>
      <c r="Z2555" s="14">
        <f>SUM(M2555:X2555)</f>
        <v/>
      </c>
      <c r="AA2555" s="14">
        <f>IFERROR(IF(UPPER($E2555)="L",SUMPRODUCT(M2555:X2555,$M$3:$X$3,$M$2:$X$2),SUMPRODUCT(M2555:X2555,$M$4:$X$4,$M$2:$X$2))/(Y2555/($K2555*$L2555)),"")</f>
        <v/>
      </c>
      <c r="AB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n"/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7" t="n"/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/>
      <c r="Y2556" s="13">
        <f>SUMPRODUCT(M2556:X2556,$M$2:$X$2)*$K2556*$L2556</f>
        <v/>
      </c>
      <c r="Z2556" s="14">
        <f>SUM(M2556:X2556)</f>
        <v/>
      </c>
      <c r="AA2556" s="14">
        <f>IFERROR(IF(UPPER($E2556)="L",SUMPRODUCT(M2556:X2556,$M$3:$X$3,$M$2:$X$2),SUMPRODUCT(M2556:X2556,$M$4:$X$4,$M$2:$X$2))/(Y2556/($K2556*$L2556)),"")</f>
        <v/>
      </c>
      <c r="AB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n"/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7" t="n"/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/>
      <c r="W2557" s="17" t="n"/>
      <c r="X2557" s="17" t="n"/>
      <c r="Y2557" s="13">
        <f>SUMPRODUCT(M2557:X2557,$M$2:$X$2)*$K2557*$L2557</f>
        <v/>
      </c>
      <c r="Z2557" s="14">
        <f>SUM(M2557:X2557)</f>
        <v/>
      </c>
      <c r="AA2557" s="14">
        <f>IFERROR(IF(UPPER($E2557)="L",SUMPRODUCT(M2557:X2557,$M$3:$X$3,$M$2:$X$2),SUMPRODUCT(M2557:X2557,$M$4:$X$4,$M$2:$X$2))/(Y2557/($K2557*$L2557)),"")</f>
        <v/>
      </c>
      <c r="AB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n"/>
      <c r="G2558" s="9" t="n">
        <v>246</v>
      </c>
      <c r="H2558" s="9" t="n">
        <v>2132</v>
      </c>
      <c r="I2558" s="9" t="inlineStr">
        <is>
          <t>Full Time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7" t="n"/>
      <c r="N2558" s="17" t="n"/>
      <c r="O2558" s="17" t="n"/>
      <c r="P2558" s="17" t="n"/>
      <c r="Q2558" s="17" t="n"/>
      <c r="R2558" s="17" t="n"/>
      <c r="S2558" s="17" t="n"/>
      <c r="T2558" s="17" t="n"/>
      <c r="U2558" s="17" t="n"/>
      <c r="V2558" s="17" t="n"/>
      <c r="W2558" s="17" t="n"/>
      <c r="X2558" s="17" t="n"/>
      <c r="Y2558" s="13">
        <f>SUMPRODUCT(M2558:X2558,$M$2:$X$2)*$K2558*$L2558</f>
        <v/>
      </c>
      <c r="Z2558" s="14">
        <f>SUM(M2558:X2558)</f>
        <v/>
      </c>
      <c r="AA2558" s="14">
        <f>IFERROR(IF(UPPER($E2558)="L",SUMPRODUCT(M2558:X2558,$M$3:$X$3,$M$2:$X$2),SUMPRODUCT(M2558:X2558,$M$4:$X$4,$M$2:$X$2))/(Y2558/($K2558*$L2558)),"")</f>
        <v/>
      </c>
      <c r="AB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7" t="n"/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/>
      <c r="Y2559" s="13">
        <f>SUMPRODUCT(M2559:X2559,$M$2:$X$2)*$K2559*$L2559</f>
        <v/>
      </c>
      <c r="Z2559" s="14">
        <f>SUM(M2559:X2559)</f>
        <v/>
      </c>
      <c r="AA2559" s="14">
        <f>IFERROR(IF(UPPER($E2559)="L",SUMPRODUCT(M2559:X2559,$M$3:$X$3,$M$2:$X$2),SUMPRODUCT(M2559:X2559,$M$4:$X$4,$M$2:$X$2))/(Y2559/($K2559*$L2559)),"")</f>
        <v/>
      </c>
      <c r="AB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7" t="n"/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/>
      <c r="Y2560" s="13">
        <f>SUMPRODUCT(M2560:X2560,$M$2:$X$2)*$K2560*$L2560</f>
        <v/>
      </c>
      <c r="Z2560" s="14">
        <f>SUM(M2560:X2560)</f>
        <v/>
      </c>
      <c r="AA2560" s="14">
        <f>IFERROR(IF(UPPER($E2560)="L",SUMPRODUCT(M2560:X2560,$M$3:$X$3,$M$2:$X$2),SUMPRODUCT(M2560:X2560,$M$4:$X$4,$M$2:$X$2))/(Y2560/($K2560*$L2560)),"")</f>
        <v/>
      </c>
      <c r="AB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n"/>
      <c r="G2561" s="9" t="n">
        <v>426</v>
      </c>
      <c r="H2561" s="9" t="n">
        <v>853</v>
      </c>
      <c r="I2561" s="9" t="inlineStr">
        <is>
          <t>Full Time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7" t="n"/>
      <c r="N2561" s="17" t="n"/>
      <c r="O2561" s="17" t="n"/>
      <c r="P2561" s="17" t="n"/>
      <c r="Q2561" s="17" t="n"/>
      <c r="R2561" s="17" t="n"/>
      <c r="S2561" s="17" t="n"/>
      <c r="T2561" s="17" t="n"/>
      <c r="U2561" s="17" t="n"/>
      <c r="V2561" s="17" t="n"/>
      <c r="W2561" s="17" t="n"/>
      <c r="X2561" s="17" t="n"/>
      <c r="Y2561" s="13">
        <f>SUMPRODUCT(M2561:X2561,$M$2:$X$2)*$K2561*$L2561</f>
        <v/>
      </c>
      <c r="Z2561" s="14">
        <f>SUM(M2561:X2561)</f>
        <v/>
      </c>
      <c r="AA2561" s="14">
        <f>IFERROR(IF(UPPER($E2561)="L",SUMPRODUCT(M2561:X2561,$M$3:$X$3,$M$2:$X$2),SUMPRODUCT(M2561:X2561,$M$4:$X$4,$M$2:$X$2))/(Y2561/($K2561*$L2561)),"")</f>
        <v/>
      </c>
      <c r="AB2561" s="18" t="n"/>
    </row>
    <row r="2562">
      <c r="A2562" s="9" t="n">
        <v>814455</v>
      </c>
      <c r="B2562" s="9" t="inlineStr">
        <is>
          <t>Nick Mitchell</t>
        </is>
      </c>
      <c r="C2562" s="9" t="inlineStr">
        <is>
          <t>WSH</t>
        </is>
      </c>
      <c r="D2562" s="9" t="n">
        <v>25</v>
      </c>
      <c r="E2562" s="16" t="inlineStr">
        <is>
          <t>L</t>
        </is>
      </c>
      <c r="F2562" s="16" t="n"/>
      <c r="G2562" s="9" t="n">
        <v>162.2564102564102</v>
      </c>
      <c r="H2562" s="9" t="n">
        <v>162.2564102564102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7" t="n"/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/>
      <c r="Y2562" s="13">
        <f>SUMPRODUCT(M2562:X2562,$M$2:$X$2)*$K2562*$L2562</f>
        <v/>
      </c>
      <c r="Z2562" s="14">
        <f>SUM(M2562:X2562)</f>
        <v/>
      </c>
      <c r="AA2562" s="14">
        <f>IFERROR(IF(UPPER($E2562)="L",SUMPRODUCT(M2562:X2562,$M$3:$X$3,$M$2:$X$2),SUMPRODUCT(M2562:X2562,$M$4:$X$4,$M$2:$X$2))/(Y2562/($K2562*$L2562)),"")</f>
        <v/>
      </c>
      <c r="AB2562" s="18" t="n"/>
    </row>
    <row r="2563">
      <c r="A2563" s="9" t="n">
        <v>660766</v>
      </c>
      <c r="B2563" s="9" t="inlineStr">
        <is>
          <t>Juan Yepez</t>
        </is>
      </c>
      <c r="C2563" s="9" t="inlineStr">
        <is>
          <t>WSH</t>
        </is>
      </c>
      <c r="D2563" s="9" t="n">
        <v>29</v>
      </c>
      <c r="E2563" s="16" t="inlineStr">
        <is>
          <t>R</t>
        </is>
      </c>
      <c r="F2563" s="16" t="n"/>
      <c r="G2563" s="9" t="n">
        <v>249</v>
      </c>
      <c r="H2563" s="9" t="n">
        <v>588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7" t="n"/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/>
      <c r="Y2563" s="13">
        <f>SUMPRODUCT(M2563:X2563,$M$2:$X$2)*$K2563*$L2563</f>
        <v/>
      </c>
      <c r="Z2563" s="14">
        <f>SUM(M2563:X2563)</f>
        <v/>
      </c>
      <c r="AA2563" s="14">
        <f>IFERROR(IF(UPPER($E2563)="L",SUMPRODUCT(M2563:X2563,$M$3:$X$3,$M$2:$X$2),SUMPRODUCT(M2563:X2563,$M$4:$X$4,$M$2:$X$2))/(Y2563/($K2563*$L2563)),"")</f>
        <v/>
      </c>
      <c r="AB2563" s="18" t="n"/>
    </row>
    <row r="2564">
      <c r="A2564" s="9" t="n">
        <v>614173</v>
      </c>
      <c r="B2564" s="9" t="inlineStr">
        <is>
          <t>Franchy Cordero</t>
        </is>
      </c>
      <c r="C2564" s="9" t="inlineStr">
        <is>
          <t>NYY</t>
        </is>
      </c>
      <c r="D2564" s="9" t="n">
        <v>32</v>
      </c>
      <c r="E2564" s="16" t="inlineStr">
        <is>
          <t>L</t>
        </is>
      </c>
      <c r="F2564" s="16" t="n"/>
      <c r="G2564" s="9" t="n">
        <v>71</v>
      </c>
      <c r="H2564" s="9" t="n">
        <v>346</v>
      </c>
      <c r="I2564" s="9" t="inlineStr">
        <is>
          <t>Depth (no MLB PA)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7" t="n"/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/>
      <c r="W2564" s="17" t="n"/>
      <c r="X2564" s="17" t="n"/>
      <c r="Y2564" s="13">
        <f>SUMPRODUCT(M2564:X2564,$M$2:$X$2)*$K2564*$L2564</f>
        <v/>
      </c>
      <c r="Z2564" s="14">
        <f>SUM(M2564:X2564)</f>
        <v/>
      </c>
      <c r="AA2564" s="14">
        <f>IFERROR(IF(UPPER($E2564)="L",SUMPRODUCT(M2564:X2564,$M$3:$X$3,$M$2:$X$2),SUMPRODUCT(M2564:X2564,$M$4:$X$4,$M$2:$X$2))/(Y2564/($K2564*$L2564)),"")</f>
        <v/>
      </c>
      <c r="AB2564" s="18" t="n"/>
    </row>
    <row r="2565">
      <c r="A2565" s="9" t="n">
        <v>690924</v>
      </c>
      <c r="B2565" s="9" t="inlineStr">
        <is>
          <t>Braxton Fulford</t>
        </is>
      </c>
      <c r="C2565" s="9" t="inlineStr">
        <is>
          <t>COL</t>
        </is>
      </c>
      <c r="D2565" s="9" t="n">
        <v>28</v>
      </c>
      <c r="E2565" s="16" t="inlineStr">
        <is>
          <t>R</t>
        </is>
      </c>
      <c r="F2565" s="16" t="n"/>
      <c r="G2565" s="9" t="n">
        <v>85</v>
      </c>
      <c r="H2565" s="9" t="n">
        <v>205</v>
      </c>
      <c r="I2565" s="9" t="inlineStr">
        <is>
          <t>Bench Bat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7" t="n"/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/>
      <c r="Y2565" s="13">
        <f>SUMPRODUCT(M2565:X2565,$M$2:$X$2)*$K2565*$L2565</f>
        <v/>
      </c>
      <c r="Z2565" s="14">
        <f>SUM(M2565:X2565)</f>
        <v/>
      </c>
      <c r="AA2565" s="14">
        <f>IFERROR(IF(UPPER($E2565)="L",SUMPRODUCT(M2565:X2565,$M$3:$X$3,$M$2:$X$2),SUMPRODUCT(M2565:X2565,$M$4:$X$4,$M$2:$X$2))/(Y2565/($K2565*$L2565)),"")</f>
        <v/>
      </c>
      <c r="AB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n"/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7" t="n"/>
      <c r="N2566" s="17" t="n"/>
      <c r="O2566" s="17" t="n"/>
      <c r="P2566" s="17" t="n"/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3">
        <f>SUMPRODUCT(M2566:X2566,$M$2:$X$2)*$K2566*$L2566</f>
        <v/>
      </c>
      <c r="Z2566" s="14">
        <f>SUM(M2566:X2566)</f>
        <v/>
      </c>
      <c r="AA2566" s="14">
        <f>IFERROR(IF(UPPER($E2566)="L",SUMPRODUCT(M2566:X2566,$M$3:$X$3,$M$2:$X$2),SUMPRODUCT(M2566:X2566,$M$4:$X$4,$M$2:$X$2))/(Y2566/($K2566*$L2566)),"")</f>
        <v/>
      </c>
      <c r="AB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7" t="n"/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/>
      <c r="Y2567" s="13">
        <f>SUMPRODUCT(M2567:X2567,$M$2:$X$2)*$K2567*$L2567</f>
        <v/>
      </c>
      <c r="Z2567" s="14">
        <f>SUM(M2567:X2567)</f>
        <v/>
      </c>
      <c r="AA2567" s="14">
        <f>IFERROR(IF(UPPER($E2567)="L",SUMPRODUCT(M2567:X2567,$M$3:$X$3,$M$2:$X$2),SUMPRODUCT(M2567:X2567,$M$4:$X$4,$M$2:$X$2))/(Y2567/($K2567*$L2567)),"")</f>
        <v/>
      </c>
      <c r="AB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n"/>
      <c r="G2568" s="9" t="n">
        <v>180</v>
      </c>
      <c r="H2568" s="9" t="n">
        <v>527</v>
      </c>
      <c r="I2568" s="9" t="inlineStr">
        <is>
          <t>Utility OF / 4th OF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7" t="n"/>
      <c r="N2568" s="17" t="n"/>
      <c r="O2568" s="17" t="n"/>
      <c r="P2568" s="17" t="n"/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3">
        <f>SUMPRODUCT(M2568:X2568,$M$2:$X$2)*$K2568*$L2568</f>
        <v/>
      </c>
      <c r="Z2568" s="14">
        <f>SUM(M2568:X2568)</f>
        <v/>
      </c>
      <c r="AA2568" s="14">
        <f>IFERROR(IF(UPPER($E2568)="L",SUMPRODUCT(M2568:X2568,$M$3:$X$3,$M$2:$X$2),SUMPRODUCT(M2568:X2568,$M$4:$X$4,$M$2:$X$2))/(Y2568/($K2568*$L2568)),"")</f>
        <v/>
      </c>
      <c r="AB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25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Opening Day</t>
        </is>
      </c>
      <c r="K2569" s="11">
        <f>IFERROR(INDEX(Roles!$B$17:$B$20,MATCH(J2569,Roles!$A$17:$A$20,0)),1)</f>
        <v/>
      </c>
      <c r="L2569" s="17" t="n">
        <v>1</v>
      </c>
      <c r="M2569" s="17" t="n"/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/>
      <c r="Y2569" s="13">
        <f>SUMPRODUCT(M2569:X2569,$M$2:$X$2)*$K2569*$L2569</f>
        <v/>
      </c>
      <c r="Z2569" s="14">
        <f>SUM(M2569:X2569)</f>
        <v/>
      </c>
      <c r="AA2569" s="14">
        <f>IFERROR(IF(UPPER($E2569)="L",SUMPRODUCT(M2569:X2569,$M$3:$X$3,$M$2:$X$2),SUMPRODUCT(M2569:X2569,$M$4:$X$4,$M$2:$X$2))/(Y2569/($K2569*$L2569)),"")</f>
        <v/>
      </c>
      <c r="AB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7" t="n"/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/>
      <c r="Y2570" s="13">
        <f>SUMPRODUCT(M2570:X2570,$M$2:$X$2)*$K2570*$L2570</f>
        <v/>
      </c>
      <c r="Z2570" s="14">
        <f>SUM(M2570:X2570)</f>
        <v/>
      </c>
      <c r="AA2570" s="14">
        <f>IFERROR(IF(UPPER($E2570)="L",SUMPRODUCT(M2570:X2570,$M$3:$X$3,$M$2:$X$2),SUMPRODUCT(M2570:X2570,$M$4:$X$4,$M$2:$X$2))/(Y2570/($K2570*$L2570)),"")</f>
        <v/>
      </c>
      <c r="AB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7" t="n"/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/>
      <c r="Y2571" s="13">
        <f>SUMPRODUCT(M2571:X2571,$M$2:$X$2)*$K2571*$L2571</f>
        <v/>
      </c>
      <c r="Z2571" s="14">
        <f>SUM(M2571:X2571)</f>
        <v/>
      </c>
      <c r="AA2571" s="14">
        <f>IFERROR(IF(UPPER($E2571)="L",SUMPRODUCT(M2571:X2571,$M$3:$X$3,$M$2:$X$2),SUMPRODUCT(M2571:X2571,$M$4:$X$4,$M$2:$X$2))/(Y2571/($K2571*$L2571)),"")</f>
        <v/>
      </c>
      <c r="AB2571" s="18" t="n"/>
    </row>
    <row r="2572">
      <c r="A2572" s="9" t="n">
        <v>669304</v>
      </c>
      <c r="B2572" s="9" t="inlineStr">
        <is>
          <t>Jose F Miranda</t>
        </is>
      </c>
      <c r="C2572" s="9" t="inlineStr">
        <is>
          <t>MIN</t>
        </is>
      </c>
      <c r="D2572" s="9" t="n">
        <v>29</v>
      </c>
      <c r="E2572" s="16" t="inlineStr">
        <is>
          <t>R</t>
        </is>
      </c>
      <c r="F2572" s="16" t="n"/>
      <c r="G2572" s="9" t="n">
        <v>36</v>
      </c>
      <c r="H2572" s="9" t="n">
        <v>1100</v>
      </c>
      <c r="I2572" s="9" t="inlineStr">
        <is>
          <t>Bench Bat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7" t="n"/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/>
      <c r="Y2572" s="13">
        <f>SUMPRODUCT(M2572:X2572,$M$2:$X$2)*$K2572*$L2572</f>
        <v/>
      </c>
      <c r="Z2572" s="14">
        <f>SUM(M2572:X2572)</f>
        <v/>
      </c>
      <c r="AA2572" s="14">
        <f>IFERROR(IF(UPPER($E2572)="L",SUMPRODUCT(M2572:X2572,$M$3:$X$3,$M$2:$X$2),SUMPRODUCT(M2572:X2572,$M$4:$X$4,$M$2:$X$2))/(Y2572/($K2572*$L2572)),"")</f>
        <v/>
      </c>
      <c r="AB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n"/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7" t="n"/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/>
      <c r="Y2573" s="13">
        <f>SUMPRODUCT(M2573:X2573,$M$2:$X$2)*$K2573*$L2573</f>
        <v/>
      </c>
      <c r="Z2573" s="14">
        <f>SUM(M2573:X2573)</f>
        <v/>
      </c>
      <c r="AA2573" s="14">
        <f>IFERROR(IF(UPPER($E2573)="L",SUMPRODUCT(M2573:X2573,$M$3:$X$3,$M$2:$X$2),SUMPRODUCT(M2573:X2573,$M$4:$X$4,$M$2:$X$2))/(Y2573/($K2573*$L2573)),"")</f>
        <v/>
      </c>
      <c r="AB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n"/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7" t="n"/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/>
      <c r="W2574" s="17" t="n"/>
      <c r="X2574" s="17" t="n"/>
      <c r="Y2574" s="13">
        <f>SUMPRODUCT(M2574:X2574,$M$2:$X$2)*$K2574*$L2574</f>
        <v/>
      </c>
      <c r="Z2574" s="14">
        <f>SUM(M2574:X2574)</f>
        <v/>
      </c>
      <c r="AA2574" s="14">
        <f>IFERROR(IF(UPPER($E2574)="L",SUMPRODUCT(M2574:X2574,$M$3:$X$3,$M$2:$X$2),SUMPRODUCT(M2574:X2574,$M$4:$X$4,$M$2:$X$2))/(Y2574/($K2574*$L2574)),"")</f>
        <v/>
      </c>
      <c r="AB2574" s="18" t="n"/>
    </row>
    <row r="2575">
      <c r="A2575" s="9" t="n">
        <v>666931</v>
      </c>
      <c r="B2575" s="9" t="inlineStr">
        <is>
          <t>Jared Oliva</t>
        </is>
      </c>
      <c r="C2575" s="9" t="inlineStr">
        <is>
          <t>SF</t>
        </is>
      </c>
      <c r="D2575" s="9" t="n">
        <v>31</v>
      </c>
      <c r="E2575" s="16" t="inlineStr">
        <is>
          <t>R</t>
        </is>
      </c>
      <c r="F2575" s="16" t="n"/>
      <c r="G2575" s="9" t="n">
        <v>7</v>
      </c>
      <c r="H2575" s="9" t="n">
        <v>7</v>
      </c>
      <c r="I2575" s="9" t="inlineStr">
        <is>
          <t>Depth (no MLB PA)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7" t="n"/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/>
      <c r="W2575" s="17" t="n"/>
      <c r="X2575" s="17" t="n"/>
      <c r="Y2575" s="13">
        <f>SUMPRODUCT(M2575:X2575,$M$2:$X$2)*$K2575*$L2575</f>
        <v/>
      </c>
      <c r="Z2575" s="14">
        <f>SUM(M2575:X2575)</f>
        <v/>
      </c>
      <c r="AA2575" s="14">
        <f>IFERROR(IF(UPPER($E2575)="L",SUMPRODUCT(M2575:X2575,$M$3:$X$3,$M$2:$X$2),SUMPRODUCT(M2575:X2575,$M$4:$X$4,$M$2:$X$2))/(Y2575/($K2575*$L2575)),"")</f>
        <v/>
      </c>
      <c r="AB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n"/>
      <c r="G2576" s="9" t="n">
        <v>159</v>
      </c>
      <c r="H2576" s="9" t="n">
        <v>2165</v>
      </c>
      <c r="I2576" s="9" t="inlineStr">
        <is>
          <t>Full Time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7" t="n"/>
      <c r="N2576" s="17" t="n"/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/>
      <c r="X2576" s="17" t="n"/>
      <c r="Y2576" s="13">
        <f>SUMPRODUCT(M2576:X2576,$M$2:$X$2)*$K2576*$L2576</f>
        <v/>
      </c>
      <c r="Z2576" s="14">
        <f>SUM(M2576:X2576)</f>
        <v/>
      </c>
      <c r="AA2576" s="14">
        <f>IFERROR(IF(UPPER($E2576)="L",SUMPRODUCT(M2576:X2576,$M$3:$X$3,$M$2:$X$2),SUMPRODUCT(M2576:X2576,$M$4:$X$4,$M$2:$X$2))/(Y2576/($K2576*$L2576)),"")</f>
        <v/>
      </c>
      <c r="AB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n"/>
      <c r="G2577" s="9" t="n">
        <v>115</v>
      </c>
      <c r="H2577" s="9" t="n">
        <v>115</v>
      </c>
      <c r="I2577" s="9" t="inlineStr">
        <is>
          <t>Bench Bat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7" t="n"/>
      <c r="N2577" s="17" t="n"/>
      <c r="O2577" s="17" t="n"/>
      <c r="P2577" s="17" t="n"/>
      <c r="Q2577" s="17" t="n"/>
      <c r="R2577" s="17" t="n"/>
      <c r="S2577" s="17" t="n"/>
      <c r="T2577" s="17" t="n"/>
      <c r="U2577" s="17" t="n"/>
      <c r="V2577" s="17" t="n"/>
      <c r="W2577" s="17" t="n"/>
      <c r="X2577" s="17" t="n"/>
      <c r="Y2577" s="13">
        <f>SUMPRODUCT(M2577:X2577,$M$2:$X$2)*$K2577*$L2577</f>
        <v/>
      </c>
      <c r="Z2577" s="14">
        <f>SUM(M2577:X2577)</f>
        <v/>
      </c>
      <c r="AA2577" s="14">
        <f>IFERROR(IF(UPPER($E2577)="L",SUMPRODUCT(M2577:X2577,$M$3:$X$3,$M$2:$X$2),SUMPRODUCT(M2577:X2577,$M$4:$X$4,$M$2:$X$2))/(Y2577/($K2577*$L2577)),"")</f>
        <v/>
      </c>
      <c r="AB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n"/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7" t="n"/>
      <c r="N2578" s="17" t="n"/>
      <c r="O2578" s="17" t="n"/>
      <c r="P2578" s="17" t="n"/>
      <c r="Q2578" s="17" t="n"/>
      <c r="R2578" s="17" t="n"/>
      <c r="S2578" s="17" t="n"/>
      <c r="T2578" s="17" t="n"/>
      <c r="U2578" s="17" t="n"/>
      <c r="V2578" s="17" t="n"/>
      <c r="W2578" s="17" t="n"/>
      <c r="X2578" s="17" t="n"/>
      <c r="Y2578" s="13">
        <f>SUMPRODUCT(M2578:X2578,$M$2:$X$2)*$K2578*$L2578</f>
        <v/>
      </c>
      <c r="Z2578" s="14">
        <f>SUM(M2578:X2578)</f>
        <v/>
      </c>
      <c r="AA2578" s="14">
        <f>IFERROR(IF(UPPER($E2578)="L",SUMPRODUCT(M2578:X2578,$M$3:$X$3,$M$2:$X$2),SUMPRODUCT(M2578:X2578,$M$4:$X$4,$M$2:$X$2))/(Y2578/($K2578*$L2578)),"")</f>
        <v/>
      </c>
      <c r="AB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7" t="n"/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/>
      <c r="Y2579" s="13">
        <f>SUMPRODUCT(M2579:X2579,$M$2:$X$2)*$K2579*$L2579</f>
        <v/>
      </c>
      <c r="Z2579" s="14">
        <f>SUM(M2579:X2579)</f>
        <v/>
      </c>
      <c r="AA2579" s="14">
        <f>IFERROR(IF(UPPER($E2579)="L",SUMPRODUCT(M2579:X2579,$M$3:$X$3,$M$2:$X$2),SUMPRODUCT(M2579:X2579,$M$4:$X$4,$M$2:$X$2))/(Y2579/($K2579*$L2579)),"")</f>
        <v/>
      </c>
      <c r="AB2579" s="18" t="n"/>
    </row>
    <row r="2580">
      <c r="A2580" s="9" t="n">
        <v>690976</v>
      </c>
      <c r="B2580" s="9" t="inlineStr">
        <is>
          <t>Alex Freeland</t>
        </is>
      </c>
      <c r="C2580" s="9" t="inlineStr">
        <is>
          <t>LAD</t>
        </is>
      </c>
      <c r="D2580" s="9" t="n">
        <v>25</v>
      </c>
      <c r="E2580" s="16" t="inlineStr">
        <is>
          <t>S</t>
        </is>
      </c>
      <c r="F2580" s="16" t="n"/>
      <c r="G2580" s="9" t="n">
        <v>269</v>
      </c>
      <c r="H2580" s="9" t="n">
        <v>366</v>
      </c>
      <c r="I2580" s="9" t="inlineStr">
        <is>
          <t>Utility OF / 4th OF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7" t="n"/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/>
      <c r="Y2580" s="13">
        <f>SUMPRODUCT(M2580:X2580,$M$2:$X$2)*$K2580*$L2580</f>
        <v/>
      </c>
      <c r="Z2580" s="14">
        <f>SUM(M2580:X2580)</f>
        <v/>
      </c>
      <c r="AA2580" s="14">
        <f>IFERROR(IF(UPPER($E2580)="L",SUMPRODUCT(M2580:X2580,$M$3:$X$3,$M$2:$X$2),SUMPRODUCT(M2580:X2580,$M$4:$X$4,$M$2:$X$2))/(Y2580/($K2580*$L2580)),"")</f>
        <v/>
      </c>
      <c r="AB2580" s="18" t="n"/>
    </row>
    <row r="2581">
      <c r="A2581" s="9" t="n">
        <v>688005</v>
      </c>
      <c r="B2581" s="9" t="inlineStr">
        <is>
          <t>Francisco Urbaez</t>
        </is>
      </c>
      <c r="C2581" s="9" t="inlineStr">
        <is>
          <t>CIN</t>
        </is>
      </c>
      <c r="D2581" s="9" t="n">
        <v>25</v>
      </c>
      <c r="E2581" s="16" t="inlineStr">
        <is>
          <t>R</t>
        </is>
      </c>
      <c r="F2581" s="16" t="n"/>
      <c r="G2581" s="9" t="n">
        <v>260.6153846153846</v>
      </c>
      <c r="H2581" s="9" t="n">
        <v>260.6153846153846</v>
      </c>
      <c r="I2581" s="9" t="inlineStr">
        <is>
          <t>Depth (no MLB PA)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7" t="n"/>
      <c r="N2581" s="17" t="n"/>
      <c r="O2581" s="17" t="n"/>
      <c r="P2581" s="17" t="n"/>
      <c r="Q2581" s="17" t="n"/>
      <c r="R2581" s="17" t="n"/>
      <c r="S2581" s="17" t="n"/>
      <c r="T2581" s="17" t="n"/>
      <c r="U2581" s="17" t="n"/>
      <c r="V2581" s="17" t="n"/>
      <c r="W2581" s="17" t="n"/>
      <c r="X2581" s="17" t="n"/>
      <c r="Y2581" s="13">
        <f>SUMPRODUCT(M2581:X2581,$M$2:$X$2)*$K2581*$L2581</f>
        <v/>
      </c>
      <c r="Z2581" s="14">
        <f>SUM(M2581:X2581)</f>
        <v/>
      </c>
      <c r="AA2581" s="14">
        <f>IFERROR(IF(UPPER($E2581)="L",SUMPRODUCT(M2581:X2581,$M$3:$X$3,$M$2:$X$2),SUMPRODUCT(M2581:X2581,$M$4:$X$4,$M$2:$X$2))/(Y2581/($K2581*$L2581)),"")</f>
        <v/>
      </c>
      <c r="AB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n"/>
      <c r="G2582" s="9" t="n">
        <v>245</v>
      </c>
      <c r="H2582" s="9" t="n">
        <v>381</v>
      </c>
      <c r="I2582" s="9" t="inlineStr">
        <is>
          <t>Utility OF / 4th OF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7" t="n"/>
      <c r="N2582" s="17" t="n"/>
      <c r="O2582" s="17" t="n"/>
      <c r="P2582" s="17" t="n"/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3">
        <f>SUMPRODUCT(M2582:X2582,$M$2:$X$2)*$K2582*$L2582</f>
        <v/>
      </c>
      <c r="Z2582" s="14">
        <f>SUM(M2582:X2582)</f>
        <v/>
      </c>
      <c r="AA2582" s="14">
        <f>IFERROR(IF(UPPER($E2582)="L",SUMPRODUCT(M2582:X2582,$M$3:$X$3,$M$2:$X$2),SUMPRODUCT(M2582:X2582,$M$4:$X$4,$M$2:$X$2))/(Y2582/($K2582*$L2582)),"")</f>
        <v/>
      </c>
      <c r="AB2582" s="18" t="n"/>
    </row>
    <row r="2583">
      <c r="A2583" s="9" t="n">
        <v>702690</v>
      </c>
      <c r="B2583" s="9" t="inlineStr">
        <is>
          <t>Cutter Coffey</t>
        </is>
      </c>
      <c r="C2583" s="9" t="inlineStr">
        <is>
          <t>TOR</t>
        </is>
      </c>
      <c r="D2583" s="9" t="n">
        <v>25</v>
      </c>
      <c r="E2583" s="16" t="inlineStr">
        <is>
          <t>R</t>
        </is>
      </c>
      <c r="F2583" s="16" t="n"/>
      <c r="G2583" s="9" t="n">
        <v>131.025641025641</v>
      </c>
      <c r="H2583" s="9" t="n">
        <v>131.025641025641</v>
      </c>
      <c r="I2583" s="9" t="inlineStr">
        <is>
          <t>Depth (no MLB PA)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7" t="n"/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/>
      <c r="W2583" s="17" t="n"/>
      <c r="X2583" s="17" t="n"/>
      <c r="Y2583" s="13">
        <f>SUMPRODUCT(M2583:X2583,$M$2:$X$2)*$K2583*$L2583</f>
        <v/>
      </c>
      <c r="Z2583" s="14">
        <f>SUM(M2583:X2583)</f>
        <v/>
      </c>
      <c r="AA2583" s="14">
        <f>IFERROR(IF(UPPER($E2583)="L",SUMPRODUCT(M2583:X2583,$M$3:$X$3,$M$2:$X$2),SUMPRODUCT(M2583:X2583,$M$4:$X$4,$M$2:$X$2))/(Y2583/($K2583*$L2583)),"")</f>
        <v/>
      </c>
      <c r="AB2583" s="18" t="n"/>
    </row>
    <row r="2584">
      <c r="A2584" s="9" t="n">
        <v>687605</v>
      </c>
      <c r="B2584" s="9" t="inlineStr">
        <is>
          <t>Andrew Pinckney</t>
        </is>
      </c>
      <c r="C2584" s="9" t="inlineStr">
        <is>
          <t>WSH</t>
        </is>
      </c>
      <c r="D2584" s="9" t="n">
        <v>26</v>
      </c>
      <c r="E2584" s="16" t="inlineStr">
        <is>
          <t>R</t>
        </is>
      </c>
      <c r="F2584" s="16" t="n"/>
      <c r="G2584" s="9" t="n">
        <v>29</v>
      </c>
      <c r="H2584" s="9" t="n">
        <v>29</v>
      </c>
      <c r="I2584" s="9" t="inlineStr">
        <is>
          <t>Bench Bat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7" t="n"/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/>
      <c r="Y2584" s="13">
        <f>SUMPRODUCT(M2584:X2584,$M$2:$X$2)*$K2584*$L2584</f>
        <v/>
      </c>
      <c r="Z2584" s="14">
        <f>SUM(M2584:X2584)</f>
        <v/>
      </c>
      <c r="AA2584" s="14">
        <f>IFERROR(IF(UPPER($E2584)="L",SUMPRODUCT(M2584:X2584,$M$3:$X$3,$M$2:$X$2),SUMPRODUCT(M2584:X2584,$M$4:$X$4,$M$2:$X$2))/(Y2584/($K2584*$L2584)),"")</f>
        <v/>
      </c>
      <c r="AB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7" t="n"/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/>
      <c r="Y2585" s="13">
        <f>SUMPRODUCT(M2585:X2585,$M$2:$X$2)*$K2585*$L2585</f>
        <v/>
      </c>
      <c r="Z2585" s="14">
        <f>SUM(M2585:X2585)</f>
        <v/>
      </c>
      <c r="AA2585" s="14">
        <f>IFERROR(IF(UPPER($E2585)="L",SUMPRODUCT(M2585:X2585,$M$3:$X$3,$M$2:$X$2),SUMPRODUCT(M2585:X2585,$M$4:$X$4,$M$2:$X$2))/(Y2585/($K2585*$L2585)),"")</f>
        <v/>
      </c>
      <c r="AB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n"/>
      <c r="G2586" s="9" t="n">
        <v>196</v>
      </c>
      <c r="H2586" s="9" t="n">
        <v>2059</v>
      </c>
      <c r="I2586" s="9" t="inlineStr">
        <is>
          <t>Full Time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7" t="n"/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/>
      <c r="W2586" s="17" t="n"/>
      <c r="X2586" s="17" t="n"/>
      <c r="Y2586" s="13">
        <f>SUMPRODUCT(M2586:X2586,$M$2:$X$2)*$K2586*$L2586</f>
        <v/>
      </c>
      <c r="Z2586" s="14">
        <f>SUM(M2586:X2586)</f>
        <v/>
      </c>
      <c r="AA2586" s="14">
        <f>IFERROR(IF(UPPER($E2586)="L",SUMPRODUCT(M2586:X2586,$M$3:$X$3,$M$2:$X$2),SUMPRODUCT(M2586:X2586,$M$4:$X$4,$M$2:$X$2))/(Y2586/($K2586*$L2586)),"")</f>
        <v/>
      </c>
      <c r="AB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7" t="n"/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/>
      <c r="Y2587" s="13">
        <f>SUMPRODUCT(M2587:X2587,$M$2:$X$2)*$K2587*$L2587</f>
        <v/>
      </c>
      <c r="Z2587" s="14">
        <f>SUM(M2587:X2587)</f>
        <v/>
      </c>
      <c r="AA2587" s="14">
        <f>IFERROR(IF(UPPER($E2587)="L",SUMPRODUCT(M2587:X2587,$M$3:$X$3,$M$2:$X$2),SUMPRODUCT(M2587:X2587,$M$4:$X$4,$M$2:$X$2))/(Y2587/($K2587*$L2587)),"")</f>
        <v/>
      </c>
      <c r="AB2587" s="18" t="n"/>
    </row>
    <row r="2588">
      <c r="A2588" s="9" t="n">
        <v>694757</v>
      </c>
      <c r="B2588" s="9" t="inlineStr">
        <is>
          <t>Maui Ahuna</t>
        </is>
      </c>
      <c r="C2588" s="9" t="inlineStr">
        <is>
          <t>SF</t>
        </is>
      </c>
      <c r="D2588" s="9" t="n">
        <v>25</v>
      </c>
      <c r="E2588" s="16" t="inlineStr">
        <is>
          <t>L</t>
        </is>
      </c>
      <c r="F2588" s="16" t="n"/>
      <c r="G2588" s="9" t="n">
        <v>159.3846153846154</v>
      </c>
      <c r="H2588" s="9" t="n">
        <v>159.3846153846154</v>
      </c>
      <c r="I2588" s="9" t="inlineStr">
        <is>
          <t>Depth (no MLB PA)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7" t="n"/>
      <c r="N2588" s="17" t="n"/>
      <c r="O2588" s="17" t="n"/>
      <c r="P2588" s="17" t="n"/>
      <c r="Q2588" s="17" t="n"/>
      <c r="R2588" s="17" t="n"/>
      <c r="S2588" s="17" t="n"/>
      <c r="T2588" s="17" t="n"/>
      <c r="U2588" s="17" t="n"/>
      <c r="V2588" s="17" t="n"/>
      <c r="W2588" s="17" t="n"/>
      <c r="X2588" s="17" t="n"/>
      <c r="Y2588" s="13">
        <f>SUMPRODUCT(M2588:X2588,$M$2:$X$2)*$K2588*$L2588</f>
        <v/>
      </c>
      <c r="Z2588" s="14">
        <f>SUM(M2588:X2588)</f>
        <v/>
      </c>
      <c r="AA2588" s="14">
        <f>IFERROR(IF(UPPER($E2588)="L",SUMPRODUCT(M2588:X2588,$M$3:$X$3,$M$2:$X$2),SUMPRODUCT(M2588:X2588,$M$4:$X$4,$M$2:$X$2))/(Y2588/($K2588*$L2588)),"")</f>
        <v/>
      </c>
      <c r="AB2588" s="18" t="n"/>
    </row>
    <row r="2589">
      <c r="A2589" s="9" t="n">
        <v>683766</v>
      </c>
      <c r="B2589" s="9" t="inlineStr">
        <is>
          <t>Christian Koss</t>
        </is>
      </c>
      <c r="C2589" s="9" t="inlineStr">
        <is>
          <t>SF</t>
        </is>
      </c>
      <c r="D2589" s="9" t="n">
        <v>29</v>
      </c>
      <c r="E2589" s="16" t="inlineStr">
        <is>
          <t>R</t>
        </is>
      </c>
      <c r="F2589" s="16" t="n"/>
      <c r="G2589" s="9" t="n">
        <v>221</v>
      </c>
      <c r="H2589" s="9" t="n">
        <v>412</v>
      </c>
      <c r="I2589" s="9" t="inlineStr">
        <is>
          <t>Bench Bat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7" t="n"/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/>
      <c r="Y2589" s="13">
        <f>SUMPRODUCT(M2589:X2589,$M$2:$X$2)*$K2589*$L2589</f>
        <v/>
      </c>
      <c r="Z2589" s="14">
        <f>SUM(M2589:X2589)</f>
        <v/>
      </c>
      <c r="AA2589" s="14">
        <f>IFERROR(IF(UPPER($E2589)="L",SUMPRODUCT(M2589:X2589,$M$3:$X$3,$M$2:$X$2),SUMPRODUCT(M2589:X2589,$M$4:$X$4,$M$2:$X$2))/(Y2589/($K2589*$L2589)),"")</f>
        <v/>
      </c>
      <c r="AB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n"/>
      <c r="G2590" s="9" t="n">
        <v>304</v>
      </c>
      <c r="H2590" s="9" t="n">
        <v>347</v>
      </c>
      <c r="I2590" s="9" t="inlineStr">
        <is>
          <t>Utility OF / 4th OF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7" t="n"/>
      <c r="N2590" s="17" t="n"/>
      <c r="O2590" s="17" t="n"/>
      <c r="P2590" s="17" t="n"/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3">
        <f>SUMPRODUCT(M2590:X2590,$M$2:$X$2)*$K2590*$L2590</f>
        <v/>
      </c>
      <c r="Z2590" s="14">
        <f>SUM(M2590:X2590)</f>
        <v/>
      </c>
      <c r="AA2590" s="14">
        <f>IFERROR(IF(UPPER($E2590)="L",SUMPRODUCT(M2590:X2590,$M$3:$X$3,$M$2:$X$2),SUMPRODUCT(M2590:X2590,$M$4:$X$4,$M$2:$X$2))/(Y2590/($K2590*$L2590)),"")</f>
        <v/>
      </c>
      <c r="AB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n"/>
      <c r="G2591" s="9" t="n">
        <v>339</v>
      </c>
      <c r="H2591" s="9" t="n">
        <v>339</v>
      </c>
      <c r="I2591" s="9" t="inlineStr">
        <is>
          <t>Utility OF / 4th OF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7" t="n"/>
      <c r="N2591" s="17" t="n"/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3">
        <f>SUMPRODUCT(M2591:X2591,$M$2:$X$2)*$K2591*$L2591</f>
        <v/>
      </c>
      <c r="Z2591" s="14">
        <f>SUM(M2591:X2591)</f>
        <v/>
      </c>
      <c r="AA2591" s="14">
        <f>IFERROR(IF(UPPER($E2591)="L",SUMPRODUCT(M2591:X2591,$M$3:$X$3,$M$2:$X$2),SUMPRODUCT(M2591:X2591,$M$4:$X$4,$M$2:$X$2))/(Y2591/($K2591*$L2591)),"")</f>
        <v/>
      </c>
      <c r="AB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n"/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7" t="n"/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/>
      <c r="Y2592" s="13">
        <f>SUMPRODUCT(M2592:X2592,$M$2:$X$2)*$K2592*$L2592</f>
        <v/>
      </c>
      <c r="Z2592" s="14">
        <f>SUM(M2592:X2592)</f>
        <v/>
      </c>
      <c r="AA2592" s="14">
        <f>IFERROR(IF(UPPER($E2592)="L",SUMPRODUCT(M2592:X2592,$M$3:$X$3,$M$2:$X$2),SUMPRODUCT(M2592:X2592,$M$4:$X$4,$M$2:$X$2))/(Y2592/($K2592*$L2592)),"")</f>
        <v/>
      </c>
      <c r="AB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7" t="n"/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/>
      <c r="Y2593" s="13">
        <f>SUMPRODUCT(M2593:X2593,$M$2:$X$2)*$K2593*$L2593</f>
        <v/>
      </c>
      <c r="Z2593" s="14">
        <f>SUM(M2593:X2593)</f>
        <v/>
      </c>
      <c r="AA2593" s="14">
        <f>IFERROR(IF(UPPER($E2593)="L",SUMPRODUCT(M2593:X2593,$M$3:$X$3,$M$2:$X$2),SUMPRODUCT(M2593:X2593,$M$4:$X$4,$M$2:$X$2))/(Y2593/($K2593*$L2593)),"")</f>
        <v/>
      </c>
      <c r="AB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n"/>
      <c r="G2594" s="9" t="n">
        <v>129</v>
      </c>
      <c r="H2594" s="9" t="n">
        <v>1070</v>
      </c>
      <c r="I2594" s="9" t="inlineStr">
        <is>
          <t>Bench Bat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7" t="n"/>
      <c r="N2594" s="17" t="n"/>
      <c r="O2594" s="17" t="n"/>
      <c r="P2594" s="17" t="n"/>
      <c r="Q2594" s="17" t="n"/>
      <c r="R2594" s="17" t="n"/>
      <c r="S2594" s="17" t="n"/>
      <c r="T2594" s="17" t="n"/>
      <c r="U2594" s="17" t="n"/>
      <c r="V2594" s="17" t="n"/>
      <c r="W2594" s="17" t="n"/>
      <c r="X2594" s="17" t="n"/>
      <c r="Y2594" s="13">
        <f>SUMPRODUCT(M2594:X2594,$M$2:$X$2)*$K2594*$L2594</f>
        <v/>
      </c>
      <c r="Z2594" s="14">
        <f>SUM(M2594:X2594)</f>
        <v/>
      </c>
      <c r="AA2594" s="14">
        <f>IFERROR(IF(UPPER($E2594)="L",SUMPRODUCT(M2594:X2594,$M$3:$X$3,$M$2:$X$2),SUMPRODUCT(M2594:X2594,$M$4:$X$4,$M$2:$X$2))/(Y2594/($K2594*$L2594)),"")</f>
        <v/>
      </c>
      <c r="AB2594" s="18" t="n"/>
    </row>
    <row r="2595">
      <c r="A2595" s="9" t="n">
        <v>643565</v>
      </c>
      <c r="B2595" s="9" t="inlineStr">
        <is>
          <t>Mike Tauchman</t>
        </is>
      </c>
      <c r="C2595" s="9" t="inlineStr">
        <is>
          <t>CWS</t>
        </is>
      </c>
      <c r="D2595" s="9" t="n">
        <v>36</v>
      </c>
      <c r="E2595" s="16" t="inlineStr">
        <is>
          <t>L</t>
        </is>
      </c>
      <c r="F2595" s="16" t="n"/>
      <c r="G2595" s="9" t="n">
        <v>385</v>
      </c>
      <c r="H2595" s="9" t="n">
        <v>1136</v>
      </c>
      <c r="I2595" s="9" t="inlineStr">
        <is>
          <t>Utility OF / 4th OF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7" t="n"/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/>
      <c r="Y2595" s="13">
        <f>SUMPRODUCT(M2595:X2595,$M$2:$X$2)*$K2595*$L2595</f>
        <v/>
      </c>
      <c r="Z2595" s="14">
        <f>SUM(M2595:X2595)</f>
        <v/>
      </c>
      <c r="AA2595" s="14">
        <f>IFERROR(IF(UPPER($E2595)="L",SUMPRODUCT(M2595:X2595,$M$3:$X$3,$M$2:$X$2),SUMPRODUCT(M2595:X2595,$M$4:$X$4,$M$2:$X$2))/(Y2595/($K2595*$L2595)),"")</f>
        <v/>
      </c>
      <c r="AB2595" s="18" t="n"/>
    </row>
    <row r="2596">
      <c r="A2596" s="9" t="n">
        <v>823702</v>
      </c>
      <c r="B2596" s="9" t="inlineStr">
        <is>
          <t>Alex Madera</t>
        </is>
      </c>
      <c r="C2596" s="9" t="inlineStr">
        <is>
          <t>CHC</t>
        </is>
      </c>
      <c r="D2596" s="9" t="n">
        <v>25</v>
      </c>
      <c r="E2596" s="16" t="inlineStr">
        <is>
          <t>L</t>
        </is>
      </c>
      <c r="F2596" s="16" t="n"/>
      <c r="G2596" s="9" t="n">
        <v>94.41025641025639</v>
      </c>
      <c r="H2596" s="9" t="n">
        <v>94.41025641025639</v>
      </c>
      <c r="I2596" s="9" t="inlineStr">
        <is>
          <t>Depth (no MLB PA)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7" t="n"/>
      <c r="N2596" s="17" t="n"/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3">
        <f>SUMPRODUCT(M2596:X2596,$M$2:$X$2)*$K2596*$L2596</f>
        <v/>
      </c>
      <c r="Z2596" s="14">
        <f>SUM(M2596:X2596)</f>
        <v/>
      </c>
      <c r="AA2596" s="14">
        <f>IFERROR(IF(UPPER($E2596)="L",SUMPRODUCT(M2596:X2596,$M$3:$X$3,$M$2:$X$2),SUMPRODUCT(M2596:X2596,$M$4:$X$4,$M$2:$X$2))/(Y2596/($K2596*$L2596)),"")</f>
        <v/>
      </c>
      <c r="AB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7" t="n"/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/>
      <c r="Y2597" s="13">
        <f>SUMPRODUCT(M2597:X2597,$M$2:$X$2)*$K2597*$L2597</f>
        <v/>
      </c>
      <c r="Z2597" s="14">
        <f>SUM(M2597:X2597)</f>
        <v/>
      </c>
      <c r="AA2597" s="14">
        <f>IFERROR(IF(UPPER($E2597)="L",SUMPRODUCT(M2597:X2597,$M$3:$X$3,$M$2:$X$2),SUMPRODUCT(M2597:X2597,$M$4:$X$4,$M$2:$X$2))/(Y2597/($K2597*$L2597)),"")</f>
        <v/>
      </c>
      <c r="AB2597" s="18" t="n"/>
    </row>
    <row r="2598">
      <c r="A2598" s="9" t="n">
        <v>666134</v>
      </c>
      <c r="B2598" s="9" t="inlineStr">
        <is>
          <t>Nolan Jones</t>
        </is>
      </c>
      <c r="C2598" s="9" t="inlineStr">
        <is>
          <t>CLE</t>
        </is>
      </c>
      <c r="D2598" s="9" t="n">
        <v>29</v>
      </c>
      <c r="E2598" s="16" t="inlineStr">
        <is>
          <t>L</t>
        </is>
      </c>
      <c r="F2598" s="16" t="n"/>
      <c r="G2598" s="9" t="n">
        <v>403</v>
      </c>
      <c r="H2598" s="9" t="n">
        <v>1218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7" t="n"/>
      <c r="N2598" s="17" t="n"/>
      <c r="O2598" s="17" t="n"/>
      <c r="P2598" s="17" t="n"/>
      <c r="Q2598" s="17" t="n"/>
      <c r="R2598" s="17" t="n"/>
      <c r="S2598" s="17" t="n"/>
      <c r="T2598" s="17" t="n"/>
      <c r="U2598" s="17" t="n"/>
      <c r="V2598" s="17" t="n"/>
      <c r="W2598" s="17" t="n"/>
      <c r="X2598" s="17" t="n"/>
      <c r="Y2598" s="13">
        <f>SUMPRODUCT(M2598:X2598,$M$2:$X$2)*$K2598*$L2598</f>
        <v/>
      </c>
      <c r="Z2598" s="14">
        <f>SUM(M2598:X2598)</f>
        <v/>
      </c>
      <c r="AA2598" s="14">
        <f>IFERROR(IF(UPPER($E2598)="L",SUMPRODUCT(M2598:X2598,$M$3:$X$3,$M$2:$X$2),SUMPRODUCT(M2598:X2598,$M$4:$X$4,$M$2:$X$2))/(Y2598/($K2598*$L2598)),"")</f>
        <v/>
      </c>
      <c r="AB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n"/>
      <c r="G2599" s="9" t="n">
        <v>26</v>
      </c>
      <c r="H2599" s="9" t="n">
        <v>974</v>
      </c>
      <c r="I2599" s="9" t="inlineStr">
        <is>
          <t>Bench Bat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7" t="n"/>
      <c r="N2599" s="17" t="n"/>
      <c r="O2599" s="17" t="n"/>
      <c r="P2599" s="17" t="n"/>
      <c r="Q2599" s="17" t="n"/>
      <c r="R2599" s="17" t="n"/>
      <c r="S2599" s="17" t="n"/>
      <c r="T2599" s="17" t="n"/>
      <c r="U2599" s="17" t="n"/>
      <c r="V2599" s="17" t="n"/>
      <c r="W2599" s="17" t="n"/>
      <c r="X2599" s="17" t="n"/>
      <c r="Y2599" s="13">
        <f>SUMPRODUCT(M2599:X2599,$M$2:$X$2)*$K2599*$L2599</f>
        <v/>
      </c>
      <c r="Z2599" s="14">
        <f>SUM(M2599:X2599)</f>
        <v/>
      </c>
      <c r="AA2599" s="14">
        <f>IFERROR(IF(UPPER($E2599)="L",SUMPRODUCT(M2599:X2599,$M$3:$X$3,$M$2:$X$2),SUMPRODUCT(M2599:X2599,$M$4:$X$4,$M$2:$X$2))/(Y2599/($K2599*$L2599)),"")</f>
        <v/>
      </c>
      <c r="AB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n"/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7" t="n"/>
      <c r="N2600" s="17" t="n"/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3">
        <f>SUMPRODUCT(M2600:X2600,$M$2:$X$2)*$K2600*$L2600</f>
        <v/>
      </c>
      <c r="Z2600" s="14">
        <f>SUM(M2600:X2600)</f>
        <v/>
      </c>
      <c r="AA2600" s="14">
        <f>IFERROR(IF(UPPER($E2600)="L",SUMPRODUCT(M2600:X2600,$M$3:$X$3,$M$2:$X$2),SUMPRODUCT(M2600:X2600,$M$4:$X$4,$M$2:$X$2))/(Y2600/($K2600*$L2600)),"")</f>
        <v/>
      </c>
      <c r="AB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n"/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7" t="n"/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/>
      <c r="Y2601" s="13">
        <f>SUMPRODUCT(M2601:X2601,$M$2:$X$2)*$K2601*$L2601</f>
        <v/>
      </c>
      <c r="Z2601" s="14">
        <f>SUM(M2601:X2601)</f>
        <v/>
      </c>
      <c r="AA2601" s="14">
        <f>IFERROR(IF(UPPER($E2601)="L",SUMPRODUCT(M2601:X2601,$M$3:$X$3,$M$2:$X$2),SUMPRODUCT(M2601:X2601,$M$4:$X$4,$M$2:$X$2))/(Y2601/($K2601*$L2601)),"")</f>
        <v/>
      </c>
      <c r="AB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n"/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7" t="n"/>
      <c r="N2602" s="17" t="n"/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3">
        <f>SUMPRODUCT(M2602:X2602,$M$2:$X$2)*$K2602*$L2602</f>
        <v/>
      </c>
      <c r="Z2602" s="14">
        <f>SUM(M2602:X2602)</f>
        <v/>
      </c>
      <c r="AA2602" s="14">
        <f>IFERROR(IF(UPPER($E2602)="L",SUMPRODUCT(M2602:X2602,$M$3:$X$3,$M$2:$X$2),SUMPRODUCT(M2602:X2602,$M$4:$X$4,$M$2:$X$2))/(Y2602/($K2602*$L2602)),"")</f>
        <v/>
      </c>
      <c r="AB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7" t="n"/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/>
      <c r="Y2603" s="13">
        <f>SUMPRODUCT(M2603:X2603,$M$2:$X$2)*$K2603*$L2603</f>
        <v/>
      </c>
      <c r="Z2603" s="14">
        <f>SUM(M2603:X2603)</f>
        <v/>
      </c>
      <c r="AA2603" s="14">
        <f>IFERROR(IF(UPPER($E2603)="L",SUMPRODUCT(M2603:X2603,$M$3:$X$3,$M$2:$X$2),SUMPRODUCT(M2603:X2603,$M$4:$X$4,$M$2:$X$2))/(Y2603/($K2603*$L2603)),"")</f>
        <v/>
      </c>
      <c r="AB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7" t="n"/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/>
      <c r="Y2604" s="13">
        <f>SUMPRODUCT(M2604:X2604,$M$2:$X$2)*$K2604*$L2604</f>
        <v/>
      </c>
      <c r="Z2604" s="14">
        <f>SUM(M2604:X2604)</f>
        <v/>
      </c>
      <c r="AA2604" s="14">
        <f>IFERROR(IF(UPPER($E2604)="L",SUMPRODUCT(M2604:X2604,$M$3:$X$3,$M$2:$X$2),SUMPRODUCT(M2604:X2604,$M$4:$X$4,$M$2:$X$2))/(Y2604/($K2604*$L2604)),"")</f>
        <v/>
      </c>
      <c r="AB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n"/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7" t="n"/>
      <c r="N2605" s="17" t="n"/>
      <c r="O2605" s="17" t="n"/>
      <c r="P2605" s="17" t="n"/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3">
        <f>SUMPRODUCT(M2605:X2605,$M$2:$X$2)*$K2605*$L2605</f>
        <v/>
      </c>
      <c r="Z2605" s="14">
        <f>SUM(M2605:X2605)</f>
        <v/>
      </c>
      <c r="AA2605" s="14">
        <f>IFERROR(IF(UPPER($E2605)="L",SUMPRODUCT(M2605:X2605,$M$3:$X$3,$M$2:$X$2),SUMPRODUCT(M2605:X2605,$M$4:$X$4,$M$2:$X$2))/(Y2605/($K2605*$L2605)),"")</f>
        <v/>
      </c>
      <c r="AB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7" t="n"/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/>
      <c r="Y2606" s="13">
        <f>SUMPRODUCT(M2606:X2606,$M$2:$X$2)*$K2606*$L2606</f>
        <v/>
      </c>
      <c r="Z2606" s="14">
        <f>SUM(M2606:X2606)</f>
        <v/>
      </c>
      <c r="AA2606" s="14">
        <f>IFERROR(IF(UPPER($E2606)="L",SUMPRODUCT(M2606:X2606,$M$3:$X$3,$M$2:$X$2),SUMPRODUCT(M2606:X2606,$M$4:$X$4,$M$2:$X$2))/(Y2606/($K2606*$L2606)),"")</f>
        <v/>
      </c>
      <c r="AB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n"/>
      <c r="G2607" s="9" t="n">
        <v>174</v>
      </c>
      <c r="H2607" s="9" t="n">
        <v>269</v>
      </c>
      <c r="I2607" s="9" t="inlineStr">
        <is>
          <t>Bench Bat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7" t="n"/>
      <c r="N2607" s="17" t="n"/>
      <c r="O2607" s="17" t="n"/>
      <c r="P2607" s="17" t="n"/>
      <c r="Q2607" s="17" t="n"/>
      <c r="R2607" s="17" t="n"/>
      <c r="S2607" s="17" t="n"/>
      <c r="T2607" s="17" t="n"/>
      <c r="U2607" s="17" t="n"/>
      <c r="V2607" s="17" t="n"/>
      <c r="W2607" s="17" t="n"/>
      <c r="X2607" s="17" t="n"/>
      <c r="Y2607" s="13">
        <f>SUMPRODUCT(M2607:X2607,$M$2:$X$2)*$K2607*$L2607</f>
        <v/>
      </c>
      <c r="Z2607" s="14">
        <f>SUM(M2607:X2607)</f>
        <v/>
      </c>
      <c r="AA2607" s="14">
        <f>IFERROR(IF(UPPER($E2607)="L",SUMPRODUCT(M2607:X2607,$M$3:$X$3,$M$2:$X$2),SUMPRODUCT(M2607:X2607,$M$4:$X$4,$M$2:$X$2))/(Y2607/($K2607*$L2607)),"")</f>
        <v/>
      </c>
      <c r="AB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7" t="n"/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/>
      <c r="Y2608" s="13">
        <f>SUMPRODUCT(M2608:X2608,$M$2:$X$2)*$K2608*$L2608</f>
        <v/>
      </c>
      <c r="Z2608" s="14">
        <f>SUM(M2608:X2608)</f>
        <v/>
      </c>
      <c r="AA2608" s="14">
        <f>IFERROR(IF(UPPER($E2608)="L",SUMPRODUCT(M2608:X2608,$M$3:$X$3,$M$2:$X$2),SUMPRODUCT(M2608:X2608,$M$4:$X$4,$M$2:$X$2))/(Y2608/($K2608*$L2608)),"")</f>
        <v/>
      </c>
      <c r="AB2608" s="18" t="n"/>
    </row>
    <row r="2609">
      <c r="A2609" s="9" t="n">
        <v>695731</v>
      </c>
      <c r="B2609" s="9" t="inlineStr">
        <is>
          <t>Braden Montgomery</t>
        </is>
      </c>
      <c r="C2609" s="9" t="inlineStr">
        <is>
          <t>CWS</t>
        </is>
      </c>
      <c r="D2609" s="9" t="n">
        <v>24</v>
      </c>
      <c r="E2609" s="16" t="inlineStr">
        <is>
          <t>S</t>
        </is>
      </c>
      <c r="F2609" s="16" t="n"/>
      <c r="G2609" s="9" t="n">
        <v>365</v>
      </c>
      <c r="H2609" s="9" t="n">
        <v>365</v>
      </c>
      <c r="I2609" s="9" t="inlineStr">
        <is>
          <t>Utility OF / 4th OF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7" t="n"/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/>
      <c r="Y2609" s="13">
        <f>SUMPRODUCT(M2609:X2609,$M$2:$X$2)*$K2609*$L2609</f>
        <v/>
      </c>
      <c r="Z2609" s="14">
        <f>SUM(M2609:X2609)</f>
        <v/>
      </c>
      <c r="AA2609" s="14">
        <f>IFERROR(IF(UPPER($E2609)="L",SUMPRODUCT(M2609:X2609,$M$3:$X$3,$M$2:$X$2),SUMPRODUCT(M2609:X2609,$M$4:$X$4,$M$2:$X$2))/(Y2609/($K2609*$L2609)),"")</f>
        <v/>
      </c>
      <c r="AB2609" s="18" t="n"/>
    </row>
    <row r="2610">
      <c r="A2610" s="9" t="n">
        <v>696281</v>
      </c>
      <c r="B2610" s="9" t="inlineStr">
        <is>
          <t>Wyatt Young</t>
        </is>
      </c>
      <c r="C2610" s="9" t="inlineStr">
        <is>
          <t>NYM</t>
        </is>
      </c>
      <c r="D2610" s="9" t="n">
        <v>25</v>
      </c>
      <c r="E2610" s="16" t="inlineStr">
        <is>
          <t>L</t>
        </is>
      </c>
      <c r="F2610" s="16" t="n"/>
      <c r="G2610" s="9" t="n">
        <v>113.4358974358974</v>
      </c>
      <c r="H2610" s="9" t="n">
        <v>113.4358974358974</v>
      </c>
      <c r="I2610" s="9" t="inlineStr">
        <is>
          <t>Depth (no MLB PA)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7" t="n"/>
      <c r="N2610" s="17" t="n"/>
      <c r="O2610" s="17" t="n"/>
      <c r="P2610" s="17" t="n"/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3">
        <f>SUMPRODUCT(M2610:X2610,$M$2:$X$2)*$K2610*$L2610</f>
        <v/>
      </c>
      <c r="Z2610" s="14">
        <f>SUM(M2610:X2610)</f>
        <v/>
      </c>
      <c r="AA2610" s="14">
        <f>IFERROR(IF(UPPER($E2610)="L",SUMPRODUCT(M2610:X2610,$M$3:$X$3,$M$2:$X$2),SUMPRODUCT(M2610:X2610,$M$4:$X$4,$M$2:$X$2))/(Y2610/($K2610*$L2610)),"")</f>
        <v/>
      </c>
      <c r="AB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n"/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7" t="n"/>
      <c r="N2611" s="17" t="n"/>
      <c r="O2611" s="17" t="n"/>
      <c r="P2611" s="17" t="n"/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3">
        <f>SUMPRODUCT(M2611:X2611,$M$2:$X$2)*$K2611*$L2611</f>
        <v/>
      </c>
      <c r="Z2611" s="14">
        <f>SUM(M2611:X2611)</f>
        <v/>
      </c>
      <c r="AA2611" s="14">
        <f>IFERROR(IF(UPPER($E2611)="L",SUMPRODUCT(M2611:X2611,$M$3:$X$3,$M$2:$X$2),SUMPRODUCT(M2611:X2611,$M$4:$X$4,$M$2:$X$2))/(Y2611/($K2611*$L2611)),"")</f>
        <v/>
      </c>
      <c r="AB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n"/>
      <c r="G2612" s="9" t="n">
        <v>86</v>
      </c>
      <c r="H2612" s="9" t="n">
        <v>1739</v>
      </c>
      <c r="I2612" s="9" t="inlineStr">
        <is>
          <t>Bench Bat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7" t="n"/>
      <c r="N2612" s="17" t="n"/>
      <c r="O2612" s="17" t="n"/>
      <c r="P2612" s="17" t="n"/>
      <c r="Q2612" s="17" t="n"/>
      <c r="R2612" s="17" t="n"/>
      <c r="S2612" s="17" t="n"/>
      <c r="T2612" s="17" t="n"/>
      <c r="U2612" s="17" t="n"/>
      <c r="V2612" s="17" t="n"/>
      <c r="W2612" s="17" t="n"/>
      <c r="X2612" s="17" t="n"/>
      <c r="Y2612" s="13">
        <f>SUMPRODUCT(M2612:X2612,$M$2:$X$2)*$K2612*$L2612</f>
        <v/>
      </c>
      <c r="Z2612" s="14">
        <f>SUM(M2612:X2612)</f>
        <v/>
      </c>
      <c r="AA2612" s="14">
        <f>IFERROR(IF(UPPER($E2612)="L",SUMPRODUCT(M2612:X2612,$M$3:$X$3,$M$2:$X$2),SUMPRODUCT(M2612:X2612,$M$4:$X$4,$M$2:$X$2))/(Y2612/($K2612*$L2612)),"")</f>
        <v/>
      </c>
      <c r="AB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n"/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7" t="n"/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/>
      <c r="W2613" s="17" t="n"/>
      <c r="X2613" s="17" t="n"/>
      <c r="Y2613" s="13">
        <f>SUMPRODUCT(M2613:X2613,$M$2:$X$2)*$K2613*$L2613</f>
        <v/>
      </c>
      <c r="Z2613" s="14">
        <f>SUM(M2613:X2613)</f>
        <v/>
      </c>
      <c r="AA2613" s="14">
        <f>IFERROR(IF(UPPER($E2613)="L",SUMPRODUCT(M2613:X2613,$M$3:$X$3,$M$2:$X$2),SUMPRODUCT(M2613:X2613,$M$4:$X$4,$M$2:$X$2))/(Y2613/($K2613*$L2613)),"")</f>
        <v/>
      </c>
      <c r="AB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n"/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7" t="n"/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/>
      <c r="W2614" s="17" t="n"/>
      <c r="X2614" s="17" t="n"/>
      <c r="Y2614" s="13">
        <f>SUMPRODUCT(M2614:X2614,$M$2:$X$2)*$K2614*$L2614</f>
        <v/>
      </c>
      <c r="Z2614" s="14">
        <f>SUM(M2614:X2614)</f>
        <v/>
      </c>
      <c r="AA2614" s="14">
        <f>IFERROR(IF(UPPER($E2614)="L",SUMPRODUCT(M2614:X2614,$M$3:$X$3,$M$2:$X$2),SUMPRODUCT(M2614:X2614,$M$4:$X$4,$M$2:$X$2))/(Y2614/($K2614*$L2614)),"")</f>
        <v/>
      </c>
      <c r="AB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7" t="n"/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/>
      <c r="Y2615" s="13">
        <f>SUMPRODUCT(M2615:X2615,$M$2:$X$2)*$K2615*$L2615</f>
        <v/>
      </c>
      <c r="Z2615" s="14">
        <f>SUM(M2615:X2615)</f>
        <v/>
      </c>
      <c r="AA2615" s="14">
        <f>IFERROR(IF(UPPER($E2615)="L",SUMPRODUCT(M2615:X2615,$M$3:$X$3,$M$2:$X$2),SUMPRODUCT(M2615:X2615,$M$4:$X$4,$M$2:$X$2))/(Y2615/($K2615*$L2615)),"")</f>
        <v/>
      </c>
      <c r="AB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n"/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7" t="n"/>
      <c r="N2616" s="17" t="n"/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3">
        <f>SUMPRODUCT(M2616:X2616,$M$2:$X$2)*$K2616*$L2616</f>
        <v/>
      </c>
      <c r="Z2616" s="14">
        <f>SUM(M2616:X2616)</f>
        <v/>
      </c>
      <c r="AA2616" s="14">
        <f>IFERROR(IF(UPPER($E2616)="L",SUMPRODUCT(M2616:X2616,$M$3:$X$3,$M$2:$X$2),SUMPRODUCT(M2616:X2616,$M$4:$X$4,$M$2:$X$2))/(Y2616/($K2616*$L2616)),"")</f>
        <v/>
      </c>
      <c r="AB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n"/>
      <c r="G2617" s="9" t="n">
        <v>35</v>
      </c>
      <c r="H2617" s="9" t="n">
        <v>2065</v>
      </c>
      <c r="I2617" s="9" t="inlineStr">
        <is>
          <t>Full Time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7" t="n"/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/>
      <c r="W2617" s="17" t="n"/>
      <c r="X2617" s="17" t="n"/>
      <c r="Y2617" s="13">
        <f>SUMPRODUCT(M2617:X2617,$M$2:$X$2)*$K2617*$L2617</f>
        <v/>
      </c>
      <c r="Z2617" s="14">
        <f>SUM(M2617:X2617)</f>
        <v/>
      </c>
      <c r="AA2617" s="14">
        <f>IFERROR(IF(UPPER($E2617)="L",SUMPRODUCT(M2617:X2617,$M$3:$X$3,$M$2:$X$2),SUMPRODUCT(M2617:X2617,$M$4:$X$4,$M$2:$X$2))/(Y2617/($K2617*$L2617)),"")</f>
        <v/>
      </c>
      <c r="AB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7" t="n"/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/>
      <c r="Y2618" s="13">
        <f>SUMPRODUCT(M2618:X2618,$M$2:$X$2)*$K2618*$L2618</f>
        <v/>
      </c>
      <c r="Z2618" s="14">
        <f>SUM(M2618:X2618)</f>
        <v/>
      </c>
      <c r="AA2618" s="14">
        <f>IFERROR(IF(UPPER($E2618)="L",SUMPRODUCT(M2618:X2618,$M$3:$X$3,$M$2:$X$2),SUMPRODUCT(M2618:X2618,$M$4:$X$4,$M$2:$X$2))/(Y2618/($K2618*$L2618)),"")</f>
        <v/>
      </c>
      <c r="AB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n"/>
      <c r="G2619" s="9" t="n">
        <v>334</v>
      </c>
      <c r="H2619" s="9" t="n">
        <v>845</v>
      </c>
      <c r="I2619" s="9" t="inlineStr">
        <is>
          <t>Utility OF / 4th OF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7" t="n"/>
      <c r="N2619" s="17" t="n"/>
      <c r="O2619" s="17" t="n"/>
      <c r="P2619" s="17" t="n"/>
      <c r="Q2619" s="17" t="n"/>
      <c r="R2619" s="17" t="n"/>
      <c r="S2619" s="17" t="n"/>
      <c r="T2619" s="17" t="n"/>
      <c r="U2619" s="17" t="n"/>
      <c r="V2619" s="17" t="n"/>
      <c r="W2619" s="17" t="n"/>
      <c r="X2619" s="17" t="n"/>
      <c r="Y2619" s="13">
        <f>SUMPRODUCT(M2619:X2619,$M$2:$X$2)*$K2619*$L2619</f>
        <v/>
      </c>
      <c r="Z2619" s="14">
        <f>SUM(M2619:X2619)</f>
        <v/>
      </c>
      <c r="AA2619" s="14">
        <f>IFERROR(IF(UPPER($E2619)="L",SUMPRODUCT(M2619:X2619,$M$3:$X$3,$M$2:$X$2),SUMPRODUCT(M2619:X2619,$M$4:$X$4,$M$2:$X$2))/(Y2619/($K2619*$L2619)),"")</f>
        <v/>
      </c>
      <c r="AB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7" t="n"/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/>
      <c r="Y2620" s="13">
        <f>SUMPRODUCT(M2620:X2620,$M$2:$X$2)*$K2620*$L2620</f>
        <v/>
      </c>
      <c r="Z2620" s="14">
        <f>SUM(M2620:X2620)</f>
        <v/>
      </c>
      <c r="AA2620" s="14">
        <f>IFERROR(IF(UPPER($E2620)="L",SUMPRODUCT(M2620:X2620,$M$3:$X$3,$M$2:$X$2),SUMPRODUCT(M2620:X2620,$M$4:$X$4,$M$2:$X$2))/(Y2620/($K2620*$L2620)),"")</f>
        <v/>
      </c>
      <c r="AB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7" t="n"/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/>
      <c r="Y2621" s="13">
        <f>SUMPRODUCT(M2621:X2621,$M$2:$X$2)*$K2621*$L2621</f>
        <v/>
      </c>
      <c r="Z2621" s="14">
        <f>SUM(M2621:X2621)</f>
        <v/>
      </c>
      <c r="AA2621" s="14">
        <f>IFERROR(IF(UPPER($E2621)="L",SUMPRODUCT(M2621:X2621,$M$3:$X$3,$M$2:$X$2),SUMPRODUCT(M2621:X2621,$M$4:$X$4,$M$2:$X$2))/(Y2621/($K2621*$L2621)),"")</f>
        <v/>
      </c>
      <c r="AB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n"/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7" t="n"/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/>
      <c r="Y2622" s="13">
        <f>SUMPRODUCT(M2622:X2622,$M$2:$X$2)*$K2622*$L2622</f>
        <v/>
      </c>
      <c r="Z2622" s="14">
        <f>SUM(M2622:X2622)</f>
        <v/>
      </c>
      <c r="AA2622" s="14">
        <f>IFERROR(IF(UPPER($E2622)="L",SUMPRODUCT(M2622:X2622,$M$3:$X$3,$M$2:$X$2),SUMPRODUCT(M2622:X2622,$M$4:$X$4,$M$2:$X$2))/(Y2622/($K2622*$L2622)),"")</f>
        <v/>
      </c>
      <c r="AB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n"/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7" t="n"/>
      <c r="N2623" s="17" t="n"/>
      <c r="O2623" s="17" t="n"/>
      <c r="P2623" s="17" t="n"/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3">
        <f>SUMPRODUCT(M2623:X2623,$M$2:$X$2)*$K2623*$L2623</f>
        <v/>
      </c>
      <c r="Z2623" s="14">
        <f>SUM(M2623:X2623)</f>
        <v/>
      </c>
      <c r="AA2623" s="14">
        <f>IFERROR(IF(UPPER($E2623)="L",SUMPRODUCT(M2623:X2623,$M$3:$X$3,$M$2:$X$2),SUMPRODUCT(M2623:X2623,$M$4:$X$4,$M$2:$X$2))/(Y2623/($K2623*$L2623)),"")</f>
        <v/>
      </c>
      <c r="AB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n"/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7" t="n"/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/>
      <c r="Y2624" s="13">
        <f>SUMPRODUCT(M2624:X2624,$M$2:$X$2)*$K2624*$L2624</f>
        <v/>
      </c>
      <c r="Z2624" s="14">
        <f>SUM(M2624:X2624)</f>
        <v/>
      </c>
      <c r="AA2624" s="14">
        <f>IFERROR(IF(UPPER($E2624)="L",SUMPRODUCT(M2624:X2624,$M$3:$X$3,$M$2:$X$2),SUMPRODUCT(M2624:X2624,$M$4:$X$4,$M$2:$X$2))/(Y2624/($K2624*$L2624)),"")</f>
        <v/>
      </c>
      <c r="AB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n"/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7" t="n"/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/>
      <c r="W2625" s="17" t="n"/>
      <c r="X2625" s="17" t="n"/>
      <c r="Y2625" s="13">
        <f>SUMPRODUCT(M2625:X2625,$M$2:$X$2)*$K2625*$L2625</f>
        <v/>
      </c>
      <c r="Z2625" s="14">
        <f>SUM(M2625:X2625)</f>
        <v/>
      </c>
      <c r="AA2625" s="14">
        <f>IFERROR(IF(UPPER($E2625)="L",SUMPRODUCT(M2625:X2625,$M$3:$X$3,$M$2:$X$2),SUMPRODUCT(M2625:X2625,$M$4:$X$4,$M$2:$X$2))/(Y2625/($K2625*$L2625)),"")</f>
        <v/>
      </c>
      <c r="AB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n"/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7" t="n"/>
      <c r="N2626" s="17" t="n"/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3">
        <f>SUMPRODUCT(M2626:X2626,$M$2:$X$2)*$K2626*$L2626</f>
        <v/>
      </c>
      <c r="Z2626" s="14">
        <f>SUM(M2626:X2626)</f>
        <v/>
      </c>
      <c r="AA2626" s="14">
        <f>IFERROR(IF(UPPER($E2626)="L",SUMPRODUCT(M2626:X2626,$M$3:$X$3,$M$2:$X$2),SUMPRODUCT(M2626:X2626,$M$4:$X$4,$M$2:$X$2))/(Y2626/($K2626*$L2626)),"")</f>
        <v/>
      </c>
      <c r="AB2626" s="18" t="n"/>
    </row>
    <row r="2627">
      <c r="A2627" s="9" t="n">
        <v>701852</v>
      </c>
      <c r="B2627" s="9" t="inlineStr">
        <is>
          <t>Drew Cavanaugh</t>
        </is>
      </c>
      <c r="C2627" s="9" t="inlineStr">
        <is>
          <t>SF</t>
        </is>
      </c>
      <c r="D2627" s="9" t="n">
        <v>25</v>
      </c>
      <c r="E2627" s="16" t="inlineStr">
        <is>
          <t>L</t>
        </is>
      </c>
      <c r="F2627" s="16" t="n"/>
      <c r="G2627" s="9" t="n">
        <v>166</v>
      </c>
      <c r="H2627" s="9" t="n">
        <v>166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7" t="n"/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/>
      <c r="W2627" s="17" t="n"/>
      <c r="X2627" s="17" t="n"/>
      <c r="Y2627" s="13">
        <f>SUMPRODUCT(M2627:X2627,$M$2:$X$2)*$K2627*$L2627</f>
        <v/>
      </c>
      <c r="Z2627" s="14">
        <f>SUM(M2627:X2627)</f>
        <v/>
      </c>
      <c r="AA2627" s="14">
        <f>IFERROR(IF(UPPER($E2627)="L",SUMPRODUCT(M2627:X2627,$M$3:$X$3,$M$2:$X$2),SUMPRODUCT(M2627:X2627,$M$4:$X$4,$M$2:$X$2))/(Y2627/($K2627*$L2627)),"")</f>
        <v/>
      </c>
      <c r="AB2627" s="18" t="n"/>
    </row>
    <row r="2628">
      <c r="A2628" s="9" t="n">
        <v>694025</v>
      </c>
      <c r="B2628" s="9" t="inlineStr">
        <is>
          <t>Felix Reyes</t>
        </is>
      </c>
      <c r="C2628" s="9" t="inlineStr">
        <is>
          <t>PHI</t>
        </is>
      </c>
      <c r="D2628" s="9" t="n">
        <v>26</v>
      </c>
      <c r="E2628" s="16" t="inlineStr">
        <is>
          <t>R</t>
        </is>
      </c>
      <c r="F2628" s="16" t="n"/>
      <c r="G2628" s="9" t="n">
        <v>38</v>
      </c>
      <c r="H2628" s="9" t="n">
        <v>38</v>
      </c>
      <c r="I2628" s="9" t="inlineStr">
        <is>
          <t>Bench Bat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7" t="n"/>
      <c r="N2628" s="17" t="n"/>
      <c r="O2628" s="17" t="n"/>
      <c r="P2628" s="17" t="n"/>
      <c r="Q2628" s="17" t="n"/>
      <c r="R2628" s="17" t="n"/>
      <c r="S2628" s="17" t="n"/>
      <c r="T2628" s="17" t="n"/>
      <c r="U2628" s="17" t="n"/>
      <c r="V2628" s="17" t="n"/>
      <c r="W2628" s="17" t="n"/>
      <c r="X2628" s="17" t="n"/>
      <c r="Y2628" s="13">
        <f>SUMPRODUCT(M2628:X2628,$M$2:$X$2)*$K2628*$L2628</f>
        <v/>
      </c>
      <c r="Z2628" s="14">
        <f>SUM(M2628:X2628)</f>
        <v/>
      </c>
      <c r="AA2628" s="14">
        <f>IFERROR(IF(UPPER($E2628)="L",SUMPRODUCT(M2628:X2628,$M$3:$X$3,$M$2:$X$2),SUMPRODUCT(M2628:X2628,$M$4:$X$4,$M$2:$X$2))/(Y2628/($K2628*$L2628)),"")</f>
        <v/>
      </c>
      <c r="AB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n"/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7" t="n"/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/>
      <c r="W2629" s="17" t="n"/>
      <c r="X2629" s="17" t="n"/>
      <c r="Y2629" s="13">
        <f>SUMPRODUCT(M2629:X2629,$M$2:$X$2)*$K2629*$L2629</f>
        <v/>
      </c>
      <c r="Z2629" s="14">
        <f>SUM(M2629:X2629)</f>
        <v/>
      </c>
      <c r="AA2629" s="14">
        <f>IFERROR(IF(UPPER($E2629)="L",SUMPRODUCT(M2629:X2629,$M$3:$X$3,$M$2:$X$2),SUMPRODUCT(M2629:X2629,$M$4:$X$4,$M$2:$X$2))/(Y2629/($K2629*$L2629)),"")</f>
        <v/>
      </c>
      <c r="AB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7" t="n"/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/>
      <c r="Y2630" s="13">
        <f>SUMPRODUCT(M2630:X2630,$M$2:$X$2)*$K2630*$L2630</f>
        <v/>
      </c>
      <c r="Z2630" s="14">
        <f>SUM(M2630:X2630)</f>
        <v/>
      </c>
      <c r="AA2630" s="14">
        <f>IFERROR(IF(UPPER($E2630)="L",SUMPRODUCT(M2630:X2630,$M$3:$X$3,$M$2:$X$2),SUMPRODUCT(M2630:X2630,$M$4:$X$4,$M$2:$X$2))/(Y2630/($K2630*$L2630)),"")</f>
        <v/>
      </c>
      <c r="AB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n"/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7" t="n"/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/>
      <c r="W2631" s="17" t="n"/>
      <c r="X2631" s="17" t="n"/>
      <c r="Y2631" s="13">
        <f>SUMPRODUCT(M2631:X2631,$M$2:$X$2)*$K2631*$L2631</f>
        <v/>
      </c>
      <c r="Z2631" s="14">
        <f>SUM(M2631:X2631)</f>
        <v/>
      </c>
      <c r="AA2631" s="14">
        <f>IFERROR(IF(UPPER($E2631)="L",SUMPRODUCT(M2631:X2631,$M$3:$X$3,$M$2:$X$2),SUMPRODUCT(M2631:X2631,$M$4:$X$4,$M$2:$X$2))/(Y2631/($K2631*$L2631)),"")</f>
        <v/>
      </c>
      <c r="AB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n"/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7" t="n"/>
      <c r="N2632" s="17" t="n"/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3">
        <f>SUMPRODUCT(M2632:X2632,$M$2:$X$2)*$K2632*$L2632</f>
        <v/>
      </c>
      <c r="Z2632" s="14">
        <f>SUM(M2632:X2632)</f>
        <v/>
      </c>
      <c r="AA2632" s="14">
        <f>IFERROR(IF(UPPER($E2632)="L",SUMPRODUCT(M2632:X2632,$M$3:$X$3,$M$2:$X$2),SUMPRODUCT(M2632:X2632,$M$4:$X$4,$M$2:$X$2))/(Y2632/($K2632*$L2632)),"")</f>
        <v/>
      </c>
      <c r="AB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n"/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7" t="n"/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/>
      <c r="Y2633" s="13">
        <f>SUMPRODUCT(M2633:X2633,$M$2:$X$2)*$K2633*$L2633</f>
        <v/>
      </c>
      <c r="Z2633" s="14">
        <f>SUM(M2633:X2633)</f>
        <v/>
      </c>
      <c r="AA2633" s="14">
        <f>IFERROR(IF(UPPER($E2633)="L",SUMPRODUCT(M2633:X2633,$M$3:$X$3,$M$2:$X$2),SUMPRODUCT(M2633:X2633,$M$4:$X$4,$M$2:$X$2))/(Y2633/($K2633*$L2633)),"")</f>
        <v/>
      </c>
      <c r="AB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n"/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7" t="n"/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/>
      <c r="Y2634" s="13">
        <f>SUMPRODUCT(M2634:X2634,$M$2:$X$2)*$K2634*$L2634</f>
        <v/>
      </c>
      <c r="Z2634" s="14">
        <f>SUM(M2634:X2634)</f>
        <v/>
      </c>
      <c r="AA2634" s="14">
        <f>IFERROR(IF(UPPER($E2634)="L",SUMPRODUCT(M2634:X2634,$M$3:$X$3,$M$2:$X$2),SUMPRODUCT(M2634:X2634,$M$4:$X$4,$M$2:$X$2))/(Y2634/($K2634*$L2634)),"")</f>
        <v/>
      </c>
      <c r="AB2634" s="18" t="n"/>
    </row>
    <row r="2635">
      <c r="A2635" s="9" t="n">
        <v>699232</v>
      </c>
      <c r="B2635" s="9" t="inlineStr">
        <is>
          <t>Anderdson Rojas</t>
        </is>
      </c>
      <c r="C2635" s="9" t="inlineStr">
        <is>
          <t>ARI</t>
        </is>
      </c>
      <c r="D2635" s="9" t="n">
        <v>25</v>
      </c>
      <c r="E2635" s="16" t="inlineStr">
        <is>
          <t>L</t>
        </is>
      </c>
      <c r="F2635" s="16" t="n"/>
      <c r="G2635" s="9" t="n">
        <v>249.3333333333334</v>
      </c>
      <c r="H2635" s="9" t="n">
        <v>249.3333333333334</v>
      </c>
      <c r="I2635" s="9" t="inlineStr">
        <is>
          <t>Depth (no MLB PA)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7" t="n"/>
      <c r="N2635" s="17" t="n"/>
      <c r="O2635" s="17" t="n"/>
      <c r="P2635" s="17" t="n"/>
      <c r="Q2635" s="17" t="n"/>
      <c r="R2635" s="17" t="n"/>
      <c r="S2635" s="17" t="n"/>
      <c r="T2635" s="17" t="n"/>
      <c r="U2635" s="17" t="n"/>
      <c r="V2635" s="17" t="n"/>
      <c r="W2635" s="17" t="n"/>
      <c r="X2635" s="17" t="n"/>
      <c r="Y2635" s="13">
        <f>SUMPRODUCT(M2635:X2635,$M$2:$X$2)*$K2635*$L2635</f>
        <v/>
      </c>
      <c r="Z2635" s="14">
        <f>SUM(M2635:X2635)</f>
        <v/>
      </c>
      <c r="AA2635" s="14">
        <f>IFERROR(IF(UPPER($E2635)="L",SUMPRODUCT(M2635:X2635,$M$3:$X$3,$M$2:$X$2),SUMPRODUCT(M2635:X2635,$M$4:$X$4,$M$2:$X$2))/(Y2635/($K2635*$L2635)),"")</f>
        <v/>
      </c>
      <c r="AB2635" s="18" t="n"/>
    </row>
    <row r="2636">
      <c r="A2636" s="9" t="n">
        <v>665877</v>
      </c>
      <c r="B2636" s="9" t="inlineStr">
        <is>
          <t>José Fermín</t>
        </is>
      </c>
      <c r="C2636" s="9" t="inlineStr">
        <is>
          <t>STL</t>
        </is>
      </c>
      <c r="D2636" s="9" t="n">
        <v>28</v>
      </c>
      <c r="E2636" s="16" t="inlineStr">
        <is>
          <t>R</t>
        </is>
      </c>
      <c r="F2636" s="16" t="n"/>
      <c r="G2636" s="9" t="n">
        <v>370</v>
      </c>
      <c r="H2636" s="9" t="n">
        <v>580</v>
      </c>
      <c r="I2636" s="9" t="inlineStr">
        <is>
          <t>Utility OF / 4th OF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7" t="n"/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/>
      <c r="Y2636" s="13">
        <f>SUMPRODUCT(M2636:X2636,$M$2:$X$2)*$K2636*$L2636</f>
        <v/>
      </c>
      <c r="Z2636" s="14">
        <f>SUM(M2636:X2636)</f>
        <v/>
      </c>
      <c r="AA2636" s="14">
        <f>IFERROR(IF(UPPER($E2636)="L",SUMPRODUCT(M2636:X2636,$M$3:$X$3,$M$2:$X$2),SUMPRODUCT(M2636:X2636,$M$4:$X$4,$M$2:$X$2))/(Y2636/($K2636*$L2636)),"")</f>
        <v/>
      </c>
      <c r="AB2636" s="18" t="n"/>
    </row>
    <row r="2637">
      <c r="A2637" s="9" t="n">
        <v>699302</v>
      </c>
      <c r="B2637" s="9" t="inlineStr">
        <is>
          <t>Héctor Rodríguez</t>
        </is>
      </c>
      <c r="C2637" s="9" t="inlineStr">
        <is>
          <t>CIN</t>
        </is>
      </c>
      <c r="D2637" s="9" t="n">
        <v>23</v>
      </c>
      <c r="E2637" s="16" t="inlineStr">
        <is>
          <t>L</t>
        </is>
      </c>
      <c r="F2637" s="16" t="n"/>
      <c r="G2637" s="9" t="n">
        <v>152</v>
      </c>
      <c r="H2637" s="9" t="n">
        <v>152</v>
      </c>
      <c r="I2637" s="9" t="inlineStr">
        <is>
          <t>Bench Bat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7" t="n"/>
      <c r="N2637" s="17" t="n"/>
      <c r="O2637" s="17" t="n"/>
      <c r="P2637" s="17" t="n"/>
      <c r="Q2637" s="17" t="n"/>
      <c r="R2637" s="17" t="n"/>
      <c r="S2637" s="17" t="n"/>
      <c r="T2637" s="17" t="n"/>
      <c r="U2637" s="17" t="n"/>
      <c r="V2637" s="17" t="n"/>
      <c r="W2637" s="17" t="n"/>
      <c r="X2637" s="17" t="n"/>
      <c r="Y2637" s="13">
        <f>SUMPRODUCT(M2637:X2637,$M$2:$X$2)*$K2637*$L2637</f>
        <v/>
      </c>
      <c r="Z2637" s="14">
        <f>SUM(M2637:X2637)</f>
        <v/>
      </c>
      <c r="AA2637" s="14">
        <f>IFERROR(IF(UPPER($E2637)="L",SUMPRODUCT(M2637:X2637,$M$3:$X$3,$M$2:$X$2),SUMPRODUCT(M2637:X2637,$M$4:$X$4,$M$2:$X$2))/(Y2637/($K2637*$L2637)),"")</f>
        <v/>
      </c>
      <c r="AB2637" s="18" t="n"/>
    </row>
    <row r="2638">
      <c r="A2638" s="9" t="n">
        <v>678011</v>
      </c>
      <c r="B2638" s="9" t="inlineStr">
        <is>
          <t>Anthony Seigler</t>
        </is>
      </c>
      <c r="C2638" s="9" t="inlineStr">
        <is>
          <t>BOS</t>
        </is>
      </c>
      <c r="D2638" s="9" t="n">
        <v>28</v>
      </c>
      <c r="E2638" s="16" t="inlineStr">
        <is>
          <t>S</t>
        </is>
      </c>
      <c r="F2638" s="16" t="n"/>
      <c r="G2638" s="9" t="n">
        <v>173</v>
      </c>
      <c r="H2638" s="9" t="n">
        <v>246</v>
      </c>
      <c r="I2638" s="9" t="inlineStr">
        <is>
          <t>Bench Bat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7" t="n"/>
      <c r="N2638" s="17" t="n"/>
      <c r="O2638" s="17" t="n"/>
      <c r="P2638" s="17" t="n"/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3">
        <f>SUMPRODUCT(M2638:X2638,$M$2:$X$2)*$K2638*$L2638</f>
        <v/>
      </c>
      <c r="Z2638" s="14">
        <f>SUM(M2638:X2638)</f>
        <v/>
      </c>
      <c r="AA2638" s="14">
        <f>IFERROR(IF(UPPER($E2638)="L",SUMPRODUCT(M2638:X2638,$M$3:$X$3,$M$2:$X$2),SUMPRODUCT(M2638:X2638,$M$4:$X$4,$M$2:$X$2))/(Y2638/($K2638*$L2638)),"")</f>
        <v/>
      </c>
      <c r="AB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n"/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7" t="n"/>
      <c r="N2639" s="17" t="n"/>
      <c r="O2639" s="17" t="n"/>
      <c r="P2639" s="17" t="n"/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3">
        <f>SUMPRODUCT(M2639:X2639,$M$2:$X$2)*$K2639*$L2639</f>
        <v/>
      </c>
      <c r="Z2639" s="14">
        <f>SUM(M2639:X2639)</f>
        <v/>
      </c>
      <c r="AA2639" s="14">
        <f>IFERROR(IF(UPPER($E2639)="L",SUMPRODUCT(M2639:X2639,$M$3:$X$3,$M$2:$X$2),SUMPRODUCT(M2639:X2639,$M$4:$X$4,$M$2:$X$2))/(Y2639/($K2639*$L2639)),"")</f>
        <v/>
      </c>
      <c r="AB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n"/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7" t="n"/>
      <c r="N2640" s="17" t="n"/>
      <c r="O2640" s="17" t="n"/>
      <c r="P2640" s="17" t="n"/>
      <c r="Q2640" s="17" t="n"/>
      <c r="R2640" s="17" t="n"/>
      <c r="S2640" s="17" t="n"/>
      <c r="T2640" s="17" t="n"/>
      <c r="U2640" s="17" t="n"/>
      <c r="V2640" s="17" t="n"/>
      <c r="W2640" s="17" t="n"/>
      <c r="X2640" s="17" t="n"/>
      <c r="Y2640" s="13">
        <f>SUMPRODUCT(M2640:X2640,$M$2:$X$2)*$K2640*$L2640</f>
        <v/>
      </c>
      <c r="Z2640" s="14">
        <f>SUM(M2640:X2640)</f>
        <v/>
      </c>
      <c r="AA2640" s="14">
        <f>IFERROR(IF(UPPER($E2640)="L",SUMPRODUCT(M2640:X2640,$M$3:$X$3,$M$2:$X$2),SUMPRODUCT(M2640:X2640,$M$4:$X$4,$M$2:$X$2))/(Y2640/($K2640*$L2640)),"")</f>
        <v/>
      </c>
      <c r="AB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n"/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7" t="n"/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/>
      <c r="Y2641" s="13">
        <f>SUMPRODUCT(M2641:X2641,$M$2:$X$2)*$K2641*$L2641</f>
        <v/>
      </c>
      <c r="Z2641" s="14">
        <f>SUM(M2641:X2641)</f>
        <v/>
      </c>
      <c r="AA2641" s="14">
        <f>IFERROR(IF(UPPER($E2641)="L",SUMPRODUCT(M2641:X2641,$M$3:$X$3,$M$2:$X$2),SUMPRODUCT(M2641:X2641,$M$4:$X$4,$M$2:$X$2))/(Y2641/($K2641*$L2641)),"")</f>
        <v/>
      </c>
      <c r="AB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n"/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7" t="n"/>
      <c r="N2642" s="17" t="n"/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3">
        <f>SUMPRODUCT(M2642:X2642,$M$2:$X$2)*$K2642*$L2642</f>
        <v/>
      </c>
      <c r="Z2642" s="14">
        <f>SUM(M2642:X2642)</f>
        <v/>
      </c>
      <c r="AA2642" s="14">
        <f>IFERROR(IF(UPPER($E2642)="L",SUMPRODUCT(M2642:X2642,$M$3:$X$3,$M$2:$X$2),SUMPRODUCT(M2642:X2642,$M$4:$X$4,$M$2:$X$2))/(Y2642/($K2642*$L2642)),"")</f>
        <v/>
      </c>
      <c r="AB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n"/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7" t="n"/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/>
      <c r="W2643" s="17" t="n"/>
      <c r="X2643" s="17" t="n"/>
      <c r="Y2643" s="13">
        <f>SUMPRODUCT(M2643:X2643,$M$2:$X$2)*$K2643*$L2643</f>
        <v/>
      </c>
      <c r="Z2643" s="14">
        <f>SUM(M2643:X2643)</f>
        <v/>
      </c>
      <c r="AA2643" s="14">
        <f>IFERROR(IF(UPPER($E2643)="L",SUMPRODUCT(M2643:X2643,$M$3:$X$3,$M$2:$X$2),SUMPRODUCT(M2643:X2643,$M$4:$X$4,$M$2:$X$2))/(Y2643/($K2643*$L2643)),"")</f>
        <v/>
      </c>
      <c r="AB2643" s="18" t="n"/>
    </row>
    <row r="2644">
      <c r="A2644" s="9" t="n">
        <v>668974</v>
      </c>
      <c r="B2644" s="9" t="inlineStr">
        <is>
          <t>Maverick Handley</t>
        </is>
      </c>
      <c r="C2644" s="9" t="inlineStr">
        <is>
          <t>BAL</t>
        </is>
      </c>
      <c r="D2644" s="9" t="n">
        <v>29</v>
      </c>
      <c r="E2644" s="16" t="inlineStr">
        <is>
          <t>R</t>
        </is>
      </c>
      <c r="F2644" s="16" t="n"/>
      <c r="G2644" s="9" t="n">
        <v>1</v>
      </c>
      <c r="H2644" s="9" t="n">
        <v>48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7" t="n"/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/>
      <c r="W2644" s="17" t="n"/>
      <c r="X2644" s="17" t="n"/>
      <c r="Y2644" s="13">
        <f>SUMPRODUCT(M2644:X2644,$M$2:$X$2)*$K2644*$L2644</f>
        <v/>
      </c>
      <c r="Z2644" s="14">
        <f>SUM(M2644:X2644)</f>
        <v/>
      </c>
      <c r="AA2644" s="14">
        <f>IFERROR(IF(UPPER($E2644)="L",SUMPRODUCT(M2644:X2644,$M$3:$X$3,$M$2:$X$2),SUMPRODUCT(M2644:X2644,$M$4:$X$4,$M$2:$X$2))/(Y2644/($K2644*$L2644)),"")</f>
        <v/>
      </c>
      <c r="AB2644" s="18" t="n"/>
    </row>
    <row r="2645">
      <c r="A2645" s="9" t="n">
        <v>680577</v>
      </c>
      <c r="B2645" s="9" t="inlineStr">
        <is>
          <t>DaShawn Keirsey Jr.</t>
        </is>
      </c>
      <c r="C2645" s="9" t="inlineStr">
        <is>
          <t>MIN</t>
        </is>
      </c>
      <c r="D2645" s="9" t="n">
        <v>30</v>
      </c>
      <c r="E2645" s="16" t="inlineStr">
        <is>
          <t>L</t>
        </is>
      </c>
      <c r="F2645" s="16" t="n"/>
      <c r="G2645" s="9" t="n">
        <v>5</v>
      </c>
      <c r="H2645" s="9" t="n">
        <v>107</v>
      </c>
      <c r="I2645" s="9" t="inlineStr">
        <is>
          <t>Bench Bat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7" t="n"/>
      <c r="N2645" s="17" t="n"/>
      <c r="O2645" s="17" t="n"/>
      <c r="P2645" s="17" t="n"/>
      <c r="Q2645" s="17" t="n"/>
      <c r="R2645" s="17" t="n"/>
      <c r="S2645" s="17" t="n"/>
      <c r="T2645" s="17" t="n"/>
      <c r="U2645" s="17" t="n"/>
      <c r="V2645" s="17" t="n"/>
      <c r="W2645" s="17" t="n"/>
      <c r="X2645" s="17" t="n"/>
      <c r="Y2645" s="13">
        <f>SUMPRODUCT(M2645:X2645,$M$2:$X$2)*$K2645*$L2645</f>
        <v/>
      </c>
      <c r="Z2645" s="14">
        <f>SUM(M2645:X2645)</f>
        <v/>
      </c>
      <c r="AA2645" s="14">
        <f>IFERROR(IF(UPPER($E2645)="L",SUMPRODUCT(M2645:X2645,$M$3:$X$3,$M$2:$X$2),SUMPRODUCT(M2645:X2645,$M$4:$X$4,$M$2:$X$2))/(Y2645/($K2645*$L2645)),"")</f>
        <v/>
      </c>
      <c r="AB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n"/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7" t="n"/>
      <c r="N2646" s="17" t="n"/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3">
        <f>SUMPRODUCT(M2646:X2646,$M$2:$X$2)*$K2646*$L2646</f>
        <v/>
      </c>
      <c r="Z2646" s="14">
        <f>SUM(M2646:X2646)</f>
        <v/>
      </c>
      <c r="AA2646" s="14">
        <f>IFERROR(IF(UPPER($E2646)="L",SUMPRODUCT(M2646:X2646,$M$3:$X$3,$M$2:$X$2),SUMPRODUCT(M2646:X2646,$M$4:$X$4,$M$2:$X$2))/(Y2646/($K2646*$L2646)),"")</f>
        <v/>
      </c>
      <c r="AB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n"/>
      <c r="G2647" s="9" t="n">
        <v>254</v>
      </c>
      <c r="H2647" s="9" t="n">
        <v>1144</v>
      </c>
      <c r="I2647" s="9" t="inlineStr">
        <is>
          <t>Utility OF / 4th OF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7" t="n"/>
      <c r="N2647" s="17" t="n"/>
      <c r="O2647" s="17" t="n"/>
      <c r="P2647" s="17" t="n"/>
      <c r="Q2647" s="17" t="n"/>
      <c r="R2647" s="17" t="n"/>
      <c r="S2647" s="17" t="n"/>
      <c r="T2647" s="17" t="n"/>
      <c r="U2647" s="17" t="n"/>
      <c r="V2647" s="17" t="n"/>
      <c r="W2647" s="17" t="n"/>
      <c r="X2647" s="17" t="n"/>
      <c r="Y2647" s="13">
        <f>SUMPRODUCT(M2647:X2647,$M$2:$X$2)*$K2647*$L2647</f>
        <v/>
      </c>
      <c r="Z2647" s="14">
        <f>SUM(M2647:X2647)</f>
        <v/>
      </c>
      <c r="AA2647" s="14">
        <f>IFERROR(IF(UPPER($E2647)="L",SUMPRODUCT(M2647:X2647,$M$3:$X$3,$M$2:$X$2),SUMPRODUCT(M2647:X2647,$M$4:$X$4,$M$2:$X$2))/(Y2647/($K2647*$L2647)),"")</f>
        <v/>
      </c>
      <c r="AB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n"/>
      <c r="G2648" s="9" t="n">
        <v>508</v>
      </c>
      <c r="H2648" s="9" t="n">
        <v>2683</v>
      </c>
      <c r="I2648" s="9" t="inlineStr">
        <is>
          <t>Full Time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7" t="n"/>
      <c r="N2648" s="17" t="n"/>
      <c r="O2648" s="17" t="n"/>
      <c r="P2648" s="17" t="n"/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3">
        <f>SUMPRODUCT(M2648:X2648,$M$2:$X$2)*$K2648*$L2648</f>
        <v/>
      </c>
      <c r="Z2648" s="14">
        <f>SUM(M2648:X2648)</f>
        <v/>
      </c>
      <c r="AA2648" s="14">
        <f>IFERROR(IF(UPPER($E2648)="L",SUMPRODUCT(M2648:X2648,$M$3:$X$3,$M$2:$X$2),SUMPRODUCT(M2648:X2648,$M$4:$X$4,$M$2:$X$2))/(Y2648/($K2648*$L2648)),"")</f>
        <v/>
      </c>
      <c r="AB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n"/>
      <c r="G2649" s="9" t="n">
        <v>74</v>
      </c>
      <c r="H2649" s="9" t="n">
        <v>74</v>
      </c>
      <c r="I2649" s="9" t="inlineStr">
        <is>
          <t>Bench Bat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7" t="n"/>
      <c r="N2649" s="17" t="n"/>
      <c r="O2649" s="17" t="n"/>
      <c r="P2649" s="17" t="n"/>
      <c r="Q2649" s="17" t="n"/>
      <c r="R2649" s="17" t="n"/>
      <c r="S2649" s="17" t="n"/>
      <c r="T2649" s="17" t="n"/>
      <c r="U2649" s="17" t="n"/>
      <c r="V2649" s="17" t="n"/>
      <c r="W2649" s="17" t="n"/>
      <c r="X2649" s="17" t="n"/>
      <c r="Y2649" s="13">
        <f>SUMPRODUCT(M2649:X2649,$M$2:$X$2)*$K2649*$L2649</f>
        <v/>
      </c>
      <c r="Z2649" s="14">
        <f>SUM(M2649:X2649)</f>
        <v/>
      </c>
      <c r="AA2649" s="14">
        <f>IFERROR(IF(UPPER($E2649)="L",SUMPRODUCT(M2649:X2649,$M$3:$X$3,$M$2:$X$2),SUMPRODUCT(M2649:X2649,$M$4:$X$4,$M$2:$X$2))/(Y2649/($K2649*$L2649)),"")</f>
        <v/>
      </c>
      <c r="AB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n"/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7" t="n"/>
      <c r="N2650" s="17" t="n"/>
      <c r="O2650" s="17" t="n"/>
      <c r="P2650" s="17" t="n"/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3">
        <f>SUMPRODUCT(M2650:X2650,$M$2:$X$2)*$K2650*$L2650</f>
        <v/>
      </c>
      <c r="Z2650" s="14">
        <f>SUM(M2650:X2650)</f>
        <v/>
      </c>
      <c r="AA2650" s="14">
        <f>IFERROR(IF(UPPER($E2650)="L",SUMPRODUCT(M2650:X2650,$M$3:$X$3,$M$2:$X$2),SUMPRODUCT(M2650:X2650,$M$4:$X$4,$M$2:$X$2))/(Y2650/($K2650*$L2650)),"")</f>
        <v/>
      </c>
      <c r="AB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7" t="n"/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/>
      <c r="Y2651" s="13">
        <f>SUMPRODUCT(M2651:X2651,$M$2:$X$2)*$K2651*$L2651</f>
        <v/>
      </c>
      <c r="Z2651" s="14">
        <f>SUM(M2651:X2651)</f>
        <v/>
      </c>
      <c r="AA2651" s="14">
        <f>IFERROR(IF(UPPER($E2651)="L",SUMPRODUCT(M2651:X2651,$M$3:$X$3,$M$2:$X$2),SUMPRODUCT(M2651:X2651,$M$4:$X$4,$M$2:$X$2))/(Y2651/($K2651*$L2651)),"")</f>
        <v/>
      </c>
      <c r="AB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7" t="n"/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/>
      <c r="Y2652" s="13">
        <f>SUMPRODUCT(M2652:X2652,$M$2:$X$2)*$K2652*$L2652</f>
        <v/>
      </c>
      <c r="Z2652" s="14">
        <f>SUM(M2652:X2652)</f>
        <v/>
      </c>
      <c r="AA2652" s="14">
        <f>IFERROR(IF(UPPER($E2652)="L",SUMPRODUCT(M2652:X2652,$M$3:$X$3,$M$2:$X$2),SUMPRODUCT(M2652:X2652,$M$4:$X$4,$M$2:$X$2))/(Y2652/($K2652*$L2652)),"")</f>
        <v/>
      </c>
      <c r="AB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7" t="n"/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/>
      <c r="Y2653" s="13">
        <f>SUMPRODUCT(M2653:X2653,$M$2:$X$2)*$K2653*$L2653</f>
        <v/>
      </c>
      <c r="Z2653" s="14">
        <f>SUM(M2653:X2653)</f>
        <v/>
      </c>
      <c r="AA2653" s="14">
        <f>IFERROR(IF(UPPER($E2653)="L",SUMPRODUCT(M2653:X2653,$M$3:$X$3,$M$2:$X$2),SUMPRODUCT(M2653:X2653,$M$4:$X$4,$M$2:$X$2))/(Y2653/($K2653*$L2653)),"")</f>
        <v/>
      </c>
      <c r="AB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7" t="n"/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/>
      <c r="Y2654" s="13">
        <f>SUMPRODUCT(M2654:X2654,$M$2:$X$2)*$K2654*$L2654</f>
        <v/>
      </c>
      <c r="Z2654" s="14">
        <f>SUM(M2654:X2654)</f>
        <v/>
      </c>
      <c r="AA2654" s="14">
        <f>IFERROR(IF(UPPER($E2654)="L",SUMPRODUCT(M2654:X2654,$M$3:$X$3,$M$2:$X$2),SUMPRODUCT(M2654:X2654,$M$4:$X$4,$M$2:$X$2))/(Y2654/($K2654*$L2654)),"")</f>
        <v/>
      </c>
      <c r="AB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n"/>
      <c r="G2655" s="9" t="n">
        <v>153</v>
      </c>
      <c r="H2655" s="9" t="n">
        <v>1548</v>
      </c>
      <c r="I2655" s="9" t="inlineStr">
        <is>
          <t>Utility OF / 4th OF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7" t="n"/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/>
      <c r="W2655" s="17" t="n"/>
      <c r="X2655" s="17" t="n"/>
      <c r="Y2655" s="13">
        <f>SUMPRODUCT(M2655:X2655,$M$2:$X$2)*$K2655*$L2655</f>
        <v/>
      </c>
      <c r="Z2655" s="14">
        <f>SUM(M2655:X2655)</f>
        <v/>
      </c>
      <c r="AA2655" s="14">
        <f>IFERROR(IF(UPPER($E2655)="L",SUMPRODUCT(M2655:X2655,$M$3:$X$3,$M$2:$X$2),SUMPRODUCT(M2655:X2655,$M$4:$X$4,$M$2:$X$2))/(Y2655/($K2655*$L2655)),"")</f>
        <v/>
      </c>
      <c r="AB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n"/>
      <c r="G2656" s="9" t="n">
        <v>520</v>
      </c>
      <c r="H2656" s="9" t="n">
        <v>2691</v>
      </c>
      <c r="I2656" s="9" t="inlineStr">
        <is>
          <t>Full Time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7" t="n"/>
      <c r="N2656" s="17" t="n"/>
      <c r="O2656" s="17" t="n"/>
      <c r="P2656" s="17" t="n"/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3">
        <f>SUMPRODUCT(M2656:X2656,$M$2:$X$2)*$K2656*$L2656</f>
        <v/>
      </c>
      <c r="Z2656" s="14">
        <f>SUM(M2656:X2656)</f>
        <v/>
      </c>
      <c r="AA2656" s="14">
        <f>IFERROR(IF(UPPER($E2656)="L",SUMPRODUCT(M2656:X2656,$M$3:$X$3,$M$2:$X$2),SUMPRODUCT(M2656:X2656,$M$4:$X$4,$M$2:$X$2))/(Y2656/($K2656*$L2656)),"")</f>
        <v/>
      </c>
      <c r="AB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n"/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7" t="n"/>
      <c r="N2657" s="17" t="n"/>
      <c r="O2657" s="17" t="n"/>
      <c r="P2657" s="17" t="n"/>
      <c r="Q2657" s="17" t="n"/>
      <c r="R2657" s="17" t="n"/>
      <c r="S2657" s="17" t="n"/>
      <c r="T2657" s="17" t="n"/>
      <c r="U2657" s="17" t="n"/>
      <c r="V2657" s="17" t="n"/>
      <c r="W2657" s="17" t="n"/>
      <c r="X2657" s="17" t="n"/>
      <c r="Y2657" s="13">
        <f>SUMPRODUCT(M2657:X2657,$M$2:$X$2)*$K2657*$L2657</f>
        <v/>
      </c>
      <c r="Z2657" s="14">
        <f>SUM(M2657:X2657)</f>
        <v/>
      </c>
      <c r="AA2657" s="14">
        <f>IFERROR(IF(UPPER($E2657)="L",SUMPRODUCT(M2657:X2657,$M$3:$X$3,$M$2:$X$2),SUMPRODUCT(M2657:X2657,$M$4:$X$4,$M$2:$X$2))/(Y2657/($K2657*$L2657)),"")</f>
        <v/>
      </c>
      <c r="AB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n"/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7" t="n"/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/>
      <c r="Y2658" s="13">
        <f>SUMPRODUCT(M2658:X2658,$M$2:$X$2)*$K2658*$L2658</f>
        <v/>
      </c>
      <c r="Z2658" s="14">
        <f>SUM(M2658:X2658)</f>
        <v/>
      </c>
      <c r="AA2658" s="14">
        <f>IFERROR(IF(UPPER($E2658)="L",SUMPRODUCT(M2658:X2658,$M$3:$X$3,$M$2:$X$2),SUMPRODUCT(M2658:X2658,$M$4:$X$4,$M$2:$X$2))/(Y2658/($K2658*$L2658)),"")</f>
        <v/>
      </c>
      <c r="AB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n"/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7" t="n"/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/>
      <c r="W2659" s="17" t="n"/>
      <c r="X2659" s="17" t="n"/>
      <c r="Y2659" s="13">
        <f>SUMPRODUCT(M2659:X2659,$M$2:$X$2)*$K2659*$L2659</f>
        <v/>
      </c>
      <c r="Z2659" s="14">
        <f>SUM(M2659:X2659)</f>
        <v/>
      </c>
      <c r="AA2659" s="14">
        <f>IFERROR(IF(UPPER($E2659)="L",SUMPRODUCT(M2659:X2659,$M$3:$X$3,$M$2:$X$2),SUMPRODUCT(M2659:X2659,$M$4:$X$4,$M$2:$X$2))/(Y2659/($K2659*$L2659)),"")</f>
        <v/>
      </c>
      <c r="AB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7" t="n"/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/>
      <c r="Y2660" s="13">
        <f>SUMPRODUCT(M2660:X2660,$M$2:$X$2)*$K2660*$L2660</f>
        <v/>
      </c>
      <c r="Z2660" s="14">
        <f>SUM(M2660:X2660)</f>
        <v/>
      </c>
      <c r="AA2660" s="14">
        <f>IFERROR(IF(UPPER($E2660)="L",SUMPRODUCT(M2660:X2660,$M$3:$X$3,$M$2:$X$2),SUMPRODUCT(M2660:X2660,$M$4:$X$4,$M$2:$X$2))/(Y2660/($K2660*$L2660)),"")</f>
        <v/>
      </c>
      <c r="AB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n"/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7" t="n"/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/>
      <c r="Y2661" s="13">
        <f>SUMPRODUCT(M2661:X2661,$M$2:$X$2)*$K2661*$L2661</f>
        <v/>
      </c>
      <c r="Z2661" s="14">
        <f>SUM(M2661:X2661)</f>
        <v/>
      </c>
      <c r="AA2661" s="14">
        <f>IFERROR(IF(UPPER($E2661)="L",SUMPRODUCT(M2661:X2661,$M$3:$X$3,$M$2:$X$2),SUMPRODUCT(M2661:X2661,$M$4:$X$4,$M$2:$X$2))/(Y2661/($K2661*$L2661)),"")</f>
        <v/>
      </c>
      <c r="AB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n"/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7" t="n"/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/>
      <c r="Y2662" s="13">
        <f>SUMPRODUCT(M2662:X2662,$M$2:$X$2)*$K2662*$L2662</f>
        <v/>
      </c>
      <c r="Z2662" s="14">
        <f>SUM(M2662:X2662)</f>
        <v/>
      </c>
      <c r="AA2662" s="14">
        <f>IFERROR(IF(UPPER($E2662)="L",SUMPRODUCT(M2662:X2662,$M$3:$X$3,$M$2:$X$2),SUMPRODUCT(M2662:X2662,$M$4:$X$4,$M$2:$X$2))/(Y2662/($K2662*$L2662)),"")</f>
        <v/>
      </c>
      <c r="AB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n"/>
      <c r="G2663" s="9" t="n">
        <v>297</v>
      </c>
      <c r="H2663" s="9" t="n">
        <v>1503</v>
      </c>
      <c r="I2663" s="9" t="inlineStr">
        <is>
          <t>Utility OF / 4th OF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7" t="n"/>
      <c r="N2663" s="17" t="n"/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3">
        <f>SUMPRODUCT(M2663:X2663,$M$2:$X$2)*$K2663*$L2663</f>
        <v/>
      </c>
      <c r="Z2663" s="14">
        <f>SUM(M2663:X2663)</f>
        <v/>
      </c>
      <c r="AA2663" s="14">
        <f>IFERROR(IF(UPPER($E2663)="L",SUMPRODUCT(M2663:X2663,$M$3:$X$3,$M$2:$X$2),SUMPRODUCT(M2663:X2663,$M$4:$X$4,$M$2:$X$2))/(Y2663/($K2663*$L2663)),"")</f>
        <v/>
      </c>
      <c r="AB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n"/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7" t="n"/>
      <c r="N2664" s="17" t="n"/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3">
        <f>SUMPRODUCT(M2664:X2664,$M$2:$X$2)*$K2664*$L2664</f>
        <v/>
      </c>
      <c r="Z2664" s="14">
        <f>SUM(M2664:X2664)</f>
        <v/>
      </c>
      <c r="AA2664" s="14">
        <f>IFERROR(IF(UPPER($E2664)="L",SUMPRODUCT(M2664:X2664,$M$3:$X$3,$M$2:$X$2),SUMPRODUCT(M2664:X2664,$M$4:$X$4,$M$2:$X$2))/(Y2664/($K2664*$L2664)),"")</f>
        <v/>
      </c>
      <c r="AB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n"/>
      <c r="G2665" s="9" t="n">
        <v>266</v>
      </c>
      <c r="H2665" s="9" t="n">
        <v>1576</v>
      </c>
      <c r="I2665" s="9" t="inlineStr">
        <is>
          <t>Utility OF / 4th OF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7" t="n"/>
      <c r="N2665" s="17" t="n"/>
      <c r="O2665" s="17" t="n"/>
      <c r="P2665" s="17" t="n"/>
      <c r="Q2665" s="17" t="n"/>
      <c r="R2665" s="17" t="n"/>
      <c r="S2665" s="17" t="n"/>
      <c r="T2665" s="17" t="n"/>
      <c r="U2665" s="17" t="n"/>
      <c r="V2665" s="17" t="n"/>
      <c r="W2665" s="17" t="n"/>
      <c r="X2665" s="17" t="n"/>
      <c r="Y2665" s="13">
        <f>SUMPRODUCT(M2665:X2665,$M$2:$X$2)*$K2665*$L2665</f>
        <v/>
      </c>
      <c r="Z2665" s="14">
        <f>SUM(M2665:X2665)</f>
        <v/>
      </c>
      <c r="AA2665" s="14">
        <f>IFERROR(IF(UPPER($E2665)="L",SUMPRODUCT(M2665:X2665,$M$3:$X$3,$M$2:$X$2),SUMPRODUCT(M2665:X2665,$M$4:$X$4,$M$2:$X$2))/(Y2665/($K2665*$L2665)),"")</f>
        <v/>
      </c>
      <c r="AB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n"/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7" t="n"/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/>
      <c r="W2666" s="17" t="n"/>
      <c r="X2666" s="17" t="n"/>
      <c r="Y2666" s="13">
        <f>SUMPRODUCT(M2666:X2666,$M$2:$X$2)*$K2666*$L2666</f>
        <v/>
      </c>
      <c r="Z2666" s="14">
        <f>SUM(M2666:X2666)</f>
        <v/>
      </c>
      <c r="AA2666" s="14">
        <f>IFERROR(IF(UPPER($E2666)="L",SUMPRODUCT(M2666:X2666,$M$3:$X$3,$M$2:$X$2),SUMPRODUCT(M2666:X2666,$M$4:$X$4,$M$2:$X$2))/(Y2666/($K2666*$L2666)),"")</f>
        <v/>
      </c>
      <c r="AB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n"/>
      <c r="G2667" s="9" t="n">
        <v>277</v>
      </c>
      <c r="H2667" s="9" t="n">
        <v>467</v>
      </c>
      <c r="I2667" s="9" t="inlineStr">
        <is>
          <t>Utility OF / 4th OF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7" t="n"/>
      <c r="N2667" s="17" t="n"/>
      <c r="O2667" s="17" t="n"/>
      <c r="P2667" s="17" t="n"/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3">
        <f>SUMPRODUCT(M2667:X2667,$M$2:$X$2)*$K2667*$L2667</f>
        <v/>
      </c>
      <c r="Z2667" s="14">
        <f>SUM(M2667:X2667)</f>
        <v/>
      </c>
      <c r="AA2667" s="14">
        <f>IFERROR(IF(UPPER($E2667)="L",SUMPRODUCT(M2667:X2667,$M$3:$X$3,$M$2:$X$2),SUMPRODUCT(M2667:X2667,$M$4:$X$4,$M$2:$X$2))/(Y2667/($K2667*$L2667)),"")</f>
        <v/>
      </c>
      <c r="AB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n"/>
      <c r="G2668" s="9" t="n">
        <v>76</v>
      </c>
      <c r="H2668" s="9" t="n">
        <v>238</v>
      </c>
      <c r="I2668" s="9" t="inlineStr">
        <is>
          <t>Bench Bat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7" t="n"/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/>
      <c r="W2668" s="17" t="n"/>
      <c r="X2668" s="17" t="n"/>
      <c r="Y2668" s="13">
        <f>SUMPRODUCT(M2668:X2668,$M$2:$X$2)*$K2668*$L2668</f>
        <v/>
      </c>
      <c r="Z2668" s="14">
        <f>SUM(M2668:X2668)</f>
        <v/>
      </c>
      <c r="AA2668" s="14">
        <f>IFERROR(IF(UPPER($E2668)="L",SUMPRODUCT(M2668:X2668,$M$3:$X$3,$M$2:$X$2),SUMPRODUCT(M2668:X2668,$M$4:$X$4,$M$2:$X$2))/(Y2668/($K2668*$L2668)),"")</f>
        <v/>
      </c>
      <c r="AB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n"/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7" t="n"/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/>
      <c r="W2669" s="17" t="n"/>
      <c r="X2669" s="17" t="n"/>
      <c r="Y2669" s="13">
        <f>SUMPRODUCT(M2669:X2669,$M$2:$X$2)*$K2669*$L2669</f>
        <v/>
      </c>
      <c r="Z2669" s="14">
        <f>SUM(M2669:X2669)</f>
        <v/>
      </c>
      <c r="AA2669" s="14">
        <f>IFERROR(IF(UPPER($E2669)="L",SUMPRODUCT(M2669:X2669,$M$3:$X$3,$M$2:$X$2),SUMPRODUCT(M2669:X2669,$M$4:$X$4,$M$2:$X$2))/(Y2669/($K2669*$L2669)),"")</f>
        <v/>
      </c>
      <c r="AB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n"/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7" t="n"/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/>
      <c r="Y2670" s="13">
        <f>SUMPRODUCT(M2670:X2670,$M$2:$X$2)*$K2670*$L2670</f>
        <v/>
      </c>
      <c r="Z2670" s="14">
        <f>SUM(M2670:X2670)</f>
        <v/>
      </c>
      <c r="AA2670" s="14">
        <f>IFERROR(IF(UPPER($E2670)="L",SUMPRODUCT(M2670:X2670,$M$3:$X$3,$M$2:$X$2),SUMPRODUCT(M2670:X2670,$M$4:$X$4,$M$2:$X$2))/(Y2670/($K2670*$L2670)),"")</f>
        <v/>
      </c>
      <c r="AB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n"/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7" t="n"/>
      <c r="N2671" s="17" t="n"/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3">
        <f>SUMPRODUCT(M2671:X2671,$M$2:$X$2)*$K2671*$L2671</f>
        <v/>
      </c>
      <c r="Z2671" s="14">
        <f>SUM(M2671:X2671)</f>
        <v/>
      </c>
      <c r="AA2671" s="14">
        <f>IFERROR(IF(UPPER($E2671)="L",SUMPRODUCT(M2671:X2671,$M$3:$X$3,$M$2:$X$2),SUMPRODUCT(M2671:X2671,$M$4:$X$4,$M$2:$X$2))/(Y2671/($K2671*$L2671)),"")</f>
        <v/>
      </c>
      <c r="AB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n"/>
      <c r="G2672" s="9" t="n">
        <v>92</v>
      </c>
      <c r="H2672" s="9" t="n">
        <v>190</v>
      </c>
      <c r="I2672" s="9" t="inlineStr">
        <is>
          <t>Bench Bat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7" t="n"/>
      <c r="N2672" s="17" t="n"/>
      <c r="O2672" s="17" t="n"/>
      <c r="P2672" s="17" t="n"/>
      <c r="Q2672" s="17" t="n"/>
      <c r="R2672" s="17" t="n"/>
      <c r="S2672" s="17" t="n"/>
      <c r="T2672" s="17" t="n"/>
      <c r="U2672" s="17" t="n"/>
      <c r="V2672" s="17" t="n"/>
      <c r="W2672" s="17" t="n"/>
      <c r="X2672" s="17" t="n"/>
      <c r="Y2672" s="13">
        <f>SUMPRODUCT(M2672:X2672,$M$2:$X$2)*$K2672*$L2672</f>
        <v/>
      </c>
      <c r="Z2672" s="14">
        <f>SUM(M2672:X2672)</f>
        <v/>
      </c>
      <c r="AA2672" s="14">
        <f>IFERROR(IF(UPPER($E2672)="L",SUMPRODUCT(M2672:X2672,$M$3:$X$3,$M$2:$X$2),SUMPRODUCT(M2672:X2672,$M$4:$X$4,$M$2:$X$2))/(Y2672/($K2672*$L2672)),"")</f>
        <v/>
      </c>
      <c r="AB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n"/>
      <c r="G2673" s="9" t="n">
        <v>252</v>
      </c>
      <c r="H2673" s="9" t="n">
        <v>1836</v>
      </c>
      <c r="I2673" s="9" t="inlineStr">
        <is>
          <t>Utility OF / 4th OF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7" t="n"/>
      <c r="N2673" s="17" t="n"/>
      <c r="O2673" s="17" t="n"/>
      <c r="P2673" s="17" t="n"/>
      <c r="Q2673" s="17" t="n"/>
      <c r="R2673" s="17" t="n"/>
      <c r="S2673" s="17" t="n"/>
      <c r="T2673" s="17" t="n"/>
      <c r="U2673" s="17" t="n"/>
      <c r="V2673" s="17" t="n"/>
      <c r="W2673" s="17" t="n"/>
      <c r="X2673" s="17" t="n"/>
      <c r="Y2673" s="13">
        <f>SUMPRODUCT(M2673:X2673,$M$2:$X$2)*$K2673*$L2673</f>
        <v/>
      </c>
      <c r="Z2673" s="14">
        <f>SUM(M2673:X2673)</f>
        <v/>
      </c>
      <c r="AA2673" s="14">
        <f>IFERROR(IF(UPPER($E2673)="L",SUMPRODUCT(M2673:X2673,$M$3:$X$3,$M$2:$X$2),SUMPRODUCT(M2673:X2673,$M$4:$X$4,$M$2:$X$2))/(Y2673/($K2673*$L2673)),"")</f>
        <v/>
      </c>
      <c r="AB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n"/>
      <c r="G2674" s="9" t="n">
        <v>291</v>
      </c>
      <c r="H2674" s="9" t="n">
        <v>1845</v>
      </c>
      <c r="I2674" s="9" t="inlineStr">
        <is>
          <t>Utility OF / 4th OF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7" t="n"/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/>
      <c r="W2674" s="17" t="n"/>
      <c r="X2674" s="17" t="n"/>
      <c r="Y2674" s="13">
        <f>SUMPRODUCT(M2674:X2674,$M$2:$X$2)*$K2674*$L2674</f>
        <v/>
      </c>
      <c r="Z2674" s="14">
        <f>SUM(M2674:X2674)</f>
        <v/>
      </c>
      <c r="AA2674" s="14">
        <f>IFERROR(IF(UPPER($E2674)="L",SUMPRODUCT(M2674:X2674,$M$3:$X$3,$M$2:$X$2),SUMPRODUCT(M2674:X2674,$M$4:$X$4,$M$2:$X$2))/(Y2674/($K2674*$L2674)),"")</f>
        <v/>
      </c>
      <c r="AB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n"/>
      <c r="G2675" s="9" t="n">
        <v>323</v>
      </c>
      <c r="H2675" s="9" t="n">
        <v>1463</v>
      </c>
      <c r="I2675" s="9" t="inlineStr">
        <is>
          <t>Utility OF / 4th OF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7" t="n"/>
      <c r="N2675" s="17" t="n"/>
      <c r="O2675" s="17" t="n"/>
      <c r="P2675" s="17" t="n"/>
      <c r="Q2675" s="17" t="n"/>
      <c r="R2675" s="17" t="n"/>
      <c r="S2675" s="17" t="n"/>
      <c r="T2675" s="17" t="n"/>
      <c r="U2675" s="17" t="n"/>
      <c r="V2675" s="17" t="n"/>
      <c r="W2675" s="17" t="n"/>
      <c r="X2675" s="17" t="n"/>
      <c r="Y2675" s="13">
        <f>SUMPRODUCT(M2675:X2675,$M$2:$X$2)*$K2675*$L2675</f>
        <v/>
      </c>
      <c r="Z2675" s="14">
        <f>SUM(M2675:X2675)</f>
        <v/>
      </c>
      <c r="AA2675" s="14">
        <f>IFERROR(IF(UPPER($E2675)="L",SUMPRODUCT(M2675:X2675,$M$3:$X$3,$M$2:$X$2),SUMPRODUCT(M2675:X2675,$M$4:$X$4,$M$2:$X$2))/(Y2675/($K2675*$L2675)),"")</f>
        <v/>
      </c>
      <c r="AB2675" s="18" t="n"/>
    </row>
    <row r="2676">
      <c r="A2676" s="9" t="n">
        <v>642731</v>
      </c>
      <c r="B2676" s="9" t="inlineStr">
        <is>
          <t>Thairo Estrada</t>
        </is>
      </c>
      <c r="C2676" s="9" t="inlineStr">
        <is>
          <t>COL</t>
        </is>
      </c>
      <c r="D2676" s="9" t="n">
        <v>31</v>
      </c>
      <c r="E2676" s="16" t="inlineStr">
        <is>
          <t>R</t>
        </is>
      </c>
      <c r="F2676" s="16" t="n"/>
      <c r="G2676" s="9" t="n">
        <v>165</v>
      </c>
      <c r="H2676" s="9" t="n">
        <v>1617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7" t="n"/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/>
      <c r="W2676" s="17" t="n"/>
      <c r="X2676" s="17" t="n"/>
      <c r="Y2676" s="13">
        <f>SUMPRODUCT(M2676:X2676,$M$2:$X$2)*$K2676*$L2676</f>
        <v/>
      </c>
      <c r="Z2676" s="14">
        <f>SUM(M2676:X2676)</f>
        <v/>
      </c>
      <c r="AA2676" s="14">
        <f>IFERROR(IF(UPPER($E2676)="L",SUMPRODUCT(M2676:X2676,$M$3:$X$3,$M$2:$X$2),SUMPRODUCT(M2676:X2676,$M$4:$X$4,$M$2:$X$2))/(Y2676/($K2676*$L2676)),"")</f>
        <v/>
      </c>
      <c r="AB2676" s="18" t="n"/>
    </row>
    <row r="2677">
      <c r="A2677" s="9" t="n">
        <v>656582</v>
      </c>
      <c r="B2677" s="9" t="inlineStr">
        <is>
          <t>Connor Joe</t>
        </is>
      </c>
      <c r="C2677" s="9" t="inlineStr">
        <is>
          <t>SEA</t>
        </is>
      </c>
      <c r="D2677" s="9" t="n">
        <v>34</v>
      </c>
      <c r="E2677" s="16" t="inlineStr">
        <is>
          <t>R</t>
        </is>
      </c>
      <c r="F2677" s="16" t="n"/>
      <c r="G2677" s="9" t="n">
        <v>45</v>
      </c>
      <c r="H2677" s="9" t="n">
        <v>1480</v>
      </c>
      <c r="I2677" s="9" t="inlineStr">
        <is>
          <t>Bench Bat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7" t="n"/>
      <c r="N2677" s="17" t="n"/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3">
        <f>SUMPRODUCT(M2677:X2677,$M$2:$X$2)*$K2677*$L2677</f>
        <v/>
      </c>
      <c r="Z2677" s="14">
        <f>SUM(M2677:X2677)</f>
        <v/>
      </c>
      <c r="AA2677" s="14">
        <f>IFERROR(IF(UPPER($E2677)="L",SUMPRODUCT(M2677:X2677,$M$3:$X$3,$M$2:$X$2),SUMPRODUCT(M2677:X2677,$M$4:$X$4,$M$2:$X$2))/(Y2677/($K2677*$L2677)),"")</f>
        <v/>
      </c>
      <c r="AB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n"/>
      <c r="G2678" s="9" t="n">
        <v>370</v>
      </c>
      <c r="H2678" s="9" t="n">
        <v>836</v>
      </c>
      <c r="I2678" s="9" t="inlineStr">
        <is>
          <t>Utility OF / 4th OF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7" t="n"/>
      <c r="N2678" s="17" t="n"/>
      <c r="O2678" s="17" t="n"/>
      <c r="P2678" s="17" t="n"/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3">
        <f>SUMPRODUCT(M2678:X2678,$M$2:$X$2)*$K2678*$L2678</f>
        <v/>
      </c>
      <c r="Z2678" s="14">
        <f>SUM(M2678:X2678)</f>
        <v/>
      </c>
      <c r="AA2678" s="14">
        <f>IFERROR(IF(UPPER($E2678)="L",SUMPRODUCT(M2678:X2678,$M$3:$X$3,$M$2:$X$2),SUMPRODUCT(M2678:X2678,$M$4:$X$4,$M$2:$X$2))/(Y2678/($K2678*$L2678)),"")</f>
        <v/>
      </c>
      <c r="AB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7" t="n"/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/>
      <c r="Y2679" s="13">
        <f>SUMPRODUCT(M2679:X2679,$M$2:$X$2)*$K2679*$L2679</f>
        <v/>
      </c>
      <c r="Z2679" s="14">
        <f>SUM(M2679:X2679)</f>
        <v/>
      </c>
      <c r="AA2679" s="14">
        <f>IFERROR(IF(UPPER($E2679)="L",SUMPRODUCT(M2679:X2679,$M$3:$X$3,$M$2:$X$2),SUMPRODUCT(M2679:X2679,$M$4:$X$4,$M$2:$X$2))/(Y2679/($K2679*$L2679)),"")</f>
        <v/>
      </c>
      <c r="AB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n"/>
      <c r="G2680" s="9" t="n">
        <v>128</v>
      </c>
      <c r="H2680" s="9" t="n">
        <v>128</v>
      </c>
      <c r="I2680" s="9" t="inlineStr">
        <is>
          <t>Bench Bat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7" t="n"/>
      <c r="N2680" s="17" t="n"/>
      <c r="O2680" s="17" t="n"/>
      <c r="P2680" s="17" t="n"/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3">
        <f>SUMPRODUCT(M2680:X2680,$M$2:$X$2)*$K2680*$L2680</f>
        <v/>
      </c>
      <c r="Z2680" s="14">
        <f>SUM(M2680:X2680)</f>
        <v/>
      </c>
      <c r="AA2680" s="14">
        <f>IFERROR(IF(UPPER($E2680)="L",SUMPRODUCT(M2680:X2680,$M$3:$X$3,$M$2:$X$2),SUMPRODUCT(M2680:X2680,$M$4:$X$4,$M$2:$X$2))/(Y2680/($K2680*$L2680)),"")</f>
        <v/>
      </c>
      <c r="AB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n"/>
      <c r="G2681" s="9" t="n">
        <v>265</v>
      </c>
      <c r="H2681" s="9" t="n">
        <v>1222</v>
      </c>
      <c r="I2681" s="9" t="inlineStr">
        <is>
          <t>Utility OF / 4th OF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7" t="n"/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/>
      <c r="W2681" s="17" t="n"/>
      <c r="X2681" s="17" t="n"/>
      <c r="Y2681" s="13">
        <f>SUMPRODUCT(M2681:X2681,$M$2:$X$2)*$K2681*$L2681</f>
        <v/>
      </c>
      <c r="Z2681" s="14">
        <f>SUM(M2681:X2681)</f>
        <v/>
      </c>
      <c r="AA2681" s="14">
        <f>IFERROR(IF(UPPER($E2681)="L",SUMPRODUCT(M2681:X2681,$M$3:$X$3,$M$2:$X$2),SUMPRODUCT(M2681:X2681,$M$4:$X$4,$M$2:$X$2))/(Y2681/($K2681*$L2681)),"")</f>
        <v/>
      </c>
      <c r="AB2681" s="18" t="n"/>
    </row>
    <row r="2682">
      <c r="A2682" s="9" t="n">
        <v>668800</v>
      </c>
      <c r="B2682" s="9" t="inlineStr">
        <is>
          <t>Andrew Knizner</t>
        </is>
      </c>
      <c r="C2682" s="9" t="inlineStr">
        <is>
          <t>SF</t>
        </is>
      </c>
      <c r="D2682" s="9" t="n">
        <v>32</v>
      </c>
      <c r="E2682" s="16" t="inlineStr">
        <is>
          <t>R</t>
        </is>
      </c>
      <c r="F2682" s="16" t="n"/>
      <c r="G2682" s="9" t="n">
        <v>80</v>
      </c>
      <c r="H2682" s="9" t="n">
        <v>795</v>
      </c>
      <c r="I2682" s="9" t="inlineStr">
        <is>
          <t>Bench Bat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7" t="n"/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/>
      <c r="Y2682" s="13">
        <f>SUMPRODUCT(M2682:X2682,$M$2:$X$2)*$K2682*$L2682</f>
        <v/>
      </c>
      <c r="Z2682" s="14">
        <f>SUM(M2682:X2682)</f>
        <v/>
      </c>
      <c r="AA2682" s="14">
        <f>IFERROR(IF(UPPER($E2682)="L",SUMPRODUCT(M2682:X2682,$M$3:$X$3,$M$2:$X$2),SUMPRODUCT(M2682:X2682,$M$4:$X$4,$M$2:$X$2))/(Y2682/($K2682*$L2682)),"")</f>
        <v/>
      </c>
      <c r="AB2682" s="18" t="n"/>
    </row>
    <row r="2683">
      <c r="A2683" s="9" t="n">
        <v>607054</v>
      </c>
      <c r="B2683" s="9" t="inlineStr">
        <is>
          <t>Jace Peterson</t>
        </is>
      </c>
      <c r="C2683" s="9" t="inlineStr">
        <is>
          <t>ARI</t>
        </is>
      </c>
      <c r="D2683" s="9" t="n">
        <v>37</v>
      </c>
      <c r="E2683" s="16" t="inlineStr">
        <is>
          <t>L</t>
        </is>
      </c>
      <c r="F2683" s="16" t="n"/>
      <c r="G2683" s="9" t="n">
        <v>26</v>
      </c>
      <c r="H2683" s="9" t="n">
        <v>784</v>
      </c>
      <c r="I2683" s="9" t="inlineStr">
        <is>
          <t>Depth (no MLB PA)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7" t="n"/>
      <c r="N2683" s="17" t="n"/>
      <c r="O2683" s="17" t="n"/>
      <c r="P2683" s="17" t="n"/>
      <c r="Q2683" s="17" t="n"/>
      <c r="R2683" s="17" t="n"/>
      <c r="S2683" s="17" t="n"/>
      <c r="T2683" s="17" t="n"/>
      <c r="U2683" s="17" t="n"/>
      <c r="V2683" s="17" t="n"/>
      <c r="W2683" s="17" t="n"/>
      <c r="X2683" s="17" t="n"/>
      <c r="Y2683" s="13">
        <f>SUMPRODUCT(M2683:X2683,$M$2:$X$2)*$K2683*$L2683</f>
        <v/>
      </c>
      <c r="Z2683" s="14">
        <f>SUM(M2683:X2683)</f>
        <v/>
      </c>
      <c r="AA2683" s="14">
        <f>IFERROR(IF(UPPER($E2683)="L",SUMPRODUCT(M2683:X2683,$M$3:$X$3,$M$2:$X$2),SUMPRODUCT(M2683:X2683,$M$4:$X$4,$M$2:$X$2))/(Y2683/($K2683*$L2683)),"")</f>
        <v/>
      </c>
      <c r="AB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n"/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7" t="n"/>
      <c r="N2684" s="17" t="n"/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3">
        <f>SUMPRODUCT(M2684:X2684,$M$2:$X$2)*$K2684*$L2684</f>
        <v/>
      </c>
      <c r="Z2684" s="14">
        <f>SUM(M2684:X2684)</f>
        <v/>
      </c>
      <c r="AA2684" s="14">
        <f>IFERROR(IF(UPPER($E2684)="L",SUMPRODUCT(M2684:X2684,$M$3:$X$3,$M$2:$X$2),SUMPRODUCT(M2684:X2684,$M$4:$X$4,$M$2:$X$2))/(Y2684/($K2684*$L2684)),"")</f>
        <v/>
      </c>
      <c r="AB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n"/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7" t="n"/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/>
      <c r="W2685" s="17" t="n"/>
      <c r="X2685" s="17" t="n"/>
      <c r="Y2685" s="13">
        <f>SUMPRODUCT(M2685:X2685,$M$2:$X$2)*$K2685*$L2685</f>
        <v/>
      </c>
      <c r="Z2685" s="14">
        <f>SUM(M2685:X2685)</f>
        <v/>
      </c>
      <c r="AA2685" s="14">
        <f>IFERROR(IF(UPPER($E2685)="L",SUMPRODUCT(M2685:X2685,$M$3:$X$3,$M$2:$X$2),SUMPRODUCT(M2685:X2685,$M$4:$X$4,$M$2:$X$2))/(Y2685/($K2685*$L2685)),"")</f>
        <v/>
      </c>
      <c r="AB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n"/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7" t="n"/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/>
      <c r="W2686" s="17" t="n"/>
      <c r="X2686" s="17" t="n"/>
      <c r="Y2686" s="13">
        <f>SUMPRODUCT(M2686:X2686,$M$2:$X$2)*$K2686*$L2686</f>
        <v/>
      </c>
      <c r="Z2686" s="14">
        <f>SUM(M2686:X2686)</f>
        <v/>
      </c>
      <c r="AA2686" s="14">
        <f>IFERROR(IF(UPPER($E2686)="L",SUMPRODUCT(M2686:X2686,$M$3:$X$3,$M$2:$X$2),SUMPRODUCT(M2686:X2686,$M$4:$X$4,$M$2:$X$2))/(Y2686/($K2686*$L2686)),"")</f>
        <v/>
      </c>
      <c r="AB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n"/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7" t="n"/>
      <c r="N2687" s="17" t="n"/>
      <c r="O2687" s="17" t="n"/>
      <c r="P2687" s="17" t="n"/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3">
        <f>SUMPRODUCT(M2687:X2687,$M$2:$X$2)*$K2687*$L2687</f>
        <v/>
      </c>
      <c r="Z2687" s="14">
        <f>SUM(M2687:X2687)</f>
        <v/>
      </c>
      <c r="AA2687" s="14">
        <f>IFERROR(IF(UPPER($E2687)="L",SUMPRODUCT(M2687:X2687,$M$3:$X$3,$M$2:$X$2),SUMPRODUCT(M2687:X2687,$M$4:$X$4,$M$2:$X$2))/(Y2687/($K2687*$L2687)),"")</f>
        <v/>
      </c>
      <c r="AB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7" t="n"/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/>
      <c r="Y2688" s="13">
        <f>SUMPRODUCT(M2688:X2688,$M$2:$X$2)*$K2688*$L2688</f>
        <v/>
      </c>
      <c r="Z2688" s="14">
        <f>SUM(M2688:X2688)</f>
        <v/>
      </c>
      <c r="AA2688" s="14">
        <f>IFERROR(IF(UPPER($E2688)="L",SUMPRODUCT(M2688:X2688,$M$3:$X$3,$M$2:$X$2),SUMPRODUCT(M2688:X2688,$M$4:$X$4,$M$2:$X$2))/(Y2688/($K2688*$L2688)),"")</f>
        <v/>
      </c>
      <c r="AB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n"/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7" t="n"/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/>
      <c r="Y2689" s="13">
        <f>SUMPRODUCT(M2689:X2689,$M$2:$X$2)*$K2689*$L2689</f>
        <v/>
      </c>
      <c r="Z2689" s="14">
        <f>SUM(M2689:X2689)</f>
        <v/>
      </c>
      <c r="AA2689" s="14">
        <f>IFERROR(IF(UPPER($E2689)="L",SUMPRODUCT(M2689:X2689,$M$3:$X$3,$M$2:$X$2),SUMPRODUCT(M2689:X2689,$M$4:$X$4,$M$2:$X$2))/(Y2689/($K2689*$L2689)),"")</f>
        <v/>
      </c>
      <c r="AB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n"/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7" t="n"/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/>
      <c r="W2690" s="17" t="n"/>
      <c r="X2690" s="17" t="n"/>
      <c r="Y2690" s="13">
        <f>SUMPRODUCT(M2690:X2690,$M$2:$X$2)*$K2690*$L2690</f>
        <v/>
      </c>
      <c r="Z2690" s="14">
        <f>SUM(M2690:X2690)</f>
        <v/>
      </c>
      <c r="AA2690" s="14">
        <f>IFERROR(IF(UPPER($E2690)="L",SUMPRODUCT(M2690:X2690,$M$3:$X$3,$M$2:$X$2),SUMPRODUCT(M2690:X2690,$M$4:$X$4,$M$2:$X$2))/(Y2690/($K2690*$L2690)),"")</f>
        <v/>
      </c>
      <c r="AB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n"/>
      <c r="G2691" s="9" t="n">
        <v>354</v>
      </c>
      <c r="H2691" s="9" t="n">
        <v>2155</v>
      </c>
      <c r="I2691" s="9" t="inlineStr">
        <is>
          <t>Full Time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7" t="n"/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/>
      <c r="X2691" s="17" t="n"/>
      <c r="Y2691" s="13">
        <f>SUMPRODUCT(M2691:X2691,$M$2:$X$2)*$K2691*$L2691</f>
        <v/>
      </c>
      <c r="Z2691" s="14">
        <f>SUM(M2691:X2691)</f>
        <v/>
      </c>
      <c r="AA2691" s="14">
        <f>IFERROR(IF(UPPER($E2691)="L",SUMPRODUCT(M2691:X2691,$M$3:$X$3,$M$2:$X$2),SUMPRODUCT(M2691:X2691,$M$4:$X$4,$M$2:$X$2))/(Y2691/($K2691*$L2691)),"")</f>
        <v/>
      </c>
      <c r="AB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n"/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7" t="n"/>
      <c r="N2692" s="17" t="n"/>
      <c r="O2692" s="17" t="n"/>
      <c r="P2692" s="17" t="n"/>
      <c r="Q2692" s="17" t="n"/>
      <c r="R2692" s="17" t="n"/>
      <c r="S2692" s="17" t="n"/>
      <c r="T2692" s="17" t="n"/>
      <c r="U2692" s="17" t="n"/>
      <c r="V2692" s="17" t="n"/>
      <c r="W2692" s="17" t="n"/>
      <c r="X2692" s="17" t="n"/>
      <c r="Y2692" s="13">
        <f>SUMPRODUCT(M2692:X2692,$M$2:$X$2)*$K2692*$L2692</f>
        <v/>
      </c>
      <c r="Z2692" s="14">
        <f>SUM(M2692:X2692)</f>
        <v/>
      </c>
      <c r="AA2692" s="14">
        <f>IFERROR(IF(UPPER($E2692)="L",SUMPRODUCT(M2692:X2692,$M$3:$X$3,$M$2:$X$2),SUMPRODUCT(M2692:X2692,$M$4:$X$4,$M$2:$X$2))/(Y2692/($K2692*$L2692)),"")</f>
        <v/>
      </c>
      <c r="AB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n"/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7" t="n"/>
      <c r="N2693" s="17" t="n"/>
      <c r="O2693" s="17" t="n"/>
      <c r="P2693" s="17" t="n"/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3">
        <f>SUMPRODUCT(M2693:X2693,$M$2:$X$2)*$K2693*$L2693</f>
        <v/>
      </c>
      <c r="Z2693" s="14">
        <f>SUM(M2693:X2693)</f>
        <v/>
      </c>
      <c r="AA2693" s="14">
        <f>IFERROR(IF(UPPER($E2693)="L",SUMPRODUCT(M2693:X2693,$M$3:$X$3,$M$2:$X$2),SUMPRODUCT(M2693:X2693,$M$4:$X$4,$M$2:$X$2))/(Y2693/($K2693*$L2693)),"")</f>
        <v/>
      </c>
      <c r="AB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n"/>
      <c r="G2694" s="9" t="n">
        <v>503</v>
      </c>
      <c r="H2694" s="9" t="n">
        <v>1461</v>
      </c>
      <c r="I2694" s="9" t="inlineStr">
        <is>
          <t>Full Time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7" t="n"/>
      <c r="N2694" s="17" t="n"/>
      <c r="O2694" s="17" t="n"/>
      <c r="P2694" s="17" t="n"/>
      <c r="Q2694" s="17" t="n"/>
      <c r="R2694" s="17" t="n"/>
      <c r="S2694" s="17" t="n"/>
      <c r="T2694" s="17" t="n"/>
      <c r="U2694" s="17" t="n"/>
      <c r="V2694" s="17" t="n"/>
      <c r="W2694" s="17" t="n"/>
      <c r="X2694" s="17" t="n"/>
      <c r="Y2694" s="13">
        <f>SUMPRODUCT(M2694:X2694,$M$2:$X$2)*$K2694*$L2694</f>
        <v/>
      </c>
      <c r="Z2694" s="14">
        <f>SUM(M2694:X2694)</f>
        <v/>
      </c>
      <c r="AA2694" s="14">
        <f>IFERROR(IF(UPPER($E2694)="L",SUMPRODUCT(M2694:X2694,$M$3:$X$3,$M$2:$X$2),SUMPRODUCT(M2694:X2694,$M$4:$X$4,$M$2:$X$2))/(Y2694/($K2694*$L2694)),"")</f>
        <v/>
      </c>
      <c r="AB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n"/>
      <c r="G2695" s="9" t="n">
        <v>449</v>
      </c>
      <c r="H2695" s="9" t="n">
        <v>570</v>
      </c>
      <c r="I2695" s="9" t="inlineStr">
        <is>
          <t>Full Time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7" t="n"/>
      <c r="N2695" s="17" t="n"/>
      <c r="O2695" s="17" t="n"/>
      <c r="P2695" s="17" t="n"/>
      <c r="Q2695" s="17" t="n"/>
      <c r="R2695" s="17" t="n"/>
      <c r="S2695" s="17" t="n"/>
      <c r="T2695" s="17" t="n"/>
      <c r="U2695" s="17" t="n"/>
      <c r="V2695" s="17" t="n"/>
      <c r="W2695" s="17" t="n"/>
      <c r="X2695" s="17" t="n"/>
      <c r="Y2695" s="13">
        <f>SUMPRODUCT(M2695:X2695,$M$2:$X$2)*$K2695*$L2695</f>
        <v/>
      </c>
      <c r="Z2695" s="14">
        <f>SUM(M2695:X2695)</f>
        <v/>
      </c>
      <c r="AA2695" s="14">
        <f>IFERROR(IF(UPPER($E2695)="L",SUMPRODUCT(M2695:X2695,$M$3:$X$3,$M$2:$X$2),SUMPRODUCT(M2695:X2695,$M$4:$X$4,$M$2:$X$2))/(Y2695/($K2695*$L2695)),"")</f>
        <v/>
      </c>
      <c r="AB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n"/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7" t="n"/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/>
      <c r="Y2696" s="13">
        <f>SUMPRODUCT(M2696:X2696,$M$2:$X$2)*$K2696*$L2696</f>
        <v/>
      </c>
      <c r="Z2696" s="14">
        <f>SUM(M2696:X2696)</f>
        <v/>
      </c>
      <c r="AA2696" s="14">
        <f>IFERROR(IF(UPPER($E2696)="L",SUMPRODUCT(M2696:X2696,$M$3:$X$3,$M$2:$X$2),SUMPRODUCT(M2696:X2696,$M$4:$X$4,$M$2:$X$2))/(Y2696/($K2696*$L2696)),"")</f>
        <v/>
      </c>
      <c r="AB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7" t="n"/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/>
      <c r="Y2697" s="13">
        <f>SUMPRODUCT(M2697:X2697,$M$2:$X$2)*$K2697*$L2697</f>
        <v/>
      </c>
      <c r="Z2697" s="14">
        <f>SUM(M2697:X2697)</f>
        <v/>
      </c>
      <c r="AA2697" s="14">
        <f>IFERROR(IF(UPPER($E2697)="L",SUMPRODUCT(M2697:X2697,$M$3:$X$3,$M$2:$X$2),SUMPRODUCT(M2697:X2697,$M$4:$X$4,$M$2:$X$2))/(Y2697/($K2697*$L2697)),"")</f>
        <v/>
      </c>
      <c r="AB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n"/>
      <c r="G2698" s="9" t="n">
        <v>195</v>
      </c>
      <c r="H2698" s="9" t="n">
        <v>195</v>
      </c>
      <c r="I2698" s="9" t="inlineStr">
        <is>
          <t>Bench Bat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7" t="n"/>
      <c r="N2698" s="17" t="n"/>
      <c r="O2698" s="17" t="n"/>
      <c r="P2698" s="17" t="n"/>
      <c r="Q2698" s="17" t="n"/>
      <c r="R2698" s="17" t="n"/>
      <c r="S2698" s="17" t="n"/>
      <c r="T2698" s="17" t="n"/>
      <c r="U2698" s="17" t="n"/>
      <c r="V2698" s="17" t="n"/>
      <c r="W2698" s="17" t="n"/>
      <c r="X2698" s="17" t="n"/>
      <c r="Y2698" s="13">
        <f>SUMPRODUCT(M2698:X2698,$M$2:$X$2)*$K2698*$L2698</f>
        <v/>
      </c>
      <c r="Z2698" s="14">
        <f>SUM(M2698:X2698)</f>
        <v/>
      </c>
      <c r="AA2698" s="14">
        <f>IFERROR(IF(UPPER($E2698)="L",SUMPRODUCT(M2698:X2698,$M$3:$X$3,$M$2:$X$2),SUMPRODUCT(M2698:X2698,$M$4:$X$4,$M$2:$X$2))/(Y2698/($K2698*$L2698)),"")</f>
        <v/>
      </c>
      <c r="AB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n"/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7" t="n"/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/>
      <c r="W2699" s="17" t="n"/>
      <c r="X2699" s="17" t="n"/>
      <c r="Y2699" s="13">
        <f>SUMPRODUCT(M2699:X2699,$M$2:$X$2)*$K2699*$L2699</f>
        <v/>
      </c>
      <c r="Z2699" s="14">
        <f>SUM(M2699:X2699)</f>
        <v/>
      </c>
      <c r="AA2699" s="14">
        <f>IFERROR(IF(UPPER($E2699)="L",SUMPRODUCT(M2699:X2699,$M$3:$X$3,$M$2:$X$2),SUMPRODUCT(M2699:X2699,$M$4:$X$4,$M$2:$X$2))/(Y2699/($K2699*$L2699)),"")</f>
        <v/>
      </c>
      <c r="AB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n"/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7" t="n"/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/>
      <c r="Y2700" s="13">
        <f>SUMPRODUCT(M2700:X2700,$M$2:$X$2)*$K2700*$L2700</f>
        <v/>
      </c>
      <c r="Z2700" s="14">
        <f>SUM(M2700:X2700)</f>
        <v/>
      </c>
      <c r="AA2700" s="14">
        <f>IFERROR(IF(UPPER($E2700)="L",SUMPRODUCT(M2700:X2700,$M$3:$X$3,$M$2:$X$2),SUMPRODUCT(M2700:X2700,$M$4:$X$4,$M$2:$X$2))/(Y2700/($K2700*$L2700)),"")</f>
        <v/>
      </c>
      <c r="AB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7" t="n"/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/>
      <c r="Y2701" s="13">
        <f>SUMPRODUCT(M2701:X2701,$M$2:$X$2)*$K2701*$L2701</f>
        <v/>
      </c>
      <c r="Z2701" s="14">
        <f>SUM(M2701:X2701)</f>
        <v/>
      </c>
      <c r="AA2701" s="14">
        <f>IFERROR(IF(UPPER($E2701)="L",SUMPRODUCT(M2701:X2701,$M$3:$X$3,$M$2:$X$2),SUMPRODUCT(M2701:X2701,$M$4:$X$4,$M$2:$X$2))/(Y2701/($K2701*$L2701)),"")</f>
        <v/>
      </c>
      <c r="AB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n"/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7" t="n"/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/>
      <c r="Y2702" s="13">
        <f>SUMPRODUCT(M2702:X2702,$M$2:$X$2)*$K2702*$L2702</f>
        <v/>
      </c>
      <c r="Z2702" s="14">
        <f>SUM(M2702:X2702)</f>
        <v/>
      </c>
      <c r="AA2702" s="14">
        <f>IFERROR(IF(UPPER($E2702)="L",SUMPRODUCT(M2702:X2702,$M$3:$X$3,$M$2:$X$2),SUMPRODUCT(M2702:X2702,$M$4:$X$4,$M$2:$X$2))/(Y2702/($K2702*$L2702)),"")</f>
        <v/>
      </c>
      <c r="AB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n"/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7" t="n"/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/>
      <c r="W2703" s="17" t="n"/>
      <c r="X2703" s="17" t="n"/>
      <c r="Y2703" s="13">
        <f>SUMPRODUCT(M2703:X2703,$M$2:$X$2)*$K2703*$L2703</f>
        <v/>
      </c>
      <c r="Z2703" s="14">
        <f>SUM(M2703:X2703)</f>
        <v/>
      </c>
      <c r="AA2703" s="14">
        <f>IFERROR(IF(UPPER($E2703)="L",SUMPRODUCT(M2703:X2703,$M$3:$X$3,$M$2:$X$2),SUMPRODUCT(M2703:X2703,$M$4:$X$4,$M$2:$X$2))/(Y2703/($K2703*$L2703)),"")</f>
        <v/>
      </c>
      <c r="AB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n"/>
      <c r="G2704" s="9" t="n">
        <v>532</v>
      </c>
      <c r="H2704" s="9" t="n">
        <v>1843</v>
      </c>
      <c r="I2704" s="9" t="inlineStr">
        <is>
          <t>Full Time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7" t="n"/>
      <c r="N2704" s="17" t="n"/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/>
      <c r="X2704" s="17" t="n"/>
      <c r="Y2704" s="13">
        <f>SUMPRODUCT(M2704:X2704,$M$2:$X$2)*$K2704*$L2704</f>
        <v/>
      </c>
      <c r="Z2704" s="14">
        <f>SUM(M2704:X2704)</f>
        <v/>
      </c>
      <c r="AA2704" s="14">
        <f>IFERROR(IF(UPPER($E2704)="L",SUMPRODUCT(M2704:X2704,$M$3:$X$3,$M$2:$X$2),SUMPRODUCT(M2704:X2704,$M$4:$X$4,$M$2:$X$2))/(Y2704/($K2704*$L2704)),"")</f>
        <v/>
      </c>
      <c r="AB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n"/>
      <c r="G2705" s="9" t="n">
        <v>266</v>
      </c>
      <c r="H2705" s="9" t="n">
        <v>266</v>
      </c>
      <c r="I2705" s="9" t="inlineStr">
        <is>
          <t>Utility OF / 4th OF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7" t="n"/>
      <c r="N2705" s="17" t="n"/>
      <c r="O2705" s="17" t="n"/>
      <c r="P2705" s="17" t="n"/>
      <c r="Q2705" s="17" t="n"/>
      <c r="R2705" s="17" t="n"/>
      <c r="S2705" s="17" t="n"/>
      <c r="T2705" s="17" t="n"/>
      <c r="U2705" s="17" t="n"/>
      <c r="V2705" s="17" t="n"/>
      <c r="W2705" s="17" t="n"/>
      <c r="X2705" s="17" t="n"/>
      <c r="Y2705" s="13">
        <f>SUMPRODUCT(M2705:X2705,$M$2:$X$2)*$K2705*$L2705</f>
        <v/>
      </c>
      <c r="Z2705" s="14">
        <f>SUM(M2705:X2705)</f>
        <v/>
      </c>
      <c r="AA2705" s="14">
        <f>IFERROR(IF(UPPER($E2705)="L",SUMPRODUCT(M2705:X2705,$M$3:$X$3,$M$2:$X$2),SUMPRODUCT(M2705:X2705,$M$4:$X$4,$M$2:$X$2))/(Y2705/($K2705*$L2705)),"")</f>
        <v/>
      </c>
      <c r="AB2705" s="18" t="n"/>
    </row>
    <row r="2706">
      <c r="A2706" s="9" t="n">
        <v>592273</v>
      </c>
      <c r="B2706" s="9" t="inlineStr">
        <is>
          <t>Brandon Drury</t>
        </is>
      </c>
      <c r="C2706" s="9" t="inlineStr">
        <is>
          <t>LAA</t>
        </is>
      </c>
      <c r="D2706" s="9" t="n">
        <v>34</v>
      </c>
      <c r="E2706" s="16" t="inlineStr">
        <is>
          <t>R</t>
        </is>
      </c>
      <c r="F2706" s="16" t="n"/>
      <c r="G2706" s="9" t="n">
        <v>360</v>
      </c>
      <c r="H2706" s="9" t="n">
        <v>1451</v>
      </c>
      <c r="I2706" s="9" t="inlineStr">
        <is>
          <t>Depth (no MLB PA)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7" t="n"/>
      <c r="N2706" s="17" t="n"/>
      <c r="O2706" s="17" t="n"/>
      <c r="P2706" s="17" t="n"/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3">
        <f>SUMPRODUCT(M2706:X2706,$M$2:$X$2)*$K2706*$L2706</f>
        <v/>
      </c>
      <c r="Z2706" s="14">
        <f>SUM(M2706:X2706)</f>
        <v/>
      </c>
      <c r="AA2706" s="14">
        <f>IFERROR(IF(UPPER($E2706)="L",SUMPRODUCT(M2706:X2706,$M$3:$X$3,$M$2:$X$2),SUMPRODUCT(M2706:X2706,$M$4:$X$4,$M$2:$X$2))/(Y2706/($K2706*$L2706)),"")</f>
        <v/>
      </c>
      <c r="AB2706" s="18" t="n"/>
    </row>
    <row r="2707">
      <c r="A2707" s="9" t="n">
        <v>807726</v>
      </c>
      <c r="B2707" s="9" t="inlineStr">
        <is>
          <t>John Peck</t>
        </is>
      </c>
      <c r="C2707" s="9" t="inlineStr">
        <is>
          <t>DET</t>
        </is>
      </c>
      <c r="D2707" s="9" t="n">
        <v>24</v>
      </c>
      <c r="E2707" s="16" t="inlineStr">
        <is>
          <t>R</t>
        </is>
      </c>
      <c r="F2707" s="16" t="n"/>
      <c r="G2707" s="9" t="n">
        <v>80</v>
      </c>
      <c r="H2707" s="9" t="n">
        <v>80</v>
      </c>
      <c r="I2707" s="9" t="inlineStr">
        <is>
          <t>Bench Bat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7" t="n"/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/>
      <c r="Y2707" s="13">
        <f>SUMPRODUCT(M2707:X2707,$M$2:$X$2)*$K2707*$L2707</f>
        <v/>
      </c>
      <c r="Z2707" s="14">
        <f>SUM(M2707:X2707)</f>
        <v/>
      </c>
      <c r="AA2707" s="14">
        <f>IFERROR(IF(UPPER($E2707)="L",SUMPRODUCT(M2707:X2707,$M$3:$X$3,$M$2:$X$2),SUMPRODUCT(M2707:X2707,$M$4:$X$4,$M$2:$X$2))/(Y2707/($K2707*$L2707)),"")</f>
        <v/>
      </c>
      <c r="AB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7" t="n"/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/>
      <c r="Y2708" s="13">
        <f>SUMPRODUCT(M2708:X2708,$M$2:$X$2)*$K2708*$L2708</f>
        <v/>
      </c>
      <c r="Z2708" s="14">
        <f>SUM(M2708:X2708)</f>
        <v/>
      </c>
      <c r="AA2708" s="14">
        <f>IFERROR(IF(UPPER($E2708)="L",SUMPRODUCT(M2708:X2708,$M$3:$X$3,$M$2:$X$2),SUMPRODUCT(M2708:X2708,$M$4:$X$4,$M$2:$X$2))/(Y2708/($K2708*$L2708)),"")</f>
        <v/>
      </c>
      <c r="AB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n"/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7" t="n"/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/>
      <c r="Y2709" s="13">
        <f>SUMPRODUCT(M2709:X2709,$M$2:$X$2)*$K2709*$L2709</f>
        <v/>
      </c>
      <c r="Z2709" s="14">
        <f>SUM(M2709:X2709)</f>
        <v/>
      </c>
      <c r="AA2709" s="14">
        <f>IFERROR(IF(UPPER($E2709)="L",SUMPRODUCT(M2709:X2709,$M$3:$X$3,$M$2:$X$2),SUMPRODUCT(M2709:X2709,$M$4:$X$4,$M$2:$X$2))/(Y2709/($K2709*$L2709)),"")</f>
        <v/>
      </c>
      <c r="AB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n"/>
      <c r="G2710" s="9" t="n">
        <v>387</v>
      </c>
      <c r="H2710" s="9" t="n">
        <v>937</v>
      </c>
      <c r="I2710" s="9" t="inlineStr">
        <is>
          <t>Utility OF / 4th OF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7" t="n"/>
      <c r="N2710" s="17" t="n"/>
      <c r="O2710" s="17" t="n"/>
      <c r="P2710" s="17" t="n"/>
      <c r="Q2710" s="17" t="n"/>
      <c r="R2710" s="17" t="n"/>
      <c r="S2710" s="17" t="n"/>
      <c r="T2710" s="17" t="n"/>
      <c r="U2710" s="17" t="n"/>
      <c r="V2710" s="17" t="n"/>
      <c r="W2710" s="17" t="n"/>
      <c r="X2710" s="17" t="n"/>
      <c r="Y2710" s="13">
        <f>SUMPRODUCT(M2710:X2710,$M$2:$X$2)*$K2710*$L2710</f>
        <v/>
      </c>
      <c r="Z2710" s="14">
        <f>SUM(M2710:X2710)</f>
        <v/>
      </c>
      <c r="AA2710" s="14">
        <f>IFERROR(IF(UPPER($E2710)="L",SUMPRODUCT(M2710:X2710,$M$3:$X$3,$M$2:$X$2),SUMPRODUCT(M2710:X2710,$M$4:$X$4,$M$2:$X$2))/(Y2710/($K2710*$L2710)),"")</f>
        <v/>
      </c>
      <c r="AB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n"/>
      <c r="G2711" s="9" t="n">
        <v>77</v>
      </c>
      <c r="H2711" s="9" t="n">
        <v>77</v>
      </c>
      <c r="I2711" s="9" t="inlineStr">
        <is>
          <t>Bench Bat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7" t="n"/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/>
      <c r="X2711" s="17" t="n"/>
      <c r="Y2711" s="13">
        <f>SUMPRODUCT(M2711:X2711,$M$2:$X$2)*$K2711*$L2711</f>
        <v/>
      </c>
      <c r="Z2711" s="14">
        <f>SUM(M2711:X2711)</f>
        <v/>
      </c>
      <c r="AA2711" s="14">
        <f>IFERROR(IF(UPPER($E2711)="L",SUMPRODUCT(M2711:X2711,$M$3:$X$3,$M$2:$X$2),SUMPRODUCT(M2711:X2711,$M$4:$X$4,$M$2:$X$2))/(Y2711/($K2711*$L2711)),"")</f>
        <v/>
      </c>
      <c r="AB2711" s="18" t="n"/>
    </row>
    <row r="2712">
      <c r="A2712" s="9" t="n">
        <v>666150</v>
      </c>
      <c r="B2712" s="9" t="inlineStr">
        <is>
          <t>Dominic Fletcher</t>
        </is>
      </c>
      <c r="C2712" s="9" t="inlineStr">
        <is>
          <t>CWS</t>
        </is>
      </c>
      <c r="D2712" s="9" t="n">
        <v>29</v>
      </c>
      <c r="E2712" s="16" t="inlineStr">
        <is>
          <t>L</t>
        </is>
      </c>
      <c r="F2712" s="16" t="n"/>
      <c r="G2712" s="9" t="n">
        <v>34</v>
      </c>
      <c r="H2712" s="9" t="n">
        <v>377</v>
      </c>
      <c r="I2712" s="9" t="inlineStr">
        <is>
          <t>Bench Bat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7" t="n"/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/>
      <c r="Y2712" s="13">
        <f>SUMPRODUCT(M2712:X2712,$M$2:$X$2)*$K2712*$L2712</f>
        <v/>
      </c>
      <c r="Z2712" s="14">
        <f>SUM(M2712:X2712)</f>
        <v/>
      </c>
      <c r="AA2712" s="14">
        <f>IFERROR(IF(UPPER($E2712)="L",SUMPRODUCT(M2712:X2712,$M$3:$X$3,$M$2:$X$2),SUMPRODUCT(M2712:X2712,$M$4:$X$4,$M$2:$X$2))/(Y2712/($K2712*$L2712)),"")</f>
        <v/>
      </c>
      <c r="AB2712" s="18" t="n"/>
    </row>
    <row r="2713">
      <c r="A2713" s="9" t="n">
        <v>687478</v>
      </c>
      <c r="B2713" s="9" t="inlineStr">
        <is>
          <t>Cam Devanney</t>
        </is>
      </c>
      <c r="C2713" s="9" t="inlineStr">
        <is>
          <t>PIT</t>
        </is>
      </c>
      <c r="D2713" s="9" t="n">
        <v>30</v>
      </c>
      <c r="E2713" s="16" t="inlineStr">
        <is>
          <t>R</t>
        </is>
      </c>
      <c r="F2713" s="16" t="n"/>
      <c r="G2713" s="9" t="n">
        <v>38</v>
      </c>
      <c r="H2713" s="9" t="n">
        <v>38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7" t="n"/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/>
      <c r="W2713" s="17" t="n"/>
      <c r="X2713" s="17" t="n"/>
      <c r="Y2713" s="13">
        <f>SUMPRODUCT(M2713:X2713,$M$2:$X$2)*$K2713*$L2713</f>
        <v/>
      </c>
      <c r="Z2713" s="14">
        <f>SUM(M2713:X2713)</f>
        <v/>
      </c>
      <c r="AA2713" s="14">
        <f>IFERROR(IF(UPPER($E2713)="L",SUMPRODUCT(M2713:X2713,$M$3:$X$3,$M$2:$X$2),SUMPRODUCT(M2713:X2713,$M$4:$X$4,$M$2:$X$2))/(Y2713/($K2713*$L2713)),"")</f>
        <v/>
      </c>
      <c r="AB2713" s="18" t="n"/>
    </row>
    <row r="2714">
      <c r="A2714" s="9" t="n">
        <v>542963</v>
      </c>
      <c r="B2714" s="9" t="inlineStr">
        <is>
          <t>Rob Brantly</t>
        </is>
      </c>
      <c r="C2714" s="9" t="inlineStr">
        <is>
          <t>MIA</t>
        </is>
      </c>
      <c r="D2714" s="9" t="n">
        <v>37</v>
      </c>
      <c r="E2714" s="16" t="inlineStr">
        <is>
          <t>L</t>
        </is>
      </c>
      <c r="F2714" s="16" t="n"/>
      <c r="G2714" s="9" t="n">
        <v>7</v>
      </c>
      <c r="H2714" s="9" t="n">
        <v>19</v>
      </c>
      <c r="I2714" s="9" t="inlineStr">
        <is>
          <t>Depth (no MLB PA)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7" t="n"/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/>
      <c r="W2714" s="17" t="n"/>
      <c r="X2714" s="17" t="n"/>
      <c r="Y2714" s="13">
        <f>SUMPRODUCT(M2714:X2714,$M$2:$X$2)*$K2714*$L2714</f>
        <v/>
      </c>
      <c r="Z2714" s="14">
        <f>SUM(M2714:X2714)</f>
        <v/>
      </c>
      <c r="AA2714" s="14">
        <f>IFERROR(IF(UPPER($E2714)="L",SUMPRODUCT(M2714:X2714,$M$3:$X$3,$M$2:$X$2),SUMPRODUCT(M2714:X2714,$M$4:$X$4,$M$2:$X$2))/(Y2714/($K2714*$L2714)),"")</f>
        <v/>
      </c>
      <c r="AB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n"/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7" t="n"/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/>
      <c r="Y2715" s="13">
        <f>SUMPRODUCT(M2715:X2715,$M$2:$X$2)*$K2715*$L2715</f>
        <v/>
      </c>
      <c r="Z2715" s="14">
        <f>SUM(M2715:X2715)</f>
        <v/>
      </c>
      <c r="AA2715" s="14">
        <f>IFERROR(IF(UPPER($E2715)="L",SUMPRODUCT(M2715:X2715,$M$3:$X$3,$M$2:$X$2),SUMPRODUCT(M2715:X2715,$M$4:$X$4,$M$2:$X$2))/(Y2715/($K2715*$L2715)),"")</f>
        <v/>
      </c>
      <c r="AB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n"/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7" t="n"/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/>
      <c r="Y2716" s="13">
        <f>SUMPRODUCT(M2716:X2716,$M$2:$X$2)*$K2716*$L2716</f>
        <v/>
      </c>
      <c r="Z2716" s="14">
        <f>SUM(M2716:X2716)</f>
        <v/>
      </c>
      <c r="AA2716" s="14">
        <f>IFERROR(IF(UPPER($E2716)="L",SUMPRODUCT(M2716:X2716,$M$3:$X$3,$M$2:$X$2),SUMPRODUCT(M2716:X2716,$M$4:$X$4,$M$2:$X$2))/(Y2716/($K2716*$L2716)),"")</f>
        <v/>
      </c>
      <c r="AB2716" s="18" t="n"/>
    </row>
    <row r="2717">
      <c r="A2717" s="9" t="n">
        <v>702176</v>
      </c>
      <c r="B2717" s="9" t="inlineStr">
        <is>
          <t>Alan Roden</t>
        </is>
      </c>
      <c r="C2717" s="9" t="inlineStr">
        <is>
          <t>MIN</t>
        </is>
      </c>
      <c r="D2717" s="9" t="n">
        <v>27</v>
      </c>
      <c r="E2717" s="16" t="inlineStr">
        <is>
          <t>L</t>
        </is>
      </c>
      <c r="F2717" s="16" t="n"/>
      <c r="G2717" s="9" t="n">
        <v>94</v>
      </c>
      <c r="H2717" s="9" t="n">
        <v>247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7" t="n"/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/>
      <c r="W2717" s="17" t="n"/>
      <c r="X2717" s="17" t="n"/>
      <c r="Y2717" s="13">
        <f>SUMPRODUCT(M2717:X2717,$M$2:$X$2)*$K2717*$L2717</f>
        <v/>
      </c>
      <c r="Z2717" s="14">
        <f>SUM(M2717:X2717)</f>
        <v/>
      </c>
      <c r="AA2717" s="14">
        <f>IFERROR(IF(UPPER($E2717)="L",SUMPRODUCT(M2717:X2717,$M$3:$X$3,$M$2:$X$2),SUMPRODUCT(M2717:X2717,$M$4:$X$4,$M$2:$X$2))/(Y2717/($K2717*$L2717)),"")</f>
        <v/>
      </c>
      <c r="AB2717" s="18" t="n"/>
    </row>
    <row r="2718">
      <c r="A2718" s="9" t="n">
        <v>669717</v>
      </c>
      <c r="B2718" s="9" t="inlineStr">
        <is>
          <t>Will Wilson</t>
        </is>
      </c>
      <c r="C2718" s="9" t="inlineStr">
        <is>
          <t>CLE</t>
        </is>
      </c>
      <c r="D2718" s="9" t="n">
        <v>28</v>
      </c>
      <c r="E2718" s="16" t="inlineStr">
        <is>
          <t>R</t>
        </is>
      </c>
      <c r="F2718" s="16" t="n"/>
      <c r="G2718" s="9" t="n">
        <v>6</v>
      </c>
      <c r="H2718" s="9" t="n">
        <v>97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7" t="n"/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/>
      <c r="W2718" s="17" t="n"/>
      <c r="X2718" s="17" t="n"/>
      <c r="Y2718" s="13">
        <f>SUMPRODUCT(M2718:X2718,$M$2:$X$2)*$K2718*$L2718</f>
        <v/>
      </c>
      <c r="Z2718" s="14">
        <f>SUM(M2718:X2718)</f>
        <v/>
      </c>
      <c r="AA2718" s="14">
        <f>IFERROR(IF(UPPER($E2718)="L",SUMPRODUCT(M2718:X2718,$M$3:$X$3,$M$2:$X$2),SUMPRODUCT(M2718:X2718,$M$4:$X$4,$M$2:$X$2))/(Y2718/($K2718*$L2718)),"")</f>
        <v/>
      </c>
      <c r="AB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n"/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7" t="n"/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/>
      <c r="W2719" s="17" t="n"/>
      <c r="X2719" s="17" t="n"/>
      <c r="Y2719" s="13">
        <f>SUMPRODUCT(M2719:X2719,$M$2:$X$2)*$K2719*$L2719</f>
        <v/>
      </c>
      <c r="Z2719" s="14">
        <f>SUM(M2719:X2719)</f>
        <v/>
      </c>
      <c r="AA2719" s="14">
        <f>IFERROR(IF(UPPER($E2719)="L",SUMPRODUCT(M2719:X2719,$M$3:$X$3,$M$2:$X$2),SUMPRODUCT(M2719:X2719,$M$4:$X$4,$M$2:$X$2))/(Y2719/($K2719*$L2719)),"")</f>
        <v/>
      </c>
      <c r="AB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n"/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7" t="n"/>
      <c r="N2720" s="17" t="n"/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3">
        <f>SUMPRODUCT(M2720:X2720,$M$2:$X$2)*$K2720*$L2720</f>
        <v/>
      </c>
      <c r="Z2720" s="14">
        <f>SUM(M2720:X2720)</f>
        <v/>
      </c>
      <c r="AA2720" s="14">
        <f>IFERROR(IF(UPPER($E2720)="L",SUMPRODUCT(M2720:X2720,$M$3:$X$3,$M$2:$X$2),SUMPRODUCT(M2720:X2720,$M$4:$X$4,$M$2:$X$2))/(Y2720/($K2720*$L2720)),"")</f>
        <v/>
      </c>
      <c r="AB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n"/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7" t="n"/>
      <c r="N2721" s="17" t="n"/>
      <c r="O2721" s="17" t="n"/>
      <c r="P2721" s="17" t="n"/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3">
        <f>SUMPRODUCT(M2721:X2721,$M$2:$X$2)*$K2721*$L2721</f>
        <v/>
      </c>
      <c r="Z2721" s="14">
        <f>SUM(M2721:X2721)</f>
        <v/>
      </c>
      <c r="AA2721" s="14">
        <f>IFERROR(IF(UPPER($E2721)="L",SUMPRODUCT(M2721:X2721,$M$3:$X$3,$M$2:$X$2),SUMPRODUCT(M2721:X2721,$M$4:$X$4,$M$2:$X$2))/(Y2721/($K2721*$L2721)),"")</f>
        <v/>
      </c>
      <c r="AB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n"/>
      <c r="G2722" s="9" t="n">
        <v>39</v>
      </c>
      <c r="H2722" s="9" t="n">
        <v>365</v>
      </c>
      <c r="I2722" s="9" t="inlineStr">
        <is>
          <t>Bench Bat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7" t="n"/>
      <c r="N2722" s="17" t="n"/>
      <c r="O2722" s="17" t="n"/>
      <c r="P2722" s="17" t="n"/>
      <c r="Q2722" s="17" t="n"/>
      <c r="R2722" s="17" t="n"/>
      <c r="S2722" s="17" t="n"/>
      <c r="T2722" s="17" t="n"/>
      <c r="U2722" s="17" t="n"/>
      <c r="V2722" s="17" t="n"/>
      <c r="W2722" s="17" t="n"/>
      <c r="X2722" s="17" t="n"/>
      <c r="Y2722" s="13">
        <f>SUMPRODUCT(M2722:X2722,$M$2:$X$2)*$K2722*$L2722</f>
        <v/>
      </c>
      <c r="Z2722" s="14">
        <f>SUM(M2722:X2722)</f>
        <v/>
      </c>
      <c r="AA2722" s="14">
        <f>IFERROR(IF(UPPER($E2722)="L",SUMPRODUCT(M2722:X2722,$M$3:$X$3,$M$2:$X$2),SUMPRODUCT(M2722:X2722,$M$4:$X$4,$M$2:$X$2))/(Y2722/($K2722*$L2722)),"")</f>
        <v/>
      </c>
      <c r="AB2722" s="18" t="n"/>
    </row>
    <row r="2723">
      <c r="A2723" s="9" t="n">
        <v>663647</v>
      </c>
      <c r="B2723" s="9" t="inlineStr">
        <is>
          <t>Ke'Bryan Hayes</t>
        </is>
      </c>
      <c r="C2723" s="9" t="inlineStr">
        <is>
          <t>CIN</t>
        </is>
      </c>
      <c r="D2723" s="9" t="n">
        <v>30</v>
      </c>
      <c r="E2723" s="16" t="inlineStr">
        <is>
          <t>R</t>
        </is>
      </c>
      <c r="F2723" s="16" t="n"/>
      <c r="G2723" s="9" t="n">
        <v>242</v>
      </c>
      <c r="H2723" s="9" t="n">
        <v>2293</v>
      </c>
      <c r="I2723" s="9" t="inlineStr">
        <is>
          <t>Full Time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7" t="n"/>
      <c r="N2723" s="17" t="n"/>
      <c r="O2723" s="17" t="n"/>
      <c r="P2723" s="17" t="n"/>
      <c r="Q2723" s="17" t="n"/>
      <c r="R2723" s="17" t="n"/>
      <c r="S2723" s="17" t="n"/>
      <c r="T2723" s="17" t="n"/>
      <c r="U2723" s="17" t="n"/>
      <c r="V2723" s="17" t="n"/>
      <c r="W2723" s="17" t="n"/>
      <c r="X2723" s="17" t="n"/>
      <c r="Y2723" s="13">
        <f>SUMPRODUCT(M2723:X2723,$M$2:$X$2)*$K2723*$L2723</f>
        <v/>
      </c>
      <c r="Z2723" s="14">
        <f>SUM(M2723:X2723)</f>
        <v/>
      </c>
      <c r="AA2723" s="14">
        <f>IFERROR(IF(UPPER($E2723)="L",SUMPRODUCT(M2723:X2723,$M$3:$X$3,$M$2:$X$2),SUMPRODUCT(M2723:X2723,$M$4:$X$4,$M$2:$X$2))/(Y2723/($K2723*$L2723)),"")</f>
        <v/>
      </c>
      <c r="AB2723" s="18" t="n"/>
    </row>
    <row r="2724">
      <c r="A2724" s="9" t="n">
        <v>668942</v>
      </c>
      <c r="B2724" s="9" t="inlineStr">
        <is>
          <t>Josh Rojas</t>
        </is>
      </c>
      <c r="C2724" s="9" t="inlineStr">
        <is>
          <t>KC</t>
        </is>
      </c>
      <c r="D2724" s="9" t="n">
        <v>33</v>
      </c>
      <c r="E2724" s="16" t="inlineStr">
        <is>
          <t>L</t>
        </is>
      </c>
      <c r="F2724" s="16" t="n"/>
      <c r="G2724" s="9" t="n">
        <v>115</v>
      </c>
      <c r="H2724" s="9" t="n">
        <v>1662</v>
      </c>
      <c r="I2724" s="9" t="inlineStr">
        <is>
          <t>Bench Bat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7" t="n"/>
      <c r="N2724" s="17" t="n"/>
      <c r="O2724" s="17" t="n"/>
      <c r="P2724" s="17" t="n"/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3">
        <f>SUMPRODUCT(M2724:X2724,$M$2:$X$2)*$K2724*$L2724</f>
        <v/>
      </c>
      <c r="Z2724" s="14">
        <f>SUM(M2724:X2724)</f>
        <v/>
      </c>
      <c r="AA2724" s="14">
        <f>IFERROR(IF(UPPER($E2724)="L",SUMPRODUCT(M2724:X2724,$M$3:$X$3,$M$2:$X$2),SUMPRODUCT(M2724:X2724,$M$4:$X$4,$M$2:$X$2))/(Y2724/($K2724*$L2724)),"")</f>
        <v/>
      </c>
      <c r="AB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n"/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7" t="n"/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/>
      <c r="Y2725" s="13">
        <f>SUMPRODUCT(M2725:X2725,$M$2:$X$2)*$K2725*$L2725</f>
        <v/>
      </c>
      <c r="Z2725" s="14">
        <f>SUM(M2725:X2725)</f>
        <v/>
      </c>
      <c r="AA2725" s="14">
        <f>IFERROR(IF(UPPER($E2725)="L",SUMPRODUCT(M2725:X2725,$M$3:$X$3,$M$2:$X$2),SUMPRODUCT(M2725:X2725,$M$4:$X$4,$M$2:$X$2))/(Y2725/($K2725*$L2725)),"")</f>
        <v/>
      </c>
      <c r="AB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n"/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7" t="n"/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/>
      <c r="W2726" s="17" t="n"/>
      <c r="X2726" s="17" t="n"/>
      <c r="Y2726" s="13">
        <f>SUMPRODUCT(M2726:X2726,$M$2:$X$2)*$K2726*$L2726</f>
        <v/>
      </c>
      <c r="Z2726" s="14">
        <f>SUM(M2726:X2726)</f>
        <v/>
      </c>
      <c r="AA2726" s="14">
        <f>IFERROR(IF(UPPER($E2726)="L",SUMPRODUCT(M2726:X2726,$M$3:$X$3,$M$2:$X$2),SUMPRODUCT(M2726:X2726,$M$4:$X$4,$M$2:$X$2))/(Y2726/($K2726*$L2726)),"")</f>
        <v/>
      </c>
      <c r="AB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n"/>
      <c r="G2727" s="9" t="n">
        <v>32</v>
      </c>
      <c r="H2727" s="9" t="n">
        <v>261</v>
      </c>
      <c r="I2727" s="9" t="inlineStr">
        <is>
          <t>Bench Bat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7" t="n"/>
      <c r="N2727" s="17" t="n"/>
      <c r="O2727" s="17" t="n"/>
      <c r="P2727" s="17" t="n"/>
      <c r="Q2727" s="17" t="n"/>
      <c r="R2727" s="17" t="n"/>
      <c r="S2727" s="17" t="n"/>
      <c r="T2727" s="17" t="n"/>
      <c r="U2727" s="17" t="n"/>
      <c r="V2727" s="17" t="n"/>
      <c r="W2727" s="17" t="n"/>
      <c r="X2727" s="17" t="n"/>
      <c r="Y2727" s="13">
        <f>SUMPRODUCT(M2727:X2727,$M$2:$X$2)*$K2727*$L2727</f>
        <v/>
      </c>
      <c r="Z2727" s="14">
        <f>SUM(M2727:X2727)</f>
        <v/>
      </c>
      <c r="AA2727" s="14">
        <f>IFERROR(IF(UPPER($E2727)="L",SUMPRODUCT(M2727:X2727,$M$3:$X$3,$M$2:$X$2),SUMPRODUCT(M2727:X2727,$M$4:$X$4,$M$2:$X$2))/(Y2727/($K2727*$L2727)),"")</f>
        <v/>
      </c>
      <c r="AB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n"/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7" t="n"/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/>
      <c r="W2728" s="17" t="n"/>
      <c r="X2728" s="17" t="n"/>
      <c r="Y2728" s="13">
        <f>SUMPRODUCT(M2728:X2728,$M$2:$X$2)*$K2728*$L2728</f>
        <v/>
      </c>
      <c r="Z2728" s="14">
        <f>SUM(M2728:X2728)</f>
        <v/>
      </c>
      <c r="AA2728" s="14">
        <f>IFERROR(IF(UPPER($E2728)="L",SUMPRODUCT(M2728:X2728,$M$3:$X$3,$M$2:$X$2),SUMPRODUCT(M2728:X2728,$M$4:$X$4,$M$2:$X$2))/(Y2728/($K2728*$L2728)),"")</f>
        <v/>
      </c>
      <c r="AB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n"/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7" t="n"/>
      <c r="N2729" s="17" t="n"/>
      <c r="O2729" s="17" t="n"/>
      <c r="P2729" s="17" t="n"/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3">
        <f>SUMPRODUCT(M2729:X2729,$M$2:$X$2)*$K2729*$L2729</f>
        <v/>
      </c>
      <c r="Z2729" s="14">
        <f>SUM(M2729:X2729)</f>
        <v/>
      </c>
      <c r="AA2729" s="14">
        <f>IFERROR(IF(UPPER($E2729)="L",SUMPRODUCT(M2729:X2729,$M$3:$X$3,$M$2:$X$2),SUMPRODUCT(M2729:X2729,$M$4:$X$4,$M$2:$X$2))/(Y2729/($K2729*$L2729)),"")</f>
        <v/>
      </c>
      <c r="AB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n"/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7" t="n"/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/>
      <c r="Y2730" s="13">
        <f>SUMPRODUCT(M2730:X2730,$M$2:$X$2)*$K2730*$L2730</f>
        <v/>
      </c>
      <c r="Z2730" s="14">
        <f>SUM(M2730:X2730)</f>
        <v/>
      </c>
      <c r="AA2730" s="14">
        <f>IFERROR(IF(UPPER($E2730)="L",SUMPRODUCT(M2730:X2730,$M$3:$X$3,$M$2:$X$2),SUMPRODUCT(M2730:X2730,$M$4:$X$4,$M$2:$X$2))/(Y2730/($K2730*$L2730)),"")</f>
        <v/>
      </c>
      <c r="AB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n"/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7" t="n"/>
      <c r="N2731" s="17" t="n"/>
      <c r="O2731" s="17" t="n"/>
      <c r="P2731" s="17" t="n"/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3">
        <f>SUMPRODUCT(M2731:X2731,$M$2:$X$2)*$K2731*$L2731</f>
        <v/>
      </c>
      <c r="Z2731" s="14">
        <f>SUM(M2731:X2731)</f>
        <v/>
      </c>
      <c r="AA2731" s="14">
        <f>IFERROR(IF(UPPER($E2731)="L",SUMPRODUCT(M2731:X2731,$M$3:$X$3,$M$2:$X$2),SUMPRODUCT(M2731:X2731,$M$4:$X$4,$M$2:$X$2))/(Y2731/($K2731*$L2731)),"")</f>
        <v/>
      </c>
      <c r="AB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n"/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7" t="n"/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/>
      <c r="W2732" s="17" t="n"/>
      <c r="X2732" s="17" t="n"/>
      <c r="Y2732" s="13">
        <f>SUMPRODUCT(M2732:X2732,$M$2:$X$2)*$K2732*$L2732</f>
        <v/>
      </c>
      <c r="Z2732" s="14">
        <f>SUM(M2732:X2732)</f>
        <v/>
      </c>
      <c r="AA2732" s="14">
        <f>IFERROR(IF(UPPER($E2732)="L",SUMPRODUCT(M2732:X2732,$M$3:$X$3,$M$2:$X$2),SUMPRODUCT(M2732:X2732,$M$4:$X$4,$M$2:$X$2))/(Y2732/($K2732*$L2732)),"")</f>
        <v/>
      </c>
      <c r="AB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n"/>
      <c r="G2733" s="9" t="n">
        <v>139</v>
      </c>
      <c r="H2733" s="9" t="n">
        <v>139</v>
      </c>
      <c r="I2733" s="9" t="inlineStr">
        <is>
          <t>Bench Bat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7" t="n"/>
      <c r="N2733" s="17" t="n"/>
      <c r="O2733" s="17" t="n"/>
      <c r="P2733" s="17" t="n"/>
      <c r="Q2733" s="17" t="n"/>
      <c r="R2733" s="17" t="n"/>
      <c r="S2733" s="17" t="n"/>
      <c r="T2733" s="17" t="n"/>
      <c r="U2733" s="17" t="n"/>
      <c r="V2733" s="17" t="n"/>
      <c r="W2733" s="17" t="n"/>
      <c r="X2733" s="17" t="n"/>
      <c r="Y2733" s="13">
        <f>SUMPRODUCT(M2733:X2733,$M$2:$X$2)*$K2733*$L2733</f>
        <v/>
      </c>
      <c r="Z2733" s="14">
        <f>SUM(M2733:X2733)</f>
        <v/>
      </c>
      <c r="AA2733" s="14">
        <f>IFERROR(IF(UPPER($E2733)="L",SUMPRODUCT(M2733:X2733,$M$3:$X$3,$M$2:$X$2),SUMPRODUCT(M2733:X2733,$M$4:$X$4,$M$2:$X$2))/(Y2733/($K2733*$L2733)),"")</f>
        <v/>
      </c>
      <c r="AB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n"/>
      <c r="G2734" s="9" t="n">
        <v>288</v>
      </c>
      <c r="H2734" s="9" t="n">
        <v>659</v>
      </c>
      <c r="I2734" s="9" t="inlineStr">
        <is>
          <t>Utility OF / 4th OF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7" t="n"/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/>
      <c r="W2734" s="17" t="n"/>
      <c r="X2734" s="17" t="n"/>
      <c r="Y2734" s="13">
        <f>SUMPRODUCT(M2734:X2734,$M$2:$X$2)*$K2734*$L2734</f>
        <v/>
      </c>
      <c r="Z2734" s="14">
        <f>SUM(M2734:X2734)</f>
        <v/>
      </c>
      <c r="AA2734" s="14">
        <f>IFERROR(IF(UPPER($E2734)="L",SUMPRODUCT(M2734:X2734,$M$3:$X$3,$M$2:$X$2),SUMPRODUCT(M2734:X2734,$M$4:$X$4,$M$2:$X$2))/(Y2734/($K2734*$L2734)),"")</f>
        <v/>
      </c>
      <c r="AB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n"/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7" t="n"/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/>
      <c r="Y2735" s="13">
        <f>SUMPRODUCT(M2735:X2735,$M$2:$X$2)*$K2735*$L2735</f>
        <v/>
      </c>
      <c r="Z2735" s="14">
        <f>SUM(M2735:X2735)</f>
        <v/>
      </c>
      <c r="AA2735" s="14">
        <f>IFERROR(IF(UPPER($E2735)="L",SUMPRODUCT(M2735:X2735,$M$3:$X$3,$M$2:$X$2),SUMPRODUCT(M2735:X2735,$M$4:$X$4,$M$2:$X$2))/(Y2735/($K2735*$L2735)),"")</f>
        <v/>
      </c>
      <c r="AB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n"/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7" t="n"/>
      <c r="N2736" s="17" t="n"/>
      <c r="O2736" s="17" t="n"/>
      <c r="P2736" s="17" t="n"/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3">
        <f>SUMPRODUCT(M2736:X2736,$M$2:$X$2)*$K2736*$L2736</f>
        <v/>
      </c>
      <c r="Z2736" s="14">
        <f>SUM(M2736:X2736)</f>
        <v/>
      </c>
      <c r="AA2736" s="14">
        <f>IFERROR(IF(UPPER($E2736)="L",SUMPRODUCT(M2736:X2736,$M$3:$X$3,$M$2:$X$2),SUMPRODUCT(M2736:X2736,$M$4:$X$4,$M$2:$X$2))/(Y2736/($K2736*$L2736)),"")</f>
        <v/>
      </c>
      <c r="AB2736" s="18" t="n"/>
    </row>
    <row r="2737">
      <c r="A2737" s="9" t="n">
        <v>807727</v>
      </c>
      <c r="B2737" s="9" t="inlineStr">
        <is>
          <t>Charles McAdoo</t>
        </is>
      </c>
      <c r="C2737" s="9" t="inlineStr">
        <is>
          <t>TOR</t>
        </is>
      </c>
      <c r="D2737" s="9" t="n">
        <v>25</v>
      </c>
      <c r="E2737" s="16" t="inlineStr">
        <is>
          <t>R</t>
        </is>
      </c>
      <c r="F2737" s="16" t="n"/>
      <c r="G2737" s="9" t="n">
        <v>106</v>
      </c>
      <c r="H2737" s="9" t="n">
        <v>106</v>
      </c>
      <c r="I2737" s="9" t="inlineStr">
        <is>
          <t>Bench Bat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7" t="n"/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/>
      <c r="Y2737" s="13">
        <f>SUMPRODUCT(M2737:X2737,$M$2:$X$2)*$K2737*$L2737</f>
        <v/>
      </c>
      <c r="Z2737" s="14">
        <f>SUM(M2737:X2737)</f>
        <v/>
      </c>
      <c r="AA2737" s="14">
        <f>IFERROR(IF(UPPER($E2737)="L",SUMPRODUCT(M2737:X2737,$M$3:$X$3,$M$2:$X$2),SUMPRODUCT(M2737:X2737,$M$4:$X$4,$M$2:$X$2))/(Y2737/($K2737*$L2737)),"")</f>
        <v/>
      </c>
      <c r="AB2737" s="18" t="n"/>
    </row>
    <row r="2738">
      <c r="A2738" s="9" t="n">
        <v>592200</v>
      </c>
      <c r="B2738" s="9" t="inlineStr">
        <is>
          <t>Curt Casali</t>
        </is>
      </c>
      <c r="C2738" s="9" t="inlineStr">
        <is>
          <t>SF</t>
        </is>
      </c>
      <c r="D2738" s="9" t="n">
        <v>38</v>
      </c>
      <c r="E2738" s="16" t="inlineStr">
        <is>
          <t>R</t>
        </is>
      </c>
      <c r="F2738" s="16" t="n"/>
      <c r="G2738" s="9" t="n">
        <v>125</v>
      </c>
      <c r="H2738" s="9" t="n">
        <v>397</v>
      </c>
      <c r="I2738" s="9" t="inlineStr">
        <is>
          <t>Depth (no MLB PA)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7" t="n"/>
      <c r="N2738" s="17" t="n"/>
      <c r="O2738" s="17" t="n"/>
      <c r="P2738" s="17" t="n"/>
      <c r="Q2738" s="17" t="n"/>
      <c r="R2738" s="17" t="n"/>
      <c r="S2738" s="17" t="n"/>
      <c r="T2738" s="17" t="n"/>
      <c r="U2738" s="17" t="n"/>
      <c r="V2738" s="17" t="n"/>
      <c r="W2738" s="17" t="n"/>
      <c r="X2738" s="17" t="n"/>
      <c r="Y2738" s="13">
        <f>SUMPRODUCT(M2738:X2738,$M$2:$X$2)*$K2738*$L2738</f>
        <v/>
      </c>
      <c r="Z2738" s="14">
        <f>SUM(M2738:X2738)</f>
        <v/>
      </c>
      <c r="AA2738" s="14">
        <f>IFERROR(IF(UPPER($E2738)="L",SUMPRODUCT(M2738:X2738,$M$3:$X$3,$M$2:$X$2),SUMPRODUCT(M2738:X2738,$M$4:$X$4,$M$2:$X$2))/(Y2738/($K2738*$L2738)),"")</f>
        <v/>
      </c>
      <c r="AB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n"/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7" t="n"/>
      <c r="N2739" s="17" t="n"/>
      <c r="O2739" s="17" t="n"/>
      <c r="P2739" s="17" t="n"/>
      <c r="Q2739" s="17" t="n"/>
      <c r="R2739" s="17" t="n"/>
      <c r="S2739" s="17" t="n"/>
      <c r="T2739" s="17" t="n"/>
      <c r="U2739" s="17" t="n"/>
      <c r="V2739" s="17" t="n"/>
      <c r="W2739" s="17" t="n"/>
      <c r="X2739" s="17" t="n"/>
      <c r="Y2739" s="13">
        <f>SUMPRODUCT(M2739:X2739,$M$2:$X$2)*$K2739*$L2739</f>
        <v/>
      </c>
      <c r="Z2739" s="14">
        <f>SUM(M2739:X2739)</f>
        <v/>
      </c>
      <c r="AA2739" s="14">
        <f>IFERROR(IF(UPPER($E2739)="L",SUMPRODUCT(M2739:X2739,$M$3:$X$3,$M$2:$X$2),SUMPRODUCT(M2739:X2739,$M$4:$X$4,$M$2:$X$2))/(Y2739/($K2739*$L2739)),"")</f>
        <v/>
      </c>
      <c r="AB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n"/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7" t="n"/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/>
      <c r="Y2740" s="13">
        <f>SUMPRODUCT(M2740:X2740,$M$2:$X$2)*$K2740*$L2740</f>
        <v/>
      </c>
      <c r="Z2740" s="14">
        <f>SUM(M2740:X2740)</f>
        <v/>
      </c>
      <c r="AA2740" s="14">
        <f>IFERROR(IF(UPPER($E2740)="L",SUMPRODUCT(M2740:X2740,$M$3:$X$3,$M$2:$X$2),SUMPRODUCT(M2740:X2740,$M$4:$X$4,$M$2:$X$2))/(Y2740/($K2740*$L2740)),"")</f>
        <v/>
      </c>
      <c r="AB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n"/>
      <c r="G2741" s="9" t="n">
        <v>111</v>
      </c>
      <c r="H2741" s="9" t="n">
        <v>111</v>
      </c>
      <c r="I2741" s="9" t="inlineStr">
        <is>
          <t>Bench Bat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7" t="n"/>
      <c r="N2741" s="17" t="n"/>
      <c r="O2741" s="17" t="n"/>
      <c r="P2741" s="17" t="n"/>
      <c r="Q2741" s="17" t="n"/>
      <c r="R2741" s="17" t="n"/>
      <c r="S2741" s="17" t="n"/>
      <c r="T2741" s="17" t="n"/>
      <c r="U2741" s="17" t="n"/>
      <c r="V2741" s="17" t="n"/>
      <c r="W2741" s="17" t="n"/>
      <c r="X2741" s="17" t="n"/>
      <c r="Y2741" s="13">
        <f>SUMPRODUCT(M2741:X2741,$M$2:$X$2)*$K2741*$L2741</f>
        <v/>
      </c>
      <c r="Z2741" s="14">
        <f>SUM(M2741:X2741)</f>
        <v/>
      </c>
      <c r="AA2741" s="14">
        <f>IFERROR(IF(UPPER($E2741)="L",SUMPRODUCT(M2741:X2741,$M$3:$X$3,$M$2:$X$2),SUMPRODUCT(M2741:X2741,$M$4:$X$4,$M$2:$X$2))/(Y2741/($K2741*$L2741)),"")</f>
        <v/>
      </c>
      <c r="AB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25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Opening Day</t>
        </is>
      </c>
      <c r="K2742" s="11">
        <f>IFERROR(INDEX(Roles!$B$17:$B$20,MATCH(J2742,Roles!$A$17:$A$20,0)),1)</f>
        <v/>
      </c>
      <c r="L2742" s="17" t="n">
        <v>1</v>
      </c>
      <c r="M2742" s="17" t="n"/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/>
      <c r="Y2742" s="13">
        <f>SUMPRODUCT(M2742:X2742,$M$2:$X$2)*$K2742*$L2742</f>
        <v/>
      </c>
      <c r="Z2742" s="14">
        <f>SUM(M2742:X2742)</f>
        <v/>
      </c>
      <c r="AA2742" s="14">
        <f>IFERROR(IF(UPPER($E2742)="L",SUMPRODUCT(M2742:X2742,$M$3:$X$3,$M$2:$X$2),SUMPRODUCT(M2742:X2742,$M$4:$X$4,$M$2:$X$2))/(Y2742/($K2742*$L2742)),"")</f>
        <v/>
      </c>
      <c r="AB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n"/>
      <c r="G2743" s="9" t="n">
        <v>148</v>
      </c>
      <c r="H2743" s="9" t="n">
        <v>205</v>
      </c>
      <c r="I2743" s="9" t="inlineStr">
        <is>
          <t>Bench Bat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7" t="n"/>
      <c r="N2743" s="17" t="n"/>
      <c r="O2743" s="17" t="n"/>
      <c r="P2743" s="17" t="n"/>
      <c r="Q2743" s="17" t="n"/>
      <c r="R2743" s="17" t="n"/>
      <c r="S2743" s="17" t="n"/>
      <c r="T2743" s="17" t="n"/>
      <c r="U2743" s="17" t="n"/>
      <c r="V2743" s="17" t="n"/>
      <c r="W2743" s="17" t="n"/>
      <c r="X2743" s="17" t="n"/>
      <c r="Y2743" s="13">
        <f>SUMPRODUCT(M2743:X2743,$M$2:$X$2)*$K2743*$L2743</f>
        <v/>
      </c>
      <c r="Z2743" s="14">
        <f>SUM(M2743:X2743)</f>
        <v/>
      </c>
      <c r="AA2743" s="14">
        <f>IFERROR(IF(UPPER($E2743)="L",SUMPRODUCT(M2743:X2743,$M$3:$X$3,$M$2:$X$2),SUMPRODUCT(M2743:X2743,$M$4:$X$4,$M$2:$X$2))/(Y2743/($K2743*$L2743)),"")</f>
        <v/>
      </c>
      <c r="AB2743" s="18" t="n"/>
    </row>
    <row r="2744">
      <c r="A2744" s="9" t="n">
        <v>672580</v>
      </c>
      <c r="B2744" s="9" t="inlineStr">
        <is>
          <t>Maikel Garcia</t>
        </is>
      </c>
      <c r="C2744" s="9" t="inlineStr">
        <is>
          <t>KC</t>
        </is>
      </c>
      <c r="D2744" s="9" t="n">
        <v>27</v>
      </c>
      <c r="E2744" s="16" t="inlineStr">
        <is>
          <t>R</t>
        </is>
      </c>
      <c r="F2744" s="16" t="n"/>
      <c r="G2744" s="9" t="n">
        <v>344</v>
      </c>
      <c r="H2744" s="9" t="n">
        <v>2174</v>
      </c>
      <c r="I2744" s="9" t="inlineStr">
        <is>
          <t>Full Time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7" t="n"/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/>
      <c r="W2744" s="17" t="n"/>
      <c r="X2744" s="17" t="n"/>
      <c r="Y2744" s="13">
        <f>SUMPRODUCT(M2744:X2744,$M$2:$X$2)*$K2744*$L2744</f>
        <v/>
      </c>
      <c r="Z2744" s="14">
        <f>SUM(M2744:X2744)</f>
        <v/>
      </c>
      <c r="AA2744" s="14">
        <f>IFERROR(IF(UPPER($E2744)="L",SUMPRODUCT(M2744:X2744,$M$3:$X$3,$M$2:$X$2),SUMPRODUCT(M2744:X2744,$M$4:$X$4,$M$2:$X$2))/(Y2744/($K2744*$L2744)),"")</f>
        <v/>
      </c>
      <c r="AB2744" s="18" t="n"/>
    </row>
    <row r="2745">
      <c r="A2745" s="9" t="n">
        <v>676701</v>
      </c>
      <c r="B2745" s="9" t="inlineStr">
        <is>
          <t>Alan Trejo</t>
        </is>
      </c>
      <c r="C2745" s="9" t="inlineStr">
        <is>
          <t>COL</t>
        </is>
      </c>
      <c r="D2745" s="9" t="n">
        <v>31</v>
      </c>
      <c r="E2745" s="16" t="inlineStr">
        <is>
          <t>R</t>
        </is>
      </c>
      <c r="F2745" s="16" t="n"/>
      <c r="G2745" s="9" t="n">
        <v>43</v>
      </c>
      <c r="H2745" s="9" t="n">
        <v>462</v>
      </c>
      <c r="I2745" s="9" t="inlineStr">
        <is>
          <t>Bench Bat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7" t="n"/>
      <c r="N2745" s="17" t="n"/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3">
        <f>SUMPRODUCT(M2745:X2745,$M$2:$X$2)*$K2745*$L2745</f>
        <v/>
      </c>
      <c r="Z2745" s="14">
        <f>SUM(M2745:X2745)</f>
        <v/>
      </c>
      <c r="AA2745" s="14">
        <f>IFERROR(IF(UPPER($E2745)="L",SUMPRODUCT(M2745:X2745,$M$3:$X$3,$M$2:$X$2),SUMPRODUCT(M2745:X2745,$M$4:$X$4,$M$2:$X$2))/(Y2745/($K2745*$L2745)),"")</f>
        <v/>
      </c>
      <c r="AB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n"/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7" t="n"/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/>
      <c r="Y2746" s="13">
        <f>SUMPRODUCT(M2746:X2746,$M$2:$X$2)*$K2746*$L2746</f>
        <v/>
      </c>
      <c r="Z2746" s="14">
        <f>SUM(M2746:X2746)</f>
        <v/>
      </c>
      <c r="AA2746" s="14">
        <f>IFERROR(IF(UPPER($E2746)="L",SUMPRODUCT(M2746:X2746,$M$3:$X$3,$M$2:$X$2),SUMPRODUCT(M2746:X2746,$M$4:$X$4,$M$2:$X$2))/(Y2746/($K2746*$L2746)),"")</f>
        <v/>
      </c>
      <c r="AB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7" t="n"/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/>
      <c r="Y2747" s="13">
        <f>SUMPRODUCT(M2747:X2747,$M$2:$X$2)*$K2747*$L2747</f>
        <v/>
      </c>
      <c r="Z2747" s="14">
        <f>SUM(M2747:X2747)</f>
        <v/>
      </c>
      <c r="AA2747" s="14">
        <f>IFERROR(IF(UPPER($E2747)="L",SUMPRODUCT(M2747:X2747,$M$3:$X$3,$M$2:$X$2),SUMPRODUCT(M2747:X2747,$M$4:$X$4,$M$2:$X$2))/(Y2747/($K2747*$L2747)),"")</f>
        <v/>
      </c>
      <c r="AB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n"/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7" t="n"/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/>
      <c r="Y2748" s="13">
        <f>SUMPRODUCT(M2748:X2748,$M$2:$X$2)*$K2748*$L2748</f>
        <v/>
      </c>
      <c r="Z2748" s="14">
        <f>SUM(M2748:X2748)</f>
        <v/>
      </c>
      <c r="AA2748" s="14">
        <f>IFERROR(IF(UPPER($E2748)="L",SUMPRODUCT(M2748:X2748,$M$3:$X$3,$M$2:$X$2),SUMPRODUCT(M2748:X2748,$M$4:$X$4,$M$2:$X$2))/(Y2748/($K2748*$L2748)),"")</f>
        <v/>
      </c>
      <c r="AB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n"/>
      <c r="G2749" s="9" t="n">
        <v>222</v>
      </c>
      <c r="H2749" s="9" t="n">
        <v>222</v>
      </c>
      <c r="I2749" s="9" t="inlineStr">
        <is>
          <t>Bench Bat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7" t="n"/>
      <c r="N2749" s="17" t="n"/>
      <c r="O2749" s="17" t="n"/>
      <c r="P2749" s="17" t="n"/>
      <c r="Q2749" s="17" t="n"/>
      <c r="R2749" s="17" t="n"/>
      <c r="S2749" s="17" t="n"/>
      <c r="T2749" s="17" t="n"/>
      <c r="U2749" s="17" t="n"/>
      <c r="V2749" s="17" t="n"/>
      <c r="W2749" s="17" t="n"/>
      <c r="X2749" s="17" t="n"/>
      <c r="Y2749" s="13">
        <f>SUMPRODUCT(M2749:X2749,$M$2:$X$2)*$K2749*$L2749</f>
        <v/>
      </c>
      <c r="Z2749" s="14">
        <f>SUM(M2749:X2749)</f>
        <v/>
      </c>
      <c r="AA2749" s="14">
        <f>IFERROR(IF(UPPER($E2749)="L",SUMPRODUCT(M2749:X2749,$M$3:$X$3,$M$2:$X$2),SUMPRODUCT(M2749:X2749,$M$4:$X$4,$M$2:$X$2))/(Y2749/($K2749*$L2749)),"")</f>
        <v/>
      </c>
      <c r="AB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n"/>
      <c r="G2750" s="9" t="n">
        <v>213</v>
      </c>
      <c r="H2750" s="9" t="n">
        <v>2080</v>
      </c>
      <c r="I2750" s="9" t="inlineStr">
        <is>
          <t>Bench Bat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7" t="n"/>
      <c r="N2750" s="17" t="n"/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3">
        <f>SUMPRODUCT(M2750:X2750,$M$2:$X$2)*$K2750*$L2750</f>
        <v/>
      </c>
      <c r="Z2750" s="14">
        <f>SUM(M2750:X2750)</f>
        <v/>
      </c>
      <c r="AA2750" s="14">
        <f>IFERROR(IF(UPPER($E2750)="L",SUMPRODUCT(M2750:X2750,$M$3:$X$3,$M$2:$X$2),SUMPRODUCT(M2750:X2750,$M$4:$X$4,$M$2:$X$2))/(Y2750/($K2750*$L2750)),"")</f>
        <v/>
      </c>
      <c r="AB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n"/>
      <c r="G2751" s="9" t="n">
        <v>423</v>
      </c>
      <c r="H2751" s="9" t="n">
        <v>1962</v>
      </c>
      <c r="I2751" s="9" t="inlineStr">
        <is>
          <t>Full Time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7" t="n"/>
      <c r="N2751" s="17" t="n"/>
      <c r="O2751" s="17" t="n"/>
      <c r="P2751" s="17" t="n"/>
      <c r="Q2751" s="17" t="n"/>
      <c r="R2751" s="17" t="n"/>
      <c r="S2751" s="17" t="n"/>
      <c r="T2751" s="17" t="n"/>
      <c r="U2751" s="17" t="n"/>
      <c r="V2751" s="17" t="n"/>
      <c r="W2751" s="17" t="n"/>
      <c r="X2751" s="17" t="n"/>
      <c r="Y2751" s="13">
        <f>SUMPRODUCT(M2751:X2751,$M$2:$X$2)*$K2751*$L2751</f>
        <v/>
      </c>
      <c r="Z2751" s="14">
        <f>SUM(M2751:X2751)</f>
        <v/>
      </c>
      <c r="AA2751" s="14">
        <f>IFERROR(IF(UPPER($E2751)="L",SUMPRODUCT(M2751:X2751,$M$3:$X$3,$M$2:$X$2),SUMPRODUCT(M2751:X2751,$M$4:$X$4,$M$2:$X$2))/(Y2751/($K2751*$L2751)),"")</f>
        <v/>
      </c>
      <c r="AB2751" s="18" t="n"/>
    </row>
    <row r="2752">
      <c r="A2752" s="9" t="n">
        <v>676632</v>
      </c>
      <c r="B2752" s="9" t="inlineStr">
        <is>
          <t>Bligh Madris</t>
        </is>
      </c>
      <c r="C2752" s="9" t="inlineStr">
        <is>
          <t>DET</t>
        </is>
      </c>
      <c r="D2752" s="9" t="n">
        <v>31</v>
      </c>
      <c r="E2752" s="16" t="inlineStr">
        <is>
          <t>L</t>
        </is>
      </c>
      <c r="F2752" s="16" t="n"/>
      <c r="G2752" s="9" t="n">
        <v>75</v>
      </c>
      <c r="H2752" s="9" t="n">
        <v>228</v>
      </c>
      <c r="I2752" s="9" t="inlineStr">
        <is>
          <t>Depth (no MLB PA)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7" t="n"/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/>
      <c r="W2752" s="17" t="n"/>
      <c r="X2752" s="17" t="n"/>
      <c r="Y2752" s="13">
        <f>SUMPRODUCT(M2752:X2752,$M$2:$X$2)*$K2752*$L2752</f>
        <v/>
      </c>
      <c r="Z2752" s="14">
        <f>SUM(M2752:X2752)</f>
        <v/>
      </c>
      <c r="AA2752" s="14">
        <f>IFERROR(IF(UPPER($E2752)="L",SUMPRODUCT(M2752:X2752,$M$3:$X$3,$M$2:$X$2),SUMPRODUCT(M2752:X2752,$M$4:$X$4,$M$2:$X$2))/(Y2752/($K2752*$L2752)),"")</f>
        <v/>
      </c>
      <c r="AB2752" s="18" t="n"/>
    </row>
    <row r="2753">
      <c r="A2753" s="9" t="n">
        <v>570482</v>
      </c>
      <c r="B2753" s="9" t="inlineStr">
        <is>
          <t>Gio Urshela</t>
        </is>
      </c>
      <c r="C2753" s="9" t="inlineStr">
        <is>
          <t>OAK</t>
        </is>
      </c>
      <c r="D2753" s="9" t="n">
        <v>35</v>
      </c>
      <c r="E2753" s="16" t="inlineStr">
        <is>
          <t>R</t>
        </is>
      </c>
      <c r="F2753" s="16" t="n"/>
      <c r="G2753" s="9" t="n">
        <v>197</v>
      </c>
      <c r="H2753" s="9" t="n">
        <v>1437</v>
      </c>
      <c r="I2753" s="9" t="inlineStr">
        <is>
          <t>Bench Bat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7" t="n"/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/>
      <c r="Y2753" s="13">
        <f>SUMPRODUCT(M2753:X2753,$M$2:$X$2)*$K2753*$L2753</f>
        <v/>
      </c>
      <c r="Z2753" s="14">
        <f>SUM(M2753:X2753)</f>
        <v/>
      </c>
      <c r="AA2753" s="14">
        <f>IFERROR(IF(UPPER($E2753)="L",SUMPRODUCT(M2753:X2753,$M$3:$X$3,$M$2:$X$2),SUMPRODUCT(M2753:X2753,$M$4:$X$4,$M$2:$X$2))/(Y2753/($K2753*$L2753)),"")</f>
        <v/>
      </c>
      <c r="AB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n"/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7" t="n"/>
      <c r="N2754" s="17" t="n"/>
      <c r="O2754" s="17" t="n"/>
      <c r="P2754" s="17" t="n"/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3">
        <f>SUMPRODUCT(M2754:X2754,$M$2:$X$2)*$K2754*$L2754</f>
        <v/>
      </c>
      <c r="Z2754" s="14">
        <f>SUM(M2754:X2754)</f>
        <v/>
      </c>
      <c r="AA2754" s="14">
        <f>IFERROR(IF(UPPER($E2754)="L",SUMPRODUCT(M2754:X2754,$M$3:$X$3,$M$2:$X$2),SUMPRODUCT(M2754:X2754,$M$4:$X$4,$M$2:$X$2))/(Y2754/($K2754*$L2754)),"")</f>
        <v/>
      </c>
      <c r="AB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n"/>
      <c r="G2755" s="9" t="n">
        <v>519</v>
      </c>
      <c r="H2755" s="9" t="n">
        <v>979</v>
      </c>
      <c r="I2755" s="9" t="inlineStr">
        <is>
          <t>Full Time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7" t="n"/>
      <c r="N2755" s="17" t="n"/>
      <c r="O2755" s="17" t="n"/>
      <c r="P2755" s="17" t="n"/>
      <c r="Q2755" s="17" t="n"/>
      <c r="R2755" s="17" t="n"/>
      <c r="S2755" s="17" t="n"/>
      <c r="T2755" s="17" t="n"/>
      <c r="U2755" s="17" t="n"/>
      <c r="V2755" s="17" t="n"/>
      <c r="W2755" s="17" t="n"/>
      <c r="X2755" s="17" t="n"/>
      <c r="Y2755" s="13">
        <f>SUMPRODUCT(M2755:X2755,$M$2:$X$2)*$K2755*$L2755</f>
        <v/>
      </c>
      <c r="Z2755" s="14">
        <f>SUM(M2755:X2755)</f>
        <v/>
      </c>
      <c r="AA2755" s="14">
        <f>IFERROR(IF(UPPER($E2755)="L",SUMPRODUCT(M2755:X2755,$M$3:$X$3,$M$2:$X$2),SUMPRODUCT(M2755:X2755,$M$4:$X$4,$M$2:$X$2))/(Y2755/($K2755*$L2755)),"")</f>
        <v/>
      </c>
      <c r="AB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n"/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7" t="n"/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/>
      <c r="W2756" s="17" t="n"/>
      <c r="X2756" s="17" t="n"/>
      <c r="Y2756" s="13">
        <f>SUMPRODUCT(M2756:X2756,$M$2:$X$2)*$K2756*$L2756</f>
        <v/>
      </c>
      <c r="Z2756" s="14">
        <f>SUM(M2756:X2756)</f>
        <v/>
      </c>
      <c r="AA2756" s="14">
        <f>IFERROR(IF(UPPER($E2756)="L",SUMPRODUCT(M2756:X2756,$M$3:$X$3,$M$2:$X$2),SUMPRODUCT(M2756:X2756,$M$4:$X$4,$M$2:$X$2))/(Y2756/($K2756*$L2756)),"")</f>
        <v/>
      </c>
      <c r="AB2756" s="18" t="n"/>
    </row>
    <row r="2757">
      <c r="A2757" s="9" t="n">
        <v>803011</v>
      </c>
      <c r="B2757" s="9" t="inlineStr">
        <is>
          <t>Sam Antonacci</t>
        </is>
      </c>
      <c r="C2757" s="9" t="inlineStr">
        <is>
          <t>CWS</t>
        </is>
      </c>
      <c r="D2757" s="9" t="n">
        <v>24</v>
      </c>
      <c r="E2757" s="16" t="inlineStr">
        <is>
          <t>L</t>
        </is>
      </c>
      <c r="F2757" s="16" t="n"/>
      <c r="G2757" s="9" t="n">
        <v>557</v>
      </c>
      <c r="H2757" s="9" t="n">
        <v>557</v>
      </c>
      <c r="I2757" s="9" t="inlineStr">
        <is>
          <t>Full Time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7" t="n"/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/>
      <c r="Y2757" s="13">
        <f>SUMPRODUCT(M2757:X2757,$M$2:$X$2)*$K2757*$L2757</f>
        <v/>
      </c>
      <c r="Z2757" s="14">
        <f>SUM(M2757:X2757)</f>
        <v/>
      </c>
      <c r="AA2757" s="14">
        <f>IFERROR(IF(UPPER($E2757)="L",SUMPRODUCT(M2757:X2757,$M$3:$X$3,$M$2:$X$2),SUMPRODUCT(M2757:X2757,$M$4:$X$4,$M$2:$X$2))/(Y2757/($K2757*$L2757)),"")</f>
        <v/>
      </c>
      <c r="AB2757" s="18" t="n"/>
    </row>
    <row r="2758">
      <c r="A2758" s="9" t="n">
        <v>623912</v>
      </c>
      <c r="B2758" s="9" t="inlineStr">
        <is>
          <t>Harold Ramírez</t>
        </is>
      </c>
      <c r="C2758" s="9" t="inlineStr">
        <is>
          <t>WSH</t>
        </is>
      </c>
      <c r="D2758" s="9" t="n">
        <v>32</v>
      </c>
      <c r="E2758" s="16" t="inlineStr">
        <is>
          <t>R</t>
        </is>
      </c>
      <c r="F2758" s="16" t="n"/>
      <c r="G2758" s="9" t="n">
        <v>246</v>
      </c>
      <c r="H2758" s="9" t="n">
        <v>1115</v>
      </c>
      <c r="I2758" s="9" t="inlineStr">
        <is>
          <t>Depth (no MLB PA)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7" t="n"/>
      <c r="N2758" s="17" t="n"/>
      <c r="O2758" s="17" t="n"/>
      <c r="P2758" s="17" t="n"/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3">
        <f>SUMPRODUCT(M2758:X2758,$M$2:$X$2)*$K2758*$L2758</f>
        <v/>
      </c>
      <c r="Z2758" s="14">
        <f>SUM(M2758:X2758)</f>
        <v/>
      </c>
      <c r="AA2758" s="14">
        <f>IFERROR(IF(UPPER($E2758)="L",SUMPRODUCT(M2758:X2758,$M$3:$X$3,$M$2:$X$2),SUMPRODUCT(M2758:X2758,$M$4:$X$4,$M$2:$X$2))/(Y2758/($K2758*$L2758)),"")</f>
        <v/>
      </c>
      <c r="AB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n"/>
      <c r="G2759" s="9" t="n">
        <v>155</v>
      </c>
      <c r="H2759" s="9" t="n">
        <v>259</v>
      </c>
      <c r="I2759" s="9" t="inlineStr">
        <is>
          <t>Bench Bat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7" t="n"/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/>
      <c r="W2759" s="17" t="n"/>
      <c r="X2759" s="17" t="n"/>
      <c r="Y2759" s="13">
        <f>SUMPRODUCT(M2759:X2759,$M$2:$X$2)*$K2759*$L2759</f>
        <v/>
      </c>
      <c r="Z2759" s="14">
        <f>SUM(M2759:X2759)</f>
        <v/>
      </c>
      <c r="AA2759" s="14">
        <f>IFERROR(IF(UPPER($E2759)="L",SUMPRODUCT(M2759:X2759,$M$3:$X$3,$M$2:$X$2),SUMPRODUCT(M2759:X2759,$M$4:$X$4,$M$2:$X$2))/(Y2759/($K2759*$L2759)),"")</f>
        <v/>
      </c>
      <c r="AB2759" s="18" t="n"/>
    </row>
    <row r="2760">
      <c r="A2760" s="9" t="n">
        <v>621035</v>
      </c>
      <c r="B2760" s="9" t="inlineStr">
        <is>
          <t>Chris Taylor</t>
        </is>
      </c>
      <c r="C2760" s="9" t="inlineStr">
        <is>
          <t>LAA</t>
        </is>
      </c>
      <c r="D2760" s="9" t="n">
        <v>36</v>
      </c>
      <c r="E2760" s="16" t="inlineStr">
        <is>
          <t>R</t>
        </is>
      </c>
      <c r="F2760" s="16" t="n"/>
      <c r="G2760" s="9" t="n">
        <v>125</v>
      </c>
      <c r="H2760" s="9" t="n">
        <v>1209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7" t="n"/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/>
      <c r="W2760" s="17" t="n"/>
      <c r="X2760" s="17" t="n"/>
      <c r="Y2760" s="13">
        <f>SUMPRODUCT(M2760:X2760,$M$2:$X$2)*$K2760*$L2760</f>
        <v/>
      </c>
      <c r="Z2760" s="14">
        <f>SUM(M2760:X2760)</f>
        <v/>
      </c>
      <c r="AA2760" s="14">
        <f>IFERROR(IF(UPPER($E2760)="L",SUMPRODUCT(M2760:X2760,$M$3:$X$3,$M$2:$X$2),SUMPRODUCT(M2760:X2760,$M$4:$X$4,$M$2:$X$2))/(Y2760/($K2760*$L2760)),"")</f>
        <v/>
      </c>
      <c r="AB2760" s="18" t="n"/>
    </row>
    <row r="2761">
      <c r="A2761" s="9" t="n">
        <v>621028</v>
      </c>
      <c r="B2761" s="9" t="inlineStr">
        <is>
          <t>Kevin Newman</t>
        </is>
      </c>
      <c r="C2761" s="9" t="inlineStr">
        <is>
          <t>LAA</t>
        </is>
      </c>
      <c r="D2761" s="9" t="n">
        <v>33</v>
      </c>
      <c r="E2761" s="16" t="inlineStr">
        <is>
          <t>R</t>
        </is>
      </c>
      <c r="F2761" s="16" t="n"/>
      <c r="G2761" s="9" t="n">
        <v>116</v>
      </c>
      <c r="H2761" s="9" t="n">
        <v>989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7" t="n"/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/>
      <c r="W2761" s="17" t="n"/>
      <c r="X2761" s="17" t="n"/>
      <c r="Y2761" s="13">
        <f>SUMPRODUCT(M2761:X2761,$M$2:$X$2)*$K2761*$L2761</f>
        <v/>
      </c>
      <c r="Z2761" s="14">
        <f>SUM(M2761:X2761)</f>
        <v/>
      </c>
      <c r="AA2761" s="14">
        <f>IFERROR(IF(UPPER($E2761)="L",SUMPRODUCT(M2761:X2761,$M$3:$X$3,$M$2:$X$2),SUMPRODUCT(M2761:X2761,$M$4:$X$4,$M$2:$X$2))/(Y2761/($K2761*$L2761)),"")</f>
        <v/>
      </c>
      <c r="AB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n"/>
      <c r="G2762" s="9" t="n">
        <v>190</v>
      </c>
      <c r="H2762" s="9" t="n">
        <v>764</v>
      </c>
      <c r="I2762" s="9" t="inlineStr">
        <is>
          <t>Bench Bat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7" t="n"/>
      <c r="N2762" s="17" t="n"/>
      <c r="O2762" s="17" t="n"/>
      <c r="P2762" s="17" t="n"/>
      <c r="Q2762" s="17" t="n"/>
      <c r="R2762" s="17" t="n"/>
      <c r="S2762" s="17" t="n"/>
      <c r="T2762" s="17" t="n"/>
      <c r="U2762" s="17" t="n"/>
      <c r="V2762" s="17" t="n"/>
      <c r="W2762" s="17" t="n"/>
      <c r="X2762" s="17" t="n"/>
      <c r="Y2762" s="13">
        <f>SUMPRODUCT(M2762:X2762,$M$2:$X$2)*$K2762*$L2762</f>
        <v/>
      </c>
      <c r="Z2762" s="14">
        <f>SUM(M2762:X2762)</f>
        <v/>
      </c>
      <c r="AA2762" s="14">
        <f>IFERROR(IF(UPPER($E2762)="L",SUMPRODUCT(M2762:X2762,$M$3:$X$3,$M$2:$X$2),SUMPRODUCT(M2762:X2762,$M$4:$X$4,$M$2:$X$2))/(Y2762/($K2762*$L2762)),"")</f>
        <v/>
      </c>
      <c r="AB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n"/>
      <c r="G2763" s="9" t="n">
        <v>323</v>
      </c>
      <c r="H2763" s="9" t="n">
        <v>1749</v>
      </c>
      <c r="I2763" s="9" t="inlineStr">
        <is>
          <t>Utility OF / 4th OF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7" t="n"/>
      <c r="N2763" s="17" t="n"/>
      <c r="O2763" s="17" t="n"/>
      <c r="P2763" s="17" t="n"/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3">
        <f>SUMPRODUCT(M2763:X2763,$M$2:$X$2)*$K2763*$L2763</f>
        <v/>
      </c>
      <c r="Z2763" s="14">
        <f>SUM(M2763:X2763)</f>
        <v/>
      </c>
      <c r="AA2763" s="14">
        <f>IFERROR(IF(UPPER($E2763)="L",SUMPRODUCT(M2763:X2763,$M$3:$X$3,$M$2:$X$2),SUMPRODUCT(M2763:X2763,$M$4:$X$4,$M$2:$X$2))/(Y2763/($K2763*$L2763)),"")</f>
        <v/>
      </c>
      <c r="AB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n"/>
      <c r="G2764" s="9" t="n">
        <v>28</v>
      </c>
      <c r="H2764" s="9" t="n">
        <v>28</v>
      </c>
      <c r="I2764" s="9" t="inlineStr">
        <is>
          <t>Bench Bat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7" t="n"/>
      <c r="N2764" s="17" t="n"/>
      <c r="O2764" s="17" t="n"/>
      <c r="P2764" s="17" t="n"/>
      <c r="Q2764" s="17" t="n"/>
      <c r="R2764" s="17" t="n"/>
      <c r="S2764" s="17" t="n"/>
      <c r="T2764" s="17" t="n"/>
      <c r="U2764" s="17" t="n"/>
      <c r="V2764" s="17" t="n"/>
      <c r="W2764" s="17" t="n"/>
      <c r="X2764" s="17" t="n"/>
      <c r="Y2764" s="13">
        <f>SUMPRODUCT(M2764:X2764,$M$2:$X$2)*$K2764*$L2764</f>
        <v/>
      </c>
      <c r="Z2764" s="14">
        <f>SUM(M2764:X2764)</f>
        <v/>
      </c>
      <c r="AA2764" s="14">
        <f>IFERROR(IF(UPPER($E2764)="L",SUMPRODUCT(M2764:X2764,$M$3:$X$3,$M$2:$X$2),SUMPRODUCT(M2764:X2764,$M$4:$X$4,$M$2:$X$2))/(Y2764/($K2764*$L2764)),"")</f>
        <v/>
      </c>
      <c r="AB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n"/>
      <c r="G2765" s="9" t="n">
        <v>46</v>
      </c>
      <c r="H2765" s="9" t="n">
        <v>46</v>
      </c>
      <c r="I2765" s="9" t="inlineStr">
        <is>
          <t>Bench Bat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7" t="n"/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/>
      <c r="W2765" s="17" t="n"/>
      <c r="X2765" s="17" t="n"/>
      <c r="Y2765" s="13">
        <f>SUMPRODUCT(M2765:X2765,$M$2:$X$2)*$K2765*$L2765</f>
        <v/>
      </c>
      <c r="Z2765" s="14">
        <f>SUM(M2765:X2765)</f>
        <v/>
      </c>
      <c r="AA2765" s="14">
        <f>IFERROR(IF(UPPER($E2765)="L",SUMPRODUCT(M2765:X2765,$M$3:$X$3,$M$2:$X$2),SUMPRODUCT(M2765:X2765,$M$4:$X$4,$M$2:$X$2))/(Y2765/($K2765*$L2765)),"")</f>
        <v/>
      </c>
      <c r="AB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n"/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7" t="n"/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/>
      <c r="Y2766" s="13">
        <f>SUMPRODUCT(M2766:X2766,$M$2:$X$2)*$K2766*$L2766</f>
        <v/>
      </c>
      <c r="Z2766" s="14">
        <f>SUM(M2766:X2766)</f>
        <v/>
      </c>
      <c r="AA2766" s="14">
        <f>IFERROR(IF(UPPER($E2766)="L",SUMPRODUCT(M2766:X2766,$M$3:$X$3,$M$2:$X$2),SUMPRODUCT(M2766:X2766,$M$4:$X$4,$M$2:$X$2))/(Y2766/($K2766*$L2766)),"")</f>
        <v/>
      </c>
      <c r="AB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n"/>
      <c r="G2767" s="9" t="n">
        <v>57</v>
      </c>
      <c r="H2767" s="9" t="n">
        <v>120</v>
      </c>
      <c r="I2767" s="9" t="inlineStr">
        <is>
          <t>Bench Bat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7" t="n"/>
      <c r="N2767" s="17" t="n"/>
      <c r="O2767" s="17" t="n"/>
      <c r="P2767" s="17" t="n"/>
      <c r="Q2767" s="17" t="n"/>
      <c r="R2767" s="17" t="n"/>
      <c r="S2767" s="17" t="n"/>
      <c r="T2767" s="17" t="n"/>
      <c r="U2767" s="17" t="n"/>
      <c r="V2767" s="17" t="n"/>
      <c r="W2767" s="17" t="n"/>
      <c r="X2767" s="17" t="n"/>
      <c r="Y2767" s="13">
        <f>SUMPRODUCT(M2767:X2767,$M$2:$X$2)*$K2767*$L2767</f>
        <v/>
      </c>
      <c r="Z2767" s="14">
        <f>SUM(M2767:X2767)</f>
        <v/>
      </c>
      <c r="AA2767" s="14">
        <f>IFERROR(IF(UPPER($E2767)="L",SUMPRODUCT(M2767:X2767,$M$3:$X$3,$M$2:$X$2),SUMPRODUCT(M2767:X2767,$M$4:$X$4,$M$2:$X$2))/(Y2767/($K2767*$L2767)),"")</f>
        <v/>
      </c>
      <c r="AB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n"/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7" t="n"/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/>
      <c r="W2768" s="17" t="n"/>
      <c r="X2768" s="17" t="n"/>
      <c r="Y2768" s="13">
        <f>SUMPRODUCT(M2768:X2768,$M$2:$X$2)*$K2768*$L2768</f>
        <v/>
      </c>
      <c r="Z2768" s="14">
        <f>SUM(M2768:X2768)</f>
        <v/>
      </c>
      <c r="AA2768" s="14">
        <f>IFERROR(IF(UPPER($E2768)="L",SUMPRODUCT(M2768:X2768,$M$3:$X$3,$M$2:$X$2),SUMPRODUCT(M2768:X2768,$M$4:$X$4,$M$2:$X$2))/(Y2768/($K2768*$L2768)),"")</f>
        <v/>
      </c>
      <c r="AB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n"/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7" t="n"/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/>
      <c r="W2769" s="17" t="n"/>
      <c r="X2769" s="17" t="n"/>
      <c r="Y2769" s="13">
        <f>SUMPRODUCT(M2769:X2769,$M$2:$X$2)*$K2769*$L2769</f>
        <v/>
      </c>
      <c r="Z2769" s="14">
        <f>SUM(M2769:X2769)</f>
        <v/>
      </c>
      <c r="AA2769" s="14">
        <f>IFERROR(IF(UPPER($E2769)="L",SUMPRODUCT(M2769:X2769,$M$3:$X$3,$M$2:$X$2),SUMPRODUCT(M2769:X2769,$M$4:$X$4,$M$2:$X$2))/(Y2769/($K2769*$L2769)),"")</f>
        <v/>
      </c>
      <c r="AB2769" s="18" t="n"/>
    </row>
    <row r="2770">
      <c r="A2770" s="9" t="n">
        <v>687363</v>
      </c>
      <c r="B2770" s="9" t="inlineStr">
        <is>
          <t>Victor Scott II</t>
        </is>
      </c>
      <c r="C2770" s="9" t="inlineStr">
        <is>
          <t>STL</t>
        </is>
      </c>
      <c r="D2770" s="9" t="n">
        <v>26</v>
      </c>
      <c r="E2770" s="16" t="inlineStr">
        <is>
          <t>L</t>
        </is>
      </c>
      <c r="F2770" s="16" t="n"/>
      <c r="G2770" s="9" t="n">
        <v>195</v>
      </c>
      <c r="H2770" s="9" t="n">
        <v>813</v>
      </c>
      <c r="I2770" s="9" t="inlineStr">
        <is>
          <t>Full Time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7" t="n"/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/>
      <c r="W2770" s="17" t="n"/>
      <c r="X2770" s="17" t="n"/>
      <c r="Y2770" s="13">
        <f>SUMPRODUCT(M2770:X2770,$M$2:$X$2)*$K2770*$L2770</f>
        <v/>
      </c>
      <c r="Z2770" s="14">
        <f>SUM(M2770:X2770)</f>
        <v/>
      </c>
      <c r="AA2770" s="14">
        <f>IFERROR(IF(UPPER($E2770)="L",SUMPRODUCT(M2770:X2770,$M$3:$X$3,$M$2:$X$2),SUMPRODUCT(M2770:X2770,$M$4:$X$4,$M$2:$X$2))/(Y2770/($K2770*$L2770)),"")</f>
        <v/>
      </c>
      <c r="AB2770" s="18" t="n"/>
    </row>
    <row r="2771">
      <c r="A2771" s="9" t="n">
        <v>805347</v>
      </c>
      <c r="B2771" s="9" t="inlineStr">
        <is>
          <t>Jim Jarvis</t>
        </is>
      </c>
      <c r="C2771" s="9" t="inlineStr">
        <is>
          <t>ATL</t>
        </is>
      </c>
      <c r="D2771" s="9" t="n">
        <v>26</v>
      </c>
      <c r="E2771" s="16" t="inlineStr">
        <is>
          <t>L</t>
        </is>
      </c>
      <c r="F2771" s="16" t="n"/>
      <c r="G2771" s="9" t="n">
        <v>124</v>
      </c>
      <c r="H2771" s="9" t="n">
        <v>124</v>
      </c>
      <c r="I2771" s="9" t="inlineStr">
        <is>
          <t>Bench Bat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7" t="n"/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/>
      <c r="W2771" s="17" t="n"/>
      <c r="X2771" s="17" t="n"/>
      <c r="Y2771" s="13">
        <f>SUMPRODUCT(M2771:X2771,$M$2:$X$2)*$K2771*$L2771</f>
        <v/>
      </c>
      <c r="Z2771" s="14">
        <f>SUM(M2771:X2771)</f>
        <v/>
      </c>
      <c r="AA2771" s="14">
        <f>IFERROR(IF(UPPER($E2771)="L",SUMPRODUCT(M2771:X2771,$M$3:$X$3,$M$2:$X$2),SUMPRODUCT(M2771:X2771,$M$4:$X$4,$M$2:$X$2))/(Y2771/($K2771*$L2771)),"")</f>
        <v/>
      </c>
      <c r="AB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n"/>
      <c r="G2772" s="9" t="n">
        <v>200</v>
      </c>
      <c r="H2772" s="9" t="n">
        <v>611</v>
      </c>
      <c r="I2772" s="9" t="inlineStr">
        <is>
          <t>Bench Bat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7" t="n"/>
      <c r="N2772" s="17" t="n"/>
      <c r="O2772" s="17" t="n"/>
      <c r="P2772" s="17" t="n"/>
      <c r="Q2772" s="17" t="n"/>
      <c r="R2772" s="17" t="n"/>
      <c r="S2772" s="17" t="n"/>
      <c r="T2772" s="17" t="n"/>
      <c r="U2772" s="17" t="n"/>
      <c r="V2772" s="17" t="n"/>
      <c r="W2772" s="17" t="n"/>
      <c r="X2772" s="17" t="n"/>
      <c r="Y2772" s="13">
        <f>SUMPRODUCT(M2772:X2772,$M$2:$X$2)*$K2772*$L2772</f>
        <v/>
      </c>
      <c r="Z2772" s="14">
        <f>SUM(M2772:X2772)</f>
        <v/>
      </c>
      <c r="AA2772" s="14">
        <f>IFERROR(IF(UPPER($E2772)="L",SUMPRODUCT(M2772:X2772,$M$3:$X$3,$M$2:$X$2),SUMPRODUCT(M2772:X2772,$M$4:$X$4,$M$2:$X$2))/(Y2772/($K2772*$L2772)),"")</f>
        <v/>
      </c>
      <c r="AB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n"/>
      <c r="G2773" s="9" t="n">
        <v>486</v>
      </c>
      <c r="H2773" s="9" t="n">
        <v>1418</v>
      </c>
      <c r="I2773" s="9" t="inlineStr">
        <is>
          <t>Full Time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7" t="n"/>
      <c r="N2773" s="17" t="n"/>
      <c r="O2773" s="17" t="n"/>
      <c r="P2773" s="17" t="n"/>
      <c r="Q2773" s="17" t="n"/>
      <c r="R2773" s="17" t="n"/>
      <c r="S2773" s="17" t="n"/>
      <c r="T2773" s="17" t="n"/>
      <c r="U2773" s="17" t="n"/>
      <c r="V2773" s="17" t="n"/>
      <c r="W2773" s="17" t="n"/>
      <c r="X2773" s="17" t="n"/>
      <c r="Y2773" s="13">
        <f>SUMPRODUCT(M2773:X2773,$M$2:$X$2)*$K2773*$L2773</f>
        <v/>
      </c>
      <c r="Z2773" s="14">
        <f>SUM(M2773:X2773)</f>
        <v/>
      </c>
      <c r="AA2773" s="14">
        <f>IFERROR(IF(UPPER($E2773)="L",SUMPRODUCT(M2773:X2773,$M$3:$X$3,$M$2:$X$2),SUMPRODUCT(M2773:X2773,$M$4:$X$4,$M$2:$X$2))/(Y2773/($K2773*$L2773)),"")</f>
        <v/>
      </c>
      <c r="AB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n"/>
      <c r="G2774" s="9" t="n">
        <v>362</v>
      </c>
      <c r="H2774" s="9" t="n">
        <v>1393</v>
      </c>
      <c r="I2774" s="9" t="inlineStr">
        <is>
          <t>Utility OF / 4th OF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7" t="n"/>
      <c r="N2774" s="17" t="n"/>
      <c r="O2774" s="17" t="n"/>
      <c r="P2774" s="17" t="n"/>
      <c r="Q2774" s="17" t="n"/>
      <c r="R2774" s="17" t="n"/>
      <c r="S2774" s="17" t="n"/>
      <c r="T2774" s="17" t="n"/>
      <c r="U2774" s="17" t="n"/>
      <c r="V2774" s="17" t="n"/>
      <c r="W2774" s="17" t="n"/>
      <c r="X2774" s="17" t="n"/>
      <c r="Y2774" s="13">
        <f>SUMPRODUCT(M2774:X2774,$M$2:$X$2)*$K2774*$L2774</f>
        <v/>
      </c>
      <c r="Z2774" s="14">
        <f>SUM(M2774:X2774)</f>
        <v/>
      </c>
      <c r="AA2774" s="14">
        <f>IFERROR(IF(UPPER($E2774)="L",SUMPRODUCT(M2774:X2774,$M$3:$X$3,$M$2:$X$2),SUMPRODUCT(M2774:X2774,$M$4:$X$4,$M$2:$X$2))/(Y2774/($K2774*$L2774)),"")</f>
        <v/>
      </c>
      <c r="AB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n"/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7" t="n"/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/>
      <c r="W2775" s="17" t="n"/>
      <c r="X2775" s="17" t="n"/>
      <c r="Y2775" s="13">
        <f>SUMPRODUCT(M2775:X2775,$M$2:$X$2)*$K2775*$L2775</f>
        <v/>
      </c>
      <c r="Z2775" s="14">
        <f>SUM(M2775:X2775)</f>
        <v/>
      </c>
      <c r="AA2775" s="14">
        <f>IFERROR(IF(UPPER($E2775)="L",SUMPRODUCT(M2775:X2775,$M$3:$X$3,$M$2:$X$2),SUMPRODUCT(M2775:X2775,$M$4:$X$4,$M$2:$X$2))/(Y2775/($K2775*$L2775)),"")</f>
        <v/>
      </c>
      <c r="AB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n"/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7" t="n"/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/>
      <c r="W2776" s="17" t="n"/>
      <c r="X2776" s="17" t="n"/>
      <c r="Y2776" s="13">
        <f>SUMPRODUCT(M2776:X2776,$M$2:$X$2)*$K2776*$L2776</f>
        <v/>
      </c>
      <c r="Z2776" s="14">
        <f>SUM(M2776:X2776)</f>
        <v/>
      </c>
      <c r="AA2776" s="14">
        <f>IFERROR(IF(UPPER($E2776)="L",SUMPRODUCT(M2776:X2776,$M$3:$X$3,$M$2:$X$2),SUMPRODUCT(M2776:X2776,$M$4:$X$4,$M$2:$X$2))/(Y2776/($K2776*$L2776)),"")</f>
        <v/>
      </c>
      <c r="AB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n"/>
      <c r="G2777" s="9" t="n">
        <v>655</v>
      </c>
      <c r="H2777" s="9" t="n">
        <v>3222</v>
      </c>
      <c r="I2777" s="9" t="inlineStr">
        <is>
          <t>Full Time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7" t="n"/>
      <c r="N2777" s="17" t="n"/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/>
      <c r="X2777" s="17" t="n"/>
      <c r="Y2777" s="13">
        <f>SUMPRODUCT(M2777:X2777,$M$2:$X$2)*$K2777*$L2777</f>
        <v/>
      </c>
      <c r="Z2777" s="14">
        <f>SUM(M2777:X2777)</f>
        <v/>
      </c>
      <c r="AA2777" s="14">
        <f>IFERROR(IF(UPPER($E2777)="L",SUMPRODUCT(M2777:X2777,$M$3:$X$3,$M$2:$X$2),SUMPRODUCT(M2777:X2777,$M$4:$X$4,$M$2:$X$2))/(Y2777/($K2777*$L2777)),"")</f>
        <v/>
      </c>
      <c r="AB2777" s="18" t="n"/>
    </row>
    <row r="2778">
      <c r="A2778" s="9" t="n">
        <v>649557</v>
      </c>
      <c r="B2778" s="9" t="inlineStr">
        <is>
          <t>Aledmys Díaz</t>
        </is>
      </c>
      <c r="C2778" s="9" t="inlineStr">
        <is>
          <t>HOU</t>
        </is>
      </c>
      <c r="D2778" s="9" t="n">
        <v>36</v>
      </c>
      <c r="E2778" s="16" t="inlineStr">
        <is>
          <t>R</t>
        </is>
      </c>
      <c r="F2778" s="16" t="n"/>
      <c r="G2778" s="9" t="n">
        <v>34</v>
      </c>
      <c r="H2778" s="9" t="n">
        <v>705</v>
      </c>
      <c r="I2778" s="9" t="inlineStr">
        <is>
          <t>Depth (no MLB PA)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7" t="n"/>
      <c r="N2778" s="17" t="n"/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3">
        <f>SUMPRODUCT(M2778:X2778,$M$2:$X$2)*$K2778*$L2778</f>
        <v/>
      </c>
      <c r="Z2778" s="14">
        <f>SUM(M2778:X2778)</f>
        <v/>
      </c>
      <c r="AA2778" s="14">
        <f>IFERROR(IF(UPPER($E2778)="L",SUMPRODUCT(M2778:X2778,$M$3:$X$3,$M$2:$X$2),SUMPRODUCT(M2778:X2778,$M$4:$X$4,$M$2:$X$2))/(Y2778/($K2778*$L2778)),"")</f>
        <v/>
      </c>
      <c r="AB2778" s="18" t="n"/>
    </row>
    <row r="2779">
      <c r="A2779" s="9" t="n">
        <v>700337</v>
      </c>
      <c r="B2779" s="9" t="inlineStr">
        <is>
          <t>Edgar Quero</t>
        </is>
      </c>
      <c r="C2779" s="9" t="inlineStr">
        <is>
          <t>CWS</t>
        </is>
      </c>
      <c r="D2779" s="9" t="n">
        <v>24</v>
      </c>
      <c r="E2779" s="16" t="inlineStr">
        <is>
          <t>S</t>
        </is>
      </c>
      <c r="F2779" s="16" t="n"/>
      <c r="G2779" s="9" t="n">
        <v>217</v>
      </c>
      <c r="H2779" s="9" t="n">
        <v>620</v>
      </c>
      <c r="I2779" s="9" t="inlineStr">
        <is>
          <t>Utility OF / 4th OF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7" t="n"/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/>
      <c r="Y2779" s="13">
        <f>SUMPRODUCT(M2779:X2779,$M$2:$X$2)*$K2779*$L2779</f>
        <v/>
      </c>
      <c r="Z2779" s="14">
        <f>SUM(M2779:X2779)</f>
        <v/>
      </c>
      <c r="AA2779" s="14">
        <f>IFERROR(IF(UPPER($E2779)="L",SUMPRODUCT(M2779:X2779,$M$3:$X$3,$M$2:$X$2),SUMPRODUCT(M2779:X2779,$M$4:$X$4,$M$2:$X$2))/(Y2779/($K2779*$L2779)),"")</f>
        <v/>
      </c>
      <c r="AB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n"/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7" t="n"/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/>
      <c r="Y2780" s="13">
        <f>SUMPRODUCT(M2780:X2780,$M$2:$X$2)*$K2780*$L2780</f>
        <v/>
      </c>
      <c r="Z2780" s="14">
        <f>SUM(M2780:X2780)</f>
        <v/>
      </c>
      <c r="AA2780" s="14">
        <f>IFERROR(IF(UPPER($E2780)="L",SUMPRODUCT(M2780:X2780,$M$3:$X$3,$M$2:$X$2),SUMPRODUCT(M2780:X2780,$M$4:$X$4,$M$2:$X$2))/(Y2780/($K2780*$L2780)),"")</f>
        <v/>
      </c>
      <c r="AB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n"/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7" t="n"/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/>
      <c r="Y2781" s="13">
        <f>SUMPRODUCT(M2781:X2781,$M$2:$X$2)*$K2781*$L2781</f>
        <v/>
      </c>
      <c r="Z2781" s="14">
        <f>SUM(M2781:X2781)</f>
        <v/>
      </c>
      <c r="AA2781" s="14">
        <f>IFERROR(IF(UPPER($E2781)="L",SUMPRODUCT(M2781:X2781,$M$3:$X$3,$M$2:$X$2),SUMPRODUCT(M2781:X2781,$M$4:$X$4,$M$2:$X$2))/(Y2781/($K2781*$L2781)),"")</f>
        <v/>
      </c>
      <c r="AB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n"/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7" t="n"/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/>
      <c r="W2782" s="17" t="n"/>
      <c r="X2782" s="17" t="n"/>
      <c r="Y2782" s="13">
        <f>SUMPRODUCT(M2782:X2782,$M$2:$X$2)*$K2782*$L2782</f>
        <v/>
      </c>
      <c r="Z2782" s="14">
        <f>SUM(M2782:X2782)</f>
        <v/>
      </c>
      <c r="AA2782" s="14">
        <f>IFERROR(IF(UPPER($E2782)="L",SUMPRODUCT(M2782:X2782,$M$3:$X$3,$M$2:$X$2),SUMPRODUCT(M2782:X2782,$M$4:$X$4,$M$2:$X$2))/(Y2782/($K2782*$L2782)),"")</f>
        <v/>
      </c>
      <c r="AB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n"/>
      <c r="G2783" s="9" t="n">
        <v>60</v>
      </c>
      <c r="H2783" s="9" t="n">
        <v>328</v>
      </c>
      <c r="I2783" s="9" t="inlineStr">
        <is>
          <t>Bench Bat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7" t="n"/>
      <c r="N2783" s="17" t="n"/>
      <c r="O2783" s="17" t="n"/>
      <c r="P2783" s="17" t="n"/>
      <c r="Q2783" s="17" t="n"/>
      <c r="R2783" s="17" t="n"/>
      <c r="S2783" s="17" t="n"/>
      <c r="T2783" s="17" t="n"/>
      <c r="U2783" s="17" t="n"/>
      <c r="V2783" s="17" t="n"/>
      <c r="W2783" s="17" t="n"/>
      <c r="X2783" s="17" t="n"/>
      <c r="Y2783" s="13">
        <f>SUMPRODUCT(M2783:X2783,$M$2:$X$2)*$K2783*$L2783</f>
        <v/>
      </c>
      <c r="Z2783" s="14">
        <f>SUM(M2783:X2783)</f>
        <v/>
      </c>
      <c r="AA2783" s="14">
        <f>IFERROR(IF(UPPER($E2783)="L",SUMPRODUCT(M2783:X2783,$M$3:$X$3,$M$2:$X$2),SUMPRODUCT(M2783:X2783,$M$4:$X$4,$M$2:$X$2))/(Y2783/($K2783*$L2783)),"")</f>
        <v/>
      </c>
      <c r="AB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n"/>
      <c r="G2784" s="9" t="n">
        <v>97</v>
      </c>
      <c r="H2784" s="9" t="n">
        <v>218</v>
      </c>
      <c r="I2784" s="9" t="inlineStr">
        <is>
          <t>Bench Bat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7" t="n"/>
      <c r="N2784" s="17" t="n"/>
      <c r="O2784" s="17" t="n"/>
      <c r="P2784" s="17" t="n"/>
      <c r="Q2784" s="17" t="n"/>
      <c r="R2784" s="17" t="n"/>
      <c r="S2784" s="17" t="n"/>
      <c r="T2784" s="17" t="n"/>
      <c r="U2784" s="17" t="n"/>
      <c r="V2784" s="17" t="n"/>
      <c r="W2784" s="17" t="n"/>
      <c r="X2784" s="17" t="n"/>
      <c r="Y2784" s="13">
        <f>SUMPRODUCT(M2784:X2784,$M$2:$X$2)*$K2784*$L2784</f>
        <v/>
      </c>
      <c r="Z2784" s="14">
        <f>SUM(M2784:X2784)</f>
        <v/>
      </c>
      <c r="AA2784" s="14">
        <f>IFERROR(IF(UPPER($E2784)="L",SUMPRODUCT(M2784:X2784,$M$3:$X$3,$M$2:$X$2),SUMPRODUCT(M2784:X2784,$M$4:$X$4,$M$2:$X$2))/(Y2784/($K2784*$L2784)),"")</f>
        <v/>
      </c>
      <c r="AB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n"/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7" t="n"/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/>
      <c r="Y2785" s="13">
        <f>SUMPRODUCT(M2785:X2785,$M$2:$X$2)*$K2785*$L2785</f>
        <v/>
      </c>
      <c r="Z2785" s="14">
        <f>SUM(M2785:X2785)</f>
        <v/>
      </c>
      <c r="AA2785" s="14">
        <f>IFERROR(IF(UPPER($E2785)="L",SUMPRODUCT(M2785:X2785,$M$3:$X$3,$M$2:$X$2),SUMPRODUCT(M2785:X2785,$M$4:$X$4,$M$2:$X$2))/(Y2785/($K2785*$L2785)),"")</f>
        <v/>
      </c>
      <c r="AB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n"/>
      <c r="G2786" s="9" t="n">
        <v>147</v>
      </c>
      <c r="H2786" s="9" t="n">
        <v>2016</v>
      </c>
      <c r="I2786" s="9" t="inlineStr">
        <is>
          <t>Bench Bat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7" t="n"/>
      <c r="N2786" s="17" t="n"/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3">
        <f>SUMPRODUCT(M2786:X2786,$M$2:$X$2)*$K2786*$L2786</f>
        <v/>
      </c>
      <c r="Z2786" s="14">
        <f>SUM(M2786:X2786)</f>
        <v/>
      </c>
      <c r="AA2786" s="14">
        <f>IFERROR(IF(UPPER($E2786)="L",SUMPRODUCT(M2786:X2786,$M$3:$X$3,$M$2:$X$2),SUMPRODUCT(M2786:X2786,$M$4:$X$4,$M$2:$X$2))/(Y2786/($K2786*$L2786)),"")</f>
        <v/>
      </c>
      <c r="AB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n"/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7" t="n"/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/>
      <c r="Y2787" s="13">
        <f>SUMPRODUCT(M2787:X2787,$M$2:$X$2)*$K2787*$L2787</f>
        <v/>
      </c>
      <c r="Z2787" s="14">
        <f>SUM(M2787:X2787)</f>
        <v/>
      </c>
      <c r="AA2787" s="14">
        <f>IFERROR(IF(UPPER($E2787)="L",SUMPRODUCT(M2787:X2787,$M$3:$X$3,$M$2:$X$2),SUMPRODUCT(M2787:X2787,$M$4:$X$4,$M$2:$X$2))/(Y2787/($K2787*$L2787)),"")</f>
        <v/>
      </c>
      <c r="AB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n"/>
      <c r="G2788" s="9" t="n">
        <v>251</v>
      </c>
      <c r="H2788" s="9" t="n">
        <v>370</v>
      </c>
      <c r="I2788" s="9" t="inlineStr">
        <is>
          <t>Utility OF / 4th OF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7" t="n"/>
      <c r="N2788" s="17" t="n"/>
      <c r="O2788" s="17" t="n"/>
      <c r="P2788" s="17" t="n"/>
      <c r="Q2788" s="17" t="n"/>
      <c r="R2788" s="17" t="n"/>
      <c r="S2788" s="17" t="n"/>
      <c r="T2788" s="17" t="n"/>
      <c r="U2788" s="17" t="n"/>
      <c r="V2788" s="17" t="n"/>
      <c r="W2788" s="17" t="n"/>
      <c r="X2788" s="17" t="n"/>
      <c r="Y2788" s="13">
        <f>SUMPRODUCT(M2788:X2788,$M$2:$X$2)*$K2788*$L2788</f>
        <v/>
      </c>
      <c r="Z2788" s="14">
        <f>SUM(M2788:X2788)</f>
        <v/>
      </c>
      <c r="AA2788" s="14">
        <f>IFERROR(IF(UPPER($E2788)="L",SUMPRODUCT(M2788:X2788,$M$3:$X$3,$M$2:$X$2),SUMPRODUCT(M2788:X2788,$M$4:$X$4,$M$2:$X$2))/(Y2788/($K2788*$L2788)),"")</f>
        <v/>
      </c>
      <c r="AB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n"/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7" t="n"/>
      <c r="N2789" s="17" t="n"/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3">
        <f>SUMPRODUCT(M2789:X2789,$M$2:$X$2)*$K2789*$L2789</f>
        <v/>
      </c>
      <c r="Z2789" s="14">
        <f>SUM(M2789:X2789)</f>
        <v/>
      </c>
      <c r="AA2789" s="14">
        <f>IFERROR(IF(UPPER($E2789)="L",SUMPRODUCT(M2789:X2789,$M$3:$X$3,$M$2:$X$2),SUMPRODUCT(M2789:X2789,$M$4:$X$4,$M$2:$X$2))/(Y2789/($K2789*$L2789)),"")</f>
        <v/>
      </c>
      <c r="AB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n"/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7" t="n"/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/>
      <c r="W2790" s="17" t="n"/>
      <c r="X2790" s="17" t="n"/>
      <c r="Y2790" s="13">
        <f>SUMPRODUCT(M2790:X2790,$M$2:$X$2)*$K2790*$L2790</f>
        <v/>
      </c>
      <c r="Z2790" s="14">
        <f>SUM(M2790:X2790)</f>
        <v/>
      </c>
      <c r="AA2790" s="14">
        <f>IFERROR(IF(UPPER($E2790)="L",SUMPRODUCT(M2790:X2790,$M$3:$X$3,$M$2:$X$2),SUMPRODUCT(M2790:X2790,$M$4:$X$4,$M$2:$X$2))/(Y2790/($K2790*$L2790)),"")</f>
        <v/>
      </c>
      <c r="AB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n"/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7" t="n"/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/>
      <c r="W2791" s="17" t="n"/>
      <c r="X2791" s="17" t="n"/>
      <c r="Y2791" s="13">
        <f>SUMPRODUCT(M2791:X2791,$M$2:$X$2)*$K2791*$L2791</f>
        <v/>
      </c>
      <c r="Z2791" s="14">
        <f>SUM(M2791:X2791)</f>
        <v/>
      </c>
      <c r="AA2791" s="14">
        <f>IFERROR(IF(UPPER($E2791)="L",SUMPRODUCT(M2791:X2791,$M$3:$X$3,$M$2:$X$2),SUMPRODUCT(M2791:X2791,$M$4:$X$4,$M$2:$X$2))/(Y2791/($K2791*$L2791)),"")</f>
        <v/>
      </c>
      <c r="AB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n"/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7" t="n"/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/>
      <c r="W2792" s="17" t="n"/>
      <c r="X2792" s="17" t="n"/>
      <c r="Y2792" s="13">
        <f>SUMPRODUCT(M2792:X2792,$M$2:$X$2)*$K2792*$L2792</f>
        <v/>
      </c>
      <c r="Z2792" s="14">
        <f>SUM(M2792:X2792)</f>
        <v/>
      </c>
      <c r="AA2792" s="14">
        <f>IFERROR(IF(UPPER($E2792)="L",SUMPRODUCT(M2792:X2792,$M$3:$X$3,$M$2:$X$2),SUMPRODUCT(M2792:X2792,$M$4:$X$4,$M$2:$X$2))/(Y2792/($K2792*$L2792)),"")</f>
        <v/>
      </c>
      <c r="AB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n"/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7" t="n"/>
      <c r="N2793" s="17" t="n"/>
      <c r="O2793" s="17" t="n"/>
      <c r="P2793" s="17" t="n"/>
      <c r="Q2793" s="17" t="n"/>
      <c r="R2793" s="17" t="n"/>
      <c r="S2793" s="17" t="n"/>
      <c r="T2793" s="17" t="n"/>
      <c r="U2793" s="17" t="n"/>
      <c r="V2793" s="17" t="n"/>
      <c r="W2793" s="17" t="n"/>
      <c r="X2793" s="17" t="n"/>
      <c r="Y2793" s="13">
        <f>SUMPRODUCT(M2793:X2793,$M$2:$X$2)*$K2793*$L2793</f>
        <v/>
      </c>
      <c r="Z2793" s="14">
        <f>SUM(M2793:X2793)</f>
        <v/>
      </c>
      <c r="AA2793" s="14">
        <f>IFERROR(IF(UPPER($E2793)="L",SUMPRODUCT(M2793:X2793,$M$3:$X$3,$M$2:$X$2),SUMPRODUCT(M2793:X2793,$M$4:$X$4,$M$2:$X$2))/(Y2793/($K2793*$L2793)),"")</f>
        <v/>
      </c>
      <c r="AB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n"/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7" t="n"/>
      <c r="N2794" s="17" t="n"/>
      <c r="O2794" s="17" t="n"/>
      <c r="P2794" s="17" t="n"/>
      <c r="Q2794" s="17" t="n"/>
      <c r="R2794" s="17" t="n"/>
      <c r="S2794" s="17" t="n"/>
      <c r="T2794" s="17" t="n"/>
      <c r="U2794" s="17" t="n"/>
      <c r="V2794" s="17" t="n"/>
      <c r="W2794" s="17" t="n"/>
      <c r="X2794" s="17" t="n"/>
      <c r="Y2794" s="13">
        <f>SUMPRODUCT(M2794:X2794,$M$2:$X$2)*$K2794*$L2794</f>
        <v/>
      </c>
      <c r="Z2794" s="14">
        <f>SUM(M2794:X2794)</f>
        <v/>
      </c>
      <c r="AA2794" s="14">
        <f>IFERROR(IF(UPPER($E2794)="L",SUMPRODUCT(M2794:X2794,$M$3:$X$3,$M$2:$X$2),SUMPRODUCT(M2794:X2794,$M$4:$X$4,$M$2:$X$2))/(Y2794/($K2794*$L2794)),"")</f>
        <v/>
      </c>
      <c r="AB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n"/>
      <c r="G2795" s="9" t="n">
        <v>330</v>
      </c>
      <c r="H2795" s="9" t="n">
        <v>1747</v>
      </c>
      <c r="I2795" s="9" t="inlineStr">
        <is>
          <t>Utility OF / 4th OF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7" t="n"/>
      <c r="N2795" s="17" t="n"/>
      <c r="O2795" s="17" t="n"/>
      <c r="P2795" s="17" t="n"/>
      <c r="Q2795" s="17" t="n"/>
      <c r="R2795" s="17" t="n"/>
      <c r="S2795" s="17" t="n"/>
      <c r="T2795" s="17" t="n"/>
      <c r="U2795" s="17" t="n"/>
      <c r="V2795" s="17" t="n"/>
      <c r="W2795" s="17" t="n"/>
      <c r="X2795" s="17" t="n"/>
      <c r="Y2795" s="13">
        <f>SUMPRODUCT(M2795:X2795,$M$2:$X$2)*$K2795*$L2795</f>
        <v/>
      </c>
      <c r="Z2795" s="14">
        <f>SUM(M2795:X2795)</f>
        <v/>
      </c>
      <c r="AA2795" s="14">
        <f>IFERROR(IF(UPPER($E2795)="L",SUMPRODUCT(M2795:X2795,$M$3:$X$3,$M$2:$X$2),SUMPRODUCT(M2795:X2795,$M$4:$X$4,$M$2:$X$2))/(Y2795/($K2795*$L2795)),"")</f>
        <v/>
      </c>
      <c r="AB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n"/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7" t="n"/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/>
      <c r="W2796" s="17" t="n"/>
      <c r="X2796" s="17" t="n"/>
      <c r="Y2796" s="13">
        <f>SUMPRODUCT(M2796:X2796,$M$2:$X$2)*$K2796*$L2796</f>
        <v/>
      </c>
      <c r="Z2796" s="14">
        <f>SUM(M2796:X2796)</f>
        <v/>
      </c>
      <c r="AA2796" s="14">
        <f>IFERROR(IF(UPPER($E2796)="L",SUMPRODUCT(M2796:X2796,$M$3:$X$3,$M$2:$X$2),SUMPRODUCT(M2796:X2796,$M$4:$X$4,$M$2:$X$2))/(Y2796/($K2796*$L2796)),"")</f>
        <v/>
      </c>
      <c r="AB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n"/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7" t="n"/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/>
      <c r="Y2797" s="13">
        <f>SUMPRODUCT(M2797:X2797,$M$2:$X$2)*$K2797*$L2797</f>
        <v/>
      </c>
      <c r="Z2797" s="14">
        <f>SUM(M2797:X2797)</f>
        <v/>
      </c>
      <c r="AA2797" s="14">
        <f>IFERROR(IF(UPPER($E2797)="L",SUMPRODUCT(M2797:X2797,$M$3:$X$3,$M$2:$X$2),SUMPRODUCT(M2797:X2797,$M$4:$X$4,$M$2:$X$2))/(Y2797/($K2797*$L2797)),"")</f>
        <v/>
      </c>
      <c r="AB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n"/>
      <c r="G2798" s="9" t="n">
        <v>47</v>
      </c>
      <c r="H2798" s="9" t="n">
        <v>554</v>
      </c>
      <c r="I2798" s="9" t="inlineStr">
        <is>
          <t>Bench Bat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7" t="n"/>
      <c r="N2798" s="17" t="n"/>
      <c r="O2798" s="17" t="n"/>
      <c r="P2798" s="17" t="n"/>
      <c r="Q2798" s="17" t="n"/>
      <c r="R2798" s="17" t="n"/>
      <c r="S2798" s="17" t="n"/>
      <c r="T2798" s="17" t="n"/>
      <c r="U2798" s="17" t="n"/>
      <c r="V2798" s="17" t="n"/>
      <c r="W2798" s="17" t="n"/>
      <c r="X2798" s="17" t="n"/>
      <c r="Y2798" s="13">
        <f>SUMPRODUCT(M2798:X2798,$M$2:$X$2)*$K2798*$L2798</f>
        <v/>
      </c>
      <c r="Z2798" s="14">
        <f>SUM(M2798:X2798)</f>
        <v/>
      </c>
      <c r="AA2798" s="14">
        <f>IFERROR(IF(UPPER($E2798)="L",SUMPRODUCT(M2798:X2798,$M$3:$X$3,$M$2:$X$2),SUMPRODUCT(M2798:X2798,$M$4:$X$4,$M$2:$X$2))/(Y2798/($K2798*$L2798)),"")</f>
        <v/>
      </c>
      <c r="AB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n"/>
      <c r="G2799" s="9" t="n">
        <v>364</v>
      </c>
      <c r="H2799" s="9" t="n">
        <v>430</v>
      </c>
      <c r="I2799" s="9" t="inlineStr">
        <is>
          <t>Utility OF / 4th OF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7" t="n"/>
      <c r="N2799" s="17" t="n"/>
      <c r="O2799" s="17" t="n"/>
      <c r="P2799" s="17" t="n"/>
      <c r="Q2799" s="17" t="n"/>
      <c r="R2799" s="17" t="n"/>
      <c r="S2799" s="17" t="n"/>
      <c r="T2799" s="17" t="n"/>
      <c r="U2799" s="17" t="n"/>
      <c r="V2799" s="17" t="n"/>
      <c r="W2799" s="17" t="n"/>
      <c r="X2799" s="17" t="n"/>
      <c r="Y2799" s="13">
        <f>SUMPRODUCT(M2799:X2799,$M$2:$X$2)*$K2799*$L2799</f>
        <v/>
      </c>
      <c r="Z2799" s="14">
        <f>SUM(M2799:X2799)</f>
        <v/>
      </c>
      <c r="AA2799" s="14">
        <f>IFERROR(IF(UPPER($E2799)="L",SUMPRODUCT(M2799:X2799,$M$3:$X$3,$M$2:$X$2),SUMPRODUCT(M2799:X2799,$M$4:$X$4,$M$2:$X$2))/(Y2799/($K2799*$L2799)),"")</f>
        <v/>
      </c>
      <c r="AB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n"/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7" t="n"/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/>
      <c r="W2800" s="17" t="n"/>
      <c r="X2800" s="17" t="n"/>
      <c r="Y2800" s="13">
        <f>SUMPRODUCT(M2800:X2800,$M$2:$X$2)*$K2800*$L2800</f>
        <v/>
      </c>
      <c r="Z2800" s="14">
        <f>SUM(M2800:X2800)</f>
        <v/>
      </c>
      <c r="AA2800" s="14">
        <f>IFERROR(IF(UPPER($E2800)="L",SUMPRODUCT(M2800:X2800,$M$3:$X$3,$M$2:$X$2),SUMPRODUCT(M2800:X2800,$M$4:$X$4,$M$2:$X$2))/(Y2800/($K2800*$L2800)),"")</f>
        <v/>
      </c>
      <c r="AB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n"/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7" t="n"/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/>
      <c r="W2801" s="17" t="n"/>
      <c r="X2801" s="17" t="n"/>
      <c r="Y2801" s="13">
        <f>SUMPRODUCT(M2801:X2801,$M$2:$X$2)*$K2801*$L2801</f>
        <v/>
      </c>
      <c r="Z2801" s="14">
        <f>SUM(M2801:X2801)</f>
        <v/>
      </c>
      <c r="AA2801" s="14">
        <f>IFERROR(IF(UPPER($E2801)="L",SUMPRODUCT(M2801:X2801,$M$3:$X$3,$M$2:$X$2),SUMPRODUCT(M2801:X2801,$M$4:$X$4,$M$2:$X$2))/(Y2801/($K2801*$L2801)),"")</f>
        <v/>
      </c>
      <c r="AB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n"/>
      <c r="G2802" s="9" t="n">
        <v>206</v>
      </c>
      <c r="H2802" s="9" t="n">
        <v>206</v>
      </c>
      <c r="I2802" s="9" t="inlineStr">
        <is>
          <t>Bench Bat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7" t="n"/>
      <c r="N2802" s="17" t="n"/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3">
        <f>SUMPRODUCT(M2802:X2802,$M$2:$X$2)*$K2802*$L2802</f>
        <v/>
      </c>
      <c r="Z2802" s="14">
        <f>SUM(M2802:X2802)</f>
        <v/>
      </c>
      <c r="AA2802" s="14">
        <f>IFERROR(IF(UPPER($E2802)="L",SUMPRODUCT(M2802:X2802,$M$3:$X$3,$M$2:$X$2),SUMPRODUCT(M2802:X2802,$M$4:$X$4,$M$2:$X$2))/(Y2802/($K2802*$L2802)),"")</f>
        <v/>
      </c>
      <c r="AB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n"/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7" t="n"/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/>
      <c r="Y2803" s="13">
        <f>SUMPRODUCT(M2803:X2803,$M$2:$X$2)*$K2803*$L2803</f>
        <v/>
      </c>
      <c r="Z2803" s="14">
        <f>SUM(M2803:X2803)</f>
        <v/>
      </c>
      <c r="AA2803" s="14">
        <f>IFERROR(IF(UPPER($E2803)="L",SUMPRODUCT(M2803:X2803,$M$3:$X$3,$M$2:$X$2),SUMPRODUCT(M2803:X2803,$M$4:$X$4,$M$2:$X$2))/(Y2803/($K2803*$L2803)),"")</f>
        <v/>
      </c>
      <c r="AB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n"/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7" t="n"/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/>
      <c r="W2804" s="17" t="n"/>
      <c r="X2804" s="17" t="n"/>
      <c r="Y2804" s="13">
        <f>SUMPRODUCT(M2804:X2804,$M$2:$X$2)*$K2804*$L2804</f>
        <v/>
      </c>
      <c r="Z2804" s="14">
        <f>SUM(M2804:X2804)</f>
        <v/>
      </c>
      <c r="AA2804" s="14">
        <f>IFERROR(IF(UPPER($E2804)="L",SUMPRODUCT(M2804:X2804,$M$3:$X$3,$M$2:$X$2),SUMPRODUCT(M2804:X2804,$M$4:$X$4,$M$2:$X$2))/(Y2804/($K2804*$L2804)),"")</f>
        <v/>
      </c>
      <c r="AB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n"/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7" t="n"/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/>
      <c r="Y2805" s="13">
        <f>SUMPRODUCT(M2805:X2805,$M$2:$X$2)*$K2805*$L2805</f>
        <v/>
      </c>
      <c r="Z2805" s="14">
        <f>SUM(M2805:X2805)</f>
        <v/>
      </c>
      <c r="AA2805" s="14">
        <f>IFERROR(IF(UPPER($E2805)="L",SUMPRODUCT(M2805:X2805,$M$3:$X$3,$M$2:$X$2),SUMPRODUCT(M2805:X2805,$M$4:$X$4,$M$2:$X$2))/(Y2805/($K2805*$L2805)),"")</f>
        <v/>
      </c>
      <c r="AB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n"/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7" t="n"/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/>
      <c r="W2806" s="17" t="n"/>
      <c r="X2806" s="17" t="n"/>
      <c r="Y2806" s="13">
        <f>SUMPRODUCT(M2806:X2806,$M$2:$X$2)*$K2806*$L2806</f>
        <v/>
      </c>
      <c r="Z2806" s="14">
        <f>SUM(M2806:X2806)</f>
        <v/>
      </c>
      <c r="AA2806" s="14">
        <f>IFERROR(IF(UPPER($E2806)="L",SUMPRODUCT(M2806:X2806,$M$3:$X$3,$M$2:$X$2),SUMPRODUCT(M2806:X2806,$M$4:$X$4,$M$2:$X$2))/(Y2806/($K2806*$L2806)),"")</f>
        <v/>
      </c>
      <c r="AB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n"/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7" t="n"/>
      <c r="N2807" s="17" t="n"/>
      <c r="O2807" s="17" t="n"/>
      <c r="P2807" s="17" t="n"/>
      <c r="Q2807" s="17" t="n"/>
      <c r="R2807" s="17" t="n"/>
      <c r="S2807" s="17" t="n"/>
      <c r="T2807" s="17" t="n"/>
      <c r="U2807" s="17" t="n"/>
      <c r="V2807" s="17" t="n"/>
      <c r="W2807" s="17" t="n"/>
      <c r="X2807" s="17" t="n"/>
      <c r="Y2807" s="13">
        <f>SUMPRODUCT(M2807:X2807,$M$2:$X$2)*$K2807*$L2807</f>
        <v/>
      </c>
      <c r="Z2807" s="14">
        <f>SUM(M2807:X2807)</f>
        <v/>
      </c>
      <c r="AA2807" s="14">
        <f>IFERROR(IF(UPPER($E2807)="L",SUMPRODUCT(M2807:X2807,$M$3:$X$3,$M$2:$X$2),SUMPRODUCT(M2807:X2807,$M$4:$X$4,$M$2:$X$2))/(Y2807/($K2807*$L2807)),"")</f>
        <v/>
      </c>
      <c r="AB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n"/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7" t="n"/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/>
      <c r="Y2808" s="13">
        <f>SUMPRODUCT(M2808:X2808,$M$2:$X$2)*$K2808*$L2808</f>
        <v/>
      </c>
      <c r="Z2808" s="14">
        <f>SUM(M2808:X2808)</f>
        <v/>
      </c>
      <c r="AA2808" s="14">
        <f>IFERROR(IF(UPPER($E2808)="L",SUMPRODUCT(M2808:X2808,$M$3:$X$3,$M$2:$X$2),SUMPRODUCT(M2808:X2808,$M$4:$X$4,$M$2:$X$2))/(Y2808/($K2808*$L2808)),"")</f>
        <v/>
      </c>
      <c r="AB2808" s="18" t="n"/>
    </row>
    <row r="2809">
      <c r="A2809" s="9" t="n">
        <v>665506</v>
      </c>
      <c r="B2809" s="9" t="inlineStr">
        <is>
          <t>Cristian Pache</t>
        </is>
      </c>
      <c r="C2809" s="9" t="inlineStr">
        <is>
          <t>MIA</t>
        </is>
      </c>
      <c r="D2809" s="9" t="n">
        <v>28</v>
      </c>
      <c r="E2809" s="16" t="inlineStr">
        <is>
          <t>R</t>
        </is>
      </c>
      <c r="F2809" s="16" t="n"/>
      <c r="G2809" s="9" t="n">
        <v>8</v>
      </c>
      <c r="H2809" s="9" t="n">
        <v>546</v>
      </c>
      <c r="I2809" s="9" t="inlineStr">
        <is>
          <t>Depth (no MLB PA)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7" t="n"/>
      <c r="N2809" s="17" t="n"/>
      <c r="O2809" s="17" t="n"/>
      <c r="P2809" s="17" t="n"/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3">
        <f>SUMPRODUCT(M2809:X2809,$M$2:$X$2)*$K2809*$L2809</f>
        <v/>
      </c>
      <c r="Z2809" s="14">
        <f>SUM(M2809:X2809)</f>
        <v/>
      </c>
      <c r="AA2809" s="14">
        <f>IFERROR(IF(UPPER($E2809)="L",SUMPRODUCT(M2809:X2809,$M$3:$X$3,$M$2:$X$2),SUMPRODUCT(M2809:X2809,$M$4:$X$4,$M$2:$X$2))/(Y2809/($K2809*$L2809)),"")</f>
        <v/>
      </c>
      <c r="AB2809" s="18" t="n"/>
    </row>
    <row r="2810">
      <c r="A2810" s="9" t="n">
        <v>687957</v>
      </c>
      <c r="B2810" s="9" t="inlineStr">
        <is>
          <t>Dustin Harris</t>
        </is>
      </c>
      <c r="C2810" s="9" t="inlineStr">
        <is>
          <t>SD</t>
        </is>
      </c>
      <c r="D2810" s="9" t="n">
        <v>27</v>
      </c>
      <c r="E2810" s="16" t="inlineStr">
        <is>
          <t>L</t>
        </is>
      </c>
      <c r="F2810" s="16" t="n"/>
      <c r="G2810" s="9" t="n">
        <v>152</v>
      </c>
      <c r="H2810" s="9" t="n">
        <v>202</v>
      </c>
      <c r="I2810" s="9" t="inlineStr">
        <is>
          <t>Bench Bat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7" t="n"/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/>
      <c r="W2810" s="17" t="n"/>
      <c r="X2810" s="17" t="n"/>
      <c r="Y2810" s="13">
        <f>SUMPRODUCT(M2810:X2810,$M$2:$X$2)*$K2810*$L2810</f>
        <v/>
      </c>
      <c r="Z2810" s="14">
        <f>SUM(M2810:X2810)</f>
        <v/>
      </c>
      <c r="AA2810" s="14">
        <f>IFERROR(IF(UPPER($E2810)="L",SUMPRODUCT(M2810:X2810,$M$3:$X$3,$M$2:$X$2),SUMPRODUCT(M2810:X2810,$M$4:$X$4,$M$2:$X$2))/(Y2810/($K2810*$L2810)),"")</f>
        <v/>
      </c>
      <c r="AB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n"/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7" t="n"/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/>
      <c r="Y2811" s="13">
        <f>SUMPRODUCT(M2811:X2811,$M$2:$X$2)*$K2811*$L2811</f>
        <v/>
      </c>
      <c r="Z2811" s="14">
        <f>SUM(M2811:X2811)</f>
        <v/>
      </c>
      <c r="AA2811" s="14">
        <f>IFERROR(IF(UPPER($E2811)="L",SUMPRODUCT(M2811:X2811,$M$3:$X$3,$M$2:$X$2),SUMPRODUCT(M2811:X2811,$M$4:$X$4,$M$2:$X$2))/(Y2811/($K2811*$L2811)),"")</f>
        <v/>
      </c>
      <c r="AB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n"/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7" t="n"/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/>
      <c r="W2812" s="17" t="n"/>
      <c r="X2812" s="17" t="n"/>
      <c r="Y2812" s="13">
        <f>SUMPRODUCT(M2812:X2812,$M$2:$X$2)*$K2812*$L2812</f>
        <v/>
      </c>
      <c r="Z2812" s="14">
        <f>SUM(M2812:X2812)</f>
        <v/>
      </c>
      <c r="AA2812" s="14">
        <f>IFERROR(IF(UPPER($E2812)="L",SUMPRODUCT(M2812:X2812,$M$3:$X$3,$M$2:$X$2),SUMPRODUCT(M2812:X2812,$M$4:$X$4,$M$2:$X$2))/(Y2812/($K2812*$L2812)),"")</f>
        <v/>
      </c>
      <c r="AB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n"/>
      <c r="G2813" s="9" t="n">
        <v>44</v>
      </c>
      <c r="H2813" s="9" t="n">
        <v>612</v>
      </c>
      <c r="I2813" s="9" t="inlineStr">
        <is>
          <t>Bench Bat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7" t="n"/>
      <c r="N2813" s="17" t="n"/>
      <c r="O2813" s="17" t="n"/>
      <c r="P2813" s="17" t="n"/>
      <c r="Q2813" s="17" t="n"/>
      <c r="R2813" s="17" t="n"/>
      <c r="S2813" s="17" t="n"/>
      <c r="T2813" s="17" t="n"/>
      <c r="U2813" s="17" t="n"/>
      <c r="V2813" s="17" t="n"/>
      <c r="W2813" s="17" t="n"/>
      <c r="X2813" s="17" t="n"/>
      <c r="Y2813" s="13">
        <f>SUMPRODUCT(M2813:X2813,$M$2:$X$2)*$K2813*$L2813</f>
        <v/>
      </c>
      <c r="Z2813" s="14">
        <f>SUM(M2813:X2813)</f>
        <v/>
      </c>
      <c r="AA2813" s="14">
        <f>IFERROR(IF(UPPER($E2813)="L",SUMPRODUCT(M2813:X2813,$M$3:$X$3,$M$2:$X$2),SUMPRODUCT(M2813:X2813,$M$4:$X$4,$M$2:$X$2))/(Y2813/($K2813*$L2813)),"")</f>
        <v/>
      </c>
      <c r="AB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n"/>
      <c r="G2814" s="9" t="n">
        <v>204</v>
      </c>
      <c r="H2814" s="9" t="n">
        <v>562</v>
      </c>
      <c r="I2814" s="9" t="inlineStr">
        <is>
          <t>Bench Bat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7" t="n"/>
      <c r="N2814" s="17" t="n"/>
      <c r="O2814" s="17" t="n"/>
      <c r="P2814" s="17" t="n"/>
      <c r="Q2814" s="17" t="n"/>
      <c r="R2814" s="17" t="n"/>
      <c r="S2814" s="17" t="n"/>
      <c r="T2814" s="17" t="n"/>
      <c r="U2814" s="17" t="n"/>
      <c r="V2814" s="17" t="n"/>
      <c r="W2814" s="17" t="n"/>
      <c r="X2814" s="17" t="n"/>
      <c r="Y2814" s="13">
        <f>SUMPRODUCT(M2814:X2814,$M$2:$X$2)*$K2814*$L2814</f>
        <v/>
      </c>
      <c r="Z2814" s="14">
        <f>SUM(M2814:X2814)</f>
        <v/>
      </c>
      <c r="AA2814" s="14">
        <f>IFERROR(IF(UPPER($E2814)="L",SUMPRODUCT(M2814:X2814,$M$3:$X$3,$M$2:$X$2),SUMPRODUCT(M2814:X2814,$M$4:$X$4,$M$2:$X$2))/(Y2814/($K2814*$L2814)),"")</f>
        <v/>
      </c>
      <c r="AB2814" s="18" t="n"/>
    </row>
    <row r="2815">
      <c r="A2815" s="9" t="n">
        <v>624428</v>
      </c>
      <c r="B2815" s="9" t="inlineStr">
        <is>
          <t>Adam Frazier</t>
        </is>
      </c>
      <c r="C2815" s="9" t="inlineStr">
        <is>
          <t>LAA</t>
        </is>
      </c>
      <c r="D2815" s="9" t="n">
        <v>35</v>
      </c>
      <c r="E2815" s="16" t="inlineStr">
        <is>
          <t>L</t>
        </is>
      </c>
      <c r="F2815" s="16" t="n"/>
      <c r="G2815" s="9" t="n">
        <v>147</v>
      </c>
      <c r="H2815" s="9" t="n">
        <v>1957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7" t="n"/>
      <c r="N2815" s="17" t="n"/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3">
        <f>SUMPRODUCT(M2815:X2815,$M$2:$X$2)*$K2815*$L2815</f>
        <v/>
      </c>
      <c r="Z2815" s="14">
        <f>SUM(M2815:X2815)</f>
        <v/>
      </c>
      <c r="AA2815" s="14">
        <f>IFERROR(IF(UPPER($E2815)="L",SUMPRODUCT(M2815:X2815,$M$3:$X$3,$M$2:$X$2),SUMPRODUCT(M2815:X2815,$M$4:$X$4,$M$2:$X$2))/(Y2815/($K2815*$L2815)),"")</f>
        <v/>
      </c>
      <c r="AB2815" s="18" t="n"/>
    </row>
    <row r="2816">
      <c r="A2816" s="9" t="n">
        <v>680757</v>
      </c>
      <c r="B2816" s="9" t="inlineStr">
        <is>
          <t>Steven Kwan</t>
        </is>
      </c>
      <c r="C2816" s="9" t="inlineStr">
        <is>
          <t>CLE</t>
        </is>
      </c>
      <c r="D2816" s="9" t="n">
        <v>29</v>
      </c>
      <c r="E2816" s="16" t="inlineStr">
        <is>
          <t>L</t>
        </is>
      </c>
      <c r="F2816" s="16" t="n"/>
      <c r="G2816" s="9" t="n">
        <v>637</v>
      </c>
      <c r="H2816" s="9" t="n">
        <v>3226</v>
      </c>
      <c r="I2816" s="9" t="inlineStr">
        <is>
          <t>Full Time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7" t="n"/>
      <c r="N2816" s="17" t="n"/>
      <c r="O2816" s="17" t="n"/>
      <c r="P2816" s="17" t="n"/>
      <c r="Q2816" s="17" t="n"/>
      <c r="R2816" s="17" t="n"/>
      <c r="S2816" s="17" t="n"/>
      <c r="T2816" s="17" t="n"/>
      <c r="U2816" s="17" t="n"/>
      <c r="V2816" s="17" t="n"/>
      <c r="W2816" s="17" t="n"/>
      <c r="X2816" s="17" t="n"/>
      <c r="Y2816" s="13">
        <f>SUMPRODUCT(M2816:X2816,$M$2:$X$2)*$K2816*$L2816</f>
        <v/>
      </c>
      <c r="Z2816" s="14">
        <f>SUM(M2816:X2816)</f>
        <v/>
      </c>
      <c r="AA2816" s="14">
        <f>IFERROR(IF(UPPER($E2816)="L",SUMPRODUCT(M2816:X2816,$M$3:$X$3,$M$2:$X$2),SUMPRODUCT(M2816:X2816,$M$4:$X$4,$M$2:$X$2))/(Y2816/($K2816*$L2816)),"")</f>
        <v/>
      </c>
      <c r="AB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n"/>
      <c r="G2817" s="9" t="n">
        <v>231</v>
      </c>
      <c r="H2817" s="9" t="n">
        <v>439</v>
      </c>
      <c r="I2817" s="9" t="inlineStr">
        <is>
          <t>Bench Bat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7" t="n"/>
      <c r="N2817" s="17" t="n"/>
      <c r="O2817" s="17" t="n"/>
      <c r="P2817" s="17" t="n"/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3">
        <f>SUMPRODUCT(M2817:X2817,$M$2:$X$2)*$K2817*$L2817</f>
        <v/>
      </c>
      <c r="Z2817" s="14">
        <f>SUM(M2817:X2817)</f>
        <v/>
      </c>
      <c r="AA2817" s="14">
        <f>IFERROR(IF(UPPER($E2817)="L",SUMPRODUCT(M2817:X2817,$M$3:$X$3,$M$2:$X$2),SUMPRODUCT(M2817:X2817,$M$4:$X$4,$M$2:$X$2))/(Y2817/($K2817*$L2817)),"")</f>
        <v/>
      </c>
      <c r="AB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n"/>
      <c r="G2818" s="9" t="n">
        <v>266</v>
      </c>
      <c r="H2818" s="9" t="n">
        <v>266</v>
      </c>
      <c r="I2818" s="9" t="inlineStr">
        <is>
          <t>Utility OF / 4th OF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7" t="n"/>
      <c r="N2818" s="17" t="n"/>
      <c r="O2818" s="17" t="n"/>
      <c r="P2818" s="17" t="n"/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3">
        <f>SUMPRODUCT(M2818:X2818,$M$2:$X$2)*$K2818*$L2818</f>
        <v/>
      </c>
      <c r="Z2818" s="14">
        <f>SUM(M2818:X2818)</f>
        <v/>
      </c>
      <c r="AA2818" s="14">
        <f>IFERROR(IF(UPPER($E2818)="L",SUMPRODUCT(M2818:X2818,$M$3:$X$3,$M$2:$X$2),SUMPRODUCT(M2818:X2818,$M$4:$X$4,$M$2:$X$2))/(Y2818/($K2818*$L2818)),"")</f>
        <v/>
      </c>
      <c r="AB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n"/>
      <c r="G2819" s="9" t="n">
        <v>358</v>
      </c>
      <c r="H2819" s="9" t="n">
        <v>796</v>
      </c>
      <c r="I2819" s="9" t="inlineStr">
        <is>
          <t>Utility OF / 4th OF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7" t="n"/>
      <c r="N2819" s="17" t="n"/>
      <c r="O2819" s="17" t="n"/>
      <c r="P2819" s="17" t="n"/>
      <c r="Q2819" s="17" t="n"/>
      <c r="R2819" s="17" t="n"/>
      <c r="S2819" s="17" t="n"/>
      <c r="T2819" s="17" t="n"/>
      <c r="U2819" s="17" t="n"/>
      <c r="V2819" s="17" t="n"/>
      <c r="W2819" s="17" t="n"/>
      <c r="X2819" s="17" t="n"/>
      <c r="Y2819" s="13">
        <f>SUMPRODUCT(M2819:X2819,$M$2:$X$2)*$K2819*$L2819</f>
        <v/>
      </c>
      <c r="Z2819" s="14">
        <f>SUM(M2819:X2819)</f>
        <v/>
      </c>
      <c r="AA2819" s="14">
        <f>IFERROR(IF(UPPER($E2819)="L",SUMPRODUCT(M2819:X2819,$M$3:$X$3,$M$2:$X$2),SUMPRODUCT(M2819:X2819,$M$4:$X$4,$M$2:$X$2))/(Y2819/($K2819*$L2819)),"")</f>
        <v/>
      </c>
      <c r="AB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n"/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7" t="n"/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/>
      <c r="Y2820" s="13">
        <f>SUMPRODUCT(M2820:X2820,$M$2:$X$2)*$K2820*$L2820</f>
        <v/>
      </c>
      <c r="Z2820" s="14">
        <f>SUM(M2820:X2820)</f>
        <v/>
      </c>
      <c r="AA2820" s="14">
        <f>IFERROR(IF(UPPER($E2820)="L",SUMPRODUCT(M2820:X2820,$M$3:$X$3,$M$2:$X$2),SUMPRODUCT(M2820:X2820,$M$4:$X$4,$M$2:$X$2))/(Y2820/($K2820*$L2820)),"")</f>
        <v/>
      </c>
      <c r="AB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n"/>
      <c r="G2821" s="9" t="n">
        <v>87</v>
      </c>
      <c r="H2821" s="9" t="n">
        <v>246</v>
      </c>
      <c r="I2821" s="9" t="inlineStr">
        <is>
          <t>Bench Bat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7" t="n"/>
      <c r="N2821" s="17" t="n"/>
      <c r="O2821" s="17" t="n"/>
      <c r="P2821" s="17" t="n"/>
      <c r="Q2821" s="17" t="n"/>
      <c r="R2821" s="17" t="n"/>
      <c r="S2821" s="17" t="n"/>
      <c r="T2821" s="17" t="n"/>
      <c r="U2821" s="17" t="n"/>
      <c r="V2821" s="17" t="n"/>
      <c r="W2821" s="17" t="n"/>
      <c r="X2821" s="17" t="n"/>
      <c r="Y2821" s="13">
        <f>SUMPRODUCT(M2821:X2821,$M$2:$X$2)*$K2821*$L2821</f>
        <v/>
      </c>
      <c r="Z2821" s="14">
        <f>SUM(M2821:X2821)</f>
        <v/>
      </c>
      <c r="AA2821" s="14">
        <f>IFERROR(IF(UPPER($E2821)="L",SUMPRODUCT(M2821:X2821,$M$3:$X$3,$M$2:$X$2),SUMPRODUCT(M2821:X2821,$M$4:$X$4,$M$2:$X$2))/(Y2821/($K2821*$L2821)),"")</f>
        <v/>
      </c>
      <c r="AB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n"/>
      <c r="G2822" s="9" t="n">
        <v>51</v>
      </c>
      <c r="H2822" s="9" t="n">
        <v>258</v>
      </c>
      <c r="I2822" s="9" t="inlineStr">
        <is>
          <t>Bench Bat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7" t="n"/>
      <c r="N2822" s="17" t="n"/>
      <c r="O2822" s="17" t="n"/>
      <c r="P2822" s="17" t="n"/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3">
        <f>SUMPRODUCT(M2822:X2822,$M$2:$X$2)*$K2822*$L2822</f>
        <v/>
      </c>
      <c r="Z2822" s="14">
        <f>SUM(M2822:X2822)</f>
        <v/>
      </c>
      <c r="AA2822" s="14">
        <f>IFERROR(IF(UPPER($E2822)="L",SUMPRODUCT(M2822:X2822,$M$3:$X$3,$M$2:$X$2),SUMPRODUCT(M2822:X2822,$M$4:$X$4,$M$2:$X$2))/(Y2822/($K2822*$L2822)),"")</f>
        <v/>
      </c>
      <c r="AB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n"/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7" t="n"/>
      <c r="N2823" s="17" t="n"/>
      <c r="O2823" s="17" t="n"/>
      <c r="P2823" s="17" t="n"/>
      <c r="Q2823" s="17" t="n"/>
      <c r="R2823" s="17" t="n"/>
      <c r="S2823" s="17" t="n"/>
      <c r="T2823" s="17" t="n"/>
      <c r="U2823" s="17" t="n"/>
      <c r="V2823" s="17" t="n"/>
      <c r="W2823" s="17" t="n"/>
      <c r="X2823" s="17" t="n"/>
      <c r="Y2823" s="13">
        <f>SUMPRODUCT(M2823:X2823,$M$2:$X$2)*$K2823*$L2823</f>
        <v/>
      </c>
      <c r="Z2823" s="14">
        <f>SUM(M2823:X2823)</f>
        <v/>
      </c>
      <c r="AA2823" s="14">
        <f>IFERROR(IF(UPPER($E2823)="L",SUMPRODUCT(M2823:X2823,$M$3:$X$3,$M$2:$X$2),SUMPRODUCT(M2823:X2823,$M$4:$X$4,$M$2:$X$2))/(Y2823/($K2823*$L2823)),"")</f>
        <v/>
      </c>
      <c r="AB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n"/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7" t="n"/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/>
      <c r="W2824" s="17" t="n"/>
      <c r="X2824" s="17" t="n"/>
      <c r="Y2824" s="13">
        <f>SUMPRODUCT(M2824:X2824,$M$2:$X$2)*$K2824*$L2824</f>
        <v/>
      </c>
      <c r="Z2824" s="14">
        <f>SUM(M2824:X2824)</f>
        <v/>
      </c>
      <c r="AA2824" s="14">
        <f>IFERROR(IF(UPPER($E2824)="L",SUMPRODUCT(M2824:X2824,$M$3:$X$3,$M$2:$X$2),SUMPRODUCT(M2824:X2824,$M$4:$X$4,$M$2:$X$2))/(Y2824/($K2824*$L2824)),"")</f>
        <v/>
      </c>
      <c r="AB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n"/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7" t="n"/>
      <c r="N2825" s="17" t="n"/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3">
        <f>SUMPRODUCT(M2825:X2825,$M$2:$X$2)*$K2825*$L2825</f>
        <v/>
      </c>
      <c r="Z2825" s="14">
        <f>SUM(M2825:X2825)</f>
        <v/>
      </c>
      <c r="AA2825" s="14">
        <f>IFERROR(IF(UPPER($E2825)="L",SUMPRODUCT(M2825:X2825,$M$3:$X$3,$M$2:$X$2),SUMPRODUCT(M2825:X2825,$M$4:$X$4,$M$2:$X$2))/(Y2825/($K2825*$L2825)),"")</f>
        <v/>
      </c>
      <c r="AB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n"/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7" t="n"/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/>
      <c r="W2826" s="17" t="n"/>
      <c r="X2826" s="17" t="n"/>
      <c r="Y2826" s="13">
        <f>SUMPRODUCT(M2826:X2826,$M$2:$X$2)*$K2826*$L2826</f>
        <v/>
      </c>
      <c r="Z2826" s="14">
        <f>SUM(M2826:X2826)</f>
        <v/>
      </c>
      <c r="AA2826" s="14">
        <f>IFERROR(IF(UPPER($E2826)="L",SUMPRODUCT(M2826:X2826,$M$3:$X$3,$M$2:$X$2),SUMPRODUCT(M2826:X2826,$M$4:$X$4,$M$2:$X$2))/(Y2826/($K2826*$L2826)),"")</f>
        <v/>
      </c>
      <c r="AB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n"/>
      <c r="G2827" s="9" t="n">
        <v>41</v>
      </c>
      <c r="H2827" s="9" t="n">
        <v>41</v>
      </c>
      <c r="I2827" s="9" t="inlineStr">
        <is>
          <t>Bench Bat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7" t="n"/>
      <c r="N2827" s="17" t="n"/>
      <c r="O2827" s="17" t="n"/>
      <c r="P2827" s="17" t="n"/>
      <c r="Q2827" s="17" t="n"/>
      <c r="R2827" s="17" t="n"/>
      <c r="S2827" s="17" t="n"/>
      <c r="T2827" s="17" t="n"/>
      <c r="U2827" s="17" t="n"/>
      <c r="V2827" s="17" t="n"/>
      <c r="W2827" s="17" t="n"/>
      <c r="X2827" s="17" t="n"/>
      <c r="Y2827" s="13">
        <f>SUMPRODUCT(M2827:X2827,$M$2:$X$2)*$K2827*$L2827</f>
        <v/>
      </c>
      <c r="Z2827" s="14">
        <f>SUM(M2827:X2827)</f>
        <v/>
      </c>
      <c r="AA2827" s="14">
        <f>IFERROR(IF(UPPER($E2827)="L",SUMPRODUCT(M2827:X2827,$M$3:$X$3,$M$2:$X$2),SUMPRODUCT(M2827:X2827,$M$4:$X$4,$M$2:$X$2))/(Y2827/($K2827*$L2827)),"")</f>
        <v/>
      </c>
      <c r="AB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n"/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7" t="n"/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/>
      <c r="W2828" s="17" t="n"/>
      <c r="X2828" s="17" t="n"/>
      <c r="Y2828" s="13">
        <f>SUMPRODUCT(M2828:X2828,$M$2:$X$2)*$K2828*$L2828</f>
        <v/>
      </c>
      <c r="Z2828" s="14">
        <f>SUM(M2828:X2828)</f>
        <v/>
      </c>
      <c r="AA2828" s="14">
        <f>IFERROR(IF(UPPER($E2828)="L",SUMPRODUCT(M2828:X2828,$M$3:$X$3,$M$2:$X$2),SUMPRODUCT(M2828:X2828,$M$4:$X$4,$M$2:$X$2))/(Y2828/($K2828*$L2828)),"")</f>
        <v/>
      </c>
      <c r="AB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n"/>
      <c r="G2829" s="9" t="n">
        <v>343</v>
      </c>
      <c r="H2829" s="9" t="n">
        <v>1101</v>
      </c>
      <c r="I2829" s="9" t="inlineStr">
        <is>
          <t>Utility OF / 4th OF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7" t="n"/>
      <c r="N2829" s="17" t="n"/>
      <c r="O2829" s="17" t="n"/>
      <c r="P2829" s="17" t="n"/>
      <c r="Q2829" s="17" t="n"/>
      <c r="R2829" s="17" t="n"/>
      <c r="S2829" s="17" t="n"/>
      <c r="T2829" s="17" t="n"/>
      <c r="U2829" s="17" t="n"/>
      <c r="V2829" s="17" t="n"/>
      <c r="W2829" s="17" t="n"/>
      <c r="X2829" s="17" t="n"/>
      <c r="Y2829" s="13">
        <f>SUMPRODUCT(M2829:X2829,$M$2:$X$2)*$K2829*$L2829</f>
        <v/>
      </c>
      <c r="Z2829" s="14">
        <f>SUM(M2829:X2829)</f>
        <v/>
      </c>
      <c r="AA2829" s="14">
        <f>IFERROR(IF(UPPER($E2829)="L",SUMPRODUCT(M2829:X2829,$M$3:$X$3,$M$2:$X$2),SUMPRODUCT(M2829:X2829,$M$4:$X$4,$M$2:$X$2))/(Y2829/($K2829*$L2829)),"")</f>
        <v/>
      </c>
      <c r="AB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n"/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7" t="n"/>
      <c r="N2830" s="17" t="n"/>
      <c r="O2830" s="17" t="n"/>
      <c r="P2830" s="17" t="n"/>
      <c r="Q2830" s="17" t="n"/>
      <c r="R2830" s="17" t="n"/>
      <c r="S2830" s="17" t="n"/>
      <c r="T2830" s="17" t="n"/>
      <c r="U2830" s="17" t="n"/>
      <c r="V2830" s="17" t="n"/>
      <c r="W2830" s="17" t="n"/>
      <c r="X2830" s="17" t="n"/>
      <c r="Y2830" s="13">
        <f>SUMPRODUCT(M2830:X2830,$M$2:$X$2)*$K2830*$L2830</f>
        <v/>
      </c>
      <c r="Z2830" s="14">
        <f>SUM(M2830:X2830)</f>
        <v/>
      </c>
      <c r="AA2830" s="14">
        <f>IFERROR(IF(UPPER($E2830)="L",SUMPRODUCT(M2830:X2830,$M$3:$X$3,$M$2:$X$2),SUMPRODUCT(M2830:X2830,$M$4:$X$4,$M$2:$X$2))/(Y2830/($K2830*$L2830)),"")</f>
        <v/>
      </c>
      <c r="AB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n"/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7" t="n"/>
      <c r="N2831" s="17" t="n"/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3">
        <f>SUMPRODUCT(M2831:X2831,$M$2:$X$2)*$K2831*$L2831</f>
        <v/>
      </c>
      <c r="Z2831" s="14">
        <f>SUM(M2831:X2831)</f>
        <v/>
      </c>
      <c r="AA2831" s="14">
        <f>IFERROR(IF(UPPER($E2831)="L",SUMPRODUCT(M2831:X2831,$M$3:$X$3,$M$2:$X$2),SUMPRODUCT(M2831:X2831,$M$4:$X$4,$M$2:$X$2))/(Y2831/($K2831*$L2831)),"")</f>
        <v/>
      </c>
      <c r="AB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n"/>
      <c r="G2832" s="9" t="n">
        <v>337</v>
      </c>
      <c r="H2832" s="9" t="n">
        <v>401</v>
      </c>
      <c r="I2832" s="9" t="inlineStr">
        <is>
          <t>Utility OF / 4th OF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7" t="n"/>
      <c r="N2832" s="17" t="n"/>
      <c r="O2832" s="17" t="n"/>
      <c r="P2832" s="17" t="n"/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3">
        <f>SUMPRODUCT(M2832:X2832,$M$2:$X$2)*$K2832*$L2832</f>
        <v/>
      </c>
      <c r="Z2832" s="14">
        <f>SUM(M2832:X2832)</f>
        <v/>
      </c>
      <c r="AA2832" s="14">
        <f>IFERROR(IF(UPPER($E2832)="L",SUMPRODUCT(M2832:X2832,$M$3:$X$3,$M$2:$X$2),SUMPRODUCT(M2832:X2832,$M$4:$X$4,$M$2:$X$2))/(Y2832/($K2832*$L2832)),"")</f>
        <v/>
      </c>
      <c r="AB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n"/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7" t="n"/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/>
      <c r="Y2833" s="13">
        <f>SUMPRODUCT(M2833:X2833,$M$2:$X$2)*$K2833*$L2833</f>
        <v/>
      </c>
      <c r="Z2833" s="14">
        <f>SUM(M2833:X2833)</f>
        <v/>
      </c>
      <c r="AA2833" s="14">
        <f>IFERROR(IF(UPPER($E2833)="L",SUMPRODUCT(M2833:X2833,$M$3:$X$3,$M$2:$X$2),SUMPRODUCT(M2833:X2833,$M$4:$X$4,$M$2:$X$2))/(Y2833/($K2833*$L2833)),"")</f>
        <v/>
      </c>
      <c r="AB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n"/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7" t="n"/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/>
      <c r="Y2834" s="13">
        <f>SUMPRODUCT(M2834:X2834,$M$2:$X$2)*$K2834*$L2834</f>
        <v/>
      </c>
      <c r="Z2834" s="14">
        <f>SUM(M2834:X2834)</f>
        <v/>
      </c>
      <c r="AA2834" s="14">
        <f>IFERROR(IF(UPPER($E2834)="L",SUMPRODUCT(M2834:X2834,$M$3:$X$3,$M$2:$X$2),SUMPRODUCT(M2834:X2834,$M$4:$X$4,$M$2:$X$2))/(Y2834/($K2834*$L2834)),"")</f>
        <v/>
      </c>
      <c r="AB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n"/>
      <c r="G2835" s="9" t="n">
        <v>28</v>
      </c>
      <c r="H2835" s="9" t="n">
        <v>563</v>
      </c>
      <c r="I2835" s="9" t="inlineStr">
        <is>
          <t>Bench Bat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7" t="n"/>
      <c r="N2835" s="17" t="n"/>
      <c r="O2835" s="17" t="n"/>
      <c r="P2835" s="17" t="n"/>
      <c r="Q2835" s="17" t="n"/>
      <c r="R2835" s="17" t="n"/>
      <c r="S2835" s="17" t="n"/>
      <c r="T2835" s="17" t="n"/>
      <c r="U2835" s="17" t="n"/>
      <c r="V2835" s="17" t="n"/>
      <c r="W2835" s="17" t="n"/>
      <c r="X2835" s="17" t="n"/>
      <c r="Y2835" s="13">
        <f>SUMPRODUCT(M2835:X2835,$M$2:$X$2)*$K2835*$L2835</f>
        <v/>
      </c>
      <c r="Z2835" s="14">
        <f>SUM(M2835:X2835)</f>
        <v/>
      </c>
      <c r="AA2835" s="14">
        <f>IFERROR(IF(UPPER($E2835)="L",SUMPRODUCT(M2835:X2835,$M$3:$X$3,$M$2:$X$2),SUMPRODUCT(M2835:X2835,$M$4:$X$4,$M$2:$X$2))/(Y2835/($K2835*$L2835)),"")</f>
        <v/>
      </c>
      <c r="AB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n"/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7" t="n"/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/>
      <c r="Y2836" s="13">
        <f>SUMPRODUCT(M2836:X2836,$M$2:$X$2)*$K2836*$L2836</f>
        <v/>
      </c>
      <c r="Z2836" s="14">
        <f>SUM(M2836:X2836)</f>
        <v/>
      </c>
      <c r="AA2836" s="14">
        <f>IFERROR(IF(UPPER($E2836)="L",SUMPRODUCT(M2836:X2836,$M$3:$X$3,$M$2:$X$2),SUMPRODUCT(M2836:X2836,$M$4:$X$4,$M$2:$X$2))/(Y2836/($K2836*$L2836)),"")</f>
        <v/>
      </c>
      <c r="AB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n"/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7" t="n"/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/>
      <c r="W2837" s="17" t="n"/>
      <c r="X2837" s="17" t="n"/>
      <c r="Y2837" s="13">
        <f>SUMPRODUCT(M2837:X2837,$M$2:$X$2)*$K2837*$L2837</f>
        <v/>
      </c>
      <c r="Z2837" s="14">
        <f>SUM(M2837:X2837)</f>
        <v/>
      </c>
      <c r="AA2837" s="14">
        <f>IFERROR(IF(UPPER($E2837)="L",SUMPRODUCT(M2837:X2837,$M$3:$X$3,$M$2:$X$2),SUMPRODUCT(M2837:X2837,$M$4:$X$4,$M$2:$X$2))/(Y2837/($K2837*$L2837)),"")</f>
        <v/>
      </c>
      <c r="AB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n"/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7" t="n"/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/>
      <c r="Y2838" s="13">
        <f>SUMPRODUCT(M2838:X2838,$M$2:$X$2)*$K2838*$L2838</f>
        <v/>
      </c>
      <c r="Z2838" s="14">
        <f>SUM(M2838:X2838)</f>
        <v/>
      </c>
      <c r="AA2838" s="14">
        <f>IFERROR(IF(UPPER($E2838)="L",SUMPRODUCT(M2838:X2838,$M$3:$X$3,$M$2:$X$2),SUMPRODUCT(M2838:X2838,$M$4:$X$4,$M$2:$X$2))/(Y2838/($K2838*$L2838)),"")</f>
        <v/>
      </c>
      <c r="AB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n"/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7" t="n"/>
      <c r="N2839" s="17" t="n"/>
      <c r="O2839" s="17" t="n"/>
      <c r="P2839" s="17" t="n"/>
      <c r="Q2839" s="17" t="n"/>
      <c r="R2839" s="17" t="n"/>
      <c r="S2839" s="17" t="n"/>
      <c r="T2839" s="17" t="n"/>
      <c r="U2839" s="17" t="n"/>
      <c r="V2839" s="17" t="n"/>
      <c r="W2839" s="17" t="n"/>
      <c r="X2839" s="17" t="n"/>
      <c r="Y2839" s="13">
        <f>SUMPRODUCT(M2839:X2839,$M$2:$X$2)*$K2839*$L2839</f>
        <v/>
      </c>
      <c r="Z2839" s="14">
        <f>SUM(M2839:X2839)</f>
        <v/>
      </c>
      <c r="AA2839" s="14">
        <f>IFERROR(IF(UPPER($E2839)="L",SUMPRODUCT(M2839:X2839,$M$3:$X$3,$M$2:$X$2),SUMPRODUCT(M2839:X2839,$M$4:$X$4,$M$2:$X$2))/(Y2839/($K2839*$L2839)),"")</f>
        <v/>
      </c>
      <c r="AB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n"/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7" t="n"/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/>
      <c r="W2840" s="17" t="n"/>
      <c r="X2840" s="17" t="n"/>
      <c r="Y2840" s="13">
        <f>SUMPRODUCT(M2840:X2840,$M$2:$X$2)*$K2840*$L2840</f>
        <v/>
      </c>
      <c r="Z2840" s="14">
        <f>SUM(M2840:X2840)</f>
        <v/>
      </c>
      <c r="AA2840" s="14">
        <f>IFERROR(IF(UPPER($E2840)="L",SUMPRODUCT(M2840:X2840,$M$3:$X$3,$M$2:$X$2),SUMPRODUCT(M2840:X2840,$M$4:$X$4,$M$2:$X$2))/(Y2840/($K2840*$L2840)),"")</f>
        <v/>
      </c>
      <c r="AB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n"/>
      <c r="G2841" s="9" t="n">
        <v>41</v>
      </c>
      <c r="H2841" s="9" t="n">
        <v>592</v>
      </c>
      <c r="I2841" s="9" t="inlineStr">
        <is>
          <t>Bench Bat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7" t="n"/>
      <c r="N2841" s="17" t="n"/>
      <c r="O2841" s="17" t="n"/>
      <c r="P2841" s="17" t="n"/>
      <c r="Q2841" s="17" t="n"/>
      <c r="R2841" s="17" t="n"/>
      <c r="S2841" s="17" t="n"/>
      <c r="T2841" s="17" t="n"/>
      <c r="U2841" s="17" t="n"/>
      <c r="V2841" s="17" t="n"/>
      <c r="W2841" s="17" t="n"/>
      <c r="X2841" s="17" t="n"/>
      <c r="Y2841" s="13">
        <f>SUMPRODUCT(M2841:X2841,$M$2:$X$2)*$K2841*$L2841</f>
        <v/>
      </c>
      <c r="Z2841" s="14">
        <f>SUM(M2841:X2841)</f>
        <v/>
      </c>
      <c r="AA2841" s="14">
        <f>IFERROR(IF(UPPER($E2841)="L",SUMPRODUCT(M2841:X2841,$M$3:$X$3,$M$2:$X$2),SUMPRODUCT(M2841:X2841,$M$4:$X$4,$M$2:$X$2))/(Y2841/($K2841*$L2841)),"")</f>
        <v/>
      </c>
      <c r="AB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n"/>
      <c r="G2842" s="9" t="n">
        <v>92</v>
      </c>
      <c r="H2842" s="9" t="n">
        <v>211</v>
      </c>
      <c r="I2842" s="9" t="inlineStr">
        <is>
          <t>Bench Bat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7" t="n"/>
      <c r="N2842" s="17" t="n"/>
      <c r="O2842" s="17" t="n"/>
      <c r="P2842" s="17" t="n"/>
      <c r="Q2842" s="17" t="n"/>
      <c r="R2842" s="17" t="n"/>
      <c r="S2842" s="17" t="n"/>
      <c r="T2842" s="17" t="n"/>
      <c r="U2842" s="17" t="n"/>
      <c r="V2842" s="17" t="n"/>
      <c r="W2842" s="17" t="n"/>
      <c r="X2842" s="17" t="n"/>
      <c r="Y2842" s="13">
        <f>SUMPRODUCT(M2842:X2842,$M$2:$X$2)*$K2842*$L2842</f>
        <v/>
      </c>
      <c r="Z2842" s="14">
        <f>SUM(M2842:X2842)</f>
        <v/>
      </c>
      <c r="AA2842" s="14">
        <f>IFERROR(IF(UPPER($E2842)="L",SUMPRODUCT(M2842:X2842,$M$3:$X$3,$M$2:$X$2),SUMPRODUCT(M2842:X2842,$M$4:$X$4,$M$2:$X$2))/(Y2842/($K2842*$L2842)),"")</f>
        <v/>
      </c>
      <c r="AB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n"/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7" t="n"/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/>
      <c r="Y2843" s="13">
        <f>SUMPRODUCT(M2843:X2843,$M$2:$X$2)*$K2843*$L2843</f>
        <v/>
      </c>
      <c r="Z2843" s="14">
        <f>SUM(M2843:X2843)</f>
        <v/>
      </c>
      <c r="AA2843" s="14">
        <f>IFERROR(IF(UPPER($E2843)="L",SUMPRODUCT(M2843:X2843,$M$3:$X$3,$M$2:$X$2),SUMPRODUCT(M2843:X2843,$M$4:$X$4,$M$2:$X$2))/(Y2843/($K2843*$L2843)),"")</f>
        <v/>
      </c>
      <c r="AB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n"/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7" t="n"/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/>
      <c r="W2844" s="17" t="n"/>
      <c r="X2844" s="17" t="n"/>
      <c r="Y2844" s="13">
        <f>SUMPRODUCT(M2844:X2844,$M$2:$X$2)*$K2844*$L2844</f>
        <v/>
      </c>
      <c r="Z2844" s="14">
        <f>SUM(M2844:X2844)</f>
        <v/>
      </c>
      <c r="AA2844" s="14">
        <f>IFERROR(IF(UPPER($E2844)="L",SUMPRODUCT(M2844:X2844,$M$3:$X$3,$M$2:$X$2),SUMPRODUCT(M2844:X2844,$M$4:$X$4,$M$2:$X$2))/(Y2844/($K2844*$L2844)),"")</f>
        <v/>
      </c>
      <c r="AB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n"/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7" t="n"/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/>
      <c r="Y2845" s="13">
        <f>SUMPRODUCT(M2845:X2845,$M$2:$X$2)*$K2845*$L2845</f>
        <v/>
      </c>
      <c r="Z2845" s="14">
        <f>SUM(M2845:X2845)</f>
        <v/>
      </c>
      <c r="AA2845" s="14">
        <f>IFERROR(IF(UPPER($E2845)="L",SUMPRODUCT(M2845:X2845,$M$3:$X$3,$M$2:$X$2),SUMPRODUCT(M2845:X2845,$M$4:$X$4,$M$2:$X$2))/(Y2845/($K2845*$L2845)),"")</f>
        <v/>
      </c>
      <c r="AB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n"/>
      <c r="G2846" s="9" t="n">
        <v>238</v>
      </c>
      <c r="H2846" s="9" t="n">
        <v>614</v>
      </c>
      <c r="I2846" s="9" t="inlineStr">
        <is>
          <t>Depth (no MLB PA)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7" t="n"/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/>
      <c r="X2846" s="17" t="n"/>
      <c r="Y2846" s="13">
        <f>SUMPRODUCT(M2846:X2846,$M$2:$X$2)*$K2846*$L2846</f>
        <v/>
      </c>
      <c r="Z2846" s="14">
        <f>SUM(M2846:X2846)</f>
        <v/>
      </c>
      <c r="AA2846" s="14">
        <f>IFERROR(IF(UPPER($E2846)="L",SUMPRODUCT(M2846:X2846,$M$3:$X$3,$M$2:$X$2),SUMPRODUCT(M2846:X2846,$M$4:$X$4,$M$2:$X$2))/(Y2846/($K2846*$L2846)),"")</f>
        <v/>
      </c>
      <c r="AB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n"/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7" t="n"/>
      <c r="N2847" s="17" t="n"/>
      <c r="O2847" s="17" t="n"/>
      <c r="P2847" s="17" t="n"/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3">
        <f>SUMPRODUCT(M2847:X2847,$M$2:$X$2)*$K2847*$L2847</f>
        <v/>
      </c>
      <c r="Z2847" s="14">
        <f>SUM(M2847:X2847)</f>
        <v/>
      </c>
      <c r="AA2847" s="14">
        <f>IFERROR(IF(UPPER($E2847)="L",SUMPRODUCT(M2847:X2847,$M$3:$X$3,$M$2:$X$2),SUMPRODUCT(M2847:X2847,$M$4:$X$4,$M$2:$X$2))/(Y2847/($K2847*$L2847)),"")</f>
        <v/>
      </c>
      <c r="AB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n"/>
      <c r="G2848" s="9" t="n">
        <v>493</v>
      </c>
      <c r="H2848" s="9" t="n">
        <v>663</v>
      </c>
      <c r="I2848" s="9" t="inlineStr">
        <is>
          <t>Full Time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7" t="n"/>
      <c r="N2848" s="17" t="n"/>
      <c r="O2848" s="17" t="n"/>
      <c r="P2848" s="17" t="n"/>
      <c r="Q2848" s="17" t="n"/>
      <c r="R2848" s="17" t="n"/>
      <c r="S2848" s="17" t="n"/>
      <c r="T2848" s="17" t="n"/>
      <c r="U2848" s="17" t="n"/>
      <c r="V2848" s="17" t="n"/>
      <c r="W2848" s="17" t="n"/>
      <c r="X2848" s="17" t="n"/>
      <c r="Y2848" s="13">
        <f>SUMPRODUCT(M2848:X2848,$M$2:$X$2)*$K2848*$L2848</f>
        <v/>
      </c>
      <c r="Z2848" s="14">
        <f>SUM(M2848:X2848)</f>
        <v/>
      </c>
      <c r="AA2848" s="14">
        <f>IFERROR(IF(UPPER($E2848)="L",SUMPRODUCT(M2848:X2848,$M$3:$X$3,$M$2:$X$2),SUMPRODUCT(M2848:X2848,$M$4:$X$4,$M$2:$X$2))/(Y2848/($K2848*$L2848)),"")</f>
        <v/>
      </c>
      <c r="AB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n"/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7" t="n"/>
      <c r="N2849" s="17" t="n"/>
      <c r="O2849" s="17" t="n"/>
      <c r="P2849" s="17" t="n"/>
      <c r="Q2849" s="17" t="n"/>
      <c r="R2849" s="17" t="n"/>
      <c r="S2849" s="17" t="n"/>
      <c r="T2849" s="17" t="n"/>
      <c r="U2849" s="17" t="n"/>
      <c r="V2849" s="17" t="n"/>
      <c r="W2849" s="17" t="n"/>
      <c r="X2849" s="17" t="n"/>
      <c r="Y2849" s="13">
        <f>SUMPRODUCT(M2849:X2849,$M$2:$X$2)*$K2849*$L2849</f>
        <v/>
      </c>
      <c r="Z2849" s="14">
        <f>SUM(M2849:X2849)</f>
        <v/>
      </c>
      <c r="AA2849" s="14">
        <f>IFERROR(IF(UPPER($E2849)="L",SUMPRODUCT(M2849:X2849,$M$3:$X$3,$M$2:$X$2),SUMPRODUCT(M2849:X2849,$M$4:$X$4,$M$2:$X$2))/(Y2849/($K2849*$L2849)),"")</f>
        <v/>
      </c>
      <c r="AB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n"/>
      <c r="G2850" s="9" t="n">
        <v>50</v>
      </c>
      <c r="H2850" s="9" t="n">
        <v>59</v>
      </c>
      <c r="I2850" s="9" t="inlineStr">
        <is>
          <t>Bench Bat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7" t="n"/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/>
      <c r="X2850" s="17" t="n"/>
      <c r="Y2850" s="13">
        <f>SUMPRODUCT(M2850:X2850,$M$2:$X$2)*$K2850*$L2850</f>
        <v/>
      </c>
      <c r="Z2850" s="14">
        <f>SUM(M2850:X2850)</f>
        <v/>
      </c>
      <c r="AA2850" s="14">
        <f>IFERROR(IF(UPPER($E2850)="L",SUMPRODUCT(M2850:X2850,$M$3:$X$3,$M$2:$X$2),SUMPRODUCT(M2850:X2850,$M$4:$X$4,$M$2:$X$2))/(Y2850/($K2850*$L2850)),"")</f>
        <v/>
      </c>
      <c r="AB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n"/>
      <c r="G2851" s="9" t="n">
        <v>286</v>
      </c>
      <c r="H2851" s="9" t="n">
        <v>581</v>
      </c>
      <c r="I2851" s="9" t="inlineStr">
        <is>
          <t>Utility OF / 4th OF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7" t="n"/>
      <c r="N2851" s="17" t="n"/>
      <c r="O2851" s="17" t="n"/>
      <c r="P2851" s="17" t="n"/>
      <c r="Q2851" s="17" t="n"/>
      <c r="R2851" s="17" t="n"/>
      <c r="S2851" s="17" t="n"/>
      <c r="T2851" s="17" t="n"/>
      <c r="U2851" s="17" t="n"/>
      <c r="V2851" s="17" t="n"/>
      <c r="W2851" s="17" t="n"/>
      <c r="X2851" s="17" t="n"/>
      <c r="Y2851" s="13">
        <f>SUMPRODUCT(M2851:X2851,$M$2:$X$2)*$K2851*$L2851</f>
        <v/>
      </c>
      <c r="Z2851" s="14">
        <f>SUM(M2851:X2851)</f>
        <v/>
      </c>
      <c r="AA2851" s="14">
        <f>IFERROR(IF(UPPER($E2851)="L",SUMPRODUCT(M2851:X2851,$M$3:$X$3,$M$2:$X$2),SUMPRODUCT(M2851:X2851,$M$4:$X$4,$M$2:$X$2))/(Y2851/($K2851*$L2851)),"")</f>
        <v/>
      </c>
      <c r="AB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n"/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7" t="n"/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/>
      <c r="W2852" s="17" t="n"/>
      <c r="X2852" s="17" t="n"/>
      <c r="Y2852" s="13">
        <f>SUMPRODUCT(M2852:X2852,$M$2:$X$2)*$K2852*$L2852</f>
        <v/>
      </c>
      <c r="Z2852" s="14">
        <f>SUM(M2852:X2852)</f>
        <v/>
      </c>
      <c r="AA2852" s="14">
        <f>IFERROR(IF(UPPER($E2852)="L",SUMPRODUCT(M2852:X2852,$M$3:$X$3,$M$2:$X$2),SUMPRODUCT(M2852:X2852,$M$4:$X$4,$M$2:$X$2))/(Y2852/($K2852*$L2852)),"")</f>
        <v/>
      </c>
      <c r="AB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n"/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7" t="n"/>
      <c r="N2853" s="17" t="n"/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3">
        <f>SUMPRODUCT(M2853:X2853,$M$2:$X$2)*$K2853*$L2853</f>
        <v/>
      </c>
      <c r="Z2853" s="14">
        <f>SUM(M2853:X2853)</f>
        <v/>
      </c>
      <c r="AA2853" s="14">
        <f>IFERROR(IF(UPPER($E2853)="L",SUMPRODUCT(M2853:X2853,$M$3:$X$3,$M$2:$X$2),SUMPRODUCT(M2853:X2853,$M$4:$X$4,$M$2:$X$2))/(Y2853/($K2853*$L2853)),"")</f>
        <v/>
      </c>
      <c r="AB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n"/>
      <c r="G2854" s="9" t="n">
        <v>465</v>
      </c>
      <c r="H2854" s="9" t="n">
        <v>465</v>
      </c>
      <c r="I2854" s="9" t="inlineStr">
        <is>
          <t>Full Time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7" t="n"/>
      <c r="N2854" s="17" t="n"/>
      <c r="O2854" s="17" t="n"/>
      <c r="P2854" s="17" t="n"/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3">
        <f>SUMPRODUCT(M2854:X2854,$M$2:$X$2)*$K2854*$L2854</f>
        <v/>
      </c>
      <c r="Z2854" s="14">
        <f>SUM(M2854:X2854)</f>
        <v/>
      </c>
      <c r="AA2854" s="14">
        <f>IFERROR(IF(UPPER($E2854)="L",SUMPRODUCT(M2854:X2854,$M$3:$X$3,$M$2:$X$2),SUMPRODUCT(M2854:X2854,$M$4:$X$4,$M$2:$X$2))/(Y2854/($K2854*$L2854)),"")</f>
        <v/>
      </c>
      <c r="AB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n"/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7" t="n"/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/>
      <c r="Y2855" s="13">
        <f>SUMPRODUCT(M2855:X2855,$M$2:$X$2)*$K2855*$L2855</f>
        <v/>
      </c>
      <c r="Z2855" s="14">
        <f>SUM(M2855:X2855)</f>
        <v/>
      </c>
      <c r="AA2855" s="14">
        <f>IFERROR(IF(UPPER($E2855)="L",SUMPRODUCT(M2855:X2855,$M$3:$X$3,$M$2:$X$2),SUMPRODUCT(M2855:X2855,$M$4:$X$4,$M$2:$X$2))/(Y2855/($K2855*$L2855)),"")</f>
        <v/>
      </c>
      <c r="AB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n"/>
      <c r="G2856" s="9" t="n">
        <v>233</v>
      </c>
      <c r="H2856" s="9" t="n">
        <v>409</v>
      </c>
      <c r="I2856" s="9" t="inlineStr">
        <is>
          <t>Bench Bat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7" t="n"/>
      <c r="N2856" s="17" t="n"/>
      <c r="O2856" s="17" t="n"/>
      <c r="P2856" s="17" t="n"/>
      <c r="Q2856" s="17" t="n"/>
      <c r="R2856" s="17" t="n"/>
      <c r="S2856" s="17" t="n"/>
      <c r="T2856" s="17" t="n"/>
      <c r="U2856" s="17" t="n"/>
      <c r="V2856" s="17" t="n"/>
      <c r="W2856" s="17" t="n"/>
      <c r="X2856" s="17" t="n"/>
      <c r="Y2856" s="13">
        <f>SUMPRODUCT(M2856:X2856,$M$2:$X$2)*$K2856*$L2856</f>
        <v/>
      </c>
      <c r="Z2856" s="14">
        <f>SUM(M2856:X2856)</f>
        <v/>
      </c>
      <c r="AA2856" s="14">
        <f>IFERROR(IF(UPPER($E2856)="L",SUMPRODUCT(M2856:X2856,$M$3:$X$3,$M$2:$X$2),SUMPRODUCT(M2856:X2856,$M$4:$X$4,$M$2:$X$2))/(Y2856/($K2856*$L2856)),"")</f>
        <v/>
      </c>
      <c r="AB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n"/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7" t="n"/>
      <c r="N2857" s="17" t="n"/>
      <c r="O2857" s="17" t="n"/>
      <c r="P2857" s="17" t="n"/>
      <c r="Q2857" s="17" t="n"/>
      <c r="R2857" s="17" t="n"/>
      <c r="S2857" s="17" t="n"/>
      <c r="T2857" s="17" t="n"/>
      <c r="U2857" s="17" t="n"/>
      <c r="V2857" s="17" t="n"/>
      <c r="W2857" s="17" t="n"/>
      <c r="X2857" s="17" t="n"/>
      <c r="Y2857" s="13">
        <f>SUMPRODUCT(M2857:X2857,$M$2:$X$2)*$K2857*$L2857</f>
        <v/>
      </c>
      <c r="Z2857" s="14">
        <f>SUM(M2857:X2857)</f>
        <v/>
      </c>
      <c r="AA2857" s="14">
        <f>IFERROR(IF(UPPER($E2857)="L",SUMPRODUCT(M2857:X2857,$M$3:$X$3,$M$2:$X$2),SUMPRODUCT(M2857:X2857,$M$4:$X$4,$M$2:$X$2))/(Y2857/($K2857*$L2857)),"")</f>
        <v/>
      </c>
      <c r="AB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n"/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7" t="n"/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/>
      <c r="Y2858" s="13">
        <f>SUMPRODUCT(M2858:X2858,$M$2:$X$2)*$K2858*$L2858</f>
        <v/>
      </c>
      <c r="Z2858" s="14">
        <f>SUM(M2858:X2858)</f>
        <v/>
      </c>
      <c r="AA2858" s="14">
        <f>IFERROR(IF(UPPER($E2858)="L",SUMPRODUCT(M2858:X2858,$M$3:$X$3,$M$2:$X$2),SUMPRODUCT(M2858:X2858,$M$4:$X$4,$M$2:$X$2))/(Y2858/($K2858*$L2858)),"")</f>
        <v/>
      </c>
      <c r="AB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n"/>
      <c r="G2859" s="9" t="n">
        <v>224</v>
      </c>
      <c r="H2859" s="9" t="n">
        <v>457</v>
      </c>
      <c r="I2859" s="9" t="inlineStr">
        <is>
          <t>Bench Bat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7" t="n"/>
      <c r="N2859" s="17" t="n"/>
      <c r="O2859" s="17" t="n"/>
      <c r="P2859" s="17" t="n"/>
      <c r="Q2859" s="17" t="n"/>
      <c r="R2859" s="17" t="n"/>
      <c r="S2859" s="17" t="n"/>
      <c r="T2859" s="17" t="n"/>
      <c r="U2859" s="17" t="n"/>
      <c r="V2859" s="17" t="n"/>
      <c r="W2859" s="17" t="n"/>
      <c r="X2859" s="17" t="n"/>
      <c r="Y2859" s="13">
        <f>SUMPRODUCT(M2859:X2859,$M$2:$X$2)*$K2859*$L2859</f>
        <v/>
      </c>
      <c r="Z2859" s="14">
        <f>SUM(M2859:X2859)</f>
        <v/>
      </c>
      <c r="AA2859" s="14">
        <f>IFERROR(IF(UPPER($E2859)="L",SUMPRODUCT(M2859:X2859,$M$3:$X$3,$M$2:$X$2),SUMPRODUCT(M2859:X2859,$M$4:$X$4,$M$2:$X$2))/(Y2859/($K2859*$L2859)),"")</f>
        <v/>
      </c>
      <c r="AB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n"/>
      <c r="G2860" s="9" t="n">
        <v>212</v>
      </c>
      <c r="H2860" s="9" t="n">
        <v>212</v>
      </c>
      <c r="I2860" s="9" t="inlineStr">
        <is>
          <t>Bench Bat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7" t="n"/>
      <c r="N2860" s="17" t="n"/>
      <c r="O2860" s="17" t="n"/>
      <c r="P2860" s="17" t="n"/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3">
        <f>SUMPRODUCT(M2860:X2860,$M$2:$X$2)*$K2860*$L2860</f>
        <v/>
      </c>
      <c r="Z2860" s="14">
        <f>SUM(M2860:X2860)</f>
        <v/>
      </c>
      <c r="AA2860" s="14">
        <f>IFERROR(IF(UPPER($E2860)="L",SUMPRODUCT(M2860:X2860,$M$3:$X$3,$M$2:$X$2),SUMPRODUCT(M2860:X2860,$M$4:$X$4,$M$2:$X$2))/(Y2860/($K2860*$L2860)),"")</f>
        <v/>
      </c>
      <c r="AB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n"/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7" t="n"/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/>
      <c r="W2861" s="17" t="n"/>
      <c r="X2861" s="17" t="n"/>
      <c r="Y2861" s="13">
        <f>SUMPRODUCT(M2861:X2861,$M$2:$X$2)*$K2861*$L2861</f>
        <v/>
      </c>
      <c r="Z2861" s="14">
        <f>SUM(M2861:X2861)</f>
        <v/>
      </c>
      <c r="AA2861" s="14">
        <f>IFERROR(IF(UPPER($E2861)="L",SUMPRODUCT(M2861:X2861,$M$3:$X$3,$M$2:$X$2),SUMPRODUCT(M2861:X2861,$M$4:$X$4,$M$2:$X$2))/(Y2861/($K2861*$L2861)),"")</f>
        <v/>
      </c>
      <c r="AB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n"/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7" t="n"/>
      <c r="N2862" s="17" t="n"/>
      <c r="O2862" s="17" t="n"/>
      <c r="P2862" s="17" t="n"/>
      <c r="Q2862" s="17" t="n"/>
      <c r="R2862" s="17" t="n"/>
      <c r="S2862" s="17" t="n"/>
      <c r="T2862" s="17" t="n"/>
      <c r="U2862" s="17" t="n"/>
      <c r="V2862" s="17" t="n"/>
      <c r="W2862" s="17" t="n"/>
      <c r="X2862" s="17" t="n"/>
      <c r="Y2862" s="13">
        <f>SUMPRODUCT(M2862:X2862,$M$2:$X$2)*$K2862*$L2862</f>
        <v/>
      </c>
      <c r="Z2862" s="14">
        <f>SUM(M2862:X2862)</f>
        <v/>
      </c>
      <c r="AA2862" s="14">
        <f>IFERROR(IF(UPPER($E2862)="L",SUMPRODUCT(M2862:X2862,$M$3:$X$3,$M$2:$X$2),SUMPRODUCT(M2862:X2862,$M$4:$X$4,$M$2:$X$2))/(Y2862/($K2862*$L2862)),"")</f>
        <v/>
      </c>
      <c r="AB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n"/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7" t="n"/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/>
      <c r="Y2863" s="13">
        <f>SUMPRODUCT(M2863:X2863,$M$2:$X$2)*$K2863*$L2863</f>
        <v/>
      </c>
      <c r="Z2863" s="14">
        <f>SUM(M2863:X2863)</f>
        <v/>
      </c>
      <c r="AA2863" s="14">
        <f>IFERROR(IF(UPPER($E2863)="L",SUMPRODUCT(M2863:X2863,$M$3:$X$3,$M$2:$X$2),SUMPRODUCT(M2863:X2863,$M$4:$X$4,$M$2:$X$2))/(Y2863/($K2863*$L2863)),"")</f>
        <v/>
      </c>
      <c r="AB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n"/>
      <c r="G2864" s="9" t="n">
        <v>175</v>
      </c>
      <c r="H2864" s="9" t="n">
        <v>258</v>
      </c>
      <c r="I2864" s="9" t="inlineStr">
        <is>
          <t>Bench Bat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7" t="n"/>
      <c r="N2864" s="17" t="n"/>
      <c r="O2864" s="17" t="n"/>
      <c r="P2864" s="17" t="n"/>
      <c r="Q2864" s="17" t="n"/>
      <c r="R2864" s="17" t="n"/>
      <c r="S2864" s="17" t="n"/>
      <c r="T2864" s="17" t="n"/>
      <c r="U2864" s="17" t="n"/>
      <c r="V2864" s="17" t="n"/>
      <c r="W2864" s="17" t="n"/>
      <c r="X2864" s="17" t="n"/>
      <c r="Y2864" s="13">
        <f>SUMPRODUCT(M2864:X2864,$M$2:$X$2)*$K2864*$L2864</f>
        <v/>
      </c>
      <c r="Z2864" s="14">
        <f>SUM(M2864:X2864)</f>
        <v/>
      </c>
      <c r="AA2864" s="14">
        <f>IFERROR(IF(UPPER($E2864)="L",SUMPRODUCT(M2864:X2864,$M$3:$X$3,$M$2:$X$2),SUMPRODUCT(M2864:X2864,$M$4:$X$4,$M$2:$X$2))/(Y2864/($K2864*$L2864)),"")</f>
        <v/>
      </c>
      <c r="AB2864" s="18" t="n"/>
    </row>
    <row r="2865">
      <c r="A2865" s="9" t="n">
        <v>663536</v>
      </c>
      <c r="B2865" s="9" t="inlineStr">
        <is>
          <t>Tristin English</t>
        </is>
      </c>
      <c r="C2865" s="9" t="inlineStr">
        <is>
          <t>ARI</t>
        </is>
      </c>
      <c r="D2865" s="9" t="n">
        <v>30</v>
      </c>
      <c r="E2865" s="16" t="inlineStr">
        <is>
          <t>R</t>
        </is>
      </c>
      <c r="F2865" s="16" t="n"/>
      <c r="G2865" s="9" t="n">
        <v>23</v>
      </c>
      <c r="H2865" s="9" t="n">
        <v>23</v>
      </c>
      <c r="I2865" s="9" t="inlineStr">
        <is>
          <t>Depth (no MLB PA)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7" t="n"/>
      <c r="N2865" s="17" t="n"/>
      <c r="O2865" s="17" t="n"/>
      <c r="P2865" s="17" t="n"/>
      <c r="Q2865" s="17" t="n"/>
      <c r="R2865" s="17" t="n"/>
      <c r="S2865" s="17" t="n"/>
      <c r="T2865" s="17" t="n"/>
      <c r="U2865" s="17" t="n"/>
      <c r="V2865" s="17" t="n"/>
      <c r="W2865" s="17" t="n"/>
      <c r="X2865" s="17" t="n"/>
      <c r="Y2865" s="13">
        <f>SUMPRODUCT(M2865:X2865,$M$2:$X$2)*$K2865*$L2865</f>
        <v/>
      </c>
      <c r="Z2865" s="14">
        <f>SUM(M2865:X2865)</f>
        <v/>
      </c>
      <c r="AA2865" s="14">
        <f>IFERROR(IF(UPPER($E2865)="L",SUMPRODUCT(M2865:X2865,$M$3:$X$3,$M$2:$X$2),SUMPRODUCT(M2865:X2865,$M$4:$X$4,$M$2:$X$2))/(Y2865/($K2865*$L2865)),"")</f>
        <v/>
      </c>
      <c r="AB2865" s="18" t="n"/>
    </row>
    <row r="2866">
      <c r="A2866" s="9" t="n">
        <v>695508</v>
      </c>
      <c r="B2866" s="9" t="inlineStr">
        <is>
          <t>Cam Cauley</t>
        </is>
      </c>
      <c r="C2866" s="9" t="inlineStr">
        <is>
          <t>TEX</t>
        </is>
      </c>
      <c r="D2866" s="9" t="n">
        <v>24</v>
      </c>
      <c r="E2866" s="16" t="inlineStr">
        <is>
          <t>R</t>
        </is>
      </c>
      <c r="F2866" s="16" t="n"/>
      <c r="G2866" s="9" t="n">
        <v>65</v>
      </c>
      <c r="H2866" s="9" t="n">
        <v>65</v>
      </c>
      <c r="I2866" s="9" t="inlineStr">
        <is>
          <t>Bench Bat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7" t="n"/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/>
      <c r="Y2866" s="13">
        <f>SUMPRODUCT(M2866:X2866,$M$2:$X$2)*$K2866*$L2866</f>
        <v/>
      </c>
      <c r="Z2866" s="14">
        <f>SUM(M2866:X2866)</f>
        <v/>
      </c>
      <c r="AA2866" s="14">
        <f>IFERROR(IF(UPPER($E2866)="L",SUMPRODUCT(M2866:X2866,$M$3:$X$3,$M$2:$X$2),SUMPRODUCT(M2866:X2866,$M$4:$X$4,$M$2:$X$2))/(Y2866/($K2866*$L2866)),"")</f>
        <v/>
      </c>
      <c r="AB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n"/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7" t="n"/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/>
      <c r="W2867" s="17" t="n"/>
      <c r="X2867" s="17" t="n"/>
      <c r="Y2867" s="13">
        <f>SUMPRODUCT(M2867:X2867,$M$2:$X$2)*$K2867*$L2867</f>
        <v/>
      </c>
      <c r="Z2867" s="14">
        <f>SUM(M2867:X2867)</f>
        <v/>
      </c>
      <c r="AA2867" s="14">
        <f>IFERROR(IF(UPPER($E2867)="L",SUMPRODUCT(M2867:X2867,$M$3:$X$3,$M$2:$X$2),SUMPRODUCT(M2867:X2867,$M$4:$X$4,$M$2:$X$2))/(Y2867/($K2867*$L2867)),"")</f>
        <v/>
      </c>
      <c r="AB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n"/>
      <c r="G2868" s="9" t="n">
        <v>26</v>
      </c>
      <c r="H2868" s="9" t="n">
        <v>164</v>
      </c>
      <c r="I2868" s="9" t="inlineStr">
        <is>
          <t>Bench Bat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7" t="n"/>
      <c r="N2868" s="17" t="n"/>
      <c r="O2868" s="17" t="n"/>
      <c r="P2868" s="17" t="n"/>
      <c r="Q2868" s="17" t="n"/>
      <c r="R2868" s="17" t="n"/>
      <c r="S2868" s="17" t="n"/>
      <c r="T2868" s="17" t="n"/>
      <c r="U2868" s="17" t="n"/>
      <c r="V2868" s="17" t="n"/>
      <c r="W2868" s="17" t="n"/>
      <c r="X2868" s="17" t="n"/>
      <c r="Y2868" s="13">
        <f>SUMPRODUCT(M2868:X2868,$M$2:$X$2)*$K2868*$L2868</f>
        <v/>
      </c>
      <c r="Z2868" s="14">
        <f>SUM(M2868:X2868)</f>
        <v/>
      </c>
      <c r="AA2868" s="14">
        <f>IFERROR(IF(UPPER($E2868)="L",SUMPRODUCT(M2868:X2868,$M$3:$X$3,$M$2:$X$2),SUMPRODUCT(M2868:X2868,$M$4:$X$4,$M$2:$X$2))/(Y2868/($K2868*$L2868)),"")</f>
        <v/>
      </c>
      <c r="AB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n"/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7" t="n"/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/>
      <c r="W2869" s="17" t="n"/>
      <c r="X2869" s="17" t="n"/>
      <c r="Y2869" s="13">
        <f>SUMPRODUCT(M2869:X2869,$M$2:$X$2)*$K2869*$L2869</f>
        <v/>
      </c>
      <c r="Z2869" s="14">
        <f>SUM(M2869:X2869)</f>
        <v/>
      </c>
      <c r="AA2869" s="14">
        <f>IFERROR(IF(UPPER($E2869)="L",SUMPRODUCT(M2869:X2869,$M$3:$X$3,$M$2:$X$2),SUMPRODUCT(M2869:X2869,$M$4:$X$4,$M$2:$X$2))/(Y2869/($K2869*$L2869)),"")</f>
        <v/>
      </c>
      <c r="AB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n"/>
      <c r="G2870" s="9" t="n">
        <v>51</v>
      </c>
      <c r="H2870" s="9" t="n">
        <v>147</v>
      </c>
      <c r="I2870" s="9" t="inlineStr">
        <is>
          <t>Bench Bat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7" t="n"/>
      <c r="N2870" s="17" t="n"/>
      <c r="O2870" s="17" t="n"/>
      <c r="P2870" s="17" t="n"/>
      <c r="Q2870" s="17" t="n"/>
      <c r="R2870" s="17" t="n"/>
      <c r="S2870" s="17" t="n"/>
      <c r="T2870" s="17" t="n"/>
      <c r="U2870" s="17" t="n"/>
      <c r="V2870" s="17" t="n"/>
      <c r="W2870" s="17" t="n"/>
      <c r="X2870" s="17" t="n"/>
      <c r="Y2870" s="13">
        <f>SUMPRODUCT(M2870:X2870,$M$2:$X$2)*$K2870*$L2870</f>
        <v/>
      </c>
      <c r="Z2870" s="14">
        <f>SUM(M2870:X2870)</f>
        <v/>
      </c>
      <c r="AA2870" s="14">
        <f>IFERROR(IF(UPPER($E2870)="L",SUMPRODUCT(M2870:X2870,$M$3:$X$3,$M$2:$X$2),SUMPRODUCT(M2870:X2870,$M$4:$X$4,$M$2:$X$2))/(Y2870/($K2870*$L2870)),"")</f>
        <v/>
      </c>
      <c r="AB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n"/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7" t="n"/>
      <c r="N2871" s="17" t="n"/>
      <c r="O2871" s="17" t="n"/>
      <c r="P2871" s="17" t="n"/>
      <c r="Q2871" s="17" t="n"/>
      <c r="R2871" s="17" t="n"/>
      <c r="S2871" s="17" t="n"/>
      <c r="T2871" s="17" t="n"/>
      <c r="U2871" s="17" t="n"/>
      <c r="V2871" s="17" t="n"/>
      <c r="W2871" s="17" t="n"/>
      <c r="X2871" s="17" t="n"/>
      <c r="Y2871" s="13">
        <f>SUMPRODUCT(M2871:X2871,$M$2:$X$2)*$K2871*$L2871</f>
        <v/>
      </c>
      <c r="Z2871" s="14">
        <f>SUM(M2871:X2871)</f>
        <v/>
      </c>
      <c r="AA2871" s="14">
        <f>IFERROR(IF(UPPER($E2871)="L",SUMPRODUCT(M2871:X2871,$M$3:$X$3,$M$2:$X$2),SUMPRODUCT(M2871:X2871,$M$4:$X$4,$M$2:$X$2))/(Y2871/($K2871*$L2871)),"")</f>
        <v/>
      </c>
      <c r="AB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n"/>
      <c r="G2872" s="9" t="n">
        <v>60</v>
      </c>
      <c r="H2872" s="9" t="n">
        <v>1524</v>
      </c>
      <c r="I2872" s="9" t="inlineStr">
        <is>
          <t>Utility OF / 4th OF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7" t="n"/>
      <c r="N2872" s="17" t="n"/>
      <c r="O2872" s="17" t="n"/>
      <c r="P2872" s="17" t="n"/>
      <c r="Q2872" s="17" t="n"/>
      <c r="R2872" s="17" t="n"/>
      <c r="S2872" s="17" t="n"/>
      <c r="T2872" s="17" t="n"/>
      <c r="U2872" s="17" t="n"/>
      <c r="V2872" s="17" t="n"/>
      <c r="W2872" s="17" t="n"/>
      <c r="X2872" s="17" t="n"/>
      <c r="Y2872" s="13">
        <f>SUMPRODUCT(M2872:X2872,$M$2:$X$2)*$K2872*$L2872</f>
        <v/>
      </c>
      <c r="Z2872" s="14">
        <f>SUM(M2872:X2872)</f>
        <v/>
      </c>
      <c r="AA2872" s="14">
        <f>IFERROR(IF(UPPER($E2872)="L",SUMPRODUCT(M2872:X2872,$M$3:$X$3,$M$2:$X$2),SUMPRODUCT(M2872:X2872,$M$4:$X$4,$M$2:$X$2))/(Y2872/($K2872*$L2872)),"")</f>
        <v/>
      </c>
      <c r="AB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n"/>
      <c r="G2873" s="9" t="n">
        <v>181</v>
      </c>
      <c r="H2873" s="9" t="n">
        <v>181</v>
      </c>
      <c r="I2873" s="9" t="inlineStr">
        <is>
          <t>Bench Bat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7" t="n"/>
      <c r="N2873" s="17" t="n"/>
      <c r="O2873" s="17" t="n"/>
      <c r="P2873" s="17" t="n"/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3">
        <f>SUMPRODUCT(M2873:X2873,$M$2:$X$2)*$K2873*$L2873</f>
        <v/>
      </c>
      <c r="Z2873" s="14">
        <f>SUM(M2873:X2873)</f>
        <v/>
      </c>
      <c r="AA2873" s="14">
        <f>IFERROR(IF(UPPER($E2873)="L",SUMPRODUCT(M2873:X2873,$M$3:$X$3,$M$2:$X$2),SUMPRODUCT(M2873:X2873,$M$4:$X$4,$M$2:$X$2))/(Y2873/($K2873*$L2873)),"")</f>
        <v/>
      </c>
      <c r="AB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n"/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7" t="n"/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/>
      <c r="Y2874" s="13">
        <f>SUMPRODUCT(M2874:X2874,$M$2:$X$2)*$K2874*$L2874</f>
        <v/>
      </c>
      <c r="Z2874" s="14">
        <f>SUM(M2874:X2874)</f>
        <v/>
      </c>
      <c r="AA2874" s="14">
        <f>IFERROR(IF(UPPER($E2874)="L",SUMPRODUCT(M2874:X2874,$M$3:$X$3,$M$2:$X$2),SUMPRODUCT(M2874:X2874,$M$4:$X$4,$M$2:$X$2))/(Y2874/($K2874*$L2874)),"")</f>
        <v/>
      </c>
      <c r="AB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n"/>
      <c r="G2875" s="9" t="n">
        <v>91</v>
      </c>
      <c r="H2875" s="9" t="n">
        <v>800</v>
      </c>
      <c r="I2875" s="9" t="inlineStr">
        <is>
          <t>Bench Bat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7" t="n"/>
      <c r="N2875" s="17" t="n"/>
      <c r="O2875" s="17" t="n"/>
      <c r="P2875" s="17" t="n"/>
      <c r="Q2875" s="17" t="n"/>
      <c r="R2875" s="17" t="n"/>
      <c r="S2875" s="17" t="n"/>
      <c r="T2875" s="17" t="n"/>
      <c r="U2875" s="17" t="n"/>
      <c r="V2875" s="17" t="n"/>
      <c r="W2875" s="17" t="n"/>
      <c r="X2875" s="17" t="n"/>
      <c r="Y2875" s="13">
        <f>SUMPRODUCT(M2875:X2875,$M$2:$X$2)*$K2875*$L2875</f>
        <v/>
      </c>
      <c r="Z2875" s="14">
        <f>SUM(M2875:X2875)</f>
        <v/>
      </c>
      <c r="AA2875" s="14">
        <f>IFERROR(IF(UPPER($E2875)="L",SUMPRODUCT(M2875:X2875,$M$3:$X$3,$M$2:$X$2),SUMPRODUCT(M2875:X2875,$M$4:$X$4,$M$2:$X$2))/(Y2875/($K2875*$L2875)),"")</f>
        <v/>
      </c>
      <c r="AB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n"/>
      <c r="G2876" s="9" t="n">
        <v>162</v>
      </c>
      <c r="H2876" s="9" t="n">
        <v>1338</v>
      </c>
      <c r="I2876" s="9" t="inlineStr">
        <is>
          <t>Full Time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7" t="n"/>
      <c r="N2876" s="17" t="n"/>
      <c r="O2876" s="17" t="n"/>
      <c r="P2876" s="17" t="n"/>
      <c r="Q2876" s="17" t="n"/>
      <c r="R2876" s="17" t="n"/>
      <c r="S2876" s="17" t="n"/>
      <c r="T2876" s="17" t="n"/>
      <c r="U2876" s="17" t="n"/>
      <c r="V2876" s="17" t="n"/>
      <c r="W2876" s="17" t="n"/>
      <c r="X2876" s="17" t="n"/>
      <c r="Y2876" s="13">
        <f>SUMPRODUCT(M2876:X2876,$M$2:$X$2)*$K2876*$L2876</f>
        <v/>
      </c>
      <c r="Z2876" s="14">
        <f>SUM(M2876:X2876)</f>
        <v/>
      </c>
      <c r="AA2876" s="14">
        <f>IFERROR(IF(UPPER($E2876)="L",SUMPRODUCT(M2876:X2876,$M$3:$X$3,$M$2:$X$2),SUMPRODUCT(M2876:X2876,$M$4:$X$4,$M$2:$X$2))/(Y2876/($K2876*$L2876)),"")</f>
        <v/>
      </c>
      <c r="AB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n"/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7" t="n"/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/>
      <c r="Y2877" s="13">
        <f>SUMPRODUCT(M2877:X2877,$M$2:$X$2)*$K2877*$L2877</f>
        <v/>
      </c>
      <c r="Z2877" s="14">
        <f>SUM(M2877:X2877)</f>
        <v/>
      </c>
      <c r="AA2877" s="14">
        <f>IFERROR(IF(UPPER($E2877)="L",SUMPRODUCT(M2877:X2877,$M$3:$X$3,$M$2:$X$2),SUMPRODUCT(M2877:X2877,$M$4:$X$4,$M$2:$X$2))/(Y2877/($K2877*$L2877)),"")</f>
        <v/>
      </c>
      <c r="AB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n"/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7" t="n"/>
      <c r="N2878" s="17" t="n"/>
      <c r="O2878" s="17" t="n"/>
      <c r="P2878" s="17" t="n"/>
      <c r="Q2878" s="17" t="n"/>
      <c r="R2878" s="17" t="n"/>
      <c r="S2878" s="17" t="n"/>
      <c r="T2878" s="17" t="n"/>
      <c r="U2878" s="17" t="n"/>
      <c r="V2878" s="17" t="n"/>
      <c r="W2878" s="17" t="n"/>
      <c r="X2878" s="17" t="n"/>
      <c r="Y2878" s="13">
        <f>SUMPRODUCT(M2878:X2878,$M$2:$X$2)*$K2878*$L2878</f>
        <v/>
      </c>
      <c r="Z2878" s="14">
        <f>SUM(M2878:X2878)</f>
        <v/>
      </c>
      <c r="AA2878" s="14">
        <f>IFERROR(IF(UPPER($E2878)="L",SUMPRODUCT(M2878:X2878,$M$3:$X$3,$M$2:$X$2),SUMPRODUCT(M2878:X2878,$M$4:$X$4,$M$2:$X$2))/(Y2878/($K2878*$L2878)),"")</f>
        <v/>
      </c>
      <c r="AB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n"/>
      <c r="G2879" s="9" t="n">
        <v>183</v>
      </c>
      <c r="H2879" s="9" t="n">
        <v>2030</v>
      </c>
      <c r="I2879" s="9" t="inlineStr">
        <is>
          <t>Full Time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7" t="n"/>
      <c r="N2879" s="17" t="n"/>
      <c r="O2879" s="17" t="n"/>
      <c r="P2879" s="17" t="n"/>
      <c r="Q2879" s="17" t="n"/>
      <c r="R2879" s="17" t="n"/>
      <c r="S2879" s="17" t="n"/>
      <c r="T2879" s="17" t="n"/>
      <c r="U2879" s="17" t="n"/>
      <c r="V2879" s="17" t="n"/>
      <c r="W2879" s="17" t="n"/>
      <c r="X2879" s="17" t="n"/>
      <c r="Y2879" s="13">
        <f>SUMPRODUCT(M2879:X2879,$M$2:$X$2)*$K2879*$L2879</f>
        <v/>
      </c>
      <c r="Z2879" s="14">
        <f>SUM(M2879:X2879)</f>
        <v/>
      </c>
      <c r="AA2879" s="14">
        <f>IFERROR(IF(UPPER($E2879)="L",SUMPRODUCT(M2879:X2879,$M$3:$X$3,$M$2:$X$2),SUMPRODUCT(M2879:X2879,$M$4:$X$4,$M$2:$X$2))/(Y2879/($K2879*$L2879)),"")</f>
        <v/>
      </c>
      <c r="AB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n"/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7" t="n"/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/>
      <c r="W2880" s="17" t="n"/>
      <c r="X2880" s="17" t="n"/>
      <c r="Y2880" s="13">
        <f>SUMPRODUCT(M2880:X2880,$M$2:$X$2)*$K2880*$L2880</f>
        <v/>
      </c>
      <c r="Z2880" s="14">
        <f>SUM(M2880:X2880)</f>
        <v/>
      </c>
      <c r="AA2880" s="14">
        <f>IFERROR(IF(UPPER($E2880)="L",SUMPRODUCT(M2880:X2880,$M$3:$X$3,$M$2:$X$2),SUMPRODUCT(M2880:X2880,$M$4:$X$4,$M$2:$X$2))/(Y2880/($K2880*$L2880)),"")</f>
        <v/>
      </c>
      <c r="AB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n"/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7" t="n"/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/>
      <c r="Y2881" s="13">
        <f>SUMPRODUCT(M2881:X2881,$M$2:$X$2)*$K2881*$L2881</f>
        <v/>
      </c>
      <c r="Z2881" s="14">
        <f>SUM(M2881:X2881)</f>
        <v/>
      </c>
      <c r="AA2881" s="14">
        <f>IFERROR(IF(UPPER($E2881)="L",SUMPRODUCT(M2881:X2881,$M$3:$X$3,$M$2:$X$2),SUMPRODUCT(M2881:X2881,$M$4:$X$4,$M$2:$X$2))/(Y2881/($K2881*$L2881)),"")</f>
        <v/>
      </c>
      <c r="AB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n"/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7" t="n"/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/>
      <c r="W2882" s="17" t="n"/>
      <c r="X2882" s="17" t="n"/>
      <c r="Y2882" s="13">
        <f>SUMPRODUCT(M2882:X2882,$M$2:$X$2)*$K2882*$L2882</f>
        <v/>
      </c>
      <c r="Z2882" s="14">
        <f>SUM(M2882:X2882)</f>
        <v/>
      </c>
      <c r="AA2882" s="14">
        <f>IFERROR(IF(UPPER($E2882)="L",SUMPRODUCT(M2882:X2882,$M$3:$X$3,$M$2:$X$2),SUMPRODUCT(M2882:X2882,$M$4:$X$4,$M$2:$X$2))/(Y2882/($K2882*$L2882)),"")</f>
        <v/>
      </c>
      <c r="AB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n"/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7" t="n"/>
      <c r="N2883" s="17" t="n"/>
      <c r="O2883" s="17" t="n"/>
      <c r="P2883" s="17" t="n"/>
      <c r="Q2883" s="17" t="n"/>
      <c r="R2883" s="17" t="n"/>
      <c r="S2883" s="17" t="n"/>
      <c r="T2883" s="17" t="n"/>
      <c r="U2883" s="17" t="n"/>
      <c r="V2883" s="17" t="n"/>
      <c r="W2883" s="17" t="n"/>
      <c r="X2883" s="17" t="n"/>
      <c r="Y2883" s="13">
        <f>SUMPRODUCT(M2883:X2883,$M$2:$X$2)*$K2883*$L2883</f>
        <v/>
      </c>
      <c r="Z2883" s="14">
        <f>SUM(M2883:X2883)</f>
        <v/>
      </c>
      <c r="AA2883" s="14">
        <f>IFERROR(IF(UPPER($E2883)="L",SUMPRODUCT(M2883:X2883,$M$3:$X$3,$M$2:$X$2),SUMPRODUCT(M2883:X2883,$M$4:$X$4,$M$2:$X$2))/(Y2883/($K2883*$L2883)),"")</f>
        <v/>
      </c>
      <c r="AB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n"/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7" t="n"/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/>
      <c r="W2884" s="17" t="n"/>
      <c r="X2884" s="17" t="n"/>
      <c r="Y2884" s="13">
        <f>SUMPRODUCT(M2884:X2884,$M$2:$X$2)*$K2884*$L2884</f>
        <v/>
      </c>
      <c r="Z2884" s="14">
        <f>SUM(M2884:X2884)</f>
        <v/>
      </c>
      <c r="AA2884" s="14">
        <f>IFERROR(IF(UPPER($E2884)="L",SUMPRODUCT(M2884:X2884,$M$3:$X$3,$M$2:$X$2),SUMPRODUCT(M2884:X2884,$M$4:$X$4,$M$2:$X$2))/(Y2884/($K2884*$L2884)),"")</f>
        <v/>
      </c>
      <c r="AB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n"/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7" t="n"/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/>
      <c r="W2885" s="17" t="n"/>
      <c r="X2885" s="17" t="n"/>
      <c r="Y2885" s="13">
        <f>SUMPRODUCT(M2885:X2885,$M$2:$X$2)*$K2885*$L2885</f>
        <v/>
      </c>
      <c r="Z2885" s="14">
        <f>SUM(M2885:X2885)</f>
        <v/>
      </c>
      <c r="AA2885" s="14">
        <f>IFERROR(IF(UPPER($E2885)="L",SUMPRODUCT(M2885:X2885,$M$3:$X$3,$M$2:$X$2),SUMPRODUCT(M2885:X2885,$M$4:$X$4,$M$2:$X$2))/(Y2885/($K2885*$L2885)),"")</f>
        <v/>
      </c>
      <c r="AB2885" s="18" t="n"/>
    </row>
    <row r="2886">
      <c r="A2886" s="9" t="n">
        <v>623520</v>
      </c>
      <c r="B2886" s="9" t="inlineStr">
        <is>
          <t>David Bote</t>
        </is>
      </c>
      <c r="C2886" s="9" t="inlineStr">
        <is>
          <t>CHC</t>
        </is>
      </c>
      <c r="D2886" s="9" t="n">
        <v>34</v>
      </c>
      <c r="E2886" s="16" t="inlineStr">
        <is>
          <t>R</t>
        </is>
      </c>
      <c r="F2886" s="16" t="n"/>
      <c r="G2886" s="9" t="n">
        <v>48</v>
      </c>
      <c r="H2886" s="9" t="n">
        <v>175</v>
      </c>
      <c r="I2886" s="9" t="inlineStr">
        <is>
          <t>Depth (no MLB PA)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7" t="n"/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/>
      <c r="W2886" s="17" t="n"/>
      <c r="X2886" s="17" t="n"/>
      <c r="Y2886" s="13">
        <f>SUMPRODUCT(M2886:X2886,$M$2:$X$2)*$K2886*$L2886</f>
        <v/>
      </c>
      <c r="Z2886" s="14">
        <f>SUM(M2886:X2886)</f>
        <v/>
      </c>
      <c r="AA2886" s="14">
        <f>IFERROR(IF(UPPER($E2886)="L",SUMPRODUCT(M2886:X2886,$M$3:$X$3,$M$2:$X$2),SUMPRODUCT(M2886:X2886,$M$4:$X$4,$M$2:$X$2))/(Y2886/($K2886*$L2886)),"")</f>
        <v/>
      </c>
      <c r="AB2886" s="18" t="n"/>
    </row>
    <row r="2887">
      <c r="A2887" s="9" t="n">
        <v>695238</v>
      </c>
      <c r="B2887" s="9" t="inlineStr">
        <is>
          <t>Will Wagner</t>
        </is>
      </c>
      <c r="C2887" s="9" t="inlineStr">
        <is>
          <t>SD</t>
        </is>
      </c>
      <c r="D2887" s="9" t="n">
        <v>28</v>
      </c>
      <c r="E2887" s="16" t="inlineStr">
        <is>
          <t>L</t>
        </is>
      </c>
      <c r="F2887" s="16" t="n"/>
      <c r="G2887" s="9" t="n">
        <v>45</v>
      </c>
      <c r="H2887" s="9" t="n">
        <v>280</v>
      </c>
      <c r="I2887" s="9" t="inlineStr">
        <is>
          <t>Bench Bat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7" t="n"/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/>
      <c r="Y2887" s="13">
        <f>SUMPRODUCT(M2887:X2887,$M$2:$X$2)*$K2887*$L2887</f>
        <v/>
      </c>
      <c r="Z2887" s="14">
        <f>SUM(M2887:X2887)</f>
        <v/>
      </c>
      <c r="AA2887" s="14">
        <f>IFERROR(IF(UPPER($E2887)="L",SUMPRODUCT(M2887:X2887,$M$3:$X$3,$M$2:$X$2),SUMPRODUCT(M2887:X2887,$M$4:$X$4,$M$2:$X$2))/(Y2887/($K2887*$L2887)),"")</f>
        <v/>
      </c>
      <c r="AB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n"/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7" t="n"/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/>
      <c r="W2888" s="17" t="n"/>
      <c r="X2888" s="17" t="n"/>
      <c r="Y2888" s="13">
        <f>SUMPRODUCT(M2888:X2888,$M$2:$X$2)*$K2888*$L2888</f>
        <v/>
      </c>
      <c r="Z2888" s="14">
        <f>SUM(M2888:X2888)</f>
        <v/>
      </c>
      <c r="AA2888" s="14">
        <f>IFERROR(IF(UPPER($E2888)="L",SUMPRODUCT(M2888:X2888,$M$3:$X$3,$M$2:$X$2),SUMPRODUCT(M2888:X2888,$M$4:$X$4,$M$2:$X$2))/(Y2888/($K2888*$L2888)),"")</f>
        <v/>
      </c>
      <c r="AB2888" s="18" t="n"/>
    </row>
    <row r="2889">
      <c r="A2889" s="9" t="n">
        <v>693049</v>
      </c>
      <c r="B2889" s="9" t="inlineStr">
        <is>
          <t>Oscar Colás</t>
        </is>
      </c>
      <c r="C2889" s="9" t="inlineStr">
        <is>
          <t>CWS</t>
        </is>
      </c>
      <c r="D2889" s="9" t="n">
        <v>28</v>
      </c>
      <c r="E2889" s="16" t="inlineStr">
        <is>
          <t>L</t>
        </is>
      </c>
      <c r="F2889" s="16" t="n"/>
      <c r="G2889" s="9" t="n">
        <v>38</v>
      </c>
      <c r="H2889" s="9" t="n">
        <v>301</v>
      </c>
      <c r="I2889" s="9" t="inlineStr">
        <is>
          <t>Depth (no MLB PA)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7" t="n"/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/>
      <c r="W2889" s="17" t="n"/>
      <c r="X2889" s="17" t="n"/>
      <c r="Y2889" s="13">
        <f>SUMPRODUCT(M2889:X2889,$M$2:$X$2)*$K2889*$L2889</f>
        <v/>
      </c>
      <c r="Z2889" s="14">
        <f>SUM(M2889:X2889)</f>
        <v/>
      </c>
      <c r="AA2889" s="14">
        <f>IFERROR(IF(UPPER($E2889)="L",SUMPRODUCT(M2889:X2889,$M$3:$X$3,$M$2:$X$2),SUMPRODUCT(M2889:X2889,$M$4:$X$4,$M$2:$X$2))/(Y2889/($K2889*$L2889)),"")</f>
        <v/>
      </c>
      <c r="AB2889" s="18" t="n"/>
    </row>
    <row r="2890">
      <c r="A2890" s="9" t="n">
        <v>608671</v>
      </c>
      <c r="B2890" s="9" t="inlineStr">
        <is>
          <t>Travis Jankowski</t>
        </is>
      </c>
      <c r="C2890" s="9" t="inlineStr">
        <is>
          <t>NYM</t>
        </is>
      </c>
      <c r="D2890" s="9" t="n">
        <v>36</v>
      </c>
      <c r="E2890" s="16" t="inlineStr">
        <is>
          <t>L</t>
        </is>
      </c>
      <c r="F2890" s="16" t="n"/>
      <c r="G2890" s="9" t="n">
        <v>50</v>
      </c>
      <c r="H2890" s="9" t="n">
        <v>608</v>
      </c>
      <c r="I2890" s="9" t="inlineStr">
        <is>
          <t>Bench Bat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7" t="n"/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/>
      <c r="Y2890" s="13">
        <f>SUMPRODUCT(M2890:X2890,$M$2:$X$2)*$K2890*$L2890</f>
        <v/>
      </c>
      <c r="Z2890" s="14">
        <f>SUM(M2890:X2890)</f>
        <v/>
      </c>
      <c r="AA2890" s="14">
        <f>IFERROR(IF(UPPER($E2890)="L",SUMPRODUCT(M2890:X2890,$M$3:$X$3,$M$2:$X$2),SUMPRODUCT(M2890:X2890,$M$4:$X$4,$M$2:$X$2))/(Y2890/($K2890*$L2890)),"")</f>
        <v/>
      </c>
      <c r="AB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n"/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7" t="n"/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/>
      <c r="Y2891" s="13">
        <f>SUMPRODUCT(M2891:X2891,$M$2:$X$2)*$K2891*$L2891</f>
        <v/>
      </c>
      <c r="Z2891" s="14">
        <f>SUM(M2891:X2891)</f>
        <v/>
      </c>
      <c r="AA2891" s="14">
        <f>IFERROR(IF(UPPER($E2891)="L",SUMPRODUCT(M2891:X2891,$M$3:$X$3,$M$2:$X$2),SUMPRODUCT(M2891:X2891,$M$4:$X$4,$M$2:$X$2))/(Y2891/($K2891*$L2891)),"")</f>
        <v/>
      </c>
      <c r="AB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n"/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7" t="n"/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/>
      <c r="Y2892" s="13">
        <f>SUMPRODUCT(M2892:X2892,$M$2:$X$2)*$K2892*$L2892</f>
        <v/>
      </c>
      <c r="Z2892" s="14">
        <f>SUM(M2892:X2892)</f>
        <v/>
      </c>
      <c r="AA2892" s="14">
        <f>IFERROR(IF(UPPER($E2892)="L",SUMPRODUCT(M2892:X2892,$M$3:$X$3,$M$2:$X$2),SUMPRODUCT(M2892:X2892,$M$4:$X$4,$M$2:$X$2))/(Y2892/($K2892*$L2892)),"")</f>
        <v/>
      </c>
      <c r="AB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n"/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7" t="n"/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/>
      <c r="Y2893" s="13">
        <f>SUMPRODUCT(M2893:X2893,$M$2:$X$2)*$K2893*$L2893</f>
        <v/>
      </c>
      <c r="Z2893" s="14">
        <f>SUM(M2893:X2893)</f>
        <v/>
      </c>
      <c r="AA2893" s="14">
        <f>IFERROR(IF(UPPER($E2893)="L",SUMPRODUCT(M2893:X2893,$M$3:$X$3,$M$2:$X$2),SUMPRODUCT(M2893:X2893,$M$4:$X$4,$M$2:$X$2))/(Y2893/($K2893*$L2893)),"")</f>
        <v/>
      </c>
      <c r="AB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n"/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7" t="n"/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/>
      <c r="W2894" s="17" t="n"/>
      <c r="X2894" s="17" t="n"/>
      <c r="Y2894" s="13">
        <f>SUMPRODUCT(M2894:X2894,$M$2:$X$2)*$K2894*$L2894</f>
        <v/>
      </c>
      <c r="Z2894" s="14">
        <f>SUM(M2894:X2894)</f>
        <v/>
      </c>
      <c r="AA2894" s="14">
        <f>IFERROR(IF(UPPER($E2894)="L",SUMPRODUCT(M2894:X2894,$M$3:$X$3,$M$2:$X$2),SUMPRODUCT(M2894:X2894,$M$4:$X$4,$M$2:$X$2))/(Y2894/($K2894*$L2894)),"")</f>
        <v/>
      </c>
      <c r="AB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n"/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7" t="n"/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/>
      <c r="W2895" s="17" t="n"/>
      <c r="X2895" s="17" t="n"/>
      <c r="Y2895" s="13">
        <f>SUMPRODUCT(M2895:X2895,$M$2:$X$2)*$K2895*$L2895</f>
        <v/>
      </c>
      <c r="Z2895" s="14">
        <f>SUM(M2895:X2895)</f>
        <v/>
      </c>
      <c r="AA2895" s="14">
        <f>IFERROR(IF(UPPER($E2895)="L",SUMPRODUCT(M2895:X2895,$M$3:$X$3,$M$2:$X$2),SUMPRODUCT(M2895:X2895,$M$4:$X$4,$M$2:$X$2))/(Y2895/($K2895*$L2895)),"")</f>
        <v/>
      </c>
      <c r="AB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n"/>
      <c r="G2896" s="9" t="n">
        <v>270</v>
      </c>
      <c r="H2896" s="9" t="n">
        <v>1485</v>
      </c>
      <c r="I2896" s="9" t="inlineStr">
        <is>
          <t>Utility OF / 4th OF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7" t="n"/>
      <c r="N2896" s="17" t="n"/>
      <c r="O2896" s="17" t="n"/>
      <c r="P2896" s="17" t="n"/>
      <c r="Q2896" s="17" t="n"/>
      <c r="R2896" s="17" t="n"/>
      <c r="S2896" s="17" t="n"/>
      <c r="T2896" s="17" t="n"/>
      <c r="U2896" s="17" t="n"/>
      <c r="V2896" s="17" t="n"/>
      <c r="W2896" s="17" t="n"/>
      <c r="X2896" s="17" t="n"/>
      <c r="Y2896" s="13">
        <f>SUMPRODUCT(M2896:X2896,$M$2:$X$2)*$K2896*$L2896</f>
        <v/>
      </c>
      <c r="Z2896" s="14">
        <f>SUM(M2896:X2896)</f>
        <v/>
      </c>
      <c r="AA2896" s="14">
        <f>IFERROR(IF(UPPER($E2896)="L",SUMPRODUCT(M2896:X2896,$M$3:$X$3,$M$2:$X$2),SUMPRODUCT(M2896:X2896,$M$4:$X$4,$M$2:$X$2))/(Y2896/($K2896*$L2896)),"")</f>
        <v/>
      </c>
      <c r="AB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n"/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7" t="n"/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/>
      <c r="W2897" s="17" t="n"/>
      <c r="X2897" s="17" t="n"/>
      <c r="Y2897" s="13">
        <f>SUMPRODUCT(M2897:X2897,$M$2:$X$2)*$K2897*$L2897</f>
        <v/>
      </c>
      <c r="Z2897" s="14">
        <f>SUM(M2897:X2897)</f>
        <v/>
      </c>
      <c r="AA2897" s="14">
        <f>IFERROR(IF(UPPER($E2897)="L",SUMPRODUCT(M2897:X2897,$M$3:$X$3,$M$2:$X$2),SUMPRODUCT(M2897:X2897,$M$4:$X$4,$M$2:$X$2))/(Y2897/($K2897*$L2897)),"")</f>
        <v/>
      </c>
      <c r="AB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n"/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7" t="n"/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/>
      <c r="Y2898" s="13">
        <f>SUMPRODUCT(M2898:X2898,$M$2:$X$2)*$K2898*$L2898</f>
        <v/>
      </c>
      <c r="Z2898" s="14">
        <f>SUM(M2898:X2898)</f>
        <v/>
      </c>
      <c r="AA2898" s="14">
        <f>IFERROR(IF(UPPER($E2898)="L",SUMPRODUCT(M2898:X2898,$M$3:$X$3,$M$2:$X$2),SUMPRODUCT(M2898:X2898,$M$4:$X$4,$M$2:$X$2))/(Y2898/($K2898*$L2898)),"")</f>
        <v/>
      </c>
      <c r="AB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n"/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7" t="n"/>
      <c r="N2899" s="17" t="n"/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3">
        <f>SUMPRODUCT(M2899:X2899,$M$2:$X$2)*$K2899*$L2899</f>
        <v/>
      </c>
      <c r="Z2899" s="14">
        <f>SUM(M2899:X2899)</f>
        <v/>
      </c>
      <c r="AA2899" s="14">
        <f>IFERROR(IF(UPPER($E2899)="L",SUMPRODUCT(M2899:X2899,$M$3:$X$3,$M$2:$X$2),SUMPRODUCT(M2899:X2899,$M$4:$X$4,$M$2:$X$2))/(Y2899/($K2899*$L2899)),"")</f>
        <v/>
      </c>
      <c r="AB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2026-10-01T18:09:49Z</dcterms:created>
  <dcterms:modified xmlns:dcterms="http://purl.org/dc/terms/" xmlns:xsi="http://www.w3.org/2001/XMLSchema-instance" xsi:type="dcterms:W3CDTF">2026-10-01T18:09:50Z</dcterms:modified>
</cp:coreProperties>
</file>